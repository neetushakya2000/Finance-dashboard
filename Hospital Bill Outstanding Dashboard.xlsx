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ankaj Shakya\Downloads\"/>
    </mc:Choice>
  </mc:AlternateContent>
  <xr:revisionPtr revIDLastSave="0" documentId="13_ncr:1_{F0A5AE43-7E85-4BEB-B167-D234E34DC13A}" xr6:coauthVersionLast="47" xr6:coauthVersionMax="47" xr10:uidLastSave="{00000000-0000-0000-0000-000000000000}"/>
  <bookViews>
    <workbookView xWindow="-108" yWindow="-108" windowWidth="23256" windowHeight="12456" xr2:uid="{00000000-000D-0000-FFFF-FFFF00000000}"/>
  </bookViews>
  <sheets>
    <sheet name="Dashboard" sheetId="3" r:id="rId1"/>
    <sheet name="Sheet2" sheetId="2" r:id="rId2"/>
    <sheet name="Sheet1" sheetId="1" r:id="rId3"/>
  </sheets>
  <definedNames>
    <definedName name="Slicer_Admission_Month">#N/A</definedName>
    <definedName name="Slicer_PAYTYPE">#N/A</definedName>
    <definedName name="Slicer_SPL">#N/A</definedName>
    <definedName name="Slicer_Status">#N/A</definedName>
  </definedNames>
  <calcPr calcId="191029"/>
  <pivotCaches>
    <pivotCache cacheId="3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181" i="1" l="1"/>
  <c r="R2404" i="1"/>
  <c r="R2468" i="1"/>
  <c r="R2532" i="1"/>
  <c r="R2585" i="1"/>
  <c r="R2621" i="1"/>
  <c r="R2653" i="1"/>
  <c r="R2685" i="1"/>
  <c r="R2717" i="1"/>
  <c r="R2749" i="1"/>
  <c r="R2781" i="1"/>
  <c r="R2813" i="1"/>
  <c r="R2845" i="1"/>
  <c r="R2877" i="1"/>
  <c r="R2909" i="1"/>
  <c r="R2941" i="1"/>
  <c r="R2973" i="1"/>
  <c r="R3005" i="1"/>
  <c r="R3037" i="1"/>
  <c r="R3060" i="1"/>
  <c r="R3077" i="1"/>
  <c r="R3093" i="1"/>
  <c r="R3109" i="1"/>
  <c r="R3125" i="1"/>
  <c r="R3141" i="1"/>
  <c r="R3157" i="1"/>
  <c r="R3173" i="1"/>
  <c r="R3193" i="1"/>
  <c r="R3203" i="1"/>
  <c r="R3209" i="1"/>
  <c r="R3219" i="1"/>
  <c r="R3225" i="1"/>
  <c r="R3235" i="1"/>
  <c r="R3241" i="1"/>
  <c r="R3251" i="1"/>
  <c r="R3257" i="1"/>
  <c r="R3267" i="1"/>
  <c r="R3273" i="1"/>
  <c r="R3283" i="1"/>
  <c r="R3289" i="1"/>
  <c r="R3299" i="1"/>
  <c r="R3305" i="1"/>
  <c r="R3315" i="1"/>
  <c r="R3321" i="1"/>
  <c r="R3331" i="1"/>
  <c r="R3337" i="1"/>
  <c r="R3347" i="1"/>
  <c r="R3353" i="1"/>
  <c r="O4" i="1"/>
  <c r="R4" i="1" s="1"/>
  <c r="O5" i="1"/>
  <c r="R5" i="1" s="1"/>
  <c r="O6" i="1"/>
  <c r="R6" i="1" s="1"/>
  <c r="O7" i="1"/>
  <c r="R7" i="1" s="1"/>
  <c r="O8" i="1"/>
  <c r="R8" i="1" s="1"/>
  <c r="O9" i="1"/>
  <c r="R9" i="1" s="1"/>
  <c r="O10" i="1"/>
  <c r="R10" i="1" s="1"/>
  <c r="O11" i="1"/>
  <c r="R11" i="1" s="1"/>
  <c r="O12" i="1"/>
  <c r="R12" i="1" s="1"/>
  <c r="O13" i="1"/>
  <c r="R13" i="1" s="1"/>
  <c r="O14" i="1"/>
  <c r="R14" i="1" s="1"/>
  <c r="O15" i="1"/>
  <c r="R15" i="1" s="1"/>
  <c r="O16" i="1"/>
  <c r="R16" i="1" s="1"/>
  <c r="O17" i="1"/>
  <c r="R17" i="1" s="1"/>
  <c r="O18" i="1"/>
  <c r="R18" i="1" s="1"/>
  <c r="O19" i="1"/>
  <c r="R19" i="1" s="1"/>
  <c r="O20" i="1"/>
  <c r="R20" i="1" s="1"/>
  <c r="O21" i="1"/>
  <c r="R21" i="1" s="1"/>
  <c r="O22" i="1"/>
  <c r="R22" i="1" s="1"/>
  <c r="O23" i="1"/>
  <c r="R23" i="1" s="1"/>
  <c r="O24" i="1"/>
  <c r="R24" i="1" s="1"/>
  <c r="O25" i="1"/>
  <c r="R25" i="1" s="1"/>
  <c r="O26" i="1"/>
  <c r="R26" i="1" s="1"/>
  <c r="O27" i="1"/>
  <c r="R27" i="1" s="1"/>
  <c r="O28" i="1"/>
  <c r="R28" i="1" s="1"/>
  <c r="O29" i="1"/>
  <c r="R29" i="1" s="1"/>
  <c r="O30" i="1"/>
  <c r="R30" i="1" s="1"/>
  <c r="O31" i="1"/>
  <c r="R31" i="1" s="1"/>
  <c r="O32" i="1"/>
  <c r="R32" i="1" s="1"/>
  <c r="O33" i="1"/>
  <c r="R33" i="1" s="1"/>
  <c r="O34" i="1"/>
  <c r="R34" i="1" s="1"/>
  <c r="O35" i="1"/>
  <c r="R35" i="1" s="1"/>
  <c r="O36" i="1"/>
  <c r="R36" i="1" s="1"/>
  <c r="O37" i="1"/>
  <c r="R37" i="1" s="1"/>
  <c r="O38" i="1"/>
  <c r="R38" i="1" s="1"/>
  <c r="O39" i="1"/>
  <c r="R39" i="1" s="1"/>
  <c r="O40" i="1"/>
  <c r="R40" i="1" s="1"/>
  <c r="O41" i="1"/>
  <c r="R41" i="1" s="1"/>
  <c r="O42" i="1"/>
  <c r="R42" i="1" s="1"/>
  <c r="O43" i="1"/>
  <c r="R43" i="1" s="1"/>
  <c r="O44" i="1"/>
  <c r="R44" i="1" s="1"/>
  <c r="O45" i="1"/>
  <c r="R45" i="1" s="1"/>
  <c r="O46" i="1"/>
  <c r="R46" i="1" s="1"/>
  <c r="O47" i="1"/>
  <c r="R47" i="1" s="1"/>
  <c r="O48" i="1"/>
  <c r="R48" i="1" s="1"/>
  <c r="O49" i="1"/>
  <c r="R49" i="1" s="1"/>
  <c r="O50" i="1"/>
  <c r="R50" i="1" s="1"/>
  <c r="O51" i="1"/>
  <c r="R51" i="1" s="1"/>
  <c r="O52" i="1"/>
  <c r="R52" i="1" s="1"/>
  <c r="O53" i="1"/>
  <c r="R53" i="1" s="1"/>
  <c r="O54" i="1"/>
  <c r="R54" i="1" s="1"/>
  <c r="O55" i="1"/>
  <c r="R55" i="1" s="1"/>
  <c r="O56" i="1"/>
  <c r="R56" i="1" s="1"/>
  <c r="O57" i="1"/>
  <c r="R57" i="1" s="1"/>
  <c r="O58" i="1"/>
  <c r="R58" i="1" s="1"/>
  <c r="O59" i="1"/>
  <c r="R59" i="1" s="1"/>
  <c r="O60" i="1"/>
  <c r="R60" i="1" s="1"/>
  <c r="O61" i="1"/>
  <c r="R61" i="1" s="1"/>
  <c r="O62" i="1"/>
  <c r="R62" i="1" s="1"/>
  <c r="O63" i="1"/>
  <c r="R63" i="1" s="1"/>
  <c r="O64" i="1"/>
  <c r="R64" i="1" s="1"/>
  <c r="O65" i="1"/>
  <c r="R65" i="1" s="1"/>
  <c r="O66" i="1"/>
  <c r="R66" i="1" s="1"/>
  <c r="O67" i="1"/>
  <c r="R67" i="1" s="1"/>
  <c r="O68" i="1"/>
  <c r="R68" i="1" s="1"/>
  <c r="O69" i="1"/>
  <c r="R69" i="1" s="1"/>
  <c r="O70" i="1"/>
  <c r="R70" i="1" s="1"/>
  <c r="O71" i="1"/>
  <c r="R71" i="1" s="1"/>
  <c r="O72" i="1"/>
  <c r="R72" i="1" s="1"/>
  <c r="O73" i="1"/>
  <c r="R73" i="1" s="1"/>
  <c r="O74" i="1"/>
  <c r="R74" i="1" s="1"/>
  <c r="O75" i="1"/>
  <c r="R75" i="1" s="1"/>
  <c r="O76" i="1"/>
  <c r="R76" i="1" s="1"/>
  <c r="O77" i="1"/>
  <c r="R77" i="1" s="1"/>
  <c r="O78" i="1"/>
  <c r="R78" i="1" s="1"/>
  <c r="O79" i="1"/>
  <c r="R79" i="1" s="1"/>
  <c r="O80" i="1"/>
  <c r="R80" i="1" s="1"/>
  <c r="O81" i="1"/>
  <c r="R81" i="1" s="1"/>
  <c r="O82" i="1"/>
  <c r="R82" i="1" s="1"/>
  <c r="O83" i="1"/>
  <c r="R83" i="1" s="1"/>
  <c r="O84" i="1"/>
  <c r="R84" i="1" s="1"/>
  <c r="O85" i="1"/>
  <c r="R85" i="1" s="1"/>
  <c r="O86" i="1"/>
  <c r="R86" i="1" s="1"/>
  <c r="O87" i="1"/>
  <c r="R87" i="1" s="1"/>
  <c r="O88" i="1"/>
  <c r="R88" i="1" s="1"/>
  <c r="O89" i="1"/>
  <c r="R89" i="1" s="1"/>
  <c r="O90" i="1"/>
  <c r="R90" i="1" s="1"/>
  <c r="O91" i="1"/>
  <c r="R91" i="1" s="1"/>
  <c r="O92" i="1"/>
  <c r="R92" i="1" s="1"/>
  <c r="O93" i="1"/>
  <c r="R93" i="1" s="1"/>
  <c r="O94" i="1"/>
  <c r="R94" i="1" s="1"/>
  <c r="O95" i="1"/>
  <c r="R95" i="1" s="1"/>
  <c r="O96" i="1"/>
  <c r="R96" i="1" s="1"/>
  <c r="O97" i="1"/>
  <c r="R97" i="1" s="1"/>
  <c r="O98" i="1"/>
  <c r="R98" i="1" s="1"/>
  <c r="O99" i="1"/>
  <c r="R99" i="1" s="1"/>
  <c r="O100" i="1"/>
  <c r="R100" i="1" s="1"/>
  <c r="O101" i="1"/>
  <c r="R101" i="1" s="1"/>
  <c r="O102" i="1"/>
  <c r="R102" i="1" s="1"/>
  <c r="O103" i="1"/>
  <c r="R103" i="1" s="1"/>
  <c r="O104" i="1"/>
  <c r="R104" i="1" s="1"/>
  <c r="O105" i="1"/>
  <c r="R105" i="1" s="1"/>
  <c r="O106" i="1"/>
  <c r="R106" i="1" s="1"/>
  <c r="O107" i="1"/>
  <c r="R107" i="1" s="1"/>
  <c r="O108" i="1"/>
  <c r="R108" i="1" s="1"/>
  <c r="O109" i="1"/>
  <c r="R109" i="1" s="1"/>
  <c r="O110" i="1"/>
  <c r="R110" i="1" s="1"/>
  <c r="O111" i="1"/>
  <c r="R111" i="1" s="1"/>
  <c r="O112" i="1"/>
  <c r="R112" i="1" s="1"/>
  <c r="O113" i="1"/>
  <c r="R113" i="1" s="1"/>
  <c r="O114" i="1"/>
  <c r="R114" i="1" s="1"/>
  <c r="O115" i="1"/>
  <c r="R115" i="1" s="1"/>
  <c r="O116" i="1"/>
  <c r="R116" i="1" s="1"/>
  <c r="O117" i="1"/>
  <c r="R117" i="1" s="1"/>
  <c r="O118" i="1"/>
  <c r="R118" i="1" s="1"/>
  <c r="O119" i="1"/>
  <c r="R119" i="1" s="1"/>
  <c r="O120" i="1"/>
  <c r="R120" i="1" s="1"/>
  <c r="O121" i="1"/>
  <c r="R121" i="1" s="1"/>
  <c r="O122" i="1"/>
  <c r="R122" i="1" s="1"/>
  <c r="O123" i="1"/>
  <c r="R123" i="1" s="1"/>
  <c r="O124" i="1"/>
  <c r="R124" i="1" s="1"/>
  <c r="O125" i="1"/>
  <c r="R125" i="1" s="1"/>
  <c r="O126" i="1"/>
  <c r="R126" i="1" s="1"/>
  <c r="O127" i="1"/>
  <c r="R127" i="1" s="1"/>
  <c r="O128" i="1"/>
  <c r="R128" i="1" s="1"/>
  <c r="O129" i="1"/>
  <c r="R129" i="1" s="1"/>
  <c r="O130" i="1"/>
  <c r="R130" i="1" s="1"/>
  <c r="O131" i="1"/>
  <c r="R131" i="1" s="1"/>
  <c r="O132" i="1"/>
  <c r="R132" i="1" s="1"/>
  <c r="O133" i="1"/>
  <c r="R133" i="1" s="1"/>
  <c r="O134" i="1"/>
  <c r="R134" i="1" s="1"/>
  <c r="O135" i="1"/>
  <c r="R135" i="1" s="1"/>
  <c r="O136" i="1"/>
  <c r="R136" i="1" s="1"/>
  <c r="O137" i="1"/>
  <c r="R137" i="1" s="1"/>
  <c r="O138" i="1"/>
  <c r="R138" i="1" s="1"/>
  <c r="O139" i="1"/>
  <c r="R139" i="1" s="1"/>
  <c r="O140" i="1"/>
  <c r="R140" i="1" s="1"/>
  <c r="O141" i="1"/>
  <c r="R141" i="1" s="1"/>
  <c r="O142" i="1"/>
  <c r="R142" i="1" s="1"/>
  <c r="O143" i="1"/>
  <c r="R143" i="1" s="1"/>
  <c r="O144" i="1"/>
  <c r="R144" i="1" s="1"/>
  <c r="O145" i="1"/>
  <c r="R145" i="1" s="1"/>
  <c r="O146" i="1"/>
  <c r="R146" i="1" s="1"/>
  <c r="O147" i="1"/>
  <c r="R147" i="1" s="1"/>
  <c r="O148" i="1"/>
  <c r="R148" i="1" s="1"/>
  <c r="O149" i="1"/>
  <c r="R149" i="1" s="1"/>
  <c r="O150" i="1"/>
  <c r="R150" i="1" s="1"/>
  <c r="O151" i="1"/>
  <c r="R151" i="1" s="1"/>
  <c r="O152" i="1"/>
  <c r="R152" i="1" s="1"/>
  <c r="O153" i="1"/>
  <c r="R153" i="1" s="1"/>
  <c r="O154" i="1"/>
  <c r="R154" i="1" s="1"/>
  <c r="O155" i="1"/>
  <c r="R155" i="1" s="1"/>
  <c r="O156" i="1"/>
  <c r="R156" i="1" s="1"/>
  <c r="O157" i="1"/>
  <c r="R157" i="1" s="1"/>
  <c r="O158" i="1"/>
  <c r="R158" i="1" s="1"/>
  <c r="O159" i="1"/>
  <c r="R159" i="1" s="1"/>
  <c r="O160" i="1"/>
  <c r="R160" i="1" s="1"/>
  <c r="O161" i="1"/>
  <c r="R161" i="1" s="1"/>
  <c r="O162" i="1"/>
  <c r="R162" i="1" s="1"/>
  <c r="O163" i="1"/>
  <c r="R163" i="1" s="1"/>
  <c r="O164" i="1"/>
  <c r="R164" i="1" s="1"/>
  <c r="O165" i="1"/>
  <c r="R165" i="1" s="1"/>
  <c r="O166" i="1"/>
  <c r="R166" i="1" s="1"/>
  <c r="O167" i="1"/>
  <c r="R167" i="1" s="1"/>
  <c r="O168" i="1"/>
  <c r="R168" i="1" s="1"/>
  <c r="O169" i="1"/>
  <c r="R169" i="1" s="1"/>
  <c r="O170" i="1"/>
  <c r="R170" i="1" s="1"/>
  <c r="O171" i="1"/>
  <c r="R171" i="1" s="1"/>
  <c r="O172" i="1"/>
  <c r="R172" i="1" s="1"/>
  <c r="O173" i="1"/>
  <c r="R173" i="1" s="1"/>
  <c r="O174" i="1"/>
  <c r="R174" i="1" s="1"/>
  <c r="O175" i="1"/>
  <c r="R175" i="1" s="1"/>
  <c r="O176" i="1"/>
  <c r="R176" i="1" s="1"/>
  <c r="O177" i="1"/>
  <c r="R177" i="1" s="1"/>
  <c r="O178" i="1"/>
  <c r="R178" i="1" s="1"/>
  <c r="O179" i="1"/>
  <c r="R179" i="1" s="1"/>
  <c r="O180" i="1"/>
  <c r="R180" i="1" s="1"/>
  <c r="O181" i="1"/>
  <c r="R181" i="1" s="1"/>
  <c r="O182" i="1"/>
  <c r="R182" i="1" s="1"/>
  <c r="O183" i="1"/>
  <c r="R183" i="1" s="1"/>
  <c r="O184" i="1"/>
  <c r="R184" i="1" s="1"/>
  <c r="O185" i="1"/>
  <c r="R185" i="1" s="1"/>
  <c r="O186" i="1"/>
  <c r="R186" i="1" s="1"/>
  <c r="O187" i="1"/>
  <c r="R187" i="1" s="1"/>
  <c r="O188" i="1"/>
  <c r="R188" i="1" s="1"/>
  <c r="O189" i="1"/>
  <c r="R189" i="1" s="1"/>
  <c r="O190" i="1"/>
  <c r="R190" i="1" s="1"/>
  <c r="O191" i="1"/>
  <c r="R191" i="1" s="1"/>
  <c r="O192" i="1"/>
  <c r="R192" i="1" s="1"/>
  <c r="O193" i="1"/>
  <c r="R193" i="1" s="1"/>
  <c r="O194" i="1"/>
  <c r="R194" i="1" s="1"/>
  <c r="O195" i="1"/>
  <c r="R195" i="1" s="1"/>
  <c r="O196" i="1"/>
  <c r="R196" i="1" s="1"/>
  <c r="O197" i="1"/>
  <c r="R197" i="1" s="1"/>
  <c r="O198" i="1"/>
  <c r="R198" i="1" s="1"/>
  <c r="O199" i="1"/>
  <c r="R199" i="1" s="1"/>
  <c r="O200" i="1"/>
  <c r="R200" i="1" s="1"/>
  <c r="O201" i="1"/>
  <c r="R201" i="1" s="1"/>
  <c r="O202" i="1"/>
  <c r="R202" i="1" s="1"/>
  <c r="O203" i="1"/>
  <c r="R203" i="1" s="1"/>
  <c r="O204" i="1"/>
  <c r="R204" i="1" s="1"/>
  <c r="O205" i="1"/>
  <c r="R205" i="1" s="1"/>
  <c r="O206" i="1"/>
  <c r="R206" i="1" s="1"/>
  <c r="O207" i="1"/>
  <c r="R207" i="1" s="1"/>
  <c r="O208" i="1"/>
  <c r="R208" i="1" s="1"/>
  <c r="O209" i="1"/>
  <c r="R209" i="1" s="1"/>
  <c r="O210" i="1"/>
  <c r="R210" i="1" s="1"/>
  <c r="O211" i="1"/>
  <c r="R211" i="1" s="1"/>
  <c r="O212" i="1"/>
  <c r="R212" i="1" s="1"/>
  <c r="O213" i="1"/>
  <c r="R213" i="1" s="1"/>
  <c r="O214" i="1"/>
  <c r="R214" i="1" s="1"/>
  <c r="O215" i="1"/>
  <c r="R215" i="1" s="1"/>
  <c r="O216" i="1"/>
  <c r="R216" i="1" s="1"/>
  <c r="O217" i="1"/>
  <c r="R217" i="1" s="1"/>
  <c r="O218" i="1"/>
  <c r="R218" i="1" s="1"/>
  <c r="O219" i="1"/>
  <c r="R219" i="1" s="1"/>
  <c r="O220" i="1"/>
  <c r="R220" i="1" s="1"/>
  <c r="O221" i="1"/>
  <c r="R221" i="1" s="1"/>
  <c r="O222" i="1"/>
  <c r="R222" i="1" s="1"/>
  <c r="O223" i="1"/>
  <c r="R223" i="1" s="1"/>
  <c r="O224" i="1"/>
  <c r="R224" i="1" s="1"/>
  <c r="O225" i="1"/>
  <c r="R225" i="1" s="1"/>
  <c r="O226" i="1"/>
  <c r="R226" i="1" s="1"/>
  <c r="O227" i="1"/>
  <c r="R227" i="1" s="1"/>
  <c r="O228" i="1"/>
  <c r="R228" i="1" s="1"/>
  <c r="O229" i="1"/>
  <c r="R229" i="1" s="1"/>
  <c r="O230" i="1"/>
  <c r="R230" i="1" s="1"/>
  <c r="O231" i="1"/>
  <c r="R231" i="1" s="1"/>
  <c r="O232" i="1"/>
  <c r="R232" i="1" s="1"/>
  <c r="O233" i="1"/>
  <c r="R233" i="1" s="1"/>
  <c r="O234" i="1"/>
  <c r="R234" i="1" s="1"/>
  <c r="O235" i="1"/>
  <c r="R235" i="1" s="1"/>
  <c r="O236" i="1"/>
  <c r="R236" i="1" s="1"/>
  <c r="O237" i="1"/>
  <c r="R237" i="1" s="1"/>
  <c r="O238" i="1"/>
  <c r="R238" i="1" s="1"/>
  <c r="O239" i="1"/>
  <c r="R239" i="1" s="1"/>
  <c r="O240" i="1"/>
  <c r="R240" i="1" s="1"/>
  <c r="O241" i="1"/>
  <c r="R241" i="1" s="1"/>
  <c r="O242" i="1"/>
  <c r="R242" i="1" s="1"/>
  <c r="O243" i="1"/>
  <c r="R243" i="1" s="1"/>
  <c r="O244" i="1"/>
  <c r="R244" i="1" s="1"/>
  <c r="O245" i="1"/>
  <c r="R245" i="1" s="1"/>
  <c r="O246" i="1"/>
  <c r="R246" i="1" s="1"/>
  <c r="O247" i="1"/>
  <c r="R247" i="1" s="1"/>
  <c r="O248" i="1"/>
  <c r="R248" i="1" s="1"/>
  <c r="O249" i="1"/>
  <c r="R249" i="1" s="1"/>
  <c r="O250" i="1"/>
  <c r="R250" i="1" s="1"/>
  <c r="O251" i="1"/>
  <c r="R251" i="1" s="1"/>
  <c r="O252" i="1"/>
  <c r="R252" i="1" s="1"/>
  <c r="O253" i="1"/>
  <c r="R253" i="1" s="1"/>
  <c r="O254" i="1"/>
  <c r="R254" i="1" s="1"/>
  <c r="O255" i="1"/>
  <c r="R255" i="1" s="1"/>
  <c r="O256" i="1"/>
  <c r="R256" i="1" s="1"/>
  <c r="O257" i="1"/>
  <c r="R257" i="1" s="1"/>
  <c r="O258" i="1"/>
  <c r="R258" i="1" s="1"/>
  <c r="O259" i="1"/>
  <c r="R259" i="1" s="1"/>
  <c r="O260" i="1"/>
  <c r="R260" i="1" s="1"/>
  <c r="O261" i="1"/>
  <c r="R261" i="1" s="1"/>
  <c r="O262" i="1"/>
  <c r="R262" i="1" s="1"/>
  <c r="O263" i="1"/>
  <c r="R263" i="1" s="1"/>
  <c r="O264" i="1"/>
  <c r="R264" i="1" s="1"/>
  <c r="O265" i="1"/>
  <c r="R265" i="1" s="1"/>
  <c r="O266" i="1"/>
  <c r="R266" i="1" s="1"/>
  <c r="O267" i="1"/>
  <c r="R267" i="1" s="1"/>
  <c r="O268" i="1"/>
  <c r="R268" i="1" s="1"/>
  <c r="O269" i="1"/>
  <c r="R269" i="1" s="1"/>
  <c r="O270" i="1"/>
  <c r="R270" i="1" s="1"/>
  <c r="O271" i="1"/>
  <c r="R271" i="1" s="1"/>
  <c r="O272" i="1"/>
  <c r="R272" i="1" s="1"/>
  <c r="O273" i="1"/>
  <c r="R273" i="1" s="1"/>
  <c r="O274" i="1"/>
  <c r="R274" i="1" s="1"/>
  <c r="O275" i="1"/>
  <c r="R275" i="1" s="1"/>
  <c r="O276" i="1"/>
  <c r="R276" i="1" s="1"/>
  <c r="O277" i="1"/>
  <c r="R277" i="1" s="1"/>
  <c r="O278" i="1"/>
  <c r="R278" i="1" s="1"/>
  <c r="O279" i="1"/>
  <c r="R279" i="1" s="1"/>
  <c r="O280" i="1"/>
  <c r="R280" i="1" s="1"/>
  <c r="O281" i="1"/>
  <c r="R281" i="1" s="1"/>
  <c r="O282" i="1"/>
  <c r="R282" i="1" s="1"/>
  <c r="O283" i="1"/>
  <c r="R283" i="1" s="1"/>
  <c r="O284" i="1"/>
  <c r="R284" i="1" s="1"/>
  <c r="O285" i="1"/>
  <c r="R285" i="1" s="1"/>
  <c r="O286" i="1"/>
  <c r="R286" i="1" s="1"/>
  <c r="O287" i="1"/>
  <c r="R287" i="1" s="1"/>
  <c r="O288" i="1"/>
  <c r="R288" i="1" s="1"/>
  <c r="O289" i="1"/>
  <c r="R289" i="1" s="1"/>
  <c r="O290" i="1"/>
  <c r="R290" i="1" s="1"/>
  <c r="O291" i="1"/>
  <c r="R291" i="1" s="1"/>
  <c r="O292" i="1"/>
  <c r="R292" i="1" s="1"/>
  <c r="O293" i="1"/>
  <c r="R293" i="1" s="1"/>
  <c r="O294" i="1"/>
  <c r="R294" i="1" s="1"/>
  <c r="O295" i="1"/>
  <c r="R295" i="1" s="1"/>
  <c r="O296" i="1"/>
  <c r="R296" i="1" s="1"/>
  <c r="O297" i="1"/>
  <c r="R297" i="1" s="1"/>
  <c r="O298" i="1"/>
  <c r="R298" i="1" s="1"/>
  <c r="O299" i="1"/>
  <c r="R299" i="1" s="1"/>
  <c r="O300" i="1"/>
  <c r="R300" i="1" s="1"/>
  <c r="O301" i="1"/>
  <c r="R301" i="1" s="1"/>
  <c r="O302" i="1"/>
  <c r="R302" i="1" s="1"/>
  <c r="O303" i="1"/>
  <c r="R303" i="1" s="1"/>
  <c r="O304" i="1"/>
  <c r="R304" i="1" s="1"/>
  <c r="O305" i="1"/>
  <c r="R305" i="1" s="1"/>
  <c r="O306" i="1"/>
  <c r="R306" i="1" s="1"/>
  <c r="O307" i="1"/>
  <c r="R307" i="1" s="1"/>
  <c r="O308" i="1"/>
  <c r="R308" i="1" s="1"/>
  <c r="O309" i="1"/>
  <c r="R309" i="1" s="1"/>
  <c r="O310" i="1"/>
  <c r="R310" i="1" s="1"/>
  <c r="O311" i="1"/>
  <c r="R311" i="1" s="1"/>
  <c r="O312" i="1"/>
  <c r="R312" i="1" s="1"/>
  <c r="O313" i="1"/>
  <c r="R313" i="1" s="1"/>
  <c r="O314" i="1"/>
  <c r="R314" i="1" s="1"/>
  <c r="O315" i="1"/>
  <c r="R315" i="1" s="1"/>
  <c r="O316" i="1"/>
  <c r="R316" i="1" s="1"/>
  <c r="O317" i="1"/>
  <c r="R317" i="1" s="1"/>
  <c r="O318" i="1"/>
  <c r="R318" i="1" s="1"/>
  <c r="O319" i="1"/>
  <c r="R319" i="1" s="1"/>
  <c r="O320" i="1"/>
  <c r="R320" i="1" s="1"/>
  <c r="O321" i="1"/>
  <c r="R321" i="1" s="1"/>
  <c r="O322" i="1"/>
  <c r="R322" i="1" s="1"/>
  <c r="O323" i="1"/>
  <c r="R323" i="1" s="1"/>
  <c r="O324" i="1"/>
  <c r="R324" i="1" s="1"/>
  <c r="O325" i="1"/>
  <c r="R325" i="1" s="1"/>
  <c r="O326" i="1"/>
  <c r="R326" i="1" s="1"/>
  <c r="O327" i="1"/>
  <c r="R327" i="1" s="1"/>
  <c r="O328" i="1"/>
  <c r="R328" i="1" s="1"/>
  <c r="O329" i="1"/>
  <c r="R329" i="1" s="1"/>
  <c r="O330" i="1"/>
  <c r="R330" i="1" s="1"/>
  <c r="O331" i="1"/>
  <c r="R331" i="1" s="1"/>
  <c r="O332" i="1"/>
  <c r="R332" i="1" s="1"/>
  <c r="O333" i="1"/>
  <c r="R333" i="1" s="1"/>
  <c r="O334" i="1"/>
  <c r="R334" i="1" s="1"/>
  <c r="O335" i="1"/>
  <c r="R335" i="1" s="1"/>
  <c r="O336" i="1"/>
  <c r="R336" i="1" s="1"/>
  <c r="O337" i="1"/>
  <c r="R337" i="1" s="1"/>
  <c r="O338" i="1"/>
  <c r="R338" i="1" s="1"/>
  <c r="O339" i="1"/>
  <c r="R339" i="1" s="1"/>
  <c r="O340" i="1"/>
  <c r="R340" i="1" s="1"/>
  <c r="O341" i="1"/>
  <c r="R341" i="1" s="1"/>
  <c r="O342" i="1"/>
  <c r="R342" i="1" s="1"/>
  <c r="O343" i="1"/>
  <c r="R343" i="1" s="1"/>
  <c r="O344" i="1"/>
  <c r="R344" i="1" s="1"/>
  <c r="O345" i="1"/>
  <c r="R345" i="1" s="1"/>
  <c r="O346" i="1"/>
  <c r="R346" i="1" s="1"/>
  <c r="O347" i="1"/>
  <c r="R347" i="1" s="1"/>
  <c r="O348" i="1"/>
  <c r="R348" i="1" s="1"/>
  <c r="O349" i="1"/>
  <c r="R349" i="1" s="1"/>
  <c r="O350" i="1"/>
  <c r="R350" i="1" s="1"/>
  <c r="O351" i="1"/>
  <c r="R351" i="1" s="1"/>
  <c r="O352" i="1"/>
  <c r="R352" i="1" s="1"/>
  <c r="O353" i="1"/>
  <c r="R353" i="1" s="1"/>
  <c r="O354" i="1"/>
  <c r="R354" i="1" s="1"/>
  <c r="O355" i="1"/>
  <c r="R355" i="1" s="1"/>
  <c r="O356" i="1"/>
  <c r="R356" i="1" s="1"/>
  <c r="O357" i="1"/>
  <c r="R357" i="1" s="1"/>
  <c r="O358" i="1"/>
  <c r="R358" i="1" s="1"/>
  <c r="O359" i="1"/>
  <c r="R359" i="1" s="1"/>
  <c r="O360" i="1"/>
  <c r="R360" i="1" s="1"/>
  <c r="O361" i="1"/>
  <c r="R361" i="1" s="1"/>
  <c r="O362" i="1"/>
  <c r="R362" i="1" s="1"/>
  <c r="O363" i="1"/>
  <c r="R363" i="1" s="1"/>
  <c r="O364" i="1"/>
  <c r="R364" i="1" s="1"/>
  <c r="O365" i="1"/>
  <c r="R365" i="1" s="1"/>
  <c r="O366" i="1"/>
  <c r="R366" i="1" s="1"/>
  <c r="O367" i="1"/>
  <c r="R367" i="1" s="1"/>
  <c r="O368" i="1"/>
  <c r="R368" i="1" s="1"/>
  <c r="O369" i="1"/>
  <c r="R369" i="1" s="1"/>
  <c r="O370" i="1"/>
  <c r="R370" i="1" s="1"/>
  <c r="O371" i="1"/>
  <c r="R371" i="1" s="1"/>
  <c r="O372" i="1"/>
  <c r="R372" i="1" s="1"/>
  <c r="O373" i="1"/>
  <c r="R373" i="1" s="1"/>
  <c r="O374" i="1"/>
  <c r="R374" i="1" s="1"/>
  <c r="O375" i="1"/>
  <c r="R375" i="1" s="1"/>
  <c r="O376" i="1"/>
  <c r="R376" i="1" s="1"/>
  <c r="O377" i="1"/>
  <c r="R377" i="1" s="1"/>
  <c r="O378" i="1"/>
  <c r="R378" i="1" s="1"/>
  <c r="O379" i="1"/>
  <c r="R379" i="1" s="1"/>
  <c r="O380" i="1"/>
  <c r="R380" i="1" s="1"/>
  <c r="O381" i="1"/>
  <c r="R381" i="1" s="1"/>
  <c r="O382" i="1"/>
  <c r="R382" i="1" s="1"/>
  <c r="O383" i="1"/>
  <c r="R383" i="1" s="1"/>
  <c r="O384" i="1"/>
  <c r="R384" i="1" s="1"/>
  <c r="O385" i="1"/>
  <c r="R385" i="1" s="1"/>
  <c r="O386" i="1"/>
  <c r="R386" i="1" s="1"/>
  <c r="O387" i="1"/>
  <c r="R387" i="1" s="1"/>
  <c r="O388" i="1"/>
  <c r="R388" i="1" s="1"/>
  <c r="O389" i="1"/>
  <c r="R389" i="1" s="1"/>
  <c r="O390" i="1"/>
  <c r="R390" i="1" s="1"/>
  <c r="O391" i="1"/>
  <c r="R391" i="1" s="1"/>
  <c r="O392" i="1"/>
  <c r="R392" i="1" s="1"/>
  <c r="O393" i="1"/>
  <c r="R393" i="1" s="1"/>
  <c r="O394" i="1"/>
  <c r="R394" i="1" s="1"/>
  <c r="O395" i="1"/>
  <c r="R395" i="1" s="1"/>
  <c r="O396" i="1"/>
  <c r="R396" i="1" s="1"/>
  <c r="O397" i="1"/>
  <c r="R397" i="1" s="1"/>
  <c r="O398" i="1"/>
  <c r="R398" i="1" s="1"/>
  <c r="O399" i="1"/>
  <c r="R399" i="1" s="1"/>
  <c r="O400" i="1"/>
  <c r="R400" i="1" s="1"/>
  <c r="O401" i="1"/>
  <c r="R401" i="1" s="1"/>
  <c r="O402" i="1"/>
  <c r="R402" i="1" s="1"/>
  <c r="O403" i="1"/>
  <c r="R403" i="1" s="1"/>
  <c r="O404" i="1"/>
  <c r="R404" i="1" s="1"/>
  <c r="O405" i="1"/>
  <c r="R405" i="1" s="1"/>
  <c r="O406" i="1"/>
  <c r="R406" i="1" s="1"/>
  <c r="O407" i="1"/>
  <c r="R407" i="1" s="1"/>
  <c r="O408" i="1"/>
  <c r="R408" i="1" s="1"/>
  <c r="O409" i="1"/>
  <c r="R409" i="1" s="1"/>
  <c r="O410" i="1"/>
  <c r="R410" i="1" s="1"/>
  <c r="O411" i="1"/>
  <c r="R411" i="1" s="1"/>
  <c r="O412" i="1"/>
  <c r="R412" i="1" s="1"/>
  <c r="O413" i="1"/>
  <c r="R413" i="1" s="1"/>
  <c r="O414" i="1"/>
  <c r="R414" i="1" s="1"/>
  <c r="O415" i="1"/>
  <c r="R415" i="1" s="1"/>
  <c r="O416" i="1"/>
  <c r="R416" i="1" s="1"/>
  <c r="O417" i="1"/>
  <c r="R417" i="1" s="1"/>
  <c r="O418" i="1"/>
  <c r="R418" i="1" s="1"/>
  <c r="O419" i="1"/>
  <c r="R419" i="1" s="1"/>
  <c r="O420" i="1"/>
  <c r="R420" i="1" s="1"/>
  <c r="O421" i="1"/>
  <c r="R421" i="1" s="1"/>
  <c r="O422" i="1"/>
  <c r="R422" i="1" s="1"/>
  <c r="O423" i="1"/>
  <c r="R423" i="1" s="1"/>
  <c r="O424" i="1"/>
  <c r="R424" i="1" s="1"/>
  <c r="O425" i="1"/>
  <c r="R425" i="1" s="1"/>
  <c r="O426" i="1"/>
  <c r="R426" i="1" s="1"/>
  <c r="O427" i="1"/>
  <c r="R427" i="1" s="1"/>
  <c r="O428" i="1"/>
  <c r="R428" i="1" s="1"/>
  <c r="O429" i="1"/>
  <c r="R429" i="1" s="1"/>
  <c r="O430" i="1"/>
  <c r="R430" i="1" s="1"/>
  <c r="O431" i="1"/>
  <c r="R431" i="1" s="1"/>
  <c r="O432" i="1"/>
  <c r="R432" i="1" s="1"/>
  <c r="O433" i="1"/>
  <c r="R433" i="1" s="1"/>
  <c r="O434" i="1"/>
  <c r="R434" i="1" s="1"/>
  <c r="O435" i="1"/>
  <c r="R435" i="1" s="1"/>
  <c r="O436" i="1"/>
  <c r="R436" i="1" s="1"/>
  <c r="O437" i="1"/>
  <c r="R437" i="1" s="1"/>
  <c r="O438" i="1"/>
  <c r="R438" i="1" s="1"/>
  <c r="O439" i="1"/>
  <c r="R439" i="1" s="1"/>
  <c r="O440" i="1"/>
  <c r="R440" i="1" s="1"/>
  <c r="O441" i="1"/>
  <c r="R441" i="1" s="1"/>
  <c r="O442" i="1"/>
  <c r="R442" i="1" s="1"/>
  <c r="O443" i="1"/>
  <c r="R443" i="1" s="1"/>
  <c r="O444" i="1"/>
  <c r="R444" i="1" s="1"/>
  <c r="O445" i="1"/>
  <c r="R445" i="1" s="1"/>
  <c r="O446" i="1"/>
  <c r="R446" i="1" s="1"/>
  <c r="O447" i="1"/>
  <c r="R447" i="1" s="1"/>
  <c r="O448" i="1"/>
  <c r="R448" i="1" s="1"/>
  <c r="O449" i="1"/>
  <c r="R449" i="1" s="1"/>
  <c r="O450" i="1"/>
  <c r="R450" i="1" s="1"/>
  <c r="O451" i="1"/>
  <c r="R451" i="1" s="1"/>
  <c r="O452" i="1"/>
  <c r="R452" i="1" s="1"/>
  <c r="O453" i="1"/>
  <c r="R453" i="1" s="1"/>
  <c r="O454" i="1"/>
  <c r="R454" i="1" s="1"/>
  <c r="O455" i="1"/>
  <c r="R455" i="1" s="1"/>
  <c r="O456" i="1"/>
  <c r="R456" i="1" s="1"/>
  <c r="O457" i="1"/>
  <c r="R457" i="1" s="1"/>
  <c r="O458" i="1"/>
  <c r="R458" i="1" s="1"/>
  <c r="O459" i="1"/>
  <c r="R459" i="1" s="1"/>
  <c r="O460" i="1"/>
  <c r="R460" i="1" s="1"/>
  <c r="O461" i="1"/>
  <c r="R461" i="1" s="1"/>
  <c r="O462" i="1"/>
  <c r="R462" i="1" s="1"/>
  <c r="O463" i="1"/>
  <c r="R463" i="1" s="1"/>
  <c r="O464" i="1"/>
  <c r="R464" i="1" s="1"/>
  <c r="O465" i="1"/>
  <c r="R465" i="1" s="1"/>
  <c r="O466" i="1"/>
  <c r="R466" i="1" s="1"/>
  <c r="O467" i="1"/>
  <c r="R467" i="1" s="1"/>
  <c r="O468" i="1"/>
  <c r="R468" i="1" s="1"/>
  <c r="O469" i="1"/>
  <c r="R469" i="1" s="1"/>
  <c r="O470" i="1"/>
  <c r="R470" i="1" s="1"/>
  <c r="O471" i="1"/>
  <c r="R471" i="1" s="1"/>
  <c r="O472" i="1"/>
  <c r="R472" i="1" s="1"/>
  <c r="O473" i="1"/>
  <c r="R473" i="1" s="1"/>
  <c r="O474" i="1"/>
  <c r="R474" i="1" s="1"/>
  <c r="O475" i="1"/>
  <c r="R475" i="1" s="1"/>
  <c r="O476" i="1"/>
  <c r="R476" i="1" s="1"/>
  <c r="O477" i="1"/>
  <c r="R477" i="1" s="1"/>
  <c r="O478" i="1"/>
  <c r="R478" i="1" s="1"/>
  <c r="O479" i="1"/>
  <c r="R479" i="1" s="1"/>
  <c r="O480" i="1"/>
  <c r="R480" i="1" s="1"/>
  <c r="O481" i="1"/>
  <c r="R481" i="1" s="1"/>
  <c r="O482" i="1"/>
  <c r="R482" i="1" s="1"/>
  <c r="O483" i="1"/>
  <c r="R483" i="1" s="1"/>
  <c r="O484" i="1"/>
  <c r="R484" i="1" s="1"/>
  <c r="O485" i="1"/>
  <c r="R485" i="1" s="1"/>
  <c r="O486" i="1"/>
  <c r="R486" i="1" s="1"/>
  <c r="O487" i="1"/>
  <c r="R487" i="1" s="1"/>
  <c r="O488" i="1"/>
  <c r="R488" i="1" s="1"/>
  <c r="O489" i="1"/>
  <c r="R489" i="1" s="1"/>
  <c r="O490" i="1"/>
  <c r="R490" i="1" s="1"/>
  <c r="O491" i="1"/>
  <c r="R491" i="1" s="1"/>
  <c r="O492" i="1"/>
  <c r="R492" i="1" s="1"/>
  <c r="O493" i="1"/>
  <c r="R493" i="1" s="1"/>
  <c r="O494" i="1"/>
  <c r="R494" i="1" s="1"/>
  <c r="O495" i="1"/>
  <c r="R495" i="1" s="1"/>
  <c r="O496" i="1"/>
  <c r="R496" i="1" s="1"/>
  <c r="O497" i="1"/>
  <c r="R497" i="1" s="1"/>
  <c r="O498" i="1"/>
  <c r="R498" i="1" s="1"/>
  <c r="O499" i="1"/>
  <c r="R499" i="1" s="1"/>
  <c r="O500" i="1"/>
  <c r="R500" i="1" s="1"/>
  <c r="O501" i="1"/>
  <c r="R501" i="1" s="1"/>
  <c r="O502" i="1"/>
  <c r="R502" i="1" s="1"/>
  <c r="O503" i="1"/>
  <c r="R503" i="1" s="1"/>
  <c r="O504" i="1"/>
  <c r="R504" i="1" s="1"/>
  <c r="O505" i="1"/>
  <c r="R505" i="1" s="1"/>
  <c r="O506" i="1"/>
  <c r="R506" i="1" s="1"/>
  <c r="O507" i="1"/>
  <c r="R507" i="1" s="1"/>
  <c r="O508" i="1"/>
  <c r="R508" i="1" s="1"/>
  <c r="O509" i="1"/>
  <c r="R509" i="1" s="1"/>
  <c r="O510" i="1"/>
  <c r="R510" i="1" s="1"/>
  <c r="O511" i="1"/>
  <c r="R511" i="1" s="1"/>
  <c r="O512" i="1"/>
  <c r="R512" i="1" s="1"/>
  <c r="O513" i="1"/>
  <c r="R513" i="1" s="1"/>
  <c r="O514" i="1"/>
  <c r="R514" i="1" s="1"/>
  <c r="O515" i="1"/>
  <c r="R515" i="1" s="1"/>
  <c r="O516" i="1"/>
  <c r="R516" i="1" s="1"/>
  <c r="O517" i="1"/>
  <c r="R517" i="1" s="1"/>
  <c r="O518" i="1"/>
  <c r="R518" i="1" s="1"/>
  <c r="O519" i="1"/>
  <c r="R519" i="1" s="1"/>
  <c r="O520" i="1"/>
  <c r="R520" i="1" s="1"/>
  <c r="O521" i="1"/>
  <c r="R521" i="1" s="1"/>
  <c r="O522" i="1"/>
  <c r="R522" i="1" s="1"/>
  <c r="O523" i="1"/>
  <c r="R523" i="1" s="1"/>
  <c r="O524" i="1"/>
  <c r="R524" i="1" s="1"/>
  <c r="O525" i="1"/>
  <c r="R525" i="1" s="1"/>
  <c r="O526" i="1"/>
  <c r="R526" i="1" s="1"/>
  <c r="O527" i="1"/>
  <c r="R527" i="1" s="1"/>
  <c r="O528" i="1"/>
  <c r="R528" i="1" s="1"/>
  <c r="O529" i="1"/>
  <c r="R529" i="1" s="1"/>
  <c r="O530" i="1"/>
  <c r="R530" i="1" s="1"/>
  <c r="O531" i="1"/>
  <c r="R531" i="1" s="1"/>
  <c r="O532" i="1"/>
  <c r="R532" i="1" s="1"/>
  <c r="O533" i="1"/>
  <c r="R533" i="1" s="1"/>
  <c r="O534" i="1"/>
  <c r="R534" i="1" s="1"/>
  <c r="O535" i="1"/>
  <c r="R535" i="1" s="1"/>
  <c r="O536" i="1"/>
  <c r="R536" i="1" s="1"/>
  <c r="O537" i="1"/>
  <c r="R537" i="1" s="1"/>
  <c r="O538" i="1"/>
  <c r="R538" i="1" s="1"/>
  <c r="O539" i="1"/>
  <c r="R539" i="1" s="1"/>
  <c r="O540" i="1"/>
  <c r="R540" i="1" s="1"/>
  <c r="O541" i="1"/>
  <c r="R541" i="1" s="1"/>
  <c r="O542" i="1"/>
  <c r="R542" i="1" s="1"/>
  <c r="O543" i="1"/>
  <c r="R543" i="1" s="1"/>
  <c r="O544" i="1"/>
  <c r="R544" i="1" s="1"/>
  <c r="O545" i="1"/>
  <c r="R545" i="1" s="1"/>
  <c r="O546" i="1"/>
  <c r="R546" i="1" s="1"/>
  <c r="O547" i="1"/>
  <c r="R547" i="1" s="1"/>
  <c r="O548" i="1"/>
  <c r="R548" i="1" s="1"/>
  <c r="O549" i="1"/>
  <c r="R549" i="1" s="1"/>
  <c r="O550" i="1"/>
  <c r="R550" i="1" s="1"/>
  <c r="O551" i="1"/>
  <c r="R551" i="1" s="1"/>
  <c r="O552" i="1"/>
  <c r="R552" i="1" s="1"/>
  <c r="O553" i="1"/>
  <c r="R553" i="1" s="1"/>
  <c r="O554" i="1"/>
  <c r="R554" i="1" s="1"/>
  <c r="O555" i="1"/>
  <c r="R555" i="1" s="1"/>
  <c r="O556" i="1"/>
  <c r="R556" i="1" s="1"/>
  <c r="O557" i="1"/>
  <c r="R557" i="1" s="1"/>
  <c r="O558" i="1"/>
  <c r="R558" i="1" s="1"/>
  <c r="O559" i="1"/>
  <c r="R559" i="1" s="1"/>
  <c r="O560" i="1"/>
  <c r="R560" i="1" s="1"/>
  <c r="O561" i="1"/>
  <c r="R561" i="1" s="1"/>
  <c r="O562" i="1"/>
  <c r="R562" i="1" s="1"/>
  <c r="O563" i="1"/>
  <c r="R563" i="1" s="1"/>
  <c r="O564" i="1"/>
  <c r="R564" i="1" s="1"/>
  <c r="O565" i="1"/>
  <c r="R565" i="1" s="1"/>
  <c r="O566" i="1"/>
  <c r="R566" i="1" s="1"/>
  <c r="O567" i="1"/>
  <c r="R567" i="1" s="1"/>
  <c r="O568" i="1"/>
  <c r="R568" i="1" s="1"/>
  <c r="O569" i="1"/>
  <c r="R569" i="1" s="1"/>
  <c r="O570" i="1"/>
  <c r="R570" i="1" s="1"/>
  <c r="O571" i="1"/>
  <c r="R571" i="1" s="1"/>
  <c r="O572" i="1"/>
  <c r="R572" i="1" s="1"/>
  <c r="O573" i="1"/>
  <c r="R573" i="1" s="1"/>
  <c r="O574" i="1"/>
  <c r="R574" i="1" s="1"/>
  <c r="O575" i="1"/>
  <c r="R575" i="1" s="1"/>
  <c r="O576" i="1"/>
  <c r="R576" i="1" s="1"/>
  <c r="O577" i="1"/>
  <c r="R577" i="1" s="1"/>
  <c r="O578" i="1"/>
  <c r="R578" i="1" s="1"/>
  <c r="O579" i="1"/>
  <c r="R579" i="1" s="1"/>
  <c r="O580" i="1"/>
  <c r="R580" i="1" s="1"/>
  <c r="O581" i="1"/>
  <c r="R581" i="1" s="1"/>
  <c r="O582" i="1"/>
  <c r="R582" i="1" s="1"/>
  <c r="O583" i="1"/>
  <c r="R583" i="1" s="1"/>
  <c r="O584" i="1"/>
  <c r="R584" i="1" s="1"/>
  <c r="O585" i="1"/>
  <c r="R585" i="1" s="1"/>
  <c r="O586" i="1"/>
  <c r="R586" i="1" s="1"/>
  <c r="O587" i="1"/>
  <c r="R587" i="1" s="1"/>
  <c r="O588" i="1"/>
  <c r="R588" i="1" s="1"/>
  <c r="O589" i="1"/>
  <c r="R589" i="1" s="1"/>
  <c r="O590" i="1"/>
  <c r="R590" i="1" s="1"/>
  <c r="O591" i="1"/>
  <c r="R591" i="1" s="1"/>
  <c r="O592" i="1"/>
  <c r="R592" i="1" s="1"/>
  <c r="O593" i="1"/>
  <c r="R593" i="1" s="1"/>
  <c r="O594" i="1"/>
  <c r="R594" i="1" s="1"/>
  <c r="O595" i="1"/>
  <c r="R595" i="1" s="1"/>
  <c r="O596" i="1"/>
  <c r="R596" i="1" s="1"/>
  <c r="O597" i="1"/>
  <c r="R597" i="1" s="1"/>
  <c r="O598" i="1"/>
  <c r="R598" i="1" s="1"/>
  <c r="O599" i="1"/>
  <c r="R599" i="1" s="1"/>
  <c r="O600" i="1"/>
  <c r="R600" i="1" s="1"/>
  <c r="O601" i="1"/>
  <c r="R601" i="1" s="1"/>
  <c r="O602" i="1"/>
  <c r="R602" i="1" s="1"/>
  <c r="O603" i="1"/>
  <c r="R603" i="1" s="1"/>
  <c r="O604" i="1"/>
  <c r="R604" i="1" s="1"/>
  <c r="O605" i="1"/>
  <c r="R605" i="1" s="1"/>
  <c r="O606" i="1"/>
  <c r="R606" i="1" s="1"/>
  <c r="O607" i="1"/>
  <c r="R607" i="1" s="1"/>
  <c r="O608" i="1"/>
  <c r="R608" i="1" s="1"/>
  <c r="O609" i="1"/>
  <c r="R609" i="1" s="1"/>
  <c r="O610" i="1"/>
  <c r="R610" i="1" s="1"/>
  <c r="O611" i="1"/>
  <c r="R611" i="1" s="1"/>
  <c r="O612" i="1"/>
  <c r="R612" i="1" s="1"/>
  <c r="O613" i="1"/>
  <c r="R613" i="1" s="1"/>
  <c r="O614" i="1"/>
  <c r="R614" i="1" s="1"/>
  <c r="O615" i="1"/>
  <c r="R615" i="1" s="1"/>
  <c r="O616" i="1"/>
  <c r="R616" i="1" s="1"/>
  <c r="O617" i="1"/>
  <c r="R617" i="1" s="1"/>
  <c r="O618" i="1"/>
  <c r="R618" i="1" s="1"/>
  <c r="O619" i="1"/>
  <c r="R619" i="1" s="1"/>
  <c r="O620" i="1"/>
  <c r="R620" i="1" s="1"/>
  <c r="O621" i="1"/>
  <c r="R621" i="1" s="1"/>
  <c r="O622" i="1"/>
  <c r="R622" i="1" s="1"/>
  <c r="O623" i="1"/>
  <c r="R623" i="1" s="1"/>
  <c r="O624" i="1"/>
  <c r="R624" i="1" s="1"/>
  <c r="O625" i="1"/>
  <c r="R625" i="1" s="1"/>
  <c r="O626" i="1"/>
  <c r="R626" i="1" s="1"/>
  <c r="O627" i="1"/>
  <c r="R627" i="1" s="1"/>
  <c r="O628" i="1"/>
  <c r="R628" i="1" s="1"/>
  <c r="O629" i="1"/>
  <c r="R629" i="1" s="1"/>
  <c r="O630" i="1"/>
  <c r="R630" i="1" s="1"/>
  <c r="O631" i="1"/>
  <c r="R631" i="1" s="1"/>
  <c r="O632" i="1"/>
  <c r="R632" i="1" s="1"/>
  <c r="O633" i="1"/>
  <c r="R633" i="1" s="1"/>
  <c r="O634" i="1"/>
  <c r="R634" i="1" s="1"/>
  <c r="O635" i="1"/>
  <c r="R635" i="1" s="1"/>
  <c r="O636" i="1"/>
  <c r="R636" i="1" s="1"/>
  <c r="O637" i="1"/>
  <c r="R637" i="1" s="1"/>
  <c r="O638" i="1"/>
  <c r="R638" i="1" s="1"/>
  <c r="O639" i="1"/>
  <c r="R639" i="1" s="1"/>
  <c r="O640" i="1"/>
  <c r="R640" i="1" s="1"/>
  <c r="O641" i="1"/>
  <c r="R641" i="1" s="1"/>
  <c r="O642" i="1"/>
  <c r="R642" i="1" s="1"/>
  <c r="O643" i="1"/>
  <c r="R643" i="1" s="1"/>
  <c r="O644" i="1"/>
  <c r="R644" i="1" s="1"/>
  <c r="O645" i="1"/>
  <c r="R645" i="1" s="1"/>
  <c r="O646" i="1"/>
  <c r="R646" i="1" s="1"/>
  <c r="O647" i="1"/>
  <c r="R647" i="1" s="1"/>
  <c r="O648" i="1"/>
  <c r="R648" i="1" s="1"/>
  <c r="O649" i="1"/>
  <c r="R649" i="1" s="1"/>
  <c r="O650" i="1"/>
  <c r="R650" i="1" s="1"/>
  <c r="O651" i="1"/>
  <c r="R651" i="1" s="1"/>
  <c r="O652" i="1"/>
  <c r="R652" i="1" s="1"/>
  <c r="O653" i="1"/>
  <c r="R653" i="1" s="1"/>
  <c r="O654" i="1"/>
  <c r="R654" i="1" s="1"/>
  <c r="O655" i="1"/>
  <c r="R655" i="1" s="1"/>
  <c r="O656" i="1"/>
  <c r="R656" i="1" s="1"/>
  <c r="O657" i="1"/>
  <c r="R657" i="1" s="1"/>
  <c r="O658" i="1"/>
  <c r="R658" i="1" s="1"/>
  <c r="O659" i="1"/>
  <c r="R659" i="1" s="1"/>
  <c r="O660" i="1"/>
  <c r="R660" i="1" s="1"/>
  <c r="O661" i="1"/>
  <c r="R661" i="1" s="1"/>
  <c r="O662" i="1"/>
  <c r="R662" i="1" s="1"/>
  <c r="O663" i="1"/>
  <c r="R663" i="1" s="1"/>
  <c r="O664" i="1"/>
  <c r="R664" i="1" s="1"/>
  <c r="O665" i="1"/>
  <c r="R665" i="1" s="1"/>
  <c r="O666" i="1"/>
  <c r="R666" i="1" s="1"/>
  <c r="O667" i="1"/>
  <c r="R667" i="1" s="1"/>
  <c r="O668" i="1"/>
  <c r="R668" i="1" s="1"/>
  <c r="O669" i="1"/>
  <c r="R669" i="1" s="1"/>
  <c r="O670" i="1"/>
  <c r="R670" i="1" s="1"/>
  <c r="O671" i="1"/>
  <c r="R671" i="1" s="1"/>
  <c r="O672" i="1"/>
  <c r="R672" i="1" s="1"/>
  <c r="O673" i="1"/>
  <c r="R673" i="1" s="1"/>
  <c r="O674" i="1"/>
  <c r="R674" i="1" s="1"/>
  <c r="O675" i="1"/>
  <c r="R675" i="1" s="1"/>
  <c r="O676" i="1"/>
  <c r="R676" i="1" s="1"/>
  <c r="O677" i="1"/>
  <c r="R677" i="1" s="1"/>
  <c r="O678" i="1"/>
  <c r="R678" i="1" s="1"/>
  <c r="O679" i="1"/>
  <c r="R679" i="1" s="1"/>
  <c r="O680" i="1"/>
  <c r="R680" i="1" s="1"/>
  <c r="O681" i="1"/>
  <c r="R681" i="1" s="1"/>
  <c r="O682" i="1"/>
  <c r="R682" i="1" s="1"/>
  <c r="O683" i="1"/>
  <c r="R683" i="1" s="1"/>
  <c r="O684" i="1"/>
  <c r="R684" i="1" s="1"/>
  <c r="O685" i="1"/>
  <c r="R685" i="1" s="1"/>
  <c r="O686" i="1"/>
  <c r="R686" i="1" s="1"/>
  <c r="O687" i="1"/>
  <c r="R687" i="1" s="1"/>
  <c r="O688" i="1"/>
  <c r="R688" i="1" s="1"/>
  <c r="O689" i="1"/>
  <c r="R689" i="1" s="1"/>
  <c r="O690" i="1"/>
  <c r="R690" i="1" s="1"/>
  <c r="O691" i="1"/>
  <c r="R691" i="1" s="1"/>
  <c r="O692" i="1"/>
  <c r="R692" i="1" s="1"/>
  <c r="O693" i="1"/>
  <c r="R693" i="1" s="1"/>
  <c r="O694" i="1"/>
  <c r="R694" i="1" s="1"/>
  <c r="O695" i="1"/>
  <c r="R695" i="1" s="1"/>
  <c r="O696" i="1"/>
  <c r="R696" i="1" s="1"/>
  <c r="O697" i="1"/>
  <c r="R697" i="1" s="1"/>
  <c r="O698" i="1"/>
  <c r="R698" i="1" s="1"/>
  <c r="O699" i="1"/>
  <c r="R699" i="1" s="1"/>
  <c r="O700" i="1"/>
  <c r="R700" i="1" s="1"/>
  <c r="O701" i="1"/>
  <c r="R701" i="1" s="1"/>
  <c r="O702" i="1"/>
  <c r="R702" i="1" s="1"/>
  <c r="O703" i="1"/>
  <c r="R703" i="1" s="1"/>
  <c r="O704" i="1"/>
  <c r="R704" i="1" s="1"/>
  <c r="O705" i="1"/>
  <c r="R705" i="1" s="1"/>
  <c r="O706" i="1"/>
  <c r="R706" i="1" s="1"/>
  <c r="O707" i="1"/>
  <c r="R707" i="1" s="1"/>
  <c r="O708" i="1"/>
  <c r="R708" i="1" s="1"/>
  <c r="O709" i="1"/>
  <c r="R709" i="1" s="1"/>
  <c r="O710" i="1"/>
  <c r="R710" i="1" s="1"/>
  <c r="O711" i="1"/>
  <c r="R711" i="1" s="1"/>
  <c r="O712" i="1"/>
  <c r="R712" i="1" s="1"/>
  <c r="O713" i="1"/>
  <c r="R713" i="1" s="1"/>
  <c r="O714" i="1"/>
  <c r="R714" i="1" s="1"/>
  <c r="O715" i="1"/>
  <c r="R715" i="1" s="1"/>
  <c r="O716" i="1"/>
  <c r="R716" i="1" s="1"/>
  <c r="O717" i="1"/>
  <c r="R717" i="1" s="1"/>
  <c r="O718" i="1"/>
  <c r="R718" i="1" s="1"/>
  <c r="O719" i="1"/>
  <c r="R719" i="1" s="1"/>
  <c r="O720" i="1"/>
  <c r="R720" i="1" s="1"/>
  <c r="O721" i="1"/>
  <c r="R721" i="1" s="1"/>
  <c r="O722" i="1"/>
  <c r="R722" i="1" s="1"/>
  <c r="O723" i="1"/>
  <c r="R723" i="1" s="1"/>
  <c r="O724" i="1"/>
  <c r="R724" i="1" s="1"/>
  <c r="O725" i="1"/>
  <c r="R725" i="1" s="1"/>
  <c r="O726" i="1"/>
  <c r="R726" i="1" s="1"/>
  <c r="O727" i="1"/>
  <c r="R727" i="1" s="1"/>
  <c r="O728" i="1"/>
  <c r="R728" i="1" s="1"/>
  <c r="O729" i="1"/>
  <c r="R729" i="1" s="1"/>
  <c r="O730" i="1"/>
  <c r="R730" i="1" s="1"/>
  <c r="O731" i="1"/>
  <c r="R731" i="1" s="1"/>
  <c r="O732" i="1"/>
  <c r="R732" i="1" s="1"/>
  <c r="O733" i="1"/>
  <c r="R733" i="1" s="1"/>
  <c r="O734" i="1"/>
  <c r="R734" i="1" s="1"/>
  <c r="O735" i="1"/>
  <c r="R735" i="1" s="1"/>
  <c r="O736" i="1"/>
  <c r="R736" i="1" s="1"/>
  <c r="O737" i="1"/>
  <c r="R737" i="1" s="1"/>
  <c r="O738" i="1"/>
  <c r="R738" i="1" s="1"/>
  <c r="O739" i="1"/>
  <c r="R739" i="1" s="1"/>
  <c r="O740" i="1"/>
  <c r="R740" i="1" s="1"/>
  <c r="O741" i="1"/>
  <c r="R741" i="1" s="1"/>
  <c r="O742" i="1"/>
  <c r="R742" i="1" s="1"/>
  <c r="O743" i="1"/>
  <c r="R743" i="1" s="1"/>
  <c r="O744" i="1"/>
  <c r="R744" i="1" s="1"/>
  <c r="O745" i="1"/>
  <c r="R745" i="1" s="1"/>
  <c r="O746" i="1"/>
  <c r="R746" i="1" s="1"/>
  <c r="O747" i="1"/>
  <c r="R747" i="1" s="1"/>
  <c r="O748" i="1"/>
  <c r="R748" i="1" s="1"/>
  <c r="O749" i="1"/>
  <c r="R749" i="1" s="1"/>
  <c r="O750" i="1"/>
  <c r="R750" i="1" s="1"/>
  <c r="O751" i="1"/>
  <c r="R751" i="1" s="1"/>
  <c r="O752" i="1"/>
  <c r="R752" i="1" s="1"/>
  <c r="O753" i="1"/>
  <c r="R753" i="1" s="1"/>
  <c r="O754" i="1"/>
  <c r="R754" i="1" s="1"/>
  <c r="O755" i="1"/>
  <c r="R755" i="1" s="1"/>
  <c r="O756" i="1"/>
  <c r="R756" i="1" s="1"/>
  <c r="O757" i="1"/>
  <c r="R757" i="1" s="1"/>
  <c r="O758" i="1"/>
  <c r="R758" i="1" s="1"/>
  <c r="O759" i="1"/>
  <c r="R759" i="1" s="1"/>
  <c r="O760" i="1"/>
  <c r="R760" i="1" s="1"/>
  <c r="O761" i="1"/>
  <c r="R761" i="1" s="1"/>
  <c r="O762" i="1"/>
  <c r="R762" i="1" s="1"/>
  <c r="O763" i="1"/>
  <c r="R763" i="1" s="1"/>
  <c r="O764" i="1"/>
  <c r="R764" i="1" s="1"/>
  <c r="O765" i="1"/>
  <c r="R765" i="1" s="1"/>
  <c r="O766" i="1"/>
  <c r="R766" i="1" s="1"/>
  <c r="O767" i="1"/>
  <c r="R767" i="1" s="1"/>
  <c r="O768" i="1"/>
  <c r="R768" i="1" s="1"/>
  <c r="O769" i="1"/>
  <c r="R769" i="1" s="1"/>
  <c r="O770" i="1"/>
  <c r="R770" i="1" s="1"/>
  <c r="O771" i="1"/>
  <c r="R771" i="1" s="1"/>
  <c r="O772" i="1"/>
  <c r="R772" i="1" s="1"/>
  <c r="O773" i="1"/>
  <c r="R773" i="1" s="1"/>
  <c r="O774" i="1"/>
  <c r="R774" i="1" s="1"/>
  <c r="O775" i="1"/>
  <c r="R775" i="1" s="1"/>
  <c r="O776" i="1"/>
  <c r="R776" i="1" s="1"/>
  <c r="O777" i="1"/>
  <c r="R777" i="1" s="1"/>
  <c r="O778" i="1"/>
  <c r="R778" i="1" s="1"/>
  <c r="O779" i="1"/>
  <c r="R779" i="1" s="1"/>
  <c r="O780" i="1"/>
  <c r="R780" i="1" s="1"/>
  <c r="O781" i="1"/>
  <c r="R781" i="1" s="1"/>
  <c r="O782" i="1"/>
  <c r="R782" i="1" s="1"/>
  <c r="O783" i="1"/>
  <c r="R783" i="1" s="1"/>
  <c r="O784" i="1"/>
  <c r="R784" i="1" s="1"/>
  <c r="O785" i="1"/>
  <c r="R785" i="1" s="1"/>
  <c r="O786" i="1"/>
  <c r="R786" i="1" s="1"/>
  <c r="O787" i="1"/>
  <c r="R787" i="1" s="1"/>
  <c r="O788" i="1"/>
  <c r="R788" i="1" s="1"/>
  <c r="O789" i="1"/>
  <c r="R789" i="1" s="1"/>
  <c r="O790" i="1"/>
  <c r="R790" i="1" s="1"/>
  <c r="O791" i="1"/>
  <c r="R791" i="1" s="1"/>
  <c r="O792" i="1"/>
  <c r="R792" i="1" s="1"/>
  <c r="O793" i="1"/>
  <c r="R793" i="1" s="1"/>
  <c r="O794" i="1"/>
  <c r="R794" i="1" s="1"/>
  <c r="O795" i="1"/>
  <c r="R795" i="1" s="1"/>
  <c r="O796" i="1"/>
  <c r="R796" i="1" s="1"/>
  <c r="O797" i="1"/>
  <c r="R797" i="1" s="1"/>
  <c r="O798" i="1"/>
  <c r="R798" i="1" s="1"/>
  <c r="O799" i="1"/>
  <c r="R799" i="1" s="1"/>
  <c r="O800" i="1"/>
  <c r="R800" i="1" s="1"/>
  <c r="O801" i="1"/>
  <c r="R801" i="1" s="1"/>
  <c r="O802" i="1"/>
  <c r="R802" i="1" s="1"/>
  <c r="O803" i="1"/>
  <c r="R803" i="1" s="1"/>
  <c r="O804" i="1"/>
  <c r="R804" i="1" s="1"/>
  <c r="O805" i="1"/>
  <c r="R805" i="1" s="1"/>
  <c r="O806" i="1"/>
  <c r="R806" i="1" s="1"/>
  <c r="O807" i="1"/>
  <c r="R807" i="1" s="1"/>
  <c r="O808" i="1"/>
  <c r="R808" i="1" s="1"/>
  <c r="O809" i="1"/>
  <c r="R809" i="1" s="1"/>
  <c r="O810" i="1"/>
  <c r="R810" i="1" s="1"/>
  <c r="O811" i="1"/>
  <c r="R811" i="1" s="1"/>
  <c r="O812" i="1"/>
  <c r="R812" i="1" s="1"/>
  <c r="O813" i="1"/>
  <c r="R813" i="1" s="1"/>
  <c r="O814" i="1"/>
  <c r="R814" i="1" s="1"/>
  <c r="O815" i="1"/>
  <c r="R815" i="1" s="1"/>
  <c r="O816" i="1"/>
  <c r="R816" i="1" s="1"/>
  <c r="O817" i="1"/>
  <c r="R817" i="1" s="1"/>
  <c r="O818" i="1"/>
  <c r="R818" i="1" s="1"/>
  <c r="O819" i="1"/>
  <c r="R819" i="1" s="1"/>
  <c r="O820" i="1"/>
  <c r="R820" i="1" s="1"/>
  <c r="O821" i="1"/>
  <c r="R821" i="1" s="1"/>
  <c r="O822" i="1"/>
  <c r="R822" i="1" s="1"/>
  <c r="O823" i="1"/>
  <c r="R823" i="1" s="1"/>
  <c r="O824" i="1"/>
  <c r="R824" i="1" s="1"/>
  <c r="O825" i="1"/>
  <c r="R825" i="1" s="1"/>
  <c r="O826" i="1"/>
  <c r="R826" i="1" s="1"/>
  <c r="O827" i="1"/>
  <c r="R827" i="1" s="1"/>
  <c r="O828" i="1"/>
  <c r="R828" i="1" s="1"/>
  <c r="O829" i="1"/>
  <c r="R829" i="1" s="1"/>
  <c r="O830" i="1"/>
  <c r="R830" i="1" s="1"/>
  <c r="O831" i="1"/>
  <c r="R831" i="1" s="1"/>
  <c r="O832" i="1"/>
  <c r="R832" i="1" s="1"/>
  <c r="O833" i="1"/>
  <c r="R833" i="1" s="1"/>
  <c r="O834" i="1"/>
  <c r="R834" i="1" s="1"/>
  <c r="O835" i="1"/>
  <c r="R835" i="1" s="1"/>
  <c r="O836" i="1"/>
  <c r="R836" i="1" s="1"/>
  <c r="O837" i="1"/>
  <c r="R837" i="1" s="1"/>
  <c r="O838" i="1"/>
  <c r="R838" i="1" s="1"/>
  <c r="O839" i="1"/>
  <c r="R839" i="1" s="1"/>
  <c r="O840" i="1"/>
  <c r="R840" i="1" s="1"/>
  <c r="O841" i="1"/>
  <c r="R841" i="1" s="1"/>
  <c r="O842" i="1"/>
  <c r="R842" i="1" s="1"/>
  <c r="O843" i="1"/>
  <c r="R843" i="1" s="1"/>
  <c r="O844" i="1"/>
  <c r="R844" i="1" s="1"/>
  <c r="O845" i="1"/>
  <c r="R845" i="1" s="1"/>
  <c r="O846" i="1"/>
  <c r="R846" i="1" s="1"/>
  <c r="O847" i="1"/>
  <c r="R847" i="1" s="1"/>
  <c r="O848" i="1"/>
  <c r="R848" i="1" s="1"/>
  <c r="O849" i="1"/>
  <c r="R849" i="1" s="1"/>
  <c r="O850" i="1"/>
  <c r="R850" i="1" s="1"/>
  <c r="O851" i="1"/>
  <c r="R851" i="1" s="1"/>
  <c r="O852" i="1"/>
  <c r="R852" i="1" s="1"/>
  <c r="O853" i="1"/>
  <c r="R853" i="1" s="1"/>
  <c r="O854" i="1"/>
  <c r="R854" i="1" s="1"/>
  <c r="O855" i="1"/>
  <c r="R855" i="1" s="1"/>
  <c r="O856" i="1"/>
  <c r="R856" i="1" s="1"/>
  <c r="O857" i="1"/>
  <c r="R857" i="1" s="1"/>
  <c r="O858" i="1"/>
  <c r="R858" i="1" s="1"/>
  <c r="O859" i="1"/>
  <c r="R859" i="1" s="1"/>
  <c r="O860" i="1"/>
  <c r="R860" i="1" s="1"/>
  <c r="O861" i="1"/>
  <c r="R861" i="1" s="1"/>
  <c r="O862" i="1"/>
  <c r="R862" i="1" s="1"/>
  <c r="O863" i="1"/>
  <c r="R863" i="1" s="1"/>
  <c r="O864" i="1"/>
  <c r="R864" i="1" s="1"/>
  <c r="O865" i="1"/>
  <c r="R865" i="1" s="1"/>
  <c r="O866" i="1"/>
  <c r="R866" i="1" s="1"/>
  <c r="O867" i="1"/>
  <c r="R867" i="1" s="1"/>
  <c r="O868" i="1"/>
  <c r="R868" i="1" s="1"/>
  <c r="O869" i="1"/>
  <c r="R869" i="1" s="1"/>
  <c r="O870" i="1"/>
  <c r="R870" i="1" s="1"/>
  <c r="O871" i="1"/>
  <c r="R871" i="1" s="1"/>
  <c r="O872" i="1"/>
  <c r="R872" i="1" s="1"/>
  <c r="O873" i="1"/>
  <c r="R873" i="1" s="1"/>
  <c r="O874" i="1"/>
  <c r="R874" i="1" s="1"/>
  <c r="O875" i="1"/>
  <c r="R875" i="1" s="1"/>
  <c r="O876" i="1"/>
  <c r="R876" i="1" s="1"/>
  <c r="O877" i="1"/>
  <c r="R877" i="1" s="1"/>
  <c r="O878" i="1"/>
  <c r="R878" i="1" s="1"/>
  <c r="O879" i="1"/>
  <c r="R879" i="1" s="1"/>
  <c r="O880" i="1"/>
  <c r="R880" i="1" s="1"/>
  <c r="O881" i="1"/>
  <c r="R881" i="1" s="1"/>
  <c r="O882" i="1"/>
  <c r="R882" i="1" s="1"/>
  <c r="O883" i="1"/>
  <c r="R883" i="1" s="1"/>
  <c r="O884" i="1"/>
  <c r="R884" i="1" s="1"/>
  <c r="O885" i="1"/>
  <c r="R885" i="1" s="1"/>
  <c r="O886" i="1"/>
  <c r="R886" i="1" s="1"/>
  <c r="O887" i="1"/>
  <c r="R887" i="1" s="1"/>
  <c r="O888" i="1"/>
  <c r="R888" i="1" s="1"/>
  <c r="O889" i="1"/>
  <c r="R889" i="1" s="1"/>
  <c r="O890" i="1"/>
  <c r="R890" i="1" s="1"/>
  <c r="O891" i="1"/>
  <c r="R891" i="1" s="1"/>
  <c r="O892" i="1"/>
  <c r="R892" i="1" s="1"/>
  <c r="O893" i="1"/>
  <c r="R893" i="1" s="1"/>
  <c r="O894" i="1"/>
  <c r="R894" i="1" s="1"/>
  <c r="O895" i="1"/>
  <c r="R895" i="1" s="1"/>
  <c r="O896" i="1"/>
  <c r="R896" i="1" s="1"/>
  <c r="O897" i="1"/>
  <c r="R897" i="1" s="1"/>
  <c r="O898" i="1"/>
  <c r="R898" i="1" s="1"/>
  <c r="O899" i="1"/>
  <c r="R899" i="1" s="1"/>
  <c r="O900" i="1"/>
  <c r="R900" i="1" s="1"/>
  <c r="O901" i="1"/>
  <c r="R901" i="1" s="1"/>
  <c r="O902" i="1"/>
  <c r="R902" i="1" s="1"/>
  <c r="O903" i="1"/>
  <c r="R903" i="1" s="1"/>
  <c r="O904" i="1"/>
  <c r="R904" i="1" s="1"/>
  <c r="O905" i="1"/>
  <c r="R905" i="1" s="1"/>
  <c r="O906" i="1"/>
  <c r="R906" i="1" s="1"/>
  <c r="O907" i="1"/>
  <c r="R907" i="1" s="1"/>
  <c r="O908" i="1"/>
  <c r="R908" i="1" s="1"/>
  <c r="O909" i="1"/>
  <c r="R909" i="1" s="1"/>
  <c r="O910" i="1"/>
  <c r="R910" i="1" s="1"/>
  <c r="O911" i="1"/>
  <c r="R911" i="1" s="1"/>
  <c r="O912" i="1"/>
  <c r="R912" i="1" s="1"/>
  <c r="O913" i="1"/>
  <c r="R913" i="1" s="1"/>
  <c r="O914" i="1"/>
  <c r="R914" i="1" s="1"/>
  <c r="O915" i="1"/>
  <c r="R915" i="1" s="1"/>
  <c r="O916" i="1"/>
  <c r="R916" i="1" s="1"/>
  <c r="O917" i="1"/>
  <c r="R917" i="1" s="1"/>
  <c r="O918" i="1"/>
  <c r="R918" i="1" s="1"/>
  <c r="O919" i="1"/>
  <c r="R919" i="1" s="1"/>
  <c r="O920" i="1"/>
  <c r="R920" i="1" s="1"/>
  <c r="O921" i="1"/>
  <c r="R921" i="1" s="1"/>
  <c r="O922" i="1"/>
  <c r="R922" i="1" s="1"/>
  <c r="O923" i="1"/>
  <c r="R923" i="1" s="1"/>
  <c r="O924" i="1"/>
  <c r="R924" i="1" s="1"/>
  <c r="O925" i="1"/>
  <c r="R925" i="1" s="1"/>
  <c r="O926" i="1"/>
  <c r="R926" i="1" s="1"/>
  <c r="O927" i="1"/>
  <c r="R927" i="1" s="1"/>
  <c r="O928" i="1"/>
  <c r="R928" i="1" s="1"/>
  <c r="O929" i="1"/>
  <c r="R929" i="1" s="1"/>
  <c r="O930" i="1"/>
  <c r="R930" i="1" s="1"/>
  <c r="O931" i="1"/>
  <c r="R931" i="1" s="1"/>
  <c r="O932" i="1"/>
  <c r="R932" i="1" s="1"/>
  <c r="O933" i="1"/>
  <c r="R933" i="1" s="1"/>
  <c r="O934" i="1"/>
  <c r="R934" i="1" s="1"/>
  <c r="O935" i="1"/>
  <c r="R935" i="1" s="1"/>
  <c r="O936" i="1"/>
  <c r="R936" i="1" s="1"/>
  <c r="O937" i="1"/>
  <c r="R937" i="1" s="1"/>
  <c r="O938" i="1"/>
  <c r="R938" i="1" s="1"/>
  <c r="O939" i="1"/>
  <c r="R939" i="1" s="1"/>
  <c r="O940" i="1"/>
  <c r="R940" i="1" s="1"/>
  <c r="O941" i="1"/>
  <c r="R941" i="1" s="1"/>
  <c r="O942" i="1"/>
  <c r="R942" i="1" s="1"/>
  <c r="O943" i="1"/>
  <c r="R943" i="1" s="1"/>
  <c r="O944" i="1"/>
  <c r="R944" i="1" s="1"/>
  <c r="O945" i="1"/>
  <c r="R945" i="1" s="1"/>
  <c r="O946" i="1"/>
  <c r="R946" i="1" s="1"/>
  <c r="O947" i="1"/>
  <c r="R947" i="1" s="1"/>
  <c r="O948" i="1"/>
  <c r="R948" i="1" s="1"/>
  <c r="O949" i="1"/>
  <c r="R949" i="1" s="1"/>
  <c r="O950" i="1"/>
  <c r="R950" i="1" s="1"/>
  <c r="O951" i="1"/>
  <c r="R951" i="1" s="1"/>
  <c r="O952" i="1"/>
  <c r="R952" i="1" s="1"/>
  <c r="O953" i="1"/>
  <c r="R953" i="1" s="1"/>
  <c r="O954" i="1"/>
  <c r="R954" i="1" s="1"/>
  <c r="O955" i="1"/>
  <c r="R955" i="1" s="1"/>
  <c r="O956" i="1"/>
  <c r="R956" i="1" s="1"/>
  <c r="O957" i="1"/>
  <c r="R957" i="1" s="1"/>
  <c r="O958" i="1"/>
  <c r="R958" i="1" s="1"/>
  <c r="O959" i="1"/>
  <c r="R959" i="1" s="1"/>
  <c r="O960" i="1"/>
  <c r="R960" i="1" s="1"/>
  <c r="O961" i="1"/>
  <c r="R961" i="1" s="1"/>
  <c r="O962" i="1"/>
  <c r="R962" i="1" s="1"/>
  <c r="O963" i="1"/>
  <c r="R963" i="1" s="1"/>
  <c r="O964" i="1"/>
  <c r="R964" i="1" s="1"/>
  <c r="O965" i="1"/>
  <c r="R965" i="1" s="1"/>
  <c r="O966" i="1"/>
  <c r="R966" i="1" s="1"/>
  <c r="O967" i="1"/>
  <c r="R967" i="1" s="1"/>
  <c r="O968" i="1"/>
  <c r="R968" i="1" s="1"/>
  <c r="O969" i="1"/>
  <c r="R969" i="1" s="1"/>
  <c r="O970" i="1"/>
  <c r="R970" i="1" s="1"/>
  <c r="O971" i="1"/>
  <c r="R971" i="1" s="1"/>
  <c r="O972" i="1"/>
  <c r="R972" i="1" s="1"/>
  <c r="O973" i="1"/>
  <c r="R973" i="1" s="1"/>
  <c r="O974" i="1"/>
  <c r="R974" i="1" s="1"/>
  <c r="O975" i="1"/>
  <c r="R975" i="1" s="1"/>
  <c r="O976" i="1"/>
  <c r="R976" i="1" s="1"/>
  <c r="O977" i="1"/>
  <c r="R977" i="1" s="1"/>
  <c r="O978" i="1"/>
  <c r="R978" i="1" s="1"/>
  <c r="O979" i="1"/>
  <c r="R979" i="1" s="1"/>
  <c r="O980" i="1"/>
  <c r="R980" i="1" s="1"/>
  <c r="O981" i="1"/>
  <c r="R981" i="1" s="1"/>
  <c r="O982" i="1"/>
  <c r="R982" i="1" s="1"/>
  <c r="O983" i="1"/>
  <c r="R983" i="1" s="1"/>
  <c r="O984" i="1"/>
  <c r="R984" i="1" s="1"/>
  <c r="O985" i="1"/>
  <c r="R985" i="1" s="1"/>
  <c r="O986" i="1"/>
  <c r="R986" i="1" s="1"/>
  <c r="O987" i="1"/>
  <c r="R987" i="1" s="1"/>
  <c r="O988" i="1"/>
  <c r="R988" i="1" s="1"/>
  <c r="O989" i="1"/>
  <c r="R989" i="1" s="1"/>
  <c r="O990" i="1"/>
  <c r="R990" i="1" s="1"/>
  <c r="O991" i="1"/>
  <c r="R991" i="1" s="1"/>
  <c r="O992" i="1"/>
  <c r="R992" i="1" s="1"/>
  <c r="O993" i="1"/>
  <c r="R993" i="1" s="1"/>
  <c r="O994" i="1"/>
  <c r="R994" i="1" s="1"/>
  <c r="O995" i="1"/>
  <c r="R995" i="1" s="1"/>
  <c r="O996" i="1"/>
  <c r="R996" i="1" s="1"/>
  <c r="O997" i="1"/>
  <c r="R997" i="1" s="1"/>
  <c r="O998" i="1"/>
  <c r="R998" i="1" s="1"/>
  <c r="O999" i="1"/>
  <c r="R999" i="1" s="1"/>
  <c r="O1000" i="1"/>
  <c r="R1000" i="1" s="1"/>
  <c r="O1001" i="1"/>
  <c r="R1001" i="1" s="1"/>
  <c r="O1002" i="1"/>
  <c r="R1002" i="1" s="1"/>
  <c r="O1003" i="1"/>
  <c r="R1003" i="1" s="1"/>
  <c r="O1004" i="1"/>
  <c r="R1004" i="1" s="1"/>
  <c r="O1005" i="1"/>
  <c r="R1005" i="1" s="1"/>
  <c r="O1006" i="1"/>
  <c r="R1006" i="1" s="1"/>
  <c r="O1007" i="1"/>
  <c r="R1007" i="1" s="1"/>
  <c r="O1008" i="1"/>
  <c r="R1008" i="1" s="1"/>
  <c r="O1009" i="1"/>
  <c r="R1009" i="1" s="1"/>
  <c r="O1010" i="1"/>
  <c r="R1010" i="1" s="1"/>
  <c r="O1011" i="1"/>
  <c r="R1011" i="1" s="1"/>
  <c r="O1012" i="1"/>
  <c r="R1012" i="1" s="1"/>
  <c r="O1013" i="1"/>
  <c r="R1013" i="1" s="1"/>
  <c r="O1014" i="1"/>
  <c r="R1014" i="1" s="1"/>
  <c r="O1015" i="1"/>
  <c r="R1015" i="1" s="1"/>
  <c r="O1016" i="1"/>
  <c r="R1016" i="1" s="1"/>
  <c r="O1017" i="1"/>
  <c r="R1017" i="1" s="1"/>
  <c r="O1018" i="1"/>
  <c r="R1018" i="1" s="1"/>
  <c r="O1019" i="1"/>
  <c r="R1019" i="1" s="1"/>
  <c r="O1020" i="1"/>
  <c r="R1020" i="1" s="1"/>
  <c r="O1021" i="1"/>
  <c r="R1021" i="1" s="1"/>
  <c r="O1022" i="1"/>
  <c r="R1022" i="1" s="1"/>
  <c r="O1023" i="1"/>
  <c r="R1023" i="1" s="1"/>
  <c r="O1024" i="1"/>
  <c r="R1024" i="1" s="1"/>
  <c r="O1025" i="1"/>
  <c r="R1025" i="1" s="1"/>
  <c r="O1026" i="1"/>
  <c r="R1026" i="1" s="1"/>
  <c r="O1027" i="1"/>
  <c r="R1027" i="1" s="1"/>
  <c r="O1028" i="1"/>
  <c r="R1028" i="1" s="1"/>
  <c r="O1029" i="1"/>
  <c r="R1029" i="1" s="1"/>
  <c r="O1030" i="1"/>
  <c r="R1030" i="1" s="1"/>
  <c r="O1031" i="1"/>
  <c r="R1031" i="1" s="1"/>
  <c r="O1032" i="1"/>
  <c r="R1032" i="1" s="1"/>
  <c r="O1033" i="1"/>
  <c r="R1033" i="1" s="1"/>
  <c r="O1034" i="1"/>
  <c r="R1034" i="1" s="1"/>
  <c r="O1035" i="1"/>
  <c r="R1035" i="1" s="1"/>
  <c r="O1036" i="1"/>
  <c r="R1036" i="1" s="1"/>
  <c r="O1037" i="1"/>
  <c r="R1037" i="1" s="1"/>
  <c r="O1038" i="1"/>
  <c r="R1038" i="1" s="1"/>
  <c r="O1039" i="1"/>
  <c r="R1039" i="1" s="1"/>
  <c r="O1040" i="1"/>
  <c r="R1040" i="1" s="1"/>
  <c r="O1041" i="1"/>
  <c r="R1041" i="1" s="1"/>
  <c r="O1042" i="1"/>
  <c r="R1042" i="1" s="1"/>
  <c r="O1043" i="1"/>
  <c r="R1043" i="1" s="1"/>
  <c r="O1044" i="1"/>
  <c r="R1044" i="1" s="1"/>
  <c r="O1045" i="1"/>
  <c r="R1045" i="1" s="1"/>
  <c r="O1046" i="1"/>
  <c r="R1046" i="1" s="1"/>
  <c r="O1047" i="1"/>
  <c r="R1047" i="1" s="1"/>
  <c r="O1048" i="1"/>
  <c r="R1048" i="1" s="1"/>
  <c r="O1049" i="1"/>
  <c r="R1049" i="1" s="1"/>
  <c r="O1050" i="1"/>
  <c r="R1050" i="1" s="1"/>
  <c r="O1051" i="1"/>
  <c r="R1051" i="1" s="1"/>
  <c r="O1052" i="1"/>
  <c r="R1052" i="1" s="1"/>
  <c r="O1053" i="1"/>
  <c r="R1053" i="1" s="1"/>
  <c r="O1054" i="1"/>
  <c r="R1054" i="1" s="1"/>
  <c r="O1055" i="1"/>
  <c r="R1055" i="1" s="1"/>
  <c r="O1056" i="1"/>
  <c r="R1056" i="1" s="1"/>
  <c r="O1057" i="1"/>
  <c r="R1057" i="1" s="1"/>
  <c r="O1058" i="1"/>
  <c r="R1058" i="1" s="1"/>
  <c r="O1059" i="1"/>
  <c r="R1059" i="1" s="1"/>
  <c r="O1060" i="1"/>
  <c r="R1060" i="1" s="1"/>
  <c r="O1061" i="1"/>
  <c r="R1061" i="1" s="1"/>
  <c r="O1062" i="1"/>
  <c r="R1062" i="1" s="1"/>
  <c r="O1063" i="1"/>
  <c r="R1063" i="1" s="1"/>
  <c r="O1064" i="1"/>
  <c r="R1064" i="1" s="1"/>
  <c r="O1065" i="1"/>
  <c r="R1065" i="1" s="1"/>
  <c r="O1066" i="1"/>
  <c r="R1066" i="1" s="1"/>
  <c r="O1067" i="1"/>
  <c r="R1067" i="1" s="1"/>
  <c r="O1068" i="1"/>
  <c r="R1068" i="1" s="1"/>
  <c r="O1069" i="1"/>
  <c r="R1069" i="1" s="1"/>
  <c r="O1070" i="1"/>
  <c r="R1070" i="1" s="1"/>
  <c r="O1071" i="1"/>
  <c r="R1071" i="1" s="1"/>
  <c r="O1072" i="1"/>
  <c r="R1072" i="1" s="1"/>
  <c r="O1073" i="1"/>
  <c r="R1073" i="1" s="1"/>
  <c r="O1074" i="1"/>
  <c r="R1074" i="1" s="1"/>
  <c r="O1075" i="1"/>
  <c r="R1075" i="1" s="1"/>
  <c r="O1076" i="1"/>
  <c r="R1076" i="1" s="1"/>
  <c r="O1077" i="1"/>
  <c r="R1077" i="1" s="1"/>
  <c r="O1078" i="1"/>
  <c r="R1078" i="1" s="1"/>
  <c r="O1079" i="1"/>
  <c r="R1079" i="1" s="1"/>
  <c r="O1080" i="1"/>
  <c r="R1080" i="1" s="1"/>
  <c r="O1081" i="1"/>
  <c r="R1081" i="1" s="1"/>
  <c r="O1082" i="1"/>
  <c r="R1082" i="1" s="1"/>
  <c r="O1083" i="1"/>
  <c r="R1083" i="1" s="1"/>
  <c r="O1084" i="1"/>
  <c r="R1084" i="1" s="1"/>
  <c r="O1085" i="1"/>
  <c r="R1085" i="1" s="1"/>
  <c r="O1086" i="1"/>
  <c r="R1086" i="1" s="1"/>
  <c r="O1087" i="1"/>
  <c r="R1087" i="1" s="1"/>
  <c r="O1088" i="1"/>
  <c r="R1088" i="1" s="1"/>
  <c r="O1089" i="1"/>
  <c r="R1089" i="1" s="1"/>
  <c r="O1090" i="1"/>
  <c r="R1090" i="1" s="1"/>
  <c r="O1091" i="1"/>
  <c r="R1091" i="1" s="1"/>
  <c r="O1092" i="1"/>
  <c r="R1092" i="1" s="1"/>
  <c r="O1093" i="1"/>
  <c r="R1093" i="1" s="1"/>
  <c r="O1094" i="1"/>
  <c r="R1094" i="1" s="1"/>
  <c r="O1095" i="1"/>
  <c r="R1095" i="1" s="1"/>
  <c r="O1096" i="1"/>
  <c r="R1096" i="1" s="1"/>
  <c r="O1097" i="1"/>
  <c r="R1097" i="1" s="1"/>
  <c r="O1098" i="1"/>
  <c r="R1098" i="1" s="1"/>
  <c r="O1099" i="1"/>
  <c r="R1099" i="1" s="1"/>
  <c r="O1100" i="1"/>
  <c r="R1100" i="1" s="1"/>
  <c r="O1101" i="1"/>
  <c r="R1101" i="1" s="1"/>
  <c r="O1102" i="1"/>
  <c r="R1102" i="1" s="1"/>
  <c r="O1103" i="1"/>
  <c r="R1103" i="1" s="1"/>
  <c r="O1104" i="1"/>
  <c r="R1104" i="1" s="1"/>
  <c r="O1105" i="1"/>
  <c r="R1105" i="1" s="1"/>
  <c r="O1106" i="1"/>
  <c r="R1106" i="1" s="1"/>
  <c r="O1107" i="1"/>
  <c r="R1107" i="1" s="1"/>
  <c r="O1108" i="1"/>
  <c r="R1108" i="1" s="1"/>
  <c r="O1109" i="1"/>
  <c r="R1109" i="1" s="1"/>
  <c r="O1110" i="1"/>
  <c r="R1110" i="1" s="1"/>
  <c r="O1111" i="1"/>
  <c r="R1111" i="1" s="1"/>
  <c r="O1112" i="1"/>
  <c r="R1112" i="1" s="1"/>
  <c r="O1113" i="1"/>
  <c r="R1113" i="1" s="1"/>
  <c r="O1114" i="1"/>
  <c r="R1114" i="1" s="1"/>
  <c r="O1115" i="1"/>
  <c r="R1115" i="1" s="1"/>
  <c r="O1116" i="1"/>
  <c r="R1116" i="1" s="1"/>
  <c r="O1117" i="1"/>
  <c r="R1117" i="1" s="1"/>
  <c r="O1118" i="1"/>
  <c r="R1118" i="1" s="1"/>
  <c r="O1119" i="1"/>
  <c r="R1119" i="1" s="1"/>
  <c r="O1120" i="1"/>
  <c r="R1120" i="1" s="1"/>
  <c r="O1121" i="1"/>
  <c r="R1121" i="1" s="1"/>
  <c r="O1122" i="1"/>
  <c r="R1122" i="1" s="1"/>
  <c r="O1123" i="1"/>
  <c r="R1123" i="1" s="1"/>
  <c r="O1124" i="1"/>
  <c r="R1124" i="1" s="1"/>
  <c r="O1125" i="1"/>
  <c r="R1125" i="1" s="1"/>
  <c r="O1126" i="1"/>
  <c r="R1126" i="1" s="1"/>
  <c r="O1127" i="1"/>
  <c r="R1127" i="1" s="1"/>
  <c r="O1128" i="1"/>
  <c r="R1128" i="1" s="1"/>
  <c r="O1129" i="1"/>
  <c r="R1129" i="1" s="1"/>
  <c r="O1130" i="1"/>
  <c r="R1130" i="1" s="1"/>
  <c r="O1131" i="1"/>
  <c r="R1131" i="1" s="1"/>
  <c r="O1132" i="1"/>
  <c r="R1132" i="1" s="1"/>
  <c r="O1133" i="1"/>
  <c r="R1133" i="1" s="1"/>
  <c r="O1134" i="1"/>
  <c r="R1134" i="1" s="1"/>
  <c r="O1135" i="1"/>
  <c r="R1135" i="1" s="1"/>
  <c r="O1136" i="1"/>
  <c r="R1136" i="1" s="1"/>
  <c r="O1137" i="1"/>
  <c r="R1137" i="1" s="1"/>
  <c r="O1138" i="1"/>
  <c r="R1138" i="1" s="1"/>
  <c r="O1139" i="1"/>
  <c r="R1139" i="1" s="1"/>
  <c r="O1140" i="1"/>
  <c r="R1140" i="1" s="1"/>
  <c r="O1141" i="1"/>
  <c r="R1141" i="1" s="1"/>
  <c r="O1142" i="1"/>
  <c r="R1142" i="1" s="1"/>
  <c r="O1143" i="1"/>
  <c r="R1143" i="1" s="1"/>
  <c r="O1144" i="1"/>
  <c r="R1144" i="1" s="1"/>
  <c r="O1145" i="1"/>
  <c r="R1145" i="1" s="1"/>
  <c r="O1146" i="1"/>
  <c r="R1146" i="1" s="1"/>
  <c r="O1147" i="1"/>
  <c r="R1147" i="1" s="1"/>
  <c r="O1148" i="1"/>
  <c r="R1148" i="1" s="1"/>
  <c r="O1149" i="1"/>
  <c r="R1149" i="1" s="1"/>
  <c r="O1150" i="1"/>
  <c r="R1150" i="1" s="1"/>
  <c r="O1151" i="1"/>
  <c r="R1151" i="1" s="1"/>
  <c r="O1152" i="1"/>
  <c r="R1152" i="1" s="1"/>
  <c r="O1153" i="1"/>
  <c r="R1153" i="1" s="1"/>
  <c r="O1154" i="1"/>
  <c r="R1154" i="1" s="1"/>
  <c r="O1155" i="1"/>
  <c r="R1155" i="1" s="1"/>
  <c r="O1156" i="1"/>
  <c r="R1156" i="1" s="1"/>
  <c r="O1157" i="1"/>
  <c r="R1157" i="1" s="1"/>
  <c r="O1158" i="1"/>
  <c r="R1158" i="1" s="1"/>
  <c r="O1159" i="1"/>
  <c r="R1159" i="1" s="1"/>
  <c r="O1160" i="1"/>
  <c r="R1160" i="1" s="1"/>
  <c r="O1161" i="1"/>
  <c r="R1161" i="1" s="1"/>
  <c r="O1162" i="1"/>
  <c r="R1162" i="1" s="1"/>
  <c r="O1163" i="1"/>
  <c r="R1163" i="1" s="1"/>
  <c r="O1164" i="1"/>
  <c r="R1164" i="1" s="1"/>
  <c r="O1165" i="1"/>
  <c r="R1165" i="1" s="1"/>
  <c r="O1166" i="1"/>
  <c r="R1166" i="1" s="1"/>
  <c r="O1167" i="1"/>
  <c r="R1167" i="1" s="1"/>
  <c r="O1168" i="1"/>
  <c r="R1168" i="1" s="1"/>
  <c r="O1169" i="1"/>
  <c r="R1169" i="1" s="1"/>
  <c r="O1170" i="1"/>
  <c r="R1170" i="1" s="1"/>
  <c r="O1171" i="1"/>
  <c r="R1171" i="1" s="1"/>
  <c r="O1172" i="1"/>
  <c r="R1172" i="1" s="1"/>
  <c r="O1173" i="1"/>
  <c r="R1173" i="1" s="1"/>
  <c r="O1174" i="1"/>
  <c r="R1174" i="1" s="1"/>
  <c r="O1175" i="1"/>
  <c r="R1175" i="1" s="1"/>
  <c r="O1176" i="1"/>
  <c r="R1176" i="1" s="1"/>
  <c r="O1177" i="1"/>
  <c r="R1177" i="1" s="1"/>
  <c r="O1178" i="1"/>
  <c r="R1178" i="1" s="1"/>
  <c r="O1179" i="1"/>
  <c r="R1179" i="1" s="1"/>
  <c r="O1180" i="1"/>
  <c r="R1180" i="1" s="1"/>
  <c r="O1181" i="1"/>
  <c r="O1182" i="1"/>
  <c r="R1182" i="1" s="1"/>
  <c r="O1183" i="1"/>
  <c r="R1183" i="1" s="1"/>
  <c r="O1184" i="1"/>
  <c r="R1184" i="1" s="1"/>
  <c r="O1185" i="1"/>
  <c r="R1185" i="1" s="1"/>
  <c r="O1186" i="1"/>
  <c r="R1186" i="1" s="1"/>
  <c r="O1187" i="1"/>
  <c r="R1187" i="1" s="1"/>
  <c r="O1188" i="1"/>
  <c r="R1188" i="1" s="1"/>
  <c r="O1189" i="1"/>
  <c r="R1189" i="1" s="1"/>
  <c r="O1190" i="1"/>
  <c r="R1190" i="1" s="1"/>
  <c r="O1191" i="1"/>
  <c r="R1191" i="1" s="1"/>
  <c r="O1192" i="1"/>
  <c r="R1192" i="1" s="1"/>
  <c r="O1193" i="1"/>
  <c r="R1193" i="1" s="1"/>
  <c r="O1194" i="1"/>
  <c r="R1194" i="1" s="1"/>
  <c r="O1195" i="1"/>
  <c r="R1195" i="1" s="1"/>
  <c r="O1196" i="1"/>
  <c r="R1196" i="1" s="1"/>
  <c r="O1197" i="1"/>
  <c r="R1197" i="1" s="1"/>
  <c r="O1198" i="1"/>
  <c r="R1198" i="1" s="1"/>
  <c r="O1199" i="1"/>
  <c r="R1199" i="1" s="1"/>
  <c r="O1200" i="1"/>
  <c r="R1200" i="1" s="1"/>
  <c r="O1201" i="1"/>
  <c r="R1201" i="1" s="1"/>
  <c r="O1202" i="1"/>
  <c r="R1202" i="1" s="1"/>
  <c r="O1203" i="1"/>
  <c r="R1203" i="1" s="1"/>
  <c r="O1204" i="1"/>
  <c r="R1204" i="1" s="1"/>
  <c r="O1205" i="1"/>
  <c r="R1205" i="1" s="1"/>
  <c r="O1206" i="1"/>
  <c r="R1206" i="1" s="1"/>
  <c r="O1207" i="1"/>
  <c r="R1207" i="1" s="1"/>
  <c r="O1208" i="1"/>
  <c r="R1208" i="1" s="1"/>
  <c r="O1209" i="1"/>
  <c r="R1209" i="1" s="1"/>
  <c r="O1210" i="1"/>
  <c r="R1210" i="1" s="1"/>
  <c r="O1211" i="1"/>
  <c r="R1211" i="1" s="1"/>
  <c r="O1212" i="1"/>
  <c r="R1212" i="1" s="1"/>
  <c r="O1213" i="1"/>
  <c r="R1213" i="1" s="1"/>
  <c r="O1214" i="1"/>
  <c r="R1214" i="1" s="1"/>
  <c r="O1215" i="1"/>
  <c r="R1215" i="1" s="1"/>
  <c r="O1216" i="1"/>
  <c r="R1216" i="1" s="1"/>
  <c r="O1217" i="1"/>
  <c r="R1217" i="1" s="1"/>
  <c r="O1218" i="1"/>
  <c r="R1218" i="1" s="1"/>
  <c r="O1219" i="1"/>
  <c r="R1219" i="1" s="1"/>
  <c r="O1220" i="1"/>
  <c r="R1220" i="1" s="1"/>
  <c r="O1221" i="1"/>
  <c r="R1221" i="1" s="1"/>
  <c r="O1222" i="1"/>
  <c r="R1222" i="1" s="1"/>
  <c r="O1223" i="1"/>
  <c r="R1223" i="1" s="1"/>
  <c r="O1224" i="1"/>
  <c r="R1224" i="1" s="1"/>
  <c r="O1225" i="1"/>
  <c r="R1225" i="1" s="1"/>
  <c r="O1226" i="1"/>
  <c r="R1226" i="1" s="1"/>
  <c r="O1227" i="1"/>
  <c r="R1227" i="1" s="1"/>
  <c r="O1228" i="1"/>
  <c r="R1228" i="1" s="1"/>
  <c r="O1229" i="1"/>
  <c r="R1229" i="1" s="1"/>
  <c r="O1230" i="1"/>
  <c r="R1230" i="1" s="1"/>
  <c r="O1231" i="1"/>
  <c r="R1231" i="1" s="1"/>
  <c r="O1232" i="1"/>
  <c r="R1232" i="1" s="1"/>
  <c r="O1233" i="1"/>
  <c r="R1233" i="1" s="1"/>
  <c r="O1234" i="1"/>
  <c r="R1234" i="1" s="1"/>
  <c r="O1235" i="1"/>
  <c r="R1235" i="1" s="1"/>
  <c r="O1236" i="1"/>
  <c r="R1236" i="1" s="1"/>
  <c r="O1237" i="1"/>
  <c r="R1237" i="1" s="1"/>
  <c r="O1238" i="1"/>
  <c r="R1238" i="1" s="1"/>
  <c r="O1239" i="1"/>
  <c r="R1239" i="1" s="1"/>
  <c r="O1240" i="1"/>
  <c r="R1240" i="1" s="1"/>
  <c r="O1241" i="1"/>
  <c r="R1241" i="1" s="1"/>
  <c r="O1242" i="1"/>
  <c r="R1242" i="1" s="1"/>
  <c r="O1243" i="1"/>
  <c r="R1243" i="1" s="1"/>
  <c r="O1244" i="1"/>
  <c r="R1244" i="1" s="1"/>
  <c r="O1245" i="1"/>
  <c r="R1245" i="1" s="1"/>
  <c r="O1246" i="1"/>
  <c r="R1246" i="1" s="1"/>
  <c r="O1247" i="1"/>
  <c r="R1247" i="1" s="1"/>
  <c r="O1248" i="1"/>
  <c r="R1248" i="1" s="1"/>
  <c r="O1249" i="1"/>
  <c r="R1249" i="1" s="1"/>
  <c r="O1250" i="1"/>
  <c r="R1250" i="1" s="1"/>
  <c r="O1251" i="1"/>
  <c r="R1251" i="1" s="1"/>
  <c r="O1252" i="1"/>
  <c r="R1252" i="1" s="1"/>
  <c r="O1253" i="1"/>
  <c r="R1253" i="1" s="1"/>
  <c r="O1254" i="1"/>
  <c r="R1254" i="1" s="1"/>
  <c r="O1255" i="1"/>
  <c r="R1255" i="1" s="1"/>
  <c r="O1256" i="1"/>
  <c r="R1256" i="1" s="1"/>
  <c r="O1257" i="1"/>
  <c r="R1257" i="1" s="1"/>
  <c r="O1258" i="1"/>
  <c r="R1258" i="1" s="1"/>
  <c r="O1259" i="1"/>
  <c r="R1259" i="1" s="1"/>
  <c r="O1260" i="1"/>
  <c r="R1260" i="1" s="1"/>
  <c r="O1261" i="1"/>
  <c r="R1261" i="1" s="1"/>
  <c r="O1262" i="1"/>
  <c r="R1262" i="1" s="1"/>
  <c r="O1263" i="1"/>
  <c r="R1263" i="1" s="1"/>
  <c r="O1264" i="1"/>
  <c r="R1264" i="1" s="1"/>
  <c r="O1265" i="1"/>
  <c r="R1265" i="1" s="1"/>
  <c r="O1266" i="1"/>
  <c r="R1266" i="1" s="1"/>
  <c r="O1267" i="1"/>
  <c r="R1267" i="1" s="1"/>
  <c r="O1268" i="1"/>
  <c r="R1268" i="1" s="1"/>
  <c r="O1269" i="1"/>
  <c r="R1269" i="1" s="1"/>
  <c r="O1270" i="1"/>
  <c r="R1270" i="1" s="1"/>
  <c r="O1271" i="1"/>
  <c r="R1271" i="1" s="1"/>
  <c r="O1272" i="1"/>
  <c r="R1272" i="1" s="1"/>
  <c r="O1273" i="1"/>
  <c r="R1273" i="1" s="1"/>
  <c r="O1274" i="1"/>
  <c r="R1274" i="1" s="1"/>
  <c r="O1275" i="1"/>
  <c r="R1275" i="1" s="1"/>
  <c r="O1276" i="1"/>
  <c r="R1276" i="1" s="1"/>
  <c r="O1277" i="1"/>
  <c r="R1277" i="1" s="1"/>
  <c r="O1278" i="1"/>
  <c r="R1278" i="1" s="1"/>
  <c r="O1279" i="1"/>
  <c r="R1279" i="1" s="1"/>
  <c r="O1280" i="1"/>
  <c r="R1280" i="1" s="1"/>
  <c r="O1281" i="1"/>
  <c r="R1281" i="1" s="1"/>
  <c r="O1282" i="1"/>
  <c r="R1282" i="1" s="1"/>
  <c r="O1283" i="1"/>
  <c r="R1283" i="1" s="1"/>
  <c r="O1284" i="1"/>
  <c r="R1284" i="1" s="1"/>
  <c r="O1285" i="1"/>
  <c r="R1285" i="1" s="1"/>
  <c r="O1286" i="1"/>
  <c r="R1286" i="1" s="1"/>
  <c r="O1287" i="1"/>
  <c r="R1287" i="1" s="1"/>
  <c r="O1288" i="1"/>
  <c r="R1288" i="1" s="1"/>
  <c r="O1289" i="1"/>
  <c r="R1289" i="1" s="1"/>
  <c r="O1290" i="1"/>
  <c r="R1290" i="1" s="1"/>
  <c r="O1291" i="1"/>
  <c r="R1291" i="1" s="1"/>
  <c r="O1292" i="1"/>
  <c r="R1292" i="1" s="1"/>
  <c r="O1293" i="1"/>
  <c r="R1293" i="1" s="1"/>
  <c r="O1294" i="1"/>
  <c r="R1294" i="1" s="1"/>
  <c r="O1295" i="1"/>
  <c r="R1295" i="1" s="1"/>
  <c r="O1296" i="1"/>
  <c r="R1296" i="1" s="1"/>
  <c r="O1297" i="1"/>
  <c r="R1297" i="1" s="1"/>
  <c r="O1298" i="1"/>
  <c r="R1298" i="1" s="1"/>
  <c r="O1299" i="1"/>
  <c r="R1299" i="1" s="1"/>
  <c r="O1300" i="1"/>
  <c r="R1300" i="1" s="1"/>
  <c r="O1301" i="1"/>
  <c r="R1301" i="1" s="1"/>
  <c r="O1302" i="1"/>
  <c r="R1302" i="1" s="1"/>
  <c r="O1303" i="1"/>
  <c r="R1303" i="1" s="1"/>
  <c r="O1304" i="1"/>
  <c r="R1304" i="1" s="1"/>
  <c r="O1305" i="1"/>
  <c r="R1305" i="1" s="1"/>
  <c r="O1306" i="1"/>
  <c r="R1306" i="1" s="1"/>
  <c r="O1307" i="1"/>
  <c r="R1307" i="1" s="1"/>
  <c r="O1308" i="1"/>
  <c r="R1308" i="1" s="1"/>
  <c r="O1309" i="1"/>
  <c r="R1309" i="1" s="1"/>
  <c r="O1310" i="1"/>
  <c r="R1310" i="1" s="1"/>
  <c r="O1311" i="1"/>
  <c r="R1311" i="1" s="1"/>
  <c r="O1312" i="1"/>
  <c r="R1312" i="1" s="1"/>
  <c r="O1313" i="1"/>
  <c r="R1313" i="1" s="1"/>
  <c r="O1314" i="1"/>
  <c r="R1314" i="1" s="1"/>
  <c r="O1315" i="1"/>
  <c r="R1315" i="1" s="1"/>
  <c r="O1316" i="1"/>
  <c r="R1316" i="1" s="1"/>
  <c r="O1317" i="1"/>
  <c r="R1317" i="1" s="1"/>
  <c r="O1318" i="1"/>
  <c r="R1318" i="1" s="1"/>
  <c r="O1319" i="1"/>
  <c r="R1319" i="1" s="1"/>
  <c r="O1320" i="1"/>
  <c r="R1320" i="1" s="1"/>
  <c r="O1321" i="1"/>
  <c r="R1321" i="1" s="1"/>
  <c r="O1322" i="1"/>
  <c r="R1322" i="1" s="1"/>
  <c r="O1323" i="1"/>
  <c r="R1323" i="1" s="1"/>
  <c r="O1324" i="1"/>
  <c r="R1324" i="1" s="1"/>
  <c r="O1325" i="1"/>
  <c r="R1325" i="1" s="1"/>
  <c r="O1326" i="1"/>
  <c r="R1326" i="1" s="1"/>
  <c r="O1327" i="1"/>
  <c r="R1327" i="1" s="1"/>
  <c r="O1328" i="1"/>
  <c r="R1328" i="1" s="1"/>
  <c r="O1329" i="1"/>
  <c r="R1329" i="1" s="1"/>
  <c r="O1330" i="1"/>
  <c r="R1330" i="1" s="1"/>
  <c r="O1331" i="1"/>
  <c r="R1331" i="1" s="1"/>
  <c r="O1332" i="1"/>
  <c r="R1332" i="1" s="1"/>
  <c r="O1333" i="1"/>
  <c r="R1333" i="1" s="1"/>
  <c r="O1334" i="1"/>
  <c r="R1334" i="1" s="1"/>
  <c r="O1335" i="1"/>
  <c r="R1335" i="1" s="1"/>
  <c r="O1336" i="1"/>
  <c r="R1336" i="1" s="1"/>
  <c r="O1337" i="1"/>
  <c r="R1337" i="1" s="1"/>
  <c r="O1338" i="1"/>
  <c r="R1338" i="1" s="1"/>
  <c r="O1339" i="1"/>
  <c r="R1339" i="1" s="1"/>
  <c r="O1340" i="1"/>
  <c r="R1340" i="1" s="1"/>
  <c r="O1341" i="1"/>
  <c r="R1341" i="1" s="1"/>
  <c r="O1342" i="1"/>
  <c r="R1342" i="1" s="1"/>
  <c r="O1343" i="1"/>
  <c r="R1343" i="1" s="1"/>
  <c r="O1344" i="1"/>
  <c r="R1344" i="1" s="1"/>
  <c r="O1345" i="1"/>
  <c r="R1345" i="1" s="1"/>
  <c r="O1346" i="1"/>
  <c r="R1346" i="1" s="1"/>
  <c r="O1347" i="1"/>
  <c r="R1347" i="1" s="1"/>
  <c r="O1348" i="1"/>
  <c r="R1348" i="1" s="1"/>
  <c r="O1349" i="1"/>
  <c r="R1349" i="1" s="1"/>
  <c r="O1350" i="1"/>
  <c r="R1350" i="1" s="1"/>
  <c r="O1351" i="1"/>
  <c r="R1351" i="1" s="1"/>
  <c r="O1352" i="1"/>
  <c r="R1352" i="1" s="1"/>
  <c r="O1353" i="1"/>
  <c r="R1353" i="1" s="1"/>
  <c r="O1354" i="1"/>
  <c r="R1354" i="1" s="1"/>
  <c r="O1355" i="1"/>
  <c r="R1355" i="1" s="1"/>
  <c r="O1356" i="1"/>
  <c r="R1356" i="1" s="1"/>
  <c r="O1357" i="1"/>
  <c r="R1357" i="1" s="1"/>
  <c r="O1358" i="1"/>
  <c r="R1358" i="1" s="1"/>
  <c r="O1359" i="1"/>
  <c r="R1359" i="1" s="1"/>
  <c r="O1360" i="1"/>
  <c r="R1360" i="1" s="1"/>
  <c r="O1361" i="1"/>
  <c r="R1361" i="1" s="1"/>
  <c r="O1362" i="1"/>
  <c r="R1362" i="1" s="1"/>
  <c r="O1363" i="1"/>
  <c r="R1363" i="1" s="1"/>
  <c r="O1364" i="1"/>
  <c r="R1364" i="1" s="1"/>
  <c r="O1365" i="1"/>
  <c r="R1365" i="1" s="1"/>
  <c r="O1366" i="1"/>
  <c r="R1366" i="1" s="1"/>
  <c r="O1367" i="1"/>
  <c r="R1367" i="1" s="1"/>
  <c r="O1368" i="1"/>
  <c r="R1368" i="1" s="1"/>
  <c r="O1369" i="1"/>
  <c r="R1369" i="1" s="1"/>
  <c r="O1370" i="1"/>
  <c r="R1370" i="1" s="1"/>
  <c r="O1371" i="1"/>
  <c r="R1371" i="1" s="1"/>
  <c r="O1372" i="1"/>
  <c r="R1372" i="1" s="1"/>
  <c r="O1373" i="1"/>
  <c r="R1373" i="1" s="1"/>
  <c r="O1374" i="1"/>
  <c r="R1374" i="1" s="1"/>
  <c r="O1375" i="1"/>
  <c r="R1375" i="1" s="1"/>
  <c r="O1376" i="1"/>
  <c r="R1376" i="1" s="1"/>
  <c r="O1377" i="1"/>
  <c r="R1377" i="1" s="1"/>
  <c r="O1378" i="1"/>
  <c r="R1378" i="1" s="1"/>
  <c r="O1379" i="1"/>
  <c r="R1379" i="1" s="1"/>
  <c r="O1380" i="1"/>
  <c r="R1380" i="1" s="1"/>
  <c r="O1381" i="1"/>
  <c r="R1381" i="1" s="1"/>
  <c r="O1382" i="1"/>
  <c r="R1382" i="1" s="1"/>
  <c r="O1383" i="1"/>
  <c r="R1383" i="1" s="1"/>
  <c r="O1384" i="1"/>
  <c r="R1384" i="1" s="1"/>
  <c r="O1385" i="1"/>
  <c r="R1385" i="1" s="1"/>
  <c r="O1386" i="1"/>
  <c r="R1386" i="1" s="1"/>
  <c r="O1387" i="1"/>
  <c r="R1387" i="1" s="1"/>
  <c r="O1388" i="1"/>
  <c r="R1388" i="1" s="1"/>
  <c r="O1389" i="1"/>
  <c r="R1389" i="1" s="1"/>
  <c r="O1390" i="1"/>
  <c r="R1390" i="1" s="1"/>
  <c r="O1391" i="1"/>
  <c r="R1391" i="1" s="1"/>
  <c r="O1392" i="1"/>
  <c r="R1392" i="1" s="1"/>
  <c r="O1393" i="1"/>
  <c r="R1393" i="1" s="1"/>
  <c r="O1394" i="1"/>
  <c r="R1394" i="1" s="1"/>
  <c r="O1395" i="1"/>
  <c r="R1395" i="1" s="1"/>
  <c r="O1396" i="1"/>
  <c r="R1396" i="1" s="1"/>
  <c r="O1397" i="1"/>
  <c r="R1397" i="1" s="1"/>
  <c r="O1398" i="1"/>
  <c r="R1398" i="1" s="1"/>
  <c r="O1399" i="1"/>
  <c r="R1399" i="1" s="1"/>
  <c r="O1400" i="1"/>
  <c r="R1400" i="1" s="1"/>
  <c r="O1401" i="1"/>
  <c r="R1401" i="1" s="1"/>
  <c r="O1402" i="1"/>
  <c r="R1402" i="1" s="1"/>
  <c r="O1403" i="1"/>
  <c r="R1403" i="1" s="1"/>
  <c r="O1404" i="1"/>
  <c r="R1404" i="1" s="1"/>
  <c r="O1405" i="1"/>
  <c r="R1405" i="1" s="1"/>
  <c r="O1406" i="1"/>
  <c r="R1406" i="1" s="1"/>
  <c r="O1407" i="1"/>
  <c r="R1407" i="1" s="1"/>
  <c r="O1408" i="1"/>
  <c r="R1408" i="1" s="1"/>
  <c r="O1409" i="1"/>
  <c r="R1409" i="1" s="1"/>
  <c r="O1410" i="1"/>
  <c r="R1410" i="1" s="1"/>
  <c r="O1411" i="1"/>
  <c r="R1411" i="1" s="1"/>
  <c r="O1412" i="1"/>
  <c r="R1412" i="1" s="1"/>
  <c r="O1413" i="1"/>
  <c r="R1413" i="1" s="1"/>
  <c r="O1414" i="1"/>
  <c r="R1414" i="1" s="1"/>
  <c r="O1415" i="1"/>
  <c r="R1415" i="1" s="1"/>
  <c r="O1416" i="1"/>
  <c r="R1416" i="1" s="1"/>
  <c r="O1417" i="1"/>
  <c r="R1417" i="1" s="1"/>
  <c r="O1418" i="1"/>
  <c r="R1418" i="1" s="1"/>
  <c r="O1419" i="1"/>
  <c r="R1419" i="1" s="1"/>
  <c r="O1420" i="1"/>
  <c r="R1420" i="1" s="1"/>
  <c r="O1421" i="1"/>
  <c r="R1421" i="1" s="1"/>
  <c r="O1422" i="1"/>
  <c r="R1422" i="1" s="1"/>
  <c r="O1423" i="1"/>
  <c r="R1423" i="1" s="1"/>
  <c r="O1424" i="1"/>
  <c r="R1424" i="1" s="1"/>
  <c r="O1425" i="1"/>
  <c r="R1425" i="1" s="1"/>
  <c r="O1426" i="1"/>
  <c r="R1426" i="1" s="1"/>
  <c r="O1427" i="1"/>
  <c r="R1427" i="1" s="1"/>
  <c r="O1428" i="1"/>
  <c r="R1428" i="1" s="1"/>
  <c r="O1429" i="1"/>
  <c r="R1429" i="1" s="1"/>
  <c r="O1430" i="1"/>
  <c r="R1430" i="1" s="1"/>
  <c r="O1431" i="1"/>
  <c r="R1431" i="1" s="1"/>
  <c r="O1432" i="1"/>
  <c r="R1432" i="1" s="1"/>
  <c r="O1433" i="1"/>
  <c r="R1433" i="1" s="1"/>
  <c r="O1434" i="1"/>
  <c r="R1434" i="1" s="1"/>
  <c r="O1435" i="1"/>
  <c r="R1435" i="1" s="1"/>
  <c r="O1436" i="1"/>
  <c r="R1436" i="1" s="1"/>
  <c r="O1437" i="1"/>
  <c r="R1437" i="1" s="1"/>
  <c r="O1438" i="1"/>
  <c r="R1438" i="1" s="1"/>
  <c r="O1439" i="1"/>
  <c r="R1439" i="1" s="1"/>
  <c r="O1440" i="1"/>
  <c r="R1440" i="1" s="1"/>
  <c r="O1441" i="1"/>
  <c r="R1441" i="1" s="1"/>
  <c r="O1442" i="1"/>
  <c r="R1442" i="1" s="1"/>
  <c r="O1443" i="1"/>
  <c r="R1443" i="1" s="1"/>
  <c r="O1444" i="1"/>
  <c r="R1444" i="1" s="1"/>
  <c r="O1445" i="1"/>
  <c r="R1445" i="1" s="1"/>
  <c r="O1446" i="1"/>
  <c r="R1446" i="1" s="1"/>
  <c r="O1447" i="1"/>
  <c r="R1447" i="1" s="1"/>
  <c r="O1448" i="1"/>
  <c r="R1448" i="1" s="1"/>
  <c r="O1449" i="1"/>
  <c r="R1449" i="1" s="1"/>
  <c r="O1450" i="1"/>
  <c r="R1450" i="1" s="1"/>
  <c r="O1451" i="1"/>
  <c r="R1451" i="1" s="1"/>
  <c r="O1452" i="1"/>
  <c r="R1452" i="1" s="1"/>
  <c r="O1453" i="1"/>
  <c r="R1453" i="1" s="1"/>
  <c r="O1454" i="1"/>
  <c r="R1454" i="1" s="1"/>
  <c r="O1455" i="1"/>
  <c r="R1455" i="1" s="1"/>
  <c r="O1456" i="1"/>
  <c r="R1456" i="1" s="1"/>
  <c r="O1457" i="1"/>
  <c r="R1457" i="1" s="1"/>
  <c r="O1458" i="1"/>
  <c r="R1458" i="1" s="1"/>
  <c r="O1459" i="1"/>
  <c r="R1459" i="1" s="1"/>
  <c r="O1460" i="1"/>
  <c r="R1460" i="1" s="1"/>
  <c r="O1461" i="1"/>
  <c r="R1461" i="1" s="1"/>
  <c r="O1462" i="1"/>
  <c r="R1462" i="1" s="1"/>
  <c r="O1463" i="1"/>
  <c r="R1463" i="1" s="1"/>
  <c r="O1464" i="1"/>
  <c r="R1464" i="1" s="1"/>
  <c r="O1465" i="1"/>
  <c r="R1465" i="1" s="1"/>
  <c r="O1466" i="1"/>
  <c r="R1466" i="1" s="1"/>
  <c r="O1467" i="1"/>
  <c r="R1467" i="1" s="1"/>
  <c r="O1468" i="1"/>
  <c r="R1468" i="1" s="1"/>
  <c r="O1469" i="1"/>
  <c r="R1469" i="1" s="1"/>
  <c r="O1470" i="1"/>
  <c r="R1470" i="1" s="1"/>
  <c r="O1471" i="1"/>
  <c r="R1471" i="1" s="1"/>
  <c r="O1472" i="1"/>
  <c r="R1472" i="1" s="1"/>
  <c r="O1473" i="1"/>
  <c r="R1473" i="1" s="1"/>
  <c r="O1474" i="1"/>
  <c r="R1474" i="1" s="1"/>
  <c r="O1475" i="1"/>
  <c r="R1475" i="1" s="1"/>
  <c r="O1476" i="1"/>
  <c r="R1476" i="1" s="1"/>
  <c r="O1477" i="1"/>
  <c r="R1477" i="1" s="1"/>
  <c r="O1478" i="1"/>
  <c r="R1478" i="1" s="1"/>
  <c r="O1479" i="1"/>
  <c r="R1479" i="1" s="1"/>
  <c r="O1480" i="1"/>
  <c r="R1480" i="1" s="1"/>
  <c r="O1481" i="1"/>
  <c r="R1481" i="1" s="1"/>
  <c r="O1482" i="1"/>
  <c r="R1482" i="1" s="1"/>
  <c r="O1483" i="1"/>
  <c r="R1483" i="1" s="1"/>
  <c r="O1484" i="1"/>
  <c r="R1484" i="1" s="1"/>
  <c r="O1485" i="1"/>
  <c r="R1485" i="1" s="1"/>
  <c r="O1486" i="1"/>
  <c r="R1486" i="1" s="1"/>
  <c r="O1487" i="1"/>
  <c r="R1487" i="1" s="1"/>
  <c r="O1488" i="1"/>
  <c r="R1488" i="1" s="1"/>
  <c r="O1489" i="1"/>
  <c r="R1489" i="1" s="1"/>
  <c r="O1490" i="1"/>
  <c r="R1490" i="1" s="1"/>
  <c r="O1491" i="1"/>
  <c r="R1491" i="1" s="1"/>
  <c r="O1492" i="1"/>
  <c r="R1492" i="1" s="1"/>
  <c r="O1493" i="1"/>
  <c r="R1493" i="1" s="1"/>
  <c r="O1494" i="1"/>
  <c r="R1494" i="1" s="1"/>
  <c r="O1495" i="1"/>
  <c r="R1495" i="1" s="1"/>
  <c r="O1496" i="1"/>
  <c r="R1496" i="1" s="1"/>
  <c r="O1497" i="1"/>
  <c r="R1497" i="1" s="1"/>
  <c r="O1498" i="1"/>
  <c r="R1498" i="1" s="1"/>
  <c r="O1499" i="1"/>
  <c r="R1499" i="1" s="1"/>
  <c r="O1500" i="1"/>
  <c r="R1500" i="1" s="1"/>
  <c r="O1501" i="1"/>
  <c r="R1501" i="1" s="1"/>
  <c r="O1502" i="1"/>
  <c r="R1502" i="1" s="1"/>
  <c r="O1503" i="1"/>
  <c r="R1503" i="1" s="1"/>
  <c r="O1504" i="1"/>
  <c r="R1504" i="1" s="1"/>
  <c r="O1505" i="1"/>
  <c r="R1505" i="1" s="1"/>
  <c r="O1506" i="1"/>
  <c r="R1506" i="1" s="1"/>
  <c r="O1507" i="1"/>
  <c r="R1507" i="1" s="1"/>
  <c r="O1508" i="1"/>
  <c r="R1508" i="1" s="1"/>
  <c r="O1509" i="1"/>
  <c r="R1509" i="1" s="1"/>
  <c r="O1510" i="1"/>
  <c r="R1510" i="1" s="1"/>
  <c r="O1511" i="1"/>
  <c r="R1511" i="1" s="1"/>
  <c r="O1512" i="1"/>
  <c r="R1512" i="1" s="1"/>
  <c r="O1513" i="1"/>
  <c r="R1513" i="1" s="1"/>
  <c r="O1514" i="1"/>
  <c r="R1514" i="1" s="1"/>
  <c r="O1515" i="1"/>
  <c r="R1515" i="1" s="1"/>
  <c r="O1516" i="1"/>
  <c r="R1516" i="1" s="1"/>
  <c r="O1517" i="1"/>
  <c r="R1517" i="1" s="1"/>
  <c r="O1518" i="1"/>
  <c r="R1518" i="1" s="1"/>
  <c r="O1519" i="1"/>
  <c r="R1519" i="1" s="1"/>
  <c r="O1520" i="1"/>
  <c r="R1520" i="1" s="1"/>
  <c r="O1521" i="1"/>
  <c r="R1521" i="1" s="1"/>
  <c r="O1522" i="1"/>
  <c r="R1522" i="1" s="1"/>
  <c r="O1523" i="1"/>
  <c r="R1523" i="1" s="1"/>
  <c r="O1524" i="1"/>
  <c r="R1524" i="1" s="1"/>
  <c r="O1525" i="1"/>
  <c r="R1525" i="1" s="1"/>
  <c r="O1526" i="1"/>
  <c r="R1526" i="1" s="1"/>
  <c r="O1527" i="1"/>
  <c r="R1527" i="1" s="1"/>
  <c r="O1528" i="1"/>
  <c r="R1528" i="1" s="1"/>
  <c r="O1529" i="1"/>
  <c r="R1529" i="1" s="1"/>
  <c r="O1530" i="1"/>
  <c r="R1530" i="1" s="1"/>
  <c r="O1531" i="1"/>
  <c r="R1531" i="1" s="1"/>
  <c r="O1532" i="1"/>
  <c r="R1532" i="1" s="1"/>
  <c r="O1533" i="1"/>
  <c r="R1533" i="1" s="1"/>
  <c r="O1534" i="1"/>
  <c r="R1534" i="1" s="1"/>
  <c r="O1535" i="1"/>
  <c r="R1535" i="1" s="1"/>
  <c r="O1536" i="1"/>
  <c r="R1536" i="1" s="1"/>
  <c r="O1537" i="1"/>
  <c r="R1537" i="1" s="1"/>
  <c r="O1538" i="1"/>
  <c r="R1538" i="1" s="1"/>
  <c r="O1539" i="1"/>
  <c r="R1539" i="1" s="1"/>
  <c r="O1540" i="1"/>
  <c r="R1540" i="1" s="1"/>
  <c r="O1541" i="1"/>
  <c r="R1541" i="1" s="1"/>
  <c r="O1542" i="1"/>
  <c r="R1542" i="1" s="1"/>
  <c r="O1543" i="1"/>
  <c r="R1543" i="1" s="1"/>
  <c r="O1544" i="1"/>
  <c r="R1544" i="1" s="1"/>
  <c r="O1545" i="1"/>
  <c r="R1545" i="1" s="1"/>
  <c r="O1546" i="1"/>
  <c r="R1546" i="1" s="1"/>
  <c r="O1547" i="1"/>
  <c r="R1547" i="1" s="1"/>
  <c r="O1548" i="1"/>
  <c r="R1548" i="1" s="1"/>
  <c r="O1549" i="1"/>
  <c r="R1549" i="1" s="1"/>
  <c r="O1550" i="1"/>
  <c r="R1550" i="1" s="1"/>
  <c r="O1551" i="1"/>
  <c r="R1551" i="1" s="1"/>
  <c r="O1552" i="1"/>
  <c r="R1552" i="1" s="1"/>
  <c r="O1553" i="1"/>
  <c r="R1553" i="1" s="1"/>
  <c r="O1554" i="1"/>
  <c r="R1554" i="1" s="1"/>
  <c r="O1555" i="1"/>
  <c r="R1555" i="1" s="1"/>
  <c r="O1556" i="1"/>
  <c r="R1556" i="1" s="1"/>
  <c r="O1557" i="1"/>
  <c r="R1557" i="1" s="1"/>
  <c r="O1558" i="1"/>
  <c r="R1558" i="1" s="1"/>
  <c r="O1559" i="1"/>
  <c r="R1559" i="1" s="1"/>
  <c r="O1560" i="1"/>
  <c r="R1560" i="1" s="1"/>
  <c r="O1561" i="1"/>
  <c r="R1561" i="1" s="1"/>
  <c r="O1562" i="1"/>
  <c r="R1562" i="1" s="1"/>
  <c r="O1563" i="1"/>
  <c r="R1563" i="1" s="1"/>
  <c r="O1564" i="1"/>
  <c r="R1564" i="1" s="1"/>
  <c r="O1565" i="1"/>
  <c r="R1565" i="1" s="1"/>
  <c r="O1566" i="1"/>
  <c r="R1566" i="1" s="1"/>
  <c r="O1567" i="1"/>
  <c r="R1567" i="1" s="1"/>
  <c r="O1568" i="1"/>
  <c r="R1568" i="1" s="1"/>
  <c r="O1569" i="1"/>
  <c r="R1569" i="1" s="1"/>
  <c r="O1570" i="1"/>
  <c r="R1570" i="1" s="1"/>
  <c r="O1571" i="1"/>
  <c r="R1571" i="1" s="1"/>
  <c r="O1572" i="1"/>
  <c r="R1572" i="1" s="1"/>
  <c r="O1573" i="1"/>
  <c r="R1573" i="1" s="1"/>
  <c r="O1574" i="1"/>
  <c r="R1574" i="1" s="1"/>
  <c r="O1575" i="1"/>
  <c r="R1575" i="1" s="1"/>
  <c r="O1576" i="1"/>
  <c r="R1576" i="1" s="1"/>
  <c r="O1577" i="1"/>
  <c r="R1577" i="1" s="1"/>
  <c r="O1578" i="1"/>
  <c r="R1578" i="1" s="1"/>
  <c r="O1579" i="1"/>
  <c r="R1579" i="1" s="1"/>
  <c r="O1580" i="1"/>
  <c r="R1580" i="1" s="1"/>
  <c r="O1581" i="1"/>
  <c r="R1581" i="1" s="1"/>
  <c r="O1582" i="1"/>
  <c r="R1582" i="1" s="1"/>
  <c r="O1583" i="1"/>
  <c r="R1583" i="1" s="1"/>
  <c r="O1584" i="1"/>
  <c r="R1584" i="1" s="1"/>
  <c r="O1585" i="1"/>
  <c r="R1585" i="1" s="1"/>
  <c r="O1586" i="1"/>
  <c r="R1586" i="1" s="1"/>
  <c r="O1587" i="1"/>
  <c r="R1587" i="1" s="1"/>
  <c r="O1588" i="1"/>
  <c r="R1588" i="1" s="1"/>
  <c r="O1589" i="1"/>
  <c r="R1589" i="1" s="1"/>
  <c r="O1590" i="1"/>
  <c r="R1590" i="1" s="1"/>
  <c r="O1591" i="1"/>
  <c r="R1591" i="1" s="1"/>
  <c r="O1592" i="1"/>
  <c r="R1592" i="1" s="1"/>
  <c r="O1593" i="1"/>
  <c r="R1593" i="1" s="1"/>
  <c r="O1594" i="1"/>
  <c r="R1594" i="1" s="1"/>
  <c r="O1595" i="1"/>
  <c r="R1595" i="1" s="1"/>
  <c r="O1596" i="1"/>
  <c r="R1596" i="1" s="1"/>
  <c r="O1597" i="1"/>
  <c r="R1597" i="1" s="1"/>
  <c r="O1598" i="1"/>
  <c r="R1598" i="1" s="1"/>
  <c r="O1599" i="1"/>
  <c r="R1599" i="1" s="1"/>
  <c r="O1600" i="1"/>
  <c r="R1600" i="1" s="1"/>
  <c r="O1601" i="1"/>
  <c r="R1601" i="1" s="1"/>
  <c r="O1602" i="1"/>
  <c r="R1602" i="1" s="1"/>
  <c r="O1603" i="1"/>
  <c r="R1603" i="1" s="1"/>
  <c r="O1604" i="1"/>
  <c r="R1604" i="1" s="1"/>
  <c r="O1605" i="1"/>
  <c r="R1605" i="1" s="1"/>
  <c r="O1606" i="1"/>
  <c r="R1606" i="1" s="1"/>
  <c r="O1607" i="1"/>
  <c r="R1607" i="1" s="1"/>
  <c r="O1608" i="1"/>
  <c r="R1608" i="1" s="1"/>
  <c r="O1609" i="1"/>
  <c r="R1609" i="1" s="1"/>
  <c r="O1610" i="1"/>
  <c r="R1610" i="1" s="1"/>
  <c r="O1611" i="1"/>
  <c r="R1611" i="1" s="1"/>
  <c r="O1612" i="1"/>
  <c r="R1612" i="1" s="1"/>
  <c r="O1613" i="1"/>
  <c r="R1613" i="1" s="1"/>
  <c r="O1614" i="1"/>
  <c r="R1614" i="1" s="1"/>
  <c r="O1615" i="1"/>
  <c r="R1615" i="1" s="1"/>
  <c r="O1616" i="1"/>
  <c r="R1616" i="1" s="1"/>
  <c r="O1617" i="1"/>
  <c r="R1617" i="1" s="1"/>
  <c r="O1618" i="1"/>
  <c r="R1618" i="1" s="1"/>
  <c r="O1619" i="1"/>
  <c r="R1619" i="1" s="1"/>
  <c r="O1620" i="1"/>
  <c r="R1620" i="1" s="1"/>
  <c r="O1621" i="1"/>
  <c r="R1621" i="1" s="1"/>
  <c r="O1622" i="1"/>
  <c r="R1622" i="1" s="1"/>
  <c r="O1623" i="1"/>
  <c r="R1623" i="1" s="1"/>
  <c r="O1624" i="1"/>
  <c r="R1624" i="1" s="1"/>
  <c r="O1625" i="1"/>
  <c r="R1625" i="1" s="1"/>
  <c r="O1626" i="1"/>
  <c r="R1626" i="1" s="1"/>
  <c r="O1627" i="1"/>
  <c r="R1627" i="1" s="1"/>
  <c r="O1628" i="1"/>
  <c r="R1628" i="1" s="1"/>
  <c r="O1629" i="1"/>
  <c r="R1629" i="1" s="1"/>
  <c r="O1630" i="1"/>
  <c r="R1630" i="1" s="1"/>
  <c r="O1631" i="1"/>
  <c r="R1631" i="1" s="1"/>
  <c r="O1632" i="1"/>
  <c r="R1632" i="1" s="1"/>
  <c r="O1633" i="1"/>
  <c r="R1633" i="1" s="1"/>
  <c r="O1634" i="1"/>
  <c r="R1634" i="1" s="1"/>
  <c r="O1635" i="1"/>
  <c r="R1635" i="1" s="1"/>
  <c r="O1636" i="1"/>
  <c r="R1636" i="1" s="1"/>
  <c r="O1637" i="1"/>
  <c r="R1637" i="1" s="1"/>
  <c r="O1638" i="1"/>
  <c r="R1638" i="1" s="1"/>
  <c r="O1639" i="1"/>
  <c r="R1639" i="1" s="1"/>
  <c r="O1640" i="1"/>
  <c r="R1640" i="1" s="1"/>
  <c r="O1641" i="1"/>
  <c r="R1641" i="1" s="1"/>
  <c r="O1642" i="1"/>
  <c r="R1642" i="1" s="1"/>
  <c r="O1643" i="1"/>
  <c r="R1643" i="1" s="1"/>
  <c r="O1644" i="1"/>
  <c r="R1644" i="1" s="1"/>
  <c r="O1645" i="1"/>
  <c r="R1645" i="1" s="1"/>
  <c r="O1646" i="1"/>
  <c r="R1646" i="1" s="1"/>
  <c r="O1647" i="1"/>
  <c r="R1647" i="1" s="1"/>
  <c r="O1648" i="1"/>
  <c r="R1648" i="1" s="1"/>
  <c r="O1649" i="1"/>
  <c r="R1649" i="1" s="1"/>
  <c r="O1650" i="1"/>
  <c r="R1650" i="1" s="1"/>
  <c r="O1651" i="1"/>
  <c r="R1651" i="1" s="1"/>
  <c r="O1652" i="1"/>
  <c r="R1652" i="1" s="1"/>
  <c r="O1653" i="1"/>
  <c r="R1653" i="1" s="1"/>
  <c r="O1654" i="1"/>
  <c r="R1654" i="1" s="1"/>
  <c r="O1655" i="1"/>
  <c r="R1655" i="1" s="1"/>
  <c r="O1656" i="1"/>
  <c r="R1656" i="1" s="1"/>
  <c r="O1657" i="1"/>
  <c r="R1657" i="1" s="1"/>
  <c r="O1658" i="1"/>
  <c r="R1658" i="1" s="1"/>
  <c r="O1659" i="1"/>
  <c r="R1659" i="1" s="1"/>
  <c r="O1660" i="1"/>
  <c r="R1660" i="1" s="1"/>
  <c r="O1661" i="1"/>
  <c r="R1661" i="1" s="1"/>
  <c r="O1662" i="1"/>
  <c r="R1662" i="1" s="1"/>
  <c r="O1663" i="1"/>
  <c r="R1663" i="1" s="1"/>
  <c r="O1664" i="1"/>
  <c r="R1664" i="1" s="1"/>
  <c r="O1665" i="1"/>
  <c r="R1665" i="1" s="1"/>
  <c r="O1666" i="1"/>
  <c r="R1666" i="1" s="1"/>
  <c r="O1667" i="1"/>
  <c r="R1667" i="1" s="1"/>
  <c r="O1668" i="1"/>
  <c r="R1668" i="1" s="1"/>
  <c r="O1669" i="1"/>
  <c r="R1669" i="1" s="1"/>
  <c r="O1670" i="1"/>
  <c r="R1670" i="1" s="1"/>
  <c r="O1671" i="1"/>
  <c r="R1671" i="1" s="1"/>
  <c r="O1672" i="1"/>
  <c r="R1672" i="1" s="1"/>
  <c r="O1673" i="1"/>
  <c r="R1673" i="1" s="1"/>
  <c r="O1674" i="1"/>
  <c r="R1674" i="1" s="1"/>
  <c r="O1675" i="1"/>
  <c r="R1675" i="1" s="1"/>
  <c r="O1676" i="1"/>
  <c r="R1676" i="1" s="1"/>
  <c r="O1677" i="1"/>
  <c r="R1677" i="1" s="1"/>
  <c r="O1678" i="1"/>
  <c r="R1678" i="1" s="1"/>
  <c r="O1679" i="1"/>
  <c r="R1679" i="1" s="1"/>
  <c r="O1680" i="1"/>
  <c r="R1680" i="1" s="1"/>
  <c r="O1681" i="1"/>
  <c r="R1681" i="1" s="1"/>
  <c r="O1682" i="1"/>
  <c r="R1682" i="1" s="1"/>
  <c r="O1683" i="1"/>
  <c r="R1683" i="1" s="1"/>
  <c r="O1684" i="1"/>
  <c r="R1684" i="1" s="1"/>
  <c r="O1685" i="1"/>
  <c r="R1685" i="1" s="1"/>
  <c r="O1686" i="1"/>
  <c r="R1686" i="1" s="1"/>
  <c r="O1687" i="1"/>
  <c r="R1687" i="1" s="1"/>
  <c r="O1688" i="1"/>
  <c r="R1688" i="1" s="1"/>
  <c r="O1689" i="1"/>
  <c r="R1689" i="1" s="1"/>
  <c r="O1690" i="1"/>
  <c r="R1690" i="1" s="1"/>
  <c r="O1691" i="1"/>
  <c r="R1691" i="1" s="1"/>
  <c r="O1692" i="1"/>
  <c r="R1692" i="1" s="1"/>
  <c r="O1693" i="1"/>
  <c r="R1693" i="1" s="1"/>
  <c r="O1694" i="1"/>
  <c r="R1694" i="1" s="1"/>
  <c r="O1695" i="1"/>
  <c r="R1695" i="1" s="1"/>
  <c r="O1696" i="1"/>
  <c r="R1696" i="1" s="1"/>
  <c r="O1697" i="1"/>
  <c r="R1697" i="1" s="1"/>
  <c r="O1698" i="1"/>
  <c r="R1698" i="1" s="1"/>
  <c r="O1699" i="1"/>
  <c r="R1699" i="1" s="1"/>
  <c r="O1700" i="1"/>
  <c r="R1700" i="1" s="1"/>
  <c r="O1701" i="1"/>
  <c r="R1701" i="1" s="1"/>
  <c r="O1702" i="1"/>
  <c r="R1702" i="1" s="1"/>
  <c r="O1703" i="1"/>
  <c r="R1703" i="1" s="1"/>
  <c r="O1704" i="1"/>
  <c r="R1704" i="1" s="1"/>
  <c r="O1705" i="1"/>
  <c r="R1705" i="1" s="1"/>
  <c r="O1706" i="1"/>
  <c r="R1706" i="1" s="1"/>
  <c r="O1707" i="1"/>
  <c r="R1707" i="1" s="1"/>
  <c r="O1708" i="1"/>
  <c r="R1708" i="1" s="1"/>
  <c r="O1709" i="1"/>
  <c r="R1709" i="1" s="1"/>
  <c r="O1710" i="1"/>
  <c r="R1710" i="1" s="1"/>
  <c r="O1711" i="1"/>
  <c r="R1711" i="1" s="1"/>
  <c r="O1712" i="1"/>
  <c r="R1712" i="1" s="1"/>
  <c r="O1713" i="1"/>
  <c r="R1713" i="1" s="1"/>
  <c r="O1714" i="1"/>
  <c r="R1714" i="1" s="1"/>
  <c r="O1715" i="1"/>
  <c r="R1715" i="1" s="1"/>
  <c r="O1716" i="1"/>
  <c r="R1716" i="1" s="1"/>
  <c r="O1717" i="1"/>
  <c r="R1717" i="1" s="1"/>
  <c r="O1718" i="1"/>
  <c r="R1718" i="1" s="1"/>
  <c r="O1719" i="1"/>
  <c r="R1719" i="1" s="1"/>
  <c r="O1720" i="1"/>
  <c r="R1720" i="1" s="1"/>
  <c r="O1721" i="1"/>
  <c r="R1721" i="1" s="1"/>
  <c r="O1722" i="1"/>
  <c r="R1722" i="1" s="1"/>
  <c r="O1723" i="1"/>
  <c r="R1723" i="1" s="1"/>
  <c r="O1724" i="1"/>
  <c r="R1724" i="1" s="1"/>
  <c r="O1725" i="1"/>
  <c r="R1725" i="1" s="1"/>
  <c r="O1726" i="1"/>
  <c r="R1726" i="1" s="1"/>
  <c r="O1727" i="1"/>
  <c r="R1727" i="1" s="1"/>
  <c r="O1728" i="1"/>
  <c r="R1728" i="1" s="1"/>
  <c r="O1729" i="1"/>
  <c r="R1729" i="1" s="1"/>
  <c r="O1730" i="1"/>
  <c r="R1730" i="1" s="1"/>
  <c r="O1731" i="1"/>
  <c r="R1731" i="1" s="1"/>
  <c r="O1732" i="1"/>
  <c r="R1732" i="1" s="1"/>
  <c r="O1733" i="1"/>
  <c r="R1733" i="1" s="1"/>
  <c r="O1734" i="1"/>
  <c r="R1734" i="1" s="1"/>
  <c r="O1735" i="1"/>
  <c r="R1735" i="1" s="1"/>
  <c r="O1736" i="1"/>
  <c r="R1736" i="1" s="1"/>
  <c r="O1737" i="1"/>
  <c r="R1737" i="1" s="1"/>
  <c r="O1738" i="1"/>
  <c r="R1738" i="1" s="1"/>
  <c r="O1739" i="1"/>
  <c r="R1739" i="1" s="1"/>
  <c r="O1740" i="1"/>
  <c r="R1740" i="1" s="1"/>
  <c r="O1741" i="1"/>
  <c r="R1741" i="1" s="1"/>
  <c r="O1742" i="1"/>
  <c r="R1742" i="1" s="1"/>
  <c r="O1743" i="1"/>
  <c r="R1743" i="1" s="1"/>
  <c r="O1744" i="1"/>
  <c r="R1744" i="1" s="1"/>
  <c r="O1745" i="1"/>
  <c r="R1745" i="1" s="1"/>
  <c r="O1746" i="1"/>
  <c r="R1746" i="1" s="1"/>
  <c r="O1747" i="1"/>
  <c r="R1747" i="1" s="1"/>
  <c r="O1748" i="1"/>
  <c r="R1748" i="1" s="1"/>
  <c r="O1749" i="1"/>
  <c r="R1749" i="1" s="1"/>
  <c r="O1750" i="1"/>
  <c r="R1750" i="1" s="1"/>
  <c r="O1751" i="1"/>
  <c r="R1751" i="1" s="1"/>
  <c r="O1752" i="1"/>
  <c r="R1752" i="1" s="1"/>
  <c r="O1753" i="1"/>
  <c r="R1753" i="1" s="1"/>
  <c r="O1754" i="1"/>
  <c r="R1754" i="1" s="1"/>
  <c r="O1755" i="1"/>
  <c r="R1755" i="1" s="1"/>
  <c r="O1756" i="1"/>
  <c r="R1756" i="1" s="1"/>
  <c r="O1757" i="1"/>
  <c r="R1757" i="1" s="1"/>
  <c r="O1758" i="1"/>
  <c r="R1758" i="1" s="1"/>
  <c r="O1759" i="1"/>
  <c r="R1759" i="1" s="1"/>
  <c r="O1760" i="1"/>
  <c r="R1760" i="1" s="1"/>
  <c r="O1761" i="1"/>
  <c r="R1761" i="1" s="1"/>
  <c r="O1762" i="1"/>
  <c r="R1762" i="1" s="1"/>
  <c r="O1763" i="1"/>
  <c r="R1763" i="1" s="1"/>
  <c r="O1764" i="1"/>
  <c r="R1764" i="1" s="1"/>
  <c r="O1765" i="1"/>
  <c r="R1765" i="1" s="1"/>
  <c r="O1766" i="1"/>
  <c r="R1766" i="1" s="1"/>
  <c r="O1767" i="1"/>
  <c r="R1767" i="1" s="1"/>
  <c r="O1768" i="1"/>
  <c r="R1768" i="1" s="1"/>
  <c r="O1769" i="1"/>
  <c r="R1769" i="1" s="1"/>
  <c r="O1770" i="1"/>
  <c r="R1770" i="1" s="1"/>
  <c r="O1771" i="1"/>
  <c r="R1771" i="1" s="1"/>
  <c r="O1772" i="1"/>
  <c r="R1772" i="1" s="1"/>
  <c r="O1773" i="1"/>
  <c r="R1773" i="1" s="1"/>
  <c r="O1774" i="1"/>
  <c r="R1774" i="1" s="1"/>
  <c r="O1775" i="1"/>
  <c r="R1775" i="1" s="1"/>
  <c r="O1776" i="1"/>
  <c r="R1776" i="1" s="1"/>
  <c r="O1777" i="1"/>
  <c r="R1777" i="1" s="1"/>
  <c r="O1778" i="1"/>
  <c r="R1778" i="1" s="1"/>
  <c r="O1779" i="1"/>
  <c r="R1779" i="1" s="1"/>
  <c r="O1780" i="1"/>
  <c r="R1780" i="1" s="1"/>
  <c r="O1781" i="1"/>
  <c r="R1781" i="1" s="1"/>
  <c r="O1782" i="1"/>
  <c r="R1782" i="1" s="1"/>
  <c r="O1783" i="1"/>
  <c r="R1783" i="1" s="1"/>
  <c r="O1784" i="1"/>
  <c r="R1784" i="1" s="1"/>
  <c r="O1785" i="1"/>
  <c r="R1785" i="1" s="1"/>
  <c r="O1786" i="1"/>
  <c r="R1786" i="1" s="1"/>
  <c r="O1787" i="1"/>
  <c r="R1787" i="1" s="1"/>
  <c r="O1788" i="1"/>
  <c r="R1788" i="1" s="1"/>
  <c r="O1789" i="1"/>
  <c r="R1789" i="1" s="1"/>
  <c r="O1790" i="1"/>
  <c r="R1790" i="1" s="1"/>
  <c r="O1791" i="1"/>
  <c r="R1791" i="1" s="1"/>
  <c r="O1792" i="1"/>
  <c r="R1792" i="1" s="1"/>
  <c r="O1793" i="1"/>
  <c r="R1793" i="1" s="1"/>
  <c r="O1794" i="1"/>
  <c r="R1794" i="1" s="1"/>
  <c r="O1795" i="1"/>
  <c r="R1795" i="1" s="1"/>
  <c r="O1796" i="1"/>
  <c r="R1796" i="1" s="1"/>
  <c r="O1797" i="1"/>
  <c r="R1797" i="1" s="1"/>
  <c r="O1798" i="1"/>
  <c r="R1798" i="1" s="1"/>
  <c r="O1799" i="1"/>
  <c r="R1799" i="1" s="1"/>
  <c r="O1800" i="1"/>
  <c r="R1800" i="1" s="1"/>
  <c r="O1801" i="1"/>
  <c r="R1801" i="1" s="1"/>
  <c r="O1802" i="1"/>
  <c r="R1802" i="1" s="1"/>
  <c r="O1803" i="1"/>
  <c r="R1803" i="1" s="1"/>
  <c r="O1804" i="1"/>
  <c r="R1804" i="1" s="1"/>
  <c r="O1805" i="1"/>
  <c r="R1805" i="1" s="1"/>
  <c r="O1806" i="1"/>
  <c r="R1806" i="1" s="1"/>
  <c r="O1807" i="1"/>
  <c r="R1807" i="1" s="1"/>
  <c r="O1808" i="1"/>
  <c r="R1808" i="1" s="1"/>
  <c r="O1809" i="1"/>
  <c r="R1809" i="1" s="1"/>
  <c r="O1810" i="1"/>
  <c r="R1810" i="1" s="1"/>
  <c r="O1811" i="1"/>
  <c r="R1811" i="1" s="1"/>
  <c r="O1812" i="1"/>
  <c r="R1812" i="1" s="1"/>
  <c r="O1813" i="1"/>
  <c r="R1813" i="1" s="1"/>
  <c r="O1814" i="1"/>
  <c r="R1814" i="1" s="1"/>
  <c r="O1815" i="1"/>
  <c r="R1815" i="1" s="1"/>
  <c r="O1816" i="1"/>
  <c r="R1816" i="1" s="1"/>
  <c r="O1817" i="1"/>
  <c r="R1817" i="1" s="1"/>
  <c r="O1818" i="1"/>
  <c r="R1818" i="1" s="1"/>
  <c r="O1819" i="1"/>
  <c r="R1819" i="1" s="1"/>
  <c r="O1820" i="1"/>
  <c r="R1820" i="1" s="1"/>
  <c r="O1821" i="1"/>
  <c r="R1821" i="1" s="1"/>
  <c r="O1822" i="1"/>
  <c r="R1822" i="1" s="1"/>
  <c r="O1823" i="1"/>
  <c r="R1823" i="1" s="1"/>
  <c r="O1824" i="1"/>
  <c r="R1824" i="1" s="1"/>
  <c r="O1825" i="1"/>
  <c r="R1825" i="1" s="1"/>
  <c r="O1826" i="1"/>
  <c r="R1826" i="1" s="1"/>
  <c r="O1827" i="1"/>
  <c r="R1827" i="1" s="1"/>
  <c r="O1828" i="1"/>
  <c r="R1828" i="1" s="1"/>
  <c r="O1829" i="1"/>
  <c r="R1829" i="1" s="1"/>
  <c r="O1830" i="1"/>
  <c r="R1830" i="1" s="1"/>
  <c r="O1831" i="1"/>
  <c r="R1831" i="1" s="1"/>
  <c r="O1832" i="1"/>
  <c r="R1832" i="1" s="1"/>
  <c r="O1833" i="1"/>
  <c r="R1833" i="1" s="1"/>
  <c r="O1834" i="1"/>
  <c r="R1834" i="1" s="1"/>
  <c r="O1835" i="1"/>
  <c r="R1835" i="1" s="1"/>
  <c r="O1836" i="1"/>
  <c r="R1836" i="1" s="1"/>
  <c r="O1837" i="1"/>
  <c r="R1837" i="1" s="1"/>
  <c r="O1838" i="1"/>
  <c r="R1838" i="1" s="1"/>
  <c r="O1839" i="1"/>
  <c r="R1839" i="1" s="1"/>
  <c r="O1840" i="1"/>
  <c r="R1840" i="1" s="1"/>
  <c r="O1841" i="1"/>
  <c r="R1841" i="1" s="1"/>
  <c r="O1842" i="1"/>
  <c r="R1842" i="1" s="1"/>
  <c r="O1843" i="1"/>
  <c r="R1843" i="1" s="1"/>
  <c r="O1844" i="1"/>
  <c r="R1844" i="1" s="1"/>
  <c r="O1845" i="1"/>
  <c r="R1845" i="1" s="1"/>
  <c r="O1846" i="1"/>
  <c r="R1846" i="1" s="1"/>
  <c r="O1847" i="1"/>
  <c r="R1847" i="1" s="1"/>
  <c r="O1848" i="1"/>
  <c r="R1848" i="1" s="1"/>
  <c r="O1849" i="1"/>
  <c r="R1849" i="1" s="1"/>
  <c r="O1850" i="1"/>
  <c r="R1850" i="1" s="1"/>
  <c r="O1851" i="1"/>
  <c r="R1851" i="1" s="1"/>
  <c r="O1852" i="1"/>
  <c r="R1852" i="1" s="1"/>
  <c r="O1853" i="1"/>
  <c r="R1853" i="1" s="1"/>
  <c r="O1854" i="1"/>
  <c r="R1854" i="1" s="1"/>
  <c r="O1855" i="1"/>
  <c r="R1855" i="1" s="1"/>
  <c r="O1856" i="1"/>
  <c r="R1856" i="1" s="1"/>
  <c r="O1857" i="1"/>
  <c r="R1857" i="1" s="1"/>
  <c r="O1858" i="1"/>
  <c r="R1858" i="1" s="1"/>
  <c r="O1859" i="1"/>
  <c r="R1859" i="1" s="1"/>
  <c r="O1860" i="1"/>
  <c r="R1860" i="1" s="1"/>
  <c r="O1861" i="1"/>
  <c r="R1861" i="1" s="1"/>
  <c r="O1862" i="1"/>
  <c r="R1862" i="1" s="1"/>
  <c r="O1863" i="1"/>
  <c r="R1863" i="1" s="1"/>
  <c r="O1864" i="1"/>
  <c r="R1864" i="1" s="1"/>
  <c r="O1865" i="1"/>
  <c r="R1865" i="1" s="1"/>
  <c r="O1866" i="1"/>
  <c r="R1866" i="1" s="1"/>
  <c r="O1867" i="1"/>
  <c r="R1867" i="1" s="1"/>
  <c r="O1868" i="1"/>
  <c r="R1868" i="1" s="1"/>
  <c r="O1869" i="1"/>
  <c r="R1869" i="1" s="1"/>
  <c r="O1870" i="1"/>
  <c r="R1870" i="1" s="1"/>
  <c r="O1871" i="1"/>
  <c r="R1871" i="1" s="1"/>
  <c r="O1872" i="1"/>
  <c r="R1872" i="1" s="1"/>
  <c r="O1873" i="1"/>
  <c r="R1873" i="1" s="1"/>
  <c r="O1874" i="1"/>
  <c r="R1874" i="1" s="1"/>
  <c r="O1875" i="1"/>
  <c r="R1875" i="1" s="1"/>
  <c r="O1876" i="1"/>
  <c r="R1876" i="1" s="1"/>
  <c r="O1877" i="1"/>
  <c r="R1877" i="1" s="1"/>
  <c r="O1878" i="1"/>
  <c r="R1878" i="1" s="1"/>
  <c r="O1879" i="1"/>
  <c r="R1879" i="1" s="1"/>
  <c r="O1880" i="1"/>
  <c r="R1880" i="1" s="1"/>
  <c r="O1881" i="1"/>
  <c r="R1881" i="1" s="1"/>
  <c r="O1882" i="1"/>
  <c r="R1882" i="1" s="1"/>
  <c r="O1883" i="1"/>
  <c r="R1883" i="1" s="1"/>
  <c r="O1884" i="1"/>
  <c r="R1884" i="1" s="1"/>
  <c r="O1885" i="1"/>
  <c r="R1885" i="1" s="1"/>
  <c r="O1886" i="1"/>
  <c r="R1886" i="1" s="1"/>
  <c r="O1887" i="1"/>
  <c r="R1887" i="1" s="1"/>
  <c r="O1888" i="1"/>
  <c r="R1888" i="1" s="1"/>
  <c r="O1889" i="1"/>
  <c r="R1889" i="1" s="1"/>
  <c r="O1890" i="1"/>
  <c r="R1890" i="1" s="1"/>
  <c r="O1891" i="1"/>
  <c r="R1891" i="1" s="1"/>
  <c r="O1892" i="1"/>
  <c r="R1892" i="1" s="1"/>
  <c r="O1893" i="1"/>
  <c r="R1893" i="1" s="1"/>
  <c r="O1894" i="1"/>
  <c r="R1894" i="1" s="1"/>
  <c r="O1895" i="1"/>
  <c r="R1895" i="1" s="1"/>
  <c r="O1896" i="1"/>
  <c r="R1896" i="1" s="1"/>
  <c r="O1897" i="1"/>
  <c r="R1897" i="1" s="1"/>
  <c r="O1898" i="1"/>
  <c r="R1898" i="1" s="1"/>
  <c r="O1899" i="1"/>
  <c r="R1899" i="1" s="1"/>
  <c r="O1900" i="1"/>
  <c r="R1900" i="1" s="1"/>
  <c r="O1901" i="1"/>
  <c r="R1901" i="1" s="1"/>
  <c r="O1902" i="1"/>
  <c r="R1902" i="1" s="1"/>
  <c r="O1903" i="1"/>
  <c r="R1903" i="1" s="1"/>
  <c r="O1904" i="1"/>
  <c r="R1904" i="1" s="1"/>
  <c r="O1905" i="1"/>
  <c r="R1905" i="1" s="1"/>
  <c r="O1906" i="1"/>
  <c r="R1906" i="1" s="1"/>
  <c r="O1907" i="1"/>
  <c r="R1907" i="1" s="1"/>
  <c r="O1908" i="1"/>
  <c r="R1908" i="1" s="1"/>
  <c r="O1909" i="1"/>
  <c r="R1909" i="1" s="1"/>
  <c r="O1910" i="1"/>
  <c r="R1910" i="1" s="1"/>
  <c r="O1911" i="1"/>
  <c r="R1911" i="1" s="1"/>
  <c r="O1912" i="1"/>
  <c r="R1912" i="1" s="1"/>
  <c r="O1913" i="1"/>
  <c r="R1913" i="1" s="1"/>
  <c r="O1914" i="1"/>
  <c r="R1914" i="1" s="1"/>
  <c r="O1915" i="1"/>
  <c r="R1915" i="1" s="1"/>
  <c r="O1916" i="1"/>
  <c r="R1916" i="1" s="1"/>
  <c r="O1917" i="1"/>
  <c r="R1917" i="1" s="1"/>
  <c r="O1918" i="1"/>
  <c r="R1918" i="1" s="1"/>
  <c r="O1919" i="1"/>
  <c r="R1919" i="1" s="1"/>
  <c r="O1920" i="1"/>
  <c r="R1920" i="1" s="1"/>
  <c r="O1921" i="1"/>
  <c r="R1921" i="1" s="1"/>
  <c r="O1922" i="1"/>
  <c r="R1922" i="1" s="1"/>
  <c r="O1923" i="1"/>
  <c r="R1923" i="1" s="1"/>
  <c r="O1924" i="1"/>
  <c r="R1924" i="1" s="1"/>
  <c r="O1925" i="1"/>
  <c r="R1925" i="1" s="1"/>
  <c r="O1926" i="1"/>
  <c r="R1926" i="1" s="1"/>
  <c r="O1927" i="1"/>
  <c r="R1927" i="1" s="1"/>
  <c r="O1928" i="1"/>
  <c r="R1928" i="1" s="1"/>
  <c r="O1929" i="1"/>
  <c r="R1929" i="1" s="1"/>
  <c r="O1930" i="1"/>
  <c r="R1930" i="1" s="1"/>
  <c r="O1931" i="1"/>
  <c r="R1931" i="1" s="1"/>
  <c r="O1932" i="1"/>
  <c r="R1932" i="1" s="1"/>
  <c r="O1933" i="1"/>
  <c r="R1933" i="1" s="1"/>
  <c r="O1934" i="1"/>
  <c r="R1934" i="1" s="1"/>
  <c r="O1935" i="1"/>
  <c r="R1935" i="1" s="1"/>
  <c r="O1936" i="1"/>
  <c r="R1936" i="1" s="1"/>
  <c r="O1937" i="1"/>
  <c r="R1937" i="1" s="1"/>
  <c r="O1938" i="1"/>
  <c r="R1938" i="1" s="1"/>
  <c r="O1939" i="1"/>
  <c r="R1939" i="1" s="1"/>
  <c r="O1940" i="1"/>
  <c r="R1940" i="1" s="1"/>
  <c r="O1941" i="1"/>
  <c r="R1941" i="1" s="1"/>
  <c r="O1942" i="1"/>
  <c r="R1942" i="1" s="1"/>
  <c r="O1943" i="1"/>
  <c r="R1943" i="1" s="1"/>
  <c r="O1944" i="1"/>
  <c r="R1944" i="1" s="1"/>
  <c r="O1945" i="1"/>
  <c r="R1945" i="1" s="1"/>
  <c r="O1946" i="1"/>
  <c r="R1946" i="1" s="1"/>
  <c r="O1947" i="1"/>
  <c r="R1947" i="1" s="1"/>
  <c r="O1948" i="1"/>
  <c r="R1948" i="1" s="1"/>
  <c r="O1949" i="1"/>
  <c r="R1949" i="1" s="1"/>
  <c r="O1950" i="1"/>
  <c r="R1950" i="1" s="1"/>
  <c r="O1951" i="1"/>
  <c r="R1951" i="1" s="1"/>
  <c r="O1952" i="1"/>
  <c r="R1952" i="1" s="1"/>
  <c r="O1953" i="1"/>
  <c r="R1953" i="1" s="1"/>
  <c r="O1954" i="1"/>
  <c r="R1954" i="1" s="1"/>
  <c r="O1955" i="1"/>
  <c r="R1955" i="1" s="1"/>
  <c r="O1956" i="1"/>
  <c r="R1956" i="1" s="1"/>
  <c r="O1957" i="1"/>
  <c r="R1957" i="1" s="1"/>
  <c r="O1958" i="1"/>
  <c r="R1958" i="1" s="1"/>
  <c r="O1959" i="1"/>
  <c r="R1959" i="1" s="1"/>
  <c r="O1960" i="1"/>
  <c r="R1960" i="1" s="1"/>
  <c r="O1961" i="1"/>
  <c r="R1961" i="1" s="1"/>
  <c r="O1962" i="1"/>
  <c r="R1962" i="1" s="1"/>
  <c r="O1963" i="1"/>
  <c r="R1963" i="1" s="1"/>
  <c r="O1964" i="1"/>
  <c r="R1964" i="1" s="1"/>
  <c r="O1965" i="1"/>
  <c r="R1965" i="1" s="1"/>
  <c r="O1966" i="1"/>
  <c r="R1966" i="1" s="1"/>
  <c r="O1967" i="1"/>
  <c r="R1967" i="1" s="1"/>
  <c r="O1968" i="1"/>
  <c r="R1968" i="1" s="1"/>
  <c r="O1969" i="1"/>
  <c r="R1969" i="1" s="1"/>
  <c r="O1970" i="1"/>
  <c r="R1970" i="1" s="1"/>
  <c r="O1971" i="1"/>
  <c r="R1971" i="1" s="1"/>
  <c r="O1972" i="1"/>
  <c r="R1972" i="1" s="1"/>
  <c r="O1973" i="1"/>
  <c r="R1973" i="1" s="1"/>
  <c r="O1974" i="1"/>
  <c r="R1974" i="1" s="1"/>
  <c r="O1975" i="1"/>
  <c r="R1975" i="1" s="1"/>
  <c r="O1976" i="1"/>
  <c r="R1976" i="1" s="1"/>
  <c r="O1977" i="1"/>
  <c r="R1977" i="1" s="1"/>
  <c r="O1978" i="1"/>
  <c r="R1978" i="1" s="1"/>
  <c r="O1979" i="1"/>
  <c r="R1979" i="1" s="1"/>
  <c r="O1980" i="1"/>
  <c r="R1980" i="1" s="1"/>
  <c r="O1981" i="1"/>
  <c r="R1981" i="1" s="1"/>
  <c r="O1982" i="1"/>
  <c r="R1982" i="1" s="1"/>
  <c r="O1983" i="1"/>
  <c r="R1983" i="1" s="1"/>
  <c r="O1984" i="1"/>
  <c r="R1984" i="1" s="1"/>
  <c r="O1985" i="1"/>
  <c r="R1985" i="1" s="1"/>
  <c r="O1986" i="1"/>
  <c r="R1986" i="1" s="1"/>
  <c r="O1987" i="1"/>
  <c r="R1987" i="1" s="1"/>
  <c r="O1988" i="1"/>
  <c r="R1988" i="1" s="1"/>
  <c r="O1989" i="1"/>
  <c r="R1989" i="1" s="1"/>
  <c r="O1990" i="1"/>
  <c r="R1990" i="1" s="1"/>
  <c r="O1991" i="1"/>
  <c r="R1991" i="1" s="1"/>
  <c r="O1992" i="1"/>
  <c r="R1992" i="1" s="1"/>
  <c r="O1993" i="1"/>
  <c r="R1993" i="1" s="1"/>
  <c r="O1994" i="1"/>
  <c r="R1994" i="1" s="1"/>
  <c r="O1995" i="1"/>
  <c r="R1995" i="1" s="1"/>
  <c r="O1996" i="1"/>
  <c r="R1996" i="1" s="1"/>
  <c r="O1997" i="1"/>
  <c r="R1997" i="1" s="1"/>
  <c r="O1998" i="1"/>
  <c r="R1998" i="1" s="1"/>
  <c r="O1999" i="1"/>
  <c r="R1999" i="1" s="1"/>
  <c r="O2000" i="1"/>
  <c r="R2000" i="1" s="1"/>
  <c r="O2001" i="1"/>
  <c r="R2001" i="1" s="1"/>
  <c r="O2002" i="1"/>
  <c r="R2002" i="1" s="1"/>
  <c r="O2003" i="1"/>
  <c r="R2003" i="1" s="1"/>
  <c r="O2004" i="1"/>
  <c r="R2004" i="1" s="1"/>
  <c r="O2005" i="1"/>
  <c r="R2005" i="1" s="1"/>
  <c r="O2006" i="1"/>
  <c r="R2006" i="1" s="1"/>
  <c r="O2007" i="1"/>
  <c r="R2007" i="1" s="1"/>
  <c r="O2008" i="1"/>
  <c r="R2008" i="1" s="1"/>
  <c r="O2009" i="1"/>
  <c r="R2009" i="1" s="1"/>
  <c r="O2010" i="1"/>
  <c r="R2010" i="1" s="1"/>
  <c r="O2011" i="1"/>
  <c r="R2011" i="1" s="1"/>
  <c r="O2012" i="1"/>
  <c r="R2012" i="1" s="1"/>
  <c r="O2013" i="1"/>
  <c r="R2013" i="1" s="1"/>
  <c r="O2014" i="1"/>
  <c r="R2014" i="1" s="1"/>
  <c r="O2015" i="1"/>
  <c r="R2015" i="1" s="1"/>
  <c r="O2016" i="1"/>
  <c r="R2016" i="1" s="1"/>
  <c r="O2017" i="1"/>
  <c r="R2017" i="1" s="1"/>
  <c r="O2018" i="1"/>
  <c r="R2018" i="1" s="1"/>
  <c r="O2019" i="1"/>
  <c r="R2019" i="1" s="1"/>
  <c r="O2020" i="1"/>
  <c r="R2020" i="1" s="1"/>
  <c r="O2021" i="1"/>
  <c r="R2021" i="1" s="1"/>
  <c r="O2022" i="1"/>
  <c r="R2022" i="1" s="1"/>
  <c r="O2023" i="1"/>
  <c r="R2023" i="1" s="1"/>
  <c r="O2024" i="1"/>
  <c r="R2024" i="1" s="1"/>
  <c r="O2025" i="1"/>
  <c r="R2025" i="1" s="1"/>
  <c r="O2026" i="1"/>
  <c r="R2026" i="1" s="1"/>
  <c r="O2027" i="1"/>
  <c r="R2027" i="1" s="1"/>
  <c r="O2028" i="1"/>
  <c r="R2028" i="1" s="1"/>
  <c r="O2029" i="1"/>
  <c r="R2029" i="1" s="1"/>
  <c r="O2030" i="1"/>
  <c r="R2030" i="1" s="1"/>
  <c r="O2031" i="1"/>
  <c r="R2031" i="1" s="1"/>
  <c r="O2032" i="1"/>
  <c r="R2032" i="1" s="1"/>
  <c r="O2033" i="1"/>
  <c r="R2033" i="1" s="1"/>
  <c r="O2034" i="1"/>
  <c r="R2034" i="1" s="1"/>
  <c r="O2035" i="1"/>
  <c r="R2035" i="1" s="1"/>
  <c r="O2036" i="1"/>
  <c r="R2036" i="1" s="1"/>
  <c r="O2037" i="1"/>
  <c r="R2037" i="1" s="1"/>
  <c r="O2038" i="1"/>
  <c r="R2038" i="1" s="1"/>
  <c r="O2039" i="1"/>
  <c r="R2039" i="1" s="1"/>
  <c r="O2040" i="1"/>
  <c r="R2040" i="1" s="1"/>
  <c r="O2041" i="1"/>
  <c r="R2041" i="1" s="1"/>
  <c r="O2042" i="1"/>
  <c r="R2042" i="1" s="1"/>
  <c r="O2043" i="1"/>
  <c r="R2043" i="1" s="1"/>
  <c r="O2044" i="1"/>
  <c r="R2044" i="1" s="1"/>
  <c r="O2045" i="1"/>
  <c r="R2045" i="1" s="1"/>
  <c r="O2046" i="1"/>
  <c r="R2046" i="1" s="1"/>
  <c r="O2047" i="1"/>
  <c r="R2047" i="1" s="1"/>
  <c r="O2048" i="1"/>
  <c r="R2048" i="1" s="1"/>
  <c r="O2049" i="1"/>
  <c r="R2049" i="1" s="1"/>
  <c r="O2050" i="1"/>
  <c r="R2050" i="1" s="1"/>
  <c r="O2051" i="1"/>
  <c r="R2051" i="1" s="1"/>
  <c r="O2052" i="1"/>
  <c r="R2052" i="1" s="1"/>
  <c r="O2053" i="1"/>
  <c r="R2053" i="1" s="1"/>
  <c r="O2054" i="1"/>
  <c r="R2054" i="1" s="1"/>
  <c r="O2055" i="1"/>
  <c r="R2055" i="1" s="1"/>
  <c r="O2056" i="1"/>
  <c r="R2056" i="1" s="1"/>
  <c r="O2057" i="1"/>
  <c r="R2057" i="1" s="1"/>
  <c r="O2058" i="1"/>
  <c r="R2058" i="1" s="1"/>
  <c r="O2059" i="1"/>
  <c r="R2059" i="1" s="1"/>
  <c r="O2060" i="1"/>
  <c r="R2060" i="1" s="1"/>
  <c r="O2061" i="1"/>
  <c r="R2061" i="1" s="1"/>
  <c r="O2062" i="1"/>
  <c r="R2062" i="1" s="1"/>
  <c r="O2063" i="1"/>
  <c r="R2063" i="1" s="1"/>
  <c r="O2064" i="1"/>
  <c r="R2064" i="1" s="1"/>
  <c r="O2065" i="1"/>
  <c r="R2065" i="1" s="1"/>
  <c r="O2066" i="1"/>
  <c r="R2066" i="1" s="1"/>
  <c r="O2067" i="1"/>
  <c r="R2067" i="1" s="1"/>
  <c r="O2068" i="1"/>
  <c r="R2068" i="1" s="1"/>
  <c r="O2069" i="1"/>
  <c r="R2069" i="1" s="1"/>
  <c r="O2070" i="1"/>
  <c r="R2070" i="1" s="1"/>
  <c r="O2071" i="1"/>
  <c r="R2071" i="1" s="1"/>
  <c r="O2072" i="1"/>
  <c r="R2072" i="1" s="1"/>
  <c r="O2073" i="1"/>
  <c r="R2073" i="1" s="1"/>
  <c r="O2074" i="1"/>
  <c r="R2074" i="1" s="1"/>
  <c r="O2075" i="1"/>
  <c r="R2075" i="1" s="1"/>
  <c r="O2076" i="1"/>
  <c r="R2076" i="1" s="1"/>
  <c r="O2077" i="1"/>
  <c r="R2077" i="1" s="1"/>
  <c r="O2078" i="1"/>
  <c r="R2078" i="1" s="1"/>
  <c r="O2079" i="1"/>
  <c r="R2079" i="1" s="1"/>
  <c r="O2080" i="1"/>
  <c r="R2080" i="1" s="1"/>
  <c r="O2081" i="1"/>
  <c r="R2081" i="1" s="1"/>
  <c r="O2082" i="1"/>
  <c r="R2082" i="1" s="1"/>
  <c r="O2083" i="1"/>
  <c r="R2083" i="1" s="1"/>
  <c r="O2084" i="1"/>
  <c r="R2084" i="1" s="1"/>
  <c r="O2085" i="1"/>
  <c r="R2085" i="1" s="1"/>
  <c r="O2086" i="1"/>
  <c r="R2086" i="1" s="1"/>
  <c r="O2087" i="1"/>
  <c r="R2087" i="1" s="1"/>
  <c r="O2088" i="1"/>
  <c r="R2088" i="1" s="1"/>
  <c r="O2089" i="1"/>
  <c r="R2089" i="1" s="1"/>
  <c r="O2090" i="1"/>
  <c r="R2090" i="1" s="1"/>
  <c r="O2091" i="1"/>
  <c r="R2091" i="1" s="1"/>
  <c r="O2092" i="1"/>
  <c r="R2092" i="1" s="1"/>
  <c r="O2093" i="1"/>
  <c r="R2093" i="1" s="1"/>
  <c r="O2094" i="1"/>
  <c r="R2094" i="1" s="1"/>
  <c r="O2095" i="1"/>
  <c r="R2095" i="1" s="1"/>
  <c r="O2096" i="1"/>
  <c r="R2096" i="1" s="1"/>
  <c r="O2097" i="1"/>
  <c r="R2097" i="1" s="1"/>
  <c r="O2098" i="1"/>
  <c r="R2098" i="1" s="1"/>
  <c r="O2099" i="1"/>
  <c r="R2099" i="1" s="1"/>
  <c r="O2100" i="1"/>
  <c r="R2100" i="1" s="1"/>
  <c r="O2101" i="1"/>
  <c r="R2101" i="1" s="1"/>
  <c r="O2102" i="1"/>
  <c r="R2102" i="1" s="1"/>
  <c r="O2103" i="1"/>
  <c r="R2103" i="1" s="1"/>
  <c r="O2104" i="1"/>
  <c r="R2104" i="1" s="1"/>
  <c r="O2105" i="1"/>
  <c r="R2105" i="1" s="1"/>
  <c r="O2106" i="1"/>
  <c r="R2106" i="1" s="1"/>
  <c r="O2107" i="1"/>
  <c r="R2107" i="1" s="1"/>
  <c r="O2108" i="1"/>
  <c r="R2108" i="1" s="1"/>
  <c r="O2109" i="1"/>
  <c r="R2109" i="1" s="1"/>
  <c r="O2110" i="1"/>
  <c r="R2110" i="1" s="1"/>
  <c r="O2111" i="1"/>
  <c r="R2111" i="1" s="1"/>
  <c r="O2112" i="1"/>
  <c r="R2112" i="1" s="1"/>
  <c r="O2113" i="1"/>
  <c r="R2113" i="1" s="1"/>
  <c r="O2114" i="1"/>
  <c r="R2114" i="1" s="1"/>
  <c r="O2115" i="1"/>
  <c r="R2115" i="1" s="1"/>
  <c r="O2116" i="1"/>
  <c r="R2116" i="1" s="1"/>
  <c r="O2117" i="1"/>
  <c r="R2117" i="1" s="1"/>
  <c r="O2118" i="1"/>
  <c r="R2118" i="1" s="1"/>
  <c r="O2119" i="1"/>
  <c r="R2119" i="1" s="1"/>
  <c r="O2120" i="1"/>
  <c r="R2120" i="1" s="1"/>
  <c r="O2121" i="1"/>
  <c r="R2121" i="1" s="1"/>
  <c r="O2122" i="1"/>
  <c r="R2122" i="1" s="1"/>
  <c r="O2123" i="1"/>
  <c r="R2123" i="1" s="1"/>
  <c r="O2124" i="1"/>
  <c r="R2124" i="1" s="1"/>
  <c r="O2125" i="1"/>
  <c r="R2125" i="1" s="1"/>
  <c r="O2126" i="1"/>
  <c r="R2126" i="1" s="1"/>
  <c r="O2127" i="1"/>
  <c r="R2127" i="1" s="1"/>
  <c r="O2128" i="1"/>
  <c r="R2128" i="1" s="1"/>
  <c r="O2129" i="1"/>
  <c r="R2129" i="1" s="1"/>
  <c r="O2130" i="1"/>
  <c r="R2130" i="1" s="1"/>
  <c r="O2131" i="1"/>
  <c r="R2131" i="1" s="1"/>
  <c r="O2132" i="1"/>
  <c r="R2132" i="1" s="1"/>
  <c r="O2133" i="1"/>
  <c r="R2133" i="1" s="1"/>
  <c r="O2134" i="1"/>
  <c r="R2134" i="1" s="1"/>
  <c r="O2135" i="1"/>
  <c r="R2135" i="1" s="1"/>
  <c r="O2136" i="1"/>
  <c r="R2136" i="1" s="1"/>
  <c r="O2137" i="1"/>
  <c r="R2137" i="1" s="1"/>
  <c r="O2138" i="1"/>
  <c r="R2138" i="1" s="1"/>
  <c r="O2139" i="1"/>
  <c r="R2139" i="1" s="1"/>
  <c r="O2140" i="1"/>
  <c r="R2140" i="1" s="1"/>
  <c r="O2141" i="1"/>
  <c r="R2141" i="1" s="1"/>
  <c r="O2142" i="1"/>
  <c r="R2142" i="1" s="1"/>
  <c r="O2143" i="1"/>
  <c r="R2143" i="1" s="1"/>
  <c r="O2144" i="1"/>
  <c r="R2144" i="1" s="1"/>
  <c r="O2145" i="1"/>
  <c r="R2145" i="1" s="1"/>
  <c r="O2146" i="1"/>
  <c r="R2146" i="1" s="1"/>
  <c r="O2147" i="1"/>
  <c r="R2147" i="1" s="1"/>
  <c r="O2148" i="1"/>
  <c r="R2148" i="1" s="1"/>
  <c r="O2149" i="1"/>
  <c r="R2149" i="1" s="1"/>
  <c r="O2150" i="1"/>
  <c r="R2150" i="1" s="1"/>
  <c r="O2151" i="1"/>
  <c r="R2151" i="1" s="1"/>
  <c r="O2152" i="1"/>
  <c r="R2152" i="1" s="1"/>
  <c r="O2153" i="1"/>
  <c r="R2153" i="1" s="1"/>
  <c r="O2154" i="1"/>
  <c r="R2154" i="1" s="1"/>
  <c r="O2155" i="1"/>
  <c r="R2155" i="1" s="1"/>
  <c r="O2156" i="1"/>
  <c r="R2156" i="1" s="1"/>
  <c r="O2157" i="1"/>
  <c r="R2157" i="1" s="1"/>
  <c r="O2158" i="1"/>
  <c r="R2158" i="1" s="1"/>
  <c r="O2159" i="1"/>
  <c r="R2159" i="1" s="1"/>
  <c r="O2160" i="1"/>
  <c r="R2160" i="1" s="1"/>
  <c r="O2161" i="1"/>
  <c r="R2161" i="1" s="1"/>
  <c r="O2162" i="1"/>
  <c r="R2162" i="1" s="1"/>
  <c r="O2163" i="1"/>
  <c r="R2163" i="1" s="1"/>
  <c r="O2164" i="1"/>
  <c r="R2164" i="1" s="1"/>
  <c r="O2165" i="1"/>
  <c r="R2165" i="1" s="1"/>
  <c r="O2166" i="1"/>
  <c r="R2166" i="1" s="1"/>
  <c r="O2167" i="1"/>
  <c r="R2167" i="1" s="1"/>
  <c r="O2168" i="1"/>
  <c r="R2168" i="1" s="1"/>
  <c r="O2169" i="1"/>
  <c r="R2169" i="1" s="1"/>
  <c r="O2170" i="1"/>
  <c r="R2170" i="1" s="1"/>
  <c r="O2171" i="1"/>
  <c r="R2171" i="1" s="1"/>
  <c r="O2172" i="1"/>
  <c r="R2172" i="1" s="1"/>
  <c r="O2173" i="1"/>
  <c r="R2173" i="1" s="1"/>
  <c r="O2174" i="1"/>
  <c r="R2174" i="1" s="1"/>
  <c r="O2175" i="1"/>
  <c r="R2175" i="1" s="1"/>
  <c r="O2176" i="1"/>
  <c r="R2176" i="1" s="1"/>
  <c r="O2177" i="1"/>
  <c r="R2177" i="1" s="1"/>
  <c r="O2178" i="1"/>
  <c r="R2178" i="1" s="1"/>
  <c r="O2179" i="1"/>
  <c r="R2179" i="1" s="1"/>
  <c r="O2180" i="1"/>
  <c r="R2180" i="1" s="1"/>
  <c r="O2181" i="1"/>
  <c r="R2181" i="1" s="1"/>
  <c r="O2182" i="1"/>
  <c r="R2182" i="1" s="1"/>
  <c r="O2183" i="1"/>
  <c r="R2183" i="1" s="1"/>
  <c r="O2184" i="1"/>
  <c r="R2184" i="1" s="1"/>
  <c r="O2185" i="1"/>
  <c r="R2185" i="1" s="1"/>
  <c r="O2186" i="1"/>
  <c r="R2186" i="1" s="1"/>
  <c r="O2187" i="1"/>
  <c r="R2187" i="1" s="1"/>
  <c r="O2188" i="1"/>
  <c r="R2188" i="1" s="1"/>
  <c r="O2189" i="1"/>
  <c r="R2189" i="1" s="1"/>
  <c r="O2190" i="1"/>
  <c r="R2190" i="1" s="1"/>
  <c r="O2191" i="1"/>
  <c r="R2191" i="1" s="1"/>
  <c r="O2192" i="1"/>
  <c r="R2192" i="1" s="1"/>
  <c r="O2193" i="1"/>
  <c r="R2193" i="1" s="1"/>
  <c r="O2194" i="1"/>
  <c r="R2194" i="1" s="1"/>
  <c r="O2195" i="1"/>
  <c r="R2195" i="1" s="1"/>
  <c r="O2196" i="1"/>
  <c r="R2196" i="1" s="1"/>
  <c r="O2197" i="1"/>
  <c r="R2197" i="1" s="1"/>
  <c r="O2198" i="1"/>
  <c r="R2198" i="1" s="1"/>
  <c r="O2199" i="1"/>
  <c r="R2199" i="1" s="1"/>
  <c r="O2200" i="1"/>
  <c r="R2200" i="1" s="1"/>
  <c r="O2201" i="1"/>
  <c r="R2201" i="1" s="1"/>
  <c r="O2202" i="1"/>
  <c r="R2202" i="1" s="1"/>
  <c r="O2203" i="1"/>
  <c r="R2203" i="1" s="1"/>
  <c r="O2204" i="1"/>
  <c r="R2204" i="1" s="1"/>
  <c r="O2205" i="1"/>
  <c r="R2205" i="1" s="1"/>
  <c r="O2206" i="1"/>
  <c r="R2206" i="1" s="1"/>
  <c r="O2207" i="1"/>
  <c r="R2207" i="1" s="1"/>
  <c r="O2208" i="1"/>
  <c r="R2208" i="1" s="1"/>
  <c r="O2209" i="1"/>
  <c r="R2209" i="1" s="1"/>
  <c r="O2210" i="1"/>
  <c r="R2210" i="1" s="1"/>
  <c r="O2211" i="1"/>
  <c r="R2211" i="1" s="1"/>
  <c r="O2212" i="1"/>
  <c r="R2212" i="1" s="1"/>
  <c r="O2213" i="1"/>
  <c r="R2213" i="1" s="1"/>
  <c r="O2214" i="1"/>
  <c r="R2214" i="1" s="1"/>
  <c r="O2215" i="1"/>
  <c r="R2215" i="1" s="1"/>
  <c r="O2216" i="1"/>
  <c r="R2216" i="1" s="1"/>
  <c r="O2217" i="1"/>
  <c r="R2217" i="1" s="1"/>
  <c r="O2218" i="1"/>
  <c r="R2218" i="1" s="1"/>
  <c r="O2219" i="1"/>
  <c r="R2219" i="1" s="1"/>
  <c r="O2220" i="1"/>
  <c r="R2220" i="1" s="1"/>
  <c r="O2221" i="1"/>
  <c r="R2221" i="1" s="1"/>
  <c r="O2222" i="1"/>
  <c r="R2222" i="1" s="1"/>
  <c r="O2223" i="1"/>
  <c r="R2223" i="1" s="1"/>
  <c r="O2224" i="1"/>
  <c r="R2224" i="1" s="1"/>
  <c r="O2225" i="1"/>
  <c r="R2225" i="1" s="1"/>
  <c r="O2226" i="1"/>
  <c r="R2226" i="1" s="1"/>
  <c r="O2227" i="1"/>
  <c r="R2227" i="1" s="1"/>
  <c r="O2228" i="1"/>
  <c r="R2228" i="1" s="1"/>
  <c r="O2229" i="1"/>
  <c r="R2229" i="1" s="1"/>
  <c r="O2230" i="1"/>
  <c r="R2230" i="1" s="1"/>
  <c r="O2231" i="1"/>
  <c r="R2231" i="1" s="1"/>
  <c r="O2232" i="1"/>
  <c r="R2232" i="1" s="1"/>
  <c r="O2233" i="1"/>
  <c r="R2233" i="1" s="1"/>
  <c r="O2234" i="1"/>
  <c r="R2234" i="1" s="1"/>
  <c r="O2235" i="1"/>
  <c r="R2235" i="1" s="1"/>
  <c r="O2236" i="1"/>
  <c r="R2236" i="1" s="1"/>
  <c r="O2237" i="1"/>
  <c r="R2237" i="1" s="1"/>
  <c r="O2238" i="1"/>
  <c r="R2238" i="1" s="1"/>
  <c r="O2239" i="1"/>
  <c r="R2239" i="1" s="1"/>
  <c r="O2240" i="1"/>
  <c r="R2240" i="1" s="1"/>
  <c r="O2241" i="1"/>
  <c r="R2241" i="1" s="1"/>
  <c r="O2242" i="1"/>
  <c r="R2242" i="1" s="1"/>
  <c r="O2243" i="1"/>
  <c r="R2243" i="1" s="1"/>
  <c r="O2244" i="1"/>
  <c r="R2244" i="1" s="1"/>
  <c r="O2245" i="1"/>
  <c r="R2245" i="1" s="1"/>
  <c r="O2246" i="1"/>
  <c r="R2246" i="1" s="1"/>
  <c r="O2247" i="1"/>
  <c r="R2247" i="1" s="1"/>
  <c r="O2248" i="1"/>
  <c r="R2248" i="1" s="1"/>
  <c r="O2249" i="1"/>
  <c r="R2249" i="1" s="1"/>
  <c r="O2250" i="1"/>
  <c r="R2250" i="1" s="1"/>
  <c r="O2251" i="1"/>
  <c r="R2251" i="1" s="1"/>
  <c r="O2252" i="1"/>
  <c r="R2252" i="1" s="1"/>
  <c r="O2253" i="1"/>
  <c r="R2253" i="1" s="1"/>
  <c r="O2254" i="1"/>
  <c r="R2254" i="1" s="1"/>
  <c r="O2255" i="1"/>
  <c r="R2255" i="1" s="1"/>
  <c r="O2256" i="1"/>
  <c r="R2256" i="1" s="1"/>
  <c r="O2257" i="1"/>
  <c r="R2257" i="1" s="1"/>
  <c r="O2258" i="1"/>
  <c r="R2258" i="1" s="1"/>
  <c r="O2259" i="1"/>
  <c r="R2259" i="1" s="1"/>
  <c r="O2260" i="1"/>
  <c r="R2260" i="1" s="1"/>
  <c r="O2261" i="1"/>
  <c r="R2261" i="1" s="1"/>
  <c r="O2262" i="1"/>
  <c r="R2262" i="1" s="1"/>
  <c r="O2263" i="1"/>
  <c r="R2263" i="1" s="1"/>
  <c r="O2264" i="1"/>
  <c r="R2264" i="1" s="1"/>
  <c r="O2265" i="1"/>
  <c r="R2265" i="1" s="1"/>
  <c r="O2266" i="1"/>
  <c r="R2266" i="1" s="1"/>
  <c r="O2267" i="1"/>
  <c r="R2267" i="1" s="1"/>
  <c r="O2268" i="1"/>
  <c r="R2268" i="1" s="1"/>
  <c r="O2269" i="1"/>
  <c r="R2269" i="1" s="1"/>
  <c r="O2270" i="1"/>
  <c r="R2270" i="1" s="1"/>
  <c r="O2271" i="1"/>
  <c r="R2271" i="1" s="1"/>
  <c r="O2272" i="1"/>
  <c r="R2272" i="1" s="1"/>
  <c r="O2273" i="1"/>
  <c r="R2273" i="1" s="1"/>
  <c r="O2274" i="1"/>
  <c r="R2274" i="1" s="1"/>
  <c r="O2275" i="1"/>
  <c r="R2275" i="1" s="1"/>
  <c r="O2276" i="1"/>
  <c r="R2276" i="1" s="1"/>
  <c r="O2277" i="1"/>
  <c r="R2277" i="1" s="1"/>
  <c r="O2278" i="1"/>
  <c r="R2278" i="1" s="1"/>
  <c r="O2279" i="1"/>
  <c r="R2279" i="1" s="1"/>
  <c r="O2280" i="1"/>
  <c r="R2280" i="1" s="1"/>
  <c r="O2281" i="1"/>
  <c r="R2281" i="1" s="1"/>
  <c r="O2282" i="1"/>
  <c r="R2282" i="1" s="1"/>
  <c r="O2283" i="1"/>
  <c r="R2283" i="1" s="1"/>
  <c r="O2284" i="1"/>
  <c r="R2284" i="1" s="1"/>
  <c r="O2285" i="1"/>
  <c r="R2285" i="1" s="1"/>
  <c r="O2286" i="1"/>
  <c r="R2286" i="1" s="1"/>
  <c r="O2287" i="1"/>
  <c r="R2287" i="1" s="1"/>
  <c r="O2288" i="1"/>
  <c r="R2288" i="1" s="1"/>
  <c r="O2289" i="1"/>
  <c r="R2289" i="1" s="1"/>
  <c r="O2290" i="1"/>
  <c r="R2290" i="1" s="1"/>
  <c r="O2291" i="1"/>
  <c r="R2291" i="1" s="1"/>
  <c r="O2292" i="1"/>
  <c r="R2292" i="1" s="1"/>
  <c r="O2293" i="1"/>
  <c r="R2293" i="1" s="1"/>
  <c r="O2294" i="1"/>
  <c r="R2294" i="1" s="1"/>
  <c r="O2295" i="1"/>
  <c r="R2295" i="1" s="1"/>
  <c r="O2296" i="1"/>
  <c r="R2296" i="1" s="1"/>
  <c r="O2297" i="1"/>
  <c r="R2297" i="1" s="1"/>
  <c r="O2298" i="1"/>
  <c r="R2298" i="1" s="1"/>
  <c r="O2299" i="1"/>
  <c r="R2299" i="1" s="1"/>
  <c r="O2300" i="1"/>
  <c r="R2300" i="1" s="1"/>
  <c r="O2301" i="1"/>
  <c r="R2301" i="1" s="1"/>
  <c r="O2302" i="1"/>
  <c r="R2302" i="1" s="1"/>
  <c r="O2303" i="1"/>
  <c r="R2303" i="1" s="1"/>
  <c r="O2304" i="1"/>
  <c r="R2304" i="1" s="1"/>
  <c r="O2305" i="1"/>
  <c r="R2305" i="1" s="1"/>
  <c r="O2306" i="1"/>
  <c r="R2306" i="1" s="1"/>
  <c r="O2307" i="1"/>
  <c r="R2307" i="1" s="1"/>
  <c r="O2308" i="1"/>
  <c r="R2308" i="1" s="1"/>
  <c r="O2309" i="1"/>
  <c r="R2309" i="1" s="1"/>
  <c r="O2310" i="1"/>
  <c r="R2310" i="1" s="1"/>
  <c r="O2311" i="1"/>
  <c r="R2311" i="1" s="1"/>
  <c r="O2312" i="1"/>
  <c r="R2312" i="1" s="1"/>
  <c r="O2313" i="1"/>
  <c r="R2313" i="1" s="1"/>
  <c r="O2314" i="1"/>
  <c r="R2314" i="1" s="1"/>
  <c r="O2315" i="1"/>
  <c r="R2315" i="1" s="1"/>
  <c r="O2316" i="1"/>
  <c r="R2316" i="1" s="1"/>
  <c r="O2317" i="1"/>
  <c r="R2317" i="1" s="1"/>
  <c r="O2318" i="1"/>
  <c r="R2318" i="1" s="1"/>
  <c r="O2319" i="1"/>
  <c r="R2319" i="1" s="1"/>
  <c r="O2320" i="1"/>
  <c r="R2320" i="1" s="1"/>
  <c r="O2321" i="1"/>
  <c r="R2321" i="1" s="1"/>
  <c r="O2322" i="1"/>
  <c r="R2322" i="1" s="1"/>
  <c r="O2323" i="1"/>
  <c r="R2323" i="1" s="1"/>
  <c r="O2324" i="1"/>
  <c r="R2324" i="1" s="1"/>
  <c r="O2325" i="1"/>
  <c r="R2325" i="1" s="1"/>
  <c r="O2326" i="1"/>
  <c r="R2326" i="1" s="1"/>
  <c r="O2327" i="1"/>
  <c r="R2327" i="1" s="1"/>
  <c r="O2328" i="1"/>
  <c r="R2328" i="1" s="1"/>
  <c r="O2329" i="1"/>
  <c r="R2329" i="1" s="1"/>
  <c r="O2330" i="1"/>
  <c r="R2330" i="1" s="1"/>
  <c r="O2331" i="1"/>
  <c r="R2331" i="1" s="1"/>
  <c r="O2332" i="1"/>
  <c r="R2332" i="1" s="1"/>
  <c r="O2333" i="1"/>
  <c r="R2333" i="1" s="1"/>
  <c r="O2334" i="1"/>
  <c r="R2334" i="1" s="1"/>
  <c r="O2335" i="1"/>
  <c r="R2335" i="1" s="1"/>
  <c r="O2336" i="1"/>
  <c r="R2336" i="1" s="1"/>
  <c r="O2337" i="1"/>
  <c r="R2337" i="1" s="1"/>
  <c r="O2338" i="1"/>
  <c r="R2338" i="1" s="1"/>
  <c r="O2339" i="1"/>
  <c r="R2339" i="1" s="1"/>
  <c r="O2340" i="1"/>
  <c r="R2340" i="1" s="1"/>
  <c r="O2341" i="1"/>
  <c r="R2341" i="1" s="1"/>
  <c r="O2342" i="1"/>
  <c r="R2342" i="1" s="1"/>
  <c r="O2343" i="1"/>
  <c r="R2343" i="1" s="1"/>
  <c r="O2344" i="1"/>
  <c r="R2344" i="1" s="1"/>
  <c r="O2345" i="1"/>
  <c r="R2345" i="1" s="1"/>
  <c r="O2346" i="1"/>
  <c r="R2346" i="1" s="1"/>
  <c r="O2347" i="1"/>
  <c r="R2347" i="1" s="1"/>
  <c r="O2348" i="1"/>
  <c r="R2348" i="1" s="1"/>
  <c r="O2349" i="1"/>
  <c r="R2349" i="1" s="1"/>
  <c r="O2350" i="1"/>
  <c r="R2350" i="1" s="1"/>
  <c r="O2351" i="1"/>
  <c r="R2351" i="1" s="1"/>
  <c r="O2352" i="1"/>
  <c r="R2352" i="1" s="1"/>
  <c r="O2353" i="1"/>
  <c r="R2353" i="1" s="1"/>
  <c r="O2354" i="1"/>
  <c r="R2354" i="1" s="1"/>
  <c r="O2355" i="1"/>
  <c r="R2355" i="1" s="1"/>
  <c r="O2356" i="1"/>
  <c r="R2356" i="1" s="1"/>
  <c r="O2357" i="1"/>
  <c r="R2357" i="1" s="1"/>
  <c r="O2358" i="1"/>
  <c r="R2358" i="1" s="1"/>
  <c r="O2359" i="1"/>
  <c r="R2359" i="1" s="1"/>
  <c r="O2360" i="1"/>
  <c r="R2360" i="1" s="1"/>
  <c r="O2361" i="1"/>
  <c r="R2361" i="1" s="1"/>
  <c r="O2362" i="1"/>
  <c r="R2362" i="1" s="1"/>
  <c r="O2363" i="1"/>
  <c r="R2363" i="1" s="1"/>
  <c r="O2364" i="1"/>
  <c r="R2364" i="1" s="1"/>
  <c r="O2365" i="1"/>
  <c r="R2365" i="1" s="1"/>
  <c r="O2366" i="1"/>
  <c r="R2366" i="1" s="1"/>
  <c r="O2367" i="1"/>
  <c r="R2367" i="1" s="1"/>
  <c r="O2368" i="1"/>
  <c r="R2368" i="1" s="1"/>
  <c r="O2369" i="1"/>
  <c r="R2369" i="1" s="1"/>
  <c r="O2370" i="1"/>
  <c r="R2370" i="1" s="1"/>
  <c r="O2371" i="1"/>
  <c r="R2371" i="1" s="1"/>
  <c r="O2372" i="1"/>
  <c r="R2372" i="1" s="1"/>
  <c r="O2373" i="1"/>
  <c r="R2373" i="1" s="1"/>
  <c r="O2374" i="1"/>
  <c r="R2374" i="1" s="1"/>
  <c r="O2375" i="1"/>
  <c r="R2375" i="1" s="1"/>
  <c r="O2376" i="1"/>
  <c r="R2376" i="1" s="1"/>
  <c r="O2377" i="1"/>
  <c r="R2377" i="1" s="1"/>
  <c r="O2378" i="1"/>
  <c r="R2378" i="1" s="1"/>
  <c r="O2379" i="1"/>
  <c r="R2379" i="1" s="1"/>
  <c r="O2380" i="1"/>
  <c r="R2380" i="1" s="1"/>
  <c r="O2381" i="1"/>
  <c r="R2381" i="1" s="1"/>
  <c r="O2382" i="1"/>
  <c r="R2382" i="1" s="1"/>
  <c r="O2383" i="1"/>
  <c r="R2383" i="1" s="1"/>
  <c r="O2384" i="1"/>
  <c r="R2384" i="1" s="1"/>
  <c r="O2385" i="1"/>
  <c r="R2385" i="1" s="1"/>
  <c r="O2386" i="1"/>
  <c r="R2386" i="1" s="1"/>
  <c r="O2387" i="1"/>
  <c r="R2387" i="1" s="1"/>
  <c r="O2388" i="1"/>
  <c r="R2388" i="1" s="1"/>
  <c r="O2389" i="1"/>
  <c r="R2389" i="1" s="1"/>
  <c r="O2390" i="1"/>
  <c r="R2390" i="1" s="1"/>
  <c r="O2391" i="1"/>
  <c r="R2391" i="1" s="1"/>
  <c r="O2392" i="1"/>
  <c r="R2392" i="1" s="1"/>
  <c r="O2393" i="1"/>
  <c r="R2393" i="1" s="1"/>
  <c r="O2394" i="1"/>
  <c r="R2394" i="1" s="1"/>
  <c r="O2395" i="1"/>
  <c r="R2395" i="1" s="1"/>
  <c r="O2396" i="1"/>
  <c r="R2396" i="1" s="1"/>
  <c r="O2397" i="1"/>
  <c r="R2397" i="1" s="1"/>
  <c r="O2398" i="1"/>
  <c r="R2398" i="1" s="1"/>
  <c r="O2399" i="1"/>
  <c r="R2399" i="1" s="1"/>
  <c r="O2400" i="1"/>
  <c r="R2400" i="1" s="1"/>
  <c r="O2401" i="1"/>
  <c r="R2401" i="1" s="1"/>
  <c r="O2402" i="1"/>
  <c r="R2402" i="1" s="1"/>
  <c r="O2403" i="1"/>
  <c r="R2403" i="1" s="1"/>
  <c r="O2404" i="1"/>
  <c r="O2405" i="1"/>
  <c r="R2405" i="1" s="1"/>
  <c r="O2406" i="1"/>
  <c r="R2406" i="1" s="1"/>
  <c r="O2407" i="1"/>
  <c r="R2407" i="1" s="1"/>
  <c r="O2408" i="1"/>
  <c r="R2408" i="1" s="1"/>
  <c r="O2409" i="1"/>
  <c r="R2409" i="1" s="1"/>
  <c r="O2410" i="1"/>
  <c r="R2410" i="1" s="1"/>
  <c r="O2411" i="1"/>
  <c r="R2411" i="1" s="1"/>
  <c r="O2412" i="1"/>
  <c r="R2412" i="1" s="1"/>
  <c r="O2413" i="1"/>
  <c r="R2413" i="1" s="1"/>
  <c r="O2414" i="1"/>
  <c r="R2414" i="1" s="1"/>
  <c r="O2415" i="1"/>
  <c r="R2415" i="1" s="1"/>
  <c r="O2416" i="1"/>
  <c r="R2416" i="1" s="1"/>
  <c r="O2417" i="1"/>
  <c r="R2417" i="1" s="1"/>
  <c r="O2418" i="1"/>
  <c r="R2418" i="1" s="1"/>
  <c r="O2419" i="1"/>
  <c r="R2419" i="1" s="1"/>
  <c r="O2420" i="1"/>
  <c r="R2420" i="1" s="1"/>
  <c r="O2421" i="1"/>
  <c r="R2421" i="1" s="1"/>
  <c r="O2422" i="1"/>
  <c r="R2422" i="1" s="1"/>
  <c r="O2423" i="1"/>
  <c r="R2423" i="1" s="1"/>
  <c r="O2424" i="1"/>
  <c r="R2424" i="1" s="1"/>
  <c r="O2425" i="1"/>
  <c r="R2425" i="1" s="1"/>
  <c r="O2426" i="1"/>
  <c r="R2426" i="1" s="1"/>
  <c r="O2427" i="1"/>
  <c r="R2427" i="1" s="1"/>
  <c r="O2428" i="1"/>
  <c r="R2428" i="1" s="1"/>
  <c r="O2429" i="1"/>
  <c r="R2429" i="1" s="1"/>
  <c r="O2430" i="1"/>
  <c r="R2430" i="1" s="1"/>
  <c r="O2431" i="1"/>
  <c r="R2431" i="1" s="1"/>
  <c r="O2432" i="1"/>
  <c r="R2432" i="1" s="1"/>
  <c r="O2433" i="1"/>
  <c r="R2433" i="1" s="1"/>
  <c r="O2434" i="1"/>
  <c r="R2434" i="1" s="1"/>
  <c r="O2435" i="1"/>
  <c r="R2435" i="1" s="1"/>
  <c r="O2436" i="1"/>
  <c r="R2436" i="1" s="1"/>
  <c r="O2437" i="1"/>
  <c r="R2437" i="1" s="1"/>
  <c r="O2438" i="1"/>
  <c r="R2438" i="1" s="1"/>
  <c r="O2439" i="1"/>
  <c r="R2439" i="1" s="1"/>
  <c r="O2440" i="1"/>
  <c r="R2440" i="1" s="1"/>
  <c r="O2441" i="1"/>
  <c r="R2441" i="1" s="1"/>
  <c r="O2442" i="1"/>
  <c r="R2442" i="1" s="1"/>
  <c r="O2443" i="1"/>
  <c r="R2443" i="1" s="1"/>
  <c r="O2444" i="1"/>
  <c r="R2444" i="1" s="1"/>
  <c r="O2445" i="1"/>
  <c r="R2445" i="1" s="1"/>
  <c r="O2446" i="1"/>
  <c r="R2446" i="1" s="1"/>
  <c r="O2447" i="1"/>
  <c r="R2447" i="1" s="1"/>
  <c r="O2448" i="1"/>
  <c r="R2448" i="1" s="1"/>
  <c r="O2449" i="1"/>
  <c r="R2449" i="1" s="1"/>
  <c r="O2450" i="1"/>
  <c r="R2450" i="1" s="1"/>
  <c r="O2451" i="1"/>
  <c r="R2451" i="1" s="1"/>
  <c r="O2452" i="1"/>
  <c r="R2452" i="1" s="1"/>
  <c r="O2453" i="1"/>
  <c r="R2453" i="1" s="1"/>
  <c r="O2454" i="1"/>
  <c r="R2454" i="1" s="1"/>
  <c r="O2455" i="1"/>
  <c r="R2455" i="1" s="1"/>
  <c r="O2456" i="1"/>
  <c r="R2456" i="1" s="1"/>
  <c r="O2457" i="1"/>
  <c r="R2457" i="1" s="1"/>
  <c r="O2458" i="1"/>
  <c r="R2458" i="1" s="1"/>
  <c r="O2459" i="1"/>
  <c r="R2459" i="1" s="1"/>
  <c r="O2460" i="1"/>
  <c r="R2460" i="1" s="1"/>
  <c r="O2461" i="1"/>
  <c r="R2461" i="1" s="1"/>
  <c r="O2462" i="1"/>
  <c r="R2462" i="1" s="1"/>
  <c r="O2463" i="1"/>
  <c r="R2463" i="1" s="1"/>
  <c r="O2464" i="1"/>
  <c r="R2464" i="1" s="1"/>
  <c r="O2465" i="1"/>
  <c r="R2465" i="1" s="1"/>
  <c r="O2466" i="1"/>
  <c r="R2466" i="1" s="1"/>
  <c r="O2467" i="1"/>
  <c r="R2467" i="1" s="1"/>
  <c r="O2468" i="1"/>
  <c r="O2469" i="1"/>
  <c r="R2469" i="1" s="1"/>
  <c r="O2470" i="1"/>
  <c r="R2470" i="1" s="1"/>
  <c r="O2471" i="1"/>
  <c r="R2471" i="1" s="1"/>
  <c r="O2472" i="1"/>
  <c r="R2472" i="1" s="1"/>
  <c r="O2473" i="1"/>
  <c r="R2473" i="1" s="1"/>
  <c r="O2474" i="1"/>
  <c r="R2474" i="1" s="1"/>
  <c r="O2475" i="1"/>
  <c r="R2475" i="1" s="1"/>
  <c r="O2476" i="1"/>
  <c r="R2476" i="1" s="1"/>
  <c r="O2477" i="1"/>
  <c r="R2477" i="1" s="1"/>
  <c r="O2478" i="1"/>
  <c r="R2478" i="1" s="1"/>
  <c r="O2479" i="1"/>
  <c r="R2479" i="1" s="1"/>
  <c r="O2480" i="1"/>
  <c r="R2480" i="1" s="1"/>
  <c r="O2481" i="1"/>
  <c r="R2481" i="1" s="1"/>
  <c r="O2482" i="1"/>
  <c r="R2482" i="1" s="1"/>
  <c r="O2483" i="1"/>
  <c r="R2483" i="1" s="1"/>
  <c r="O2484" i="1"/>
  <c r="R2484" i="1" s="1"/>
  <c r="O2485" i="1"/>
  <c r="R2485" i="1" s="1"/>
  <c r="O2486" i="1"/>
  <c r="R2486" i="1" s="1"/>
  <c r="O2487" i="1"/>
  <c r="R2487" i="1" s="1"/>
  <c r="O2488" i="1"/>
  <c r="R2488" i="1" s="1"/>
  <c r="O2489" i="1"/>
  <c r="R2489" i="1" s="1"/>
  <c r="O2490" i="1"/>
  <c r="R2490" i="1" s="1"/>
  <c r="O2491" i="1"/>
  <c r="R2491" i="1" s="1"/>
  <c r="O2492" i="1"/>
  <c r="R2492" i="1" s="1"/>
  <c r="O2493" i="1"/>
  <c r="R2493" i="1" s="1"/>
  <c r="O2494" i="1"/>
  <c r="R2494" i="1" s="1"/>
  <c r="O2495" i="1"/>
  <c r="R2495" i="1" s="1"/>
  <c r="O2496" i="1"/>
  <c r="R2496" i="1" s="1"/>
  <c r="O2497" i="1"/>
  <c r="R2497" i="1" s="1"/>
  <c r="O2498" i="1"/>
  <c r="R2498" i="1" s="1"/>
  <c r="O2499" i="1"/>
  <c r="R2499" i="1" s="1"/>
  <c r="O2500" i="1"/>
  <c r="R2500" i="1" s="1"/>
  <c r="O2501" i="1"/>
  <c r="R2501" i="1" s="1"/>
  <c r="O2502" i="1"/>
  <c r="R2502" i="1" s="1"/>
  <c r="O2503" i="1"/>
  <c r="R2503" i="1" s="1"/>
  <c r="O2504" i="1"/>
  <c r="R2504" i="1" s="1"/>
  <c r="O2505" i="1"/>
  <c r="R2505" i="1" s="1"/>
  <c r="O2506" i="1"/>
  <c r="R2506" i="1" s="1"/>
  <c r="O2507" i="1"/>
  <c r="R2507" i="1" s="1"/>
  <c r="O2508" i="1"/>
  <c r="R2508" i="1" s="1"/>
  <c r="O2509" i="1"/>
  <c r="R2509" i="1" s="1"/>
  <c r="O2510" i="1"/>
  <c r="R2510" i="1" s="1"/>
  <c r="O2511" i="1"/>
  <c r="R2511" i="1" s="1"/>
  <c r="O2512" i="1"/>
  <c r="R2512" i="1" s="1"/>
  <c r="O2513" i="1"/>
  <c r="R2513" i="1" s="1"/>
  <c r="O2514" i="1"/>
  <c r="R2514" i="1" s="1"/>
  <c r="O2515" i="1"/>
  <c r="R2515" i="1" s="1"/>
  <c r="O2516" i="1"/>
  <c r="R2516" i="1" s="1"/>
  <c r="O2517" i="1"/>
  <c r="R2517" i="1" s="1"/>
  <c r="O2518" i="1"/>
  <c r="R2518" i="1" s="1"/>
  <c r="O2519" i="1"/>
  <c r="R2519" i="1" s="1"/>
  <c r="O2520" i="1"/>
  <c r="R2520" i="1" s="1"/>
  <c r="O2521" i="1"/>
  <c r="R2521" i="1" s="1"/>
  <c r="O2522" i="1"/>
  <c r="R2522" i="1" s="1"/>
  <c r="O2523" i="1"/>
  <c r="R2523" i="1" s="1"/>
  <c r="O2524" i="1"/>
  <c r="R2524" i="1" s="1"/>
  <c r="O2525" i="1"/>
  <c r="R2525" i="1" s="1"/>
  <c r="O2526" i="1"/>
  <c r="R2526" i="1" s="1"/>
  <c r="O2527" i="1"/>
  <c r="R2527" i="1" s="1"/>
  <c r="O2528" i="1"/>
  <c r="R2528" i="1" s="1"/>
  <c r="O2529" i="1"/>
  <c r="R2529" i="1" s="1"/>
  <c r="O2530" i="1"/>
  <c r="R2530" i="1" s="1"/>
  <c r="O2531" i="1"/>
  <c r="R2531" i="1" s="1"/>
  <c r="O2532" i="1"/>
  <c r="O2533" i="1"/>
  <c r="R2533" i="1" s="1"/>
  <c r="O2534" i="1"/>
  <c r="R2534" i="1" s="1"/>
  <c r="O2535" i="1"/>
  <c r="R2535" i="1" s="1"/>
  <c r="O2536" i="1"/>
  <c r="R2536" i="1" s="1"/>
  <c r="O2537" i="1"/>
  <c r="R2537" i="1" s="1"/>
  <c r="O2538" i="1"/>
  <c r="R2538" i="1" s="1"/>
  <c r="O2539" i="1"/>
  <c r="R2539" i="1" s="1"/>
  <c r="O2540" i="1"/>
  <c r="R2540" i="1" s="1"/>
  <c r="O2541" i="1"/>
  <c r="R2541" i="1" s="1"/>
  <c r="O2542" i="1"/>
  <c r="R2542" i="1" s="1"/>
  <c r="O2543" i="1"/>
  <c r="R2543" i="1" s="1"/>
  <c r="O2544" i="1"/>
  <c r="R2544" i="1" s="1"/>
  <c r="O2545" i="1"/>
  <c r="R2545" i="1" s="1"/>
  <c r="O2546" i="1"/>
  <c r="R2546" i="1" s="1"/>
  <c r="O2547" i="1"/>
  <c r="R2547" i="1" s="1"/>
  <c r="O2548" i="1"/>
  <c r="R2548" i="1" s="1"/>
  <c r="O2549" i="1"/>
  <c r="R2549" i="1" s="1"/>
  <c r="O2550" i="1"/>
  <c r="R2550" i="1" s="1"/>
  <c r="O2551" i="1"/>
  <c r="R2551" i="1" s="1"/>
  <c r="O2552" i="1"/>
  <c r="R2552" i="1" s="1"/>
  <c r="O2553" i="1"/>
  <c r="R2553" i="1" s="1"/>
  <c r="O2554" i="1"/>
  <c r="R2554" i="1" s="1"/>
  <c r="O2555" i="1"/>
  <c r="R2555" i="1" s="1"/>
  <c r="O2556" i="1"/>
  <c r="R2556" i="1" s="1"/>
  <c r="O2557" i="1"/>
  <c r="R2557" i="1" s="1"/>
  <c r="O2558" i="1"/>
  <c r="R2558" i="1" s="1"/>
  <c r="O2559" i="1"/>
  <c r="R2559" i="1" s="1"/>
  <c r="O2560" i="1"/>
  <c r="R2560" i="1" s="1"/>
  <c r="O2561" i="1"/>
  <c r="R2561" i="1" s="1"/>
  <c r="O2562" i="1"/>
  <c r="R2562" i="1" s="1"/>
  <c r="O2563" i="1"/>
  <c r="R2563" i="1" s="1"/>
  <c r="O2564" i="1"/>
  <c r="R2564" i="1" s="1"/>
  <c r="O2565" i="1"/>
  <c r="R2565" i="1" s="1"/>
  <c r="O2566" i="1"/>
  <c r="R2566" i="1" s="1"/>
  <c r="O2567" i="1"/>
  <c r="R2567" i="1" s="1"/>
  <c r="O2568" i="1"/>
  <c r="R2568" i="1" s="1"/>
  <c r="O2569" i="1"/>
  <c r="R2569" i="1" s="1"/>
  <c r="O2570" i="1"/>
  <c r="R2570" i="1" s="1"/>
  <c r="O2571" i="1"/>
  <c r="R2571" i="1" s="1"/>
  <c r="O2572" i="1"/>
  <c r="R2572" i="1" s="1"/>
  <c r="O2573" i="1"/>
  <c r="R2573" i="1" s="1"/>
  <c r="O2574" i="1"/>
  <c r="R2574" i="1" s="1"/>
  <c r="O2575" i="1"/>
  <c r="R2575" i="1" s="1"/>
  <c r="O2576" i="1"/>
  <c r="R2576" i="1" s="1"/>
  <c r="O2577" i="1"/>
  <c r="R2577" i="1" s="1"/>
  <c r="O2578" i="1"/>
  <c r="R2578" i="1" s="1"/>
  <c r="O2579" i="1"/>
  <c r="R2579" i="1" s="1"/>
  <c r="O2580" i="1"/>
  <c r="R2580" i="1" s="1"/>
  <c r="O2581" i="1"/>
  <c r="R2581" i="1" s="1"/>
  <c r="O2582" i="1"/>
  <c r="R2582" i="1" s="1"/>
  <c r="O2583" i="1"/>
  <c r="R2583" i="1" s="1"/>
  <c r="O2584" i="1"/>
  <c r="R2584" i="1" s="1"/>
  <c r="O2585" i="1"/>
  <c r="O2586" i="1"/>
  <c r="R2586" i="1" s="1"/>
  <c r="O2587" i="1"/>
  <c r="R2587" i="1" s="1"/>
  <c r="O2588" i="1"/>
  <c r="R2588" i="1" s="1"/>
  <c r="O2589" i="1"/>
  <c r="R2589" i="1" s="1"/>
  <c r="O2590" i="1"/>
  <c r="R2590" i="1" s="1"/>
  <c r="O2591" i="1"/>
  <c r="R2591" i="1" s="1"/>
  <c r="O2592" i="1"/>
  <c r="R2592" i="1" s="1"/>
  <c r="O2593" i="1"/>
  <c r="R2593" i="1" s="1"/>
  <c r="O2594" i="1"/>
  <c r="R2594" i="1" s="1"/>
  <c r="O2595" i="1"/>
  <c r="R2595" i="1" s="1"/>
  <c r="O2596" i="1"/>
  <c r="R2596" i="1" s="1"/>
  <c r="O2597" i="1"/>
  <c r="R2597" i="1" s="1"/>
  <c r="O2598" i="1"/>
  <c r="R2598" i="1" s="1"/>
  <c r="O2599" i="1"/>
  <c r="R2599" i="1" s="1"/>
  <c r="O2600" i="1"/>
  <c r="R2600" i="1" s="1"/>
  <c r="O2601" i="1"/>
  <c r="R2601" i="1" s="1"/>
  <c r="O2602" i="1"/>
  <c r="R2602" i="1" s="1"/>
  <c r="O2603" i="1"/>
  <c r="R2603" i="1" s="1"/>
  <c r="O2604" i="1"/>
  <c r="R2604" i="1" s="1"/>
  <c r="O2605" i="1"/>
  <c r="R2605" i="1" s="1"/>
  <c r="O2606" i="1"/>
  <c r="R2606" i="1" s="1"/>
  <c r="O2607" i="1"/>
  <c r="R2607" i="1" s="1"/>
  <c r="O2608" i="1"/>
  <c r="R2608" i="1" s="1"/>
  <c r="O2609" i="1"/>
  <c r="R2609" i="1" s="1"/>
  <c r="O2610" i="1"/>
  <c r="R2610" i="1" s="1"/>
  <c r="O2611" i="1"/>
  <c r="R2611" i="1" s="1"/>
  <c r="O2612" i="1"/>
  <c r="R2612" i="1" s="1"/>
  <c r="O2613" i="1"/>
  <c r="R2613" i="1" s="1"/>
  <c r="O2614" i="1"/>
  <c r="R2614" i="1" s="1"/>
  <c r="O2615" i="1"/>
  <c r="R2615" i="1" s="1"/>
  <c r="O2616" i="1"/>
  <c r="R2616" i="1" s="1"/>
  <c r="O2617" i="1"/>
  <c r="R2617" i="1" s="1"/>
  <c r="O2618" i="1"/>
  <c r="R2618" i="1" s="1"/>
  <c r="O2619" i="1"/>
  <c r="R2619" i="1" s="1"/>
  <c r="O2620" i="1"/>
  <c r="R2620" i="1" s="1"/>
  <c r="O2621" i="1"/>
  <c r="O2622" i="1"/>
  <c r="R2622" i="1" s="1"/>
  <c r="O2623" i="1"/>
  <c r="R2623" i="1" s="1"/>
  <c r="O2624" i="1"/>
  <c r="R2624" i="1" s="1"/>
  <c r="O2625" i="1"/>
  <c r="R2625" i="1" s="1"/>
  <c r="O2626" i="1"/>
  <c r="R2626" i="1" s="1"/>
  <c r="O2627" i="1"/>
  <c r="R2627" i="1" s="1"/>
  <c r="O2628" i="1"/>
  <c r="R2628" i="1" s="1"/>
  <c r="O2629" i="1"/>
  <c r="R2629" i="1" s="1"/>
  <c r="O2630" i="1"/>
  <c r="R2630" i="1" s="1"/>
  <c r="O2631" i="1"/>
  <c r="R2631" i="1" s="1"/>
  <c r="O2632" i="1"/>
  <c r="R2632" i="1" s="1"/>
  <c r="O2633" i="1"/>
  <c r="R2633" i="1" s="1"/>
  <c r="O2634" i="1"/>
  <c r="R2634" i="1" s="1"/>
  <c r="O2635" i="1"/>
  <c r="R2635" i="1" s="1"/>
  <c r="O2636" i="1"/>
  <c r="R2636" i="1" s="1"/>
  <c r="O2637" i="1"/>
  <c r="R2637" i="1" s="1"/>
  <c r="O2638" i="1"/>
  <c r="R2638" i="1" s="1"/>
  <c r="O2639" i="1"/>
  <c r="R2639" i="1" s="1"/>
  <c r="O2640" i="1"/>
  <c r="R2640" i="1" s="1"/>
  <c r="O2641" i="1"/>
  <c r="R2641" i="1" s="1"/>
  <c r="O2642" i="1"/>
  <c r="R2642" i="1" s="1"/>
  <c r="O2643" i="1"/>
  <c r="R2643" i="1" s="1"/>
  <c r="O2644" i="1"/>
  <c r="R2644" i="1" s="1"/>
  <c r="O2645" i="1"/>
  <c r="R2645" i="1" s="1"/>
  <c r="O2646" i="1"/>
  <c r="R2646" i="1" s="1"/>
  <c r="O2647" i="1"/>
  <c r="R2647" i="1" s="1"/>
  <c r="O2648" i="1"/>
  <c r="R2648" i="1" s="1"/>
  <c r="O2649" i="1"/>
  <c r="R2649" i="1" s="1"/>
  <c r="O2650" i="1"/>
  <c r="R2650" i="1" s="1"/>
  <c r="O2651" i="1"/>
  <c r="R2651" i="1" s="1"/>
  <c r="O2652" i="1"/>
  <c r="R2652" i="1" s="1"/>
  <c r="O2653" i="1"/>
  <c r="O2654" i="1"/>
  <c r="R2654" i="1" s="1"/>
  <c r="O2655" i="1"/>
  <c r="R2655" i="1" s="1"/>
  <c r="O2656" i="1"/>
  <c r="R2656" i="1" s="1"/>
  <c r="O2657" i="1"/>
  <c r="R2657" i="1" s="1"/>
  <c r="O2658" i="1"/>
  <c r="R2658" i="1" s="1"/>
  <c r="O2659" i="1"/>
  <c r="R2659" i="1" s="1"/>
  <c r="O2660" i="1"/>
  <c r="R2660" i="1" s="1"/>
  <c r="O2661" i="1"/>
  <c r="R2661" i="1" s="1"/>
  <c r="O2662" i="1"/>
  <c r="R2662" i="1" s="1"/>
  <c r="O2663" i="1"/>
  <c r="R2663" i="1" s="1"/>
  <c r="O2664" i="1"/>
  <c r="R2664" i="1" s="1"/>
  <c r="O2665" i="1"/>
  <c r="R2665" i="1" s="1"/>
  <c r="O2666" i="1"/>
  <c r="R2666" i="1" s="1"/>
  <c r="O2667" i="1"/>
  <c r="R2667" i="1" s="1"/>
  <c r="O2668" i="1"/>
  <c r="R2668" i="1" s="1"/>
  <c r="O2669" i="1"/>
  <c r="R2669" i="1" s="1"/>
  <c r="O2670" i="1"/>
  <c r="R2670" i="1" s="1"/>
  <c r="O2671" i="1"/>
  <c r="R2671" i="1" s="1"/>
  <c r="O2672" i="1"/>
  <c r="R2672" i="1" s="1"/>
  <c r="O2673" i="1"/>
  <c r="R2673" i="1" s="1"/>
  <c r="O2674" i="1"/>
  <c r="R2674" i="1" s="1"/>
  <c r="O2675" i="1"/>
  <c r="R2675" i="1" s="1"/>
  <c r="O2676" i="1"/>
  <c r="R2676" i="1" s="1"/>
  <c r="O2677" i="1"/>
  <c r="R2677" i="1" s="1"/>
  <c r="O2678" i="1"/>
  <c r="R2678" i="1" s="1"/>
  <c r="O2679" i="1"/>
  <c r="R2679" i="1" s="1"/>
  <c r="O2680" i="1"/>
  <c r="R2680" i="1" s="1"/>
  <c r="O2681" i="1"/>
  <c r="R2681" i="1" s="1"/>
  <c r="O2682" i="1"/>
  <c r="R2682" i="1" s="1"/>
  <c r="O2683" i="1"/>
  <c r="R2683" i="1" s="1"/>
  <c r="O2684" i="1"/>
  <c r="R2684" i="1" s="1"/>
  <c r="O2685" i="1"/>
  <c r="O2686" i="1"/>
  <c r="R2686" i="1" s="1"/>
  <c r="O2687" i="1"/>
  <c r="R2687" i="1" s="1"/>
  <c r="O2688" i="1"/>
  <c r="R2688" i="1" s="1"/>
  <c r="O2689" i="1"/>
  <c r="R2689" i="1" s="1"/>
  <c r="O2690" i="1"/>
  <c r="R2690" i="1" s="1"/>
  <c r="O2691" i="1"/>
  <c r="R2691" i="1" s="1"/>
  <c r="O2692" i="1"/>
  <c r="R2692" i="1" s="1"/>
  <c r="O2693" i="1"/>
  <c r="R2693" i="1" s="1"/>
  <c r="O2694" i="1"/>
  <c r="R2694" i="1" s="1"/>
  <c r="O2695" i="1"/>
  <c r="R2695" i="1" s="1"/>
  <c r="O2696" i="1"/>
  <c r="R2696" i="1" s="1"/>
  <c r="O2697" i="1"/>
  <c r="R2697" i="1" s="1"/>
  <c r="O2698" i="1"/>
  <c r="R2698" i="1" s="1"/>
  <c r="O2699" i="1"/>
  <c r="R2699" i="1" s="1"/>
  <c r="O2700" i="1"/>
  <c r="R2700" i="1" s="1"/>
  <c r="O2701" i="1"/>
  <c r="R2701" i="1" s="1"/>
  <c r="O2702" i="1"/>
  <c r="R2702" i="1" s="1"/>
  <c r="O2703" i="1"/>
  <c r="R2703" i="1" s="1"/>
  <c r="O2704" i="1"/>
  <c r="R2704" i="1" s="1"/>
  <c r="O2705" i="1"/>
  <c r="R2705" i="1" s="1"/>
  <c r="O2706" i="1"/>
  <c r="R2706" i="1" s="1"/>
  <c r="O2707" i="1"/>
  <c r="R2707" i="1" s="1"/>
  <c r="O2708" i="1"/>
  <c r="R2708" i="1" s="1"/>
  <c r="O2709" i="1"/>
  <c r="R2709" i="1" s="1"/>
  <c r="O2710" i="1"/>
  <c r="R2710" i="1" s="1"/>
  <c r="O2711" i="1"/>
  <c r="R2711" i="1" s="1"/>
  <c r="O2712" i="1"/>
  <c r="R2712" i="1" s="1"/>
  <c r="O2713" i="1"/>
  <c r="R2713" i="1" s="1"/>
  <c r="O2714" i="1"/>
  <c r="R2714" i="1" s="1"/>
  <c r="O2715" i="1"/>
  <c r="R2715" i="1" s="1"/>
  <c r="O2716" i="1"/>
  <c r="R2716" i="1" s="1"/>
  <c r="O2717" i="1"/>
  <c r="O2718" i="1"/>
  <c r="R2718" i="1" s="1"/>
  <c r="O2719" i="1"/>
  <c r="R2719" i="1" s="1"/>
  <c r="O2720" i="1"/>
  <c r="R2720" i="1" s="1"/>
  <c r="O2721" i="1"/>
  <c r="R2721" i="1" s="1"/>
  <c r="O2722" i="1"/>
  <c r="R2722" i="1" s="1"/>
  <c r="O2723" i="1"/>
  <c r="R2723" i="1" s="1"/>
  <c r="O2724" i="1"/>
  <c r="R2724" i="1" s="1"/>
  <c r="O2725" i="1"/>
  <c r="R2725" i="1" s="1"/>
  <c r="O2726" i="1"/>
  <c r="R2726" i="1" s="1"/>
  <c r="O2727" i="1"/>
  <c r="R2727" i="1" s="1"/>
  <c r="O2728" i="1"/>
  <c r="R2728" i="1" s="1"/>
  <c r="O2729" i="1"/>
  <c r="R2729" i="1" s="1"/>
  <c r="O2730" i="1"/>
  <c r="R2730" i="1" s="1"/>
  <c r="O2731" i="1"/>
  <c r="R2731" i="1" s="1"/>
  <c r="O2732" i="1"/>
  <c r="R2732" i="1" s="1"/>
  <c r="O2733" i="1"/>
  <c r="R2733" i="1" s="1"/>
  <c r="O2734" i="1"/>
  <c r="R2734" i="1" s="1"/>
  <c r="O2735" i="1"/>
  <c r="R2735" i="1" s="1"/>
  <c r="O2736" i="1"/>
  <c r="R2736" i="1" s="1"/>
  <c r="O2737" i="1"/>
  <c r="R2737" i="1" s="1"/>
  <c r="O2738" i="1"/>
  <c r="R2738" i="1" s="1"/>
  <c r="O2739" i="1"/>
  <c r="R2739" i="1" s="1"/>
  <c r="O2740" i="1"/>
  <c r="R2740" i="1" s="1"/>
  <c r="O2741" i="1"/>
  <c r="R2741" i="1" s="1"/>
  <c r="O2742" i="1"/>
  <c r="R2742" i="1" s="1"/>
  <c r="O2743" i="1"/>
  <c r="R2743" i="1" s="1"/>
  <c r="O2744" i="1"/>
  <c r="R2744" i="1" s="1"/>
  <c r="O2745" i="1"/>
  <c r="R2745" i="1" s="1"/>
  <c r="O2746" i="1"/>
  <c r="R2746" i="1" s="1"/>
  <c r="O2747" i="1"/>
  <c r="R2747" i="1" s="1"/>
  <c r="O2748" i="1"/>
  <c r="R2748" i="1" s="1"/>
  <c r="O2749" i="1"/>
  <c r="O2750" i="1"/>
  <c r="R2750" i="1" s="1"/>
  <c r="O2751" i="1"/>
  <c r="R2751" i="1" s="1"/>
  <c r="O2752" i="1"/>
  <c r="R2752" i="1" s="1"/>
  <c r="O2753" i="1"/>
  <c r="R2753" i="1" s="1"/>
  <c r="O2754" i="1"/>
  <c r="R2754" i="1" s="1"/>
  <c r="O2755" i="1"/>
  <c r="R2755" i="1" s="1"/>
  <c r="O2756" i="1"/>
  <c r="R2756" i="1" s="1"/>
  <c r="O2757" i="1"/>
  <c r="R2757" i="1" s="1"/>
  <c r="O2758" i="1"/>
  <c r="R2758" i="1" s="1"/>
  <c r="O2759" i="1"/>
  <c r="R2759" i="1" s="1"/>
  <c r="O2760" i="1"/>
  <c r="R2760" i="1" s="1"/>
  <c r="O2761" i="1"/>
  <c r="R2761" i="1" s="1"/>
  <c r="O2762" i="1"/>
  <c r="R2762" i="1" s="1"/>
  <c r="O2763" i="1"/>
  <c r="R2763" i="1" s="1"/>
  <c r="O2764" i="1"/>
  <c r="R2764" i="1" s="1"/>
  <c r="O2765" i="1"/>
  <c r="R2765" i="1" s="1"/>
  <c r="O2766" i="1"/>
  <c r="R2766" i="1" s="1"/>
  <c r="O2767" i="1"/>
  <c r="R2767" i="1" s="1"/>
  <c r="O2768" i="1"/>
  <c r="R2768" i="1" s="1"/>
  <c r="O2769" i="1"/>
  <c r="R2769" i="1" s="1"/>
  <c r="O2770" i="1"/>
  <c r="R2770" i="1" s="1"/>
  <c r="O2771" i="1"/>
  <c r="R2771" i="1" s="1"/>
  <c r="O2772" i="1"/>
  <c r="R2772" i="1" s="1"/>
  <c r="O2773" i="1"/>
  <c r="R2773" i="1" s="1"/>
  <c r="O2774" i="1"/>
  <c r="R2774" i="1" s="1"/>
  <c r="O2775" i="1"/>
  <c r="R2775" i="1" s="1"/>
  <c r="O2776" i="1"/>
  <c r="R2776" i="1" s="1"/>
  <c r="O2777" i="1"/>
  <c r="R2777" i="1" s="1"/>
  <c r="O2778" i="1"/>
  <c r="R2778" i="1" s="1"/>
  <c r="O2779" i="1"/>
  <c r="R2779" i="1" s="1"/>
  <c r="O2780" i="1"/>
  <c r="R2780" i="1" s="1"/>
  <c r="O2781" i="1"/>
  <c r="O2782" i="1"/>
  <c r="R2782" i="1" s="1"/>
  <c r="O2783" i="1"/>
  <c r="R2783" i="1" s="1"/>
  <c r="O2784" i="1"/>
  <c r="R2784" i="1" s="1"/>
  <c r="O2785" i="1"/>
  <c r="R2785" i="1" s="1"/>
  <c r="O2786" i="1"/>
  <c r="R2786" i="1" s="1"/>
  <c r="O2787" i="1"/>
  <c r="R2787" i="1" s="1"/>
  <c r="O2788" i="1"/>
  <c r="R2788" i="1" s="1"/>
  <c r="O2789" i="1"/>
  <c r="R2789" i="1" s="1"/>
  <c r="O2790" i="1"/>
  <c r="R2790" i="1" s="1"/>
  <c r="O2791" i="1"/>
  <c r="R2791" i="1" s="1"/>
  <c r="O2792" i="1"/>
  <c r="R2792" i="1" s="1"/>
  <c r="O2793" i="1"/>
  <c r="R2793" i="1" s="1"/>
  <c r="O2794" i="1"/>
  <c r="R2794" i="1" s="1"/>
  <c r="O2795" i="1"/>
  <c r="R2795" i="1" s="1"/>
  <c r="O2796" i="1"/>
  <c r="R2796" i="1" s="1"/>
  <c r="O2797" i="1"/>
  <c r="R2797" i="1" s="1"/>
  <c r="O2798" i="1"/>
  <c r="R2798" i="1" s="1"/>
  <c r="O2799" i="1"/>
  <c r="R2799" i="1" s="1"/>
  <c r="O2800" i="1"/>
  <c r="R2800" i="1" s="1"/>
  <c r="O2801" i="1"/>
  <c r="R2801" i="1" s="1"/>
  <c r="O2802" i="1"/>
  <c r="R2802" i="1" s="1"/>
  <c r="O2803" i="1"/>
  <c r="R2803" i="1" s="1"/>
  <c r="O2804" i="1"/>
  <c r="R2804" i="1" s="1"/>
  <c r="O2805" i="1"/>
  <c r="R2805" i="1" s="1"/>
  <c r="O2806" i="1"/>
  <c r="R2806" i="1" s="1"/>
  <c r="O2807" i="1"/>
  <c r="R2807" i="1" s="1"/>
  <c r="O2808" i="1"/>
  <c r="R2808" i="1" s="1"/>
  <c r="O2809" i="1"/>
  <c r="R2809" i="1" s="1"/>
  <c r="O2810" i="1"/>
  <c r="R2810" i="1" s="1"/>
  <c r="O2811" i="1"/>
  <c r="R2811" i="1" s="1"/>
  <c r="O2812" i="1"/>
  <c r="R2812" i="1" s="1"/>
  <c r="O2813" i="1"/>
  <c r="O2814" i="1"/>
  <c r="R2814" i="1" s="1"/>
  <c r="O2815" i="1"/>
  <c r="R2815" i="1" s="1"/>
  <c r="O2816" i="1"/>
  <c r="R2816" i="1" s="1"/>
  <c r="O2817" i="1"/>
  <c r="R2817" i="1" s="1"/>
  <c r="O2818" i="1"/>
  <c r="R2818" i="1" s="1"/>
  <c r="O2819" i="1"/>
  <c r="R2819" i="1" s="1"/>
  <c r="O2820" i="1"/>
  <c r="R2820" i="1" s="1"/>
  <c r="O2821" i="1"/>
  <c r="R2821" i="1" s="1"/>
  <c r="O2822" i="1"/>
  <c r="R2822" i="1" s="1"/>
  <c r="O2823" i="1"/>
  <c r="R2823" i="1" s="1"/>
  <c r="O2824" i="1"/>
  <c r="R2824" i="1" s="1"/>
  <c r="O2825" i="1"/>
  <c r="R2825" i="1" s="1"/>
  <c r="O2826" i="1"/>
  <c r="R2826" i="1" s="1"/>
  <c r="O2827" i="1"/>
  <c r="R2827" i="1" s="1"/>
  <c r="O2828" i="1"/>
  <c r="R2828" i="1" s="1"/>
  <c r="O2829" i="1"/>
  <c r="R2829" i="1" s="1"/>
  <c r="O2830" i="1"/>
  <c r="R2830" i="1" s="1"/>
  <c r="O2831" i="1"/>
  <c r="R2831" i="1" s="1"/>
  <c r="O2832" i="1"/>
  <c r="R2832" i="1" s="1"/>
  <c r="O2833" i="1"/>
  <c r="R2833" i="1" s="1"/>
  <c r="O2834" i="1"/>
  <c r="R2834" i="1" s="1"/>
  <c r="O2835" i="1"/>
  <c r="R2835" i="1" s="1"/>
  <c r="O2836" i="1"/>
  <c r="R2836" i="1" s="1"/>
  <c r="O2837" i="1"/>
  <c r="R2837" i="1" s="1"/>
  <c r="O2838" i="1"/>
  <c r="R2838" i="1" s="1"/>
  <c r="O2839" i="1"/>
  <c r="R2839" i="1" s="1"/>
  <c r="O2840" i="1"/>
  <c r="R2840" i="1" s="1"/>
  <c r="O2841" i="1"/>
  <c r="R2841" i="1" s="1"/>
  <c r="O2842" i="1"/>
  <c r="R2842" i="1" s="1"/>
  <c r="O2843" i="1"/>
  <c r="R2843" i="1" s="1"/>
  <c r="O2844" i="1"/>
  <c r="R2844" i="1" s="1"/>
  <c r="O2845" i="1"/>
  <c r="O2846" i="1"/>
  <c r="R2846" i="1" s="1"/>
  <c r="O2847" i="1"/>
  <c r="R2847" i="1" s="1"/>
  <c r="O2848" i="1"/>
  <c r="R2848" i="1" s="1"/>
  <c r="O2849" i="1"/>
  <c r="R2849" i="1" s="1"/>
  <c r="O2850" i="1"/>
  <c r="R2850" i="1" s="1"/>
  <c r="O2851" i="1"/>
  <c r="R2851" i="1" s="1"/>
  <c r="O2852" i="1"/>
  <c r="R2852" i="1" s="1"/>
  <c r="O2853" i="1"/>
  <c r="R2853" i="1" s="1"/>
  <c r="O2854" i="1"/>
  <c r="R2854" i="1" s="1"/>
  <c r="O2855" i="1"/>
  <c r="R2855" i="1" s="1"/>
  <c r="O2856" i="1"/>
  <c r="R2856" i="1" s="1"/>
  <c r="O2857" i="1"/>
  <c r="R2857" i="1" s="1"/>
  <c r="O2858" i="1"/>
  <c r="R2858" i="1" s="1"/>
  <c r="O2859" i="1"/>
  <c r="R2859" i="1" s="1"/>
  <c r="O2860" i="1"/>
  <c r="R2860" i="1" s="1"/>
  <c r="O2861" i="1"/>
  <c r="R2861" i="1" s="1"/>
  <c r="O2862" i="1"/>
  <c r="R2862" i="1" s="1"/>
  <c r="O2863" i="1"/>
  <c r="R2863" i="1" s="1"/>
  <c r="O2864" i="1"/>
  <c r="R2864" i="1" s="1"/>
  <c r="O2865" i="1"/>
  <c r="R2865" i="1" s="1"/>
  <c r="O2866" i="1"/>
  <c r="R2866" i="1" s="1"/>
  <c r="O2867" i="1"/>
  <c r="R2867" i="1" s="1"/>
  <c r="O2868" i="1"/>
  <c r="R2868" i="1" s="1"/>
  <c r="O2869" i="1"/>
  <c r="R2869" i="1" s="1"/>
  <c r="O2870" i="1"/>
  <c r="R2870" i="1" s="1"/>
  <c r="O2871" i="1"/>
  <c r="R2871" i="1" s="1"/>
  <c r="O2872" i="1"/>
  <c r="R2872" i="1" s="1"/>
  <c r="O2873" i="1"/>
  <c r="R2873" i="1" s="1"/>
  <c r="O2874" i="1"/>
  <c r="R2874" i="1" s="1"/>
  <c r="O2875" i="1"/>
  <c r="R2875" i="1" s="1"/>
  <c r="O2876" i="1"/>
  <c r="R2876" i="1" s="1"/>
  <c r="O2877" i="1"/>
  <c r="O2878" i="1"/>
  <c r="R2878" i="1" s="1"/>
  <c r="O2879" i="1"/>
  <c r="R2879" i="1" s="1"/>
  <c r="O2880" i="1"/>
  <c r="R2880" i="1" s="1"/>
  <c r="O2881" i="1"/>
  <c r="R2881" i="1" s="1"/>
  <c r="O2882" i="1"/>
  <c r="R2882" i="1" s="1"/>
  <c r="O2883" i="1"/>
  <c r="R2883" i="1" s="1"/>
  <c r="O2884" i="1"/>
  <c r="R2884" i="1" s="1"/>
  <c r="O2885" i="1"/>
  <c r="R2885" i="1" s="1"/>
  <c r="O2886" i="1"/>
  <c r="R2886" i="1" s="1"/>
  <c r="O2887" i="1"/>
  <c r="R2887" i="1" s="1"/>
  <c r="O2888" i="1"/>
  <c r="R2888" i="1" s="1"/>
  <c r="O2889" i="1"/>
  <c r="R2889" i="1" s="1"/>
  <c r="O2890" i="1"/>
  <c r="R2890" i="1" s="1"/>
  <c r="O2891" i="1"/>
  <c r="R2891" i="1" s="1"/>
  <c r="O2892" i="1"/>
  <c r="R2892" i="1" s="1"/>
  <c r="O2893" i="1"/>
  <c r="R2893" i="1" s="1"/>
  <c r="O2894" i="1"/>
  <c r="R2894" i="1" s="1"/>
  <c r="O2895" i="1"/>
  <c r="R2895" i="1" s="1"/>
  <c r="O2896" i="1"/>
  <c r="R2896" i="1" s="1"/>
  <c r="O2897" i="1"/>
  <c r="R2897" i="1" s="1"/>
  <c r="O2898" i="1"/>
  <c r="R2898" i="1" s="1"/>
  <c r="O2899" i="1"/>
  <c r="R2899" i="1" s="1"/>
  <c r="O2900" i="1"/>
  <c r="R2900" i="1" s="1"/>
  <c r="O2901" i="1"/>
  <c r="R2901" i="1" s="1"/>
  <c r="O2902" i="1"/>
  <c r="R2902" i="1" s="1"/>
  <c r="O2903" i="1"/>
  <c r="R2903" i="1" s="1"/>
  <c r="O2904" i="1"/>
  <c r="R2904" i="1" s="1"/>
  <c r="O2905" i="1"/>
  <c r="R2905" i="1" s="1"/>
  <c r="O2906" i="1"/>
  <c r="R2906" i="1" s="1"/>
  <c r="O2907" i="1"/>
  <c r="R2907" i="1" s="1"/>
  <c r="O2908" i="1"/>
  <c r="R2908" i="1" s="1"/>
  <c r="O2909" i="1"/>
  <c r="O2910" i="1"/>
  <c r="R2910" i="1" s="1"/>
  <c r="O2911" i="1"/>
  <c r="R2911" i="1" s="1"/>
  <c r="O2912" i="1"/>
  <c r="R2912" i="1" s="1"/>
  <c r="O2913" i="1"/>
  <c r="R2913" i="1" s="1"/>
  <c r="O2914" i="1"/>
  <c r="R2914" i="1" s="1"/>
  <c r="O2915" i="1"/>
  <c r="R2915" i="1" s="1"/>
  <c r="O2916" i="1"/>
  <c r="R2916" i="1" s="1"/>
  <c r="O2917" i="1"/>
  <c r="R2917" i="1" s="1"/>
  <c r="O2918" i="1"/>
  <c r="R2918" i="1" s="1"/>
  <c r="O2919" i="1"/>
  <c r="R2919" i="1" s="1"/>
  <c r="O2920" i="1"/>
  <c r="R2920" i="1" s="1"/>
  <c r="O2921" i="1"/>
  <c r="R2921" i="1" s="1"/>
  <c r="O2922" i="1"/>
  <c r="R2922" i="1" s="1"/>
  <c r="O2923" i="1"/>
  <c r="R2923" i="1" s="1"/>
  <c r="O2924" i="1"/>
  <c r="R2924" i="1" s="1"/>
  <c r="O2925" i="1"/>
  <c r="R2925" i="1" s="1"/>
  <c r="O2926" i="1"/>
  <c r="R2926" i="1" s="1"/>
  <c r="O2927" i="1"/>
  <c r="R2927" i="1" s="1"/>
  <c r="O2928" i="1"/>
  <c r="R2928" i="1" s="1"/>
  <c r="O2929" i="1"/>
  <c r="R2929" i="1" s="1"/>
  <c r="O2930" i="1"/>
  <c r="R2930" i="1" s="1"/>
  <c r="O2931" i="1"/>
  <c r="R2931" i="1" s="1"/>
  <c r="O2932" i="1"/>
  <c r="R2932" i="1" s="1"/>
  <c r="O2933" i="1"/>
  <c r="R2933" i="1" s="1"/>
  <c r="O2934" i="1"/>
  <c r="R2934" i="1" s="1"/>
  <c r="O2935" i="1"/>
  <c r="R2935" i="1" s="1"/>
  <c r="O2936" i="1"/>
  <c r="R2936" i="1" s="1"/>
  <c r="O2937" i="1"/>
  <c r="R2937" i="1" s="1"/>
  <c r="O2938" i="1"/>
  <c r="R2938" i="1" s="1"/>
  <c r="O2939" i="1"/>
  <c r="R2939" i="1" s="1"/>
  <c r="O2940" i="1"/>
  <c r="R2940" i="1" s="1"/>
  <c r="O2941" i="1"/>
  <c r="O2942" i="1"/>
  <c r="R2942" i="1" s="1"/>
  <c r="O2943" i="1"/>
  <c r="R2943" i="1" s="1"/>
  <c r="O2944" i="1"/>
  <c r="R2944" i="1" s="1"/>
  <c r="O2945" i="1"/>
  <c r="R2945" i="1" s="1"/>
  <c r="O2946" i="1"/>
  <c r="R2946" i="1" s="1"/>
  <c r="O2947" i="1"/>
  <c r="R2947" i="1" s="1"/>
  <c r="O2948" i="1"/>
  <c r="R2948" i="1" s="1"/>
  <c r="O2949" i="1"/>
  <c r="R2949" i="1" s="1"/>
  <c r="O2950" i="1"/>
  <c r="R2950" i="1" s="1"/>
  <c r="O2951" i="1"/>
  <c r="R2951" i="1" s="1"/>
  <c r="O2952" i="1"/>
  <c r="R2952" i="1" s="1"/>
  <c r="O2953" i="1"/>
  <c r="R2953" i="1" s="1"/>
  <c r="O2954" i="1"/>
  <c r="R2954" i="1" s="1"/>
  <c r="O2955" i="1"/>
  <c r="R2955" i="1" s="1"/>
  <c r="O2956" i="1"/>
  <c r="R2956" i="1" s="1"/>
  <c r="O2957" i="1"/>
  <c r="R2957" i="1" s="1"/>
  <c r="O2958" i="1"/>
  <c r="R2958" i="1" s="1"/>
  <c r="O2959" i="1"/>
  <c r="R2959" i="1" s="1"/>
  <c r="O2960" i="1"/>
  <c r="R2960" i="1" s="1"/>
  <c r="O2961" i="1"/>
  <c r="R2961" i="1" s="1"/>
  <c r="O2962" i="1"/>
  <c r="R2962" i="1" s="1"/>
  <c r="O2963" i="1"/>
  <c r="R2963" i="1" s="1"/>
  <c r="O2964" i="1"/>
  <c r="R2964" i="1" s="1"/>
  <c r="O2965" i="1"/>
  <c r="R2965" i="1" s="1"/>
  <c r="O2966" i="1"/>
  <c r="R2966" i="1" s="1"/>
  <c r="O2967" i="1"/>
  <c r="R2967" i="1" s="1"/>
  <c r="O2968" i="1"/>
  <c r="R2968" i="1" s="1"/>
  <c r="O2969" i="1"/>
  <c r="R2969" i="1" s="1"/>
  <c r="O2970" i="1"/>
  <c r="R2970" i="1" s="1"/>
  <c r="O2971" i="1"/>
  <c r="R2971" i="1" s="1"/>
  <c r="O2972" i="1"/>
  <c r="R2972" i="1" s="1"/>
  <c r="O2973" i="1"/>
  <c r="O2974" i="1"/>
  <c r="R2974" i="1" s="1"/>
  <c r="O2975" i="1"/>
  <c r="R2975" i="1" s="1"/>
  <c r="O2976" i="1"/>
  <c r="R2976" i="1" s="1"/>
  <c r="O2977" i="1"/>
  <c r="R2977" i="1" s="1"/>
  <c r="O2978" i="1"/>
  <c r="R2978" i="1" s="1"/>
  <c r="O2979" i="1"/>
  <c r="R2979" i="1" s="1"/>
  <c r="O2980" i="1"/>
  <c r="R2980" i="1" s="1"/>
  <c r="O2981" i="1"/>
  <c r="R2981" i="1" s="1"/>
  <c r="O2982" i="1"/>
  <c r="R2982" i="1" s="1"/>
  <c r="O2983" i="1"/>
  <c r="R2983" i="1" s="1"/>
  <c r="O2984" i="1"/>
  <c r="R2984" i="1" s="1"/>
  <c r="O2985" i="1"/>
  <c r="R2985" i="1" s="1"/>
  <c r="O2986" i="1"/>
  <c r="R2986" i="1" s="1"/>
  <c r="O2987" i="1"/>
  <c r="R2987" i="1" s="1"/>
  <c r="O2988" i="1"/>
  <c r="R2988" i="1" s="1"/>
  <c r="O2989" i="1"/>
  <c r="R2989" i="1" s="1"/>
  <c r="O2990" i="1"/>
  <c r="R2990" i="1" s="1"/>
  <c r="O2991" i="1"/>
  <c r="R2991" i="1" s="1"/>
  <c r="O2992" i="1"/>
  <c r="R2992" i="1" s="1"/>
  <c r="O2993" i="1"/>
  <c r="R2993" i="1" s="1"/>
  <c r="O2994" i="1"/>
  <c r="R2994" i="1" s="1"/>
  <c r="O2995" i="1"/>
  <c r="R2995" i="1" s="1"/>
  <c r="O2996" i="1"/>
  <c r="R2996" i="1" s="1"/>
  <c r="O2997" i="1"/>
  <c r="R2997" i="1" s="1"/>
  <c r="O2998" i="1"/>
  <c r="R2998" i="1" s="1"/>
  <c r="O2999" i="1"/>
  <c r="R2999" i="1" s="1"/>
  <c r="O3000" i="1"/>
  <c r="R3000" i="1" s="1"/>
  <c r="O3001" i="1"/>
  <c r="R3001" i="1" s="1"/>
  <c r="O3002" i="1"/>
  <c r="R3002" i="1" s="1"/>
  <c r="O3003" i="1"/>
  <c r="R3003" i="1" s="1"/>
  <c r="O3004" i="1"/>
  <c r="R3004" i="1" s="1"/>
  <c r="O3005" i="1"/>
  <c r="O3006" i="1"/>
  <c r="R3006" i="1" s="1"/>
  <c r="O3007" i="1"/>
  <c r="R3007" i="1" s="1"/>
  <c r="O3008" i="1"/>
  <c r="R3008" i="1" s="1"/>
  <c r="O3009" i="1"/>
  <c r="R3009" i="1" s="1"/>
  <c r="O3010" i="1"/>
  <c r="R3010" i="1" s="1"/>
  <c r="O3011" i="1"/>
  <c r="R3011" i="1" s="1"/>
  <c r="O3012" i="1"/>
  <c r="R3012" i="1" s="1"/>
  <c r="O3013" i="1"/>
  <c r="R3013" i="1" s="1"/>
  <c r="O3014" i="1"/>
  <c r="R3014" i="1" s="1"/>
  <c r="O3015" i="1"/>
  <c r="R3015" i="1" s="1"/>
  <c r="O3016" i="1"/>
  <c r="R3016" i="1" s="1"/>
  <c r="O3017" i="1"/>
  <c r="R3017" i="1" s="1"/>
  <c r="O3018" i="1"/>
  <c r="R3018" i="1" s="1"/>
  <c r="O3019" i="1"/>
  <c r="R3019" i="1" s="1"/>
  <c r="O3020" i="1"/>
  <c r="R3020" i="1" s="1"/>
  <c r="O3021" i="1"/>
  <c r="R3021" i="1" s="1"/>
  <c r="O3022" i="1"/>
  <c r="R3022" i="1" s="1"/>
  <c r="O3023" i="1"/>
  <c r="R3023" i="1" s="1"/>
  <c r="O3024" i="1"/>
  <c r="R3024" i="1" s="1"/>
  <c r="O3025" i="1"/>
  <c r="R3025" i="1" s="1"/>
  <c r="O3026" i="1"/>
  <c r="R3026" i="1" s="1"/>
  <c r="O3027" i="1"/>
  <c r="R3027" i="1" s="1"/>
  <c r="O3028" i="1"/>
  <c r="R3028" i="1" s="1"/>
  <c r="O3029" i="1"/>
  <c r="R3029" i="1" s="1"/>
  <c r="O3030" i="1"/>
  <c r="R3030" i="1" s="1"/>
  <c r="O3031" i="1"/>
  <c r="R3031" i="1" s="1"/>
  <c r="O3032" i="1"/>
  <c r="R3032" i="1" s="1"/>
  <c r="O3033" i="1"/>
  <c r="R3033" i="1" s="1"/>
  <c r="O3034" i="1"/>
  <c r="R3034" i="1" s="1"/>
  <c r="O3035" i="1"/>
  <c r="R3035" i="1" s="1"/>
  <c r="O3036" i="1"/>
  <c r="R3036" i="1" s="1"/>
  <c r="O3037" i="1"/>
  <c r="O3038" i="1"/>
  <c r="R3038" i="1" s="1"/>
  <c r="O3039" i="1"/>
  <c r="R3039" i="1" s="1"/>
  <c r="O3040" i="1"/>
  <c r="R3040" i="1" s="1"/>
  <c r="O3041" i="1"/>
  <c r="R3041" i="1" s="1"/>
  <c r="O3042" i="1"/>
  <c r="R3042" i="1" s="1"/>
  <c r="O3043" i="1"/>
  <c r="R3043" i="1" s="1"/>
  <c r="O3044" i="1"/>
  <c r="R3044" i="1" s="1"/>
  <c r="O3045" i="1"/>
  <c r="R3045" i="1" s="1"/>
  <c r="O3046" i="1"/>
  <c r="R3046" i="1" s="1"/>
  <c r="O3047" i="1"/>
  <c r="R3047" i="1" s="1"/>
  <c r="O3048" i="1"/>
  <c r="R3048" i="1" s="1"/>
  <c r="O3049" i="1"/>
  <c r="R3049" i="1" s="1"/>
  <c r="O3050" i="1"/>
  <c r="R3050" i="1" s="1"/>
  <c r="O3051" i="1"/>
  <c r="R3051" i="1" s="1"/>
  <c r="O3052" i="1"/>
  <c r="R3052" i="1" s="1"/>
  <c r="O3053" i="1"/>
  <c r="R3053" i="1" s="1"/>
  <c r="O3054" i="1"/>
  <c r="R3054" i="1" s="1"/>
  <c r="O3055" i="1"/>
  <c r="R3055" i="1" s="1"/>
  <c r="O3056" i="1"/>
  <c r="R3056" i="1" s="1"/>
  <c r="O3057" i="1"/>
  <c r="R3057" i="1" s="1"/>
  <c r="O3058" i="1"/>
  <c r="R3058" i="1" s="1"/>
  <c r="O3059" i="1"/>
  <c r="R3059" i="1" s="1"/>
  <c r="O3060" i="1"/>
  <c r="O3061" i="1"/>
  <c r="R3061" i="1" s="1"/>
  <c r="O3062" i="1"/>
  <c r="R3062" i="1" s="1"/>
  <c r="O3063" i="1"/>
  <c r="R3063" i="1" s="1"/>
  <c r="O3064" i="1"/>
  <c r="R3064" i="1" s="1"/>
  <c r="O3065" i="1"/>
  <c r="R3065" i="1" s="1"/>
  <c r="O3066" i="1"/>
  <c r="R3066" i="1" s="1"/>
  <c r="O3067" i="1"/>
  <c r="R3067" i="1" s="1"/>
  <c r="O3068" i="1"/>
  <c r="R3068" i="1" s="1"/>
  <c r="O3069" i="1"/>
  <c r="R3069" i="1" s="1"/>
  <c r="O3070" i="1"/>
  <c r="R3070" i="1" s="1"/>
  <c r="O3071" i="1"/>
  <c r="R3071" i="1" s="1"/>
  <c r="O3072" i="1"/>
  <c r="R3072" i="1" s="1"/>
  <c r="O3073" i="1"/>
  <c r="R3073" i="1" s="1"/>
  <c r="O3074" i="1"/>
  <c r="R3074" i="1" s="1"/>
  <c r="O3075" i="1"/>
  <c r="R3075" i="1" s="1"/>
  <c r="O3076" i="1"/>
  <c r="R3076" i="1" s="1"/>
  <c r="O3077" i="1"/>
  <c r="O3078" i="1"/>
  <c r="R3078" i="1" s="1"/>
  <c r="O3079" i="1"/>
  <c r="R3079" i="1" s="1"/>
  <c r="O3080" i="1"/>
  <c r="R3080" i="1" s="1"/>
  <c r="O3081" i="1"/>
  <c r="R3081" i="1" s="1"/>
  <c r="O3082" i="1"/>
  <c r="R3082" i="1" s="1"/>
  <c r="O3083" i="1"/>
  <c r="R3083" i="1" s="1"/>
  <c r="O3084" i="1"/>
  <c r="R3084" i="1" s="1"/>
  <c r="O3085" i="1"/>
  <c r="R3085" i="1" s="1"/>
  <c r="O3086" i="1"/>
  <c r="R3086" i="1" s="1"/>
  <c r="O3087" i="1"/>
  <c r="R3087" i="1" s="1"/>
  <c r="O3088" i="1"/>
  <c r="R3088" i="1" s="1"/>
  <c r="O3089" i="1"/>
  <c r="R3089" i="1" s="1"/>
  <c r="O3090" i="1"/>
  <c r="R3090" i="1" s="1"/>
  <c r="O3091" i="1"/>
  <c r="R3091" i="1" s="1"/>
  <c r="O3092" i="1"/>
  <c r="R3092" i="1" s="1"/>
  <c r="O3093" i="1"/>
  <c r="O3094" i="1"/>
  <c r="R3094" i="1" s="1"/>
  <c r="O3095" i="1"/>
  <c r="R3095" i="1" s="1"/>
  <c r="O3096" i="1"/>
  <c r="R3096" i="1" s="1"/>
  <c r="O3097" i="1"/>
  <c r="R3097" i="1" s="1"/>
  <c r="O3098" i="1"/>
  <c r="R3098" i="1" s="1"/>
  <c r="O3099" i="1"/>
  <c r="R3099" i="1" s="1"/>
  <c r="O3100" i="1"/>
  <c r="R3100" i="1" s="1"/>
  <c r="O3101" i="1"/>
  <c r="R3101" i="1" s="1"/>
  <c r="O3102" i="1"/>
  <c r="R3102" i="1" s="1"/>
  <c r="O3103" i="1"/>
  <c r="R3103" i="1" s="1"/>
  <c r="O3104" i="1"/>
  <c r="R3104" i="1" s="1"/>
  <c r="O3105" i="1"/>
  <c r="R3105" i="1" s="1"/>
  <c r="O3106" i="1"/>
  <c r="R3106" i="1" s="1"/>
  <c r="O3107" i="1"/>
  <c r="R3107" i="1" s="1"/>
  <c r="O3108" i="1"/>
  <c r="R3108" i="1" s="1"/>
  <c r="O3109" i="1"/>
  <c r="O3110" i="1"/>
  <c r="R3110" i="1" s="1"/>
  <c r="O3111" i="1"/>
  <c r="R3111" i="1" s="1"/>
  <c r="O3112" i="1"/>
  <c r="R3112" i="1" s="1"/>
  <c r="O3113" i="1"/>
  <c r="R3113" i="1" s="1"/>
  <c r="O3114" i="1"/>
  <c r="R3114" i="1" s="1"/>
  <c r="O3115" i="1"/>
  <c r="R3115" i="1" s="1"/>
  <c r="O3116" i="1"/>
  <c r="R3116" i="1" s="1"/>
  <c r="O3117" i="1"/>
  <c r="R3117" i="1" s="1"/>
  <c r="O3118" i="1"/>
  <c r="R3118" i="1" s="1"/>
  <c r="O3119" i="1"/>
  <c r="R3119" i="1" s="1"/>
  <c r="O3120" i="1"/>
  <c r="R3120" i="1" s="1"/>
  <c r="O3121" i="1"/>
  <c r="R3121" i="1" s="1"/>
  <c r="O3122" i="1"/>
  <c r="R3122" i="1" s="1"/>
  <c r="O3123" i="1"/>
  <c r="R3123" i="1" s="1"/>
  <c r="O3124" i="1"/>
  <c r="R3124" i="1" s="1"/>
  <c r="O3125" i="1"/>
  <c r="O3126" i="1"/>
  <c r="R3126" i="1" s="1"/>
  <c r="O3127" i="1"/>
  <c r="R3127" i="1" s="1"/>
  <c r="O3128" i="1"/>
  <c r="R3128" i="1" s="1"/>
  <c r="O3129" i="1"/>
  <c r="R3129" i="1" s="1"/>
  <c r="O3130" i="1"/>
  <c r="R3130" i="1" s="1"/>
  <c r="O3131" i="1"/>
  <c r="R3131" i="1" s="1"/>
  <c r="O3132" i="1"/>
  <c r="R3132" i="1" s="1"/>
  <c r="O3133" i="1"/>
  <c r="R3133" i="1" s="1"/>
  <c r="O3134" i="1"/>
  <c r="R3134" i="1" s="1"/>
  <c r="O3135" i="1"/>
  <c r="R3135" i="1" s="1"/>
  <c r="O3136" i="1"/>
  <c r="R3136" i="1" s="1"/>
  <c r="O3137" i="1"/>
  <c r="R3137" i="1" s="1"/>
  <c r="O3138" i="1"/>
  <c r="R3138" i="1" s="1"/>
  <c r="O3139" i="1"/>
  <c r="R3139" i="1" s="1"/>
  <c r="O3140" i="1"/>
  <c r="R3140" i="1" s="1"/>
  <c r="O3141" i="1"/>
  <c r="O3142" i="1"/>
  <c r="R3142" i="1" s="1"/>
  <c r="O3143" i="1"/>
  <c r="R3143" i="1" s="1"/>
  <c r="O3144" i="1"/>
  <c r="R3144" i="1" s="1"/>
  <c r="O3145" i="1"/>
  <c r="R3145" i="1" s="1"/>
  <c r="O3146" i="1"/>
  <c r="R3146" i="1" s="1"/>
  <c r="O3147" i="1"/>
  <c r="R3147" i="1" s="1"/>
  <c r="O3148" i="1"/>
  <c r="R3148" i="1" s="1"/>
  <c r="O3149" i="1"/>
  <c r="R3149" i="1" s="1"/>
  <c r="O3150" i="1"/>
  <c r="R3150" i="1" s="1"/>
  <c r="O3151" i="1"/>
  <c r="R3151" i="1" s="1"/>
  <c r="O3152" i="1"/>
  <c r="R3152" i="1" s="1"/>
  <c r="O3153" i="1"/>
  <c r="R3153" i="1" s="1"/>
  <c r="O3154" i="1"/>
  <c r="R3154" i="1" s="1"/>
  <c r="O3155" i="1"/>
  <c r="R3155" i="1" s="1"/>
  <c r="O3156" i="1"/>
  <c r="R3156" i="1" s="1"/>
  <c r="O3157" i="1"/>
  <c r="O3158" i="1"/>
  <c r="R3158" i="1" s="1"/>
  <c r="O3159" i="1"/>
  <c r="R3159" i="1" s="1"/>
  <c r="O3160" i="1"/>
  <c r="R3160" i="1" s="1"/>
  <c r="O3161" i="1"/>
  <c r="R3161" i="1" s="1"/>
  <c r="O3162" i="1"/>
  <c r="R3162" i="1" s="1"/>
  <c r="O3163" i="1"/>
  <c r="R3163" i="1" s="1"/>
  <c r="O3164" i="1"/>
  <c r="R3164" i="1" s="1"/>
  <c r="O3165" i="1"/>
  <c r="R3165" i="1" s="1"/>
  <c r="O3166" i="1"/>
  <c r="R3166" i="1" s="1"/>
  <c r="O3167" i="1"/>
  <c r="R3167" i="1" s="1"/>
  <c r="O3168" i="1"/>
  <c r="R3168" i="1" s="1"/>
  <c r="O3169" i="1"/>
  <c r="R3169" i="1" s="1"/>
  <c r="O3170" i="1"/>
  <c r="R3170" i="1" s="1"/>
  <c r="O3171" i="1"/>
  <c r="R3171" i="1" s="1"/>
  <c r="O3172" i="1"/>
  <c r="R3172" i="1" s="1"/>
  <c r="O3173" i="1"/>
  <c r="O3174" i="1"/>
  <c r="R3174" i="1" s="1"/>
  <c r="O3175" i="1"/>
  <c r="R3175" i="1" s="1"/>
  <c r="O3176" i="1"/>
  <c r="R3176" i="1" s="1"/>
  <c r="O3177" i="1"/>
  <c r="R3177" i="1" s="1"/>
  <c r="O3178" i="1"/>
  <c r="R3178" i="1" s="1"/>
  <c r="O3179" i="1"/>
  <c r="R3179" i="1" s="1"/>
  <c r="O3180" i="1"/>
  <c r="R3180" i="1" s="1"/>
  <c r="O3181" i="1"/>
  <c r="R3181" i="1" s="1"/>
  <c r="O3182" i="1"/>
  <c r="R3182" i="1" s="1"/>
  <c r="O3183" i="1"/>
  <c r="R3183" i="1" s="1"/>
  <c r="O3184" i="1"/>
  <c r="R3184" i="1" s="1"/>
  <c r="O3185" i="1"/>
  <c r="R3185" i="1" s="1"/>
  <c r="O3186" i="1"/>
  <c r="R3186" i="1" s="1"/>
  <c r="O3187" i="1"/>
  <c r="R3187" i="1" s="1"/>
  <c r="O3188" i="1"/>
  <c r="R3188" i="1" s="1"/>
  <c r="O3189" i="1"/>
  <c r="R3189" i="1" s="1"/>
  <c r="O3190" i="1"/>
  <c r="R3190" i="1" s="1"/>
  <c r="O3191" i="1"/>
  <c r="R3191" i="1" s="1"/>
  <c r="O3192" i="1"/>
  <c r="R3192" i="1" s="1"/>
  <c r="O3193" i="1"/>
  <c r="O3194" i="1"/>
  <c r="R3194" i="1" s="1"/>
  <c r="O3195" i="1"/>
  <c r="R3195" i="1" s="1"/>
  <c r="O3196" i="1"/>
  <c r="R3196" i="1" s="1"/>
  <c r="O3197" i="1"/>
  <c r="R3197" i="1" s="1"/>
  <c r="O3198" i="1"/>
  <c r="R3198" i="1" s="1"/>
  <c r="O3199" i="1"/>
  <c r="R3199" i="1" s="1"/>
  <c r="O3200" i="1"/>
  <c r="R3200" i="1" s="1"/>
  <c r="O3201" i="1"/>
  <c r="R3201" i="1" s="1"/>
  <c r="O3202" i="1"/>
  <c r="R3202" i="1" s="1"/>
  <c r="O3203" i="1"/>
  <c r="O3204" i="1"/>
  <c r="R3204" i="1" s="1"/>
  <c r="O3205" i="1"/>
  <c r="R3205" i="1" s="1"/>
  <c r="O3206" i="1"/>
  <c r="R3206" i="1" s="1"/>
  <c r="O3207" i="1"/>
  <c r="R3207" i="1" s="1"/>
  <c r="O3208" i="1"/>
  <c r="R3208" i="1" s="1"/>
  <c r="O3209" i="1"/>
  <c r="O3210" i="1"/>
  <c r="R3210" i="1" s="1"/>
  <c r="O3211" i="1"/>
  <c r="R3211" i="1" s="1"/>
  <c r="O3212" i="1"/>
  <c r="R3212" i="1" s="1"/>
  <c r="O3213" i="1"/>
  <c r="R3213" i="1" s="1"/>
  <c r="O3214" i="1"/>
  <c r="R3214" i="1" s="1"/>
  <c r="O3215" i="1"/>
  <c r="R3215" i="1" s="1"/>
  <c r="O3216" i="1"/>
  <c r="R3216" i="1" s="1"/>
  <c r="O3217" i="1"/>
  <c r="R3217" i="1" s="1"/>
  <c r="O3218" i="1"/>
  <c r="R3218" i="1" s="1"/>
  <c r="O3219" i="1"/>
  <c r="O3220" i="1"/>
  <c r="R3220" i="1" s="1"/>
  <c r="O3221" i="1"/>
  <c r="R3221" i="1" s="1"/>
  <c r="O3222" i="1"/>
  <c r="R3222" i="1" s="1"/>
  <c r="O3223" i="1"/>
  <c r="R3223" i="1" s="1"/>
  <c r="O3224" i="1"/>
  <c r="R3224" i="1" s="1"/>
  <c r="O3225" i="1"/>
  <c r="O3226" i="1"/>
  <c r="R3226" i="1" s="1"/>
  <c r="O3227" i="1"/>
  <c r="R3227" i="1" s="1"/>
  <c r="O3228" i="1"/>
  <c r="R3228" i="1" s="1"/>
  <c r="O3229" i="1"/>
  <c r="R3229" i="1" s="1"/>
  <c r="O3230" i="1"/>
  <c r="R3230" i="1" s="1"/>
  <c r="O3231" i="1"/>
  <c r="R3231" i="1" s="1"/>
  <c r="O3232" i="1"/>
  <c r="R3232" i="1" s="1"/>
  <c r="O3233" i="1"/>
  <c r="R3233" i="1" s="1"/>
  <c r="O3234" i="1"/>
  <c r="R3234" i="1" s="1"/>
  <c r="O3235" i="1"/>
  <c r="O3236" i="1"/>
  <c r="R3236" i="1" s="1"/>
  <c r="O3237" i="1"/>
  <c r="R3237" i="1" s="1"/>
  <c r="O3238" i="1"/>
  <c r="R3238" i="1" s="1"/>
  <c r="O3239" i="1"/>
  <c r="R3239" i="1" s="1"/>
  <c r="O3240" i="1"/>
  <c r="R3240" i="1" s="1"/>
  <c r="O3241" i="1"/>
  <c r="O3242" i="1"/>
  <c r="R3242" i="1" s="1"/>
  <c r="O3243" i="1"/>
  <c r="R3243" i="1" s="1"/>
  <c r="O3244" i="1"/>
  <c r="R3244" i="1" s="1"/>
  <c r="O3245" i="1"/>
  <c r="R3245" i="1" s="1"/>
  <c r="O3246" i="1"/>
  <c r="R3246" i="1" s="1"/>
  <c r="O3247" i="1"/>
  <c r="R3247" i="1" s="1"/>
  <c r="O3248" i="1"/>
  <c r="R3248" i="1" s="1"/>
  <c r="O3249" i="1"/>
  <c r="R3249" i="1" s="1"/>
  <c r="O3250" i="1"/>
  <c r="R3250" i="1" s="1"/>
  <c r="O3251" i="1"/>
  <c r="O3252" i="1"/>
  <c r="R3252" i="1" s="1"/>
  <c r="O3253" i="1"/>
  <c r="R3253" i="1" s="1"/>
  <c r="O3254" i="1"/>
  <c r="R3254" i="1" s="1"/>
  <c r="O3255" i="1"/>
  <c r="R3255" i="1" s="1"/>
  <c r="O3256" i="1"/>
  <c r="R3256" i="1" s="1"/>
  <c r="O3257" i="1"/>
  <c r="O3258" i="1"/>
  <c r="R3258" i="1" s="1"/>
  <c r="O3259" i="1"/>
  <c r="R3259" i="1" s="1"/>
  <c r="O3260" i="1"/>
  <c r="R3260" i="1" s="1"/>
  <c r="O3261" i="1"/>
  <c r="R3261" i="1" s="1"/>
  <c r="O3262" i="1"/>
  <c r="R3262" i="1" s="1"/>
  <c r="O3263" i="1"/>
  <c r="R3263" i="1" s="1"/>
  <c r="O3264" i="1"/>
  <c r="R3264" i="1" s="1"/>
  <c r="O3265" i="1"/>
  <c r="R3265" i="1" s="1"/>
  <c r="O3266" i="1"/>
  <c r="R3266" i="1" s="1"/>
  <c r="O3267" i="1"/>
  <c r="O3268" i="1"/>
  <c r="R3268" i="1" s="1"/>
  <c r="O3269" i="1"/>
  <c r="R3269" i="1" s="1"/>
  <c r="O3270" i="1"/>
  <c r="R3270" i="1" s="1"/>
  <c r="O3271" i="1"/>
  <c r="R3271" i="1" s="1"/>
  <c r="O3272" i="1"/>
  <c r="R3272" i="1" s="1"/>
  <c r="O3273" i="1"/>
  <c r="O3274" i="1"/>
  <c r="R3274" i="1" s="1"/>
  <c r="O3275" i="1"/>
  <c r="R3275" i="1" s="1"/>
  <c r="O3276" i="1"/>
  <c r="R3276" i="1" s="1"/>
  <c r="O3277" i="1"/>
  <c r="R3277" i="1" s="1"/>
  <c r="O3278" i="1"/>
  <c r="R3278" i="1" s="1"/>
  <c r="O3279" i="1"/>
  <c r="R3279" i="1" s="1"/>
  <c r="O3280" i="1"/>
  <c r="R3280" i="1" s="1"/>
  <c r="O3281" i="1"/>
  <c r="R3281" i="1" s="1"/>
  <c r="O3282" i="1"/>
  <c r="R3282" i="1" s="1"/>
  <c r="O3283" i="1"/>
  <c r="O3284" i="1"/>
  <c r="R3284" i="1" s="1"/>
  <c r="O3285" i="1"/>
  <c r="R3285" i="1" s="1"/>
  <c r="O3286" i="1"/>
  <c r="R3286" i="1" s="1"/>
  <c r="O3287" i="1"/>
  <c r="R3287" i="1" s="1"/>
  <c r="O3288" i="1"/>
  <c r="R3288" i="1" s="1"/>
  <c r="O3289" i="1"/>
  <c r="O3290" i="1"/>
  <c r="R3290" i="1" s="1"/>
  <c r="O3291" i="1"/>
  <c r="R3291" i="1" s="1"/>
  <c r="O3292" i="1"/>
  <c r="R3292" i="1" s="1"/>
  <c r="O3293" i="1"/>
  <c r="R3293" i="1" s="1"/>
  <c r="O3294" i="1"/>
  <c r="R3294" i="1" s="1"/>
  <c r="O3295" i="1"/>
  <c r="R3295" i="1" s="1"/>
  <c r="O3296" i="1"/>
  <c r="R3296" i="1" s="1"/>
  <c r="O3297" i="1"/>
  <c r="R3297" i="1" s="1"/>
  <c r="O3298" i="1"/>
  <c r="R3298" i="1" s="1"/>
  <c r="O3299" i="1"/>
  <c r="O3300" i="1"/>
  <c r="R3300" i="1" s="1"/>
  <c r="O3301" i="1"/>
  <c r="R3301" i="1" s="1"/>
  <c r="O3302" i="1"/>
  <c r="R3302" i="1" s="1"/>
  <c r="O3303" i="1"/>
  <c r="R3303" i="1" s="1"/>
  <c r="O3304" i="1"/>
  <c r="R3304" i="1" s="1"/>
  <c r="O3305" i="1"/>
  <c r="O3306" i="1"/>
  <c r="R3306" i="1" s="1"/>
  <c r="O3307" i="1"/>
  <c r="R3307" i="1" s="1"/>
  <c r="O3308" i="1"/>
  <c r="R3308" i="1" s="1"/>
  <c r="O3309" i="1"/>
  <c r="R3309" i="1" s="1"/>
  <c r="O3310" i="1"/>
  <c r="R3310" i="1" s="1"/>
  <c r="O3311" i="1"/>
  <c r="R3311" i="1" s="1"/>
  <c r="O3312" i="1"/>
  <c r="R3312" i="1" s="1"/>
  <c r="O3313" i="1"/>
  <c r="R3313" i="1" s="1"/>
  <c r="O3314" i="1"/>
  <c r="R3314" i="1" s="1"/>
  <c r="O3315" i="1"/>
  <c r="O3316" i="1"/>
  <c r="R3316" i="1" s="1"/>
  <c r="O3317" i="1"/>
  <c r="R3317" i="1" s="1"/>
  <c r="O3318" i="1"/>
  <c r="R3318" i="1" s="1"/>
  <c r="O3319" i="1"/>
  <c r="R3319" i="1" s="1"/>
  <c r="O3320" i="1"/>
  <c r="R3320" i="1" s="1"/>
  <c r="O3321" i="1"/>
  <c r="O3322" i="1"/>
  <c r="R3322" i="1" s="1"/>
  <c r="O3323" i="1"/>
  <c r="R3323" i="1" s="1"/>
  <c r="O3324" i="1"/>
  <c r="R3324" i="1" s="1"/>
  <c r="O3325" i="1"/>
  <c r="R3325" i="1" s="1"/>
  <c r="O3326" i="1"/>
  <c r="R3326" i="1" s="1"/>
  <c r="O3327" i="1"/>
  <c r="R3327" i="1" s="1"/>
  <c r="O3328" i="1"/>
  <c r="R3328" i="1" s="1"/>
  <c r="O3329" i="1"/>
  <c r="R3329" i="1" s="1"/>
  <c r="O3330" i="1"/>
  <c r="R3330" i="1" s="1"/>
  <c r="O3331" i="1"/>
  <c r="O3332" i="1"/>
  <c r="R3332" i="1" s="1"/>
  <c r="O3333" i="1"/>
  <c r="R3333" i="1" s="1"/>
  <c r="O3334" i="1"/>
  <c r="R3334" i="1" s="1"/>
  <c r="O3335" i="1"/>
  <c r="R3335" i="1" s="1"/>
  <c r="O3336" i="1"/>
  <c r="R3336" i="1" s="1"/>
  <c r="O3337" i="1"/>
  <c r="O3338" i="1"/>
  <c r="R3338" i="1" s="1"/>
  <c r="O3339" i="1"/>
  <c r="R3339" i="1" s="1"/>
  <c r="O3340" i="1"/>
  <c r="R3340" i="1" s="1"/>
  <c r="O3341" i="1"/>
  <c r="R3341" i="1" s="1"/>
  <c r="O3342" i="1"/>
  <c r="R3342" i="1" s="1"/>
  <c r="O3343" i="1"/>
  <c r="R3343" i="1" s="1"/>
  <c r="O3344" i="1"/>
  <c r="R3344" i="1" s="1"/>
  <c r="O3345" i="1"/>
  <c r="R3345" i="1" s="1"/>
  <c r="O3346" i="1"/>
  <c r="R3346" i="1" s="1"/>
  <c r="O3347" i="1"/>
  <c r="O3348" i="1"/>
  <c r="R3348" i="1" s="1"/>
  <c r="O3349" i="1"/>
  <c r="R3349" i="1" s="1"/>
  <c r="O3350" i="1"/>
  <c r="R3350" i="1" s="1"/>
  <c r="O3351" i="1"/>
  <c r="R3351" i="1" s="1"/>
  <c r="O3352" i="1"/>
  <c r="R3352" i="1" s="1"/>
  <c r="O3353" i="1"/>
  <c r="O3354" i="1"/>
  <c r="R3354" i="1" s="1"/>
  <c r="O3355" i="1"/>
  <c r="R3355" i="1" s="1"/>
  <c r="O3356" i="1"/>
  <c r="R3356" i="1" s="1"/>
  <c r="O3357" i="1"/>
  <c r="R3357" i="1" s="1"/>
  <c r="O3358" i="1"/>
  <c r="R3358" i="1" s="1"/>
  <c r="O3359" i="1"/>
  <c r="R3359" i="1" s="1"/>
  <c r="O3360" i="1"/>
  <c r="R3360" i="1" s="1"/>
  <c r="O3361" i="1"/>
  <c r="R3361" i="1" s="1"/>
  <c r="O3362" i="1"/>
  <c r="R3362" i="1" s="1"/>
  <c r="O3363" i="1"/>
  <c r="R3363" i="1" s="1"/>
  <c r="O3364" i="1"/>
  <c r="R3364" i="1" s="1"/>
  <c r="O3365" i="1"/>
  <c r="R3365" i="1" s="1"/>
  <c r="O3366" i="1"/>
  <c r="R3366" i="1" s="1"/>
  <c r="O3367" i="1"/>
  <c r="R3367" i="1" s="1"/>
  <c r="O3368" i="1"/>
  <c r="R3368" i="1" s="1"/>
  <c r="O3369" i="1"/>
  <c r="R3369" i="1" s="1"/>
  <c r="O3370" i="1"/>
  <c r="R3370" i="1" s="1"/>
  <c r="O3371" i="1"/>
  <c r="R3371" i="1" s="1"/>
  <c r="O3372" i="1"/>
  <c r="R3372" i="1" s="1"/>
  <c r="O3373" i="1"/>
  <c r="R3373" i="1" s="1"/>
  <c r="O3374" i="1"/>
  <c r="R3374" i="1" s="1"/>
  <c r="O3375" i="1"/>
  <c r="R3375" i="1" s="1"/>
  <c r="O3376" i="1"/>
  <c r="R3376" i="1" s="1"/>
  <c r="O3377" i="1"/>
  <c r="R3377" i="1" s="1"/>
  <c r="O3378" i="1"/>
  <c r="R3378" i="1" s="1"/>
  <c r="O3379" i="1"/>
  <c r="R3379" i="1" s="1"/>
  <c r="O3380" i="1"/>
  <c r="R3380" i="1" s="1"/>
  <c r="O3381" i="1"/>
  <c r="R3381" i="1" s="1"/>
  <c r="O3382" i="1"/>
  <c r="R3382" i="1" s="1"/>
  <c r="O3383" i="1"/>
  <c r="R3383" i="1" s="1"/>
  <c r="O3384" i="1"/>
  <c r="R3384" i="1" s="1"/>
  <c r="O3385" i="1"/>
  <c r="R3385" i="1" s="1"/>
  <c r="O3386" i="1"/>
  <c r="R3386" i="1" s="1"/>
  <c r="O3387" i="1"/>
  <c r="R3387" i="1" s="1"/>
  <c r="O3388" i="1"/>
  <c r="R3388" i="1" s="1"/>
  <c r="O3389" i="1"/>
  <c r="R3389" i="1" s="1"/>
  <c r="O3390" i="1"/>
  <c r="R3390" i="1" s="1"/>
  <c r="O3391" i="1"/>
  <c r="R3391" i="1" s="1"/>
  <c r="O3392" i="1"/>
  <c r="R3392" i="1" s="1"/>
  <c r="O3393" i="1"/>
  <c r="R3393" i="1" s="1"/>
  <c r="O3394" i="1"/>
  <c r="R3394" i="1" s="1"/>
  <c r="O3395" i="1"/>
  <c r="R3395" i="1" s="1"/>
  <c r="O3396" i="1"/>
  <c r="R3396" i="1" s="1"/>
  <c r="O3397" i="1"/>
  <c r="R3397" i="1" s="1"/>
  <c r="O3398" i="1"/>
  <c r="R3398" i="1" s="1"/>
  <c r="O3399" i="1"/>
  <c r="R3399" i="1" s="1"/>
  <c r="O3400" i="1"/>
  <c r="R3400" i="1" s="1"/>
  <c r="O3401" i="1"/>
  <c r="R3401" i="1" s="1"/>
  <c r="O3402" i="1"/>
  <c r="R3402" i="1" s="1"/>
  <c r="O3403" i="1"/>
  <c r="R3403" i="1" s="1"/>
  <c r="O3404" i="1"/>
  <c r="R3404" i="1" s="1"/>
  <c r="O3405" i="1"/>
  <c r="R3405" i="1" s="1"/>
  <c r="O3406" i="1"/>
  <c r="R3406" i="1" s="1"/>
  <c r="O3407" i="1"/>
  <c r="R3407" i="1" s="1"/>
  <c r="O3408" i="1"/>
  <c r="R3408" i="1" s="1"/>
  <c r="O3409" i="1"/>
  <c r="R3409" i="1" s="1"/>
  <c r="O3410" i="1"/>
  <c r="R3410" i="1" s="1"/>
  <c r="O3411" i="1"/>
  <c r="R3411" i="1" s="1"/>
  <c r="O3412" i="1"/>
  <c r="R3412" i="1" s="1"/>
  <c r="O3413" i="1"/>
  <c r="R3413" i="1" s="1"/>
  <c r="O3414" i="1"/>
  <c r="R3414" i="1" s="1"/>
  <c r="O3415" i="1"/>
  <c r="R3415" i="1" s="1"/>
  <c r="O3416" i="1"/>
  <c r="R3416" i="1" s="1"/>
  <c r="O3417" i="1"/>
  <c r="R3417" i="1" s="1"/>
  <c r="O3418" i="1"/>
  <c r="R3418" i="1" s="1"/>
  <c r="O3419" i="1"/>
  <c r="R3419" i="1" s="1"/>
  <c r="O3420" i="1"/>
  <c r="R3420" i="1" s="1"/>
  <c r="O3421" i="1"/>
  <c r="R3421" i="1" s="1"/>
  <c r="O3422" i="1"/>
  <c r="R3422" i="1" s="1"/>
  <c r="O3423" i="1"/>
  <c r="R3423" i="1" s="1"/>
  <c r="O3424" i="1"/>
  <c r="R3424" i="1" s="1"/>
  <c r="O3425" i="1"/>
  <c r="R3425" i="1" s="1"/>
  <c r="O3426" i="1"/>
  <c r="R3426" i="1" s="1"/>
  <c r="O3427" i="1"/>
  <c r="R3427" i="1" s="1"/>
  <c r="O3428" i="1"/>
  <c r="R3428" i="1" s="1"/>
  <c r="O3429" i="1"/>
  <c r="R3429" i="1" s="1"/>
  <c r="O3430" i="1"/>
  <c r="R3430" i="1" s="1"/>
  <c r="O3431" i="1"/>
  <c r="R3431" i="1" s="1"/>
  <c r="O3432" i="1"/>
  <c r="R3432" i="1" s="1"/>
  <c r="O3433" i="1"/>
  <c r="R3433" i="1" s="1"/>
  <c r="O3434" i="1"/>
  <c r="R3434" i="1" s="1"/>
  <c r="O3435" i="1"/>
  <c r="R3435" i="1" s="1"/>
  <c r="O3436" i="1"/>
  <c r="R3436" i="1" s="1"/>
  <c r="O3437" i="1"/>
  <c r="R3437" i="1" s="1"/>
  <c r="O3438" i="1"/>
  <c r="R3438" i="1" s="1"/>
  <c r="O3439" i="1"/>
  <c r="R3439" i="1" s="1"/>
  <c r="O3440" i="1"/>
  <c r="R3440" i="1" s="1"/>
  <c r="O3441" i="1"/>
  <c r="R3441" i="1" s="1"/>
  <c r="O3442" i="1"/>
  <c r="R3442" i="1" s="1"/>
  <c r="O3443" i="1"/>
  <c r="R3443" i="1" s="1"/>
  <c r="O3444" i="1"/>
  <c r="R3444" i="1" s="1"/>
  <c r="O3445" i="1"/>
  <c r="R3445" i="1" s="1"/>
  <c r="O3446" i="1"/>
  <c r="R3446" i="1" s="1"/>
  <c r="O3447" i="1"/>
  <c r="R3447" i="1" s="1"/>
  <c r="O3448" i="1"/>
  <c r="R3448" i="1" s="1"/>
  <c r="O3449" i="1"/>
  <c r="R3449" i="1" s="1"/>
  <c r="O3450" i="1"/>
  <c r="R3450" i="1" s="1"/>
  <c r="O3451" i="1"/>
  <c r="R3451" i="1" s="1"/>
  <c r="O3452" i="1"/>
  <c r="R3452" i="1" s="1"/>
  <c r="O3453" i="1"/>
  <c r="R3453" i="1" s="1"/>
  <c r="O3454" i="1"/>
  <c r="R3454" i="1" s="1"/>
  <c r="O3455" i="1"/>
  <c r="R3455" i="1" s="1"/>
  <c r="O3456" i="1"/>
  <c r="R3456" i="1" s="1"/>
  <c r="O3457" i="1"/>
  <c r="R3457" i="1" s="1"/>
  <c r="O3458" i="1"/>
  <c r="R3458" i="1" s="1"/>
  <c r="O3459" i="1"/>
  <c r="R3459" i="1" s="1"/>
  <c r="O3460" i="1"/>
  <c r="R3460" i="1" s="1"/>
  <c r="O3461" i="1"/>
  <c r="R3461" i="1" s="1"/>
  <c r="O3462" i="1"/>
  <c r="R3462" i="1" s="1"/>
  <c r="O3463" i="1"/>
  <c r="R3463" i="1" s="1"/>
  <c r="O3464" i="1"/>
  <c r="R3464" i="1" s="1"/>
  <c r="O3465" i="1"/>
  <c r="R3465" i="1" s="1"/>
  <c r="O3466" i="1"/>
  <c r="R3466" i="1" s="1"/>
  <c r="O3467" i="1"/>
  <c r="R3467" i="1" s="1"/>
  <c r="O3468" i="1"/>
  <c r="R3468" i="1" s="1"/>
  <c r="O3469" i="1"/>
  <c r="R3469" i="1" s="1"/>
  <c r="O3470" i="1"/>
  <c r="R3470" i="1" s="1"/>
  <c r="O3471" i="1"/>
  <c r="R3471" i="1" s="1"/>
  <c r="O3472" i="1"/>
  <c r="R3472" i="1" s="1"/>
  <c r="O3473" i="1"/>
  <c r="R3473" i="1" s="1"/>
  <c r="O3474" i="1"/>
  <c r="R3474" i="1" s="1"/>
  <c r="O3475" i="1"/>
  <c r="R3475" i="1" s="1"/>
  <c r="O3476" i="1"/>
  <c r="R3476" i="1" s="1"/>
  <c r="O3477" i="1"/>
  <c r="R3477" i="1" s="1"/>
  <c r="O3478" i="1"/>
  <c r="R3478" i="1" s="1"/>
  <c r="O3479" i="1"/>
  <c r="R3479" i="1" s="1"/>
  <c r="O3480" i="1"/>
  <c r="R3480" i="1" s="1"/>
  <c r="O3481" i="1"/>
  <c r="R3481" i="1" s="1"/>
  <c r="O3482" i="1"/>
  <c r="R3482" i="1" s="1"/>
  <c r="O3483" i="1"/>
  <c r="R3483" i="1" s="1"/>
  <c r="O3484" i="1"/>
  <c r="R3484" i="1" s="1"/>
  <c r="O3485" i="1"/>
  <c r="R3485" i="1" s="1"/>
  <c r="O3486" i="1"/>
  <c r="R3486" i="1" s="1"/>
  <c r="O3487" i="1"/>
  <c r="R3487" i="1" s="1"/>
  <c r="O3488" i="1"/>
  <c r="R3488" i="1" s="1"/>
  <c r="O3489" i="1"/>
  <c r="R3489" i="1" s="1"/>
  <c r="O3490" i="1"/>
  <c r="R3490" i="1" s="1"/>
  <c r="O3491" i="1"/>
  <c r="R3491" i="1" s="1"/>
  <c r="O3492" i="1"/>
  <c r="R3492" i="1" s="1"/>
  <c r="O3493" i="1"/>
  <c r="R3493" i="1" s="1"/>
  <c r="O3494" i="1"/>
  <c r="R3494" i="1" s="1"/>
  <c r="O3495" i="1"/>
  <c r="R3495" i="1" s="1"/>
  <c r="O3496" i="1"/>
  <c r="R3496" i="1" s="1"/>
  <c r="O3497" i="1"/>
  <c r="R3497" i="1" s="1"/>
  <c r="O3498" i="1"/>
  <c r="R3498" i="1" s="1"/>
  <c r="O3499" i="1"/>
  <c r="R3499" i="1" s="1"/>
  <c r="O3500" i="1"/>
  <c r="R3500" i="1" s="1"/>
  <c r="O3501" i="1"/>
  <c r="R3501" i="1" s="1"/>
  <c r="O3502" i="1"/>
  <c r="R3502" i="1" s="1"/>
  <c r="O3503" i="1"/>
  <c r="R3503" i="1" s="1"/>
  <c r="O3504" i="1"/>
  <c r="R3504" i="1" s="1"/>
  <c r="O3505" i="1"/>
  <c r="R3505" i="1" s="1"/>
  <c r="O3506" i="1"/>
  <c r="R3506" i="1" s="1"/>
  <c r="O3507" i="1"/>
  <c r="R3507" i="1" s="1"/>
  <c r="O3508" i="1"/>
  <c r="R3508" i="1" s="1"/>
  <c r="O3509" i="1"/>
  <c r="R3509" i="1" s="1"/>
  <c r="O3510" i="1"/>
  <c r="R3510" i="1" s="1"/>
  <c r="O3511" i="1"/>
  <c r="R3511" i="1" s="1"/>
  <c r="O3512" i="1"/>
  <c r="R3512" i="1" s="1"/>
  <c r="O3513" i="1"/>
  <c r="R3513" i="1" s="1"/>
  <c r="O3514" i="1"/>
  <c r="R3514" i="1" s="1"/>
  <c r="O3515" i="1"/>
  <c r="R3515" i="1" s="1"/>
  <c r="O3516" i="1"/>
  <c r="R3516" i="1" s="1"/>
  <c r="O3517" i="1"/>
  <c r="R3517" i="1" s="1"/>
  <c r="O3518" i="1"/>
  <c r="R3518" i="1" s="1"/>
  <c r="O3519" i="1"/>
  <c r="R3519" i="1" s="1"/>
  <c r="O3520" i="1"/>
  <c r="R3520" i="1" s="1"/>
  <c r="O3521" i="1"/>
  <c r="R3521" i="1" s="1"/>
  <c r="O3522" i="1"/>
  <c r="R3522" i="1" s="1"/>
  <c r="O3523" i="1"/>
  <c r="R3523" i="1" s="1"/>
  <c r="O3524" i="1"/>
  <c r="R3524" i="1" s="1"/>
  <c r="O3525" i="1"/>
  <c r="R3525" i="1" s="1"/>
  <c r="O3526" i="1"/>
  <c r="R3526" i="1" s="1"/>
  <c r="O3527" i="1"/>
  <c r="R3527" i="1" s="1"/>
  <c r="O3528" i="1"/>
  <c r="R3528" i="1" s="1"/>
  <c r="O3529" i="1"/>
  <c r="R3529" i="1" s="1"/>
  <c r="O3530" i="1"/>
  <c r="R3530" i="1" s="1"/>
  <c r="O3531" i="1"/>
  <c r="R3531" i="1" s="1"/>
  <c r="O3532" i="1"/>
  <c r="R3532" i="1" s="1"/>
  <c r="O3533" i="1"/>
  <c r="R3533" i="1" s="1"/>
  <c r="O3534" i="1"/>
  <c r="R3534" i="1" s="1"/>
  <c r="O3535" i="1"/>
  <c r="R3535" i="1" s="1"/>
  <c r="O3536" i="1"/>
  <c r="R3536" i="1" s="1"/>
  <c r="O3537" i="1"/>
  <c r="R3537" i="1" s="1"/>
  <c r="O3538" i="1"/>
  <c r="R3538" i="1" s="1"/>
  <c r="O3539" i="1"/>
  <c r="R3539" i="1" s="1"/>
  <c r="O3540" i="1"/>
  <c r="R3540" i="1" s="1"/>
  <c r="O3541" i="1"/>
  <c r="R3541" i="1" s="1"/>
  <c r="O3542" i="1"/>
  <c r="R3542" i="1" s="1"/>
  <c r="O3543" i="1"/>
  <c r="R3543" i="1" s="1"/>
  <c r="O3544" i="1"/>
  <c r="R3544" i="1" s="1"/>
  <c r="O3545" i="1"/>
  <c r="R3545" i="1" s="1"/>
  <c r="O3546" i="1"/>
  <c r="R3546" i="1" s="1"/>
  <c r="O3547" i="1"/>
  <c r="R3547" i="1" s="1"/>
  <c r="O3548" i="1"/>
  <c r="R3548" i="1" s="1"/>
  <c r="O3549" i="1"/>
  <c r="R3549" i="1" s="1"/>
  <c r="O3550" i="1"/>
  <c r="R3550" i="1" s="1"/>
  <c r="O3551" i="1"/>
  <c r="R3551" i="1" s="1"/>
  <c r="O3552" i="1"/>
  <c r="R3552" i="1" s="1"/>
  <c r="O3553" i="1"/>
  <c r="R3553" i="1" s="1"/>
  <c r="O3554" i="1"/>
  <c r="R3554" i="1" s="1"/>
  <c r="O3555" i="1"/>
  <c r="R3555" i="1" s="1"/>
  <c r="O3556" i="1"/>
  <c r="R3556" i="1" s="1"/>
  <c r="O3557" i="1"/>
  <c r="R3557" i="1" s="1"/>
  <c r="O3558" i="1"/>
  <c r="R3558" i="1" s="1"/>
  <c r="O3559" i="1"/>
  <c r="R3559" i="1" s="1"/>
  <c r="O3560" i="1"/>
  <c r="R3560" i="1" s="1"/>
  <c r="O3561" i="1"/>
  <c r="R3561" i="1" s="1"/>
  <c r="O3562" i="1"/>
  <c r="R3562" i="1" s="1"/>
  <c r="O3563" i="1"/>
  <c r="R3563" i="1" s="1"/>
  <c r="O3564" i="1"/>
  <c r="R3564" i="1" s="1"/>
  <c r="O3565" i="1"/>
  <c r="R3565" i="1" s="1"/>
  <c r="O3566" i="1"/>
  <c r="R3566" i="1" s="1"/>
  <c r="O3567" i="1"/>
  <c r="R3567" i="1" s="1"/>
  <c r="O3568" i="1"/>
  <c r="R3568" i="1" s="1"/>
  <c r="O3569" i="1"/>
  <c r="R3569" i="1" s="1"/>
  <c r="O3570" i="1"/>
  <c r="R3570" i="1" s="1"/>
  <c r="O3571" i="1"/>
  <c r="R3571" i="1" s="1"/>
  <c r="O3572" i="1"/>
  <c r="R3572" i="1" s="1"/>
  <c r="O3573" i="1"/>
  <c r="R3573" i="1" s="1"/>
  <c r="O3574" i="1"/>
  <c r="R3574" i="1" s="1"/>
  <c r="O3575" i="1"/>
  <c r="R3575" i="1" s="1"/>
  <c r="O3576" i="1"/>
  <c r="R3576" i="1" s="1"/>
  <c r="O3577" i="1"/>
  <c r="R3577" i="1" s="1"/>
  <c r="O3578" i="1"/>
  <c r="R3578" i="1" s="1"/>
  <c r="O3579" i="1"/>
  <c r="R3579" i="1" s="1"/>
  <c r="O3580" i="1"/>
  <c r="R3580" i="1" s="1"/>
  <c r="O3581" i="1"/>
  <c r="R3581" i="1" s="1"/>
  <c r="O3582" i="1"/>
  <c r="R3582" i="1" s="1"/>
  <c r="O3583" i="1"/>
  <c r="R3583" i="1" s="1"/>
  <c r="O3584" i="1"/>
  <c r="R3584" i="1" s="1"/>
  <c r="O3585" i="1"/>
  <c r="R3585" i="1" s="1"/>
  <c r="O3586" i="1"/>
  <c r="R3586" i="1" s="1"/>
  <c r="O3587" i="1"/>
  <c r="R3587" i="1" s="1"/>
  <c r="O3588" i="1"/>
  <c r="R3588" i="1" s="1"/>
  <c r="O3589" i="1"/>
  <c r="R3589" i="1" s="1"/>
  <c r="O3590" i="1"/>
  <c r="R3590" i="1" s="1"/>
  <c r="O3591" i="1"/>
  <c r="R3591" i="1" s="1"/>
  <c r="O3592" i="1"/>
  <c r="R3592" i="1" s="1"/>
  <c r="O3593" i="1"/>
  <c r="R3593" i="1" s="1"/>
  <c r="O3594" i="1"/>
  <c r="R3594" i="1" s="1"/>
  <c r="O3595" i="1"/>
  <c r="R3595" i="1" s="1"/>
  <c r="O3596" i="1"/>
  <c r="R3596" i="1" s="1"/>
  <c r="O3597" i="1"/>
  <c r="R3597" i="1" s="1"/>
  <c r="O3598" i="1"/>
  <c r="R3598" i="1" s="1"/>
  <c r="O3599" i="1"/>
  <c r="R3599" i="1" s="1"/>
  <c r="O3600" i="1"/>
  <c r="R3600" i="1" s="1"/>
  <c r="O3601" i="1"/>
  <c r="R3601" i="1" s="1"/>
  <c r="O3602" i="1"/>
  <c r="R3602" i="1" s="1"/>
  <c r="O3603" i="1"/>
  <c r="R3603" i="1" s="1"/>
  <c r="O3604" i="1"/>
  <c r="R3604" i="1" s="1"/>
  <c r="O3605" i="1"/>
  <c r="R3605" i="1" s="1"/>
  <c r="O3606" i="1"/>
  <c r="R3606" i="1" s="1"/>
  <c r="O3607" i="1"/>
  <c r="R3607" i="1" s="1"/>
  <c r="O3608" i="1"/>
  <c r="R3608" i="1" s="1"/>
  <c r="O3609" i="1"/>
  <c r="R3609" i="1" s="1"/>
  <c r="O3610" i="1"/>
  <c r="R3610" i="1" s="1"/>
  <c r="O3611" i="1"/>
  <c r="R3611" i="1" s="1"/>
  <c r="O3612" i="1"/>
  <c r="R3612" i="1" s="1"/>
  <c r="O3613" i="1"/>
  <c r="R3613" i="1" s="1"/>
  <c r="O3614" i="1"/>
  <c r="R3614" i="1" s="1"/>
  <c r="O3615" i="1"/>
  <c r="R3615" i="1" s="1"/>
  <c r="O3616" i="1"/>
  <c r="R3616" i="1" s="1"/>
  <c r="O3617" i="1"/>
  <c r="R3617" i="1" s="1"/>
  <c r="O3618" i="1"/>
  <c r="R3618" i="1" s="1"/>
  <c r="O3619" i="1"/>
  <c r="R3619" i="1" s="1"/>
  <c r="O3620" i="1"/>
  <c r="R3620" i="1" s="1"/>
  <c r="O3621" i="1"/>
  <c r="R3621" i="1" s="1"/>
  <c r="O3622" i="1"/>
  <c r="R3622" i="1" s="1"/>
  <c r="O3623" i="1"/>
  <c r="R3623" i="1" s="1"/>
  <c r="O3624" i="1"/>
  <c r="R3624" i="1" s="1"/>
  <c r="O3625" i="1"/>
  <c r="R3625" i="1" s="1"/>
  <c r="O3626" i="1"/>
  <c r="R3626" i="1" s="1"/>
  <c r="O3627" i="1"/>
  <c r="R3627" i="1" s="1"/>
  <c r="O3628" i="1"/>
  <c r="R3628" i="1" s="1"/>
  <c r="O3629" i="1"/>
  <c r="R3629" i="1" s="1"/>
  <c r="O3630" i="1"/>
  <c r="R3630" i="1" s="1"/>
  <c r="O3631" i="1"/>
  <c r="R3631" i="1" s="1"/>
  <c r="O3632" i="1"/>
  <c r="R3632" i="1" s="1"/>
  <c r="O3633" i="1"/>
  <c r="R3633" i="1" s="1"/>
  <c r="O3634" i="1"/>
  <c r="R3634" i="1" s="1"/>
  <c r="O3635" i="1"/>
  <c r="R3635" i="1" s="1"/>
  <c r="O3636" i="1"/>
  <c r="R3636" i="1" s="1"/>
  <c r="O3637" i="1"/>
  <c r="R3637" i="1" s="1"/>
  <c r="O3638" i="1"/>
  <c r="R3638" i="1" s="1"/>
  <c r="O3639" i="1"/>
  <c r="R3639" i="1" s="1"/>
  <c r="O3640" i="1"/>
  <c r="R3640" i="1" s="1"/>
  <c r="O3641" i="1"/>
  <c r="R3641" i="1" s="1"/>
  <c r="O3642" i="1"/>
  <c r="R3642" i="1" s="1"/>
  <c r="O3643" i="1"/>
  <c r="R3643" i="1" s="1"/>
  <c r="O3644" i="1"/>
  <c r="R3644" i="1" s="1"/>
  <c r="O3645" i="1"/>
  <c r="R3645" i="1" s="1"/>
  <c r="O3646" i="1"/>
  <c r="R3646" i="1" s="1"/>
  <c r="O3647" i="1"/>
  <c r="R3647" i="1" s="1"/>
  <c r="O3648" i="1"/>
  <c r="R3648" i="1" s="1"/>
  <c r="O3649" i="1"/>
  <c r="R3649" i="1" s="1"/>
  <c r="O3650" i="1"/>
  <c r="R3650" i="1" s="1"/>
  <c r="O3651" i="1"/>
  <c r="R3651" i="1" s="1"/>
  <c r="O3652" i="1"/>
  <c r="R3652" i="1" s="1"/>
  <c r="O3653" i="1"/>
  <c r="R3653" i="1" s="1"/>
  <c r="O3654" i="1"/>
  <c r="R3654" i="1" s="1"/>
  <c r="O3655" i="1"/>
  <c r="R3655" i="1" s="1"/>
  <c r="O3656" i="1"/>
  <c r="R3656" i="1" s="1"/>
  <c r="O3657" i="1"/>
  <c r="R3657" i="1" s="1"/>
  <c r="O3658" i="1"/>
  <c r="R3658" i="1" s="1"/>
  <c r="O3659" i="1"/>
  <c r="R3659" i="1" s="1"/>
  <c r="O3660" i="1"/>
  <c r="R3660" i="1" s="1"/>
  <c r="O3661" i="1"/>
  <c r="R3661" i="1" s="1"/>
  <c r="O3662" i="1"/>
  <c r="R3662" i="1" s="1"/>
  <c r="O3663" i="1"/>
  <c r="R3663" i="1" s="1"/>
  <c r="O3664" i="1"/>
  <c r="R3664" i="1" s="1"/>
  <c r="O3665" i="1"/>
  <c r="R3665" i="1" s="1"/>
  <c r="O3666" i="1"/>
  <c r="R3666" i="1" s="1"/>
  <c r="O3667" i="1"/>
  <c r="R3667" i="1" s="1"/>
  <c r="O3668" i="1"/>
  <c r="R3668" i="1" s="1"/>
  <c r="O3669" i="1"/>
  <c r="R3669" i="1" s="1"/>
  <c r="O3670" i="1"/>
  <c r="R3670" i="1" s="1"/>
  <c r="O3671" i="1"/>
  <c r="R3671" i="1" s="1"/>
  <c r="O3672" i="1"/>
  <c r="R3672" i="1" s="1"/>
  <c r="O3673" i="1"/>
  <c r="R3673" i="1" s="1"/>
  <c r="O3674" i="1"/>
  <c r="R3674" i="1" s="1"/>
  <c r="O3675" i="1"/>
  <c r="R3675" i="1" s="1"/>
  <c r="O3676" i="1"/>
  <c r="R3676" i="1" s="1"/>
  <c r="O3677" i="1"/>
  <c r="R3677" i="1" s="1"/>
  <c r="O3678" i="1"/>
  <c r="R3678" i="1" s="1"/>
  <c r="O3679" i="1"/>
  <c r="R3679" i="1" s="1"/>
  <c r="O3680" i="1"/>
  <c r="R3680" i="1" s="1"/>
  <c r="O3681" i="1"/>
  <c r="R3681" i="1" s="1"/>
  <c r="O3682" i="1"/>
  <c r="R3682" i="1" s="1"/>
  <c r="O3683" i="1"/>
  <c r="R3683" i="1" s="1"/>
  <c r="O3684" i="1"/>
  <c r="R3684" i="1" s="1"/>
  <c r="O3685" i="1"/>
  <c r="R3685" i="1" s="1"/>
  <c r="O3686" i="1"/>
  <c r="R3686" i="1" s="1"/>
  <c r="O3687" i="1"/>
  <c r="R3687" i="1" s="1"/>
  <c r="O3688" i="1"/>
  <c r="R3688" i="1" s="1"/>
  <c r="O3689" i="1"/>
  <c r="R3689" i="1" s="1"/>
  <c r="O3690" i="1"/>
  <c r="R3690" i="1" s="1"/>
  <c r="O3691" i="1"/>
  <c r="R3691" i="1" s="1"/>
  <c r="O3692" i="1"/>
  <c r="R3692" i="1" s="1"/>
  <c r="O3693" i="1"/>
  <c r="R3693" i="1" s="1"/>
  <c r="O3694" i="1"/>
  <c r="R3694" i="1" s="1"/>
  <c r="O3695" i="1"/>
  <c r="R3695" i="1" s="1"/>
  <c r="O3696" i="1"/>
  <c r="R3696" i="1" s="1"/>
  <c r="O3697" i="1"/>
  <c r="R3697" i="1" s="1"/>
  <c r="O3698" i="1"/>
  <c r="R3698" i="1" s="1"/>
  <c r="O3699" i="1"/>
  <c r="R3699" i="1" s="1"/>
  <c r="O3700" i="1"/>
  <c r="R3700" i="1" s="1"/>
  <c r="O3701" i="1"/>
  <c r="R3701" i="1" s="1"/>
  <c r="O3702" i="1"/>
  <c r="R3702" i="1" s="1"/>
  <c r="O3703" i="1"/>
  <c r="R3703" i="1" s="1"/>
  <c r="O3704" i="1"/>
  <c r="R3704" i="1" s="1"/>
  <c r="O3705" i="1"/>
  <c r="R3705" i="1" s="1"/>
  <c r="O3706" i="1"/>
  <c r="R3706" i="1" s="1"/>
  <c r="O3707" i="1"/>
  <c r="R3707" i="1" s="1"/>
  <c r="O3708" i="1"/>
  <c r="R3708" i="1" s="1"/>
  <c r="O3709" i="1"/>
  <c r="R3709" i="1" s="1"/>
  <c r="O3710" i="1"/>
  <c r="R3710" i="1" s="1"/>
  <c r="O3711" i="1"/>
  <c r="R3711" i="1" s="1"/>
  <c r="O3712" i="1"/>
  <c r="R3712" i="1" s="1"/>
  <c r="O3713" i="1"/>
  <c r="R3713" i="1" s="1"/>
  <c r="O3714" i="1"/>
  <c r="R3714" i="1" s="1"/>
  <c r="O3715" i="1"/>
  <c r="R3715" i="1" s="1"/>
  <c r="O3716" i="1"/>
  <c r="R3716" i="1" s="1"/>
  <c r="O3717" i="1"/>
  <c r="R3717" i="1" s="1"/>
  <c r="O3718" i="1"/>
  <c r="R3718" i="1" s="1"/>
  <c r="O3719" i="1"/>
  <c r="R3719" i="1" s="1"/>
  <c r="O3720" i="1"/>
  <c r="R3720" i="1" s="1"/>
  <c r="O3721" i="1"/>
  <c r="R3721" i="1" s="1"/>
  <c r="O3722" i="1"/>
  <c r="R3722" i="1" s="1"/>
  <c r="O3723" i="1"/>
  <c r="R3723" i="1" s="1"/>
  <c r="O3724" i="1"/>
  <c r="R3724" i="1" s="1"/>
  <c r="O3725" i="1"/>
  <c r="R3725" i="1" s="1"/>
  <c r="O3726" i="1"/>
  <c r="R3726" i="1" s="1"/>
  <c r="O3727" i="1"/>
  <c r="R3727" i="1" s="1"/>
  <c r="O3728" i="1"/>
  <c r="R3728" i="1" s="1"/>
  <c r="O3729" i="1"/>
  <c r="R3729" i="1" s="1"/>
  <c r="O3730" i="1"/>
  <c r="R3730" i="1" s="1"/>
  <c r="O3731" i="1"/>
  <c r="R3731" i="1" s="1"/>
  <c r="O3732" i="1"/>
  <c r="R3732" i="1" s="1"/>
  <c r="O3733" i="1"/>
  <c r="R3733" i="1" s="1"/>
  <c r="O3734" i="1"/>
  <c r="R3734" i="1" s="1"/>
  <c r="O3735" i="1"/>
  <c r="R3735" i="1" s="1"/>
  <c r="O3736" i="1"/>
  <c r="R3736" i="1" s="1"/>
  <c r="O3737" i="1"/>
  <c r="R3737" i="1" s="1"/>
  <c r="O3738" i="1"/>
  <c r="R3738" i="1" s="1"/>
  <c r="O3739" i="1"/>
  <c r="R3739" i="1" s="1"/>
  <c r="O3740" i="1"/>
  <c r="R3740" i="1" s="1"/>
  <c r="O3741" i="1"/>
  <c r="R3741" i="1" s="1"/>
  <c r="O3742" i="1"/>
  <c r="R3742" i="1" s="1"/>
  <c r="O3743" i="1"/>
  <c r="R3743" i="1" s="1"/>
  <c r="O3744" i="1"/>
  <c r="R3744" i="1" s="1"/>
  <c r="O3745" i="1"/>
  <c r="R3745" i="1" s="1"/>
  <c r="O3746" i="1"/>
  <c r="R3746" i="1" s="1"/>
  <c r="O3747" i="1"/>
  <c r="R3747" i="1" s="1"/>
  <c r="O3748" i="1"/>
  <c r="R3748" i="1" s="1"/>
  <c r="O3749" i="1"/>
  <c r="R3749" i="1" s="1"/>
  <c r="O3750" i="1"/>
  <c r="R3750" i="1" s="1"/>
  <c r="O3751" i="1"/>
  <c r="R3751" i="1" s="1"/>
  <c r="O3752" i="1"/>
  <c r="R3752" i="1" s="1"/>
  <c r="O3753" i="1"/>
  <c r="R3753" i="1" s="1"/>
  <c r="O3754" i="1"/>
  <c r="R3754" i="1" s="1"/>
  <c r="O3755" i="1"/>
  <c r="R3755" i="1" s="1"/>
  <c r="O3756" i="1"/>
  <c r="R3756" i="1" s="1"/>
  <c r="O3757" i="1"/>
  <c r="R3757" i="1" s="1"/>
  <c r="O3758" i="1"/>
  <c r="R3758" i="1" s="1"/>
  <c r="O3759" i="1"/>
  <c r="R3759" i="1" s="1"/>
  <c r="O3760" i="1"/>
  <c r="R3760" i="1" s="1"/>
  <c r="O3761" i="1"/>
  <c r="R3761" i="1" s="1"/>
  <c r="O3762" i="1"/>
  <c r="R3762" i="1" s="1"/>
  <c r="O3763" i="1"/>
  <c r="R3763" i="1" s="1"/>
  <c r="O3764" i="1"/>
  <c r="R3764" i="1" s="1"/>
  <c r="O3765" i="1"/>
  <c r="R3765" i="1" s="1"/>
  <c r="O3766" i="1"/>
  <c r="R3766" i="1" s="1"/>
  <c r="O3767" i="1"/>
  <c r="R3767" i="1" s="1"/>
  <c r="O3768" i="1"/>
  <c r="R3768" i="1" s="1"/>
  <c r="O3769" i="1"/>
  <c r="R3769" i="1" s="1"/>
  <c r="O3770" i="1"/>
  <c r="R3770" i="1" s="1"/>
  <c r="O3771" i="1"/>
  <c r="R3771" i="1" s="1"/>
  <c r="O3772" i="1"/>
  <c r="R3772" i="1" s="1"/>
  <c r="O3773" i="1"/>
  <c r="R3773" i="1" s="1"/>
  <c r="O3774" i="1"/>
  <c r="R3774" i="1" s="1"/>
  <c r="O3775" i="1"/>
  <c r="R3775" i="1" s="1"/>
  <c r="O3776" i="1"/>
  <c r="R3776" i="1" s="1"/>
  <c r="O3777" i="1"/>
  <c r="R3777" i="1" s="1"/>
  <c r="O3778" i="1"/>
  <c r="R3778" i="1" s="1"/>
  <c r="O3779" i="1"/>
  <c r="R3779" i="1" s="1"/>
  <c r="O3780" i="1"/>
  <c r="R3780" i="1" s="1"/>
  <c r="O3781" i="1"/>
  <c r="R3781" i="1" s="1"/>
  <c r="O3782" i="1"/>
  <c r="R3782" i="1" s="1"/>
  <c r="O3783" i="1"/>
  <c r="R3783" i="1" s="1"/>
  <c r="O3784" i="1"/>
  <c r="R3784" i="1" s="1"/>
  <c r="O3785" i="1"/>
  <c r="R3785" i="1" s="1"/>
  <c r="O3786" i="1"/>
  <c r="R3786" i="1" s="1"/>
  <c r="O3787" i="1"/>
  <c r="R3787" i="1" s="1"/>
  <c r="O3788" i="1"/>
  <c r="R3788" i="1" s="1"/>
  <c r="O3789" i="1"/>
  <c r="R3789" i="1" s="1"/>
  <c r="O3790" i="1"/>
  <c r="R3790" i="1" s="1"/>
  <c r="O3791" i="1"/>
  <c r="R3791" i="1" s="1"/>
  <c r="O3792" i="1"/>
  <c r="R3792" i="1" s="1"/>
  <c r="O3793" i="1"/>
  <c r="R3793" i="1" s="1"/>
  <c r="O3794" i="1"/>
  <c r="R3794" i="1" s="1"/>
  <c r="O3795" i="1"/>
  <c r="R3795" i="1" s="1"/>
  <c r="O3796" i="1"/>
  <c r="R3796" i="1" s="1"/>
  <c r="O3797" i="1"/>
  <c r="R3797" i="1" s="1"/>
  <c r="O3798" i="1"/>
  <c r="R3798" i="1" s="1"/>
  <c r="O3799" i="1"/>
  <c r="R3799" i="1" s="1"/>
  <c r="O3800" i="1"/>
  <c r="R3800" i="1" s="1"/>
  <c r="O3801" i="1"/>
  <c r="R3801" i="1" s="1"/>
  <c r="O3802" i="1"/>
  <c r="R3802" i="1" s="1"/>
  <c r="O3803" i="1"/>
  <c r="R3803" i="1" s="1"/>
  <c r="O3804" i="1"/>
  <c r="R3804" i="1" s="1"/>
  <c r="O3805" i="1"/>
  <c r="R3805" i="1" s="1"/>
  <c r="O3806" i="1"/>
  <c r="R3806" i="1" s="1"/>
  <c r="O3807" i="1"/>
  <c r="R3807" i="1" s="1"/>
  <c r="O3808" i="1"/>
  <c r="R3808" i="1" s="1"/>
  <c r="O3809" i="1"/>
  <c r="R3809" i="1" s="1"/>
  <c r="O3810" i="1"/>
  <c r="R3810" i="1" s="1"/>
  <c r="O3811" i="1"/>
  <c r="R3811" i="1" s="1"/>
  <c r="O3812" i="1"/>
  <c r="R3812" i="1" s="1"/>
  <c r="O3813" i="1"/>
  <c r="R3813" i="1" s="1"/>
  <c r="O3814" i="1"/>
  <c r="R3814" i="1" s="1"/>
  <c r="O3815" i="1"/>
  <c r="R3815" i="1" s="1"/>
  <c r="O3816" i="1"/>
  <c r="R3816" i="1" s="1"/>
  <c r="O3817" i="1"/>
  <c r="R3817" i="1" s="1"/>
  <c r="O3818" i="1"/>
  <c r="R3818" i="1" s="1"/>
  <c r="O3819" i="1"/>
  <c r="R3819" i="1" s="1"/>
  <c r="O3820" i="1"/>
  <c r="R3820" i="1" s="1"/>
  <c r="O3821" i="1"/>
  <c r="R3821" i="1" s="1"/>
  <c r="O3822" i="1"/>
  <c r="R3822" i="1" s="1"/>
  <c r="O3823" i="1"/>
  <c r="R3823" i="1" s="1"/>
  <c r="O3824" i="1"/>
  <c r="R3824" i="1" s="1"/>
  <c r="O3825" i="1"/>
  <c r="R3825" i="1" s="1"/>
  <c r="O3826" i="1"/>
  <c r="R3826" i="1" s="1"/>
  <c r="O3827" i="1"/>
  <c r="R3827" i="1" s="1"/>
  <c r="O3828" i="1"/>
  <c r="R3828" i="1" s="1"/>
  <c r="O3829" i="1"/>
  <c r="R3829" i="1" s="1"/>
  <c r="O3830" i="1"/>
  <c r="R3830" i="1" s="1"/>
  <c r="O3831" i="1"/>
  <c r="R3831" i="1" s="1"/>
  <c r="O3832" i="1"/>
  <c r="R3832" i="1" s="1"/>
  <c r="O3833" i="1"/>
  <c r="R3833" i="1" s="1"/>
  <c r="O3834" i="1"/>
  <c r="R3834" i="1" s="1"/>
  <c r="O3835" i="1"/>
  <c r="R3835" i="1" s="1"/>
  <c r="O3836" i="1"/>
  <c r="R3836" i="1" s="1"/>
  <c r="O3837" i="1"/>
  <c r="R3837" i="1" s="1"/>
  <c r="O3838" i="1"/>
  <c r="R3838" i="1" s="1"/>
  <c r="O3839" i="1"/>
  <c r="R3839" i="1" s="1"/>
  <c r="O3840" i="1"/>
  <c r="R3840" i="1" s="1"/>
  <c r="O3841" i="1"/>
  <c r="R3841" i="1" s="1"/>
  <c r="O3842" i="1"/>
  <c r="R3842" i="1" s="1"/>
  <c r="O3843" i="1"/>
  <c r="R3843" i="1" s="1"/>
  <c r="O3844" i="1"/>
  <c r="R3844" i="1" s="1"/>
  <c r="O3845" i="1"/>
  <c r="R3845" i="1" s="1"/>
  <c r="O3846" i="1"/>
  <c r="R3846" i="1" s="1"/>
  <c r="O3847" i="1"/>
  <c r="R3847" i="1" s="1"/>
  <c r="O3848" i="1"/>
  <c r="R3848" i="1" s="1"/>
  <c r="O3849" i="1"/>
  <c r="R3849" i="1" s="1"/>
  <c r="O3850" i="1"/>
  <c r="R3850" i="1" s="1"/>
  <c r="O3851" i="1"/>
  <c r="R3851" i="1" s="1"/>
  <c r="O3852" i="1"/>
  <c r="R3852" i="1" s="1"/>
  <c r="O3853" i="1"/>
  <c r="R3853" i="1" s="1"/>
  <c r="O3854" i="1"/>
  <c r="R3854" i="1" s="1"/>
  <c r="O3855" i="1"/>
  <c r="R3855" i="1" s="1"/>
  <c r="O3856" i="1"/>
  <c r="R3856" i="1" s="1"/>
  <c r="O3857" i="1"/>
  <c r="R3857" i="1" s="1"/>
  <c r="O3858" i="1"/>
  <c r="R3858" i="1" s="1"/>
  <c r="O3859" i="1"/>
  <c r="R3859" i="1" s="1"/>
  <c r="O3860" i="1"/>
  <c r="R3860" i="1" s="1"/>
  <c r="O3861" i="1"/>
  <c r="R3861" i="1" s="1"/>
  <c r="O3862" i="1"/>
  <c r="R3862" i="1" s="1"/>
  <c r="O3863" i="1"/>
  <c r="R3863" i="1" s="1"/>
  <c r="O3864" i="1"/>
  <c r="R3864" i="1" s="1"/>
  <c r="O3865" i="1"/>
  <c r="R3865" i="1" s="1"/>
  <c r="O3866" i="1"/>
  <c r="R3866" i="1" s="1"/>
  <c r="O3867" i="1"/>
  <c r="R3867" i="1" s="1"/>
  <c r="O3868" i="1"/>
  <c r="R3868" i="1" s="1"/>
  <c r="O3869" i="1"/>
  <c r="R3869" i="1" s="1"/>
  <c r="O3870" i="1"/>
  <c r="R3870" i="1" s="1"/>
  <c r="O3871" i="1"/>
  <c r="R3871" i="1" s="1"/>
  <c r="O3872" i="1"/>
  <c r="R3872" i="1" s="1"/>
  <c r="O3873" i="1"/>
  <c r="R3873" i="1" s="1"/>
  <c r="O3874" i="1"/>
  <c r="R3874" i="1" s="1"/>
  <c r="O3875" i="1"/>
  <c r="R3875" i="1" s="1"/>
  <c r="O3876" i="1"/>
  <c r="R3876" i="1" s="1"/>
  <c r="O3877" i="1"/>
  <c r="R3877" i="1" s="1"/>
  <c r="O3878" i="1"/>
  <c r="R3878" i="1" s="1"/>
  <c r="O3879" i="1"/>
  <c r="R3879" i="1" s="1"/>
  <c r="O3880" i="1"/>
  <c r="R3880" i="1" s="1"/>
  <c r="O3881" i="1"/>
  <c r="R3881" i="1" s="1"/>
  <c r="O3882" i="1"/>
  <c r="R3882" i="1" s="1"/>
  <c r="O3883" i="1"/>
  <c r="R3883" i="1" s="1"/>
  <c r="O3884" i="1"/>
  <c r="R3884" i="1" s="1"/>
  <c r="O3885" i="1"/>
  <c r="R3885" i="1" s="1"/>
  <c r="O3886" i="1"/>
  <c r="R3886" i="1" s="1"/>
  <c r="O3887" i="1"/>
  <c r="R3887" i="1" s="1"/>
  <c r="O3888" i="1"/>
  <c r="R3888" i="1" s="1"/>
  <c r="O3889" i="1"/>
  <c r="R3889" i="1" s="1"/>
  <c r="O3890" i="1"/>
  <c r="R3890" i="1" s="1"/>
  <c r="O3891" i="1"/>
  <c r="R3891" i="1" s="1"/>
  <c r="O3892" i="1"/>
  <c r="R3892" i="1" s="1"/>
  <c r="O3893" i="1"/>
  <c r="R3893" i="1" s="1"/>
  <c r="O3894" i="1"/>
  <c r="R3894" i="1" s="1"/>
  <c r="O3895" i="1"/>
  <c r="R3895" i="1" s="1"/>
  <c r="O3896" i="1"/>
  <c r="R3896" i="1" s="1"/>
  <c r="O3897" i="1"/>
  <c r="R3897" i="1" s="1"/>
  <c r="O3898" i="1"/>
  <c r="R3898" i="1" s="1"/>
  <c r="O3899" i="1"/>
  <c r="R3899" i="1" s="1"/>
  <c r="O3900" i="1"/>
  <c r="R3900" i="1" s="1"/>
  <c r="O3901" i="1"/>
  <c r="R3901" i="1" s="1"/>
  <c r="O3902" i="1"/>
  <c r="R3902" i="1" s="1"/>
  <c r="O3903" i="1"/>
  <c r="R3903" i="1" s="1"/>
  <c r="O3904" i="1"/>
  <c r="R3904" i="1" s="1"/>
  <c r="O3905" i="1"/>
  <c r="R3905" i="1" s="1"/>
  <c r="O3906" i="1"/>
  <c r="R3906" i="1" s="1"/>
  <c r="O3907" i="1"/>
  <c r="R3907" i="1" s="1"/>
  <c r="O3908" i="1"/>
  <c r="R3908" i="1" s="1"/>
  <c r="O3909" i="1"/>
  <c r="R3909" i="1" s="1"/>
  <c r="O3910" i="1"/>
  <c r="R3910" i="1" s="1"/>
  <c r="O3911" i="1"/>
  <c r="R3911" i="1" s="1"/>
  <c r="O3912" i="1"/>
  <c r="R3912" i="1" s="1"/>
  <c r="O3913" i="1"/>
  <c r="R3913" i="1" s="1"/>
  <c r="O3914" i="1"/>
  <c r="R3914" i="1" s="1"/>
  <c r="O3915" i="1"/>
  <c r="R3915" i="1" s="1"/>
  <c r="O3916" i="1"/>
  <c r="R3916" i="1" s="1"/>
  <c r="O3917" i="1"/>
  <c r="R3917" i="1" s="1"/>
  <c r="O3918" i="1"/>
  <c r="R3918" i="1" s="1"/>
  <c r="O3919" i="1"/>
  <c r="R3919" i="1" s="1"/>
  <c r="O3920" i="1"/>
  <c r="R3920" i="1" s="1"/>
  <c r="O3921" i="1"/>
  <c r="R3921" i="1" s="1"/>
  <c r="O3922" i="1"/>
  <c r="R3922" i="1" s="1"/>
  <c r="O3923" i="1"/>
  <c r="R3923" i="1" s="1"/>
  <c r="O3924" i="1"/>
  <c r="R3924" i="1" s="1"/>
  <c r="O3925" i="1"/>
  <c r="R3925" i="1" s="1"/>
  <c r="O3926" i="1"/>
  <c r="R3926" i="1" s="1"/>
  <c r="O3927" i="1"/>
  <c r="R3927" i="1" s="1"/>
  <c r="O3928" i="1"/>
  <c r="R3928" i="1" s="1"/>
  <c r="O3929" i="1"/>
  <c r="R3929" i="1" s="1"/>
  <c r="O3930" i="1"/>
  <c r="R3930" i="1" s="1"/>
  <c r="O3931" i="1"/>
  <c r="R3931" i="1" s="1"/>
  <c r="O3932" i="1"/>
  <c r="R3932" i="1" s="1"/>
  <c r="O3933" i="1"/>
  <c r="R3933" i="1" s="1"/>
  <c r="O3934" i="1"/>
  <c r="R3934" i="1" s="1"/>
  <c r="O3935" i="1"/>
  <c r="R3935" i="1" s="1"/>
  <c r="O3936" i="1"/>
  <c r="R3936" i="1" s="1"/>
  <c r="O3937" i="1"/>
  <c r="R3937" i="1" s="1"/>
  <c r="O3938" i="1"/>
  <c r="R3938" i="1" s="1"/>
  <c r="O3939" i="1"/>
  <c r="R3939" i="1" s="1"/>
  <c r="O3940" i="1"/>
  <c r="R3940" i="1" s="1"/>
  <c r="O3941" i="1"/>
  <c r="R3941" i="1" s="1"/>
  <c r="O3942" i="1"/>
  <c r="R3942" i="1" s="1"/>
  <c r="O3943" i="1"/>
  <c r="R3943" i="1" s="1"/>
  <c r="O3944" i="1"/>
  <c r="R3944" i="1" s="1"/>
  <c r="O3945" i="1"/>
  <c r="R3945" i="1" s="1"/>
  <c r="O3946" i="1"/>
  <c r="R3946" i="1" s="1"/>
  <c r="O3947" i="1"/>
  <c r="R3947" i="1" s="1"/>
  <c r="O3948" i="1"/>
  <c r="R3948" i="1" s="1"/>
  <c r="O3949" i="1"/>
  <c r="R3949" i="1" s="1"/>
  <c r="O3950" i="1"/>
  <c r="R3950" i="1" s="1"/>
  <c r="O3951" i="1"/>
  <c r="R3951" i="1" s="1"/>
  <c r="O3952" i="1"/>
  <c r="R3952" i="1" s="1"/>
  <c r="O3953" i="1"/>
  <c r="R3953" i="1" s="1"/>
  <c r="O3954" i="1"/>
  <c r="R3954" i="1" s="1"/>
  <c r="O3955" i="1"/>
  <c r="R3955" i="1" s="1"/>
  <c r="O3956" i="1"/>
  <c r="R3956" i="1" s="1"/>
  <c r="O3957" i="1"/>
  <c r="R3957" i="1" s="1"/>
  <c r="O3958" i="1"/>
  <c r="R3958" i="1" s="1"/>
  <c r="O3959" i="1"/>
  <c r="R3959" i="1" s="1"/>
  <c r="O3960" i="1"/>
  <c r="R3960" i="1" s="1"/>
  <c r="O3961" i="1"/>
  <c r="R3961" i="1" s="1"/>
  <c r="O3962" i="1"/>
  <c r="R3962" i="1" s="1"/>
  <c r="O3963" i="1"/>
  <c r="R3963" i="1" s="1"/>
  <c r="O3964" i="1"/>
  <c r="R3964" i="1" s="1"/>
  <c r="O3965" i="1"/>
  <c r="R3965" i="1" s="1"/>
  <c r="O3966" i="1"/>
  <c r="R3966" i="1" s="1"/>
  <c r="O3967" i="1"/>
  <c r="R3967" i="1" s="1"/>
  <c r="O3968" i="1"/>
  <c r="R3968" i="1" s="1"/>
  <c r="O3969" i="1"/>
  <c r="R3969" i="1" s="1"/>
  <c r="O3970" i="1"/>
  <c r="R3970" i="1" s="1"/>
  <c r="O3971" i="1"/>
  <c r="R3971" i="1" s="1"/>
  <c r="O3972" i="1"/>
  <c r="R3972" i="1" s="1"/>
  <c r="O3973" i="1"/>
  <c r="R3973" i="1" s="1"/>
  <c r="O3974" i="1"/>
  <c r="R3974" i="1" s="1"/>
  <c r="O3975" i="1"/>
  <c r="R3975" i="1" s="1"/>
  <c r="O3976" i="1"/>
  <c r="R3976" i="1" s="1"/>
  <c r="O3977" i="1"/>
  <c r="R3977" i="1" s="1"/>
  <c r="O3978" i="1"/>
  <c r="R3978" i="1" s="1"/>
  <c r="O3979" i="1"/>
  <c r="R3979" i="1" s="1"/>
  <c r="O3980" i="1"/>
  <c r="R3980" i="1" s="1"/>
  <c r="O3981" i="1"/>
  <c r="R3981" i="1" s="1"/>
  <c r="O3982" i="1"/>
  <c r="R3982" i="1" s="1"/>
  <c r="O3983" i="1"/>
  <c r="R3983" i="1" s="1"/>
  <c r="O3984" i="1"/>
  <c r="R3984" i="1" s="1"/>
  <c r="O3985" i="1"/>
  <c r="R3985" i="1" s="1"/>
  <c r="O3986" i="1"/>
  <c r="R3986" i="1" s="1"/>
  <c r="O3987" i="1"/>
  <c r="R3987" i="1" s="1"/>
  <c r="O3988" i="1"/>
  <c r="R3988" i="1" s="1"/>
  <c r="O3989" i="1"/>
  <c r="R3989" i="1" s="1"/>
  <c r="O3990" i="1"/>
  <c r="R3990" i="1" s="1"/>
  <c r="O3991" i="1"/>
  <c r="R3991" i="1" s="1"/>
  <c r="O3992" i="1"/>
  <c r="R3992" i="1" s="1"/>
  <c r="O3993" i="1"/>
  <c r="R3993" i="1" s="1"/>
  <c r="O3994" i="1"/>
  <c r="R3994" i="1" s="1"/>
  <c r="O3995" i="1"/>
  <c r="R3995" i="1" s="1"/>
  <c r="O3996" i="1"/>
  <c r="R3996" i="1" s="1"/>
  <c r="O3997" i="1"/>
  <c r="R3997" i="1" s="1"/>
  <c r="O3998" i="1"/>
  <c r="R3998" i="1" s="1"/>
  <c r="O3999" i="1"/>
  <c r="R3999" i="1" s="1"/>
  <c r="O4000" i="1"/>
  <c r="R4000" i="1" s="1"/>
  <c r="O4001" i="1"/>
  <c r="R4001" i="1" s="1"/>
  <c r="O4002" i="1"/>
  <c r="R4002" i="1" s="1"/>
  <c r="O4003" i="1"/>
  <c r="R4003" i="1" s="1"/>
  <c r="O4004" i="1"/>
  <c r="R4004" i="1" s="1"/>
  <c r="O4005" i="1"/>
  <c r="R4005" i="1" s="1"/>
  <c r="O4006" i="1"/>
  <c r="R4006" i="1" s="1"/>
  <c r="O4007" i="1"/>
  <c r="R4007" i="1" s="1"/>
  <c r="O4008" i="1"/>
  <c r="R4008" i="1" s="1"/>
  <c r="O4009" i="1"/>
  <c r="R4009" i="1" s="1"/>
  <c r="O4010" i="1"/>
  <c r="R4010" i="1" s="1"/>
  <c r="O4011" i="1"/>
  <c r="R4011" i="1" s="1"/>
  <c r="O4012" i="1"/>
  <c r="R4012" i="1" s="1"/>
  <c r="O4013" i="1"/>
  <c r="R4013" i="1" s="1"/>
  <c r="O4014" i="1"/>
  <c r="R4014" i="1" s="1"/>
  <c r="O4015" i="1"/>
  <c r="R4015" i="1" s="1"/>
  <c r="O4016" i="1"/>
  <c r="R4016" i="1" s="1"/>
  <c r="O4017" i="1"/>
  <c r="R4017" i="1" s="1"/>
  <c r="O4018" i="1"/>
  <c r="R4018" i="1" s="1"/>
  <c r="O4019" i="1"/>
  <c r="R4019" i="1" s="1"/>
  <c r="O4020" i="1"/>
  <c r="R4020" i="1" s="1"/>
  <c r="O4021" i="1"/>
  <c r="R4021" i="1" s="1"/>
  <c r="O4022" i="1"/>
  <c r="R4022" i="1" s="1"/>
  <c r="O4023" i="1"/>
  <c r="R4023" i="1" s="1"/>
  <c r="O4024" i="1"/>
  <c r="R4024" i="1" s="1"/>
  <c r="O4025" i="1"/>
  <c r="R4025" i="1" s="1"/>
  <c r="O4026" i="1"/>
  <c r="R4026" i="1" s="1"/>
  <c r="O4027" i="1"/>
  <c r="R4027" i="1" s="1"/>
  <c r="O4028" i="1"/>
  <c r="R4028" i="1" s="1"/>
  <c r="O4029" i="1"/>
  <c r="R4029" i="1" s="1"/>
  <c r="O4030" i="1"/>
  <c r="R4030" i="1" s="1"/>
  <c r="O4031" i="1"/>
  <c r="R4031" i="1" s="1"/>
  <c r="O4032" i="1"/>
  <c r="R4032" i="1" s="1"/>
  <c r="O4033" i="1"/>
  <c r="R4033" i="1" s="1"/>
  <c r="O4034" i="1"/>
  <c r="R4034" i="1" s="1"/>
  <c r="O4035" i="1"/>
  <c r="R4035" i="1" s="1"/>
  <c r="O4036" i="1"/>
  <c r="R4036" i="1" s="1"/>
  <c r="O4037" i="1"/>
  <c r="R4037" i="1" s="1"/>
  <c r="O4038" i="1"/>
  <c r="R4038" i="1" s="1"/>
  <c r="O4039" i="1"/>
  <c r="R4039" i="1" s="1"/>
  <c r="O4040" i="1"/>
  <c r="R4040" i="1" s="1"/>
  <c r="O4041" i="1"/>
  <c r="R4041" i="1" s="1"/>
  <c r="O4042" i="1"/>
  <c r="R4042" i="1" s="1"/>
  <c r="O4043" i="1"/>
  <c r="R4043" i="1" s="1"/>
  <c r="O4044" i="1"/>
  <c r="R4044" i="1" s="1"/>
  <c r="O4045" i="1"/>
  <c r="R4045" i="1" s="1"/>
  <c r="O4046" i="1"/>
  <c r="R4046" i="1" s="1"/>
  <c r="O4047" i="1"/>
  <c r="R4047" i="1" s="1"/>
  <c r="O4048" i="1"/>
  <c r="R4048" i="1" s="1"/>
  <c r="O4049" i="1"/>
  <c r="R4049" i="1" s="1"/>
  <c r="O4050" i="1"/>
  <c r="R4050" i="1" s="1"/>
  <c r="O4051" i="1"/>
  <c r="R4051" i="1" s="1"/>
  <c r="O4052" i="1"/>
  <c r="R4052" i="1" s="1"/>
  <c r="O4053" i="1"/>
  <c r="R4053" i="1" s="1"/>
  <c r="O4054" i="1"/>
  <c r="R4054" i="1" s="1"/>
  <c r="O4055" i="1"/>
  <c r="R4055" i="1" s="1"/>
  <c r="O4056" i="1"/>
  <c r="R4056" i="1" s="1"/>
  <c r="O4057" i="1"/>
  <c r="R4057" i="1" s="1"/>
  <c r="O4058" i="1"/>
  <c r="R4058" i="1" s="1"/>
  <c r="O4059" i="1"/>
  <c r="R4059" i="1" s="1"/>
  <c r="O4060" i="1"/>
  <c r="R4060" i="1" s="1"/>
  <c r="O4061" i="1"/>
  <c r="R4061" i="1" s="1"/>
  <c r="O4062" i="1"/>
  <c r="R4062" i="1" s="1"/>
  <c r="O4063" i="1"/>
  <c r="R4063" i="1" s="1"/>
  <c r="O4064" i="1"/>
  <c r="R4064" i="1" s="1"/>
  <c r="O4065" i="1"/>
  <c r="R4065" i="1" s="1"/>
  <c r="O4066" i="1"/>
  <c r="R4066" i="1" s="1"/>
  <c r="O4067" i="1"/>
  <c r="R4067" i="1" s="1"/>
  <c r="O4068" i="1"/>
  <c r="R4068" i="1" s="1"/>
  <c r="O4069" i="1"/>
  <c r="R4069" i="1" s="1"/>
  <c r="O4070" i="1"/>
  <c r="R4070" i="1" s="1"/>
  <c r="O4071" i="1"/>
  <c r="R4071" i="1" s="1"/>
  <c r="O4072" i="1"/>
  <c r="R4072" i="1" s="1"/>
  <c r="O4073" i="1"/>
  <c r="R4073" i="1" s="1"/>
  <c r="O4074" i="1"/>
  <c r="R4074" i="1" s="1"/>
  <c r="O4075" i="1"/>
  <c r="R4075" i="1" s="1"/>
  <c r="O4076" i="1"/>
  <c r="R4076" i="1" s="1"/>
  <c r="O4077" i="1"/>
  <c r="R4077" i="1" s="1"/>
  <c r="O4078" i="1"/>
  <c r="R4078" i="1" s="1"/>
  <c r="O4079" i="1"/>
  <c r="R4079" i="1" s="1"/>
  <c r="O4080" i="1"/>
  <c r="R4080" i="1" s="1"/>
  <c r="O4081" i="1"/>
  <c r="R4081" i="1" s="1"/>
  <c r="O4082" i="1"/>
  <c r="R4082" i="1" s="1"/>
  <c r="O4083" i="1"/>
  <c r="R4083" i="1" s="1"/>
  <c r="O4084" i="1"/>
  <c r="R4084" i="1" s="1"/>
  <c r="O4085" i="1"/>
  <c r="R4085" i="1" s="1"/>
  <c r="O4086" i="1"/>
  <c r="R4086" i="1" s="1"/>
  <c r="O4087" i="1"/>
  <c r="R4087" i="1" s="1"/>
  <c r="O4088" i="1"/>
  <c r="R4088" i="1" s="1"/>
  <c r="O4089" i="1"/>
  <c r="R4089" i="1" s="1"/>
  <c r="O4090" i="1"/>
  <c r="R4090" i="1" s="1"/>
  <c r="O4091" i="1"/>
  <c r="R4091" i="1" s="1"/>
  <c r="O4092" i="1"/>
  <c r="R4092" i="1" s="1"/>
  <c r="O4093" i="1"/>
  <c r="R4093" i="1" s="1"/>
  <c r="O4094" i="1"/>
  <c r="R4094" i="1" s="1"/>
  <c r="O4095" i="1"/>
  <c r="R4095" i="1" s="1"/>
  <c r="O4096" i="1"/>
  <c r="R4096" i="1" s="1"/>
  <c r="O4097" i="1"/>
  <c r="R4097" i="1" s="1"/>
  <c r="O4098" i="1"/>
  <c r="R4098" i="1" s="1"/>
  <c r="O4099" i="1"/>
  <c r="R4099" i="1" s="1"/>
  <c r="O3" i="1"/>
  <c r="R3" i="1" s="1"/>
  <c r="D74" i="1" l="1"/>
  <c r="D82" i="1"/>
  <c r="D139" i="1"/>
  <c r="D151" i="1"/>
  <c r="D189" i="1"/>
  <c r="D195" i="1"/>
  <c r="D199" i="1"/>
  <c r="D207" i="1"/>
  <c r="D230" i="1"/>
  <c r="D234" i="1"/>
  <c r="D245" i="1"/>
  <c r="D251" i="1"/>
  <c r="D262" i="1"/>
  <c r="D270" i="1"/>
  <c r="D275" i="1"/>
  <c r="D276" i="1"/>
  <c r="D282" i="1"/>
  <c r="D283" i="1"/>
  <c r="D288" i="1"/>
  <c r="D292" i="1"/>
  <c r="D296" i="1"/>
  <c r="D297" i="1"/>
  <c r="D300" i="1"/>
  <c r="D303" i="1"/>
  <c r="D304" i="1"/>
  <c r="D306" i="1"/>
  <c r="D307" i="1"/>
  <c r="D315" i="1"/>
  <c r="D318" i="1"/>
  <c r="D324" i="1"/>
  <c r="D327" i="1"/>
  <c r="D336" i="1"/>
  <c r="D344" i="1"/>
  <c r="D353" i="1"/>
  <c r="D366" i="1"/>
  <c r="D369" i="1"/>
  <c r="D372" i="1"/>
  <c r="D374" i="1"/>
  <c r="D376" i="1"/>
  <c r="D379" i="1"/>
  <c r="D384" i="1"/>
  <c r="D387" i="1"/>
  <c r="D388" i="1"/>
  <c r="D393" i="1"/>
  <c r="D394" i="1"/>
  <c r="D396" i="1"/>
  <c r="D401" i="1"/>
  <c r="D402" i="1"/>
  <c r="D403" i="1"/>
  <c r="D405" i="1"/>
  <c r="D408" i="1"/>
  <c r="D411" i="1"/>
  <c r="D418" i="1"/>
  <c r="D419" i="1"/>
  <c r="D420" i="1"/>
  <c r="D422" i="1"/>
  <c r="D423" i="1"/>
  <c r="D424" i="1"/>
  <c r="D425" i="1"/>
  <c r="D426" i="1"/>
  <c r="D427" i="1"/>
  <c r="D430" i="1"/>
  <c r="D435" i="1"/>
  <c r="D437" i="1"/>
  <c r="D440" i="1"/>
  <c r="D442" i="1"/>
  <c r="D443" i="1"/>
  <c r="D444" i="1"/>
  <c r="D446" i="1"/>
  <c r="D447" i="1"/>
  <c r="D448" i="1"/>
  <c r="D450" i="1"/>
  <c r="D451" i="1"/>
  <c r="D454" i="1"/>
  <c r="D459" i="1"/>
  <c r="D462" i="1"/>
  <c r="D463" i="1"/>
  <c r="D464" i="1"/>
  <c r="D465" i="1"/>
  <c r="D468" i="1"/>
  <c r="D470" i="1"/>
  <c r="D472" i="1"/>
  <c r="D473" i="1"/>
  <c r="D475" i="1"/>
  <c r="D476" i="1"/>
  <c r="D477" i="1"/>
  <c r="D480" i="1"/>
  <c r="D482" i="1"/>
  <c r="D483" i="1"/>
  <c r="D484" i="1"/>
  <c r="D485" i="1"/>
  <c r="D486" i="1"/>
  <c r="D488" i="1"/>
  <c r="D491" i="1"/>
  <c r="D492" i="1"/>
  <c r="D493" i="1"/>
  <c r="D494" i="1"/>
  <c r="D495" i="1"/>
  <c r="D498" i="1"/>
  <c r="D500" i="1"/>
  <c r="D501" i="1"/>
  <c r="D502" i="1"/>
  <c r="D504" i="1"/>
  <c r="D507" i="1"/>
  <c r="D509" i="1"/>
  <c r="D510" i="1"/>
  <c r="D511" i="1"/>
  <c r="D513" i="1"/>
  <c r="D544" i="1"/>
  <c r="D553" i="1"/>
  <c r="D565" i="1"/>
  <c r="D577" i="1"/>
  <c r="D580" i="1"/>
  <c r="D582" i="1"/>
  <c r="D590" i="1"/>
  <c r="D609" i="1"/>
  <c r="D611" i="1"/>
  <c r="D615" i="1"/>
  <c r="D623" i="1"/>
  <c r="D628" i="1"/>
  <c r="D629" i="1"/>
  <c r="D639" i="1"/>
  <c r="D647" i="1"/>
  <c r="D658" i="1"/>
  <c r="D661" i="1"/>
  <c r="D662" i="1"/>
  <c r="D673" i="1"/>
  <c r="D676" i="1"/>
  <c r="D686" i="1"/>
  <c r="D695" i="1"/>
  <c r="D696" i="1"/>
  <c r="D698" i="1"/>
  <c r="D715" i="1"/>
  <c r="D716" i="1"/>
  <c r="D724" i="1"/>
  <c r="D725" i="1"/>
  <c r="D736" i="1"/>
  <c r="D753" i="1"/>
  <c r="D754" i="1"/>
  <c r="D755" i="1"/>
  <c r="D758" i="1"/>
  <c r="D759" i="1"/>
  <c r="D763" i="1"/>
  <c r="D765" i="1"/>
  <c r="D769" i="1"/>
  <c r="D777" i="1"/>
  <c r="D778" i="1"/>
  <c r="D780" i="1"/>
  <c r="D783" i="1"/>
  <c r="D784" i="1"/>
  <c r="D788" i="1"/>
  <c r="D793" i="1"/>
  <c r="D797" i="1"/>
  <c r="D798" i="1"/>
  <c r="D800" i="1"/>
  <c r="D802" i="1"/>
  <c r="D804" i="1"/>
  <c r="D811" i="1"/>
  <c r="D819" i="1"/>
  <c r="D824" i="1"/>
  <c r="D826" i="1"/>
  <c r="D831" i="1"/>
  <c r="D833" i="1"/>
  <c r="D834" i="1"/>
  <c r="D837" i="1"/>
  <c r="D838" i="1"/>
  <c r="D839" i="1"/>
  <c r="D840" i="1"/>
  <c r="D841" i="1"/>
  <c r="D842" i="1"/>
  <c r="D844" i="1"/>
  <c r="D846" i="1"/>
  <c r="D851" i="1"/>
  <c r="D852" i="1"/>
  <c r="D853" i="1"/>
  <c r="D854" i="1"/>
  <c r="D863" i="1"/>
  <c r="D864" i="1"/>
  <c r="D865" i="1"/>
  <c r="D866" i="1"/>
  <c r="D867" i="1"/>
  <c r="D870" i="1"/>
  <c r="D871" i="1"/>
  <c r="D877" i="1"/>
  <c r="D878" i="1"/>
  <c r="D879" i="1"/>
  <c r="D880" i="1"/>
  <c r="D882" i="1"/>
  <c r="D884" i="1"/>
  <c r="D886" i="1"/>
  <c r="D890" i="1"/>
  <c r="D891" i="1"/>
  <c r="D893" i="1"/>
  <c r="D894" i="1"/>
  <c r="D895" i="1"/>
  <c r="D896" i="1"/>
  <c r="D897" i="1"/>
  <c r="D898" i="1"/>
  <c r="D899" i="1"/>
  <c r="D901" i="1"/>
  <c r="D902" i="1"/>
  <c r="D903" i="1"/>
  <c r="D904" i="1"/>
  <c r="D905" i="1"/>
  <c r="D907" i="1"/>
  <c r="D909" i="1"/>
  <c r="D910" i="1"/>
  <c r="D911" i="1"/>
  <c r="D912" i="1"/>
  <c r="D913" i="1"/>
  <c r="D914" i="1"/>
  <c r="D916" i="1"/>
  <c r="D917" i="1"/>
  <c r="D919" i="1"/>
  <c r="D921" i="1"/>
  <c r="D922" i="1"/>
  <c r="D923" i="1"/>
  <c r="D924" i="1"/>
  <c r="D925" i="1"/>
  <c r="D926" i="1"/>
  <c r="D927" i="1"/>
  <c r="D930" i="1"/>
  <c r="D932" i="1"/>
  <c r="D934" i="1"/>
  <c r="D935" i="1"/>
  <c r="D937" i="1"/>
  <c r="D940" i="1"/>
  <c r="D941" i="1"/>
  <c r="D944" i="1"/>
  <c r="D945" i="1"/>
  <c r="D946" i="1"/>
  <c r="D950" i="1"/>
  <c r="D951" i="1"/>
  <c r="D953" i="1"/>
  <c r="D954" i="1"/>
  <c r="D956" i="1"/>
  <c r="D957" i="1"/>
  <c r="D958" i="1"/>
  <c r="D959" i="1"/>
  <c r="D961" i="1"/>
  <c r="D962" i="1"/>
  <c r="D963" i="1"/>
  <c r="D964" i="1"/>
  <c r="D966" i="1"/>
  <c r="D967" i="1"/>
  <c r="D968" i="1"/>
  <c r="D970" i="1"/>
  <c r="D971" i="1"/>
  <c r="D973" i="1"/>
  <c r="D974" i="1"/>
  <c r="D975" i="1"/>
  <c r="D976" i="1"/>
  <c r="D977" i="1"/>
  <c r="D978" i="1"/>
  <c r="D979" i="1"/>
  <c r="D980" i="1"/>
  <c r="D981" i="1"/>
  <c r="D982" i="1"/>
  <c r="D983" i="1"/>
  <c r="D985" i="1"/>
  <c r="D990" i="1"/>
  <c r="D991" i="1"/>
  <c r="D992" i="1"/>
  <c r="D994" i="1"/>
  <c r="D995" i="1"/>
  <c r="D997" i="1"/>
  <c r="D999" i="1"/>
  <c r="D1000" i="1"/>
  <c r="D1003" i="1"/>
  <c r="D1004" i="1"/>
  <c r="D1006" i="1"/>
  <c r="D1007" i="1"/>
  <c r="D1009" i="1"/>
  <c r="D1010" i="1"/>
  <c r="D1011" i="1"/>
  <c r="D1014" i="1"/>
  <c r="D1016" i="1"/>
  <c r="D1017" i="1"/>
  <c r="D1018" i="1"/>
  <c r="D1020" i="1"/>
  <c r="D1021" i="1"/>
  <c r="D1022" i="1"/>
  <c r="D1023" i="1"/>
  <c r="D1024" i="1"/>
  <c r="D1027" i="1"/>
  <c r="D1028" i="1"/>
  <c r="D1030" i="1"/>
  <c r="D1031" i="1"/>
  <c r="D1032" i="1"/>
  <c r="D1035" i="1"/>
  <c r="D1037" i="1"/>
  <c r="D1049" i="1"/>
  <c r="D1072" i="1"/>
  <c r="D1073" i="1"/>
  <c r="D1074" i="1"/>
  <c r="D1076" i="1"/>
  <c r="D1077" i="1"/>
  <c r="D1078" i="1"/>
  <c r="D1079" i="1"/>
  <c r="D1084" i="1"/>
  <c r="D1093" i="1"/>
  <c r="D1094" i="1"/>
  <c r="D1095" i="1"/>
  <c r="D1096" i="1"/>
  <c r="D1105" i="1"/>
  <c r="D1107" i="1"/>
  <c r="D1108" i="1"/>
  <c r="D1115" i="1"/>
  <c r="D1122" i="1"/>
  <c r="D1134" i="1"/>
  <c r="D1138" i="1"/>
  <c r="D1141" i="1"/>
  <c r="D1142" i="1"/>
  <c r="D1143" i="1"/>
  <c r="D1155" i="1"/>
  <c r="D1156" i="1"/>
  <c r="D1159" i="1"/>
  <c r="D1167" i="1"/>
  <c r="D1183" i="1"/>
  <c r="D1187" i="1"/>
  <c r="D1194" i="1"/>
  <c r="D1196" i="1"/>
  <c r="D1197" i="1"/>
  <c r="D1198" i="1"/>
  <c r="D1201" i="1"/>
  <c r="D1202" i="1"/>
  <c r="D1203" i="1"/>
  <c r="D1206" i="1"/>
  <c r="D1209" i="1"/>
  <c r="D1218" i="1"/>
  <c r="D1232" i="1"/>
  <c r="D1234" i="1"/>
  <c r="D1237" i="1"/>
  <c r="D1240" i="1"/>
  <c r="D1243" i="1"/>
  <c r="D1244" i="1"/>
  <c r="D1245" i="1"/>
  <c r="D1248" i="1"/>
  <c r="D1249" i="1"/>
  <c r="D1252" i="1"/>
  <c r="D1254" i="1"/>
  <c r="D1255" i="1"/>
  <c r="D1257" i="1"/>
  <c r="D1260" i="1"/>
  <c r="D1262" i="1"/>
  <c r="D1263" i="1"/>
  <c r="D1264" i="1"/>
  <c r="D1275" i="1"/>
  <c r="D1276" i="1"/>
  <c r="D1284" i="1"/>
  <c r="D1285" i="1"/>
  <c r="D1287" i="1"/>
  <c r="D1289" i="1"/>
  <c r="D1290" i="1"/>
  <c r="D1296" i="1"/>
  <c r="D1297" i="1"/>
  <c r="D1298" i="1"/>
  <c r="D1301" i="1"/>
  <c r="D1302" i="1"/>
  <c r="D1306" i="1"/>
  <c r="D1307" i="1"/>
  <c r="D1312" i="1"/>
  <c r="D1315" i="1"/>
  <c r="D1316" i="1"/>
  <c r="D1322" i="1"/>
  <c r="D1323" i="1"/>
  <c r="D1325" i="1"/>
  <c r="D1328" i="1"/>
  <c r="D1329" i="1"/>
  <c r="D1330" i="1"/>
  <c r="D1331" i="1"/>
  <c r="D1332" i="1"/>
  <c r="D1334" i="1"/>
  <c r="D1335" i="1"/>
  <c r="D1339" i="1"/>
  <c r="D1344" i="1"/>
  <c r="D1345" i="1"/>
  <c r="D1346" i="1"/>
  <c r="D1349" i="1"/>
  <c r="D1351" i="1"/>
  <c r="D1359" i="1"/>
  <c r="D1360" i="1"/>
  <c r="D1365" i="1"/>
  <c r="D1367" i="1"/>
  <c r="D1369" i="1"/>
  <c r="D1371" i="1"/>
  <c r="D1373" i="1"/>
  <c r="D1377" i="1"/>
  <c r="D1378" i="1"/>
  <c r="D1379" i="1"/>
  <c r="D1383" i="1"/>
  <c r="D1386" i="1"/>
  <c r="D1387" i="1"/>
  <c r="D1390" i="1"/>
  <c r="D1391" i="1"/>
  <c r="D1392" i="1"/>
  <c r="D1394" i="1"/>
  <c r="D1395" i="1"/>
  <c r="D1398" i="1"/>
  <c r="D1399" i="1"/>
  <c r="D1400" i="1"/>
  <c r="D1401" i="1"/>
  <c r="D1402" i="1"/>
  <c r="D1403" i="1"/>
  <c r="D1405" i="1"/>
  <c r="D1406" i="1"/>
  <c r="D1407" i="1"/>
  <c r="D1409" i="1"/>
  <c r="D1410" i="1"/>
  <c r="D1412" i="1"/>
  <c r="D1414" i="1"/>
  <c r="D1415" i="1"/>
  <c r="D1416" i="1"/>
  <c r="D1418" i="1"/>
  <c r="D1419" i="1"/>
  <c r="D1420" i="1"/>
  <c r="D1421" i="1"/>
  <c r="D1422" i="1"/>
  <c r="D1423" i="1"/>
  <c r="D1424" i="1"/>
  <c r="D1426" i="1"/>
  <c r="D1427" i="1"/>
  <c r="D1428" i="1"/>
  <c r="D1429" i="1"/>
  <c r="D1430" i="1"/>
  <c r="D1431" i="1"/>
  <c r="D1432" i="1"/>
  <c r="D1433" i="1"/>
  <c r="D1435" i="1"/>
  <c r="D1436" i="1"/>
  <c r="D1438" i="1"/>
  <c r="D1439" i="1"/>
  <c r="D1440" i="1"/>
  <c r="D1441" i="1"/>
  <c r="D1442" i="1"/>
  <c r="D1443" i="1"/>
  <c r="D1445" i="1"/>
  <c r="D1447" i="1"/>
  <c r="D1449" i="1"/>
  <c r="D1452" i="1"/>
  <c r="D1454" i="1"/>
  <c r="D1455" i="1"/>
  <c r="D1456" i="1"/>
  <c r="D1457" i="1"/>
  <c r="D1458" i="1"/>
  <c r="D1460" i="1"/>
  <c r="D1461" i="1"/>
  <c r="D1462" i="1"/>
  <c r="D1463" i="1"/>
  <c r="D1464" i="1"/>
  <c r="D1466" i="1"/>
  <c r="D1467" i="1"/>
  <c r="D1468" i="1"/>
  <c r="D1469" i="1"/>
  <c r="D1470" i="1"/>
  <c r="D1471" i="1"/>
  <c r="D1472" i="1"/>
  <c r="D1473" i="1"/>
  <c r="D1474" i="1"/>
  <c r="D1475" i="1"/>
  <c r="D1476" i="1"/>
  <c r="D1477" i="1"/>
  <c r="D1479" i="1"/>
  <c r="D1481" i="1"/>
  <c r="D1482" i="1"/>
  <c r="D1483" i="1"/>
  <c r="D1484" i="1"/>
  <c r="D1488" i="1"/>
  <c r="D1491" i="1"/>
  <c r="D1492" i="1"/>
  <c r="D1493" i="1"/>
  <c r="D1494" i="1"/>
  <c r="D1495" i="1"/>
  <c r="D1496" i="1"/>
  <c r="D1498" i="1"/>
  <c r="D1499" i="1"/>
  <c r="D1500" i="1"/>
  <c r="D1501" i="1"/>
  <c r="D1502" i="1"/>
  <c r="D1503" i="1"/>
  <c r="D1504" i="1"/>
  <c r="D1505" i="1"/>
  <c r="D1507" i="1"/>
  <c r="D1508" i="1"/>
  <c r="D1509" i="1"/>
  <c r="D1510" i="1"/>
  <c r="D1511" i="1"/>
  <c r="D1512" i="1"/>
  <c r="D1514" i="1"/>
  <c r="D1515" i="1"/>
  <c r="D1516" i="1"/>
  <c r="D1517" i="1"/>
  <c r="D1518" i="1"/>
  <c r="D1519" i="1"/>
  <c r="D1520" i="1"/>
  <c r="D1521" i="1"/>
  <c r="D1522" i="1"/>
  <c r="D1523" i="1"/>
  <c r="D1524" i="1"/>
  <c r="D1525" i="1"/>
  <c r="D1526" i="1"/>
  <c r="D1527" i="1"/>
  <c r="D1529" i="1"/>
  <c r="D1530" i="1"/>
  <c r="D1531" i="1"/>
  <c r="D1532" i="1"/>
  <c r="D1533" i="1"/>
  <c r="D1534" i="1"/>
  <c r="D1535" i="1"/>
  <c r="D1536" i="1"/>
  <c r="D1537" i="1"/>
  <c r="D1538" i="1"/>
  <c r="D1540" i="1"/>
  <c r="D1541" i="1"/>
  <c r="D1542" i="1"/>
  <c r="D1543" i="1"/>
  <c r="D1544" i="1"/>
  <c r="D1545" i="1"/>
  <c r="D1546" i="1"/>
  <c r="D1547" i="1"/>
  <c r="D1548" i="1"/>
  <c r="D1549" i="1"/>
  <c r="D1550" i="1"/>
  <c r="D1553" i="1"/>
  <c r="D1554" i="1"/>
  <c r="D1555" i="1"/>
  <c r="D1556" i="1"/>
  <c r="D1557" i="1"/>
  <c r="D1559" i="1"/>
  <c r="D1560" i="1"/>
  <c r="D1561" i="1"/>
  <c r="D1564" i="1"/>
  <c r="D1565" i="1"/>
  <c r="D1566" i="1"/>
  <c r="D1567" i="1"/>
  <c r="D1568" i="1"/>
  <c r="D1569" i="1"/>
  <c r="D1571" i="1"/>
  <c r="D1572" i="1"/>
  <c r="D1573" i="1"/>
  <c r="D1574" i="1"/>
  <c r="D1576" i="1"/>
  <c r="D1577" i="1"/>
  <c r="D1579" i="1"/>
  <c r="D1580" i="1"/>
  <c r="D1581" i="1"/>
  <c r="D1583" i="1"/>
  <c r="D1584" i="1"/>
  <c r="D1585" i="1"/>
  <c r="D1590" i="1"/>
  <c r="D1593" i="1"/>
  <c r="D1599" i="1"/>
  <c r="D1600" i="1"/>
  <c r="D1604" i="1"/>
  <c r="D1605" i="1"/>
  <c r="D1626" i="1"/>
  <c r="D1628" i="1"/>
  <c r="D1629" i="1"/>
  <c r="D1632" i="1"/>
  <c r="D1642" i="1"/>
  <c r="D1643" i="1"/>
  <c r="D1646" i="1"/>
  <c r="D1647" i="1"/>
  <c r="D1648" i="1"/>
  <c r="D1649" i="1"/>
  <c r="D1653" i="1"/>
  <c r="D1657" i="1"/>
  <c r="D1658" i="1"/>
  <c r="D1670" i="1"/>
  <c r="D1674" i="1"/>
  <c r="D1675" i="1"/>
  <c r="D1676" i="1"/>
  <c r="D1681" i="1"/>
  <c r="D1683" i="1"/>
  <c r="D1684" i="1"/>
  <c r="D1688" i="1"/>
  <c r="D1689" i="1"/>
  <c r="D1690" i="1"/>
  <c r="D1697" i="1"/>
  <c r="D1703" i="1"/>
  <c r="D1704" i="1"/>
  <c r="D1705" i="1"/>
  <c r="D1707" i="1"/>
  <c r="D1711" i="1"/>
  <c r="D1712" i="1"/>
  <c r="D1728" i="1"/>
  <c r="D1729" i="1"/>
  <c r="D1735" i="1"/>
  <c r="D1736" i="1"/>
  <c r="D1741" i="1"/>
  <c r="D1742" i="1"/>
  <c r="D1744" i="1"/>
  <c r="D1745" i="1"/>
  <c r="D1747" i="1"/>
  <c r="D1751" i="1"/>
  <c r="D1754" i="1"/>
  <c r="D1757" i="1"/>
  <c r="D1771" i="1"/>
  <c r="D1776" i="1"/>
  <c r="D1783" i="1"/>
  <c r="D1784" i="1"/>
  <c r="D1788" i="1"/>
  <c r="D1793" i="1"/>
  <c r="D1797" i="1"/>
  <c r="D1804" i="1"/>
  <c r="D1808" i="1"/>
  <c r="D1816" i="1"/>
  <c r="D1817" i="1"/>
  <c r="D1819" i="1"/>
  <c r="D1820" i="1"/>
  <c r="D1823" i="1"/>
  <c r="D1833" i="1"/>
  <c r="D1837" i="1"/>
  <c r="D1838" i="1"/>
  <c r="D1839" i="1"/>
  <c r="D1840" i="1"/>
  <c r="D1845" i="1"/>
  <c r="D1855" i="1"/>
  <c r="D1863" i="1"/>
  <c r="D1864" i="1"/>
  <c r="D1865" i="1"/>
  <c r="D1866" i="1"/>
  <c r="D1871" i="1"/>
  <c r="D1876" i="1"/>
  <c r="D1877" i="1"/>
  <c r="D1883" i="1"/>
  <c r="D1885" i="1"/>
  <c r="D1892" i="1"/>
  <c r="D1893" i="1"/>
  <c r="D1895" i="1"/>
  <c r="D1896" i="1"/>
  <c r="D1897" i="1"/>
  <c r="D1898" i="1"/>
  <c r="D1899" i="1"/>
  <c r="D1907" i="1"/>
  <c r="D1908" i="1"/>
  <c r="D1912" i="1"/>
  <c r="D1913" i="1"/>
  <c r="D1914" i="1"/>
  <c r="D1917" i="1"/>
  <c r="D1919" i="1"/>
  <c r="D1921" i="1"/>
  <c r="D1922" i="1"/>
  <c r="D1923" i="1"/>
  <c r="D1924" i="1"/>
  <c r="D1926" i="1"/>
  <c r="D1927" i="1"/>
  <c r="D1932" i="1"/>
  <c r="D1933" i="1"/>
  <c r="D1934" i="1"/>
  <c r="D1935" i="1"/>
  <c r="D1936" i="1"/>
  <c r="D1937" i="1"/>
  <c r="D1938" i="1"/>
  <c r="D1940" i="1"/>
  <c r="D1941" i="1"/>
  <c r="D1942" i="1"/>
  <c r="D1943" i="1"/>
  <c r="D1944" i="1"/>
  <c r="D1946" i="1"/>
  <c r="D1948" i="1"/>
  <c r="D1949" i="1"/>
  <c r="D1951" i="1"/>
  <c r="D1952" i="1"/>
  <c r="D1953" i="1"/>
  <c r="D1954" i="1"/>
  <c r="D1955" i="1"/>
  <c r="D1956" i="1"/>
  <c r="D1957" i="1"/>
  <c r="D1958" i="1"/>
  <c r="D1959" i="1"/>
  <c r="D1961" i="1"/>
  <c r="D1962" i="1"/>
  <c r="D1964" i="1"/>
  <c r="D1966" i="1"/>
  <c r="D1967" i="1"/>
  <c r="D1968" i="1"/>
  <c r="D1969" i="1"/>
  <c r="D1970" i="1"/>
  <c r="D1971" i="1"/>
  <c r="D1973" i="1"/>
  <c r="D1974" i="1"/>
  <c r="D1976" i="1"/>
  <c r="D1978" i="1"/>
  <c r="D1979" i="1"/>
  <c r="D1980" i="1"/>
  <c r="D1981" i="1"/>
  <c r="D1983" i="1"/>
  <c r="D1984" i="1"/>
  <c r="D1985" i="1"/>
  <c r="D1986" i="1"/>
  <c r="D1987" i="1"/>
  <c r="D1988" i="1"/>
  <c r="D1989" i="1"/>
  <c r="D1990" i="1"/>
  <c r="D1992" i="1"/>
  <c r="D1994" i="1"/>
  <c r="D1995" i="1"/>
  <c r="D1996" i="1"/>
  <c r="D1997" i="1"/>
  <c r="D1999" i="1"/>
  <c r="D2000" i="1"/>
  <c r="D2001" i="1"/>
  <c r="D2002" i="1"/>
  <c r="D2003" i="1"/>
  <c r="D2004" i="1"/>
  <c r="D2005" i="1"/>
  <c r="D2006" i="1"/>
  <c r="D2007" i="1"/>
  <c r="D2009" i="1"/>
  <c r="D2010" i="1"/>
  <c r="D2011" i="1"/>
  <c r="D2012" i="1"/>
  <c r="D2013" i="1"/>
  <c r="D2014" i="1"/>
  <c r="D2015" i="1"/>
  <c r="D2016" i="1"/>
  <c r="D2017" i="1"/>
  <c r="D2018" i="1"/>
  <c r="D2019" i="1"/>
  <c r="D2020" i="1"/>
  <c r="D2021" i="1"/>
  <c r="D2022" i="1"/>
  <c r="D2023" i="1"/>
  <c r="D2024" i="1"/>
  <c r="D2025" i="1"/>
  <c r="D2026" i="1"/>
  <c r="D2028" i="1"/>
  <c r="D2030" i="1"/>
  <c r="D2031" i="1"/>
  <c r="D2033" i="1"/>
  <c r="D2034" i="1"/>
  <c r="D2035" i="1"/>
  <c r="D2036" i="1"/>
  <c r="D2037" i="1"/>
  <c r="D2038" i="1"/>
  <c r="D2040" i="1"/>
  <c r="D2041" i="1"/>
  <c r="D2042" i="1"/>
  <c r="D2043" i="1"/>
  <c r="D2044" i="1"/>
  <c r="D2045" i="1"/>
  <c r="D2046" i="1"/>
  <c r="D2047" i="1"/>
  <c r="D2048" i="1"/>
  <c r="D2049" i="1"/>
  <c r="D2050" i="1"/>
  <c r="D2051" i="1"/>
  <c r="D2052" i="1"/>
  <c r="D2053" i="1"/>
  <c r="D2055" i="1"/>
  <c r="D2056" i="1"/>
  <c r="D2058" i="1"/>
  <c r="D2060" i="1"/>
  <c r="D2061" i="1"/>
  <c r="D2062" i="1"/>
  <c r="D2063" i="1"/>
  <c r="D2064" i="1"/>
  <c r="D2065" i="1"/>
  <c r="D2066" i="1"/>
  <c r="D2067" i="1"/>
  <c r="D2068" i="1"/>
  <c r="D2070" i="1"/>
  <c r="D2071" i="1"/>
  <c r="D2072" i="1"/>
  <c r="D2073" i="1"/>
  <c r="D2074" i="1"/>
  <c r="D2075" i="1"/>
  <c r="D2076" i="1"/>
  <c r="D2077" i="1"/>
  <c r="D2078" i="1"/>
  <c r="D2080" i="1"/>
  <c r="D2081" i="1"/>
  <c r="D2082" i="1"/>
  <c r="D2083" i="1"/>
  <c r="D2084" i="1"/>
  <c r="D2085" i="1"/>
  <c r="D2086" i="1"/>
  <c r="D2087" i="1"/>
  <c r="D2089" i="1"/>
  <c r="D2090" i="1"/>
  <c r="D2091" i="1"/>
  <c r="D2093" i="1"/>
  <c r="D2094" i="1"/>
  <c r="D2095" i="1"/>
  <c r="D2096" i="1"/>
  <c r="D2097" i="1"/>
  <c r="D2098" i="1"/>
  <c r="D2099" i="1"/>
  <c r="D2104" i="1"/>
  <c r="D2107" i="1"/>
  <c r="D2118" i="1"/>
  <c r="D2121" i="1"/>
  <c r="D2123" i="1"/>
  <c r="D2127" i="1"/>
  <c r="D2128" i="1"/>
  <c r="D2136" i="1"/>
  <c r="D2143" i="1"/>
  <c r="D2148" i="1"/>
  <c r="D2149" i="1"/>
  <c r="D2152" i="1"/>
  <c r="D2153" i="1"/>
  <c r="D2154" i="1"/>
  <c r="D2158" i="1"/>
  <c r="D2159" i="1"/>
  <c r="D2164" i="1"/>
  <c r="D2165" i="1"/>
  <c r="D2168" i="1"/>
  <c r="D2174" i="1"/>
  <c r="D2182" i="1"/>
  <c r="D2185" i="1"/>
  <c r="D2186" i="1"/>
  <c r="D2188" i="1"/>
  <c r="D2189" i="1"/>
  <c r="D2199" i="1"/>
  <c r="D2200" i="1"/>
  <c r="D2206" i="1"/>
  <c r="D2207" i="1"/>
  <c r="D2214" i="1"/>
  <c r="D2216" i="1"/>
  <c r="D2220" i="1"/>
  <c r="D2221" i="1"/>
  <c r="D2222" i="1"/>
  <c r="D2226" i="1"/>
  <c r="D2235" i="1"/>
  <c r="D2236" i="1"/>
  <c r="D2237" i="1"/>
  <c r="D2240" i="1"/>
  <c r="D2243" i="1"/>
  <c r="D2245" i="1"/>
  <c r="D2247" i="1"/>
  <c r="D2253" i="1"/>
  <c r="D2258" i="1"/>
  <c r="D2260" i="1"/>
  <c r="D2261" i="1"/>
  <c r="D2262" i="1"/>
  <c r="D2263" i="1"/>
  <c r="D2274" i="1"/>
  <c r="D2275" i="1"/>
  <c r="D2278" i="1"/>
  <c r="D2280" i="1"/>
  <c r="D2282" i="1"/>
  <c r="D2286" i="1"/>
  <c r="D2287" i="1"/>
  <c r="D2288" i="1"/>
  <c r="D2293" i="1"/>
  <c r="D2294" i="1"/>
  <c r="D2298" i="1"/>
  <c r="D2301" i="1"/>
  <c r="D2302" i="1"/>
  <c r="D2311" i="1"/>
  <c r="D2314" i="1"/>
  <c r="D2315" i="1"/>
  <c r="D2318" i="1"/>
  <c r="D2320" i="1"/>
  <c r="D2321" i="1"/>
  <c r="D2322" i="1"/>
  <c r="D2323" i="1"/>
  <c r="D2328" i="1"/>
  <c r="D2329" i="1"/>
  <c r="D2330" i="1"/>
  <c r="D2331" i="1"/>
  <c r="D2332" i="1"/>
  <c r="D2333" i="1"/>
  <c r="D2336" i="1"/>
  <c r="D2344" i="1"/>
  <c r="D2347" i="1"/>
  <c r="D2348" i="1"/>
  <c r="D2349" i="1"/>
  <c r="D2350" i="1"/>
  <c r="D2351" i="1"/>
  <c r="D2359" i="1"/>
  <c r="D2360" i="1"/>
  <c r="D2361" i="1"/>
  <c r="D2364" i="1"/>
  <c r="D2366" i="1"/>
  <c r="D2367" i="1"/>
  <c r="D2370" i="1"/>
  <c r="D2371" i="1"/>
  <c r="D2372" i="1"/>
  <c r="D2375" i="1"/>
  <c r="D2378" i="1"/>
  <c r="D2380" i="1"/>
  <c r="D2394" i="1"/>
  <c r="D2400" i="1"/>
  <c r="D2401" i="1"/>
  <c r="D2402" i="1"/>
  <c r="D2403" i="1"/>
  <c r="D2405" i="1"/>
  <c r="D2407" i="1"/>
  <c r="D2408" i="1"/>
  <c r="D2410" i="1"/>
  <c r="D2411" i="1"/>
  <c r="D2412" i="1"/>
  <c r="D2413" i="1"/>
  <c r="D2414" i="1"/>
  <c r="D2415" i="1"/>
  <c r="D2416" i="1"/>
  <c r="D2417" i="1"/>
  <c r="D2418" i="1"/>
  <c r="D2419" i="1"/>
  <c r="D2422" i="1"/>
  <c r="D2423" i="1"/>
  <c r="D2425" i="1"/>
  <c r="D2427" i="1"/>
  <c r="D2428" i="1"/>
  <c r="D2429" i="1"/>
  <c r="D2430" i="1"/>
  <c r="D2431" i="1"/>
  <c r="D2432" i="1"/>
  <c r="D2433" i="1"/>
  <c r="D2434" i="1"/>
  <c r="D2439" i="1"/>
  <c r="D2440" i="1"/>
  <c r="D2441" i="1"/>
  <c r="D2442" i="1"/>
  <c r="D2443" i="1"/>
  <c r="D2444" i="1"/>
  <c r="D2445" i="1"/>
  <c r="D2446" i="1"/>
  <c r="D2448" i="1"/>
  <c r="D2449" i="1"/>
  <c r="D2450" i="1"/>
  <c r="D2451" i="1"/>
  <c r="D2452" i="1"/>
  <c r="D2453" i="1"/>
  <c r="D2454" i="1"/>
  <c r="D2455" i="1"/>
  <c r="D2456" i="1"/>
  <c r="D2457" i="1"/>
  <c r="D2458" i="1"/>
  <c r="D2460" i="1"/>
  <c r="D2461" i="1"/>
  <c r="D2463" i="1"/>
  <c r="D2464" i="1"/>
  <c r="D2465" i="1"/>
  <c r="D2467" i="1"/>
  <c r="D2468" i="1"/>
  <c r="D2469" i="1"/>
  <c r="D2470" i="1"/>
  <c r="D2471" i="1"/>
  <c r="D2472" i="1"/>
  <c r="D2473" i="1"/>
  <c r="D2474" i="1"/>
  <c r="D2475" i="1"/>
  <c r="D2476" i="1"/>
  <c r="D2477" i="1"/>
  <c r="D2478" i="1"/>
  <c r="D2479" i="1"/>
  <c r="D2480" i="1"/>
  <c r="D2481" i="1"/>
  <c r="D2482" i="1"/>
  <c r="D2483" i="1"/>
  <c r="D2484" i="1"/>
  <c r="D2485" i="1"/>
  <c r="D2487" i="1"/>
  <c r="D2488" i="1"/>
  <c r="D2489" i="1"/>
  <c r="D2490" i="1"/>
  <c r="D2491" i="1"/>
  <c r="D2492" i="1"/>
  <c r="D2493" i="1"/>
  <c r="D2494" i="1"/>
  <c r="D2495" i="1"/>
  <c r="D2496" i="1"/>
  <c r="D2497" i="1"/>
  <c r="D2498" i="1"/>
  <c r="D2499" i="1"/>
  <c r="D2501" i="1"/>
  <c r="D2502" i="1"/>
  <c r="D2503" i="1"/>
  <c r="D2504" i="1"/>
  <c r="D2505" i="1"/>
  <c r="D2508" i="1"/>
  <c r="D2509" i="1"/>
  <c r="D2510" i="1"/>
  <c r="D2512" i="1"/>
  <c r="D2513" i="1"/>
  <c r="D2514" i="1"/>
  <c r="D2515" i="1"/>
  <c r="D2516" i="1"/>
  <c r="D2517" i="1"/>
  <c r="D2518" i="1"/>
  <c r="D2519" i="1"/>
  <c r="D2520"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2" i="1"/>
  <c r="D2553" i="1"/>
  <c r="D2554" i="1"/>
  <c r="D2557" i="1"/>
  <c r="D2558" i="1"/>
  <c r="D2560" i="1"/>
  <c r="D2561" i="1"/>
  <c r="D2562" i="1"/>
  <c r="D2563" i="1"/>
  <c r="D2564" i="1"/>
  <c r="D2565" i="1"/>
  <c r="D2566" i="1"/>
  <c r="D2567" i="1"/>
  <c r="D2569" i="1"/>
  <c r="D2570" i="1"/>
  <c r="D2571" i="1"/>
  <c r="D2572" i="1"/>
  <c r="D2573" i="1"/>
  <c r="D2574" i="1"/>
  <c r="D2575" i="1"/>
  <c r="D2576" i="1"/>
  <c r="D2577" i="1"/>
  <c r="D2579" i="1"/>
  <c r="D2580" i="1"/>
  <c r="D2581" i="1"/>
  <c r="D2582" i="1"/>
  <c r="D2583" i="1"/>
  <c r="D2584" i="1"/>
  <c r="D2585" i="1"/>
  <c r="D2587" i="1"/>
  <c r="D2588" i="1"/>
  <c r="D2589" i="1"/>
  <c r="D2590" i="1"/>
  <c r="D2591" i="1"/>
  <c r="D2592" i="1"/>
  <c r="D2594" i="1"/>
  <c r="D2595" i="1"/>
  <c r="D2596" i="1"/>
  <c r="D2597" i="1"/>
  <c r="D2624" i="1"/>
  <c r="D2631" i="1"/>
  <c r="D2642" i="1"/>
  <c r="D2645" i="1"/>
  <c r="D2646" i="1"/>
  <c r="D2650" i="1"/>
  <c r="D2651" i="1"/>
  <c r="D2654" i="1"/>
  <c r="D2658" i="1"/>
  <c r="D2662" i="1"/>
  <c r="D2677" i="1"/>
  <c r="D2687" i="1"/>
  <c r="D2688" i="1"/>
  <c r="D2707" i="1"/>
  <c r="D2708" i="1"/>
  <c r="D2709" i="1"/>
  <c r="D2711" i="1"/>
  <c r="D2712" i="1"/>
  <c r="D2713" i="1"/>
  <c r="D2721" i="1"/>
  <c r="D2724" i="1"/>
  <c r="D2728" i="1"/>
  <c r="D2734" i="1"/>
  <c r="D2738" i="1"/>
  <c r="D2740" i="1"/>
  <c r="D2748" i="1"/>
  <c r="D2749" i="1"/>
  <c r="D2750" i="1"/>
  <c r="D2752" i="1"/>
  <c r="D2753" i="1"/>
  <c r="D2760" i="1"/>
  <c r="D2761" i="1"/>
  <c r="D2762" i="1"/>
  <c r="D2767" i="1"/>
  <c r="D2774" i="1"/>
  <c r="D2777" i="1"/>
  <c r="D2778" i="1"/>
  <c r="D2779" i="1"/>
  <c r="D2780" i="1"/>
  <c r="D2789" i="1"/>
  <c r="D2791" i="1"/>
  <c r="D2793" i="1"/>
  <c r="D2798" i="1"/>
  <c r="D2804" i="1"/>
  <c r="D2805" i="1"/>
  <c r="D2806" i="1"/>
  <c r="D2812" i="1"/>
  <c r="D2813" i="1"/>
  <c r="D2816" i="1"/>
  <c r="D2817" i="1"/>
  <c r="D2826" i="1"/>
  <c r="D2827" i="1"/>
  <c r="D2839" i="1"/>
  <c r="D2846" i="1"/>
  <c r="D2848" i="1"/>
  <c r="D2850" i="1"/>
  <c r="D2852" i="1"/>
  <c r="D2853" i="1"/>
  <c r="D2864" i="1"/>
  <c r="D2865" i="1"/>
  <c r="D2866" i="1"/>
  <c r="D2867" i="1"/>
  <c r="D2868" i="1"/>
  <c r="D2871" i="1"/>
  <c r="D2872" i="1"/>
  <c r="D2873" i="1"/>
  <c r="D2875" i="1"/>
  <c r="D2876" i="1"/>
  <c r="D2877" i="1"/>
  <c r="D2879" i="1"/>
  <c r="D2883" i="1"/>
  <c r="D2884" i="1"/>
  <c r="D2890" i="1"/>
  <c r="D2891" i="1"/>
  <c r="D2896" i="1"/>
  <c r="D2898" i="1"/>
  <c r="D2899" i="1"/>
  <c r="D2900" i="1"/>
  <c r="D2903" i="1"/>
  <c r="D2904" i="1"/>
  <c r="D2905" i="1"/>
  <c r="D2906" i="1"/>
  <c r="D2907" i="1"/>
  <c r="D2908" i="1"/>
  <c r="D2909" i="1"/>
  <c r="D2910" i="1"/>
  <c r="D2911" i="1"/>
  <c r="D2912" i="1"/>
  <c r="D2914" i="1"/>
  <c r="D2915" i="1"/>
  <c r="D2920" i="1"/>
  <c r="D2921" i="1"/>
  <c r="D2922" i="1"/>
  <c r="D2924" i="1"/>
  <c r="D2926" i="1"/>
  <c r="D2927" i="1"/>
  <c r="D2928" i="1"/>
  <c r="D2929" i="1"/>
  <c r="D2931" i="1"/>
  <c r="D2932" i="1"/>
  <c r="D2933" i="1"/>
  <c r="D2934" i="1"/>
  <c r="D2937" i="1"/>
  <c r="D2938" i="1"/>
  <c r="D2939" i="1"/>
  <c r="D2942" i="1"/>
  <c r="D2943" i="1"/>
  <c r="D2944" i="1"/>
  <c r="D2945" i="1"/>
  <c r="D2946" i="1"/>
  <c r="D2947" i="1"/>
  <c r="D2948" i="1"/>
  <c r="D2949" i="1"/>
  <c r="D2951" i="1"/>
  <c r="D2952" i="1"/>
  <c r="D2954" i="1"/>
  <c r="D2955" i="1"/>
  <c r="D2958" i="1"/>
  <c r="D2959" i="1"/>
  <c r="D2961" i="1"/>
  <c r="D2962" i="1"/>
  <c r="D2963" i="1"/>
  <c r="D2966" i="1"/>
  <c r="D2967" i="1"/>
  <c r="D2968" i="1"/>
  <c r="D2969" i="1"/>
  <c r="D2970" i="1"/>
  <c r="D2971" i="1"/>
  <c r="D2972" i="1"/>
  <c r="D2974" i="1"/>
  <c r="D2975" i="1"/>
  <c r="D2976" i="1"/>
  <c r="D2977" i="1"/>
  <c r="D2978" i="1"/>
  <c r="D2979" i="1"/>
  <c r="D2980" i="1"/>
  <c r="D2982" i="1"/>
  <c r="D2984" i="1"/>
  <c r="D2986" i="1"/>
  <c r="D2989" i="1"/>
  <c r="D2990" i="1"/>
  <c r="D2991" i="1"/>
  <c r="D2992" i="1"/>
  <c r="D2993" i="1"/>
  <c r="D2995" i="1"/>
  <c r="D2996" i="1"/>
  <c r="D2997" i="1"/>
  <c r="D2998" i="1"/>
  <c r="D2999" i="1"/>
  <c r="D3000" i="1"/>
  <c r="D3001" i="1"/>
  <c r="D3002" i="1"/>
  <c r="D3004" i="1"/>
  <c r="D3005" i="1"/>
  <c r="D3007" i="1"/>
  <c r="D3008" i="1"/>
  <c r="D3009" i="1"/>
  <c r="D3010" i="1"/>
  <c r="D3011" i="1"/>
  <c r="D3012" i="1"/>
  <c r="D3013" i="1"/>
  <c r="D3014" i="1"/>
  <c r="D3015" i="1"/>
  <c r="D3016" i="1"/>
  <c r="D3017" i="1"/>
  <c r="D3018" i="1"/>
  <c r="D3019" i="1"/>
  <c r="D3020" i="1"/>
  <c r="D3022" i="1"/>
  <c r="D3023" i="1"/>
  <c r="D3024" i="1"/>
  <c r="D3025" i="1"/>
  <c r="D3026" i="1"/>
  <c r="D3028" i="1"/>
  <c r="D3029" i="1"/>
  <c r="D3030" i="1"/>
  <c r="D3031" i="1"/>
  <c r="D3034" i="1"/>
  <c r="D3035" i="1"/>
  <c r="D3036" i="1"/>
  <c r="D3037" i="1"/>
  <c r="D3038" i="1"/>
  <c r="D3039" i="1"/>
  <c r="D3040" i="1"/>
  <c r="D3041" i="1"/>
  <c r="D3042" i="1"/>
  <c r="D3043" i="1"/>
  <c r="D3044" i="1"/>
  <c r="D3045" i="1"/>
  <c r="D3046" i="1"/>
  <c r="D3047" i="1"/>
  <c r="D3048" i="1"/>
  <c r="D3049" i="1"/>
  <c r="D3050" i="1"/>
  <c r="D3051" i="1"/>
  <c r="D3052" i="1"/>
  <c r="D3054" i="1"/>
  <c r="D3055" i="1"/>
  <c r="D3057" i="1"/>
  <c r="D3058" i="1"/>
  <c r="D3060" i="1"/>
  <c r="D3063" i="1"/>
  <c r="D3064" i="1"/>
  <c r="D3065" i="1"/>
  <c r="D3066" i="1"/>
  <c r="D3068" i="1"/>
  <c r="D3069" i="1"/>
  <c r="D3070" i="1"/>
  <c r="D3071" i="1"/>
  <c r="D3072" i="1"/>
  <c r="D3073" i="1"/>
  <c r="D3074" i="1"/>
  <c r="D3075" i="1"/>
  <c r="D3076" i="1"/>
  <c r="D3077" i="1"/>
  <c r="D3078" i="1"/>
  <c r="D3079" i="1"/>
  <c r="D3081" i="1"/>
  <c r="D3082" i="1"/>
  <c r="D3083" i="1"/>
  <c r="D3084" i="1"/>
  <c r="D3085" i="1"/>
  <c r="D3086" i="1"/>
  <c r="D3087" i="1"/>
  <c r="D3088" i="1"/>
  <c r="D3089" i="1"/>
  <c r="D3090" i="1"/>
  <c r="D3091" i="1"/>
  <c r="D3092" i="1"/>
  <c r="D3093" i="1"/>
  <c r="D3094" i="1"/>
  <c r="D3095" i="1"/>
  <c r="D3096" i="1"/>
  <c r="D3118" i="1"/>
  <c r="D3121" i="1"/>
  <c r="D3126" i="1"/>
  <c r="D3135" i="1"/>
  <c r="D3136" i="1"/>
  <c r="D3146" i="1"/>
  <c r="D3147" i="1"/>
  <c r="D3155" i="1"/>
  <c r="D3162" i="1"/>
  <c r="D3181" i="1"/>
  <c r="D3184" i="1"/>
  <c r="D3185" i="1"/>
  <c r="D3186" i="1"/>
  <c r="D3191" i="1"/>
  <c r="D3192" i="1"/>
  <c r="D3199" i="1"/>
  <c r="D3202" i="1"/>
  <c r="D3208" i="1"/>
  <c r="D3214" i="1"/>
  <c r="D3216" i="1"/>
  <c r="D3219" i="1"/>
  <c r="D3229" i="1"/>
  <c r="D3230" i="1"/>
  <c r="D3234" i="1"/>
  <c r="D3235" i="1"/>
  <c r="D3238" i="1"/>
  <c r="D3240" i="1"/>
  <c r="D3244" i="1"/>
  <c r="D3248" i="1"/>
  <c r="D3249" i="1"/>
  <c r="D3250" i="1"/>
  <c r="D3251" i="1"/>
  <c r="D3252" i="1"/>
  <c r="D3253" i="1"/>
  <c r="D3254" i="1"/>
  <c r="D3259" i="1"/>
  <c r="D3261" i="1"/>
  <c r="D3262" i="1"/>
  <c r="D3266" i="1"/>
  <c r="D3268" i="1"/>
  <c r="D3269" i="1"/>
  <c r="D3272" i="1"/>
  <c r="D3277" i="1"/>
  <c r="D3278" i="1"/>
  <c r="D3284" i="1"/>
  <c r="D3287" i="1"/>
  <c r="D3288" i="1"/>
  <c r="D3291" i="1"/>
  <c r="D3294" i="1"/>
  <c r="D3295" i="1"/>
  <c r="D3296" i="1"/>
  <c r="D3307" i="1"/>
  <c r="D3308" i="1"/>
  <c r="D3311" i="1"/>
  <c r="D3317" i="1"/>
  <c r="D3320" i="1"/>
  <c r="D3321" i="1"/>
  <c r="D3323" i="1"/>
  <c r="D3328" i="1"/>
  <c r="D3331" i="1"/>
  <c r="D3337" i="1"/>
  <c r="D3338" i="1"/>
  <c r="D3339" i="1"/>
  <c r="D3343" i="1"/>
  <c r="D3344" i="1"/>
  <c r="D3345" i="1"/>
  <c r="D3346" i="1"/>
  <c r="D3348" i="1"/>
  <c r="D3352" i="1"/>
  <c r="D3353" i="1"/>
  <c r="D3355" i="1"/>
  <c r="D3358" i="1"/>
  <c r="D3359" i="1"/>
  <c r="D3360" i="1"/>
  <c r="D3363" i="1"/>
  <c r="D3364" i="1"/>
  <c r="D3365" i="1"/>
  <c r="D3366" i="1"/>
  <c r="D3367" i="1"/>
  <c r="D3382" i="1"/>
  <c r="D3384" i="1"/>
  <c r="D3386" i="1"/>
  <c r="D3390" i="1"/>
  <c r="D3392" i="1"/>
  <c r="D3393" i="1"/>
  <c r="D3396" i="1"/>
  <c r="D3397" i="1"/>
  <c r="D3399" i="1"/>
  <c r="D3401" i="1"/>
  <c r="D3403" i="1"/>
  <c r="D3405" i="1"/>
  <c r="D3409" i="1"/>
  <c r="D3410" i="1"/>
  <c r="D3416" i="1"/>
  <c r="D3417" i="1"/>
  <c r="D3418" i="1"/>
  <c r="D3419" i="1"/>
  <c r="D3421" i="1"/>
  <c r="D3424" i="1"/>
  <c r="D3425" i="1"/>
  <c r="D3426" i="1"/>
  <c r="D3427" i="1"/>
  <c r="D3433" i="1"/>
  <c r="D3434" i="1"/>
  <c r="D3435" i="1"/>
  <c r="D3437" i="1"/>
  <c r="D3438" i="1"/>
  <c r="D3439" i="1"/>
  <c r="D3440" i="1"/>
  <c r="D3441" i="1"/>
  <c r="D3442" i="1"/>
  <c r="D3444" i="1"/>
  <c r="D3446" i="1"/>
  <c r="D3447" i="1"/>
  <c r="D3448" i="1"/>
  <c r="D3449" i="1"/>
  <c r="D3450" i="1"/>
  <c r="D3451" i="1"/>
  <c r="D3452" i="1"/>
  <c r="D3453" i="1"/>
  <c r="D3455" i="1"/>
  <c r="D3456" i="1"/>
  <c r="D3458" i="1"/>
  <c r="D3459" i="1"/>
  <c r="D3460" i="1"/>
  <c r="D3461" i="1"/>
  <c r="D3462" i="1"/>
  <c r="D3463" i="1"/>
  <c r="D3464" i="1"/>
  <c r="D3465" i="1"/>
  <c r="D3466" i="1"/>
  <c r="D3467" i="1"/>
  <c r="D3468" i="1"/>
  <c r="D3469" i="1"/>
  <c r="D3470" i="1"/>
  <c r="D3471" i="1"/>
  <c r="D3472" i="1"/>
  <c r="D3473" i="1"/>
  <c r="D3474" i="1"/>
  <c r="D3476" i="1"/>
  <c r="D3477" i="1"/>
  <c r="D3478" i="1"/>
  <c r="D3480" i="1"/>
  <c r="D3481" i="1"/>
  <c r="D3482" i="1"/>
  <c r="D3483" i="1"/>
  <c r="D3484" i="1"/>
  <c r="D3485" i="1"/>
  <c r="D3486" i="1"/>
  <c r="D3487" i="1"/>
  <c r="D3488" i="1"/>
  <c r="D3489" i="1"/>
  <c r="D3490" i="1"/>
  <c r="D3491" i="1"/>
  <c r="D3492" i="1"/>
  <c r="D3495" i="1"/>
  <c r="D3496" i="1"/>
  <c r="D3497" i="1"/>
  <c r="D3498" i="1"/>
  <c r="D3500" i="1"/>
  <c r="D3501" i="1"/>
  <c r="D3503" i="1"/>
  <c r="D3504" i="1"/>
  <c r="D3505" i="1"/>
  <c r="D3506" i="1"/>
  <c r="D3507" i="1"/>
  <c r="D3508" i="1"/>
  <c r="D3509" i="1"/>
  <c r="D3510" i="1"/>
  <c r="D3511" i="1"/>
  <c r="D3512" i="1"/>
  <c r="D3514" i="1"/>
  <c r="D3515" i="1"/>
  <c r="D3516" i="1"/>
  <c r="D3517" i="1"/>
  <c r="D3518" i="1"/>
  <c r="D3519" i="1"/>
  <c r="D3520" i="1"/>
  <c r="D3521" i="1"/>
  <c r="D3522" i="1"/>
  <c r="D3523" i="1"/>
  <c r="D3524" i="1"/>
  <c r="D3525" i="1"/>
  <c r="D3526" i="1"/>
  <c r="D3527" i="1"/>
  <c r="D3528" i="1"/>
  <c r="D3529" i="1"/>
  <c r="D3531" i="1"/>
  <c r="D3532" i="1"/>
  <c r="D3534" i="1"/>
  <c r="D3535" i="1"/>
  <c r="D3536" i="1"/>
  <c r="D3537" i="1"/>
  <c r="D3538" i="1"/>
  <c r="D3539" i="1"/>
  <c r="D3540" i="1"/>
  <c r="D3541" i="1"/>
  <c r="D3542" i="1"/>
  <c r="D3543" i="1"/>
  <c r="D3544" i="1"/>
  <c r="D3545" i="1"/>
  <c r="D3546" i="1"/>
  <c r="D3548" i="1"/>
  <c r="D3549" i="1"/>
  <c r="D3550" i="1"/>
  <c r="D3551" i="1"/>
  <c r="D3553" i="1"/>
  <c r="D3554" i="1"/>
  <c r="D3555" i="1"/>
  <c r="D3556" i="1"/>
  <c r="D3557" i="1"/>
  <c r="D3558" i="1"/>
  <c r="D3559" i="1"/>
  <c r="D3560" i="1"/>
  <c r="D3561" i="1"/>
  <c r="D3562" i="1"/>
  <c r="D3563" i="1"/>
  <c r="D3564" i="1"/>
  <c r="D3565" i="1"/>
  <c r="D3566" i="1"/>
  <c r="D3567" i="1"/>
  <c r="D3568" i="1"/>
  <c r="D3570" i="1"/>
  <c r="D3571" i="1"/>
  <c r="D3572" i="1"/>
  <c r="D3573" i="1"/>
  <c r="D3574" i="1"/>
  <c r="D3575" i="1"/>
  <c r="D3576" i="1"/>
  <c r="D3577" i="1"/>
  <c r="D3578" i="1"/>
  <c r="D3580" i="1"/>
  <c r="D3581" i="1"/>
  <c r="D3582" i="1"/>
  <c r="D3584" i="1"/>
  <c r="D3585" i="1"/>
  <c r="D3586" i="1"/>
  <c r="D3587" i="1"/>
  <c r="D3588" i="1"/>
  <c r="D3589" i="1"/>
  <c r="D3590" i="1"/>
  <c r="D3591" i="1"/>
  <c r="D3592" i="1"/>
  <c r="D3593" i="1"/>
  <c r="D3594" i="1"/>
  <c r="D3595" i="1"/>
  <c r="D3596" i="1"/>
  <c r="D3597" i="1"/>
  <c r="D3598" i="1"/>
  <c r="D3599" i="1"/>
  <c r="D3600" i="1"/>
  <c r="D3601" i="1"/>
  <c r="D3602" i="1"/>
  <c r="D3603" i="1"/>
  <c r="D3605" i="1"/>
  <c r="D3606" i="1"/>
  <c r="D3607" i="1"/>
  <c r="D3608" i="1"/>
  <c r="D3609" i="1"/>
  <c r="D3610" i="1"/>
  <c r="D3613" i="1"/>
  <c r="D3615" i="1"/>
  <c r="D3616" i="1"/>
  <c r="D3617" i="1"/>
  <c r="D3618" i="1"/>
  <c r="D3619" i="1"/>
  <c r="D3620" i="1"/>
  <c r="D3621" i="1"/>
  <c r="D3622" i="1"/>
  <c r="D3623" i="1"/>
  <c r="D3624" i="1"/>
  <c r="D3626" i="1"/>
  <c r="D3627" i="1"/>
  <c r="D3628" i="1"/>
  <c r="D3629" i="1"/>
  <c r="D3643" i="1"/>
  <c r="D3646" i="1"/>
  <c r="D3666" i="1"/>
  <c r="D3670" i="1"/>
  <c r="D3676" i="1"/>
  <c r="D3678" i="1"/>
  <c r="D3679" i="1"/>
  <c r="D3680" i="1"/>
  <c r="D3691" i="1"/>
  <c r="D3692" i="1"/>
  <c r="D3698" i="1"/>
  <c r="D3699" i="1"/>
  <c r="D3702" i="1"/>
  <c r="D3703" i="1"/>
  <c r="D3709" i="1"/>
  <c r="D3723" i="1"/>
  <c r="D3730" i="1"/>
  <c r="D3739" i="1"/>
  <c r="D3740" i="1"/>
  <c r="D3742" i="1"/>
  <c r="D3743" i="1"/>
  <c r="D3754" i="1"/>
  <c r="D3757" i="1"/>
  <c r="D3758" i="1"/>
  <c r="D3765" i="1"/>
  <c r="D3767" i="1"/>
  <c r="D3768" i="1"/>
  <c r="D3769" i="1"/>
  <c r="D3771" i="1"/>
  <c r="D3772" i="1"/>
  <c r="D3775" i="1"/>
  <c r="D3777" i="1"/>
  <c r="D3779" i="1"/>
  <c r="D3782" i="1"/>
  <c r="D3783" i="1"/>
  <c r="D3786" i="1"/>
  <c r="D3788" i="1"/>
  <c r="D3798" i="1"/>
  <c r="D3803" i="1"/>
  <c r="D3806" i="1"/>
  <c r="D3809" i="1"/>
  <c r="D3810" i="1"/>
  <c r="D3811" i="1"/>
  <c r="D3812" i="1"/>
  <c r="D3813" i="1"/>
  <c r="D3814" i="1"/>
  <c r="D3817" i="1"/>
  <c r="D3818" i="1"/>
  <c r="D3821" i="1"/>
  <c r="D3822" i="1"/>
  <c r="D3834" i="1"/>
  <c r="D3835" i="1"/>
  <c r="D3836" i="1"/>
  <c r="D3837" i="1"/>
  <c r="D3841" i="1"/>
  <c r="D3846" i="1"/>
  <c r="D3848" i="1"/>
  <c r="D3849" i="1"/>
  <c r="D3850" i="1"/>
  <c r="D3852" i="1"/>
  <c r="D3853" i="1"/>
  <c r="D3854" i="1"/>
  <c r="D3856" i="1"/>
  <c r="D3857" i="1"/>
  <c r="D3858" i="1"/>
  <c r="D3861" i="1"/>
  <c r="D3862" i="1"/>
  <c r="D3865" i="1"/>
  <c r="D3866" i="1"/>
  <c r="D3867" i="1"/>
  <c r="D3868" i="1"/>
  <c r="D3872" i="1"/>
  <c r="D3884" i="1"/>
  <c r="D3885" i="1"/>
  <c r="D3893" i="1"/>
  <c r="D3900" i="1"/>
  <c r="D3901" i="1"/>
  <c r="D3902" i="1"/>
  <c r="D3903" i="1"/>
  <c r="D3904" i="1"/>
  <c r="D3905" i="1"/>
  <c r="D3907" i="1"/>
  <c r="D3908" i="1"/>
  <c r="D3909" i="1"/>
  <c r="D3910" i="1"/>
  <c r="D3914" i="1"/>
  <c r="D3917" i="1"/>
  <c r="D3918" i="1"/>
  <c r="D3919" i="1"/>
  <c r="D3921" i="1"/>
  <c r="D3922" i="1"/>
  <c r="D3923" i="1"/>
  <c r="D3925" i="1"/>
  <c r="D3926" i="1"/>
  <c r="D3928" i="1"/>
  <c r="D3929" i="1"/>
  <c r="D3930" i="1"/>
  <c r="D3931" i="1"/>
  <c r="D3934" i="1"/>
  <c r="D3935" i="1"/>
  <c r="D3937"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4" i="1"/>
  <c r="D3965" i="1"/>
  <c r="D3966" i="1"/>
  <c r="D3967" i="1"/>
  <c r="D3968" i="1"/>
  <c r="D3970" i="1"/>
  <c r="D3972" i="1"/>
  <c r="D3973" i="1"/>
  <c r="D3974" i="1"/>
  <c r="D3975" i="1"/>
  <c r="D3976" i="1"/>
  <c r="D3977" i="1"/>
  <c r="D3978" i="1"/>
  <c r="D3979" i="1"/>
  <c r="D3980" i="1"/>
  <c r="D3981" i="1"/>
  <c r="D3982" i="1"/>
  <c r="D3983" i="1"/>
  <c r="D3984" i="1"/>
  <c r="D3986" i="1"/>
  <c r="D3987" i="1"/>
  <c r="D3988" i="1"/>
  <c r="D3989" i="1"/>
  <c r="D3990" i="1"/>
  <c r="D3991" i="1"/>
  <c r="D3992" i="1"/>
  <c r="D3993" i="1"/>
  <c r="D3994" i="1"/>
  <c r="D3995" i="1"/>
  <c r="D3997" i="1"/>
  <c r="D3998" i="1"/>
  <c r="D3999" i="1"/>
  <c r="D4000" i="1"/>
  <c r="D4001" i="1"/>
  <c r="D4002" i="1"/>
  <c r="D4003" i="1"/>
  <c r="D4004" i="1"/>
  <c r="D4006" i="1"/>
  <c r="D4007" i="1"/>
  <c r="D4008" i="1"/>
  <c r="D4009" i="1"/>
  <c r="D4011" i="1"/>
  <c r="D4013" i="1"/>
  <c r="D4014" i="1"/>
  <c r="D4015" i="1"/>
  <c r="D4016" i="1"/>
  <c r="D4017" i="1"/>
  <c r="D4018" i="1"/>
  <c r="D4019" i="1"/>
  <c r="D4020" i="1"/>
  <c r="D4021" i="1"/>
  <c r="D4022" i="1"/>
  <c r="D4023" i="1"/>
  <c r="D4024" i="1"/>
  <c r="D4025" i="1"/>
  <c r="D4026" i="1"/>
  <c r="D4027" i="1"/>
  <c r="D4028" i="1"/>
  <c r="D4029" i="1"/>
  <c r="D4030" i="1"/>
  <c r="D4031"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7" i="1"/>
  <c r="D4058" i="1"/>
  <c r="D4059" i="1"/>
  <c r="D4060" i="1"/>
  <c r="D4061" i="1"/>
  <c r="D4062" i="1"/>
  <c r="D4063" i="1"/>
  <c r="D4065" i="1"/>
  <c r="D4066" i="1"/>
  <c r="D4067" i="1"/>
  <c r="D4068" i="1"/>
  <c r="D4069" i="1"/>
  <c r="D4070" i="1"/>
  <c r="D4072" i="1"/>
  <c r="D4073" i="1"/>
  <c r="D4074" i="1"/>
  <c r="D4075" i="1"/>
  <c r="D4076" i="1"/>
  <c r="D4077" i="1"/>
  <c r="D4078" i="1"/>
  <c r="D4079" i="1"/>
  <c r="D4080" i="1"/>
  <c r="D4081" i="1"/>
  <c r="D4082" i="1"/>
  <c r="D4083" i="1"/>
  <c r="D4084" i="1"/>
  <c r="D4085" i="1"/>
  <c r="D4086" i="1"/>
  <c r="D4087" i="1"/>
  <c r="D4088" i="1"/>
  <c r="D4089" i="1"/>
  <c r="D4091" i="1"/>
  <c r="D4092" i="1"/>
  <c r="D4093" i="1"/>
  <c r="D4096" i="1"/>
  <c r="D4097" i="1"/>
  <c r="D4098" i="1"/>
  <c r="D4099"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5" i="1"/>
  <c r="D76" i="1"/>
  <c r="D77" i="1"/>
  <c r="D78" i="1"/>
  <c r="D79" i="1"/>
  <c r="D80" i="1"/>
  <c r="D81"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40" i="1"/>
  <c r="D141" i="1"/>
  <c r="D142" i="1"/>
  <c r="D143" i="1"/>
  <c r="D144" i="1"/>
  <c r="D145" i="1"/>
  <c r="D146" i="1"/>
  <c r="D147" i="1"/>
  <c r="D148" i="1"/>
  <c r="D149" i="1"/>
  <c r="D150"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90" i="1"/>
  <c r="D191" i="1"/>
  <c r="D192" i="1"/>
  <c r="D193" i="1"/>
  <c r="D194" i="1"/>
  <c r="D196" i="1"/>
  <c r="D197" i="1"/>
  <c r="D198" i="1"/>
  <c r="D200" i="1"/>
  <c r="D201" i="1"/>
  <c r="D202" i="1"/>
  <c r="D203" i="1"/>
  <c r="D204" i="1"/>
  <c r="D205" i="1"/>
  <c r="D206" i="1"/>
  <c r="D208" i="1"/>
  <c r="D209" i="1"/>
  <c r="D210" i="1"/>
  <c r="D211" i="1"/>
  <c r="D212" i="1"/>
  <c r="D213" i="1"/>
  <c r="D214" i="1"/>
  <c r="D215" i="1"/>
  <c r="D216" i="1"/>
  <c r="D217" i="1"/>
  <c r="D218" i="1"/>
  <c r="D219" i="1"/>
  <c r="D220" i="1"/>
  <c r="D221" i="1"/>
  <c r="D222" i="1"/>
  <c r="D223" i="1"/>
  <c r="D224" i="1"/>
  <c r="D225" i="1"/>
  <c r="D226" i="1"/>
  <c r="D227" i="1"/>
  <c r="D228" i="1"/>
  <c r="D229" i="1"/>
  <c r="D231" i="1"/>
  <c r="D232" i="1"/>
  <c r="D233" i="1"/>
  <c r="D235" i="1"/>
  <c r="D236" i="1"/>
  <c r="D237" i="1"/>
  <c r="D238" i="1"/>
  <c r="D239" i="1"/>
  <c r="D240" i="1"/>
  <c r="D241" i="1"/>
  <c r="D242" i="1"/>
  <c r="D243" i="1"/>
  <c r="D244" i="1"/>
  <c r="D246" i="1"/>
  <c r="D247" i="1"/>
  <c r="D248" i="1"/>
  <c r="D249" i="1"/>
  <c r="D250" i="1"/>
  <c r="D252" i="1"/>
  <c r="D253" i="1"/>
  <c r="D254" i="1"/>
  <c r="D255" i="1"/>
  <c r="D256" i="1"/>
  <c r="D257" i="1"/>
  <c r="D258" i="1"/>
  <c r="D259" i="1"/>
  <c r="D260" i="1"/>
  <c r="D261" i="1"/>
  <c r="D263" i="1"/>
  <c r="D264" i="1"/>
  <c r="D265" i="1"/>
  <c r="D266" i="1"/>
  <c r="D267" i="1"/>
  <c r="D268" i="1"/>
  <c r="D269" i="1"/>
  <c r="D271" i="1"/>
  <c r="D272" i="1"/>
  <c r="D273" i="1"/>
  <c r="D274" i="1"/>
  <c r="D277" i="1"/>
  <c r="D278" i="1"/>
  <c r="D279" i="1"/>
  <c r="D280" i="1"/>
  <c r="D281" i="1"/>
  <c r="D284" i="1"/>
  <c r="D285" i="1"/>
  <c r="D286" i="1"/>
  <c r="D287" i="1"/>
  <c r="D289" i="1"/>
  <c r="D290" i="1"/>
  <c r="D291" i="1"/>
  <c r="D293" i="1"/>
  <c r="D294" i="1"/>
  <c r="D295" i="1"/>
  <c r="D298" i="1"/>
  <c r="D299" i="1"/>
  <c r="D301" i="1"/>
  <c r="D302" i="1"/>
  <c r="D305" i="1"/>
  <c r="D308" i="1"/>
  <c r="D309" i="1"/>
  <c r="D310" i="1"/>
  <c r="D311" i="1"/>
  <c r="D312" i="1"/>
  <c r="D313" i="1"/>
  <c r="D314" i="1"/>
  <c r="D316" i="1"/>
  <c r="D317" i="1"/>
  <c r="D319" i="1"/>
  <c r="D320" i="1"/>
  <c r="D321" i="1"/>
  <c r="D322" i="1"/>
  <c r="D323" i="1"/>
  <c r="D325" i="1"/>
  <c r="D326" i="1"/>
  <c r="D328" i="1"/>
  <c r="D329" i="1"/>
  <c r="D330" i="1"/>
  <c r="D331" i="1"/>
  <c r="D332" i="1"/>
  <c r="D333" i="1"/>
  <c r="D334" i="1"/>
  <c r="D335" i="1"/>
  <c r="D337" i="1"/>
  <c r="D338" i="1"/>
  <c r="D339" i="1"/>
  <c r="D340" i="1"/>
  <c r="D341" i="1"/>
  <c r="D342" i="1"/>
  <c r="D343" i="1"/>
  <c r="D345" i="1"/>
  <c r="D346" i="1"/>
  <c r="D347" i="1"/>
  <c r="D348" i="1"/>
  <c r="D349" i="1"/>
  <c r="D350" i="1"/>
  <c r="D351" i="1"/>
  <c r="D352" i="1"/>
  <c r="D354" i="1"/>
  <c r="D355" i="1"/>
  <c r="D356" i="1"/>
  <c r="D357" i="1"/>
  <c r="D358" i="1"/>
  <c r="D359" i="1"/>
  <c r="D360" i="1"/>
  <c r="D361" i="1"/>
  <c r="D362" i="1"/>
  <c r="D363" i="1"/>
  <c r="D364" i="1"/>
  <c r="D365" i="1"/>
  <c r="D367" i="1"/>
  <c r="D368" i="1"/>
  <c r="D370" i="1"/>
  <c r="D371" i="1"/>
  <c r="D373" i="1"/>
  <c r="D375" i="1"/>
  <c r="D377" i="1"/>
  <c r="D378" i="1"/>
  <c r="D380" i="1"/>
  <c r="D381" i="1"/>
  <c r="D382" i="1"/>
  <c r="D383" i="1"/>
  <c r="D385" i="1"/>
  <c r="D386" i="1"/>
  <c r="D389" i="1"/>
  <c r="D390" i="1"/>
  <c r="D391" i="1"/>
  <c r="D392" i="1"/>
  <c r="D395" i="1"/>
  <c r="D397" i="1"/>
  <c r="D398" i="1"/>
  <c r="D399" i="1"/>
  <c r="D400" i="1"/>
  <c r="D404" i="1"/>
  <c r="D406" i="1"/>
  <c r="D407" i="1"/>
  <c r="D409" i="1"/>
  <c r="D410" i="1"/>
  <c r="D412" i="1"/>
  <c r="D413" i="1"/>
  <c r="D414" i="1"/>
  <c r="D415" i="1"/>
  <c r="D416" i="1"/>
  <c r="D417" i="1"/>
  <c r="D421" i="1"/>
  <c r="D428" i="1"/>
  <c r="D429" i="1"/>
  <c r="D431" i="1"/>
  <c r="D432" i="1"/>
  <c r="D433" i="1"/>
  <c r="D434" i="1"/>
  <c r="D436" i="1"/>
  <c r="D438" i="1"/>
  <c r="D439" i="1"/>
  <c r="D441" i="1"/>
  <c r="D445" i="1"/>
  <c r="D449" i="1"/>
  <c r="D452" i="1"/>
  <c r="D453" i="1"/>
  <c r="D455" i="1"/>
  <c r="D456" i="1"/>
  <c r="D457" i="1"/>
  <c r="D458" i="1"/>
  <c r="D460" i="1"/>
  <c r="D461" i="1"/>
  <c r="D466" i="1"/>
  <c r="D467" i="1"/>
  <c r="D469" i="1"/>
  <c r="D471" i="1"/>
  <c r="D474" i="1"/>
  <c r="D478" i="1"/>
  <c r="D479" i="1"/>
  <c r="D481" i="1"/>
  <c r="D487" i="1"/>
  <c r="D489" i="1"/>
  <c r="D490" i="1"/>
  <c r="D496" i="1"/>
  <c r="D497" i="1"/>
  <c r="D499" i="1"/>
  <c r="D503" i="1"/>
  <c r="D505" i="1"/>
  <c r="D506" i="1"/>
  <c r="D508" i="1"/>
  <c r="D512"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5" i="1"/>
  <c r="D546" i="1"/>
  <c r="D547" i="1"/>
  <c r="D548" i="1"/>
  <c r="D549" i="1"/>
  <c r="D550" i="1"/>
  <c r="D551" i="1"/>
  <c r="D552" i="1"/>
  <c r="D554" i="1"/>
  <c r="D555" i="1"/>
  <c r="D556" i="1"/>
  <c r="D557" i="1"/>
  <c r="D558" i="1"/>
  <c r="D559" i="1"/>
  <c r="D560" i="1"/>
  <c r="D561" i="1"/>
  <c r="D562" i="1"/>
  <c r="D563" i="1"/>
  <c r="D564" i="1"/>
  <c r="D566" i="1"/>
  <c r="D567" i="1"/>
  <c r="D568" i="1"/>
  <c r="D569" i="1"/>
  <c r="D570" i="1"/>
  <c r="D571" i="1"/>
  <c r="D572" i="1"/>
  <c r="D573" i="1"/>
  <c r="D574" i="1"/>
  <c r="D575" i="1"/>
  <c r="D576" i="1"/>
  <c r="D578" i="1"/>
  <c r="D579" i="1"/>
  <c r="D581" i="1"/>
  <c r="D583" i="1"/>
  <c r="D584" i="1"/>
  <c r="D585" i="1"/>
  <c r="D586" i="1"/>
  <c r="D587" i="1"/>
  <c r="D588" i="1"/>
  <c r="D589" i="1"/>
  <c r="D591" i="1"/>
  <c r="D592" i="1"/>
  <c r="D593" i="1"/>
  <c r="D594" i="1"/>
  <c r="D595" i="1"/>
  <c r="D596" i="1"/>
  <c r="D597" i="1"/>
  <c r="D598" i="1"/>
  <c r="D599" i="1"/>
  <c r="D600" i="1"/>
  <c r="D601" i="1"/>
  <c r="D602" i="1"/>
  <c r="D603" i="1"/>
  <c r="D604" i="1"/>
  <c r="D605" i="1"/>
  <c r="D606" i="1"/>
  <c r="D607" i="1"/>
  <c r="D608" i="1"/>
  <c r="D610" i="1"/>
  <c r="D612" i="1"/>
  <c r="D613" i="1"/>
  <c r="D614" i="1"/>
  <c r="D616" i="1"/>
  <c r="D617" i="1"/>
  <c r="D618" i="1"/>
  <c r="D619" i="1"/>
  <c r="D620" i="1"/>
  <c r="D621" i="1"/>
  <c r="D622" i="1"/>
  <c r="D624" i="1"/>
  <c r="D625" i="1"/>
  <c r="D626" i="1"/>
  <c r="D627" i="1"/>
  <c r="D630" i="1"/>
  <c r="D631" i="1"/>
  <c r="D632" i="1"/>
  <c r="D633" i="1"/>
  <c r="D634" i="1"/>
  <c r="D635" i="1"/>
  <c r="D636" i="1"/>
  <c r="D637" i="1"/>
  <c r="D638" i="1"/>
  <c r="D640" i="1"/>
  <c r="D641" i="1"/>
  <c r="D642" i="1"/>
  <c r="D643" i="1"/>
  <c r="D644" i="1"/>
  <c r="D645" i="1"/>
  <c r="D646" i="1"/>
  <c r="D648" i="1"/>
  <c r="D649" i="1"/>
  <c r="D650" i="1"/>
  <c r="D651" i="1"/>
  <c r="D652" i="1"/>
  <c r="D653" i="1"/>
  <c r="D654" i="1"/>
  <c r="D655" i="1"/>
  <c r="D656" i="1"/>
  <c r="D657" i="1"/>
  <c r="D659" i="1"/>
  <c r="D660" i="1"/>
  <c r="D663" i="1"/>
  <c r="D664" i="1"/>
  <c r="D665" i="1"/>
  <c r="D666" i="1"/>
  <c r="D667" i="1"/>
  <c r="D668" i="1"/>
  <c r="D669" i="1"/>
  <c r="D670" i="1"/>
  <c r="D671" i="1"/>
  <c r="D672" i="1"/>
  <c r="D674" i="1"/>
  <c r="D675" i="1"/>
  <c r="D677" i="1"/>
  <c r="D678" i="1"/>
  <c r="D679" i="1"/>
  <c r="D680" i="1"/>
  <c r="D681" i="1"/>
  <c r="D682" i="1"/>
  <c r="D683" i="1"/>
  <c r="D684" i="1"/>
  <c r="D685" i="1"/>
  <c r="D687" i="1"/>
  <c r="D688" i="1"/>
  <c r="D689" i="1"/>
  <c r="D690" i="1"/>
  <c r="D691" i="1"/>
  <c r="D692" i="1"/>
  <c r="D693" i="1"/>
  <c r="D694" i="1"/>
  <c r="D697" i="1"/>
  <c r="D699" i="1"/>
  <c r="D700" i="1"/>
  <c r="D701" i="1"/>
  <c r="D702" i="1"/>
  <c r="D703" i="1"/>
  <c r="D704" i="1"/>
  <c r="D705" i="1"/>
  <c r="D706" i="1"/>
  <c r="D707" i="1"/>
  <c r="D708" i="1"/>
  <c r="D709" i="1"/>
  <c r="D710" i="1"/>
  <c r="D711" i="1"/>
  <c r="D712" i="1"/>
  <c r="D713" i="1"/>
  <c r="D714" i="1"/>
  <c r="D717" i="1"/>
  <c r="D718" i="1"/>
  <c r="D719" i="1"/>
  <c r="D720" i="1"/>
  <c r="D721" i="1"/>
  <c r="D722" i="1"/>
  <c r="D723" i="1"/>
  <c r="D726" i="1"/>
  <c r="D727" i="1"/>
  <c r="D728" i="1"/>
  <c r="D729" i="1"/>
  <c r="D730" i="1"/>
  <c r="D731" i="1"/>
  <c r="D732" i="1"/>
  <c r="D733" i="1"/>
  <c r="D734" i="1"/>
  <c r="D735" i="1"/>
  <c r="D737" i="1"/>
  <c r="D738" i="1"/>
  <c r="D739" i="1"/>
  <c r="D740" i="1"/>
  <c r="D741" i="1"/>
  <c r="D742" i="1"/>
  <c r="D743" i="1"/>
  <c r="D744" i="1"/>
  <c r="D745" i="1"/>
  <c r="D746" i="1"/>
  <c r="D747" i="1"/>
  <c r="D748" i="1"/>
  <c r="D749" i="1"/>
  <c r="D750" i="1"/>
  <c r="D751" i="1"/>
  <c r="D752" i="1"/>
  <c r="D756" i="1"/>
  <c r="D757" i="1"/>
  <c r="D760" i="1"/>
  <c r="D761" i="1"/>
  <c r="D762" i="1"/>
  <c r="D764" i="1"/>
  <c r="D766" i="1"/>
  <c r="D767" i="1"/>
  <c r="D768" i="1"/>
  <c r="D770" i="1"/>
  <c r="D771" i="1"/>
  <c r="D772" i="1"/>
  <c r="D773" i="1"/>
  <c r="D774" i="1"/>
  <c r="D775" i="1"/>
  <c r="D776" i="1"/>
  <c r="D779" i="1"/>
  <c r="D781" i="1"/>
  <c r="D782" i="1"/>
  <c r="D785" i="1"/>
  <c r="D786" i="1"/>
  <c r="D787" i="1"/>
  <c r="D789" i="1"/>
  <c r="D790" i="1"/>
  <c r="D791" i="1"/>
  <c r="D792" i="1"/>
  <c r="D794" i="1"/>
  <c r="D795" i="1"/>
  <c r="D796" i="1"/>
  <c r="D799" i="1"/>
  <c r="D801" i="1"/>
  <c r="D803" i="1"/>
  <c r="D805" i="1"/>
  <c r="D806" i="1"/>
  <c r="D807" i="1"/>
  <c r="D808" i="1"/>
  <c r="D809" i="1"/>
  <c r="D810" i="1"/>
  <c r="D812" i="1"/>
  <c r="D813" i="1"/>
  <c r="D814" i="1"/>
  <c r="D815" i="1"/>
  <c r="D816" i="1"/>
  <c r="D817" i="1"/>
  <c r="D818" i="1"/>
  <c r="D820" i="1"/>
  <c r="D821" i="1"/>
  <c r="D822" i="1"/>
  <c r="D823" i="1"/>
  <c r="D825" i="1"/>
  <c r="D827" i="1"/>
  <c r="D828" i="1"/>
  <c r="D829" i="1"/>
  <c r="D830" i="1"/>
  <c r="D832" i="1"/>
  <c r="D835" i="1"/>
  <c r="D836" i="1"/>
  <c r="D843" i="1"/>
  <c r="D845" i="1"/>
  <c r="D847" i="1"/>
  <c r="D848" i="1"/>
  <c r="D849" i="1"/>
  <c r="D850" i="1"/>
  <c r="D855" i="1"/>
  <c r="D856" i="1"/>
  <c r="D857" i="1"/>
  <c r="D858" i="1"/>
  <c r="D859" i="1"/>
  <c r="D860" i="1"/>
  <c r="D861" i="1"/>
  <c r="D862" i="1"/>
  <c r="D868" i="1"/>
  <c r="D869" i="1"/>
  <c r="D872" i="1"/>
  <c r="D873" i="1"/>
  <c r="D874" i="1"/>
  <c r="D875" i="1"/>
  <c r="D876" i="1"/>
  <c r="D881" i="1"/>
  <c r="D883" i="1"/>
  <c r="D885" i="1"/>
  <c r="D887" i="1"/>
  <c r="D888" i="1"/>
  <c r="D889" i="1"/>
  <c r="D892" i="1"/>
  <c r="D900" i="1"/>
  <c r="D906" i="1"/>
  <c r="D908" i="1"/>
  <c r="D915" i="1"/>
  <c r="D918" i="1"/>
  <c r="D920" i="1"/>
  <c r="D928" i="1"/>
  <c r="D929" i="1"/>
  <c r="D931" i="1"/>
  <c r="D933" i="1"/>
  <c r="D936" i="1"/>
  <c r="D938" i="1"/>
  <c r="D939" i="1"/>
  <c r="D942" i="1"/>
  <c r="D943" i="1"/>
  <c r="D947" i="1"/>
  <c r="D948" i="1"/>
  <c r="D949" i="1"/>
  <c r="D952" i="1"/>
  <c r="D955" i="1"/>
  <c r="D960" i="1"/>
  <c r="D965" i="1"/>
  <c r="D969" i="1"/>
  <c r="D972" i="1"/>
  <c r="D984" i="1"/>
  <c r="D986" i="1"/>
  <c r="D987" i="1"/>
  <c r="D988" i="1"/>
  <c r="D989" i="1"/>
  <c r="D993" i="1"/>
  <c r="D996" i="1"/>
  <c r="D998" i="1"/>
  <c r="D1001" i="1"/>
  <c r="D1002" i="1"/>
  <c r="D1005" i="1"/>
  <c r="D1008" i="1"/>
  <c r="D1012" i="1"/>
  <c r="D1013" i="1"/>
  <c r="D1015" i="1"/>
  <c r="D1019" i="1"/>
  <c r="D1025" i="1"/>
  <c r="D1026" i="1"/>
  <c r="D1029" i="1"/>
  <c r="D1033" i="1"/>
  <c r="D1034" i="1"/>
  <c r="D1036" i="1"/>
  <c r="D1038" i="1"/>
  <c r="D1039" i="1"/>
  <c r="D1040" i="1"/>
  <c r="D1041" i="1"/>
  <c r="D1042" i="1"/>
  <c r="D1043" i="1"/>
  <c r="D1044" i="1"/>
  <c r="D1045" i="1"/>
  <c r="D1046" i="1"/>
  <c r="D1047" i="1"/>
  <c r="D1048" i="1"/>
  <c r="D1050" i="1"/>
  <c r="D1051" i="1"/>
  <c r="D1052" i="1"/>
  <c r="D1053" i="1"/>
  <c r="D1054" i="1"/>
  <c r="D1055" i="1"/>
  <c r="D1056" i="1"/>
  <c r="D1057" i="1"/>
  <c r="D1058" i="1"/>
  <c r="D1059" i="1"/>
  <c r="D1060" i="1"/>
  <c r="D1061" i="1"/>
  <c r="D1062" i="1"/>
  <c r="D1063" i="1"/>
  <c r="D1064" i="1"/>
  <c r="D1065" i="1"/>
  <c r="D1066" i="1"/>
  <c r="D1067" i="1"/>
  <c r="D1068" i="1"/>
  <c r="D1069" i="1"/>
  <c r="D1070" i="1"/>
  <c r="D1071" i="1"/>
  <c r="D1075" i="1"/>
  <c r="D1080" i="1"/>
  <c r="D1081" i="1"/>
  <c r="D1082" i="1"/>
  <c r="D1083" i="1"/>
  <c r="D1085" i="1"/>
  <c r="D1086" i="1"/>
  <c r="D1087" i="1"/>
  <c r="D1088" i="1"/>
  <c r="D1089" i="1"/>
  <c r="D1090" i="1"/>
  <c r="D1091" i="1"/>
  <c r="D1092" i="1"/>
  <c r="D1097" i="1"/>
  <c r="D1098" i="1"/>
  <c r="D1099" i="1"/>
  <c r="D1100" i="1"/>
  <c r="D1101" i="1"/>
  <c r="D1102" i="1"/>
  <c r="D1103" i="1"/>
  <c r="D1104" i="1"/>
  <c r="D1106" i="1"/>
  <c r="D1109" i="1"/>
  <c r="D1110" i="1"/>
  <c r="D1111" i="1"/>
  <c r="D1112" i="1"/>
  <c r="D1113" i="1"/>
  <c r="D1114" i="1"/>
  <c r="D1116" i="1"/>
  <c r="D1117" i="1"/>
  <c r="D1118" i="1"/>
  <c r="D1119" i="1"/>
  <c r="D1120" i="1"/>
  <c r="D1121" i="1"/>
  <c r="D1123" i="1"/>
  <c r="D1124" i="1"/>
  <c r="D1125" i="1"/>
  <c r="D1126" i="1"/>
  <c r="D1127" i="1"/>
  <c r="D1128" i="1"/>
  <c r="D1129" i="1"/>
  <c r="D1130" i="1"/>
  <c r="D1131" i="1"/>
  <c r="D1132" i="1"/>
  <c r="D1133" i="1"/>
  <c r="D1135" i="1"/>
  <c r="D1136" i="1"/>
  <c r="D1137" i="1"/>
  <c r="D1139" i="1"/>
  <c r="D1140" i="1"/>
  <c r="D1144" i="1"/>
  <c r="D1145" i="1"/>
  <c r="D1146" i="1"/>
  <c r="D1147" i="1"/>
  <c r="D1148" i="1"/>
  <c r="D1149" i="1"/>
  <c r="D1150" i="1"/>
  <c r="D1151" i="1"/>
  <c r="D1152" i="1"/>
  <c r="D1153" i="1"/>
  <c r="D1154" i="1"/>
  <c r="D1157" i="1"/>
  <c r="D1158" i="1"/>
  <c r="D1160" i="1"/>
  <c r="D1161" i="1"/>
  <c r="D1162" i="1"/>
  <c r="D1163" i="1"/>
  <c r="D1164" i="1"/>
  <c r="D1165" i="1"/>
  <c r="D1166" i="1"/>
  <c r="D1168" i="1"/>
  <c r="D1169" i="1"/>
  <c r="D1170" i="1"/>
  <c r="D1171" i="1"/>
  <c r="D1172" i="1"/>
  <c r="D1173" i="1"/>
  <c r="D1174" i="1"/>
  <c r="D1175" i="1"/>
  <c r="D1176" i="1"/>
  <c r="D1177" i="1"/>
  <c r="D1178" i="1"/>
  <c r="D1179" i="1"/>
  <c r="D1180" i="1"/>
  <c r="D1181" i="1"/>
  <c r="D1182" i="1"/>
  <c r="D1184" i="1"/>
  <c r="D1185" i="1"/>
  <c r="D1186" i="1"/>
  <c r="D1188" i="1"/>
  <c r="D1189" i="1"/>
  <c r="D1190" i="1"/>
  <c r="D1191" i="1"/>
  <c r="D1192" i="1"/>
  <c r="D1193" i="1"/>
  <c r="D1195" i="1"/>
  <c r="D1199" i="1"/>
  <c r="D1200" i="1"/>
  <c r="D1204" i="1"/>
  <c r="D1205" i="1"/>
  <c r="D1207" i="1"/>
  <c r="D1208" i="1"/>
  <c r="D1210" i="1"/>
  <c r="D1211" i="1"/>
  <c r="D1212" i="1"/>
  <c r="D1213" i="1"/>
  <c r="D1214" i="1"/>
  <c r="D1215" i="1"/>
  <c r="D1216" i="1"/>
  <c r="D1217" i="1"/>
  <c r="D1219" i="1"/>
  <c r="D1220" i="1"/>
  <c r="D1221" i="1"/>
  <c r="D1222" i="1"/>
  <c r="D1223" i="1"/>
  <c r="D1224" i="1"/>
  <c r="D1225" i="1"/>
  <c r="D1226" i="1"/>
  <c r="D1227" i="1"/>
  <c r="D1228" i="1"/>
  <c r="D1229" i="1"/>
  <c r="D1230" i="1"/>
  <c r="D1231" i="1"/>
  <c r="D1233" i="1"/>
  <c r="D1235" i="1"/>
  <c r="D1236" i="1"/>
  <c r="D1238" i="1"/>
  <c r="D1239" i="1"/>
  <c r="D1241" i="1"/>
  <c r="D1242" i="1"/>
  <c r="D1246" i="1"/>
  <c r="D1247" i="1"/>
  <c r="D1250" i="1"/>
  <c r="D1251" i="1"/>
  <c r="D1253" i="1"/>
  <c r="D1256" i="1"/>
  <c r="D1258" i="1"/>
  <c r="D1259" i="1"/>
  <c r="D1261" i="1"/>
  <c r="D1265" i="1"/>
  <c r="D1266" i="1"/>
  <c r="D1267" i="1"/>
  <c r="D1268" i="1"/>
  <c r="D1269" i="1"/>
  <c r="D1270" i="1"/>
  <c r="D1271" i="1"/>
  <c r="D1272" i="1"/>
  <c r="D1273" i="1"/>
  <c r="D1274" i="1"/>
  <c r="D1277" i="1"/>
  <c r="D1278" i="1"/>
  <c r="D1279" i="1"/>
  <c r="D1280" i="1"/>
  <c r="D1281" i="1"/>
  <c r="D1282" i="1"/>
  <c r="D1283" i="1"/>
  <c r="D1286" i="1"/>
  <c r="D1288" i="1"/>
  <c r="D1291" i="1"/>
  <c r="D1292" i="1"/>
  <c r="D1293" i="1"/>
  <c r="D1294" i="1"/>
  <c r="D1295" i="1"/>
  <c r="D1299" i="1"/>
  <c r="D1300" i="1"/>
  <c r="D1303" i="1"/>
  <c r="D1304" i="1"/>
  <c r="D1305" i="1"/>
  <c r="D1308" i="1"/>
  <c r="D1309" i="1"/>
  <c r="D1310" i="1"/>
  <c r="D1311" i="1"/>
  <c r="D1313" i="1"/>
  <c r="D1314" i="1"/>
  <c r="D1317" i="1"/>
  <c r="D1318" i="1"/>
  <c r="D1319" i="1"/>
  <c r="D1320" i="1"/>
  <c r="D1321" i="1"/>
  <c r="D1324" i="1"/>
  <c r="D1326" i="1"/>
  <c r="D1327" i="1"/>
  <c r="D1333" i="1"/>
  <c r="D1336" i="1"/>
  <c r="D1337" i="1"/>
  <c r="D1338" i="1"/>
  <c r="D1340" i="1"/>
  <c r="D1341" i="1"/>
  <c r="D1342" i="1"/>
  <c r="D1343" i="1"/>
  <c r="D1347" i="1"/>
  <c r="D1348" i="1"/>
  <c r="D1350" i="1"/>
  <c r="D1352" i="1"/>
  <c r="D1353" i="1"/>
  <c r="D1354" i="1"/>
  <c r="D1355" i="1"/>
  <c r="D1356" i="1"/>
  <c r="D1357" i="1"/>
  <c r="D1358" i="1"/>
  <c r="D1361" i="1"/>
  <c r="D1362" i="1"/>
  <c r="D1363" i="1"/>
  <c r="D1364" i="1"/>
  <c r="D1366" i="1"/>
  <c r="D1368" i="1"/>
  <c r="D1370" i="1"/>
  <c r="D1372" i="1"/>
  <c r="D1374" i="1"/>
  <c r="D1375" i="1"/>
  <c r="D1376" i="1"/>
  <c r="D1380" i="1"/>
  <c r="D1381" i="1"/>
  <c r="D1382" i="1"/>
  <c r="D1384" i="1"/>
  <c r="D1385" i="1"/>
  <c r="D1388" i="1"/>
  <c r="D1389" i="1"/>
  <c r="D1393" i="1"/>
  <c r="D1396" i="1"/>
  <c r="D1397" i="1"/>
  <c r="D1404" i="1"/>
  <c r="D1408" i="1"/>
  <c r="D1411" i="1"/>
  <c r="D1413" i="1"/>
  <c r="D1417" i="1"/>
  <c r="D1425" i="1"/>
  <c r="D1434" i="1"/>
  <c r="D1437" i="1"/>
  <c r="D1444" i="1"/>
  <c r="D1446" i="1"/>
  <c r="D1448" i="1"/>
  <c r="D1450" i="1"/>
  <c r="D1451" i="1"/>
  <c r="D1453" i="1"/>
  <c r="D1459" i="1"/>
  <c r="D1465" i="1"/>
  <c r="D1478" i="1"/>
  <c r="D1480" i="1"/>
  <c r="D1485" i="1"/>
  <c r="D1486" i="1"/>
  <c r="D1487" i="1"/>
  <c r="D1489" i="1"/>
  <c r="D1490" i="1"/>
  <c r="D1497" i="1"/>
  <c r="D1506" i="1"/>
  <c r="D1513" i="1"/>
  <c r="D1528" i="1"/>
  <c r="D1539" i="1"/>
  <c r="D1551" i="1"/>
  <c r="D1552" i="1"/>
  <c r="D1558" i="1"/>
  <c r="D1562" i="1"/>
  <c r="D1563" i="1"/>
  <c r="D1570" i="1"/>
  <c r="D1575" i="1"/>
  <c r="D1578" i="1"/>
  <c r="D1582" i="1"/>
  <c r="D1586" i="1"/>
  <c r="D1587" i="1"/>
  <c r="D1588" i="1"/>
  <c r="D1589" i="1"/>
  <c r="D1591" i="1"/>
  <c r="D1592" i="1"/>
  <c r="D1594" i="1"/>
  <c r="D1595" i="1"/>
  <c r="D1596" i="1"/>
  <c r="D1597" i="1"/>
  <c r="D1598" i="1"/>
  <c r="D1601" i="1"/>
  <c r="D1602" i="1"/>
  <c r="D1603" i="1"/>
  <c r="D1606" i="1"/>
  <c r="D1607" i="1"/>
  <c r="D1608" i="1"/>
  <c r="D1609" i="1"/>
  <c r="D1610" i="1"/>
  <c r="D1611" i="1"/>
  <c r="D1612" i="1"/>
  <c r="D1613" i="1"/>
  <c r="D1614" i="1"/>
  <c r="D1615" i="1"/>
  <c r="D1616" i="1"/>
  <c r="D1617" i="1"/>
  <c r="D1618" i="1"/>
  <c r="D1619" i="1"/>
  <c r="D1620" i="1"/>
  <c r="D1621" i="1"/>
  <c r="D1622" i="1"/>
  <c r="D1623" i="1"/>
  <c r="D1624" i="1"/>
  <c r="D1625" i="1"/>
  <c r="D1627" i="1"/>
  <c r="D1630" i="1"/>
  <c r="D1631" i="1"/>
  <c r="D1633" i="1"/>
  <c r="D1634" i="1"/>
  <c r="D1635" i="1"/>
  <c r="D1636" i="1"/>
  <c r="D1637" i="1"/>
  <c r="D1638" i="1"/>
  <c r="D1639" i="1"/>
  <c r="D1640" i="1"/>
  <c r="D1641" i="1"/>
  <c r="D1644" i="1"/>
  <c r="D1645" i="1"/>
  <c r="D1650" i="1"/>
  <c r="D1651" i="1"/>
  <c r="D1652" i="1"/>
  <c r="D1654" i="1"/>
  <c r="D1655" i="1"/>
  <c r="D1656" i="1"/>
  <c r="D1659" i="1"/>
  <c r="D1660" i="1"/>
  <c r="D1661" i="1"/>
  <c r="D1662" i="1"/>
  <c r="D1663" i="1"/>
  <c r="D1664" i="1"/>
  <c r="D1665" i="1"/>
  <c r="D1666" i="1"/>
  <c r="D1667" i="1"/>
  <c r="D1668" i="1"/>
  <c r="D1669" i="1"/>
  <c r="D1671" i="1"/>
  <c r="D1672" i="1"/>
  <c r="D1673" i="1"/>
  <c r="D1677" i="1"/>
  <c r="D1678" i="1"/>
  <c r="D1679" i="1"/>
  <c r="D1680" i="1"/>
  <c r="D1682" i="1"/>
  <c r="D1685" i="1"/>
  <c r="D1686" i="1"/>
  <c r="D1687" i="1"/>
  <c r="D1691" i="1"/>
  <c r="D1692" i="1"/>
  <c r="D1693" i="1"/>
  <c r="D1694" i="1"/>
  <c r="D1695" i="1"/>
  <c r="D1696" i="1"/>
  <c r="D1698" i="1"/>
  <c r="D1699" i="1"/>
  <c r="D1700" i="1"/>
  <c r="D1701" i="1"/>
  <c r="D1702" i="1"/>
  <c r="D1706" i="1"/>
  <c r="D1708" i="1"/>
  <c r="D1709" i="1"/>
  <c r="D1710" i="1"/>
  <c r="D1713" i="1"/>
  <c r="D1714" i="1"/>
  <c r="D1715" i="1"/>
  <c r="D1716" i="1"/>
  <c r="D1717" i="1"/>
  <c r="D1718" i="1"/>
  <c r="D1719" i="1"/>
  <c r="D1720" i="1"/>
  <c r="D1721" i="1"/>
  <c r="D1722" i="1"/>
  <c r="D1723" i="1"/>
  <c r="D1724" i="1"/>
  <c r="D1725" i="1"/>
  <c r="D1726" i="1"/>
  <c r="D1727" i="1"/>
  <c r="D1730" i="1"/>
  <c r="D1731" i="1"/>
  <c r="D1732" i="1"/>
  <c r="D1733" i="1"/>
  <c r="D1734" i="1"/>
  <c r="D1737" i="1"/>
  <c r="D1738" i="1"/>
  <c r="D1739" i="1"/>
  <c r="D1740" i="1"/>
  <c r="D1743" i="1"/>
  <c r="D1746" i="1"/>
  <c r="D1748" i="1"/>
  <c r="D1749" i="1"/>
  <c r="D1750" i="1"/>
  <c r="D1752" i="1"/>
  <c r="D1753" i="1"/>
  <c r="D1755" i="1"/>
  <c r="D1756" i="1"/>
  <c r="D1758" i="1"/>
  <c r="D1759" i="1"/>
  <c r="D1760" i="1"/>
  <c r="D1761" i="1"/>
  <c r="D1762" i="1"/>
  <c r="D1763" i="1"/>
  <c r="D1764" i="1"/>
  <c r="D1765" i="1"/>
  <c r="D1766" i="1"/>
  <c r="D1767" i="1"/>
  <c r="D1768" i="1"/>
  <c r="D1769" i="1"/>
  <c r="D1770" i="1"/>
  <c r="D1772" i="1"/>
  <c r="D1773" i="1"/>
  <c r="D1774" i="1"/>
  <c r="D1775" i="1"/>
  <c r="D1777" i="1"/>
  <c r="D1778" i="1"/>
  <c r="D1779" i="1"/>
  <c r="D1780" i="1"/>
  <c r="D1781" i="1"/>
  <c r="D1782" i="1"/>
  <c r="D1785" i="1"/>
  <c r="D1786" i="1"/>
  <c r="D1787" i="1"/>
  <c r="D1789" i="1"/>
  <c r="D1790" i="1"/>
  <c r="D1791" i="1"/>
  <c r="D1792" i="1"/>
  <c r="D1794" i="1"/>
  <c r="D1795" i="1"/>
  <c r="D1796" i="1"/>
  <c r="D1798" i="1"/>
  <c r="D1799" i="1"/>
  <c r="D1800" i="1"/>
  <c r="D1801" i="1"/>
  <c r="D1802" i="1"/>
  <c r="D1803" i="1"/>
  <c r="D1805" i="1"/>
  <c r="D1806" i="1"/>
  <c r="D1807" i="1"/>
  <c r="D1809" i="1"/>
  <c r="D1810" i="1"/>
  <c r="D1811" i="1"/>
  <c r="D1812" i="1"/>
  <c r="D1813" i="1"/>
  <c r="D1814" i="1"/>
  <c r="D1815" i="1"/>
  <c r="D1818" i="1"/>
  <c r="D1821" i="1"/>
  <c r="D1822" i="1"/>
  <c r="D1824" i="1"/>
  <c r="D1825" i="1"/>
  <c r="D1826" i="1"/>
  <c r="D1827" i="1"/>
  <c r="D1828" i="1"/>
  <c r="D1829" i="1"/>
  <c r="D1830" i="1"/>
  <c r="D1831" i="1"/>
  <c r="D1832" i="1"/>
  <c r="D1834" i="1"/>
  <c r="D1835" i="1"/>
  <c r="D1836" i="1"/>
  <c r="D1841" i="1"/>
  <c r="D1842" i="1"/>
  <c r="D1843" i="1"/>
  <c r="D1844" i="1"/>
  <c r="D1846" i="1"/>
  <c r="D1847" i="1"/>
  <c r="D1848" i="1"/>
  <c r="D1849" i="1"/>
  <c r="D1850" i="1"/>
  <c r="D1851" i="1"/>
  <c r="D1852" i="1"/>
  <c r="D1853" i="1"/>
  <c r="D1854" i="1"/>
  <c r="D1856" i="1"/>
  <c r="D1857" i="1"/>
  <c r="D1858" i="1"/>
  <c r="D1859" i="1"/>
  <c r="D1860" i="1"/>
  <c r="D1861" i="1"/>
  <c r="D1862" i="1"/>
  <c r="D1867" i="1"/>
  <c r="D1868" i="1"/>
  <c r="D1869" i="1"/>
  <c r="D1870" i="1"/>
  <c r="D1872" i="1"/>
  <c r="D1873" i="1"/>
  <c r="D1874" i="1"/>
  <c r="D1875" i="1"/>
  <c r="D1878" i="1"/>
  <c r="D1879" i="1"/>
  <c r="D1880" i="1"/>
  <c r="D1881" i="1"/>
  <c r="D1882" i="1"/>
  <c r="D1884" i="1"/>
  <c r="D1886" i="1"/>
  <c r="D1887" i="1"/>
  <c r="D1888" i="1"/>
  <c r="D1889" i="1"/>
  <c r="D1890" i="1"/>
  <c r="D1891" i="1"/>
  <c r="D1894" i="1"/>
  <c r="D1900" i="1"/>
  <c r="D1901" i="1"/>
  <c r="D1902" i="1"/>
  <c r="D1903" i="1"/>
  <c r="D1904" i="1"/>
  <c r="D1905" i="1"/>
  <c r="D1906" i="1"/>
  <c r="D1909" i="1"/>
  <c r="D1910" i="1"/>
  <c r="D1911" i="1"/>
  <c r="D1915" i="1"/>
  <c r="D1916" i="1"/>
  <c r="D1918" i="1"/>
  <c r="D1920" i="1"/>
  <c r="D1925" i="1"/>
  <c r="D1928" i="1"/>
  <c r="D1929" i="1"/>
  <c r="D1930" i="1"/>
  <c r="D1931" i="1"/>
  <c r="D1939" i="1"/>
  <c r="D1945" i="1"/>
  <c r="D1947" i="1"/>
  <c r="D1950" i="1"/>
  <c r="D1960" i="1"/>
  <c r="D1963" i="1"/>
  <c r="D1965" i="1"/>
  <c r="D1972" i="1"/>
  <c r="D1975" i="1"/>
  <c r="D1977" i="1"/>
  <c r="D1982" i="1"/>
  <c r="D1991" i="1"/>
  <c r="D1993" i="1"/>
  <c r="D1998" i="1"/>
  <c r="D2008" i="1"/>
  <c r="D2027" i="1"/>
  <c r="D2029" i="1"/>
  <c r="D2032" i="1"/>
  <c r="D2039" i="1"/>
  <c r="D2054" i="1"/>
  <c r="D2057" i="1"/>
  <c r="D2059" i="1"/>
  <c r="D2069" i="1"/>
  <c r="D2079" i="1"/>
  <c r="D2088" i="1"/>
  <c r="D2092" i="1"/>
  <c r="D2100" i="1"/>
  <c r="D2101" i="1"/>
  <c r="D2102" i="1"/>
  <c r="D2103" i="1"/>
  <c r="D2105" i="1"/>
  <c r="D2106" i="1"/>
  <c r="D2108" i="1"/>
  <c r="D2109" i="1"/>
  <c r="D2110" i="1"/>
  <c r="D2111" i="1"/>
  <c r="D2112" i="1"/>
  <c r="D2113" i="1"/>
  <c r="D2114" i="1"/>
  <c r="D2115" i="1"/>
  <c r="D2116" i="1"/>
  <c r="D2117" i="1"/>
  <c r="D2119" i="1"/>
  <c r="D2120" i="1"/>
  <c r="D2122" i="1"/>
  <c r="D2124" i="1"/>
  <c r="D2125" i="1"/>
  <c r="D2126" i="1"/>
  <c r="D2129" i="1"/>
  <c r="D2130" i="1"/>
  <c r="D2131" i="1"/>
  <c r="D2132" i="1"/>
  <c r="D2133" i="1"/>
  <c r="D2134" i="1"/>
  <c r="D2135" i="1"/>
  <c r="D2137" i="1"/>
  <c r="D2138" i="1"/>
  <c r="D2139" i="1"/>
  <c r="D2140" i="1"/>
  <c r="D2141" i="1"/>
  <c r="D2142" i="1"/>
  <c r="D2144" i="1"/>
  <c r="D2145" i="1"/>
  <c r="D2146" i="1"/>
  <c r="D2147" i="1"/>
  <c r="D2150" i="1"/>
  <c r="D2151" i="1"/>
  <c r="D2155" i="1"/>
  <c r="D2156" i="1"/>
  <c r="D2157" i="1"/>
  <c r="D2160" i="1"/>
  <c r="D2161" i="1"/>
  <c r="D2162" i="1"/>
  <c r="D2163" i="1"/>
  <c r="D2166" i="1"/>
  <c r="D2167" i="1"/>
  <c r="D2169" i="1"/>
  <c r="D2170" i="1"/>
  <c r="D2171" i="1"/>
  <c r="D2172" i="1"/>
  <c r="D2173" i="1"/>
  <c r="D2175" i="1"/>
  <c r="D2176" i="1"/>
  <c r="D2177" i="1"/>
  <c r="D2178" i="1"/>
  <c r="D2179" i="1"/>
  <c r="D2180" i="1"/>
  <c r="D2181" i="1"/>
  <c r="D2183" i="1"/>
  <c r="D2184" i="1"/>
  <c r="D2187" i="1"/>
  <c r="D2190" i="1"/>
  <c r="D2191" i="1"/>
  <c r="D2192" i="1"/>
  <c r="D2193" i="1"/>
  <c r="D2194" i="1"/>
  <c r="D2195" i="1"/>
  <c r="D2196" i="1"/>
  <c r="D2197" i="1"/>
  <c r="D2198" i="1"/>
  <c r="D2201" i="1"/>
  <c r="D2202" i="1"/>
  <c r="D2203" i="1"/>
  <c r="D2204" i="1"/>
  <c r="D2205" i="1"/>
  <c r="D2208" i="1"/>
  <c r="D2209" i="1"/>
  <c r="D2210" i="1"/>
  <c r="D2211" i="1"/>
  <c r="D2212" i="1"/>
  <c r="D2213" i="1"/>
  <c r="D2215" i="1"/>
  <c r="D2217" i="1"/>
  <c r="D2218" i="1"/>
  <c r="D2219" i="1"/>
  <c r="D2223" i="1"/>
  <c r="D2224" i="1"/>
  <c r="D2225" i="1"/>
  <c r="D2227" i="1"/>
  <c r="D2228" i="1"/>
  <c r="D2229" i="1"/>
  <c r="D2230" i="1"/>
  <c r="D2231" i="1"/>
  <c r="D2232" i="1"/>
  <c r="D2233" i="1"/>
  <c r="D2234" i="1"/>
  <c r="D2238" i="1"/>
  <c r="D2239" i="1"/>
  <c r="D2241" i="1"/>
  <c r="D2242" i="1"/>
  <c r="D2244" i="1"/>
  <c r="D2246" i="1"/>
  <c r="D2248" i="1"/>
  <c r="D2249" i="1"/>
  <c r="D2250" i="1"/>
  <c r="D2251" i="1"/>
  <c r="D2252" i="1"/>
  <c r="D2254" i="1"/>
  <c r="D2255" i="1"/>
  <c r="D2256" i="1"/>
  <c r="D2257" i="1"/>
  <c r="D2259" i="1"/>
  <c r="D2264" i="1"/>
  <c r="D2265" i="1"/>
  <c r="D2266" i="1"/>
  <c r="D2267" i="1"/>
  <c r="D2268" i="1"/>
  <c r="D2269" i="1"/>
  <c r="D2270" i="1"/>
  <c r="D2271" i="1"/>
  <c r="D2272" i="1"/>
  <c r="D2273" i="1"/>
  <c r="D2276" i="1"/>
  <c r="D2277" i="1"/>
  <c r="D2279" i="1"/>
  <c r="D2281" i="1"/>
  <c r="D2283" i="1"/>
  <c r="D2284" i="1"/>
  <c r="D2285" i="1"/>
  <c r="D2289" i="1"/>
  <c r="D2290" i="1"/>
  <c r="D2291" i="1"/>
  <c r="D2292" i="1"/>
  <c r="D2295" i="1"/>
  <c r="D2296" i="1"/>
  <c r="D2297" i="1"/>
  <c r="D2299" i="1"/>
  <c r="D2300" i="1"/>
  <c r="D2303" i="1"/>
  <c r="D2304" i="1"/>
  <c r="D2305" i="1"/>
  <c r="D2306" i="1"/>
  <c r="D2307" i="1"/>
  <c r="D2308" i="1"/>
  <c r="D2309" i="1"/>
  <c r="D2310" i="1"/>
  <c r="D2312" i="1"/>
  <c r="D2313" i="1"/>
  <c r="D2316" i="1"/>
  <c r="D2317" i="1"/>
  <c r="D2319" i="1"/>
  <c r="D2324" i="1"/>
  <c r="D2325" i="1"/>
  <c r="D2326" i="1"/>
  <c r="D2327" i="1"/>
  <c r="D2334" i="1"/>
  <c r="D2335" i="1"/>
  <c r="D2337" i="1"/>
  <c r="D2338" i="1"/>
  <c r="D2339" i="1"/>
  <c r="D2340" i="1"/>
  <c r="D2341" i="1"/>
  <c r="D2342" i="1"/>
  <c r="D2343" i="1"/>
  <c r="D2345" i="1"/>
  <c r="D2346" i="1"/>
  <c r="D2352" i="1"/>
  <c r="D2353" i="1"/>
  <c r="D2354" i="1"/>
  <c r="D2355" i="1"/>
  <c r="D2356" i="1"/>
  <c r="D2357" i="1"/>
  <c r="D2358" i="1"/>
  <c r="D2362" i="1"/>
  <c r="D2363" i="1"/>
  <c r="D2365" i="1"/>
  <c r="D2368" i="1"/>
  <c r="D2369" i="1"/>
  <c r="D2373" i="1"/>
  <c r="D2374" i="1"/>
  <c r="D2376" i="1"/>
  <c r="D2377" i="1"/>
  <c r="D2379" i="1"/>
  <c r="D2381" i="1"/>
  <c r="D2382" i="1"/>
  <c r="D2383" i="1"/>
  <c r="D2384" i="1"/>
  <c r="D2385" i="1"/>
  <c r="D2386" i="1"/>
  <c r="D2387" i="1"/>
  <c r="D2388" i="1"/>
  <c r="D2389" i="1"/>
  <c r="D2390" i="1"/>
  <c r="D2391" i="1"/>
  <c r="D2392" i="1"/>
  <c r="D2393" i="1"/>
  <c r="D2395" i="1"/>
  <c r="D2396" i="1"/>
  <c r="D2397" i="1"/>
  <c r="D2398" i="1"/>
  <c r="D2399" i="1"/>
  <c r="D2404" i="1"/>
  <c r="D2406" i="1"/>
  <c r="D2409" i="1"/>
  <c r="D2420" i="1"/>
  <c r="D2421" i="1"/>
  <c r="D2424" i="1"/>
  <c r="D2426" i="1"/>
  <c r="D2435" i="1"/>
  <c r="D2436" i="1"/>
  <c r="D2437" i="1"/>
  <c r="D2438" i="1"/>
  <c r="D2447" i="1"/>
  <c r="D2459" i="1"/>
  <c r="D2462" i="1"/>
  <c r="D2466" i="1"/>
  <c r="D2486" i="1"/>
  <c r="D2500" i="1"/>
  <c r="D2506" i="1"/>
  <c r="D2507" i="1"/>
  <c r="D2511" i="1"/>
  <c r="D2521" i="1"/>
  <c r="D2551" i="1"/>
  <c r="D2555" i="1"/>
  <c r="D2556" i="1"/>
  <c r="D2559" i="1"/>
  <c r="D2568" i="1"/>
  <c r="D2578" i="1"/>
  <c r="D2586" i="1"/>
  <c r="D2593"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5" i="1"/>
  <c r="D2626" i="1"/>
  <c r="D2627" i="1"/>
  <c r="D2628" i="1"/>
  <c r="D2629" i="1"/>
  <c r="D2630" i="1"/>
  <c r="D2632" i="1"/>
  <c r="D2633" i="1"/>
  <c r="D2634" i="1"/>
  <c r="D2635" i="1"/>
  <c r="D2636" i="1"/>
  <c r="D2637" i="1"/>
  <c r="D2638" i="1"/>
  <c r="D2639" i="1"/>
  <c r="D2640" i="1"/>
  <c r="D2641" i="1"/>
  <c r="D2643" i="1"/>
  <c r="D2644" i="1"/>
  <c r="D2647" i="1"/>
  <c r="D2648" i="1"/>
  <c r="D2649" i="1"/>
  <c r="D2652" i="1"/>
  <c r="D2653" i="1"/>
  <c r="D2655" i="1"/>
  <c r="D2656" i="1"/>
  <c r="D2657" i="1"/>
  <c r="D2659" i="1"/>
  <c r="D2660" i="1"/>
  <c r="D2661" i="1"/>
  <c r="D2663" i="1"/>
  <c r="D2664" i="1"/>
  <c r="D2665" i="1"/>
  <c r="D2666" i="1"/>
  <c r="D2667" i="1"/>
  <c r="D2668" i="1"/>
  <c r="D2669" i="1"/>
  <c r="D2670" i="1"/>
  <c r="D2671" i="1"/>
  <c r="D2672" i="1"/>
  <c r="D2673" i="1"/>
  <c r="D2674" i="1"/>
  <c r="D2675" i="1"/>
  <c r="D2676" i="1"/>
  <c r="D2678" i="1"/>
  <c r="D2679" i="1"/>
  <c r="D2680" i="1"/>
  <c r="D2681" i="1"/>
  <c r="D2682" i="1"/>
  <c r="D2683" i="1"/>
  <c r="D2684" i="1"/>
  <c r="D2685" i="1"/>
  <c r="D2686" i="1"/>
  <c r="D2689" i="1"/>
  <c r="D2690" i="1"/>
  <c r="D2691" i="1"/>
  <c r="D2692" i="1"/>
  <c r="D2693" i="1"/>
  <c r="D2694" i="1"/>
  <c r="D2695" i="1"/>
  <c r="D2696" i="1"/>
  <c r="D2697" i="1"/>
  <c r="D2698" i="1"/>
  <c r="D2699" i="1"/>
  <c r="D2700" i="1"/>
  <c r="D2701" i="1"/>
  <c r="D2702" i="1"/>
  <c r="D2703" i="1"/>
  <c r="D2704" i="1"/>
  <c r="D2705" i="1"/>
  <c r="D2706" i="1"/>
  <c r="D2710" i="1"/>
  <c r="D2714" i="1"/>
  <c r="D2715" i="1"/>
  <c r="D2716" i="1"/>
  <c r="D2717" i="1"/>
  <c r="D2718" i="1"/>
  <c r="D2719" i="1"/>
  <c r="D2720" i="1"/>
  <c r="D2722" i="1"/>
  <c r="D2723" i="1"/>
  <c r="D2725" i="1"/>
  <c r="D2726" i="1"/>
  <c r="D2727" i="1"/>
  <c r="D2729" i="1"/>
  <c r="D2730" i="1"/>
  <c r="D2731" i="1"/>
  <c r="D2732" i="1"/>
  <c r="D2733" i="1"/>
  <c r="D2735" i="1"/>
  <c r="D2736" i="1"/>
  <c r="D2737" i="1"/>
  <c r="D2739" i="1"/>
  <c r="D2741" i="1"/>
  <c r="D2742" i="1"/>
  <c r="D2743" i="1"/>
  <c r="D2744" i="1"/>
  <c r="D2745" i="1"/>
  <c r="D2746" i="1"/>
  <c r="D2747" i="1"/>
  <c r="D2751" i="1"/>
  <c r="D2754" i="1"/>
  <c r="D2755" i="1"/>
  <c r="D2756" i="1"/>
  <c r="D2757" i="1"/>
  <c r="D2758" i="1"/>
  <c r="D2759" i="1"/>
  <c r="D2763" i="1"/>
  <c r="D2764" i="1"/>
  <c r="D2765" i="1"/>
  <c r="D2766" i="1"/>
  <c r="D2768" i="1"/>
  <c r="D2769" i="1"/>
  <c r="D2770" i="1"/>
  <c r="D2771" i="1"/>
  <c r="D2772" i="1"/>
  <c r="D2773" i="1"/>
  <c r="D2775" i="1"/>
  <c r="D2776" i="1"/>
  <c r="D2781" i="1"/>
  <c r="D2782" i="1"/>
  <c r="D2783" i="1"/>
  <c r="D2784" i="1"/>
  <c r="D2785" i="1"/>
  <c r="D2786" i="1"/>
  <c r="D2787" i="1"/>
  <c r="D2788" i="1"/>
  <c r="D2790" i="1"/>
  <c r="D2792" i="1"/>
  <c r="D2794" i="1"/>
  <c r="D2795" i="1"/>
  <c r="D2796" i="1"/>
  <c r="D2797" i="1"/>
  <c r="D2799" i="1"/>
  <c r="D2800" i="1"/>
  <c r="D2801" i="1"/>
  <c r="D2802" i="1"/>
  <c r="D2803" i="1"/>
  <c r="D2807" i="1"/>
  <c r="D2808" i="1"/>
  <c r="D2809" i="1"/>
  <c r="D2810" i="1"/>
  <c r="D2811" i="1"/>
  <c r="D2814" i="1"/>
  <c r="D2815" i="1"/>
  <c r="D2818" i="1"/>
  <c r="D2819" i="1"/>
  <c r="D2820" i="1"/>
  <c r="D2821" i="1"/>
  <c r="D2822" i="1"/>
  <c r="D2823" i="1"/>
  <c r="D2824" i="1"/>
  <c r="D2825" i="1"/>
  <c r="D2828" i="1"/>
  <c r="D2829" i="1"/>
  <c r="D2830" i="1"/>
  <c r="D2831" i="1"/>
  <c r="D2832" i="1"/>
  <c r="D2833" i="1"/>
  <c r="D2834" i="1"/>
  <c r="D2835" i="1"/>
  <c r="D2836" i="1"/>
  <c r="D2837" i="1"/>
  <c r="D2838" i="1"/>
  <c r="D2840" i="1"/>
  <c r="D2841" i="1"/>
  <c r="D2842" i="1"/>
  <c r="D2843" i="1"/>
  <c r="D2844" i="1"/>
  <c r="D2845" i="1"/>
  <c r="D2847" i="1"/>
  <c r="D2849" i="1"/>
  <c r="D2851" i="1"/>
  <c r="D2854" i="1"/>
  <c r="D2855" i="1"/>
  <c r="D2856" i="1"/>
  <c r="D2857" i="1"/>
  <c r="D2858" i="1"/>
  <c r="D2859" i="1"/>
  <c r="D2860" i="1"/>
  <c r="D2861" i="1"/>
  <c r="D2862" i="1"/>
  <c r="D2863" i="1"/>
  <c r="D2869" i="1"/>
  <c r="D2870" i="1"/>
  <c r="D2874" i="1"/>
  <c r="D2878" i="1"/>
  <c r="D2880" i="1"/>
  <c r="D2881" i="1"/>
  <c r="D2882" i="1"/>
  <c r="D2885" i="1"/>
  <c r="D2886" i="1"/>
  <c r="D2887" i="1"/>
  <c r="D2888" i="1"/>
  <c r="D2889" i="1"/>
  <c r="D2892" i="1"/>
  <c r="D2893" i="1"/>
  <c r="D2894" i="1"/>
  <c r="D2895" i="1"/>
  <c r="D2897" i="1"/>
  <c r="D2901" i="1"/>
  <c r="D2902" i="1"/>
  <c r="D2913" i="1"/>
  <c r="D2916" i="1"/>
  <c r="D2917" i="1"/>
  <c r="D2918" i="1"/>
  <c r="D2919" i="1"/>
  <c r="D2923" i="1"/>
  <c r="D2925" i="1"/>
  <c r="D2930" i="1"/>
  <c r="D2935" i="1"/>
  <c r="D2936" i="1"/>
  <c r="D2940" i="1"/>
  <c r="D2941" i="1"/>
  <c r="D2950" i="1"/>
  <c r="D2953" i="1"/>
  <c r="D2956" i="1"/>
  <c r="D2957" i="1"/>
  <c r="D2960" i="1"/>
  <c r="D2964" i="1"/>
  <c r="D2965" i="1"/>
  <c r="D2973" i="1"/>
  <c r="D2981" i="1"/>
  <c r="D2983" i="1"/>
  <c r="D2985" i="1"/>
  <c r="D2987" i="1"/>
  <c r="D2988" i="1"/>
  <c r="D2994" i="1"/>
  <c r="D3003" i="1"/>
  <c r="D3006" i="1"/>
  <c r="D3021" i="1"/>
  <c r="D3027" i="1"/>
  <c r="D3032" i="1"/>
  <c r="D3033" i="1"/>
  <c r="D3053" i="1"/>
  <c r="D3056" i="1"/>
  <c r="D3059" i="1"/>
  <c r="D3061" i="1"/>
  <c r="D3062" i="1"/>
  <c r="D3067" i="1"/>
  <c r="D3080" i="1"/>
  <c r="D3097" i="1"/>
  <c r="D3098" i="1"/>
  <c r="D3099" i="1"/>
  <c r="D3100" i="1"/>
  <c r="D3101" i="1"/>
  <c r="D3102" i="1"/>
  <c r="D3103" i="1"/>
  <c r="D3104" i="1"/>
  <c r="D3105" i="1"/>
  <c r="D3106" i="1"/>
  <c r="D3107" i="1"/>
  <c r="D3108" i="1"/>
  <c r="D3109" i="1"/>
  <c r="D3110" i="1"/>
  <c r="D3111" i="1"/>
  <c r="D3112" i="1"/>
  <c r="D3113" i="1"/>
  <c r="D3114" i="1"/>
  <c r="D3115" i="1"/>
  <c r="D3116" i="1"/>
  <c r="D3117" i="1"/>
  <c r="D3119" i="1"/>
  <c r="D3120" i="1"/>
  <c r="D3122" i="1"/>
  <c r="D3123" i="1"/>
  <c r="D3124" i="1"/>
  <c r="D3125" i="1"/>
  <c r="D3127" i="1"/>
  <c r="D3128" i="1"/>
  <c r="D3129" i="1"/>
  <c r="D3130" i="1"/>
  <c r="D3131" i="1"/>
  <c r="D3132" i="1"/>
  <c r="D3133" i="1"/>
  <c r="D3134" i="1"/>
  <c r="D3137" i="1"/>
  <c r="D3138" i="1"/>
  <c r="D3139" i="1"/>
  <c r="D3140" i="1"/>
  <c r="D3141" i="1"/>
  <c r="D3142" i="1"/>
  <c r="D3143" i="1"/>
  <c r="D3144" i="1"/>
  <c r="D3145" i="1"/>
  <c r="D3148" i="1"/>
  <c r="D3149" i="1"/>
  <c r="D3150" i="1"/>
  <c r="D3151" i="1"/>
  <c r="D3152" i="1"/>
  <c r="D3153" i="1"/>
  <c r="D3154" i="1"/>
  <c r="D3156" i="1"/>
  <c r="D3157" i="1"/>
  <c r="D3158" i="1"/>
  <c r="D3159" i="1"/>
  <c r="D3160" i="1"/>
  <c r="D3161" i="1"/>
  <c r="D3163" i="1"/>
  <c r="D3164" i="1"/>
  <c r="D3165" i="1"/>
  <c r="D3166" i="1"/>
  <c r="D3167" i="1"/>
  <c r="D3168" i="1"/>
  <c r="D3169" i="1"/>
  <c r="D3170" i="1"/>
  <c r="D3171" i="1"/>
  <c r="D3172" i="1"/>
  <c r="D3173" i="1"/>
  <c r="D3174" i="1"/>
  <c r="D3175" i="1"/>
  <c r="D3176" i="1"/>
  <c r="D3177" i="1"/>
  <c r="D3178" i="1"/>
  <c r="D3179" i="1"/>
  <c r="D3180" i="1"/>
  <c r="D3182" i="1"/>
  <c r="D3183" i="1"/>
  <c r="D3187" i="1"/>
  <c r="D3188" i="1"/>
  <c r="D3189" i="1"/>
  <c r="D3190" i="1"/>
  <c r="D3193" i="1"/>
  <c r="D3194" i="1"/>
  <c r="D3195" i="1"/>
  <c r="D3196" i="1"/>
  <c r="D3197" i="1"/>
  <c r="D3198" i="1"/>
  <c r="D3200" i="1"/>
  <c r="D3201" i="1"/>
  <c r="D3203" i="1"/>
  <c r="D3204" i="1"/>
  <c r="D3205" i="1"/>
  <c r="D3206" i="1"/>
  <c r="D3207" i="1"/>
  <c r="D3209" i="1"/>
  <c r="D3210" i="1"/>
  <c r="D3211" i="1"/>
  <c r="D3212" i="1"/>
  <c r="D3213" i="1"/>
  <c r="D3215" i="1"/>
  <c r="D3217" i="1"/>
  <c r="D3218" i="1"/>
  <c r="D3220" i="1"/>
  <c r="D3221" i="1"/>
  <c r="D3222" i="1"/>
  <c r="D3223" i="1"/>
  <c r="D3224" i="1"/>
  <c r="D3225" i="1"/>
  <c r="D3226" i="1"/>
  <c r="D3227" i="1"/>
  <c r="D3228" i="1"/>
  <c r="D3231" i="1"/>
  <c r="D3232" i="1"/>
  <c r="D3233" i="1"/>
  <c r="D3236" i="1"/>
  <c r="D3237" i="1"/>
  <c r="D3239" i="1"/>
  <c r="D3241" i="1"/>
  <c r="D3242" i="1"/>
  <c r="D3243" i="1"/>
  <c r="D3245" i="1"/>
  <c r="D3246" i="1"/>
  <c r="D3247" i="1"/>
  <c r="D3255" i="1"/>
  <c r="D3256" i="1"/>
  <c r="D3257" i="1"/>
  <c r="D3258" i="1"/>
  <c r="D3260" i="1"/>
  <c r="D3263" i="1"/>
  <c r="D3264" i="1"/>
  <c r="D3265" i="1"/>
  <c r="D3267" i="1"/>
  <c r="D3270" i="1"/>
  <c r="D3271" i="1"/>
  <c r="D3273" i="1"/>
  <c r="D3274" i="1"/>
  <c r="D3275" i="1"/>
  <c r="D3276" i="1"/>
  <c r="D3279" i="1"/>
  <c r="D3280" i="1"/>
  <c r="D3281" i="1"/>
  <c r="D3282" i="1"/>
  <c r="D3283" i="1"/>
  <c r="D3285" i="1"/>
  <c r="D3286" i="1"/>
  <c r="D3289" i="1"/>
  <c r="D3290" i="1"/>
  <c r="D3292" i="1"/>
  <c r="D3293" i="1"/>
  <c r="D3297" i="1"/>
  <c r="D3298" i="1"/>
  <c r="D3299" i="1"/>
  <c r="D3300" i="1"/>
  <c r="D3301" i="1"/>
  <c r="D3302" i="1"/>
  <c r="D3303" i="1"/>
  <c r="D3304" i="1"/>
  <c r="D3305" i="1"/>
  <c r="D3306" i="1"/>
  <c r="D3309" i="1"/>
  <c r="D3310" i="1"/>
  <c r="D3312" i="1"/>
  <c r="D3313" i="1"/>
  <c r="D3314" i="1"/>
  <c r="D3315" i="1"/>
  <c r="D3316" i="1"/>
  <c r="D3318" i="1"/>
  <c r="D3319" i="1"/>
  <c r="D3322" i="1"/>
  <c r="D3324" i="1"/>
  <c r="D3325" i="1"/>
  <c r="D3326" i="1"/>
  <c r="D3327" i="1"/>
  <c r="D3329" i="1"/>
  <c r="D3330" i="1"/>
  <c r="D3332" i="1"/>
  <c r="D3333" i="1"/>
  <c r="D3334" i="1"/>
  <c r="D3335" i="1"/>
  <c r="D3336" i="1"/>
  <c r="D3340" i="1"/>
  <c r="D3341" i="1"/>
  <c r="D3342" i="1"/>
  <c r="D3347" i="1"/>
  <c r="D3349" i="1"/>
  <c r="D3350" i="1"/>
  <c r="D3351" i="1"/>
  <c r="D3354" i="1"/>
  <c r="D3356" i="1"/>
  <c r="D3357" i="1"/>
  <c r="D3361" i="1"/>
  <c r="D3362" i="1"/>
  <c r="D3368" i="1"/>
  <c r="D3369" i="1"/>
  <c r="D3370" i="1"/>
  <c r="D3371" i="1"/>
  <c r="D3372" i="1"/>
  <c r="D3373" i="1"/>
  <c r="D3374" i="1"/>
  <c r="D3375" i="1"/>
  <c r="D3376" i="1"/>
  <c r="D3377" i="1"/>
  <c r="D3378" i="1"/>
  <c r="D3379" i="1"/>
  <c r="D3380" i="1"/>
  <c r="D3381" i="1"/>
  <c r="D3383" i="1"/>
  <c r="D3385" i="1"/>
  <c r="D3387" i="1"/>
  <c r="D3388" i="1"/>
  <c r="D3389" i="1"/>
  <c r="D3391" i="1"/>
  <c r="D3394" i="1"/>
  <c r="D3395" i="1"/>
  <c r="D3398" i="1"/>
  <c r="D3400" i="1"/>
  <c r="D3402" i="1"/>
  <c r="D3404" i="1"/>
  <c r="D3406" i="1"/>
  <c r="D3407" i="1"/>
  <c r="D3408" i="1"/>
  <c r="D3411" i="1"/>
  <c r="D3412" i="1"/>
  <c r="D3413" i="1"/>
  <c r="D3414" i="1"/>
  <c r="D3415" i="1"/>
  <c r="D3420" i="1"/>
  <c r="D3422" i="1"/>
  <c r="D3423" i="1"/>
  <c r="D3428" i="1"/>
  <c r="D3429" i="1"/>
  <c r="D3430" i="1"/>
  <c r="D3431" i="1"/>
  <c r="D3432" i="1"/>
  <c r="D3436" i="1"/>
  <c r="D3443" i="1"/>
  <c r="D3445" i="1"/>
  <c r="D3454" i="1"/>
  <c r="D3457" i="1"/>
  <c r="D3475" i="1"/>
  <c r="D3479" i="1"/>
  <c r="D3493" i="1"/>
  <c r="D3494" i="1"/>
  <c r="D3499" i="1"/>
  <c r="D3502" i="1"/>
  <c r="D3513" i="1"/>
  <c r="D3530" i="1"/>
  <c r="D3533" i="1"/>
  <c r="D3547" i="1"/>
  <c r="D3552" i="1"/>
  <c r="D3569" i="1"/>
  <c r="D3579" i="1"/>
  <c r="D3583" i="1"/>
  <c r="D3604" i="1"/>
  <c r="D3611" i="1"/>
  <c r="D3612" i="1"/>
  <c r="D3614" i="1"/>
  <c r="D3625" i="1"/>
  <c r="D3630" i="1"/>
  <c r="D3631" i="1"/>
  <c r="D3632" i="1"/>
  <c r="D3633" i="1"/>
  <c r="D3634" i="1"/>
  <c r="D3635" i="1"/>
  <c r="D3636" i="1"/>
  <c r="D3637" i="1"/>
  <c r="D3638" i="1"/>
  <c r="D3639" i="1"/>
  <c r="D3640" i="1"/>
  <c r="D3641" i="1"/>
  <c r="D3642" i="1"/>
  <c r="D3644" i="1"/>
  <c r="D3645" i="1"/>
  <c r="D3647" i="1"/>
  <c r="D3648" i="1"/>
  <c r="D3649" i="1"/>
  <c r="D3650" i="1"/>
  <c r="D3651" i="1"/>
  <c r="D3652" i="1"/>
  <c r="D3653" i="1"/>
  <c r="D3654" i="1"/>
  <c r="D3655" i="1"/>
  <c r="D3656" i="1"/>
  <c r="D3657" i="1"/>
  <c r="D3658" i="1"/>
  <c r="D3659" i="1"/>
  <c r="D3660" i="1"/>
  <c r="D3661" i="1"/>
  <c r="D3662" i="1"/>
  <c r="D3663" i="1"/>
  <c r="D3664" i="1"/>
  <c r="D3665" i="1"/>
  <c r="D3667" i="1"/>
  <c r="D3668" i="1"/>
  <c r="D3669" i="1"/>
  <c r="D3671" i="1"/>
  <c r="D3672" i="1"/>
  <c r="D3673" i="1"/>
  <c r="D3674" i="1"/>
  <c r="D3675" i="1"/>
  <c r="D3677" i="1"/>
  <c r="D3681" i="1"/>
  <c r="D3682" i="1"/>
  <c r="D3683" i="1"/>
  <c r="D3684" i="1"/>
  <c r="D3685" i="1"/>
  <c r="D3686" i="1"/>
  <c r="D3687" i="1"/>
  <c r="D3688" i="1"/>
  <c r="D3689" i="1"/>
  <c r="D3690" i="1"/>
  <c r="D3693" i="1"/>
  <c r="D3694" i="1"/>
  <c r="D3695" i="1"/>
  <c r="D3696" i="1"/>
  <c r="D3697" i="1"/>
  <c r="D3700" i="1"/>
  <c r="D3701" i="1"/>
  <c r="D3704" i="1"/>
  <c r="D3705" i="1"/>
  <c r="D3706" i="1"/>
  <c r="D3707" i="1"/>
  <c r="D3708" i="1"/>
  <c r="D3710" i="1"/>
  <c r="D3711" i="1"/>
  <c r="D3712" i="1"/>
  <c r="D3713" i="1"/>
  <c r="D3714" i="1"/>
  <c r="D3715" i="1"/>
  <c r="D3716" i="1"/>
  <c r="D3717" i="1"/>
  <c r="D3718" i="1"/>
  <c r="D3719" i="1"/>
  <c r="D3720" i="1"/>
  <c r="D3721" i="1"/>
  <c r="D3722" i="1"/>
  <c r="D3724" i="1"/>
  <c r="D3725" i="1"/>
  <c r="D3726" i="1"/>
  <c r="D3727" i="1"/>
  <c r="D3728" i="1"/>
  <c r="D3729" i="1"/>
  <c r="D3731" i="1"/>
  <c r="D3732" i="1"/>
  <c r="D3733" i="1"/>
  <c r="D3734" i="1"/>
  <c r="D3735" i="1"/>
  <c r="D3736" i="1"/>
  <c r="D3737" i="1"/>
  <c r="D3738" i="1"/>
  <c r="D3741" i="1"/>
  <c r="D3744" i="1"/>
  <c r="D3745" i="1"/>
  <c r="D3746" i="1"/>
  <c r="D3747" i="1"/>
  <c r="D3748" i="1"/>
  <c r="D3749" i="1"/>
  <c r="D3750" i="1"/>
  <c r="D3751" i="1"/>
  <c r="D3752" i="1"/>
  <c r="D3753" i="1"/>
  <c r="D3755" i="1"/>
  <c r="D3756" i="1"/>
  <c r="D3759" i="1"/>
  <c r="D3760" i="1"/>
  <c r="D3761" i="1"/>
  <c r="D3762" i="1"/>
  <c r="D3763" i="1"/>
  <c r="D3764" i="1"/>
  <c r="D3766" i="1"/>
  <c r="D3770" i="1"/>
  <c r="D3773" i="1"/>
  <c r="D3774" i="1"/>
  <c r="D3776" i="1"/>
  <c r="D3778" i="1"/>
  <c r="D3780" i="1"/>
  <c r="D3781" i="1"/>
  <c r="D3784" i="1"/>
  <c r="D3785" i="1"/>
  <c r="D3787" i="1"/>
  <c r="D3789" i="1"/>
  <c r="D3790" i="1"/>
  <c r="D3791" i="1"/>
  <c r="D3792" i="1"/>
  <c r="D3793" i="1"/>
  <c r="D3794" i="1"/>
  <c r="D3795" i="1"/>
  <c r="D3796" i="1"/>
  <c r="D3797" i="1"/>
  <c r="D3799" i="1"/>
  <c r="D3800" i="1"/>
  <c r="D3801" i="1"/>
  <c r="D3802" i="1"/>
  <c r="D3804" i="1"/>
  <c r="D3805" i="1"/>
  <c r="D3807" i="1"/>
  <c r="D3808" i="1"/>
  <c r="D3815" i="1"/>
  <c r="D3816" i="1"/>
  <c r="D3819" i="1"/>
  <c r="D3820" i="1"/>
  <c r="D3823" i="1"/>
  <c r="D3824" i="1"/>
  <c r="D3825" i="1"/>
  <c r="D3826" i="1"/>
  <c r="D3827" i="1"/>
  <c r="D3828" i="1"/>
  <c r="D3829" i="1"/>
  <c r="D3830" i="1"/>
  <c r="D3831" i="1"/>
  <c r="D3832" i="1"/>
  <c r="D3833" i="1"/>
  <c r="D3838" i="1"/>
  <c r="D3839" i="1"/>
  <c r="D3840" i="1"/>
  <c r="D3842" i="1"/>
  <c r="D3843" i="1"/>
  <c r="D3844" i="1"/>
  <c r="D3845" i="1"/>
  <c r="D3847" i="1"/>
  <c r="D3851" i="1"/>
  <c r="D3855" i="1"/>
  <c r="D3859" i="1"/>
  <c r="D3860" i="1"/>
  <c r="D3863" i="1"/>
  <c r="D3864" i="1"/>
  <c r="D3869" i="1"/>
  <c r="D3870" i="1"/>
  <c r="D3871" i="1"/>
  <c r="D3873" i="1"/>
  <c r="D3874" i="1"/>
  <c r="D3875" i="1"/>
  <c r="D3876" i="1"/>
  <c r="D3877" i="1"/>
  <c r="D3878" i="1"/>
  <c r="D3879" i="1"/>
  <c r="D3880" i="1"/>
  <c r="D3881" i="1"/>
  <c r="D3882" i="1"/>
  <c r="D3883" i="1"/>
  <c r="D3886" i="1"/>
  <c r="D3887" i="1"/>
  <c r="D3888" i="1"/>
  <c r="D3889" i="1"/>
  <c r="D3890" i="1"/>
  <c r="D3891" i="1"/>
  <c r="D3892" i="1"/>
  <c r="D3894" i="1"/>
  <c r="D3895" i="1"/>
  <c r="D3896" i="1"/>
  <c r="D3897" i="1"/>
  <c r="D3898" i="1"/>
  <c r="D3899" i="1"/>
  <c r="D3906" i="1"/>
  <c r="D3911" i="1"/>
  <c r="D3912" i="1"/>
  <c r="D3913" i="1"/>
  <c r="D3915" i="1"/>
  <c r="D3916" i="1"/>
  <c r="D3920" i="1"/>
  <c r="D3924" i="1"/>
  <c r="D3927" i="1"/>
  <c r="D3932" i="1"/>
  <c r="D3933" i="1"/>
  <c r="D3936" i="1"/>
  <c r="D3938" i="1"/>
  <c r="D3962" i="1"/>
  <c r="D3963" i="1"/>
  <c r="D3969" i="1"/>
  <c r="D3971" i="1"/>
  <c r="D3985" i="1"/>
  <c r="D3996" i="1"/>
  <c r="D4005" i="1"/>
  <c r="D4010" i="1"/>
  <c r="D4012" i="1"/>
  <c r="D4032" i="1"/>
  <c r="D4056" i="1"/>
  <c r="D4064" i="1"/>
  <c r="D4071" i="1"/>
  <c r="D4090" i="1"/>
  <c r="D4094" i="1"/>
  <c r="D4095" i="1"/>
</calcChain>
</file>

<file path=xl/sharedStrings.xml><?xml version="1.0" encoding="utf-8"?>
<sst xmlns="http://schemas.openxmlformats.org/spreadsheetml/2006/main" count="20533" uniqueCount="2292">
  <si>
    <t>IPD Bill Outstanding</t>
  </si>
  <si>
    <t>Sl.No</t>
  </si>
  <si>
    <t>Panel Name</t>
  </si>
  <si>
    <t>Admission Date</t>
  </si>
  <si>
    <t>Discharge Date</t>
  </si>
  <si>
    <t>Bill Date</t>
  </si>
  <si>
    <t>Bill No</t>
  </si>
  <si>
    <t>I.P. No</t>
  </si>
  <si>
    <t>MR No</t>
  </si>
  <si>
    <t>Pt. Name</t>
  </si>
  <si>
    <t>Bill Amount</t>
  </si>
  <si>
    <t>Discount Amount</t>
  </si>
  <si>
    <t>NET Amount</t>
  </si>
  <si>
    <t>Paid Amount</t>
  </si>
  <si>
    <t>Status</t>
  </si>
  <si>
    <t>PAYTYPE</t>
  </si>
  <si>
    <t>SPL</t>
  </si>
  <si>
    <t>JANAK RANI</t>
  </si>
  <si>
    <t>SETTLED</t>
  </si>
  <si>
    <t>S.PVT</t>
  </si>
  <si>
    <t>Medicine.</t>
  </si>
  <si>
    <t>M.C.D</t>
  </si>
  <si>
    <t>PRAKASH</t>
  </si>
  <si>
    <t>NOTSETTLED</t>
  </si>
  <si>
    <t>ECONOMY</t>
  </si>
  <si>
    <t>GENERAL PATIENT</t>
  </si>
  <si>
    <t>NIDHI</t>
  </si>
  <si>
    <t>Gynaecology</t>
  </si>
  <si>
    <t>NIVA BUPA</t>
  </si>
  <si>
    <t>TOMYA</t>
  </si>
  <si>
    <t xml:space="preserve">PRIVATE </t>
  </si>
  <si>
    <t>MANOJ KUMAR</t>
  </si>
  <si>
    <t>Neuro- Surgery</t>
  </si>
  <si>
    <t>SHASHI MAITHAL</t>
  </si>
  <si>
    <t>BIJENDER SOLANKI</t>
  </si>
  <si>
    <t>CGHS</t>
  </si>
  <si>
    <t>PRIYA FEMALE BABY</t>
  </si>
  <si>
    <t>Paediatrics</t>
  </si>
  <si>
    <t>GAURI SHANKAR MITTAL</t>
  </si>
  <si>
    <t>Cardiology</t>
  </si>
  <si>
    <t>PARK MED CLAIM LTD</t>
  </si>
  <si>
    <t>SONIA  ARORA</t>
  </si>
  <si>
    <t>GIPSA ECONOMY</t>
  </si>
  <si>
    <t>Urology</t>
  </si>
  <si>
    <t>PARMINDEER KAUR</t>
  </si>
  <si>
    <t>Safeway Mediclaim Services Pvt. Ltd.</t>
  </si>
  <si>
    <t>VINOD KUMAR</t>
  </si>
  <si>
    <t>ICU -HC</t>
  </si>
  <si>
    <t>MEHTAB SINGH</t>
  </si>
  <si>
    <t>NEHA</t>
  </si>
  <si>
    <t>MEDI ASSIST</t>
  </si>
  <si>
    <t>USHA GULATI</t>
  </si>
  <si>
    <t>GIPSA S.PVT</t>
  </si>
  <si>
    <t>SATVIK GUPTA</t>
  </si>
  <si>
    <t>DAY CARE</t>
  </si>
  <si>
    <t>PL. Surgery</t>
  </si>
  <si>
    <t>KRITIKA KHURANA</t>
  </si>
  <si>
    <t>Endocrinology &amp; Breast Surgery</t>
  </si>
  <si>
    <t>AFROZ ANSARI</t>
  </si>
  <si>
    <t>Interventional Radiologist</t>
  </si>
  <si>
    <t>SUNITA SHARAN</t>
  </si>
  <si>
    <t>RAKSHA (TPA)</t>
  </si>
  <si>
    <t>SHIV DAYAL</t>
  </si>
  <si>
    <t>POOJA  FEMALE BABY GUPTA</t>
  </si>
  <si>
    <t>JAGDISH LAL DUA</t>
  </si>
  <si>
    <t>Neurology</t>
  </si>
  <si>
    <t>SANTOSH BANSAL</t>
  </si>
  <si>
    <t>ASHOK  KUMAR JAIN</t>
  </si>
  <si>
    <t>RAJESH KUMAR</t>
  </si>
  <si>
    <t>GENERAL ECONOMY</t>
  </si>
  <si>
    <t>Cardiac By- Pass Surgery</t>
  </si>
  <si>
    <t>REETU</t>
  </si>
  <si>
    <t>Paramount Health Services (TPA) Private Limited</t>
  </si>
  <si>
    <t>RADHIKA DEVI</t>
  </si>
  <si>
    <t>ESHA GOYAL</t>
  </si>
  <si>
    <t>CGHS ( CREDIT)</t>
  </si>
  <si>
    <t>DAVINDER AHUJA</t>
  </si>
  <si>
    <t>Surgery</t>
  </si>
  <si>
    <t>RAJ DEV YADAV</t>
  </si>
  <si>
    <t>DAKSH</t>
  </si>
  <si>
    <t>BAJAJ ALLIANZ INSURANCE</t>
  </si>
  <si>
    <t>TANUJ</t>
  </si>
  <si>
    <t>PASURAM</t>
  </si>
  <si>
    <t>GAURAV KUMAR</t>
  </si>
  <si>
    <t>NAVEEN BANSAL</t>
  </si>
  <si>
    <t>USHA DHAMIJA</t>
  </si>
  <si>
    <t>SHILPI JAISWAL</t>
  </si>
  <si>
    <t>SATBIR SINGH</t>
  </si>
  <si>
    <t>ICU WARD ECO</t>
  </si>
  <si>
    <t>SHIV RAM</t>
  </si>
  <si>
    <t>EWS</t>
  </si>
  <si>
    <t>ICICI Lombard General Insurance</t>
  </si>
  <si>
    <t>SHAMA TANEJA</t>
  </si>
  <si>
    <t>VIDAL HEALTH INSURANCE LIMITED</t>
  </si>
  <si>
    <t>MAHAVEER JINDAL</t>
  </si>
  <si>
    <t>Resp. Medicine</t>
  </si>
  <si>
    <t>SHYAM</t>
  </si>
  <si>
    <t>Nephrology</t>
  </si>
  <si>
    <t>RAJ RANI</t>
  </si>
  <si>
    <t>TARUN HURIA</t>
  </si>
  <si>
    <t>RICHA</t>
  </si>
  <si>
    <t>P C. BHATT</t>
  </si>
  <si>
    <t>SANTOSH AGGARWAL</t>
  </si>
  <si>
    <t>PARMOD SEHGAL</t>
  </si>
  <si>
    <t>DELUXE</t>
  </si>
  <si>
    <t>GURMEET KAUR</t>
  </si>
  <si>
    <t>DIVYA SINGH</t>
  </si>
  <si>
    <t>JABBAR KHAN</t>
  </si>
  <si>
    <t>RADHEY SHYAM  GUPTA</t>
  </si>
  <si>
    <t>SAVITRI GOHLAN</t>
  </si>
  <si>
    <t>Aditya Birla Health Insurance Co. Limited</t>
  </si>
  <si>
    <t>MONA JAISWAL</t>
  </si>
  <si>
    <t>PREM CHAND YADAV</t>
  </si>
  <si>
    <t>DDA</t>
  </si>
  <si>
    <t>JYOTI</t>
  </si>
  <si>
    <t>HEALTH INDIA</t>
  </si>
  <si>
    <t>JAIDEEP MALIK</t>
  </si>
  <si>
    <t>HARAYANA GOVT.</t>
  </si>
  <si>
    <t>ANUP SINGH</t>
  </si>
  <si>
    <t>TILAK RAJ SHARMA</t>
  </si>
  <si>
    <t>DHARSHAN SINGLA</t>
  </si>
  <si>
    <t>ASHOK KUMAR</t>
  </si>
  <si>
    <t>GENERAL PATIENT (MAH)</t>
  </si>
  <si>
    <t>SUKH NAND KUMAR JAIN</t>
  </si>
  <si>
    <t>SURESH</t>
  </si>
  <si>
    <t>PRIYANKA  FEMALE BABY JAIN</t>
  </si>
  <si>
    <t>STAR HEALTH CARE  (CREDIT)</t>
  </si>
  <si>
    <t>ANITA DEVI</t>
  </si>
  <si>
    <t>EKTA SHARMA</t>
  </si>
  <si>
    <t>MUKESH KUMAR</t>
  </si>
  <si>
    <t>TANVEER FEMALE BABY BEDI</t>
  </si>
  <si>
    <t>SUITE</t>
  </si>
  <si>
    <t>KRISHAN KUMAR</t>
  </si>
  <si>
    <t>BACHAN SINGH</t>
  </si>
  <si>
    <t>LAXMI AGARWAL</t>
  </si>
  <si>
    <t>JIYAN DABAS</t>
  </si>
  <si>
    <t>BRIJESH BHARTI</t>
  </si>
  <si>
    <t>JEET SINGH</t>
  </si>
  <si>
    <t>E.N.T</t>
  </si>
  <si>
    <t>Health Insurance TPA of India Ltd.</t>
  </si>
  <si>
    <t>ASHISH SHARMA</t>
  </si>
  <si>
    <t>EAST-WEST ASSIST.</t>
  </si>
  <si>
    <t>KAMLESH GUPTA</t>
  </si>
  <si>
    <t>G. CHANDER SHEKHAR</t>
  </si>
  <si>
    <t>Heritage Health TPA Private Limited</t>
  </si>
  <si>
    <t>POONAM GUPTA</t>
  </si>
  <si>
    <t>KULBHUSHAN AGGARWAL</t>
  </si>
  <si>
    <t>GIPSA DAY CARE</t>
  </si>
  <si>
    <t>MEENU ANEEGRACE</t>
  </si>
  <si>
    <t>HDFC ERGO General Insurance Co. Ltd.</t>
  </si>
  <si>
    <t>ROSHAN LAL</t>
  </si>
  <si>
    <t>RUDRA KUMAR VERMA</t>
  </si>
  <si>
    <t>DGHS (DELHI GOVT.)</t>
  </si>
  <si>
    <t>SHRI KANT</t>
  </si>
  <si>
    <t>SHARAH MALE BABY</t>
  </si>
  <si>
    <t>GOVT. OF NCT OF DELHI</t>
  </si>
  <si>
    <t>MEHAR CHAND</t>
  </si>
  <si>
    <t>LAVEENA MALE BABY BANSAL</t>
  </si>
  <si>
    <t>DEVENDER SINGH</t>
  </si>
  <si>
    <t>MANIPAL CIGNA HEALTH INSURANCE COMPANY LIMITED</t>
  </si>
  <si>
    <t>GAURAV SHARMA</t>
  </si>
  <si>
    <t>DALIP MALHOTRA</t>
  </si>
  <si>
    <t>Gastro</t>
  </si>
  <si>
    <t>RCare Health</t>
  </si>
  <si>
    <t>NAVEEN  KUMAR MALHOTRA</t>
  </si>
  <si>
    <t>RAM BABU</t>
  </si>
  <si>
    <t>Good Health Plan Limited</t>
  </si>
  <si>
    <t>AKSHAY JAIN</t>
  </si>
  <si>
    <t>MD INDIA TPA PVT.LTD.</t>
  </si>
  <si>
    <t>ROHAN KIUMAR</t>
  </si>
  <si>
    <t>SHILPI</t>
  </si>
  <si>
    <t>KAUSHAL</t>
  </si>
  <si>
    <t>DEELIP KUMAR CHAUBEY</t>
  </si>
  <si>
    <t>GOVIND KUMAR</t>
  </si>
  <si>
    <t>R.S DUBEY</t>
  </si>
  <si>
    <t>JAI BHAGWAN</t>
  </si>
  <si>
    <t>RAJEEV KUMAR GOEL</t>
  </si>
  <si>
    <t>JOGINDER NATH ARORA</t>
  </si>
  <si>
    <t>VIPUL MED CORP PVT LTD</t>
  </si>
  <si>
    <t>SUSHIL KUMAR GUPTA</t>
  </si>
  <si>
    <t>SHYAM SINGH</t>
  </si>
  <si>
    <t>SHIVAM MEHTA</t>
  </si>
  <si>
    <t>PRABHA SAXENA</t>
  </si>
  <si>
    <t>RAVI BATURA</t>
  </si>
  <si>
    <t>AJIT SINGH</t>
  </si>
  <si>
    <t>ROMA ACHHRA</t>
  </si>
  <si>
    <t>AASHITA MALHOTRA CHUGH</t>
  </si>
  <si>
    <t>SHABNAM</t>
  </si>
  <si>
    <t>RAJ KUMAR</t>
  </si>
  <si>
    <t>DR.S.P.SHARMA</t>
  </si>
  <si>
    <t>VIDYA</t>
  </si>
  <si>
    <t>VIDHAN</t>
  </si>
  <si>
    <t>NAFE SINGH</t>
  </si>
  <si>
    <t>RAJ BAHADUR</t>
  </si>
  <si>
    <t>SHYAM KISHORE JHA</t>
  </si>
  <si>
    <t>MAMTA SHARMA</t>
  </si>
  <si>
    <t>CHARU FEMALE BABY MITTAL</t>
  </si>
  <si>
    <t>KESHIKA</t>
  </si>
  <si>
    <t>LAVANYA ARORA</t>
  </si>
  <si>
    <t>CHARU MITTAL</t>
  </si>
  <si>
    <t>SUSHIL KUMAR</t>
  </si>
  <si>
    <t>Orthopaedics</t>
  </si>
  <si>
    <t>BIMLA</t>
  </si>
  <si>
    <t>TANVI  MALE BABY KAPOOR</t>
  </si>
  <si>
    <t>SHRIKANT PATEL</t>
  </si>
  <si>
    <t>BALWANT SINGH</t>
  </si>
  <si>
    <t>Cholamandlam General Insurance Co. Ltd.</t>
  </si>
  <si>
    <t>NITIN SINGH NEGI</t>
  </si>
  <si>
    <t>KASHMIRI LAL BANSAL</t>
  </si>
  <si>
    <t>VINOD BASOYA</t>
  </si>
  <si>
    <t>MANJU GUPTA</t>
  </si>
  <si>
    <t>KRISHNA DEVI</t>
  </si>
  <si>
    <t>INDERPREET FEMALE BABY KAUR SOHAL</t>
  </si>
  <si>
    <t>MEENU ANEEGRACE FEMALE BABY</t>
  </si>
  <si>
    <t>BISHNU RASAILY</t>
  </si>
  <si>
    <t>DOLLY</t>
  </si>
  <si>
    <t>RAM CHANDER</t>
  </si>
  <si>
    <t>KHYALI RAM</t>
  </si>
  <si>
    <t>URVASHI FEMALE BABY JAIN</t>
  </si>
  <si>
    <t>JYOTI  GOEL</t>
  </si>
  <si>
    <t>VEENA AGGARWAL</t>
  </si>
  <si>
    <t>KUSUM</t>
  </si>
  <si>
    <t>TAPATI CHATTERJEE</t>
  </si>
  <si>
    <t>REKHA</t>
  </si>
  <si>
    <t>TEKCHAND ARORA</t>
  </si>
  <si>
    <t>ICU- GENERAL ECONOMY</t>
  </si>
  <si>
    <t>USHA WADHWA</t>
  </si>
  <si>
    <t>AJAY KUMAR</t>
  </si>
  <si>
    <t>PARMOD SIKKA</t>
  </si>
  <si>
    <t>PINKI FEMALE BABY  PODDAR</t>
  </si>
  <si>
    <t>PURSHOTTAR KUMAR</t>
  </si>
  <si>
    <t>NISHA JHA</t>
  </si>
  <si>
    <t>PREM SINGH</t>
  </si>
  <si>
    <t>HEMLATA</t>
  </si>
  <si>
    <t>REKHA RANI</t>
  </si>
  <si>
    <t>MEGHA JAIN</t>
  </si>
  <si>
    <t>AGAM GOYAL</t>
  </si>
  <si>
    <t>SITO DEVI</t>
  </si>
  <si>
    <t>USHA SINGH</t>
  </si>
  <si>
    <t>SARVESH CHOUDHARY</t>
  </si>
  <si>
    <t>PUSHPA</t>
  </si>
  <si>
    <t>BIRBHAN GARG</t>
  </si>
  <si>
    <t>RAKESH GUPTA</t>
  </si>
  <si>
    <t>PARUL VAID</t>
  </si>
  <si>
    <t>FHPL</t>
  </si>
  <si>
    <t>JAGDISH SINGH</t>
  </si>
  <si>
    <t>POONAM MISHRA</t>
  </si>
  <si>
    <t>BIMLA GUPTA</t>
  </si>
  <si>
    <t>PREM CHAND</t>
  </si>
  <si>
    <t>REETIKA GARG</t>
  </si>
  <si>
    <t>PRISHA FEMALE BABY HANDA</t>
  </si>
  <si>
    <t>RAM RATI</t>
  </si>
  <si>
    <t>NISHI SODHI</t>
  </si>
  <si>
    <t>RITIKA SINGH</t>
  </si>
  <si>
    <t>RUPENDER KAUR</t>
  </si>
  <si>
    <t>RAMESH CHAND NIGAM</t>
  </si>
  <si>
    <t>TANGAMMA</t>
  </si>
  <si>
    <t>KOMAL MALE BABY ARORA</t>
  </si>
  <si>
    <t>RAMESH CHANDER  BHATIA</t>
  </si>
  <si>
    <t>CARE HEALTH INSURANCE LIMITED</t>
  </si>
  <si>
    <t>JUHI UPADHYAY</t>
  </si>
  <si>
    <t>KAMAL JIT KAUR</t>
  </si>
  <si>
    <t>ARCHANA REKHADI</t>
  </si>
  <si>
    <t>SHIVENDRA SINGH</t>
  </si>
  <si>
    <t>NEELAM GUPTA</t>
  </si>
  <si>
    <t>RAMAN</t>
  </si>
  <si>
    <t>SURESH KUMAR RAM</t>
  </si>
  <si>
    <t>KANTI DEVI</t>
  </si>
  <si>
    <t>AVTAR SINGH</t>
  </si>
  <si>
    <t>POONAM SHOKEEN</t>
  </si>
  <si>
    <t>SANGH MITRA BARWA</t>
  </si>
  <si>
    <t>HIMANSHU KAPOOR</t>
  </si>
  <si>
    <t>NIZAMMUDDIN</t>
  </si>
  <si>
    <t>SILWANT KUMAR</t>
  </si>
  <si>
    <t>SHAILENDRA KUMAR GUPTA</t>
  </si>
  <si>
    <t>KAMLA CHUGH</t>
  </si>
  <si>
    <t>MISHA MEHRA</t>
  </si>
  <si>
    <t>TABASSUM MALE BABY</t>
  </si>
  <si>
    <t>NANAK CHAND JAIN</t>
  </si>
  <si>
    <t>DINDAYAL SINGH</t>
  </si>
  <si>
    <t>Gastro - I - Surgeon</t>
  </si>
  <si>
    <t>SOM NATH</t>
  </si>
  <si>
    <t>SMILE TRAIN</t>
  </si>
  <si>
    <t>LAKSHITA</t>
  </si>
  <si>
    <t>RAHUL</t>
  </si>
  <si>
    <t>RENU SINHMAR</t>
  </si>
  <si>
    <t>SURYA DEV</t>
  </si>
  <si>
    <t>REKHA DEVI</t>
  </si>
  <si>
    <t>RAM DEO AGGARWAL</t>
  </si>
  <si>
    <t>LAKSHYA SINGH BISHT</t>
  </si>
  <si>
    <t>SHELLY MALE BABY  AGGARWAL</t>
  </si>
  <si>
    <t>SHANTI DEVI</t>
  </si>
  <si>
    <t>TARA CHAND</t>
  </si>
  <si>
    <t>Rheumatology</t>
  </si>
  <si>
    <t>DEVENDER GOYAL</t>
  </si>
  <si>
    <t>JOGINDER</t>
  </si>
  <si>
    <t>SAMEENA</t>
  </si>
  <si>
    <t>PARVEEN</t>
  </si>
  <si>
    <t>UPMA BRIJ</t>
  </si>
  <si>
    <t>GULSAN JAMWAL</t>
  </si>
  <si>
    <t>SHASHI JAIN</t>
  </si>
  <si>
    <t>MADAN GOPAL</t>
  </si>
  <si>
    <t>SANJAY KUMAR</t>
  </si>
  <si>
    <t>KANTA</t>
  </si>
  <si>
    <t>RAJINDER KUMAR</t>
  </si>
  <si>
    <t>SHRIKANT</t>
  </si>
  <si>
    <t>HITENDER GUPTA</t>
  </si>
  <si>
    <t>OM WATI DEVI</t>
  </si>
  <si>
    <t>DHARMVEER SINGH</t>
  </si>
  <si>
    <t>MEERA DEVI</t>
  </si>
  <si>
    <t>MANJU SEHRAWAT</t>
  </si>
  <si>
    <t>JOEL BINU JOSEPH</t>
  </si>
  <si>
    <t>SAPNA</t>
  </si>
  <si>
    <t>RAJNI</t>
  </si>
  <si>
    <t>VINOD DEVI</t>
  </si>
  <si>
    <t>SAVETA SHARMA</t>
  </si>
  <si>
    <t>SAKSHAM GARG</t>
  </si>
  <si>
    <t>AARTI JAIN</t>
  </si>
  <si>
    <t>GOVIND RAM</t>
  </si>
  <si>
    <t>HEMA  BHAGAT</t>
  </si>
  <si>
    <t>NIRMALA GUPTA</t>
  </si>
  <si>
    <t>POOJA</t>
  </si>
  <si>
    <t>RAKHI RASTOGI</t>
  </si>
  <si>
    <t>SUNIL KUMAR</t>
  </si>
  <si>
    <t>RAM  VINAY MISHRA</t>
  </si>
  <si>
    <t>LEELAWATI</t>
  </si>
  <si>
    <t>VIJAY DEVI</t>
  </si>
  <si>
    <t>DELHI TRANSPORT CORPORATION</t>
  </si>
  <si>
    <t>KANTA DEVI</t>
  </si>
  <si>
    <t>Delhi University</t>
  </si>
  <si>
    <t>VIDYA DEVI</t>
  </si>
  <si>
    <t>HIMANSHI</t>
  </si>
  <si>
    <t>ROHIT</t>
  </si>
  <si>
    <t>ASHWANI KUMAR GUPTA</t>
  </si>
  <si>
    <t>ANAYA GUPTA</t>
  </si>
  <si>
    <t>SANJEEV KUKERJA</t>
  </si>
  <si>
    <t>SARJIT SINGH CHANA</t>
  </si>
  <si>
    <t>MANOJ KUMAR SINHA</t>
  </si>
  <si>
    <t>V. K.  SURI</t>
  </si>
  <si>
    <t>RAJENDER KUMAR</t>
  </si>
  <si>
    <t>KAUSHALYA DEVI</t>
  </si>
  <si>
    <t>PROMILA KANSAL</t>
  </si>
  <si>
    <t>DEVYANI FEMALE BABY CHHABRA</t>
  </si>
  <si>
    <t>ANKIT BINDRA</t>
  </si>
  <si>
    <t>GIRDHARA SINGH</t>
  </si>
  <si>
    <t>AANCHAL MITTAL</t>
  </si>
  <si>
    <t>PANKAJ KUMAR SINGH</t>
  </si>
  <si>
    <t>NIKHIL CHOMIYA</t>
  </si>
  <si>
    <t>MEENA KUMARI</t>
  </si>
  <si>
    <t>OMVATI DEVI GUPTA</t>
  </si>
  <si>
    <t>PUNEET GUPTA</t>
  </si>
  <si>
    <t>VINOD KUMAR SETHI</t>
  </si>
  <si>
    <t>PANKAJ GOYAL</t>
  </si>
  <si>
    <t>ASHOK KUMAR JAIN</t>
  </si>
  <si>
    <t>DEVESH KUMAR SAXENA</t>
  </si>
  <si>
    <t>MAYA DEVI</t>
  </si>
  <si>
    <t>SONIKA BAGGA</t>
  </si>
  <si>
    <t>KAWALJEET SINGH</t>
  </si>
  <si>
    <t>RASHMI</t>
  </si>
  <si>
    <t>SANTOSH GROVER</t>
  </si>
  <si>
    <t>JAINWANTI JAIN</t>
  </si>
  <si>
    <t>VIMLA RANA</t>
  </si>
  <si>
    <t>TAPATI MITRA</t>
  </si>
  <si>
    <t>RAHUL SINGLA</t>
  </si>
  <si>
    <t>PRAVEEN PETER</t>
  </si>
  <si>
    <t>FHPL-ACKO</t>
  </si>
  <si>
    <t>MOHIT CHUGH</t>
  </si>
  <si>
    <t>SOURAV SHARMA</t>
  </si>
  <si>
    <t>RISHITA</t>
  </si>
  <si>
    <t>TUSHAR GOEL</t>
  </si>
  <si>
    <t>RAJEEV SINGLA</t>
  </si>
  <si>
    <t>BABITA</t>
  </si>
  <si>
    <t>OMWATI</t>
  </si>
  <si>
    <t>RAM PRATAP</t>
  </si>
  <si>
    <t>NARENDER CHAWLA</t>
  </si>
  <si>
    <t>JITENDRA GARG</t>
  </si>
  <si>
    <t>GAGAN GHAI</t>
  </si>
  <si>
    <t>KRISHAN LAL GAUBA</t>
  </si>
  <si>
    <t>SACHIDANAND</t>
  </si>
  <si>
    <t>RAJAT CHAUHAN</t>
  </si>
  <si>
    <t>Delhi Arogya kosh</t>
  </si>
  <si>
    <t>NARENDER SINGH</t>
  </si>
  <si>
    <t>GOVIND</t>
  </si>
  <si>
    <t>AMRIT PAL SHUKLA</t>
  </si>
  <si>
    <t>RAVI</t>
  </si>
  <si>
    <t>USHA GAMBHIR</t>
  </si>
  <si>
    <t>JITENDER NARULA</t>
  </si>
  <si>
    <t>RAMESH KR BANSAL</t>
  </si>
  <si>
    <t>SURENDER GOEL</t>
  </si>
  <si>
    <t>KAMLA DEVI</t>
  </si>
  <si>
    <t>SHANTA</t>
  </si>
  <si>
    <t>PRIYANKA KUMARI</t>
  </si>
  <si>
    <t>UMA BISHT</t>
  </si>
  <si>
    <t>VIJAY KUMAR KAPOOR</t>
  </si>
  <si>
    <t>BIPIN KUMAR</t>
  </si>
  <si>
    <t>ANKUR GOEL</t>
  </si>
  <si>
    <t>GIPSA DELUXE</t>
  </si>
  <si>
    <t>HIMANSHU GOYAL</t>
  </si>
  <si>
    <t>RAKESH JAIN</t>
  </si>
  <si>
    <t>RAKIKESH KUMAR</t>
  </si>
  <si>
    <t>SWARN LATA KINDRA</t>
  </si>
  <si>
    <t>SHRI PRAKASH PRAJAPATI</t>
  </si>
  <si>
    <t>DEVI RANI</t>
  </si>
  <si>
    <t>DAYA SHANKAR</t>
  </si>
  <si>
    <t>VIRENDER KUMAR ATRI</t>
  </si>
  <si>
    <t>SIMRAN JAISWAL</t>
  </si>
  <si>
    <t>DELHI AROGYA KOSH</t>
  </si>
  <si>
    <t>ECHS</t>
  </si>
  <si>
    <t>DIVYA DEVI</t>
  </si>
  <si>
    <t>SHIKHA MITRA</t>
  </si>
  <si>
    <t>Endocrinology</t>
  </si>
  <si>
    <t>PRADEEP KUMAR MALIK</t>
  </si>
  <si>
    <t>RADHA GOEL</t>
  </si>
  <si>
    <t>RAKESH THAKUR</t>
  </si>
  <si>
    <t>SHIV NARAYAN BANSAL</t>
  </si>
  <si>
    <t>SANGEETA</t>
  </si>
  <si>
    <t>HARI BABU</t>
  </si>
  <si>
    <t>VIJAY SINGH NEGI</t>
  </si>
  <si>
    <t>PAWANA DEVI</t>
  </si>
  <si>
    <t>RAJPATI</t>
  </si>
  <si>
    <t>MANENDER DESHWAL</t>
  </si>
  <si>
    <t>KASHMIRI LAL JAIN</t>
  </si>
  <si>
    <t>TUNTUN  MANDAL</t>
  </si>
  <si>
    <t>NISHU MALE BABY SHARMA</t>
  </si>
  <si>
    <t>DEEPANSHI</t>
  </si>
  <si>
    <t>RAKESH KUMAR</t>
  </si>
  <si>
    <t>GOVIND SINGH</t>
  </si>
  <si>
    <t>JULI SINGH</t>
  </si>
  <si>
    <t>MAHAVIR SINGH MALIK</t>
  </si>
  <si>
    <t>meena srivastav</t>
  </si>
  <si>
    <t>PREM</t>
  </si>
  <si>
    <t>BHUSHAN KUMAR</t>
  </si>
  <si>
    <t>DHARAMPAL GUPTA</t>
  </si>
  <si>
    <t>DEVKALI DEVI</t>
  </si>
  <si>
    <t>MD. ARBAZ</t>
  </si>
  <si>
    <t>VIRENDER SINGH</t>
  </si>
  <si>
    <t>SUSHMA</t>
  </si>
  <si>
    <t>SACHIN MITTAL</t>
  </si>
  <si>
    <t>ROSHAN PASWAN</t>
  </si>
  <si>
    <t>SHASHI BALA</t>
  </si>
  <si>
    <t>SURENDER KUMAR</t>
  </si>
  <si>
    <t>JOGINDER PAL</t>
  </si>
  <si>
    <t>RADHIKA</t>
  </si>
  <si>
    <t>SUNIL KUMAR AGGARWAL</t>
  </si>
  <si>
    <t>RITU</t>
  </si>
  <si>
    <t>NAGENDER PATHAK</t>
  </si>
  <si>
    <t>RAM NIWAS</t>
  </si>
  <si>
    <t>BULAKI RAM DAS</t>
  </si>
  <si>
    <t>J P GUPTA</t>
  </si>
  <si>
    <t>TIRLOCHAN SINGH</t>
  </si>
  <si>
    <t>PAWAN SINGH</t>
  </si>
  <si>
    <t>AJAY BAJAJ</t>
  </si>
  <si>
    <t>SHAGUN JAIN</t>
  </si>
  <si>
    <t>RAM NARAYAN MANDAL</t>
  </si>
  <si>
    <t>PARTAP SINGH</t>
  </si>
  <si>
    <t>SATYA PAL GOEL</t>
  </si>
  <si>
    <t>UDAY PRASAD GUPTA</t>
  </si>
  <si>
    <t>KANTI</t>
  </si>
  <si>
    <t>BRIJ LAL KORI</t>
  </si>
  <si>
    <t>ANIL KUMAR GUPTA</t>
  </si>
  <si>
    <t>MANOJ  PRABHAKAR</t>
  </si>
  <si>
    <t>MAMTA</t>
  </si>
  <si>
    <t>KUSUM LATA</t>
  </si>
  <si>
    <t>RAVI BHUSHAN</t>
  </si>
  <si>
    <t>KRISHNA KUMARI</t>
  </si>
  <si>
    <t>RAJENDER</t>
  </si>
  <si>
    <t>MANJU AGGARWAL</t>
  </si>
  <si>
    <t>KETAN GOEL</t>
  </si>
  <si>
    <t>DURGA DEVI</t>
  </si>
  <si>
    <t>BADAMI DEVI</t>
  </si>
  <si>
    <t>BRIJ MOHAN</t>
  </si>
  <si>
    <t>OM PRAKASH</t>
  </si>
  <si>
    <t>T.THAMBAN</t>
  </si>
  <si>
    <t>SUSHIL KUMAR AGGARWAL</t>
  </si>
  <si>
    <t>KRISHANA DEVI</t>
  </si>
  <si>
    <t>JAWAHAR SAMANTA</t>
  </si>
  <si>
    <t>MANJU KOHLI</t>
  </si>
  <si>
    <t>RAMESHWAR</t>
  </si>
  <si>
    <t>LAL BABU MANJHI</t>
  </si>
  <si>
    <t>KAMLA SATI</t>
  </si>
  <si>
    <t>MANOJ KOHLI</t>
  </si>
  <si>
    <t>AMIT NAGAR</t>
  </si>
  <si>
    <t>AMRIK SINGH</t>
  </si>
  <si>
    <t>SHRISHTI GUPTA</t>
  </si>
  <si>
    <t>RAM SAHAI</t>
  </si>
  <si>
    <t>KAMLESH JAIN</t>
  </si>
  <si>
    <t>ANUJ KUMAR</t>
  </si>
  <si>
    <t>SATISH MALIK</t>
  </si>
  <si>
    <t>USHA RANI</t>
  </si>
  <si>
    <t>SHRI KRISHAN DABAS</t>
  </si>
  <si>
    <t>NISHU SHARMA</t>
  </si>
  <si>
    <t>RAJENDRA PRASAD AGARWAL</t>
  </si>
  <si>
    <t>RATI YADAV</t>
  </si>
  <si>
    <t>ASHOK RANA</t>
  </si>
  <si>
    <t>CTVS</t>
  </si>
  <si>
    <t>ANGAD PREET SINGH BATRA</t>
  </si>
  <si>
    <t>NIRMAL GUPTA</t>
  </si>
  <si>
    <t>BARFI DEVI</t>
  </si>
  <si>
    <t>RAMESH AHUJA</t>
  </si>
  <si>
    <t>THAKUR DASS</t>
  </si>
  <si>
    <t>DHRAM SINGH</t>
  </si>
  <si>
    <t>POOJA MANGLA</t>
  </si>
  <si>
    <t>SATTO  DEVI</t>
  </si>
  <si>
    <t>BANARSI DASS</t>
  </si>
  <si>
    <t>GEETA</t>
  </si>
  <si>
    <t>UGRASEN SINGH</t>
  </si>
  <si>
    <t>ISHWAR CHAND GUPTA</t>
  </si>
  <si>
    <t>RAJBIR SINGH</t>
  </si>
  <si>
    <t>KAMLESH</t>
  </si>
  <si>
    <t>VIPIN GARG</t>
  </si>
  <si>
    <t>SANCHIT CHOUDHARY</t>
  </si>
  <si>
    <t>TAPESHWARI DEVI</t>
  </si>
  <si>
    <t>NIRMAL KANTA</t>
  </si>
  <si>
    <t>HIMANSHU MITTAL</t>
  </si>
  <si>
    <t>SUMITRA</t>
  </si>
  <si>
    <t>ANSHUL CHAUHAN</t>
  </si>
  <si>
    <t>KAILASH PARKASH KAUSHIK</t>
  </si>
  <si>
    <t>SARLA CHHABRA</t>
  </si>
  <si>
    <t>NISHA</t>
  </si>
  <si>
    <t>SHEELA DEVI</t>
  </si>
  <si>
    <t>DELHI VIDYUT BOARD</t>
  </si>
  <si>
    <t>RANVIR SEHGAL</t>
  </si>
  <si>
    <t>NHA - CENTRAL ARMED POLICE FORCES (CGHS)</t>
  </si>
  <si>
    <t>SAVITRI DEVI</t>
  </si>
  <si>
    <t>UMANG CHADHA</t>
  </si>
  <si>
    <t>ARUNA ARORA</t>
  </si>
  <si>
    <t>AVIRAL</t>
  </si>
  <si>
    <t>GUNJAN GUPTA</t>
  </si>
  <si>
    <t>SAHIBA MALE BABY  DHAWAN</t>
  </si>
  <si>
    <t>RAHUL AGGARWAL</t>
  </si>
  <si>
    <t>JASWANT SINGH</t>
  </si>
  <si>
    <t>RAFIQ MOHD</t>
  </si>
  <si>
    <t>SUNITA</t>
  </si>
  <si>
    <t>SARANG</t>
  </si>
  <si>
    <t>RAJESH MAGAN</t>
  </si>
  <si>
    <t>CECELIA</t>
  </si>
  <si>
    <t>PREM DEVI</t>
  </si>
  <si>
    <t>LAKSHAY SHARMA</t>
  </si>
  <si>
    <t>USHA GUPTA</t>
  </si>
  <si>
    <t>K.K. KAPOOR</t>
  </si>
  <si>
    <t>SUSHILA KAUL</t>
  </si>
  <si>
    <t>SHOBHA</t>
  </si>
  <si>
    <t>NILESH KUMAR</t>
  </si>
  <si>
    <t>ANVIT</t>
  </si>
  <si>
    <t>Paed Surgery</t>
  </si>
  <si>
    <t>Universal Sompo Gen.Insu.Co.Ltd.</t>
  </si>
  <si>
    <t>RAVNEET SINGH</t>
  </si>
  <si>
    <t>GOVIND GUPTA</t>
  </si>
  <si>
    <t>ANJALI VERMA</t>
  </si>
  <si>
    <t>SAURABH SINGHAL</t>
  </si>
  <si>
    <t>KIMTI LAL SACHDEVA</t>
  </si>
  <si>
    <t>ICU WARD S.PVT</t>
  </si>
  <si>
    <t>NAVEEN KUMAR</t>
  </si>
  <si>
    <t>RAJENDER TAYAL</t>
  </si>
  <si>
    <t>NARINDER JEET SINGH</t>
  </si>
  <si>
    <t>SUMAN</t>
  </si>
  <si>
    <t>PINKI DEVI</t>
  </si>
  <si>
    <t>NITANSHA GULATI</t>
  </si>
  <si>
    <t>DHEERAJ PATHAK</t>
  </si>
  <si>
    <t>FHPL-TATA AIG</t>
  </si>
  <si>
    <t>CHAYANK BAKSHI</t>
  </si>
  <si>
    <t>ANURADHA</t>
  </si>
  <si>
    <t>KARAN SINGH</t>
  </si>
  <si>
    <t>JAGJEET KAUR</t>
  </si>
  <si>
    <t>LUXMI TRIVEDI</t>
  </si>
  <si>
    <t>MOOL CHAND</t>
  </si>
  <si>
    <t>SURESH CHAND GARG</t>
  </si>
  <si>
    <t>BALA SINGHAL</t>
  </si>
  <si>
    <t>LATA</t>
  </si>
  <si>
    <t>RAVINDER VERMA</t>
  </si>
  <si>
    <t>SURAJ PRAKASH KHANNA</t>
  </si>
  <si>
    <t>USHA KALRA</t>
  </si>
  <si>
    <t>DEVENDER GUPTA</t>
  </si>
  <si>
    <t>T.M. SAMUEL</t>
  </si>
  <si>
    <t>NARENDRA KUMAR SINGH</t>
  </si>
  <si>
    <t>JASVINDER KAUR</t>
  </si>
  <si>
    <t>RAJ KUMAR AHUJA</t>
  </si>
  <si>
    <t>PRASHANT KUMAR NATH</t>
  </si>
  <si>
    <t>GARIMA GUPTA</t>
  </si>
  <si>
    <t>TARKESHWAR  RAY</t>
  </si>
  <si>
    <t>MOHAN LAL</t>
  </si>
  <si>
    <t>NEETU CHAUDHARY</t>
  </si>
  <si>
    <t>SUMAN SHARMA</t>
  </si>
  <si>
    <t>VIPAN BATRA</t>
  </si>
  <si>
    <t>T.T.K</t>
  </si>
  <si>
    <t>RAJEEV BHATIA</t>
  </si>
  <si>
    <t>J.R BABBAR</t>
  </si>
  <si>
    <t>ANIL JAIN</t>
  </si>
  <si>
    <t>PRAMILA SAIGAL</t>
  </si>
  <si>
    <t>SNEH LATA</t>
  </si>
  <si>
    <t>TILAK RAJ ARORA</t>
  </si>
  <si>
    <t>SHYAM SUNDER BHATIA</t>
  </si>
  <si>
    <t>DR.GAJENDRA</t>
  </si>
  <si>
    <t>ROSHANI DEVI</t>
  </si>
  <si>
    <t>SUDHA SINGH</t>
  </si>
  <si>
    <t>HEMA  GARG</t>
  </si>
  <si>
    <t>AMRIT KALA</t>
  </si>
  <si>
    <t>KAMLA DEVI GOEL</t>
  </si>
  <si>
    <t>ALIYA</t>
  </si>
  <si>
    <t>RITA DEVI</t>
  </si>
  <si>
    <t>EKLAVYA VASHISTH</t>
  </si>
  <si>
    <t>HARDAMAN KOHLI</t>
  </si>
  <si>
    <t>SAROJ GUPTA</t>
  </si>
  <si>
    <t>SANTRA</t>
  </si>
  <si>
    <t>BABY OF SHITAL SINGH</t>
  </si>
  <si>
    <t>DILIP KUMAR YADAV</t>
  </si>
  <si>
    <t>KOMAL</t>
  </si>
  <si>
    <t>SAESHA BANSAL</t>
  </si>
  <si>
    <t>NEELAM CHAWLA</t>
  </si>
  <si>
    <t>ANUPAMA BHATIA</t>
  </si>
  <si>
    <t>KHUSHBOO</t>
  </si>
  <si>
    <t>NATWAR</t>
  </si>
  <si>
    <t>PRIYANKA GARG</t>
  </si>
  <si>
    <t>ARADHYA AGARWAL</t>
  </si>
  <si>
    <t>SAT PAL SINGH KHARI</t>
  </si>
  <si>
    <t>YASHVEER SINGH CHAUHAN</t>
  </si>
  <si>
    <t>ANJU MEDIRATTA</t>
  </si>
  <si>
    <t>ANITA DEVI JAIN</t>
  </si>
  <si>
    <t>NIDHI MALE BABY</t>
  </si>
  <si>
    <t>AMARWATI</t>
  </si>
  <si>
    <t>GANESH RAI</t>
  </si>
  <si>
    <t>MAHIPAL SHARMA</t>
  </si>
  <si>
    <t>JAGBIR SINGH</t>
  </si>
  <si>
    <t>KASHISH LONGIANY</t>
  </si>
  <si>
    <t>SARIKA GARG</t>
  </si>
  <si>
    <t>MANROMA</t>
  </si>
  <si>
    <t>SANYOGITA LAMBA</t>
  </si>
  <si>
    <t>VIJAY KUMAR GUPTA</t>
  </si>
  <si>
    <t>SATNAM KAUR</t>
  </si>
  <si>
    <t>LEELA DEVI</t>
  </si>
  <si>
    <t>YOGITA MALE BABY  ADHIKARY</t>
  </si>
  <si>
    <t>RAM KUMAR</t>
  </si>
  <si>
    <t>PREETI</t>
  </si>
  <si>
    <t>ARCHNA</t>
  </si>
  <si>
    <t>DINESH KUMAR</t>
  </si>
  <si>
    <t>INDU MADAN</t>
  </si>
  <si>
    <t>SONALI FEMALE GUPTA</t>
  </si>
  <si>
    <t>RENU NARANG</t>
  </si>
  <si>
    <t>HEENA</t>
  </si>
  <si>
    <t>HEENA MALE BABY</t>
  </si>
  <si>
    <t>HAWA SINGH</t>
  </si>
  <si>
    <t>SUDHEESH MANGAD</t>
  </si>
  <si>
    <t>ANSHUL GUPTA</t>
  </si>
  <si>
    <t>MEGHA SANJEEV ARORA</t>
  </si>
  <si>
    <t>VEENA JOLLY</t>
  </si>
  <si>
    <t>NEETU KHURANA</t>
  </si>
  <si>
    <t>GAURISHA MADAAN</t>
  </si>
  <si>
    <t>ANWAR MEHDI ZAIDI</t>
  </si>
  <si>
    <t>RAJESH WADHERA</t>
  </si>
  <si>
    <t>VIJAY SHARMA</t>
  </si>
  <si>
    <t>SHALU FEMALE BABY 1ST</t>
  </si>
  <si>
    <t>PRAVEEN GOYAL</t>
  </si>
  <si>
    <t>RAM PRATAP  AGARWAL</t>
  </si>
  <si>
    <t>SUNENA BATRA GULATI</t>
  </si>
  <si>
    <t>POOJA GAUTAM</t>
  </si>
  <si>
    <t>MONA</t>
  </si>
  <si>
    <t>PRIYANKA MALE BABY GARG-II</t>
  </si>
  <si>
    <t>YASH PAL SHARMA</t>
  </si>
  <si>
    <t>MEHAK GUPTA</t>
  </si>
  <si>
    <t>ANKUSHA SHARMA</t>
  </si>
  <si>
    <t>VINOD ARORA</t>
  </si>
  <si>
    <t>JASLEEN KAUR</t>
  </si>
  <si>
    <t>BRIJ KISHOR SHARMA</t>
  </si>
  <si>
    <t>NEHA SHUKLA</t>
  </si>
  <si>
    <t>NIDHI DUA</t>
  </si>
  <si>
    <t>KANCHAN SONI</t>
  </si>
  <si>
    <t>MALTI DEVI</t>
  </si>
  <si>
    <t>AANSHIKA</t>
  </si>
  <si>
    <t>KAJAL</t>
  </si>
  <si>
    <t>NAISHA SHARMA</t>
  </si>
  <si>
    <t>VEENA GERA</t>
  </si>
  <si>
    <t>AKSH</t>
  </si>
  <si>
    <t>RAJNI FEMALE BABY DEVI</t>
  </si>
  <si>
    <t>SAROJ MADAN</t>
  </si>
  <si>
    <t>PARUL MALE BABY BANSAL</t>
  </si>
  <si>
    <t>DAKSHI FEMALE BABY</t>
  </si>
  <si>
    <t>MONI SINHA</t>
  </si>
  <si>
    <t>MOHD. SHAUKEEN SAIFI</t>
  </si>
  <si>
    <t>BABITA BANSAL</t>
  </si>
  <si>
    <t>Delhi Tourism &amp; Transportation Development Corp.Ltd.</t>
  </si>
  <si>
    <t>NUTAN KUMARI</t>
  </si>
  <si>
    <t>PARVEEN KAPOOR</t>
  </si>
  <si>
    <t>HARSH AHLAWAT</t>
  </si>
  <si>
    <t>MUKESH</t>
  </si>
  <si>
    <t>SATYAVATI ARORA</t>
  </si>
  <si>
    <t>BHARAT ARORA</t>
  </si>
  <si>
    <t>SHANTA SETHI</t>
  </si>
  <si>
    <t>MOHIT KUMAR</t>
  </si>
  <si>
    <t>POOJA CHAUHAN</t>
  </si>
  <si>
    <t>DAVINDER SINGH</t>
  </si>
  <si>
    <t>NEHA KUMARI</t>
  </si>
  <si>
    <t>KAPIL DEV</t>
  </si>
  <si>
    <t>DEEPANJALI NAYAK</t>
  </si>
  <si>
    <t>MOHAN KUMARI BHATIA</t>
  </si>
  <si>
    <t>ANGOORI DEVI</t>
  </si>
  <si>
    <t>ICU WARD PVT</t>
  </si>
  <si>
    <t>KEWAL KRISHAN GOGIA</t>
  </si>
  <si>
    <t>JACKY UPADHYA</t>
  </si>
  <si>
    <t>DHARMENDER SINGH</t>
  </si>
  <si>
    <t>PREM KHURANA</t>
  </si>
  <si>
    <t>SATPAL KALRA</t>
  </si>
  <si>
    <t>MONIKA GUPTA</t>
  </si>
  <si>
    <t>RAJPAUL SIWACH</t>
  </si>
  <si>
    <t>PREM PRAKASH</t>
  </si>
  <si>
    <t>ASHOK SONI</t>
  </si>
  <si>
    <t>AAKASH MIDHA</t>
  </si>
  <si>
    <t>BHUMIKA SACHDEVA</t>
  </si>
  <si>
    <t>DARSHAN KAUR</t>
  </si>
  <si>
    <t>PRITAM LAL BHATIA</t>
  </si>
  <si>
    <t>GENERAL PATIENT(MAHSRC)</t>
  </si>
  <si>
    <t>BIMLA GOEL</t>
  </si>
  <si>
    <t>VIKAS PAL</t>
  </si>
  <si>
    <t>SHYAMA GOYAL</t>
  </si>
  <si>
    <t>JOSE .K.J</t>
  </si>
  <si>
    <t>PRAMILA</t>
  </si>
  <si>
    <t>MED SAVE</t>
  </si>
  <si>
    <t>NIKHIL GOEL</t>
  </si>
  <si>
    <t>SUNDER DASS PAHUJA</t>
  </si>
  <si>
    <t>SIMA RAJAIN</t>
  </si>
  <si>
    <t>CHETAN</t>
  </si>
  <si>
    <t>SOMNATH TALWAR</t>
  </si>
  <si>
    <t>MEHAK FEMALE BABY  GUPTA</t>
  </si>
  <si>
    <t>KAMLESH ANANDAN</t>
  </si>
  <si>
    <t>KISHOR</t>
  </si>
  <si>
    <t>NIRMALA</t>
  </si>
  <si>
    <t>MRIDULA SUNEJA</t>
  </si>
  <si>
    <t>ANIL MANGAL</t>
  </si>
  <si>
    <t>DEVENDER</t>
  </si>
  <si>
    <t>CHAND ROOP</t>
  </si>
  <si>
    <t>MOHAN LAL KATARIA</t>
  </si>
  <si>
    <t>KELA DEVI</t>
  </si>
  <si>
    <t>BIRLA  SAPROO</t>
  </si>
  <si>
    <t>KAMNA</t>
  </si>
  <si>
    <t>SIMRANPREET KAUR SANDHU</t>
  </si>
  <si>
    <t>KRISHAN KANT</t>
  </si>
  <si>
    <t>PREM KISHORE</t>
  </si>
  <si>
    <t>DEEPIKA</t>
  </si>
  <si>
    <t>SHARDA RANI CHADHA</t>
  </si>
  <si>
    <t>AIRPORT AUTHORITY OF INDIA</t>
  </si>
  <si>
    <t>KAILASH DEVI</t>
  </si>
  <si>
    <t>NITU AGRAWAL</t>
  </si>
  <si>
    <t>AMIT ARORA</t>
  </si>
  <si>
    <t>VANSHIKA</t>
  </si>
  <si>
    <t>KHYATI PARASHAR</t>
  </si>
  <si>
    <t>ISHA GOEL</t>
  </si>
  <si>
    <t>SUDHA SHARMA</t>
  </si>
  <si>
    <t>FHPL-MAX BUPA</t>
  </si>
  <si>
    <t>POONAM MALE BABY CHHABRA</t>
  </si>
  <si>
    <t>GHANSHYAM DASS BANSAL</t>
  </si>
  <si>
    <t>RAJEEV</t>
  </si>
  <si>
    <t>SUSHILA DEVI</t>
  </si>
  <si>
    <t>TaTa Power DDL</t>
  </si>
  <si>
    <t>BABITA JAIN</t>
  </si>
  <si>
    <t>Medvantage Insurance TPA Private Limited</t>
  </si>
  <si>
    <t>KRISHNA RANI</t>
  </si>
  <si>
    <t>ASHISH GUPTA</t>
  </si>
  <si>
    <t>RAJKUMARI GUPTA</t>
  </si>
  <si>
    <t>DROPADI DEVI</t>
  </si>
  <si>
    <t>HITIKA ARORA</t>
  </si>
  <si>
    <t>VINOD KUMAR GHAI</t>
  </si>
  <si>
    <t>PADMA SHARMA</t>
  </si>
  <si>
    <t>KALPANA</t>
  </si>
  <si>
    <t>ADISHREE</t>
  </si>
  <si>
    <t>NISHA SHARMA</t>
  </si>
  <si>
    <t>KISHORI DEVI</t>
  </si>
  <si>
    <t>PINKI KUMARI</t>
  </si>
  <si>
    <t>DHARAM PAL</t>
  </si>
  <si>
    <t>HARBIRI</t>
  </si>
  <si>
    <t>Ophthalmology</t>
  </si>
  <si>
    <t>MAM RAJ</t>
  </si>
  <si>
    <t>SHAKUNTLA DEVI</t>
  </si>
  <si>
    <t>KARISHMA YADAV</t>
  </si>
  <si>
    <t>DAU DAYAL VARSHNEY</t>
  </si>
  <si>
    <t>USHA</t>
  </si>
  <si>
    <t>ANAND KUMAR SINGHAL</t>
  </si>
  <si>
    <t>PUSHPA DEVI</t>
  </si>
  <si>
    <t>VINAY JAIN</t>
  </si>
  <si>
    <t>MITHILESH KUMAR SRIVASTAVA</t>
  </si>
  <si>
    <t>AMIT MITTAL</t>
  </si>
  <si>
    <t>SONU YADAV</t>
  </si>
  <si>
    <t>CHANDER BHAN GUPTA</t>
  </si>
  <si>
    <t>NEEMA GOEL</t>
  </si>
  <si>
    <t>HITESH GUPTA</t>
  </si>
  <si>
    <t>BANWARI LAL GUPTA</t>
  </si>
  <si>
    <t>KAMLA ADHIKARI</t>
  </si>
  <si>
    <t>SAROJ</t>
  </si>
  <si>
    <t>GITANJALI MOHAPATRA</t>
  </si>
  <si>
    <t>YAAGIK GOEL</t>
  </si>
  <si>
    <t>ABHISHEK SINGH</t>
  </si>
  <si>
    <t>SURESH KUMAR</t>
  </si>
  <si>
    <t>ANITA NANGIA</t>
  </si>
  <si>
    <t>RAVI KUMAR SINGH</t>
  </si>
  <si>
    <t>PRAHLAD</t>
  </si>
  <si>
    <t>GAURAV PAWAR</t>
  </si>
  <si>
    <t>URVASHI</t>
  </si>
  <si>
    <t>SURENDER SHARMA</t>
  </si>
  <si>
    <t>SOMA</t>
  </si>
  <si>
    <t>YAKSHIT GUPTA</t>
  </si>
  <si>
    <t>RAM KUMAR SINGH</t>
  </si>
  <si>
    <t>KAMLESH MISHRA</t>
  </si>
  <si>
    <t>DAK MLC</t>
  </si>
  <si>
    <t>PRAMOD SHARMA</t>
  </si>
  <si>
    <t>RAJENDER PANDAY</t>
  </si>
  <si>
    <t>NITIN  GOEL</t>
  </si>
  <si>
    <t>GENERAL PATIENT SELF (MAHT)</t>
  </si>
  <si>
    <t>MAMTA GUPTA</t>
  </si>
  <si>
    <t>SUNITA KAUR</t>
  </si>
  <si>
    <t>ABHISHEK GUPTA</t>
  </si>
  <si>
    <t>MANJU SUNDRIYAL</t>
  </si>
  <si>
    <t>PRADEEP BISHT</t>
  </si>
  <si>
    <t>DALEEP SINGH NEGI</t>
  </si>
  <si>
    <t>PUNAM JAIN</t>
  </si>
  <si>
    <t>CHANCHAL RANI</t>
  </si>
  <si>
    <t>BAL KISHAN AGGARWAL</t>
  </si>
  <si>
    <t>PUSHPA ARORA</t>
  </si>
  <si>
    <t>MANOJ</t>
  </si>
  <si>
    <t>ANJUM</t>
  </si>
  <si>
    <t>SAROJ LAMBA</t>
  </si>
  <si>
    <t>USHA SINGHAL</t>
  </si>
  <si>
    <t>SHUBHA MALE BABY  CHHABRA</t>
  </si>
  <si>
    <t>RAJ SINGH CHHIKARA</t>
  </si>
  <si>
    <t>PINKY</t>
  </si>
  <si>
    <t>JAGMOHAN</t>
  </si>
  <si>
    <t>RAM DEVI</t>
  </si>
  <si>
    <t>BABY OF SOUMYA</t>
  </si>
  <si>
    <t>JAGVIR SINGH</t>
  </si>
  <si>
    <t>ANIK JAIN</t>
  </si>
  <si>
    <t>ANITA MALHOTRA</t>
  </si>
  <si>
    <t>DINESH SINGHAL</t>
  </si>
  <si>
    <t>SOUMYA FEMALE BABY GOYAL</t>
  </si>
  <si>
    <t>DEVENDRA PALIWAL</t>
  </si>
  <si>
    <t>BIRMATI</t>
  </si>
  <si>
    <t>PRAVESH</t>
  </si>
  <si>
    <t>REENA YADAV</t>
  </si>
  <si>
    <t>DEEPTI KUMARI</t>
  </si>
  <si>
    <t>MEERA JAIN</t>
  </si>
  <si>
    <t>SHUBHAM</t>
  </si>
  <si>
    <t>TARA CHAND MORYA</t>
  </si>
  <si>
    <t>KOMAL MALE BABY GARG</t>
  </si>
  <si>
    <t>RESHU JAIN</t>
  </si>
  <si>
    <t>SUDESH</t>
  </si>
  <si>
    <t>INDU DEVI</t>
  </si>
  <si>
    <t>MOTIA RANI</t>
  </si>
  <si>
    <t>URVASHI FEMALE BABY</t>
  </si>
  <si>
    <t>SATWANTI</t>
  </si>
  <si>
    <t>BRIJBALA TRIPATHI</t>
  </si>
  <si>
    <t>MEENAKSHI MANN</t>
  </si>
  <si>
    <t>PRAKASH KUMAR PANDEY</t>
  </si>
  <si>
    <t>BANSHI LAL ARORA</t>
  </si>
  <si>
    <t>MOHINI SHANKAR</t>
  </si>
  <si>
    <t>DHARNA</t>
  </si>
  <si>
    <t>PAPPU LAL</t>
  </si>
  <si>
    <t>ACHLA JETLY</t>
  </si>
  <si>
    <t>BSNL(Bharat Sanchar Nigam Ltd.)</t>
  </si>
  <si>
    <t>RAJIV GUGLANI</t>
  </si>
  <si>
    <t>ANITA GUPTA</t>
  </si>
  <si>
    <t>MANGE RAM</t>
  </si>
  <si>
    <t>SATISH TYAGI</t>
  </si>
  <si>
    <t>PAPPI</t>
  </si>
  <si>
    <t>RAM NARAIN SINGHAL</t>
  </si>
  <si>
    <t>SUKHDARSHAN KAUR</t>
  </si>
  <si>
    <t>SUNITHA</t>
  </si>
  <si>
    <t>ROSHNI</t>
  </si>
  <si>
    <t>VIJAY MEHRA</t>
  </si>
  <si>
    <t>BINIT</t>
  </si>
  <si>
    <t>MANJU</t>
  </si>
  <si>
    <t>NISHU</t>
  </si>
  <si>
    <t>PUNEET SHARMA</t>
  </si>
  <si>
    <t>MANISH GUPTA</t>
  </si>
  <si>
    <t>PINKI MISHRA</t>
  </si>
  <si>
    <t>VIKRAMJEET SINGH</t>
  </si>
  <si>
    <t>MAHESH CHAUHAN</t>
  </si>
  <si>
    <t>SARIKA BANSAL</t>
  </si>
  <si>
    <t>ANITA</t>
  </si>
  <si>
    <t>MANRAJ SINGH CHOPRA</t>
  </si>
  <si>
    <t>AJAY SHARMA</t>
  </si>
  <si>
    <t>SONAM PURI</t>
  </si>
  <si>
    <t>PINKI</t>
  </si>
  <si>
    <t>BANPREET KAUR</t>
  </si>
  <si>
    <t>SHIKHA MALE BABY DABAS</t>
  </si>
  <si>
    <t>HARI NARAYAN BAJAJ</t>
  </si>
  <si>
    <t>KOSHLAYA DEVI</t>
  </si>
  <si>
    <t>UNITED HEALTH CARE</t>
  </si>
  <si>
    <t>KUNAL NARULA</t>
  </si>
  <si>
    <t>J.C KAPOOR</t>
  </si>
  <si>
    <t>MTPB - 10.22.127</t>
  </si>
  <si>
    <t>KALU RAM</t>
  </si>
  <si>
    <t>RISHAB</t>
  </si>
  <si>
    <t>SAROJ  DEVI</t>
  </si>
  <si>
    <t>SARASWATI DEVI</t>
  </si>
  <si>
    <t>RAJESH SHARMA</t>
  </si>
  <si>
    <t>EKTA MALE BABY  SHARMA-II</t>
  </si>
  <si>
    <t>RAJEEV ARORA</t>
  </si>
  <si>
    <t>DARSHANA</t>
  </si>
  <si>
    <t>VRINDA BANSAL</t>
  </si>
  <si>
    <t>FHPL-KOTAK</t>
  </si>
  <si>
    <t>RAJINDER KAPILA</t>
  </si>
  <si>
    <t>RAJEESH AGGARWAL</t>
  </si>
  <si>
    <t>IFFCO TOKIO GENERAL INSURANCE COMPANY LIMITED</t>
  </si>
  <si>
    <t>RASHMI AGGARWAL</t>
  </si>
  <si>
    <t>JAGDISH PARSAD JAIN</t>
  </si>
  <si>
    <t>SHUBRA GUPTA</t>
  </si>
  <si>
    <t>NAZIR AHMED</t>
  </si>
  <si>
    <t>GURPREET SINGH MAKAN</t>
  </si>
  <si>
    <t>DHARAMVEER SINGH</t>
  </si>
  <si>
    <t>KAIRA BODRA</t>
  </si>
  <si>
    <t>KUSUM LATA ANAND</t>
  </si>
  <si>
    <t>PRIYANKA AGGARWAL</t>
  </si>
  <si>
    <t>MANISH</t>
  </si>
  <si>
    <t>ROHIT NAGPAL</t>
  </si>
  <si>
    <t>SHYAM SUNDER TRIKHA</t>
  </si>
  <si>
    <t>ANIL SHARMA</t>
  </si>
  <si>
    <t>RUPALI</t>
  </si>
  <si>
    <t>PARAMJEET KAUR</t>
  </si>
  <si>
    <t>AJIT KUMAR</t>
  </si>
  <si>
    <t>ZEENAT ALAM</t>
  </si>
  <si>
    <t>KOMAL ARORA</t>
  </si>
  <si>
    <t>POONAM</t>
  </si>
  <si>
    <t>NEERU ARORA</t>
  </si>
  <si>
    <t>MANISH RAJPUT</t>
  </si>
  <si>
    <t>SARIKA PANDEY</t>
  </si>
  <si>
    <t>MEHAK GOYAL</t>
  </si>
  <si>
    <t>AASTHA  MALE BABY VERMA</t>
  </si>
  <si>
    <t>RAKESH MAKHIJA</t>
  </si>
  <si>
    <t>SANGEETA BANERJEE</t>
  </si>
  <si>
    <t>PARUL GOYAL</t>
  </si>
  <si>
    <t>SALOCHANA DEVI GOYAL</t>
  </si>
  <si>
    <t>RAM KISHAN GUPTA</t>
  </si>
  <si>
    <t>BHAWANA</t>
  </si>
  <si>
    <t>PREM LATA</t>
  </si>
  <si>
    <t>PRATEEK DESWAL</t>
  </si>
  <si>
    <t>SUBHASH JINDAL</t>
  </si>
  <si>
    <t>SONIKA CHAUDHARY</t>
  </si>
  <si>
    <t>AMAYRA GIROTRA</t>
  </si>
  <si>
    <t>International Patient</t>
  </si>
  <si>
    <t>THAKOOR KEMOWTEE</t>
  </si>
  <si>
    <t>BHOOMIKA SHARMA</t>
  </si>
  <si>
    <t>SONAM</t>
  </si>
  <si>
    <t>HARIHAR SINGH</t>
  </si>
  <si>
    <t>ERICSON INSURANCE TPA PVT LTD</t>
  </si>
  <si>
    <t>USHA DEVI</t>
  </si>
  <si>
    <t>AJEET KUMAR</t>
  </si>
  <si>
    <t>PRINCE GARG</t>
  </si>
  <si>
    <t>SANTOOSHTI AGGARWAL</t>
  </si>
  <si>
    <t>SUMIT KUMAR YADAV</t>
  </si>
  <si>
    <t>MADHAV ARORA</t>
  </si>
  <si>
    <t>SUMIT MALE BABY</t>
  </si>
  <si>
    <t>SANDEEP</t>
  </si>
  <si>
    <t>VIDUSHI SHARMA</t>
  </si>
  <si>
    <t>PARO</t>
  </si>
  <si>
    <t>AVDESH SINGH</t>
  </si>
  <si>
    <t>PRITI RANI</t>
  </si>
  <si>
    <t>ASHEESH KUMAR MISHRA</t>
  </si>
  <si>
    <t>BARKHA CHAUDHARY</t>
  </si>
  <si>
    <t>MEENU</t>
  </si>
  <si>
    <t>PARAMJEET SINGH</t>
  </si>
  <si>
    <t>NEELAM</t>
  </si>
  <si>
    <t>MALE BABY OF SWATI KUMARI</t>
  </si>
  <si>
    <t>KRISHNA SHARMA</t>
  </si>
  <si>
    <t>SIMMI GIRDHAR</t>
  </si>
  <si>
    <t>DIVVAY SHARMA</t>
  </si>
  <si>
    <t>SUDESH SHARMA</t>
  </si>
  <si>
    <t>MANOJ SAPRA</t>
  </si>
  <si>
    <t>JAYAMANTI</t>
  </si>
  <si>
    <t>NAMISH</t>
  </si>
  <si>
    <t>DRISHTA GROVER</t>
  </si>
  <si>
    <t>ANIL KATARIA</t>
  </si>
  <si>
    <t>ANIL MAGGO</t>
  </si>
  <si>
    <t>HARSH MISHRA</t>
  </si>
  <si>
    <t>MEENU YADAV</t>
  </si>
  <si>
    <t>TAASHVI VERMA</t>
  </si>
  <si>
    <t>DR. DAYAVATI</t>
  </si>
  <si>
    <t>Max Bhupa Health Insurance Co Ltd.</t>
  </si>
  <si>
    <t>KARTIK SAINI</t>
  </si>
  <si>
    <t>SURINDER KUMAR CHAWLA</t>
  </si>
  <si>
    <t>FEMALE BABY OF DOLLY</t>
  </si>
  <si>
    <t>MOHINI CHANDRA</t>
  </si>
  <si>
    <t>SABA KHALDY</t>
  </si>
  <si>
    <t>SUDHA DUBEY</t>
  </si>
  <si>
    <t>PRACHI GUPTA</t>
  </si>
  <si>
    <t>KIRAN FEMALE BABY</t>
  </si>
  <si>
    <t>PARUL BANSAL</t>
  </si>
  <si>
    <t>DAMODAR SINGH</t>
  </si>
  <si>
    <t>SAMEENA FEMALE BABY</t>
  </si>
  <si>
    <t>PRAKASH CHAND SHARMA</t>
  </si>
  <si>
    <t>AJAY WASUJA</t>
  </si>
  <si>
    <t>SNEHLATA SUREKA</t>
  </si>
  <si>
    <t>SONAM AGGARWAL</t>
  </si>
  <si>
    <t>MONIKA SHARMA</t>
  </si>
  <si>
    <t>VINAMR ARYA</t>
  </si>
  <si>
    <t>BRIJ BHUSHAN BATIA</t>
  </si>
  <si>
    <t>MAHAK GARG</t>
  </si>
  <si>
    <t>URMILA DEVI</t>
  </si>
  <si>
    <t>SHUBHANGI MIGLANI</t>
  </si>
  <si>
    <t>SHAKUNTLA</t>
  </si>
  <si>
    <t>CHANDRANI BHATTACHERJEE</t>
  </si>
  <si>
    <t>DHARAMVIR SINGH</t>
  </si>
  <si>
    <t>BABITA FEMALE BABY SINGH</t>
  </si>
  <si>
    <t>TUSHMINDER KAUR</t>
  </si>
  <si>
    <t>SONAM MALE BABY  PURI</t>
  </si>
  <si>
    <t>ANAMIKA KHANDELWAL</t>
  </si>
  <si>
    <t>PRIYANKA</t>
  </si>
  <si>
    <t>BHIM SAIN JAIN</t>
  </si>
  <si>
    <t>RENUKA</t>
  </si>
  <si>
    <t>PREM WATI</t>
  </si>
  <si>
    <t>KASHMIRI</t>
  </si>
  <si>
    <t>HRITIK KUMAR</t>
  </si>
  <si>
    <t>SHALLU MALE BABY KANSAL</t>
  </si>
  <si>
    <t>SUKRITI ANAND</t>
  </si>
  <si>
    <t>PAWAN KUMAR</t>
  </si>
  <si>
    <t>GENERAL ECONOMY T.C</t>
  </si>
  <si>
    <t>RAMESH MITTAL</t>
  </si>
  <si>
    <t>SHARMILA FEMALE BABY</t>
  </si>
  <si>
    <t>MITTER PAL BATRA</t>
  </si>
  <si>
    <t>SHRAVAN KUMAR SHARMA</t>
  </si>
  <si>
    <t>RAKESH SONDHI</t>
  </si>
  <si>
    <t>ABHIJEET SINGH</t>
  </si>
  <si>
    <t>DEEPAMOL M R</t>
  </si>
  <si>
    <t>PAPPU</t>
  </si>
  <si>
    <t>RAM KUMAR DABAS</t>
  </si>
  <si>
    <t>NEHA MALE BABY</t>
  </si>
  <si>
    <t>MURTI DEVI</t>
  </si>
  <si>
    <t>PRIYA BANSAL</t>
  </si>
  <si>
    <t>TUSHAR MADAAN</t>
  </si>
  <si>
    <t>HIMANSHI MALE BABY</t>
  </si>
  <si>
    <t>DAKSHIT GOEL</t>
  </si>
  <si>
    <t>MADHURI DEVI</t>
  </si>
  <si>
    <t>INDIAN OIL CORP. LTD</t>
  </si>
  <si>
    <t>NISHA PAL</t>
  </si>
  <si>
    <t>VISHAL</t>
  </si>
  <si>
    <t>BSES Rajdhani Power Ltd.</t>
  </si>
  <si>
    <t>ANUSHKA KHERA</t>
  </si>
  <si>
    <t>SUNIL KUMAR RAWAT</t>
  </si>
  <si>
    <t>RAM KUMAR BANSAL</t>
  </si>
  <si>
    <t>BHAVYANSH</t>
  </si>
  <si>
    <t>SUDESH SABHARWAL</t>
  </si>
  <si>
    <t>SHIWANI GOYAL</t>
  </si>
  <si>
    <t>ISHA MALE BABY  GOEL</t>
  </si>
  <si>
    <t>MAYA MALE BABY DEVI</t>
  </si>
  <si>
    <t>RANJAN PALIWAL</t>
  </si>
  <si>
    <t>KAUSHAL KUMAR</t>
  </si>
  <si>
    <t>HARI OM GUPTA</t>
  </si>
  <si>
    <t>DHARAM BEER</t>
  </si>
  <si>
    <t>SANJAY KUMAR VATS</t>
  </si>
  <si>
    <t>DARSHAN DEVI</t>
  </si>
  <si>
    <t>INDER ARORA</t>
  </si>
  <si>
    <t>SHATRUGHAN PRASAD GOSWAMI</t>
  </si>
  <si>
    <t>GANESH SINGH</t>
  </si>
  <si>
    <t>DEVENDER SHARMA</t>
  </si>
  <si>
    <t>PRIYANKA MALE BABY  BATRA</t>
  </si>
  <si>
    <t>RAJU</t>
  </si>
  <si>
    <t>BIMLA DEVI</t>
  </si>
  <si>
    <t>AMBER</t>
  </si>
  <si>
    <t>SUNILA  DEVI</t>
  </si>
  <si>
    <t>VINOD KAUSHIK</t>
  </si>
  <si>
    <t>BIMAL KUMAR</t>
  </si>
  <si>
    <t>NIRMLA</t>
  </si>
  <si>
    <t>BHAVYA VERMA</t>
  </si>
  <si>
    <t>SHIV NARAIN</t>
  </si>
  <si>
    <t>PREM LATA MITTAL</t>
  </si>
  <si>
    <t>VIDHI BANSAL</t>
  </si>
  <si>
    <t>BHAGWATI</t>
  </si>
  <si>
    <t>SARITA GOEL</t>
  </si>
  <si>
    <t>HARBIR SINGH</t>
  </si>
  <si>
    <t>TAUHID FATIMA</t>
  </si>
  <si>
    <t>SANJAY BANSAL</t>
  </si>
  <si>
    <t>SHASTRI DEVI</t>
  </si>
  <si>
    <t>HARJEET SINGH</t>
  </si>
  <si>
    <t>VISHNU DUTT</t>
  </si>
  <si>
    <t>JAGDISH PARCHA</t>
  </si>
  <si>
    <t>MANNU PANT</t>
  </si>
  <si>
    <t>VIKRANT NAIN</t>
  </si>
  <si>
    <t>ANIL KUMAR KANSAL</t>
  </si>
  <si>
    <t>DELAU DEVI</t>
  </si>
  <si>
    <t>PIYUSH KUMAR CHAUHAN</t>
  </si>
  <si>
    <t>MANOJ                   II</t>
  </si>
  <si>
    <t>SUNDER DEVI</t>
  </si>
  <si>
    <t>KESHAV BIYANI</t>
  </si>
  <si>
    <t>VIJAY TIWARI</t>
  </si>
  <si>
    <t>ISHA</t>
  </si>
  <si>
    <t>TASVIR SINGH</t>
  </si>
  <si>
    <t>SUDHA</t>
  </si>
  <si>
    <t>SUSHIL SHARMA</t>
  </si>
  <si>
    <t>SOURABH MEENA</t>
  </si>
  <si>
    <t>TARA SINGH</t>
  </si>
  <si>
    <t>DHRUV</t>
  </si>
  <si>
    <t>PARMOD GOEL</t>
  </si>
  <si>
    <t>AJIT  JAIN</t>
  </si>
  <si>
    <t>RONAK SOLANKI</t>
  </si>
  <si>
    <t>KULDEEP SINGH</t>
  </si>
  <si>
    <t>AYUSH GOEL</t>
  </si>
  <si>
    <t>PANNA LAL</t>
  </si>
  <si>
    <t>ASHWINI GUPTA</t>
  </si>
  <si>
    <t>RUBY FEMALE BABY RATHEE</t>
  </si>
  <si>
    <t>ANUP</t>
  </si>
  <si>
    <t>SWATI FEMALE BABY JAIN</t>
  </si>
  <si>
    <t>AKASH GOEL</t>
  </si>
  <si>
    <t>NARENDER KUMAR</t>
  </si>
  <si>
    <t>VINAY KUMAR  GUPTA</t>
  </si>
  <si>
    <t>SHYAM MOHAN SHARMA</t>
  </si>
  <si>
    <t>SUJATA FEMALE BABY</t>
  </si>
  <si>
    <t>LAKHI CHAND</t>
  </si>
  <si>
    <t>RAJ KUMAR JAIN</t>
  </si>
  <si>
    <t>RANBIR SINGH</t>
  </si>
  <si>
    <t>PREMLATA MISHRA</t>
  </si>
  <si>
    <t>RAJESH BHANDARI</t>
  </si>
  <si>
    <t>C SANJU</t>
  </si>
  <si>
    <t>SUDESH MADAN</t>
  </si>
  <si>
    <t>NAVEEN KUMAR BALI</t>
  </si>
  <si>
    <t>ARCHANA FEMALE BABY  VERMA</t>
  </si>
  <si>
    <t>GAGANDEEP SINGH</t>
  </si>
  <si>
    <t>UMA SHANKAR SINGH</t>
  </si>
  <si>
    <t>ASHISH MISHRA</t>
  </si>
  <si>
    <t>NEHA MALE BABY  CHAUHAN</t>
  </si>
  <si>
    <t>SONIA MALE BABY</t>
  </si>
  <si>
    <t>BHUVI</t>
  </si>
  <si>
    <t>RAMA DEVI</t>
  </si>
  <si>
    <t>SUBHASH SHARMA</t>
  </si>
  <si>
    <t>MRIGNAYANI</t>
  </si>
  <si>
    <t>BABY OF SHIVA</t>
  </si>
  <si>
    <t>TEJ BHAN MEHTA</t>
  </si>
  <si>
    <t>BHAJAN LAL</t>
  </si>
  <si>
    <t>REETIKA MALE BABY BANSAL</t>
  </si>
  <si>
    <t>NITESH SAPRA</t>
  </si>
  <si>
    <t>REKHA MALE BABY</t>
  </si>
  <si>
    <t>RAJEEV KUMAR</t>
  </si>
  <si>
    <t>MADHU BALA</t>
  </si>
  <si>
    <t>SURINDER SINGLA</t>
  </si>
  <si>
    <t>RAJESH KUMAR SHARMA</t>
  </si>
  <si>
    <t>KANTI LAL GUPTA</t>
  </si>
  <si>
    <t>MADHU MALE BABY MANISHA</t>
  </si>
  <si>
    <t>NIPUN GUPTA</t>
  </si>
  <si>
    <t>SHAAN KUNWAR</t>
  </si>
  <si>
    <t>HUKAM SINGH VERMA</t>
  </si>
  <si>
    <t>REKHA GOEL</t>
  </si>
  <si>
    <t>BABITA GUPTA</t>
  </si>
  <si>
    <t>TEK CHAND ARORA</t>
  </si>
  <si>
    <t>NEHA GUPTA</t>
  </si>
  <si>
    <t>ANJALI</t>
  </si>
  <si>
    <t>SWAMI OMKARANAND BHARTI GIRI JI MAHARAJ</t>
  </si>
  <si>
    <t>MANPREET KAUR</t>
  </si>
  <si>
    <t>JYOTI FEMALE BABY</t>
  </si>
  <si>
    <t>RYAN ZIA ARSLAAN</t>
  </si>
  <si>
    <t>PULKIT DEEPANSHU SHARMA</t>
  </si>
  <si>
    <t>SHIKHA DABAS</t>
  </si>
  <si>
    <t>DEEPAK SINGH</t>
  </si>
  <si>
    <t>NIDHI GILL</t>
  </si>
  <si>
    <t>ANAR KALI</t>
  </si>
  <si>
    <t>VIPAN KUMAR</t>
  </si>
  <si>
    <t>NARESH KUMAR</t>
  </si>
  <si>
    <t>TARUN CHUGH</t>
  </si>
  <si>
    <t>SAVITA KAPOOR</t>
  </si>
  <si>
    <t>LAKSHAY GUPTA</t>
  </si>
  <si>
    <t>BHAWNA</t>
  </si>
  <si>
    <t>AMIT PAL SINGH NAYYAR</t>
  </si>
  <si>
    <t>RAHUL SHARMA</t>
  </si>
  <si>
    <t>RESHMA</t>
  </si>
  <si>
    <t>GAUTAM AGGARWAL</t>
  </si>
  <si>
    <t>MAYA RAM BHATT</t>
  </si>
  <si>
    <t>SANTOSH KUMARI MEHTA</t>
  </si>
  <si>
    <t>RAJE SINGH</t>
  </si>
  <si>
    <t>AMANPREET KAUR</t>
  </si>
  <si>
    <t>LAVEENA BANSAL</t>
  </si>
  <si>
    <t>PAYAL GUPTA</t>
  </si>
  <si>
    <t>HARBANS KUMAR</t>
  </si>
  <si>
    <t>HAMESH KUMAR BHASIN</t>
  </si>
  <si>
    <t>Delhi Metro Rail Corporation Limited (DMRC)</t>
  </si>
  <si>
    <t>LALITA</t>
  </si>
  <si>
    <t>NARESH GUPTA</t>
  </si>
  <si>
    <t>TULIKA BANSAL</t>
  </si>
  <si>
    <t>MANGESH</t>
  </si>
  <si>
    <t>YUVAAN MUTHARIA</t>
  </si>
  <si>
    <t>K.S VARGHESE</t>
  </si>
  <si>
    <t>MANOJ GROVER</t>
  </si>
  <si>
    <t>HARI OM</t>
  </si>
  <si>
    <t>SANJEET KUMAR</t>
  </si>
  <si>
    <t>SHWETA BHATIA</t>
  </si>
  <si>
    <t>RUPALI MALE BABY</t>
  </si>
  <si>
    <t>PUSHPA JAIN</t>
  </si>
  <si>
    <t>SUDARSHAN  KAUR</t>
  </si>
  <si>
    <t>JASWANT RAI</t>
  </si>
  <si>
    <t>RAJ MONA  DEVI</t>
  </si>
  <si>
    <t>SHALLU KANSAL</t>
  </si>
  <si>
    <t>BALBIR SINGH</t>
  </si>
  <si>
    <t>SHRESHTH</t>
  </si>
  <si>
    <t>MANMOHAN GUPTA</t>
  </si>
  <si>
    <t>BHUSHAN</t>
  </si>
  <si>
    <t>MANJEET KAUR</t>
  </si>
  <si>
    <t>INDER PAL SHARMA</t>
  </si>
  <si>
    <t>VIDYA  VERMA</t>
  </si>
  <si>
    <t>JASVINDER SINGH SETHI</t>
  </si>
  <si>
    <t>ISHU GOYAL</t>
  </si>
  <si>
    <t>DINESH KUMAR GOEL</t>
  </si>
  <si>
    <t>Pain Management</t>
  </si>
  <si>
    <t>VANSH VERMA</t>
  </si>
  <si>
    <t>SWATI KUMARI</t>
  </si>
  <si>
    <t>SUNITA BHUTANI</t>
  </si>
  <si>
    <t>JAI BHAGWAN AGGARWAL</t>
  </si>
  <si>
    <t>ANGELINA JOSEPH</t>
  </si>
  <si>
    <t>NARESH GOEL</t>
  </si>
  <si>
    <t>SAKSHI JAIN</t>
  </si>
  <si>
    <t>GOVT OF NCT OF DELHI CREDIT</t>
  </si>
  <si>
    <t>KUNAL KUMAR</t>
  </si>
  <si>
    <t>VAIBHAV GUSIA</t>
  </si>
  <si>
    <t>AMIT TULI</t>
  </si>
  <si>
    <t>KUMARI PRIYANKA</t>
  </si>
  <si>
    <t>AJENDER NARAYAN DUTT</t>
  </si>
  <si>
    <t>MAMAN SINGH</t>
  </si>
  <si>
    <t>CHANDRAWATI DEVI</t>
  </si>
  <si>
    <t>GAURAV MAHAMNA</t>
  </si>
  <si>
    <t>PRIYANKA FEMALE BABY  JAIN</t>
  </si>
  <si>
    <t>SUKHDEV SINGH</t>
  </si>
  <si>
    <t>SHUBHA CHHABRA</t>
  </si>
  <si>
    <t>MUKESH DEVI</t>
  </si>
  <si>
    <t>ASHA DEVI</t>
  </si>
  <si>
    <t>JAGDISH  K BABLANI</t>
  </si>
  <si>
    <t>HARJIT KAUR</t>
  </si>
  <si>
    <t>TULSI</t>
  </si>
  <si>
    <t>ABDUL QAYYOOM</t>
  </si>
  <si>
    <t>SEEMA MAHESHWARI</t>
  </si>
  <si>
    <t>ICICI PRUDENTIAL LIFE INSURANCE CO. LIMITED</t>
  </si>
  <si>
    <t>ADITYA SHARMA</t>
  </si>
  <si>
    <t>YOUGITA SALWAN</t>
  </si>
  <si>
    <t>SHALLU RANI</t>
  </si>
  <si>
    <t>ISHANT YADAV</t>
  </si>
  <si>
    <t>BAVNEET FEMALE BABY KAUR</t>
  </si>
  <si>
    <t>HARISH CHANDER GUPTA</t>
  </si>
  <si>
    <t>DALMEET SINGH</t>
  </si>
  <si>
    <t>SAKSHI GUPTA</t>
  </si>
  <si>
    <t>TUSHAR MORYA</t>
  </si>
  <si>
    <t>ROBERT</t>
  </si>
  <si>
    <t>PRAMOD KUMAR</t>
  </si>
  <si>
    <t>SAROJ BALA</t>
  </si>
  <si>
    <t>ROHIT GOEL</t>
  </si>
  <si>
    <t>DIKSHA GUPTA</t>
  </si>
  <si>
    <t>MEHAK HARJANI</t>
  </si>
  <si>
    <t>O.P.GUPTA</t>
  </si>
  <si>
    <t>SEEMA RANI</t>
  </si>
  <si>
    <t>USHA JINDAL</t>
  </si>
  <si>
    <t>MAKSUD AHMAD</t>
  </si>
  <si>
    <t>RINKU KUMAR</t>
  </si>
  <si>
    <t>SUNIL ARORA</t>
  </si>
  <si>
    <t>JAGDISH BHOLA</t>
  </si>
  <si>
    <t>INDIRA RAI</t>
  </si>
  <si>
    <t>DIYAAN</t>
  </si>
  <si>
    <t>POONAM MALE BABY SHOKEEN</t>
  </si>
  <si>
    <t>JAGU NANDAN</t>
  </si>
  <si>
    <t>RAMNA RANI PALTA</t>
  </si>
  <si>
    <t>RATNI</t>
  </si>
  <si>
    <t>MEDSAVE HEALTH CARE</t>
  </si>
  <si>
    <t>NIRMAL SINGH RAJORA</t>
  </si>
  <si>
    <t>LALLAN</t>
  </si>
  <si>
    <t>ARVINDER SINGH</t>
  </si>
  <si>
    <t>MEENU CHHABRA</t>
  </si>
  <si>
    <t>MANOJ KUMAR GUPTA</t>
  </si>
  <si>
    <t>UJJWAL</t>
  </si>
  <si>
    <t>POOJA RANI</t>
  </si>
  <si>
    <t>SHEETAL FEMALE BABY VERMA</t>
  </si>
  <si>
    <t>YOGITA MALE BABY BHATIA</t>
  </si>
  <si>
    <t>RENU FEMALE BABY SINHMAR</t>
  </si>
  <si>
    <t>SAVITRI</t>
  </si>
  <si>
    <t>KANIKA DHAWAN</t>
  </si>
  <si>
    <t>AMARJEET KAUR</t>
  </si>
  <si>
    <t>TRANSIT ICU</t>
  </si>
  <si>
    <t>BAVNEET KAUR</t>
  </si>
  <si>
    <t>SUSHILA  AGARWAL</t>
  </si>
  <si>
    <t>SUMIT</t>
  </si>
  <si>
    <t>RAJNI DEVI</t>
  </si>
  <si>
    <t>KIRAN MALE BABY</t>
  </si>
  <si>
    <t>RAJENDER KUMAR GOYAL</t>
  </si>
  <si>
    <t>YANA</t>
  </si>
  <si>
    <t>NEHA CHAUHAN</t>
  </si>
  <si>
    <t>HIMANK MITTAL</t>
  </si>
  <si>
    <t>SACHIN YADAV</t>
  </si>
  <si>
    <t>SWARNDEEP MALE BABY GUPTA</t>
  </si>
  <si>
    <t>SHIVANSH SINGH</t>
  </si>
  <si>
    <t>ANKIT SINGHAL</t>
  </si>
  <si>
    <t>ASHOK KUMAR MALHOTRA</t>
  </si>
  <si>
    <t>SEEMA</t>
  </si>
  <si>
    <t>DIVYANSH</t>
  </si>
  <si>
    <t>PRAVEEN KUMAR</t>
  </si>
  <si>
    <t>MANVI AGARWAL</t>
  </si>
  <si>
    <t>MANVI FEMALE BABY AGARWAL</t>
  </si>
  <si>
    <t>SANTOSH JAIN</t>
  </si>
  <si>
    <t>MOHIT</t>
  </si>
  <si>
    <t>JAI BHAGWAN SARWARA</t>
  </si>
  <si>
    <t>SHAKUNTLA SHARMA</t>
  </si>
  <si>
    <t>ANUBHA MALE BABY GUPTA</t>
  </si>
  <si>
    <t>DEVYANI CHHABRA</t>
  </si>
  <si>
    <t>RAJPAL SINGH</t>
  </si>
  <si>
    <t>SATISH KUMAR</t>
  </si>
  <si>
    <t>SUMAN BUDHIRAJA</t>
  </si>
  <si>
    <t>A.P MANGLA</t>
  </si>
  <si>
    <t>LIBERTY GENERAL INSURANCE</t>
  </si>
  <si>
    <t>SBI GENERAL INSURANCE</t>
  </si>
  <si>
    <t>MUSKAN</t>
  </si>
  <si>
    <t>KANCHAN YADAV</t>
  </si>
  <si>
    <t>RIMPY MALE BABY GARG</t>
  </si>
  <si>
    <t>KRISHNA SINGH BISHT</t>
  </si>
  <si>
    <t>Future General India Insurance Co. Ltd.</t>
  </si>
  <si>
    <t>ASHOK KUMAR GOEL</t>
  </si>
  <si>
    <t>KURESHIYA SULTANA</t>
  </si>
  <si>
    <t>UMA MAHESH</t>
  </si>
  <si>
    <t>RAVINDER PRASAD</t>
  </si>
  <si>
    <t>GUDDI</t>
  </si>
  <si>
    <t>REYA BHASIN</t>
  </si>
  <si>
    <t>MANISH KUMAR</t>
  </si>
  <si>
    <t>YASHIKA MALHOTRA</t>
  </si>
  <si>
    <t>RAM BHAJAN</t>
  </si>
  <si>
    <t>PRIYA</t>
  </si>
  <si>
    <t>PARKASH KAUR</t>
  </si>
  <si>
    <t>RAJMATI DEVI</t>
  </si>
  <si>
    <t>MAHESH KUMAR</t>
  </si>
  <si>
    <t>RADHEY SHYAM</t>
  </si>
  <si>
    <t>SAESHA</t>
  </si>
  <si>
    <t>SUKHBIR SINGH</t>
  </si>
  <si>
    <t>RAVI KUMAR GOYAL</t>
  </si>
  <si>
    <t>DARSHNA DEVI</t>
  </si>
  <si>
    <t>AMAR NARULA</t>
  </si>
  <si>
    <t>RAM MURTI</t>
  </si>
  <si>
    <t>BABITA BOTHRA</t>
  </si>
  <si>
    <t>SUJAL BINDAL</t>
  </si>
  <si>
    <t>DEEPIKA SHARMA</t>
  </si>
  <si>
    <t>BALDEV RAJ</t>
  </si>
  <si>
    <t>SUSHIL KUMAR JAIN</t>
  </si>
  <si>
    <t>SUDESH SAH</t>
  </si>
  <si>
    <t>GAURAV TANWAR</t>
  </si>
  <si>
    <t>MANI RAM</t>
  </si>
  <si>
    <t>SAWAN YADAV</t>
  </si>
  <si>
    <t>OM SINGH</t>
  </si>
  <si>
    <t>JANAKI PRASAD</t>
  </si>
  <si>
    <t>JITENDER SHARMA</t>
  </si>
  <si>
    <t>RAJINDER LAL</t>
  </si>
  <si>
    <t>YASHPAL SINGH</t>
  </si>
  <si>
    <t>KISHAN KUMAR</t>
  </si>
  <si>
    <t>KRISHNA DEVI GUPTA</t>
  </si>
  <si>
    <t>PIYUSH</t>
  </si>
  <si>
    <t>BALA KHATRI</t>
  </si>
  <si>
    <t>G.D. GOEL</t>
  </si>
  <si>
    <t>SATY NARAYNE SHARMA</t>
  </si>
  <si>
    <t>MOHIT GARG</t>
  </si>
  <si>
    <t>SEEMA FEMALE BABY</t>
  </si>
  <si>
    <t>SURENDER SINGH</t>
  </si>
  <si>
    <t>MADAN LAL</t>
  </si>
  <si>
    <t>SANTOSH</t>
  </si>
  <si>
    <t>RESHMA DEVI</t>
  </si>
  <si>
    <t>LEELAWATI GOEL</t>
  </si>
  <si>
    <t>JYOTI KUMARI</t>
  </si>
  <si>
    <t>RITU MALE BABY JUNEJA</t>
  </si>
  <si>
    <t>SONA KUMARI</t>
  </si>
  <si>
    <t>SHILPI FEMALE BABY JAISWAL</t>
  </si>
  <si>
    <t>MARUTI UDYOG LTD</t>
  </si>
  <si>
    <t>TRIBHWAN NATH BHAT</t>
  </si>
  <si>
    <t>RAJINDER KAUR</t>
  </si>
  <si>
    <t>CHANDER BHAN</t>
  </si>
  <si>
    <t>ENAM</t>
  </si>
  <si>
    <t>NANKI KAUR</t>
  </si>
  <si>
    <t>JORAWAR SINGH</t>
  </si>
  <si>
    <t>BEENA JAIN</t>
  </si>
  <si>
    <t>SUJATA</t>
  </si>
  <si>
    <t>MUKTA DEVI</t>
  </si>
  <si>
    <t>PRABHLEEN KAUR</t>
  </si>
  <si>
    <t>SWARA DEVI</t>
  </si>
  <si>
    <t>PRIYA CHADHA</t>
  </si>
  <si>
    <t>DEEPTI FEMALE BABY KUMARI-2</t>
  </si>
  <si>
    <t>DEEPTI MALE BABY KUMARI-1</t>
  </si>
  <si>
    <t>CHANDU LAL OSTWAL</t>
  </si>
  <si>
    <t>CHANDRA PRAKASH SAXENA</t>
  </si>
  <si>
    <t>SATISH</t>
  </si>
  <si>
    <t>RITIKA FEMALE BABY</t>
  </si>
  <si>
    <t>KOMAL GARG</t>
  </si>
  <si>
    <t>MANOJ KALRA</t>
  </si>
  <si>
    <t>SUNITA KARDAM</t>
  </si>
  <si>
    <t>RAVI SETH</t>
  </si>
  <si>
    <t>SUMIT GUPTA</t>
  </si>
  <si>
    <t>KRISHNA KUMAR</t>
  </si>
  <si>
    <t>MEHREEN</t>
  </si>
  <si>
    <t>SURESH SOLANKI</t>
  </si>
  <si>
    <t>K L SEHGAL</t>
  </si>
  <si>
    <t>DIKSHA SACHDEVA</t>
  </si>
  <si>
    <t>TANMAY KHANEJA</t>
  </si>
  <si>
    <t>RICHA NARULA</t>
  </si>
  <si>
    <t>ASHOK GARG</t>
  </si>
  <si>
    <t>SANGITA DEVI</t>
  </si>
  <si>
    <t>BUTA RAM</t>
  </si>
  <si>
    <t>NITIN GARG</t>
  </si>
  <si>
    <t>RACHNA</t>
  </si>
  <si>
    <t>SUZANA FEMALE BABY BAJRACHARYA</t>
  </si>
  <si>
    <t>VARUN GARG</t>
  </si>
  <si>
    <t>Reliance General Insurance Co. Ltd.</t>
  </si>
  <si>
    <t>RAGHAV KUMAR JHA</t>
  </si>
  <si>
    <t>SAKSHI WATWANI</t>
  </si>
  <si>
    <t>SAVITA  ABBEY</t>
  </si>
  <si>
    <t>RINKI FEMALE BABY</t>
  </si>
  <si>
    <t>SATISH KUMAR SINGH</t>
  </si>
  <si>
    <t>MAHESH KUMAR ROY</t>
  </si>
  <si>
    <t>MANJU SHARMA</t>
  </si>
  <si>
    <t>RENU JAIN</t>
  </si>
  <si>
    <t>ARCHANA KUMARI</t>
  </si>
  <si>
    <t>NIKHIL SHARMA</t>
  </si>
  <si>
    <t>NETRA KUMAR GUPTA</t>
  </si>
  <si>
    <t>RAM PARI DEVI</t>
  </si>
  <si>
    <t>AMINA BEGUM</t>
  </si>
  <si>
    <t>SUSHIL KUMAR GOEL</t>
  </si>
  <si>
    <t>SUZANA BAJRACHARYA</t>
  </si>
  <si>
    <t>NEETA GUPTA</t>
  </si>
  <si>
    <t>RAJESH GUPTA</t>
  </si>
  <si>
    <t>SIMRAN CHHABRA</t>
  </si>
  <si>
    <t>BALA DEVI</t>
  </si>
  <si>
    <t>MANPREET KAUR TALWAR</t>
  </si>
  <si>
    <t>S MOHIT</t>
  </si>
  <si>
    <t>PRAMILA YADAV</t>
  </si>
  <si>
    <t>BHAWNA FEMALE BABY</t>
  </si>
  <si>
    <t>SURESH JAIN</t>
  </si>
  <si>
    <t>MONIKA</t>
  </si>
  <si>
    <t>PRIYANKA GUPTA</t>
  </si>
  <si>
    <t>NEELAM KALRA</t>
  </si>
  <si>
    <t>BEENA</t>
  </si>
  <si>
    <t>HUKAM CHAND JAIN</t>
  </si>
  <si>
    <t>MEENAKSHI</t>
  </si>
  <si>
    <t>PARUL ARORA</t>
  </si>
  <si>
    <t>KAMANI</t>
  </si>
  <si>
    <t>KIANSH TANEJA</t>
  </si>
  <si>
    <t>ARJUN KUMAR</t>
  </si>
  <si>
    <t>SUSHIL KUMARI  NAGPAL</t>
  </si>
  <si>
    <t>RAJJO DEVI</t>
  </si>
  <si>
    <t>GURLEEN KAUR CHAWLA</t>
  </si>
  <si>
    <t>SURINA DEWAN</t>
  </si>
  <si>
    <t>SUMAN DEVI YADAV</t>
  </si>
  <si>
    <t>ROBIN MAURYA</t>
  </si>
  <si>
    <t>VANTIKA DEVI</t>
  </si>
  <si>
    <t>SARGUN KAUR</t>
  </si>
  <si>
    <t>BHAGIRATH MANGU</t>
  </si>
  <si>
    <t>RAJENDER KUMAR AGARWAL</t>
  </si>
  <si>
    <t>PURANCHAND</t>
  </si>
  <si>
    <t>AASTHA VERMA</t>
  </si>
  <si>
    <t>MUKUL SINGH</t>
  </si>
  <si>
    <t>KULVINDER SINGH</t>
  </si>
  <si>
    <t>NEETU MADAAN</t>
  </si>
  <si>
    <t>KHUSHBOO KUMARI</t>
  </si>
  <si>
    <t>SAKSHI FEMALE BABY JAIN</t>
  </si>
  <si>
    <t>NEENA GOYAL</t>
  </si>
  <si>
    <t>GEETISH CHADHA</t>
  </si>
  <si>
    <t>SHOURYA GARG</t>
  </si>
  <si>
    <t>RASHIKA SAINI</t>
  </si>
  <si>
    <t>AMARJEET SINGH</t>
  </si>
  <si>
    <t>RADHA AGGARWAL</t>
  </si>
  <si>
    <t>SUKH DEVI</t>
  </si>
  <si>
    <t>HARSH KUMAR AGGARWAL</t>
  </si>
  <si>
    <t>JAGJIT SINGH</t>
  </si>
  <si>
    <t>AARUSH SHARMA</t>
  </si>
  <si>
    <t>ADITYA RAJ</t>
  </si>
  <si>
    <t>BITTU MARIAM SAJI</t>
  </si>
  <si>
    <t>NARINDER KUMAR BAWA</t>
  </si>
  <si>
    <t>MOHAMMAD JUHI</t>
  </si>
  <si>
    <t>JIYA GARG</t>
  </si>
  <si>
    <t>SATYA NARAIN SHARMA</t>
  </si>
  <si>
    <t>NANSHEE TAMTA</t>
  </si>
  <si>
    <t>JYOTI DEVI</t>
  </si>
  <si>
    <t>VEER ROHILLA</t>
  </si>
  <si>
    <t>KUMARI FEMALE BABY PRIYANKA</t>
  </si>
  <si>
    <t>BABY OF DIVYA SINGH</t>
  </si>
  <si>
    <t>MEENAKSHI  KISHORE  SHARMA</t>
  </si>
  <si>
    <t>VED PARKASH</t>
  </si>
  <si>
    <t>RAJENDER KUMAR AGGARWAL</t>
  </si>
  <si>
    <t>J. K . KOHLI</t>
  </si>
  <si>
    <t>SHITAL SINGH</t>
  </si>
  <si>
    <t>RAJINDER PAUL RAWAL</t>
  </si>
  <si>
    <t>POOJA FEMALE BABY GAUTAM</t>
  </si>
  <si>
    <t>SUMITRA DEVI</t>
  </si>
  <si>
    <t>PRISHA HANDA</t>
  </si>
  <si>
    <t>ROSHAN ALI</t>
  </si>
  <si>
    <t>VINITA KUMARI</t>
  </si>
  <si>
    <t>AALIYA BANO</t>
  </si>
  <si>
    <t>USHA KHANNA</t>
  </si>
  <si>
    <t>LAKSHYA</t>
  </si>
  <si>
    <t>REKHA POPLI</t>
  </si>
  <si>
    <t>GYANA DEVI</t>
  </si>
  <si>
    <t>DEVANSH</t>
  </si>
  <si>
    <t>MEENA GUPTA</t>
  </si>
  <si>
    <t>VEDANT TANDON</t>
  </si>
  <si>
    <t>VIJAY AGGARWAL</t>
  </si>
  <si>
    <t>MEHAK BANSAL</t>
  </si>
  <si>
    <t>SUKH  DARSHAN ATTRI</t>
  </si>
  <si>
    <t>DHARMPAL SINGH</t>
  </si>
  <si>
    <t>MAHENDER HALOI</t>
  </si>
  <si>
    <t>SANTOSH DEVI</t>
  </si>
  <si>
    <t>JOGI RAM JAIN</t>
  </si>
  <si>
    <t>PREETI GARG</t>
  </si>
  <si>
    <t>NIRMAL CHAND  CHHABRA</t>
  </si>
  <si>
    <t>PUNAM FEMALE BABY SHARMA</t>
  </si>
  <si>
    <t>MANJU VERMA</t>
  </si>
  <si>
    <t>BABY OF PRIYANKA</t>
  </si>
  <si>
    <t>TRILOCHAN SINGH NARANG</t>
  </si>
  <si>
    <t>SAT PAL LAMBA</t>
  </si>
  <si>
    <t>DIKSHA FEMALE BABY GUPTA</t>
  </si>
  <si>
    <t>MOHD. SHARIF</t>
  </si>
  <si>
    <t>BHEEM SAIN</t>
  </si>
  <si>
    <t>PRANAV PURI</t>
  </si>
  <si>
    <t>MD SHAMIM UDDIN</t>
  </si>
  <si>
    <t>SUSHIL KUMAR ARORA</t>
  </si>
  <si>
    <t>SONIA</t>
  </si>
  <si>
    <t>NEELAM MALE BABY</t>
  </si>
  <si>
    <t>RAJENDER SINGH RAWAT</t>
  </si>
  <si>
    <t>SWARNDEEP GUPTA</t>
  </si>
  <si>
    <t>DHIRAJ KUMAR</t>
  </si>
  <si>
    <t>RAJ BALA</t>
  </si>
  <si>
    <t>SARLA RANI</t>
  </si>
  <si>
    <t>ANKITA MALE BABY THAKUR</t>
  </si>
  <si>
    <t>ANKITA THAKUR</t>
  </si>
  <si>
    <t>JAI KUMAR RAM</t>
  </si>
  <si>
    <t>PARVEEN KUMAR</t>
  </si>
  <si>
    <t>KUMARI SATYAWANTI</t>
  </si>
  <si>
    <t>SHILA SANGHI</t>
  </si>
  <si>
    <t>ASHA GOYAL</t>
  </si>
  <si>
    <t>PRAVEEN CHAND PANDEY</t>
  </si>
  <si>
    <t>KANWAR LAL</t>
  </si>
  <si>
    <t>INDIRA VATI</t>
  </si>
  <si>
    <t>VIBHOR CHAWLA</t>
  </si>
  <si>
    <t>ANKUR BANSAL</t>
  </si>
  <si>
    <t>VIJAY KUMAR CHAWLA</t>
  </si>
  <si>
    <t>MUKESH SINGHAL</t>
  </si>
  <si>
    <t>SURJEET KAUR</t>
  </si>
  <si>
    <t>ROHIT KUMAR</t>
  </si>
  <si>
    <t>Dental</t>
  </si>
  <si>
    <t>DARSHAN KUMAR RALHAN</t>
  </si>
  <si>
    <t>BHAWANA FEMALE BABY</t>
  </si>
  <si>
    <t>K.K AGGARWAL</t>
  </si>
  <si>
    <t>ARAYEE</t>
  </si>
  <si>
    <t>JAGDISH  CHAND GARG</t>
  </si>
  <si>
    <t>SHARDA</t>
  </si>
  <si>
    <t>EKTA MALE BABY SHARMA-1</t>
  </si>
  <si>
    <t>VISHNU BHAGWAN</t>
  </si>
  <si>
    <t>NAJMEEN</t>
  </si>
  <si>
    <t>VEENA KUMARI</t>
  </si>
  <si>
    <t>VIVEK V.S</t>
  </si>
  <si>
    <t>SARLA DEVI</t>
  </si>
  <si>
    <t>MEHAR SINGH KAUSHIK</t>
  </si>
  <si>
    <t>BABY OF ANJALI</t>
  </si>
  <si>
    <t>RAKESH</t>
  </si>
  <si>
    <t>SHELLY AGGARWAL</t>
  </si>
  <si>
    <t>MOHD TOHID</t>
  </si>
  <si>
    <t>RAJENDER YADAV</t>
  </si>
  <si>
    <t>RAHUL BANSAL</t>
  </si>
  <si>
    <t>JAMNA</t>
  </si>
  <si>
    <t>BHATERI DEVI</t>
  </si>
  <si>
    <t>SUBE SINGH</t>
  </si>
  <si>
    <t>DIVYA SHARMA</t>
  </si>
  <si>
    <t>GIRISH CANDER</t>
  </si>
  <si>
    <t>AJAY GOYAL</t>
  </si>
  <si>
    <t>BIJENDER SINGH</t>
  </si>
  <si>
    <t>SONIA MALHI</t>
  </si>
  <si>
    <t>HARBANS LAL</t>
  </si>
  <si>
    <t>JINEE GOYAL</t>
  </si>
  <si>
    <t>PREM GUPTA</t>
  </si>
  <si>
    <t>DEEPAK KUMAR GUPTA</t>
  </si>
  <si>
    <t>LEELAMMA JOHN</t>
  </si>
  <si>
    <t>SURAJ BHAN</t>
  </si>
  <si>
    <t>SARDARO DEVI</t>
  </si>
  <si>
    <t>DIYA</t>
  </si>
  <si>
    <t>RAGHUBIR</t>
  </si>
  <si>
    <t>SWATI JAIN</t>
  </si>
  <si>
    <t>NITANSHA MALE BABY GULATI</t>
  </si>
  <si>
    <t>SUSHIL BAKSHI</t>
  </si>
  <si>
    <t>H.N. BHAT</t>
  </si>
  <si>
    <t>SANGEETA JAIN</t>
  </si>
  <si>
    <t>LIVYA AGGARWAL</t>
  </si>
  <si>
    <t>MEHAK MALE BABY GOYAL</t>
  </si>
  <si>
    <t>DEEPIKA WADHWA</t>
  </si>
  <si>
    <t>NAROTTAM KUMAR NATIYA</t>
  </si>
  <si>
    <t>CHANDESHWAR PRASAD</t>
  </si>
  <si>
    <t>GURMEET SACHDEVA</t>
  </si>
  <si>
    <t>RAJ KUMAR YADAV</t>
  </si>
  <si>
    <t>AZAD SINGH</t>
  </si>
  <si>
    <t>SHAI ALAM</t>
  </si>
  <si>
    <t>SHALU</t>
  </si>
  <si>
    <t>BHAGWANTI</t>
  </si>
  <si>
    <t>RITIK</t>
  </si>
  <si>
    <t>SANGEETA NARANG</t>
  </si>
  <si>
    <t>PRABJOT KAUR</t>
  </si>
  <si>
    <t>SATISH VERMA</t>
  </si>
  <si>
    <t>SATENDER  SINGH</t>
  </si>
  <si>
    <t>HARJEET KAUR</t>
  </si>
  <si>
    <t>YASIN</t>
  </si>
  <si>
    <t>PRIYANKA BATRA</t>
  </si>
  <si>
    <t>CHANDAN KUMAR</t>
  </si>
  <si>
    <t>SHREYANSH JAIN</t>
  </si>
  <si>
    <t>GAJENDER YADAV</t>
  </si>
  <si>
    <t>MANOHAR LAL NARANG</t>
  </si>
  <si>
    <t>JAGDISH CHANDRA UPADAYAYA</t>
  </si>
  <si>
    <t>ANANYA CHAUDHARY</t>
  </si>
  <si>
    <t>KRISHAN CHANDER KAUSHIK</t>
  </si>
  <si>
    <t>KADAM SINGH</t>
  </si>
  <si>
    <t>NAND KISHOR</t>
  </si>
  <si>
    <t>MANNAT KAUR</t>
  </si>
  <si>
    <t>KAVITA VERMA</t>
  </si>
  <si>
    <t>NARINDER PAL</t>
  </si>
  <si>
    <t>ABRAHAM KHAN</t>
  </si>
  <si>
    <t>SWETA MALE BABY</t>
  </si>
  <si>
    <t>MOHD. KHALID</t>
  </si>
  <si>
    <t>HARDEEP GROVER</t>
  </si>
  <si>
    <t>RAJNI RANA</t>
  </si>
  <si>
    <t>GAJENDRA GAUR</t>
  </si>
  <si>
    <t>PRIYANK KARKI</t>
  </si>
  <si>
    <t>NIKUNJ ANAND</t>
  </si>
  <si>
    <t>RAHUL BAHRY</t>
  </si>
  <si>
    <t>SEEMA GUPTA</t>
  </si>
  <si>
    <t>POOJA FEMALE BABY-2</t>
  </si>
  <si>
    <t>DEVANSH JINDAL</t>
  </si>
  <si>
    <t>PRIYANKA JAIN</t>
  </si>
  <si>
    <t>KAMALJEET</t>
  </si>
  <si>
    <t>MRIDUL BHATIA</t>
  </si>
  <si>
    <t>GANGA PRASAD MISHRA</t>
  </si>
  <si>
    <t>R SHANMUGAM</t>
  </si>
  <si>
    <t>LAJJAWATI</t>
  </si>
  <si>
    <t>ABDUL JABBAR</t>
  </si>
  <si>
    <t>BAL KISHAN</t>
  </si>
  <si>
    <t>RAVI KUMAR</t>
  </si>
  <si>
    <t>MAYA YADAV</t>
  </si>
  <si>
    <t>PREMLATA PODDAR</t>
  </si>
  <si>
    <t>DEEPAK</t>
  </si>
  <si>
    <t>VIDHI</t>
  </si>
  <si>
    <t>DAKSHI</t>
  </si>
  <si>
    <t>ANIL NIRWAL</t>
  </si>
  <si>
    <t>RITU JUNEJA</t>
  </si>
  <si>
    <t>RAJNI CHOPRA</t>
  </si>
  <si>
    <t>NOORJAHAN  BEGUM</t>
  </si>
  <si>
    <t>JAGAT CHANDRA NATH</t>
  </si>
  <si>
    <t>ARSH JAIN</t>
  </si>
  <si>
    <t>B/O RINKU</t>
  </si>
  <si>
    <t>JAY CHANDRA</t>
  </si>
  <si>
    <t>ARUN KASHYAP</t>
  </si>
  <si>
    <t>NAISSHA GULATI</t>
  </si>
  <si>
    <t>PINKI PODDAR</t>
  </si>
  <si>
    <t>SUDESH KUMAR</t>
  </si>
  <si>
    <t>ARJUN ARORA</t>
  </si>
  <si>
    <t>Bariatric Surgery</t>
  </si>
  <si>
    <t>DINESH KALRA</t>
  </si>
  <si>
    <t>KOMAL KUMARI</t>
  </si>
  <si>
    <t>BHOOMIKA MALE BABY SHARMA</t>
  </si>
  <si>
    <t>MANU KATARIA</t>
  </si>
  <si>
    <t>AMANDEEP SINGH</t>
  </si>
  <si>
    <t>AMIT GOEL</t>
  </si>
  <si>
    <t>SUSHILA MAURYA</t>
  </si>
  <si>
    <t>MAH DEPENDENT</t>
  </si>
  <si>
    <t>TAMANNA</t>
  </si>
  <si>
    <t>JYOTI JAIN</t>
  </si>
  <si>
    <t>MEENU FEMALE BABY GOYAL</t>
  </si>
  <si>
    <t>PRESANNA PRABHAKAR</t>
  </si>
  <si>
    <t>DIVYA</t>
  </si>
  <si>
    <t>MOHD RAFIK</t>
  </si>
  <si>
    <t>CHANDAN ROY</t>
  </si>
  <si>
    <t>POONA DEVI</t>
  </si>
  <si>
    <t>MUNNI RAM</t>
  </si>
  <si>
    <t>DEEPAK ARORA</t>
  </si>
  <si>
    <t>YOGITA BHATIA</t>
  </si>
  <si>
    <t>ANARKALI</t>
  </si>
  <si>
    <t>SANJAY ARORA</t>
  </si>
  <si>
    <t>DHARMVIR SINGH</t>
  </si>
  <si>
    <t>ANITA SINGH</t>
  </si>
  <si>
    <t>MEENAKSHI SINGH</t>
  </si>
  <si>
    <t>NEIL PATHAK</t>
  </si>
  <si>
    <t>SARITA</t>
  </si>
  <si>
    <t>SAVITA</t>
  </si>
  <si>
    <t>AKASH YADAV</t>
  </si>
  <si>
    <t>EUNICE FLORA AGOSTINHO</t>
  </si>
  <si>
    <t>NARESH KUMAR  DUA</t>
  </si>
  <si>
    <t>MOHINI GARG</t>
  </si>
  <si>
    <t>TANVI KAPOOR</t>
  </si>
  <si>
    <t>HARI SINGH</t>
  </si>
  <si>
    <t>RENU SINGH</t>
  </si>
  <si>
    <t>RENU DEVI</t>
  </si>
  <si>
    <t>RAM DULAR RAM</t>
  </si>
  <si>
    <t>VIJAY KUMAR MALIK</t>
  </si>
  <si>
    <t>FHPL-BHARATHI AXA</t>
  </si>
  <si>
    <t>NAINIKA CHOUDHARY</t>
  </si>
  <si>
    <t>PREMI</t>
  </si>
  <si>
    <t>DHARMENDRA VATS</t>
  </si>
  <si>
    <t>ASHISH GARG</t>
  </si>
  <si>
    <t>SONALI GUPTA</t>
  </si>
  <si>
    <t>AMANDEEP SAINI</t>
  </si>
  <si>
    <t>BIMLA SATTI</t>
  </si>
  <si>
    <t>MAMTA FEMALE BABY</t>
  </si>
  <si>
    <t>MEENU FEMALE BABY</t>
  </si>
  <si>
    <t>SUNITA GUGNANI</t>
  </si>
  <si>
    <t>VIDHUT KUMAR</t>
  </si>
  <si>
    <t>JAI RAM DASS BANGA</t>
  </si>
  <si>
    <t>GOURANSH</t>
  </si>
  <si>
    <t>KAIRA GOEL</t>
  </si>
  <si>
    <t>SHRI KISHAN JAIN</t>
  </si>
  <si>
    <t>RAJESH</t>
  </si>
  <si>
    <t>ANUPAM</t>
  </si>
  <si>
    <t>VINOD KUMAR JINDAL</t>
  </si>
  <si>
    <t>MOHAMMAD KHALID</t>
  </si>
  <si>
    <t>RABRI DEVI</t>
  </si>
  <si>
    <t>SATISH  KUMAR GUPTA</t>
  </si>
  <si>
    <t>HARISH CHANDRA SINGH CHANDEL</t>
  </si>
  <si>
    <t>NEERJA KWATRA</t>
  </si>
  <si>
    <t>VANSH SHARMA</t>
  </si>
  <si>
    <t>ROHIT SINGH</t>
  </si>
  <si>
    <t>sameer</t>
  </si>
  <si>
    <t>LALTI DEVI</t>
  </si>
  <si>
    <t>SANTANU BHATTACHARJEE</t>
  </si>
  <si>
    <t>PRABHU DAYAL GUPTA</t>
  </si>
  <si>
    <t>NABISHUL NISHA</t>
  </si>
  <si>
    <t>KANIKA FEMALE BABY</t>
  </si>
  <si>
    <t>KAMALA DEVI DUNGARWAL</t>
  </si>
  <si>
    <t>PRAKASH KUMAR RAJWAR</t>
  </si>
  <si>
    <t>MOHIT KAUSHIK</t>
  </si>
  <si>
    <t>MEENA</t>
  </si>
  <si>
    <t>ASHOK SINGH</t>
  </si>
  <si>
    <t>TARUN GARG</t>
  </si>
  <si>
    <t>SURESH KUMAR DHINGRA</t>
  </si>
  <si>
    <t>BABITA SINGH</t>
  </si>
  <si>
    <t>PREETI MALE BABY GARG</t>
  </si>
  <si>
    <t>KAMTA SINGH</t>
  </si>
  <si>
    <t>MANISHA</t>
  </si>
  <si>
    <t>PUNAM SHARMA</t>
  </si>
  <si>
    <t>MANISHA FEMALE BABY</t>
  </si>
  <si>
    <t>SATYA PAL SETHI</t>
  </si>
  <si>
    <t>GANGA DEVI</t>
  </si>
  <si>
    <t>SHIKHA</t>
  </si>
  <si>
    <t>RAM KUMAR  RAY</t>
  </si>
  <si>
    <t>PREM CHANDRA</t>
  </si>
  <si>
    <t>SHEETAL VERMA</t>
  </si>
  <si>
    <t>KAMAL SINGH MEHTA</t>
  </si>
  <si>
    <t>POOJA GUPTA</t>
  </si>
  <si>
    <t>DINESH MALIK</t>
  </si>
  <si>
    <t>S.K  ARORA</t>
  </si>
  <si>
    <t>POOJA DIWEDI</t>
  </si>
  <si>
    <t>ROHAN SHARMA</t>
  </si>
  <si>
    <t>KIRAN RIA</t>
  </si>
  <si>
    <t>CHANDI PRASAD</t>
  </si>
  <si>
    <t>JASMINE KAUR ANAND</t>
  </si>
  <si>
    <t>ARVIND KUMAR GUPTA</t>
  </si>
  <si>
    <t>AYUSH TIWARI</t>
  </si>
  <si>
    <t>PUSHAPENDER KUMAR MITTAL</t>
  </si>
  <si>
    <t>URMILA BABBAR</t>
  </si>
  <si>
    <t>DARSHAN LAL SACHDEVA</t>
  </si>
  <si>
    <t>BHAVISHYA</t>
  </si>
  <si>
    <t>CHANDMATI</t>
  </si>
  <si>
    <t>GOVINDI RAWAT</t>
  </si>
  <si>
    <t>DARSHAN LAL</t>
  </si>
  <si>
    <t>SHARMILA</t>
  </si>
  <si>
    <t>PURAN SINGH</t>
  </si>
  <si>
    <t>PANKAJ GOSWAMI</t>
  </si>
  <si>
    <t>DEEPA JOSPH</t>
  </si>
  <si>
    <t>UMA RANI</t>
  </si>
  <si>
    <t>ARADHIYA</t>
  </si>
  <si>
    <t>JYOTI SHARMA</t>
  </si>
  <si>
    <t>ASHA SINGH</t>
  </si>
  <si>
    <t>SUMITRA DEVI AGARWAL</t>
  </si>
  <si>
    <t>SANJEET</t>
  </si>
  <si>
    <t>DHAN SINGH</t>
  </si>
  <si>
    <t>CHANDA DEVI</t>
  </si>
  <si>
    <t>ARPIT RASTOGI</t>
  </si>
  <si>
    <t>JAI BHAWAN MITTAL</t>
  </si>
  <si>
    <t>MITHUN SINGHARIA</t>
  </si>
  <si>
    <t>REKHA GUPTA</t>
  </si>
  <si>
    <t>S DEVRAJAN</t>
  </si>
  <si>
    <t>REETU MALE BABY</t>
  </si>
  <si>
    <t>BRAHM DUTT</t>
  </si>
  <si>
    <t>KANIKA</t>
  </si>
  <si>
    <t>TAJINDER PAL SINGH</t>
  </si>
  <si>
    <t>RAMNIWAS TOMAR</t>
  </si>
  <si>
    <t>SONA FEMALE BABY KUMARI</t>
  </si>
  <si>
    <t>KHOOBRAM</t>
  </si>
  <si>
    <t>SEEMA  ARORA</t>
  </si>
  <si>
    <t>DR. DEVIKA MALE BABY JAIN</t>
  </si>
  <si>
    <t>DHARYA KUAMR SINGH</t>
  </si>
  <si>
    <t>ANGURI GOYAL</t>
  </si>
  <si>
    <t>BALA</t>
  </si>
  <si>
    <t>SANDEEP DAHIYA</t>
  </si>
  <si>
    <t>MAKHAN LAL</t>
  </si>
  <si>
    <t>ABHISHEK BANSAL</t>
  </si>
  <si>
    <t>KRISHAN SINGH HOODA</t>
  </si>
  <si>
    <t>RAM GOPAL JINDAL</t>
  </si>
  <si>
    <t>YUVRAJ WATI</t>
  </si>
  <si>
    <t>SHYAM LAL</t>
  </si>
  <si>
    <t>RAJMAL</t>
  </si>
  <si>
    <t>VIRENDER</t>
  </si>
  <si>
    <t>MADAN LAL DUA</t>
  </si>
  <si>
    <t>SANTOSH GUPTA</t>
  </si>
  <si>
    <t>JAIDEEP SINGH</t>
  </si>
  <si>
    <t>LAGHIMA GUPTA</t>
  </si>
  <si>
    <t>GIPSA SUITES</t>
  </si>
  <si>
    <t>RISHABH AGARWAL</t>
  </si>
  <si>
    <t>MALA RAM UPPAL</t>
  </si>
  <si>
    <t>NEERAJ MAHALAN</t>
  </si>
  <si>
    <t>VIRAMATI GARG</t>
  </si>
  <si>
    <t>SUKHNA DEVI</t>
  </si>
  <si>
    <t>ROSY</t>
  </si>
  <si>
    <t>KAUSHALYA RANI</t>
  </si>
  <si>
    <t>SANTOSH SHRIVASTAV</t>
  </si>
  <si>
    <t>ANOJ KUMAR</t>
  </si>
  <si>
    <t>PREM CHAND MASSAND</t>
  </si>
  <si>
    <t>THAKRI KAUR</t>
  </si>
  <si>
    <t>KRISHNA</t>
  </si>
  <si>
    <t>SUBHASH MARKANDE</t>
  </si>
  <si>
    <t>BALRAM KUMAR TAYAL</t>
  </si>
  <si>
    <t>DR. DEVIKA JAIN</t>
  </si>
  <si>
    <t>NEENA CHANNA</t>
  </si>
  <si>
    <t>POOJA FEMALE BABY MANGLA</t>
  </si>
  <si>
    <t>SHALU MALE BABY 2ND</t>
  </si>
  <si>
    <t>RAJINDER NATH DAHUJA</t>
  </si>
  <si>
    <t>VIJAY KUMAR BATRA</t>
  </si>
  <si>
    <t>KAMLESH UPADHYAY</t>
  </si>
  <si>
    <t>SAHIBA DHAWAN</t>
  </si>
  <si>
    <t>ATHARV MAURYA</t>
  </si>
  <si>
    <t>HIMANSHU MISHRA</t>
  </si>
  <si>
    <t>DAVESH MANI GAUTAM</t>
  </si>
  <si>
    <t>GIAN CHAND YADAV</t>
  </si>
  <si>
    <t>CHANDNI</t>
  </si>
  <si>
    <t>PRABJOT MALE BABY KAUR</t>
  </si>
  <si>
    <t>MEENAKSHI KAUSHIK</t>
  </si>
  <si>
    <t>URVASHI JAIN</t>
  </si>
  <si>
    <t>SANJIV KUMAR SACHDEVA</t>
  </si>
  <si>
    <t>VIPIN</t>
  </si>
  <si>
    <t>GAURAV</t>
  </si>
  <si>
    <t>NARINDER KUMAR CHOPRA</t>
  </si>
  <si>
    <t>GOPAL BANSAL</t>
  </si>
  <si>
    <t>NISHA FEMALE BABY PAL</t>
  </si>
  <si>
    <t>VED MALHOTRA</t>
  </si>
  <si>
    <t>BABY OF ANKITA KAUSHIK</t>
  </si>
  <si>
    <t>JUHI MALE BABY UPADHYAY</t>
  </si>
  <si>
    <t>RACHNA SHARMA</t>
  </si>
  <si>
    <t>PURINDER CHAWLA</t>
  </si>
  <si>
    <t>ASHISH INDORA</t>
  </si>
  <si>
    <t>HIMANSHU KUMAR</t>
  </si>
  <si>
    <t>SARWAN SINGH</t>
  </si>
  <si>
    <t>COVID CARE</t>
  </si>
  <si>
    <t>BHUVIK</t>
  </si>
  <si>
    <t>CHAMPA</t>
  </si>
  <si>
    <t>MUSKAN NAGPAL</t>
  </si>
  <si>
    <t>HARSHVARDHAN</t>
  </si>
  <si>
    <t>MEENU GOYAL</t>
  </si>
  <si>
    <t>GAUTAM GUPTA</t>
  </si>
  <si>
    <t>SEJAL</t>
  </si>
  <si>
    <t>PARKASH CHAND</t>
  </si>
  <si>
    <t>SUNITA DUA</t>
  </si>
  <si>
    <t>SATYA PAL</t>
  </si>
  <si>
    <t>GEETANSH BANSAL</t>
  </si>
  <si>
    <t>KANISHKA SHARMA</t>
  </si>
  <si>
    <t>RAGINI GUPTA</t>
  </si>
  <si>
    <t>FAQIR CHAND</t>
  </si>
  <si>
    <t>POOJA FEMALE BABY-1</t>
  </si>
  <si>
    <t>SUNITA AGARWAL</t>
  </si>
  <si>
    <t>EKTA MALE BABY  SAINI</t>
  </si>
  <si>
    <t>NIRMALA DEVI</t>
  </si>
  <si>
    <t>MALE BABY OF MANJU RANI</t>
  </si>
  <si>
    <t>KANVI AGGARWAL</t>
  </si>
  <si>
    <t>SHEELA</t>
  </si>
  <si>
    <t>RAGHU NANDEN</t>
  </si>
  <si>
    <t>PHUNASHOK NGALASEM</t>
  </si>
  <si>
    <t>RAMSARAN</t>
  </si>
  <si>
    <t>SUMIT SHARMA</t>
  </si>
  <si>
    <t>VIBHORE SACHDEV</t>
  </si>
  <si>
    <t>SUKHRAJI DEVI</t>
  </si>
  <si>
    <t>MITHLESH MEHATA</t>
  </si>
  <si>
    <t>GAURAV AHUJA</t>
  </si>
  <si>
    <t>CHANDER VERMA</t>
  </si>
  <si>
    <t>GUNJAN</t>
  </si>
  <si>
    <t>VIKASH KUMAR SINGH</t>
  </si>
  <si>
    <t>DEEPAK GUPTA</t>
  </si>
  <si>
    <t>K.N SINGH</t>
  </si>
  <si>
    <t>LAXMI</t>
  </si>
  <si>
    <t>PARMESHWARI</t>
  </si>
  <si>
    <t>SUBHASH CHAND SINGHAL</t>
  </si>
  <si>
    <t>PRAKSHI GOEL</t>
  </si>
  <si>
    <t>FIRDOSH</t>
  </si>
  <si>
    <t>AAKRITI VASDEV MEHTA</t>
  </si>
  <si>
    <t>HARE KISHAN JHA</t>
  </si>
  <si>
    <t>SHAHID</t>
  </si>
  <si>
    <t>KARTIK</t>
  </si>
  <si>
    <t>MOHINI FEMALE BABY GARG</t>
  </si>
  <si>
    <t>NEELAM ARORA</t>
  </si>
  <si>
    <t>RANJANA DEVI</t>
  </si>
  <si>
    <t>MEGHA BHOLA</t>
  </si>
  <si>
    <t>URMIL DANG</t>
  </si>
  <si>
    <t>SURINDER NAGI</t>
  </si>
  <si>
    <t>SHARADA</t>
  </si>
  <si>
    <t>SHIVENDER KUMAR GUPTA</t>
  </si>
  <si>
    <t>AMANPREET FEMALE BABY KAUR</t>
  </si>
  <si>
    <t>AAYANSH PATHAK</t>
  </si>
  <si>
    <t>ABDULLA</t>
  </si>
  <si>
    <t>DHANO DEVI</t>
  </si>
  <si>
    <t>KRISHNA GOEL</t>
  </si>
  <si>
    <t>ANITA JAIN</t>
  </si>
  <si>
    <t>NIVAAN SUMRANI</t>
  </si>
  <si>
    <t>KAUTILYA RAJPOOT</t>
  </si>
  <si>
    <t>VIRKESH ARORA</t>
  </si>
  <si>
    <t>PRIYA MITTAL</t>
  </si>
  <si>
    <t>BHUPINDER GHULYANI</t>
  </si>
  <si>
    <t>SULEKHA KHANNA</t>
  </si>
  <si>
    <t>KHUSHBOO  AGARWAL</t>
  </si>
  <si>
    <t>GULZAR SINGH JUDGE</t>
  </si>
  <si>
    <t>NAVDEEP KAUR</t>
  </si>
  <si>
    <t>PARDEEP KAUR</t>
  </si>
  <si>
    <t>CHARANJEET KAUR</t>
  </si>
  <si>
    <t>SANJU DEVI</t>
  </si>
  <si>
    <t>NIRMAL RANI</t>
  </si>
  <si>
    <t>PRACHI MALE BABY GUPTA</t>
  </si>
  <si>
    <t>MANISHA NAGAR</t>
  </si>
  <si>
    <t>KANTI DEVI VERMA</t>
  </si>
  <si>
    <t>RAJANI GOND</t>
  </si>
  <si>
    <t>PRADEEP</t>
  </si>
  <si>
    <t>SUNDER LAL</t>
  </si>
  <si>
    <t>SHOBHA BHARTI</t>
  </si>
  <si>
    <t>KYNA JAIN</t>
  </si>
  <si>
    <t>SHARAH</t>
  </si>
  <si>
    <t>AMAR KANT</t>
  </si>
  <si>
    <t>YASH GUPTA</t>
  </si>
  <si>
    <t>AANCHAL</t>
  </si>
  <si>
    <t>MANISH MITTAL</t>
  </si>
  <si>
    <t>ROSHAN KUMAR MANDAL</t>
  </si>
  <si>
    <t>HARJIT SINGH</t>
  </si>
  <si>
    <t>INDERPREET KAUR SOHAL</t>
  </si>
  <si>
    <t>TWISHA</t>
  </si>
  <si>
    <t>ABHSHEK GUPTA</t>
  </si>
  <si>
    <t>S.C KAKKAR</t>
  </si>
  <si>
    <t>NARYAN KUMAR</t>
  </si>
  <si>
    <t>RITIKA</t>
  </si>
  <si>
    <t>SULTAN SINGH</t>
  </si>
  <si>
    <t>KAMALJEET SHARMA</t>
  </si>
  <si>
    <t>BABY OF AARTI</t>
  </si>
  <si>
    <t>AAHANA GHANSHYALA</t>
  </si>
  <si>
    <t>DROPDI DEVI</t>
  </si>
  <si>
    <t>RAJ KUMARI</t>
  </si>
  <si>
    <t>YOGITA ADHIKARY</t>
  </si>
  <si>
    <t>PHOOLAWANTI KUKREJA</t>
  </si>
  <si>
    <t>BABY OF SAKSHI  AGGARWAL</t>
  </si>
  <si>
    <t>VINAY</t>
  </si>
  <si>
    <t>RAJENDRA PAL SINGH</t>
  </si>
  <si>
    <t>PRINCE</t>
  </si>
  <si>
    <t>PRACHI</t>
  </si>
  <si>
    <t>PARAG AGGARWAL</t>
  </si>
  <si>
    <t>KAPTAN SINGH</t>
  </si>
  <si>
    <t>PUSHPA GOSWAMI</t>
  </si>
  <si>
    <t>HARKRISHAN LAL</t>
  </si>
  <si>
    <t>MISHA FEMALE BABY MEHRA</t>
  </si>
  <si>
    <t>TABASSUM</t>
  </si>
  <si>
    <t>SAROJ SURI</t>
  </si>
  <si>
    <t>SUMAN KUMARI GUPTA</t>
  </si>
  <si>
    <t>RITESH JAIN</t>
  </si>
  <si>
    <t>TILISHA PRAJAPATI</t>
  </si>
  <si>
    <t>SHRESHTHA DEVI</t>
  </si>
  <si>
    <t>SUNENA MALE BABY BATRA GULATI</t>
  </si>
  <si>
    <t>SANJEEV KUMAR BAHUGUNA</t>
  </si>
  <si>
    <t>MD IMRAN SHEKH</t>
  </si>
  <si>
    <t>RAM NARAIN BANS</t>
  </si>
  <si>
    <t>ROSHNI DEVI</t>
  </si>
  <si>
    <t>SHASHANK JAIN</t>
  </si>
  <si>
    <t>RUBAL BANSAL</t>
  </si>
  <si>
    <t>KANIKA FEMALE BABY DHAWAN</t>
  </si>
  <si>
    <t>DEVKI NANDAN GOYAL</t>
  </si>
  <si>
    <t>DAULAT RAM SHARMA</t>
  </si>
  <si>
    <t>DHARAM SINGH</t>
  </si>
  <si>
    <t>DEVYANSHI VED</t>
  </si>
  <si>
    <t>SHIVENDER GUPTA</t>
  </si>
  <si>
    <t>JAITOON BIBI</t>
  </si>
  <si>
    <t>VIJAY KUMAR AGGARWAL</t>
  </si>
  <si>
    <t>B.O DAKSHI</t>
  </si>
  <si>
    <t>VISHAKHA</t>
  </si>
  <si>
    <t>RAMPHAL SHARMA</t>
  </si>
  <si>
    <t>RAGHAV SHARMA</t>
  </si>
  <si>
    <t>ANIL KUMAR</t>
  </si>
  <si>
    <t>SANDHYA KUMARI</t>
  </si>
  <si>
    <t>BABY OF SRISHTI</t>
  </si>
  <si>
    <t>ANGURI  DEVI</t>
  </si>
  <si>
    <t>AKASH MITTAL</t>
  </si>
  <si>
    <t>ATTAR SINGH</t>
  </si>
  <si>
    <t>RAM CHANDRA YADUVANSHI</t>
  </si>
  <si>
    <t>SANTOSH KUMAR</t>
  </si>
  <si>
    <t>VISHWAJEET YADAV</t>
  </si>
  <si>
    <t>ANUBHA GUPTA</t>
  </si>
  <si>
    <t>ANUSHREE AGGARWAL</t>
  </si>
  <si>
    <t>OM</t>
  </si>
  <si>
    <t>KIRAN</t>
  </si>
  <si>
    <t>DUMMY BED</t>
  </si>
  <si>
    <t>Casualty</t>
  </si>
  <si>
    <t>SEEMA KAPOOR</t>
  </si>
  <si>
    <t>R K  AGGARWAL</t>
  </si>
  <si>
    <t>GOPI RAM GUPTA</t>
  </si>
  <si>
    <t>ARCHANA VERMA</t>
  </si>
  <si>
    <t>SATYENDRA YADAV</t>
  </si>
  <si>
    <t>URMILA SINGH</t>
  </si>
  <si>
    <t>RIMPY GARG</t>
  </si>
  <si>
    <t>VISHNU PARKASH</t>
  </si>
  <si>
    <t>JAI BHAGWAN BANSAL</t>
  </si>
  <si>
    <t>BINDU SHARMA</t>
  </si>
  <si>
    <t>RAJWATI</t>
  </si>
  <si>
    <t>ESHA FEMALE BABY GOYAL</t>
  </si>
  <si>
    <t>DEEPAK BARNABAS</t>
  </si>
  <si>
    <t>AJNISH KUMAR</t>
  </si>
  <si>
    <t>KELI</t>
  </si>
  <si>
    <t>AKHIL JAIN</t>
  </si>
  <si>
    <t>AKSHITA</t>
  </si>
  <si>
    <t>BHARAT</t>
  </si>
  <si>
    <t>JAI SHREE MAHANTO</t>
  </si>
  <si>
    <t>ANJALI YADAV</t>
  </si>
  <si>
    <t>MAHAK FEMALE BABY GARG</t>
  </si>
  <si>
    <t>ATHARAV</t>
  </si>
  <si>
    <t>OM NARAIN SINGH</t>
  </si>
  <si>
    <t>NIDHI YADAV</t>
  </si>
  <si>
    <t>SHANTA DEVI</t>
  </si>
  <si>
    <t>TANISHA SINGHAL</t>
  </si>
  <si>
    <t>INDIAN COUNCIL OF AGRICULTURAL RESEARCH</t>
  </si>
  <si>
    <t>R.K BAWEJA</t>
  </si>
  <si>
    <t>TANU JINDAL</t>
  </si>
  <si>
    <t>SUKH VANTI</t>
  </si>
  <si>
    <t>OLGA MAURYA</t>
  </si>
  <si>
    <t>DIWAN SINGH PHOGAT</t>
  </si>
  <si>
    <t>SUBHASH CHANDER</t>
  </si>
  <si>
    <t>HARISH JAIN</t>
  </si>
  <si>
    <t>GULSHAN DEVI JUNEJA</t>
  </si>
  <si>
    <t>SANJAY MADAN</t>
  </si>
  <si>
    <t>KANTA KUMAR</t>
  </si>
  <si>
    <t>JAIWATI JAIN</t>
  </si>
  <si>
    <t>RAJA</t>
  </si>
  <si>
    <t>CHARVI MITTAL</t>
  </si>
  <si>
    <t>VIJAI SINGH SHEKHAWAT</t>
  </si>
  <si>
    <t>JITEN KUMAR</t>
  </si>
  <si>
    <t>AKHTARI BEGAM</t>
  </si>
  <si>
    <t>MALE BABY OF SHIKHA BATRA</t>
  </si>
  <si>
    <t>RAVI SHARMA</t>
  </si>
  <si>
    <t>RAMESH CHAND</t>
  </si>
  <si>
    <t>SHASHI GARG</t>
  </si>
  <si>
    <t>OM PARKASH</t>
  </si>
  <si>
    <t>AARAV</t>
  </si>
  <si>
    <t>MANJU JAIN</t>
  </si>
  <si>
    <t>MAHESH</t>
  </si>
  <si>
    <t>DHANVIR MANDAL</t>
  </si>
  <si>
    <t>MTPB - 26.22.128</t>
  </si>
  <si>
    <t>MANISHA SAINI</t>
  </si>
  <si>
    <t>AMIT TANEJA</t>
  </si>
  <si>
    <t>POONAM MASSEY</t>
  </si>
  <si>
    <t>RAGINI</t>
  </si>
  <si>
    <t>JARNAIL SINGH</t>
  </si>
  <si>
    <t>JAI RANI</t>
  </si>
  <si>
    <t>KRISH AGGARWAL</t>
  </si>
  <si>
    <t>DEEPAK RANA</t>
  </si>
  <si>
    <t>GARV GARG</t>
  </si>
  <si>
    <t>SURAJ PRAKASH</t>
  </si>
  <si>
    <t>ANITA KUMARI</t>
  </si>
  <si>
    <t>LADHA RAM</t>
  </si>
  <si>
    <t>RAJ KUMAR GOYAL</t>
  </si>
  <si>
    <t>SHAM SUNDER BANSAL</t>
  </si>
  <si>
    <t>RINKI RANI</t>
  </si>
  <si>
    <t>HARSH GUPTA</t>
  </si>
  <si>
    <t>SAKSHI MALE BABY AGGARWAL</t>
  </si>
  <si>
    <t>PRIYANKA FEMALE BABY BATRA</t>
  </si>
  <si>
    <t>SURINDER JAIN</t>
  </si>
  <si>
    <t>DUSHYANT KUMAR</t>
  </si>
  <si>
    <t>GEETA PANDEY</t>
  </si>
  <si>
    <t>KRISHAN KUMAR GOYAL</t>
  </si>
  <si>
    <t>NIDHI CHOPRA</t>
  </si>
  <si>
    <t>JAGDISH CHANDER</t>
  </si>
  <si>
    <t>BHUMIKA FEMALE BABY SACHDEVA</t>
  </si>
  <si>
    <t>BHAVIKA</t>
  </si>
  <si>
    <t>M C JAIN</t>
  </si>
  <si>
    <t>SHYAM KUMAR JHA</t>
  </si>
  <si>
    <t>ASHOK SHA WANKHADE</t>
  </si>
  <si>
    <t>SWETA</t>
  </si>
  <si>
    <t>RAMWATI</t>
  </si>
  <si>
    <t>MANOHAR LAL SHARMA</t>
  </si>
  <si>
    <t>KRISHNA MITRA</t>
  </si>
  <si>
    <t>RINKI</t>
  </si>
  <si>
    <t>RAJA RAM TIWARI</t>
  </si>
  <si>
    <t>HARISH GOYAL</t>
  </si>
  <si>
    <t>RAKSHIT VIJAY</t>
  </si>
  <si>
    <t>RAJESH KUMAR MISHRA</t>
  </si>
  <si>
    <t>EKTA SAINI</t>
  </si>
  <si>
    <t>ANKUR JAIN</t>
  </si>
  <si>
    <t>PANKAJ GUPTA</t>
  </si>
  <si>
    <t>REEMA GHAI</t>
  </si>
  <si>
    <t>GUNJAN MALE BABY GUPTA</t>
  </si>
  <si>
    <t>ARYA KUMARI</t>
  </si>
  <si>
    <t>BHAL SINGH</t>
  </si>
  <si>
    <t>MADHU MANISHA</t>
  </si>
  <si>
    <t>SUNIL MALIK</t>
  </si>
  <si>
    <t>AMAR NATH</t>
  </si>
  <si>
    <t>PRIYANKA  JAIN</t>
  </si>
  <si>
    <t>SARVESH</t>
  </si>
  <si>
    <t>TANVEER BEDI</t>
  </si>
  <si>
    <t>RAMESH KUMAR</t>
  </si>
  <si>
    <t>TWINKLE</t>
  </si>
  <si>
    <t>VIKAS GARG</t>
  </si>
  <si>
    <t>USHA RANI DHINGRA</t>
  </si>
  <si>
    <t>MEENA BISHT</t>
  </si>
  <si>
    <t>POOJA YADAV</t>
  </si>
  <si>
    <t>RAN SINGH</t>
  </si>
  <si>
    <t>AJAY KSHATRIYA</t>
  </si>
  <si>
    <t>KAUSHALAYA DEVI</t>
  </si>
  <si>
    <t>PREETI SETH</t>
  </si>
  <si>
    <t>CENTRAL WAREHOUSING CORP. LTD (CREDIT)</t>
  </si>
  <si>
    <t>SHREEJA GARG</t>
  </si>
  <si>
    <t>RUBY RATHEE</t>
  </si>
  <si>
    <t>DAYA SAGAR</t>
  </si>
  <si>
    <t>RIYA TAYAL</t>
  </si>
  <si>
    <t>KITAB KAUR</t>
  </si>
  <si>
    <t>MAHIMA GARG</t>
  </si>
  <si>
    <t>HARMEET SINGH GILL</t>
  </si>
  <si>
    <t>VEENA CHHABRA</t>
  </si>
  <si>
    <t>SANYA SEHGAL</t>
  </si>
  <si>
    <t>REENA SHARMA</t>
  </si>
  <si>
    <t>ISHMEET SINGH</t>
  </si>
  <si>
    <t>BINA VIJAY</t>
  </si>
  <si>
    <t>HARSHIT</t>
  </si>
  <si>
    <t>MOHIT SHARMA</t>
  </si>
  <si>
    <t>SUJAL</t>
  </si>
  <si>
    <t>VEENA RANI</t>
  </si>
  <si>
    <t>B/O RUNJHUN SINGHAL</t>
  </si>
  <si>
    <t>Haematology</t>
  </si>
  <si>
    <t>DEVRAJ</t>
  </si>
  <si>
    <t>RAJINDER SINGH</t>
  </si>
  <si>
    <t>JAI KRISHAN SHARMA</t>
  </si>
  <si>
    <t>NAVIN L SHARMA</t>
  </si>
  <si>
    <t>MANJU RANI</t>
  </si>
  <si>
    <t>NEHA MALE BABY KUMARI</t>
  </si>
  <si>
    <t>SAKSHI  MALE BABY WATWANI</t>
  </si>
  <si>
    <t>RIYANSHI BANSAL</t>
  </si>
  <si>
    <t>LILY SHARMA</t>
  </si>
  <si>
    <t>SANJEEV KUMAR</t>
  </si>
  <si>
    <t>AARUSH</t>
  </si>
  <si>
    <t>LILA DEVI</t>
  </si>
  <si>
    <t>SHIKHA BATRA</t>
  </si>
  <si>
    <t>RANJEET SINGH</t>
  </si>
  <si>
    <t>RAJARAM MAURYA</t>
  </si>
  <si>
    <t>AJAY GUPTA</t>
  </si>
  <si>
    <t>JAYASHREE</t>
  </si>
  <si>
    <t>VEDANSHI SINGH</t>
  </si>
  <si>
    <t>PAKHI</t>
  </si>
  <si>
    <t>MOHAMMED ASADUDDEN KHAN</t>
  </si>
  <si>
    <t>RINKI MALE BABY  RANI</t>
  </si>
  <si>
    <t>SHUBHAM JAIN</t>
  </si>
  <si>
    <t>ADITYA BANSAL</t>
  </si>
  <si>
    <t>PRIYANKA MALE BABY GARG-I</t>
  </si>
  <si>
    <t>PRAKASH DEVI</t>
  </si>
  <si>
    <t>AYUSH CHOPRA</t>
  </si>
  <si>
    <t>MOHD FURKAN</t>
  </si>
  <si>
    <t>RAM SAGAR</t>
  </si>
  <si>
    <t>KANTA SHARMA</t>
  </si>
  <si>
    <t>ASHISH BATRA</t>
  </si>
  <si>
    <t>HITESH CHOPRA</t>
  </si>
  <si>
    <t>SHARDA DEVI</t>
  </si>
  <si>
    <t>MEER SINGH</t>
  </si>
  <si>
    <t>SUKHBIR KAUR BHATIA</t>
  </si>
  <si>
    <t>LAKSHAY ANAND</t>
  </si>
  <si>
    <t>SUSHILA  BISHT</t>
  </si>
  <si>
    <t>AKANSHA SINGH</t>
  </si>
  <si>
    <t>KRIPA SHANKER YADAV</t>
  </si>
  <si>
    <t>DAYASAGAR</t>
  </si>
  <si>
    <t>RAMEHSHWARI MAHLA</t>
  </si>
  <si>
    <t>MADAN LAL AGGARWAL</t>
  </si>
  <si>
    <t>AYUSH</t>
  </si>
  <si>
    <t>SAKSHI AGGARWAL</t>
  </si>
  <si>
    <t>DHEERAJ</t>
  </si>
  <si>
    <t>RAJENDER PRASAD JAIN</t>
  </si>
  <si>
    <t>DEVRAJ TANWAR</t>
  </si>
  <si>
    <t>SIVKAN KAUR ARORA</t>
  </si>
  <si>
    <t>SHASHI KALA</t>
  </si>
  <si>
    <t>REETIKA BANSAL</t>
  </si>
  <si>
    <t>National Cooperative Development Corporation</t>
  </si>
  <si>
    <t>RAJNI GARG</t>
  </si>
  <si>
    <t>SWATI BANSAL</t>
  </si>
  <si>
    <t>RAVI GUPTA</t>
  </si>
  <si>
    <t>SURINDER SINGH DHINGRA</t>
  </si>
  <si>
    <t>RAJINDER KHANNA</t>
  </si>
  <si>
    <t>MAYUR GOEL</t>
  </si>
  <si>
    <t>MANORMA DEVI</t>
  </si>
  <si>
    <t>KUSHAL RAM</t>
  </si>
  <si>
    <t>RAJNI MALE BABY</t>
  </si>
  <si>
    <t>USHA GARG</t>
  </si>
  <si>
    <t>RAMIT KUMAR</t>
  </si>
  <si>
    <t>DALIP KUMAR MALHOTRA</t>
  </si>
  <si>
    <t>ANIKET</t>
  </si>
  <si>
    <t>IKBAL</t>
  </si>
  <si>
    <t>ABHISHEK</t>
  </si>
  <si>
    <t>KANISHKA AGARWAL</t>
  </si>
  <si>
    <t>DAKSH GAHLAUT</t>
  </si>
  <si>
    <t>ANITA JINDAL</t>
  </si>
  <si>
    <t>TANISHQ</t>
  </si>
  <si>
    <t>VIBHUTI YADAV</t>
  </si>
  <si>
    <t>GANDA RANI</t>
  </si>
  <si>
    <t>RAM MEHAR SINGH</t>
  </si>
  <si>
    <t>KHAJAN SINGH</t>
  </si>
  <si>
    <t>SOUMYA GOYAL</t>
  </si>
  <si>
    <t>K.SUNDARAM</t>
  </si>
  <si>
    <t>INDRA JIT RAO</t>
  </si>
  <si>
    <t>DELHI TRANSCO LTD.</t>
  </si>
  <si>
    <t>MANGAT RAM</t>
  </si>
  <si>
    <t>AARAV SHARMA</t>
  </si>
  <si>
    <t>KANCHAN SINGH</t>
  </si>
  <si>
    <t>POOJA MALE BABY</t>
  </si>
  <si>
    <t>B\O BHUMIKA SACHDEVA</t>
  </si>
  <si>
    <t>UMRAWATI</t>
  </si>
  <si>
    <t>B/O REENA</t>
  </si>
  <si>
    <t>GURLEEN KAUR</t>
  </si>
  <si>
    <t>LILA RAM AGGARWAL</t>
  </si>
  <si>
    <t>SATVINDER KAUR</t>
  </si>
  <si>
    <t>PRAVEEN</t>
  </si>
  <si>
    <t>ATUL GOEL</t>
  </si>
  <si>
    <t>SANIYA</t>
  </si>
  <si>
    <t>HARKAUR</t>
  </si>
  <si>
    <t>SANYA BANSAL</t>
  </si>
  <si>
    <t>POONAM CHHABRA</t>
  </si>
  <si>
    <t>SUMAN DEVI</t>
  </si>
  <si>
    <t>VISHNU KUMAR</t>
  </si>
  <si>
    <t>HARBANS SINGH</t>
  </si>
  <si>
    <t>LEELA WATI</t>
  </si>
  <si>
    <t>LAKSHYA PRATAP SINGH</t>
  </si>
  <si>
    <t>MANISH KUMAR GARG</t>
  </si>
  <si>
    <t>RAM KARAN</t>
  </si>
  <si>
    <t>PUNEET KUMAR MONGA</t>
  </si>
  <si>
    <t>RAJNI MADAN</t>
  </si>
  <si>
    <t>DAYAWATI</t>
  </si>
  <si>
    <t>ISHAN GOEL</t>
  </si>
  <si>
    <t>MAHENDRI DEVI</t>
  </si>
  <si>
    <t>ENAYA GOEL</t>
  </si>
  <si>
    <t>BUREAU OF INDIAN STANDARDS</t>
  </si>
  <si>
    <t>DR RAJ KISHORE SINGH</t>
  </si>
  <si>
    <t>CHANDER PRABHA</t>
  </si>
  <si>
    <t>PARMOD KUMAR AGGARWAL</t>
  </si>
  <si>
    <t>RAGBIR SINGH</t>
  </si>
  <si>
    <t>TAKSHASHIL</t>
  </si>
  <si>
    <t>BAISI DEVI</t>
  </si>
  <si>
    <t>BIKRAM JEET SHARMA</t>
  </si>
  <si>
    <t>Admission Month</t>
  </si>
  <si>
    <t>Row Labels</t>
  </si>
  <si>
    <t>Grand Total</t>
  </si>
  <si>
    <t>Sum of Bill Amount</t>
  </si>
  <si>
    <t>Sum of Discount Amount</t>
  </si>
  <si>
    <t>Sum of NET Amount</t>
  </si>
  <si>
    <t>Sum of Paid Amount</t>
  </si>
  <si>
    <t>Top 5 Dep. Wise Total Bill Amount</t>
  </si>
  <si>
    <t>Total Outstanding Amount</t>
  </si>
  <si>
    <t>August</t>
  </si>
  <si>
    <t>September</t>
  </si>
  <si>
    <t>October</t>
  </si>
  <si>
    <t>monthly Revenue Trend</t>
  </si>
  <si>
    <t>Settlement Status</t>
  </si>
  <si>
    <t>Collection Efficiency</t>
  </si>
  <si>
    <t>Staff</t>
  </si>
  <si>
    <t>Staff DEPENDENT</t>
  </si>
  <si>
    <t xml:space="preserve"> CGHS Cash</t>
  </si>
  <si>
    <t xml:space="preserve"> CAPF</t>
  </si>
  <si>
    <t xml:space="preserve"> SSYAMA CASH</t>
  </si>
  <si>
    <t xml:space="preserve"> MEDI ASSIST INSURANCE TPA LTD</t>
  </si>
  <si>
    <t xml:space="preserve"> HEALTH INDIA TPA SERVICES PVT LTD</t>
  </si>
  <si>
    <t xml:space="preserve"> UNITED HEALTH CARE PAREKH TPA</t>
  </si>
  <si>
    <t xml:space="preserve"> AIRPORTS AUTHORITY OF INDIA</t>
  </si>
  <si>
    <t xml:space="preserve"> RELIGARE HEALTH INSURANCE</t>
  </si>
  <si>
    <t xml:space="preserve"> BAJAJ ALLIANZ INSURANCE </t>
  </si>
  <si>
    <t xml:space="preserve"> CGHS CREDIT</t>
  </si>
  <si>
    <t xml:space="preserve"> STAR HEALTH TPA</t>
  </si>
  <si>
    <t xml:space="preserve"> HDFC ERGO General Insurance Company Limited</t>
  </si>
  <si>
    <t xml:space="preserve"> Paramount Health Services and Insurance TPA Pvt.Ltd.</t>
  </si>
  <si>
    <t xml:space="preserve"> RAKSHA TPA PVT.LTD.</t>
  </si>
  <si>
    <t xml:space="preserve"> ECHS CREDIT</t>
  </si>
  <si>
    <t xml:space="preserve"> ADITYA BIRLA HEALTH INSURANCE CO. LIMITED</t>
  </si>
  <si>
    <t xml:space="preserve"> DGEHS (CREDIT)</t>
  </si>
  <si>
    <t xml:space="preserve"> Reliance General Insurance Co. Ltd.</t>
  </si>
  <si>
    <t xml:space="preserve"> National Cooperative Development Corporation</t>
  </si>
  <si>
    <t xml:space="preserve"> DAK DIALYSIS</t>
  </si>
  <si>
    <t xml:space="preserve"> HEALTH INSURANCE TPA OF INDIA LTD</t>
  </si>
  <si>
    <t xml:space="preserve"> MD INDIA TPA</t>
  </si>
  <si>
    <t xml:space="preserve"> VIPUL MEDCORP TPA</t>
  </si>
  <si>
    <t xml:space="preserve"> EAST WEST ASSIST TPA PVT LTD</t>
  </si>
  <si>
    <t>REKHA  BHARAJ</t>
  </si>
  <si>
    <t xml:space="preserve"> DGEHS (CASH)</t>
  </si>
  <si>
    <t xml:space="preserve"> DELHI AROGYA KOSH</t>
  </si>
  <si>
    <t xml:space="preserve"> Council of Scientific and Industrial Research (CSIR)</t>
  </si>
  <si>
    <t>GAURI SHANKAR BHARAJ</t>
  </si>
  <si>
    <t xml:space="preserve"> VIDAL HEALTH TPA</t>
  </si>
  <si>
    <t xml:space="preserve"> IFFCO-TOKIO GEN.INSC.</t>
  </si>
  <si>
    <t xml:space="preserve"> ERICSON INSURANCE TPA</t>
  </si>
  <si>
    <t>VEATI NAGAR</t>
  </si>
  <si>
    <t xml:space="preserve"> DAK MLC</t>
  </si>
  <si>
    <t>MANU MALE BABY BHARAJ</t>
  </si>
  <si>
    <t xml:space="preserve"> MUNICIPAL CORPORATION OF DELHI</t>
  </si>
  <si>
    <t>PAWAN KUMAR BHARAJ</t>
  </si>
  <si>
    <t xml:space="preserve"> FAMILY HEALTH PLAN INSURANCE TPA LTD</t>
  </si>
  <si>
    <t xml:space="preserve"> ECHS CASH</t>
  </si>
  <si>
    <t>RAJ KUMAR BHARAJ</t>
  </si>
  <si>
    <t xml:space="preserve"> CIGNA TTK</t>
  </si>
  <si>
    <t xml:space="preserve"> FUTURE GENERALI HEALTH</t>
  </si>
  <si>
    <t>MANU BHARAJ</t>
  </si>
  <si>
    <t xml:space="preserve"> CENTRAL BOARD OF SECONDARY EDUCATION</t>
  </si>
  <si>
    <t xml:space="preserve"> UNIVERSAL SOMPO</t>
  </si>
  <si>
    <t xml:space="preserve"> GOOD HEALTH TPA SERVICES</t>
  </si>
  <si>
    <t xml:space="preserve"> MCD CASH</t>
  </si>
  <si>
    <t>STAFF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</si>
</sst>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0,,\ &quot;L&quot;"/>
  </numFmts>
  <fonts count="4" x14ac:knownFonts="1">
    <font>
      <sz val="11"/>
      <color theme="1"/>
      <name val="Calibri"/>
      <family val="2"/>
      <scheme val="minor"/>
    </font>
    <font>
      <b/>
      <sz val="11"/>
      <color theme="1"/>
      <name val="Calibri"/>
      <family val="2"/>
      <scheme val="minor"/>
    </font>
    <font>
      <b/>
      <sz val="11"/>
      <color theme="1"/>
      <name val="Verdana"/>
      <family val="2"/>
    </font>
    <font>
      <sz val="11"/>
      <color theme="1"/>
      <name val="Calibri"/>
      <family val="2"/>
      <scheme val="minor"/>
    </font>
  </fonts>
  <fills count="3">
    <fill>
      <patternFill patternType="none"/>
    </fill>
    <fill>
      <patternFill patternType="gray125"/>
    </fill>
    <fill>
      <patternFill patternType="solid">
        <fgColor rgb="FF00206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9" fontId="3" fillId="0" borderId="0" applyFont="0" applyFill="0" applyBorder="0" applyAlignment="0" applyProtection="0"/>
  </cellStyleXfs>
  <cellXfs count="18">
    <xf numFmtId="0" fontId="0" fillId="0" borderId="0" xfId="0"/>
    <xf numFmtId="0" fontId="2" fillId="0" borderId="0" xfId="0" applyFont="1"/>
    <xf numFmtId="0" fontId="0" fillId="0" borderId="1" xfId="0" applyBorder="1"/>
    <xf numFmtId="15" fontId="0" fillId="0" borderId="1" xfId="0" applyNumberFormat="1" applyBorder="1"/>
    <xf numFmtId="0" fontId="0" fillId="0" borderId="2" xfId="0" applyBorder="1"/>
    <xf numFmtId="0" fontId="1" fillId="0" borderId="3" xfId="0" applyFont="1" applyBorder="1"/>
    <xf numFmtId="0" fontId="1" fillId="0" borderId="4" xfId="0" applyFont="1" applyBorder="1"/>
    <xf numFmtId="0" fontId="0" fillId="0" borderId="5" xfId="0" applyBorder="1"/>
    <xf numFmtId="0" fontId="0" fillId="0" borderId="6" xfId="0" applyBorder="1"/>
    <xf numFmtId="15" fontId="0" fillId="0" borderId="6" xfId="0" applyNumberFormat="1" applyBorder="1"/>
    <xf numFmtId="44" fontId="0" fillId="0" borderId="1" xfId="0" applyNumberFormat="1" applyBorder="1"/>
    <xf numFmtId="44" fontId="0" fillId="0" borderId="6" xfId="0" applyNumberFormat="1" applyBorder="1"/>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9" fontId="0" fillId="0" borderId="1" xfId="1" applyFont="1" applyBorder="1"/>
    <xf numFmtId="9" fontId="0" fillId="0" borderId="6" xfId="1" applyFont="1" applyBorder="1"/>
  </cellXfs>
  <cellStyles count="2">
    <cellStyle name="Normal" xfId="0" builtinId="0"/>
    <cellStyle name="Percent" xfId="1" builtinId="5"/>
  </cellStyles>
  <dxfs count="140">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border diagonalUp="0" diagonalDown="0">
        <left style="thin">
          <color indexed="64"/>
        </left>
        <right style="thin">
          <color indexed="64"/>
        </right>
        <top style="thin">
          <color indexed="64"/>
        </top>
        <bottom style="thin">
          <color indexed="64"/>
        </bottom>
        <vertical/>
        <horizontal/>
      </border>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numFmt numFmtId="34" formatCode="_ &quot;₹&quot;\ * #,##0.00_ ;_ &quot;₹&quot;\ * \-#,##0.00_ ;_ &quot;₹&quot;\ * &quot;-&quot;??_ ;_ @_ "/>
      <border diagonalUp="0" diagonalDown="0" outline="0">
        <left style="thin">
          <color indexed="64"/>
        </left>
        <right style="thin">
          <color indexed="64"/>
        </right>
        <top style="thin">
          <color indexed="64"/>
        </top>
        <bottom style="thin">
          <color indexed="64"/>
        </bottom>
      </border>
    </dxf>
    <dxf>
      <numFmt numFmtId="34" formatCode="_ &quot;₹&quot;\ * #,##0.00_ ;_ &quot;₹&quot;\ * \-#,##0.00_ ;_ &quot;₹&quot;\ * &quot;-&quot;??_ ;_ @_ "/>
      <border diagonalUp="0" diagonalDown="0" outline="0">
        <left style="thin">
          <color indexed="64"/>
        </left>
        <right style="thin">
          <color indexed="64"/>
        </right>
        <top style="thin">
          <color indexed="64"/>
        </top>
        <bottom style="thin">
          <color indexed="64"/>
        </bottom>
      </border>
    </dxf>
    <dxf>
      <numFmt numFmtId="34" formatCode="_ &quot;₹&quot;\ * #,##0.00_ ;_ &quot;₹&quot;\ * \-#,##0.00_ ;_ &quot;₹&quot;\ * &quot;-&quot;??_ ;_ @_ "/>
      <border diagonalUp="0" diagonalDown="0" outline="0">
        <left style="thin">
          <color indexed="64"/>
        </left>
        <right style="thin">
          <color indexed="64"/>
        </right>
        <top style="thin">
          <color indexed="64"/>
        </top>
        <bottom style="thin">
          <color indexed="64"/>
        </bottom>
      </border>
    </dxf>
    <dxf>
      <numFmt numFmtId="34" formatCode="_ &quot;₹&quot;\ * #,##0.00_ ;_ &quot;₹&quot;\ * \-#,##0.00_ ;_ &quot;₹&quot;\ * &quot;-&quot;??_ ;_ @_ "/>
      <border diagonalUp="0" diagonalDown="0" outline="0">
        <left style="thin">
          <color indexed="64"/>
        </left>
        <right style="thin">
          <color indexed="64"/>
        </right>
        <top style="thin">
          <color indexed="64"/>
        </top>
        <bottom style="thin">
          <color indexed="64"/>
        </bottom>
      </border>
    </dxf>
    <dxf>
      <numFmt numFmtId="34" formatCode="_ &quot;₹&quot;\ * #,##0.00_ ;_ &quot;₹&quot;\ * \-#,##0.00_ ;_ &quot;₹&quot;\ * &quot;-&quot;??_ ;_ @_ "/>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20" formatCode="dd/mmm/yy"/>
      <border diagonalUp="0" diagonalDown="0">
        <left style="thin">
          <color indexed="64"/>
        </left>
        <right style="thin">
          <color indexed="64"/>
        </right>
        <top style="thin">
          <color indexed="64"/>
        </top>
        <bottom style="thin">
          <color indexed="64"/>
        </bottom>
        <vertical/>
        <horizontal/>
      </border>
    </dxf>
    <dxf>
      <numFmt numFmtId="20" formatCode="dd/mmm/yy"/>
      <border diagonalUp="0" diagonalDown="0">
        <left style="thin">
          <color indexed="64"/>
        </left>
        <right style="thin">
          <color indexed="64"/>
        </right>
        <top style="thin">
          <color indexed="64"/>
        </top>
        <bottom style="thin">
          <color indexed="64"/>
        </bottom>
        <vertical/>
        <horizontal/>
      </border>
    </dxf>
    <dxf>
      <numFmt numFmtId="20" formatCode="dd/mmm/yy"/>
      <border diagonalUp="0" diagonalDown="0">
        <left style="thin">
          <color indexed="64"/>
        </left>
        <right style="thin">
          <color indexed="64"/>
        </right>
        <top style="thin">
          <color indexed="64"/>
        </top>
        <bottom style="thin">
          <color indexed="64"/>
        </bottom>
        <vertical/>
        <horizontal/>
      </border>
    </dxf>
    <dxf>
      <numFmt numFmtId="20" formatCode="dd/mmm/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
      <numFmt numFmtId="164" formatCode="#.##0,,\ &quot;L&quot;"/>
    </dxf>
  </dxfs>
  <tableStyles count="0" defaultTableStyle="TableStyleMedium2" defaultPivotStyle="PivotStyleLight16"/>
  <colors>
    <mruColors>
      <color rgb="FF0020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[Admission.xlsx]Sheet2!PivotTable5</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Sheet2!$B$8</c:f>
              <c:strCache>
                <c:ptCount val="1"/>
                <c:pt idx="0">
                  <c:v>Sum of Bill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Sheet2!$A$9:$A$14</c:f>
              <c:strCache>
                <c:ptCount val="5"/>
                <c:pt idx="0">
                  <c:v>Cardiology</c:v>
                </c:pt>
                <c:pt idx="1">
                  <c:v>Gynaecology</c:v>
                </c:pt>
                <c:pt idx="2">
                  <c:v>Medicine.</c:v>
                </c:pt>
                <c:pt idx="3">
                  <c:v>Neuro- Surgery</c:v>
                </c:pt>
                <c:pt idx="4">
                  <c:v>Paediatrics</c:v>
                </c:pt>
              </c:strCache>
            </c:strRef>
          </c:cat>
          <c:val>
            <c:numRef>
              <c:f>Sheet2!$B$9:$B$14</c:f>
              <c:numCache>
                <c:formatCode>#.##0,,\ "L"</c:formatCode>
                <c:ptCount val="5"/>
                <c:pt idx="0">
                  <c:v>48067742</c:v>
                </c:pt>
                <c:pt idx="1">
                  <c:v>14620253</c:v>
                </c:pt>
                <c:pt idx="2">
                  <c:v>108177461</c:v>
                </c:pt>
                <c:pt idx="3">
                  <c:v>11116264</c:v>
                </c:pt>
                <c:pt idx="4">
                  <c:v>10605011</c:v>
                </c:pt>
              </c:numCache>
            </c:numRef>
          </c:val>
          <c:extLst>
            <c:ext xmlns:c16="http://schemas.microsoft.com/office/drawing/2014/chart" uri="{C3380CC4-5D6E-409C-BE32-E72D297353CC}">
              <c16:uniqueId val="{00000000-270C-451D-840F-DE840B8880DB}"/>
            </c:ext>
          </c:extLst>
        </c:ser>
        <c:dLbls>
          <c:showLegendKey val="0"/>
          <c:showVal val="0"/>
          <c:showCatName val="0"/>
          <c:showSerName val="0"/>
          <c:showPercent val="0"/>
          <c:showBubbleSize val="0"/>
        </c:dLbls>
        <c:gapWidth val="247"/>
        <c:overlap val="-27"/>
        <c:axId val="289683968"/>
        <c:axId val="289686368"/>
      </c:barChart>
      <c:lineChart>
        <c:grouping val="standard"/>
        <c:varyColors val="0"/>
        <c:ser>
          <c:idx val="1"/>
          <c:order val="1"/>
          <c:tx>
            <c:strRef>
              <c:f>Sheet2!$C$8</c:f>
              <c:strCache>
                <c:ptCount val="1"/>
                <c:pt idx="0">
                  <c:v>Sum of NET Amount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Sheet2!$A$9:$A$14</c:f>
              <c:strCache>
                <c:ptCount val="5"/>
                <c:pt idx="0">
                  <c:v>Cardiology</c:v>
                </c:pt>
                <c:pt idx="1">
                  <c:v>Gynaecology</c:v>
                </c:pt>
                <c:pt idx="2">
                  <c:v>Medicine.</c:v>
                </c:pt>
                <c:pt idx="3">
                  <c:v>Neuro- Surgery</c:v>
                </c:pt>
                <c:pt idx="4">
                  <c:v>Paediatrics</c:v>
                </c:pt>
              </c:strCache>
            </c:strRef>
          </c:cat>
          <c:val>
            <c:numRef>
              <c:f>Sheet2!$C$9:$C$14</c:f>
              <c:numCache>
                <c:formatCode>#.##0,,\ "L"</c:formatCode>
                <c:ptCount val="5"/>
                <c:pt idx="0">
                  <c:v>45874215</c:v>
                </c:pt>
                <c:pt idx="1">
                  <c:v>12561792</c:v>
                </c:pt>
                <c:pt idx="2">
                  <c:v>87598961</c:v>
                </c:pt>
                <c:pt idx="3">
                  <c:v>7512180</c:v>
                </c:pt>
                <c:pt idx="4">
                  <c:v>8800359</c:v>
                </c:pt>
              </c:numCache>
            </c:numRef>
          </c:val>
          <c:smooth val="0"/>
          <c:extLst>
            <c:ext xmlns:c16="http://schemas.microsoft.com/office/drawing/2014/chart" uri="{C3380CC4-5D6E-409C-BE32-E72D297353CC}">
              <c16:uniqueId val="{00000001-270C-451D-840F-DE840B8880DB}"/>
            </c:ext>
          </c:extLst>
        </c:ser>
        <c:dLbls>
          <c:showLegendKey val="0"/>
          <c:showVal val="0"/>
          <c:showCatName val="0"/>
          <c:showSerName val="0"/>
          <c:showPercent val="0"/>
          <c:showBubbleSize val="0"/>
        </c:dLbls>
        <c:marker val="1"/>
        <c:smooth val="0"/>
        <c:axId val="289683968"/>
        <c:axId val="289686368"/>
      </c:lineChart>
      <c:catAx>
        <c:axId val="2896839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89686368"/>
        <c:crosses val="autoZero"/>
        <c:auto val="1"/>
        <c:lblAlgn val="ctr"/>
        <c:lblOffset val="100"/>
        <c:noMultiLvlLbl val="0"/>
      </c:catAx>
      <c:valAx>
        <c:axId val="289686368"/>
        <c:scaling>
          <c:orientation val="minMax"/>
        </c:scaling>
        <c:delete val="0"/>
        <c:axPos val="l"/>
        <c:numFmt formatCode="#.##0,,\ &quot;L&quot;"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289683968"/>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[Admission.xlsx]Sheet2!PivotTable6</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Sheet2!$E$8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Sheet2!$D$9:$D$11</c:f>
              <c:strCache>
                <c:ptCount val="2"/>
                <c:pt idx="0">
                  <c:v>NOTSETTLED</c:v>
                </c:pt>
                <c:pt idx="1">
                  <c:v>SETTLED</c:v>
                </c:pt>
              </c:strCache>
            </c:strRef>
          </c:cat>
          <c:val>
            <c:numRef>
              <c:f>Sheet2!$E$9:$E$11</c:f>
              <c:numCache>
                <c:formatCode>#.##0,,\ "L"</c:formatCode>
                <c:ptCount val="2"/>
                <c:pt idx="0">
                  <c:v>138040443</c:v>
                </c:pt>
                <c:pt idx="1">
                  <c:v>74228988</c:v>
                </c:pt>
              </c:numCache>
            </c:numRef>
          </c:val>
          <c:shape val="cylinder"/>
          <c:extLst>
            <c:ext xmlns:c16="http://schemas.microsoft.com/office/drawing/2014/chart" uri="{C3380CC4-5D6E-409C-BE32-E72D297353CC}">
              <c16:uniqueId val="{00000000-5BC2-4E00-B6BC-0C5EEABDB922}"/>
            </c:ext>
          </c:extLst>
        </c:ser>
        <c:dLbls>
          <c:showLegendKey val="0"/>
          <c:showVal val="0"/>
          <c:showCatName val="0"/>
          <c:showSerName val="0"/>
          <c:showPercent val="0"/>
          <c:showBubbleSize val="0"/>
        </c:dLbls>
        <c:gapWidth val="150"/>
        <c:shape val="box"/>
        <c:axId val="791208432"/>
        <c:axId val="791192112"/>
        <c:axId val="0"/>
      </c:bar3DChart>
      <c:catAx>
        <c:axId val="7912084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91192112"/>
        <c:crosses val="autoZero"/>
        <c:auto val="1"/>
        <c:lblAlgn val="ctr"/>
        <c:lblOffset val="100"/>
        <c:noMultiLvlLbl val="0"/>
      </c:catAx>
      <c:valAx>
        <c:axId val="791192112"/>
        <c:scaling>
          <c:orientation val="minMax"/>
        </c:scaling>
        <c:delete val="0"/>
        <c:axPos val="l"/>
        <c:numFmt formatCode="#.##0,,\ &quot;L&quot;"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79120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[Admission.xlsx]Sheet2!PivotTable10</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77914250027604"/>
          <c:y val="4.9428663274346689E-2"/>
          <c:w val="0.83462204575042931"/>
          <c:h val="0.85105039084857659"/>
        </c:manualLayout>
      </c:layout>
      <c:lineChart>
        <c:grouping val="stacked"/>
        <c:varyColors val="0"/>
        <c:ser>
          <c:idx val="0"/>
          <c:order val="0"/>
          <c:tx>
            <c:strRef>
              <c:f>Sheet2!$J$8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Sheet2!$I$9:$I$12</c:f>
              <c:strCache>
                <c:ptCount val="3"/>
                <c:pt idx="0">
                  <c:v>August</c:v>
                </c:pt>
                <c:pt idx="1">
                  <c:v>September</c:v>
                </c:pt>
                <c:pt idx="2">
                  <c:v>October</c:v>
                </c:pt>
              </c:strCache>
            </c:strRef>
          </c:cat>
          <c:val>
            <c:numRef>
              <c:f>Sheet2!$J$9:$J$12</c:f>
              <c:numCache>
                <c:formatCode>#.##0,,\ "L"</c:formatCode>
                <c:ptCount val="3"/>
                <c:pt idx="0">
                  <c:v>4901780</c:v>
                </c:pt>
                <c:pt idx="1">
                  <c:v>41508272</c:v>
                </c:pt>
                <c:pt idx="2">
                  <c:v>165859379</c:v>
                </c:pt>
              </c:numCache>
            </c:numRef>
          </c:val>
          <c:smooth val="0"/>
          <c:extLst>
            <c:ext xmlns:c16="http://schemas.microsoft.com/office/drawing/2014/chart" uri="{C3380CC4-5D6E-409C-BE32-E72D297353CC}">
              <c16:uniqueId val="{00000000-168E-4321-8A29-B6E027FAB2B7}"/>
            </c:ext>
          </c:extLst>
        </c:ser>
        <c:dLbls>
          <c:showLegendKey val="0"/>
          <c:showVal val="0"/>
          <c:showCatName val="0"/>
          <c:showSerName val="0"/>
          <c:showPercent val="0"/>
          <c:showBubbleSize val="0"/>
        </c:dLbls>
        <c:smooth val="0"/>
        <c:axId val="791257392"/>
        <c:axId val="791257872"/>
      </c:lineChart>
      <c:catAx>
        <c:axId val="79125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791257872"/>
        <c:crosses val="autoZero"/>
        <c:auto val="1"/>
        <c:lblAlgn val="ctr"/>
        <c:lblOffset val="100"/>
        <c:noMultiLvlLbl val="0"/>
      </c:catAx>
      <c:valAx>
        <c:axId val="791257872"/>
        <c:scaling>
          <c:orientation val="minMax"/>
        </c:scaling>
        <c:delete val="0"/>
        <c:axPos val="l"/>
        <c:numFmt formatCode="#.##0,,\ &quot;L&quot;"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79125739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254249</xdr:colOff>
      <xdr:row>30</xdr:row>
      <xdr:rowOff>60960</xdr:rowOff>
    </xdr:to>
    <xdr:sp macro="" textlink="">
      <xdr:nvSpPr>
        <xdr:cNvPr id="2" name="Rectangle: Diagonal Corners Rounded 1">
          <a:extLst>
            <a:ext uri="{FF2B5EF4-FFF2-40B4-BE49-F238E27FC236}">
              <a16:creationId xmlns:a16="http://schemas.microsoft.com/office/drawing/2014/main" id="{BCF7F084-A1E5-F421-04DE-1464CB91BF72}"/>
            </a:ext>
          </a:extLst>
        </xdr:cNvPr>
        <xdr:cNvSpPr/>
      </xdr:nvSpPr>
      <xdr:spPr>
        <a:xfrm>
          <a:off x="0" y="0"/>
          <a:ext cx="17226067" cy="5516187"/>
        </a:xfrm>
        <a:prstGeom prst="round2DiagRect">
          <a:avLst/>
        </a:prstGeom>
        <a:solidFill>
          <a:schemeClr val="accent1"/>
        </a:solidFill>
        <a:ln>
          <a:noFill/>
        </a:ln>
        <a:effectLst>
          <a:glow rad="228600">
            <a:schemeClr val="accent1">
              <a:satMod val="175000"/>
              <a:alpha val="40000"/>
            </a:schemeClr>
          </a:glow>
          <a:innerShdw blurRad="114300">
            <a:prstClr val="black"/>
          </a:innerShdw>
          <a:softEdge rad="31750"/>
        </a:effectLst>
        <a:scene3d>
          <a:camera prst="obliqueBottomLeft"/>
          <a:lightRig rig="contrasting" dir="t">
            <a:rot lat="0" lon="0" rev="1500000"/>
          </a:lightRig>
        </a:scene3d>
        <a:sp3d prstMaterial="metal">
          <a:bevelT w="88900" h="88900"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69273</xdr:colOff>
      <xdr:row>0</xdr:row>
      <xdr:rowOff>60614</xdr:rowOff>
    </xdr:from>
    <xdr:to>
      <xdr:col>6</xdr:col>
      <xdr:colOff>69273</xdr:colOff>
      <xdr:row>7</xdr:row>
      <xdr:rowOff>25978</xdr:rowOff>
    </xdr:to>
    <xdr:sp macro="" textlink="">
      <xdr:nvSpPr>
        <xdr:cNvPr id="4" name="Rectangle 3">
          <a:extLst>
            <a:ext uri="{FF2B5EF4-FFF2-40B4-BE49-F238E27FC236}">
              <a16:creationId xmlns:a16="http://schemas.microsoft.com/office/drawing/2014/main" id="{54DA5BA1-5A3B-B67D-E092-ED3950249DF3}"/>
            </a:ext>
          </a:extLst>
        </xdr:cNvPr>
        <xdr:cNvSpPr/>
      </xdr:nvSpPr>
      <xdr:spPr>
        <a:xfrm>
          <a:off x="69273" y="60614"/>
          <a:ext cx="3636818" cy="1238250"/>
        </a:xfrm>
        <a:prstGeom prst="rect">
          <a:avLst/>
        </a:prstGeom>
        <a:solidFill>
          <a:srgbClr val="00206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112568</xdr:colOff>
      <xdr:row>0</xdr:row>
      <xdr:rowOff>155864</xdr:rowOff>
    </xdr:from>
    <xdr:to>
      <xdr:col>5</xdr:col>
      <xdr:colOff>588818</xdr:colOff>
      <xdr:row>6</xdr:row>
      <xdr:rowOff>86591</xdr:rowOff>
    </xdr:to>
    <xdr:sp macro="" textlink="">
      <xdr:nvSpPr>
        <xdr:cNvPr id="5" name="TextBox 4">
          <a:extLst>
            <a:ext uri="{FF2B5EF4-FFF2-40B4-BE49-F238E27FC236}">
              <a16:creationId xmlns:a16="http://schemas.microsoft.com/office/drawing/2014/main" id="{337CE9F9-92AC-DB94-0CC5-3F12DC21160B}"/>
            </a:ext>
          </a:extLst>
        </xdr:cNvPr>
        <xdr:cNvSpPr txBox="1"/>
      </xdr:nvSpPr>
      <xdr:spPr>
        <a:xfrm>
          <a:off x="112568" y="155864"/>
          <a:ext cx="3506932" cy="1021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600" b="1" i="1" u="sng">
              <a:ln>
                <a:noFill/>
              </a:ln>
              <a:solidFill>
                <a:schemeClr val="bg1"/>
              </a:solidFill>
              <a:latin typeface="ADLaM Display" panose="02010000000000000000" pitchFamily="2" charset="0"/>
              <a:ea typeface="ADLaM Display" panose="02010000000000000000" pitchFamily="2" charset="0"/>
              <a:cs typeface="ADLaM Display" panose="02010000000000000000" pitchFamily="2" charset="0"/>
            </a:rPr>
            <a:t>IPD Bill Outstanding</a:t>
          </a:r>
          <a:r>
            <a:rPr lang="en-IN" sz="2600" b="1" i="1" u="sng" baseline="0">
              <a:ln>
                <a:noFill/>
              </a:ln>
              <a:solidFill>
                <a:schemeClr val="bg1"/>
              </a:solidFill>
              <a:latin typeface="ADLaM Display" panose="02010000000000000000" pitchFamily="2" charset="0"/>
              <a:ea typeface="ADLaM Display" panose="02010000000000000000" pitchFamily="2" charset="0"/>
              <a:cs typeface="ADLaM Display" panose="02010000000000000000" pitchFamily="2" charset="0"/>
            </a:rPr>
            <a:t> Dashboard</a:t>
          </a:r>
          <a:endParaRPr lang="en-IN" sz="2600" b="1" i="1" u="sng">
            <a:ln>
              <a:noFill/>
            </a:ln>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0</xdr:col>
      <xdr:colOff>95768</xdr:colOff>
      <xdr:row>12</xdr:row>
      <xdr:rowOff>159882</xdr:rowOff>
    </xdr:from>
    <xdr:to>
      <xdr:col>3</xdr:col>
      <xdr:colOff>106159</xdr:colOff>
      <xdr:row>19</xdr:row>
      <xdr:rowOff>67707</xdr:rowOff>
    </xdr:to>
    <mc:AlternateContent xmlns:mc="http://schemas.openxmlformats.org/markup-compatibility/2006">
      <mc:Choice xmlns:a14="http://schemas.microsoft.com/office/drawing/2010/main" Requires="a14">
        <xdr:graphicFrame macro="">
          <xdr:nvGraphicFramePr>
            <xdr:cNvPr id="6" name="Admission Month">
              <a:extLst>
                <a:ext uri="{FF2B5EF4-FFF2-40B4-BE49-F238E27FC236}">
                  <a16:creationId xmlns:a16="http://schemas.microsoft.com/office/drawing/2014/main" id="{29A12A4B-2721-42DF-8A61-C2E3A271F030}"/>
                </a:ext>
              </a:extLst>
            </xdr:cNvPr>
            <xdr:cNvGraphicFramePr/>
          </xdr:nvGraphicFramePr>
          <xdr:xfrm>
            <a:off x="0" y="0"/>
            <a:ext cx="0" cy="0"/>
          </xdr:xfrm>
          <a:graphic>
            <a:graphicData uri="http://schemas.microsoft.com/office/drawing/2010/slicer">
              <sle:slicer xmlns:sle="http://schemas.microsoft.com/office/drawing/2010/slicer" name="Admission Month"/>
            </a:graphicData>
          </a:graphic>
        </xdr:graphicFrame>
      </mc:Choice>
      <mc:Fallback>
        <xdr:sp macro="" textlink="">
          <xdr:nvSpPr>
            <xdr:cNvPr id="0" name=""/>
            <xdr:cNvSpPr>
              <a:spLocks noTextEdit="1"/>
            </xdr:cNvSpPr>
          </xdr:nvSpPr>
          <xdr:spPr>
            <a:xfrm>
              <a:off x="95768" y="2363255"/>
              <a:ext cx="1828174" cy="11931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93171</xdr:colOff>
      <xdr:row>7</xdr:row>
      <xdr:rowOff>127809</xdr:rowOff>
    </xdr:from>
    <xdr:to>
      <xdr:col>3</xdr:col>
      <xdr:colOff>103562</xdr:colOff>
      <xdr:row>12</xdr:row>
      <xdr:rowOff>103909</xdr:rowOff>
    </xdr:to>
    <mc:AlternateContent xmlns:mc="http://schemas.openxmlformats.org/markup-compatibility/2006" xmlns:a14="http://schemas.microsoft.com/office/drawing/2010/main">
      <mc:Choice Requires="a14">
        <xdr:graphicFrame macro="">
          <xdr:nvGraphicFramePr>
            <xdr:cNvPr id="7" name="Status">
              <a:extLst>
                <a:ext uri="{FF2B5EF4-FFF2-40B4-BE49-F238E27FC236}">
                  <a16:creationId xmlns:a16="http://schemas.microsoft.com/office/drawing/2014/main" id="{68BAD441-7AD8-43D4-A157-E7A5DD0DAFB2}"/>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93171" y="1400695"/>
              <a:ext cx="1828800" cy="885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165215</xdr:colOff>
      <xdr:row>7</xdr:row>
      <xdr:rowOff>108065</xdr:rowOff>
    </xdr:from>
    <xdr:to>
      <xdr:col>6</xdr:col>
      <xdr:colOff>95250</xdr:colOff>
      <xdr:row>30</xdr:row>
      <xdr:rowOff>9180</xdr:rowOff>
    </xdr:to>
    <mc:AlternateContent xmlns:mc="http://schemas.openxmlformats.org/markup-compatibility/2006" xmlns:a14="http://schemas.microsoft.com/office/drawing/2010/main">
      <mc:Choice Requires="a14">
        <xdr:graphicFrame macro="">
          <xdr:nvGraphicFramePr>
            <xdr:cNvPr id="8" name="PAYTYPE">
              <a:extLst>
                <a:ext uri="{FF2B5EF4-FFF2-40B4-BE49-F238E27FC236}">
                  <a16:creationId xmlns:a16="http://schemas.microsoft.com/office/drawing/2014/main" id="{04BC8CC6-F61E-4376-AEB5-CF5F954294A2}"/>
                </a:ext>
              </a:extLst>
            </xdr:cNvPr>
            <xdr:cNvGraphicFramePr/>
          </xdr:nvGraphicFramePr>
          <xdr:xfrm>
            <a:off x="0" y="0"/>
            <a:ext cx="0" cy="0"/>
          </xdr:xfrm>
          <a:graphic>
            <a:graphicData uri="http://schemas.microsoft.com/office/drawing/2010/slicer">
              <sle:slicer xmlns:sle="http://schemas.microsoft.com/office/drawing/2010/slicer" name="PAYTYPE"/>
            </a:graphicData>
          </a:graphic>
        </xdr:graphicFrame>
      </mc:Choice>
      <mc:Fallback xmlns="">
        <xdr:sp macro="" textlink="">
          <xdr:nvSpPr>
            <xdr:cNvPr id="0" name=""/>
            <xdr:cNvSpPr>
              <a:spLocks noTextEdit="1"/>
            </xdr:cNvSpPr>
          </xdr:nvSpPr>
          <xdr:spPr>
            <a:xfrm>
              <a:off x="1983624" y="1380951"/>
              <a:ext cx="1748444" cy="3736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164522</xdr:colOff>
      <xdr:row>0</xdr:row>
      <xdr:rowOff>86590</xdr:rowOff>
    </xdr:from>
    <xdr:to>
      <xdr:col>10</xdr:col>
      <xdr:colOff>510886</xdr:colOff>
      <xdr:row>6</xdr:row>
      <xdr:rowOff>86591</xdr:rowOff>
    </xdr:to>
    <xdr:grpSp>
      <xdr:nvGrpSpPr>
        <xdr:cNvPr id="16" name="Group 15">
          <a:extLst>
            <a:ext uri="{FF2B5EF4-FFF2-40B4-BE49-F238E27FC236}">
              <a16:creationId xmlns:a16="http://schemas.microsoft.com/office/drawing/2014/main" id="{CB6BBE5C-D1FD-AB71-92F2-96EAD9017467}"/>
            </a:ext>
          </a:extLst>
        </xdr:cNvPr>
        <xdr:cNvGrpSpPr/>
      </xdr:nvGrpSpPr>
      <xdr:grpSpPr>
        <a:xfrm>
          <a:off x="3800088" y="86590"/>
          <a:ext cx="2770075" cy="1101688"/>
          <a:chOff x="3792681" y="95250"/>
          <a:chExt cx="2770910" cy="1091046"/>
        </a:xfrm>
      </xdr:grpSpPr>
      <xdr:sp macro="" textlink="">
        <xdr:nvSpPr>
          <xdr:cNvPr id="9" name="Rectangle 8">
            <a:extLst>
              <a:ext uri="{FF2B5EF4-FFF2-40B4-BE49-F238E27FC236}">
                <a16:creationId xmlns:a16="http://schemas.microsoft.com/office/drawing/2014/main" id="{00EAF64D-C33C-AE5F-BDD2-40C560C4194A}"/>
              </a:ext>
            </a:extLst>
          </xdr:cNvPr>
          <xdr:cNvSpPr/>
        </xdr:nvSpPr>
        <xdr:spPr>
          <a:xfrm>
            <a:off x="3792681" y="95250"/>
            <a:ext cx="2554432" cy="1013114"/>
          </a:xfrm>
          <a:prstGeom prst="rect">
            <a:avLst/>
          </a:prstGeom>
          <a:solidFill>
            <a:srgbClr val="00206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0" name="TextBox 9">
            <a:extLst>
              <a:ext uri="{FF2B5EF4-FFF2-40B4-BE49-F238E27FC236}">
                <a16:creationId xmlns:a16="http://schemas.microsoft.com/office/drawing/2014/main" id="{6ECC2565-8D92-B4A6-ED4C-915FA39E1145}"/>
              </a:ext>
            </a:extLst>
          </xdr:cNvPr>
          <xdr:cNvSpPr txBox="1"/>
        </xdr:nvSpPr>
        <xdr:spPr>
          <a:xfrm>
            <a:off x="3801342" y="103909"/>
            <a:ext cx="2277341" cy="389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800" b="1" i="1" u="sng">
                <a:ln>
                  <a:noFill/>
                </a:ln>
                <a:solidFill>
                  <a:schemeClr val="bg1"/>
                </a:solidFill>
                <a:latin typeface="ADLaM Display" panose="02010000000000000000" pitchFamily="2" charset="0"/>
                <a:ea typeface="ADLaM Display" panose="02010000000000000000" pitchFamily="2" charset="0"/>
                <a:cs typeface="ADLaM Display" panose="02010000000000000000" pitchFamily="2" charset="0"/>
              </a:rPr>
              <a:t>Total Bill Amount</a:t>
            </a:r>
          </a:p>
        </xdr:txBody>
      </xdr:sp>
      <xdr:pic>
        <xdr:nvPicPr>
          <xdr:cNvPr id="12" name="Graphic 11" descr="Money outline">
            <a:extLst>
              <a:ext uri="{FF2B5EF4-FFF2-40B4-BE49-F238E27FC236}">
                <a16:creationId xmlns:a16="http://schemas.microsoft.com/office/drawing/2014/main" id="{7BEF3E79-E54F-56D4-43F3-B4834E3AC2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44637" y="303067"/>
            <a:ext cx="831273" cy="831273"/>
          </a:xfrm>
          <a:prstGeom prst="rect">
            <a:avLst/>
          </a:prstGeom>
        </xdr:spPr>
      </xdr:pic>
      <xdr:sp macro="" textlink="Sheet2!A4">
        <xdr:nvSpPr>
          <xdr:cNvPr id="13" name="TextBox 12">
            <a:extLst>
              <a:ext uri="{FF2B5EF4-FFF2-40B4-BE49-F238E27FC236}">
                <a16:creationId xmlns:a16="http://schemas.microsoft.com/office/drawing/2014/main" id="{7299A010-F6F9-C6AC-8A1D-702BF148EB3B}"/>
              </a:ext>
            </a:extLst>
          </xdr:cNvPr>
          <xdr:cNvSpPr txBox="1"/>
        </xdr:nvSpPr>
        <xdr:spPr>
          <a:xfrm>
            <a:off x="4182341" y="536863"/>
            <a:ext cx="2381250" cy="649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8A3AE84-CA38-44C2-9134-1F9C7321AFB8}" type="TxLink">
              <a:rPr lang="en-US" sz="2200" b="0" i="0" u="none">
                <a:ln>
                  <a:noFill/>
                </a:ln>
                <a:solidFill>
                  <a:schemeClr val="bg1"/>
                </a:solidFill>
                <a:latin typeface="ADLaM Display" panose="02010000000000000000" pitchFamily="2" charset="0"/>
                <a:ea typeface="ADLaM Display" panose="02010000000000000000" pitchFamily="2" charset="0"/>
                <a:cs typeface="ADLaM Display" panose="02010000000000000000" pitchFamily="2" charset="0"/>
              </a:rPr>
              <a:pPr marL="0" indent="0" algn="ctr"/>
              <a:t>251.252 L</a:t>
            </a:fld>
            <a:endParaRPr lang="en-IN" sz="2200" b="0" i="0" u="none">
              <a:ln>
                <a:noFill/>
              </a:ln>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grpSp>
    <xdr:clientData/>
  </xdr:twoCellAnchor>
  <xdr:twoCellAnchor>
    <xdr:from>
      <xdr:col>15</xdr:col>
      <xdr:colOff>36369</xdr:colOff>
      <xdr:row>0</xdr:row>
      <xdr:rowOff>71003</xdr:rowOff>
    </xdr:from>
    <xdr:to>
      <xdr:col>19</xdr:col>
      <xdr:colOff>166255</xdr:colOff>
      <xdr:row>6</xdr:row>
      <xdr:rowOff>10389</xdr:rowOff>
    </xdr:to>
    <xdr:grpSp>
      <xdr:nvGrpSpPr>
        <xdr:cNvPr id="38" name="Group 37">
          <a:extLst>
            <a:ext uri="{FF2B5EF4-FFF2-40B4-BE49-F238E27FC236}">
              <a16:creationId xmlns:a16="http://schemas.microsoft.com/office/drawing/2014/main" id="{57879865-5746-1E7E-6D10-45CB65C3A93A}"/>
            </a:ext>
          </a:extLst>
        </xdr:cNvPr>
        <xdr:cNvGrpSpPr/>
      </xdr:nvGrpSpPr>
      <xdr:grpSpPr>
        <a:xfrm>
          <a:off x="9125285" y="71003"/>
          <a:ext cx="2553597" cy="1041073"/>
          <a:chOff x="9128414" y="71003"/>
          <a:chExt cx="2554432" cy="1030431"/>
        </a:xfrm>
      </xdr:grpSpPr>
      <xdr:sp macro="" textlink="">
        <xdr:nvSpPr>
          <xdr:cNvPr id="23" name="Rectangle 22">
            <a:extLst>
              <a:ext uri="{FF2B5EF4-FFF2-40B4-BE49-F238E27FC236}">
                <a16:creationId xmlns:a16="http://schemas.microsoft.com/office/drawing/2014/main" id="{DCEBAFF0-7417-D734-CE2A-05DDE239E9E5}"/>
              </a:ext>
            </a:extLst>
          </xdr:cNvPr>
          <xdr:cNvSpPr/>
        </xdr:nvSpPr>
        <xdr:spPr>
          <a:xfrm>
            <a:off x="9128414" y="71003"/>
            <a:ext cx="2554432" cy="1013114"/>
          </a:xfrm>
          <a:prstGeom prst="rect">
            <a:avLst/>
          </a:prstGeom>
          <a:solidFill>
            <a:srgbClr val="00206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4" name="TextBox 23">
            <a:extLst>
              <a:ext uri="{FF2B5EF4-FFF2-40B4-BE49-F238E27FC236}">
                <a16:creationId xmlns:a16="http://schemas.microsoft.com/office/drawing/2014/main" id="{AAFCDEC0-C70E-CA98-147F-F7733F3F5E1E}"/>
              </a:ext>
            </a:extLst>
          </xdr:cNvPr>
          <xdr:cNvSpPr txBox="1"/>
        </xdr:nvSpPr>
        <xdr:spPr>
          <a:xfrm>
            <a:off x="9189029" y="71003"/>
            <a:ext cx="2277341" cy="389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800" b="1" i="1" u="sng">
                <a:ln>
                  <a:noFill/>
                </a:ln>
                <a:solidFill>
                  <a:schemeClr val="bg1"/>
                </a:solidFill>
                <a:latin typeface="ADLaM Display" panose="02010000000000000000" pitchFamily="2" charset="0"/>
                <a:ea typeface="ADLaM Display" panose="02010000000000000000" pitchFamily="2" charset="0"/>
                <a:cs typeface="ADLaM Display" panose="02010000000000000000" pitchFamily="2" charset="0"/>
              </a:rPr>
              <a:t>Total Net Amount</a:t>
            </a:r>
          </a:p>
        </xdr:txBody>
      </xdr:sp>
      <xdr:pic>
        <xdr:nvPicPr>
          <xdr:cNvPr id="25" name="Graphic 24" descr="Money outline">
            <a:extLst>
              <a:ext uri="{FF2B5EF4-FFF2-40B4-BE49-F238E27FC236}">
                <a16:creationId xmlns:a16="http://schemas.microsoft.com/office/drawing/2014/main" id="{27E702DE-6D28-6028-F695-0B24F5AECE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32324" y="270161"/>
            <a:ext cx="831273" cy="831273"/>
          </a:xfrm>
          <a:prstGeom prst="rect">
            <a:avLst/>
          </a:prstGeom>
        </xdr:spPr>
      </xdr:pic>
      <xdr:sp macro="" textlink="Sheet2!F4">
        <xdr:nvSpPr>
          <xdr:cNvPr id="26" name="TextBox 25">
            <a:extLst>
              <a:ext uri="{FF2B5EF4-FFF2-40B4-BE49-F238E27FC236}">
                <a16:creationId xmlns:a16="http://schemas.microsoft.com/office/drawing/2014/main" id="{4C68023B-8FDD-4360-C035-19CEC1472F26}"/>
              </a:ext>
            </a:extLst>
          </xdr:cNvPr>
          <xdr:cNvSpPr txBox="1"/>
        </xdr:nvSpPr>
        <xdr:spPr>
          <a:xfrm>
            <a:off x="10020299" y="469322"/>
            <a:ext cx="1617519" cy="431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A7F5A8C-A1F4-4F5A-A04F-EE6F4C9A77E9}" type="TxLink">
              <a:rPr lang="en-US" sz="2800" b="1" i="0" u="none" strike="noStrike">
                <a:ln>
                  <a:noFill/>
                </a:ln>
                <a:solidFill>
                  <a:schemeClr val="bg1"/>
                </a:solidFill>
                <a:latin typeface="Calibri"/>
                <a:ea typeface="Calibri"/>
                <a:cs typeface="Calibri"/>
              </a:rPr>
              <a:pPr marL="0" indent="0" algn="ctr"/>
              <a:t>212.269 L</a:t>
            </a:fld>
            <a:endParaRPr lang="en-IN" sz="2800" b="1" i="0" u="none" strike="noStrike">
              <a:ln>
                <a:noFill/>
              </a:ln>
              <a:solidFill>
                <a:schemeClr val="bg1"/>
              </a:solidFill>
              <a:latin typeface="Calibri"/>
              <a:ea typeface="Calibri"/>
              <a:cs typeface="Calibri"/>
            </a:endParaRPr>
          </a:p>
        </xdr:txBody>
      </xdr:sp>
    </xdr:grpSp>
    <xdr:clientData/>
  </xdr:twoCellAnchor>
  <xdr:twoCellAnchor>
    <xdr:from>
      <xdr:col>10</xdr:col>
      <xdr:colOff>394853</xdr:colOff>
      <xdr:row>0</xdr:row>
      <xdr:rowOff>83126</xdr:rowOff>
    </xdr:from>
    <xdr:to>
      <xdr:col>14</xdr:col>
      <xdr:colOff>528205</xdr:colOff>
      <xdr:row>6</xdr:row>
      <xdr:rowOff>43295</xdr:rowOff>
    </xdr:to>
    <xdr:grpSp>
      <xdr:nvGrpSpPr>
        <xdr:cNvPr id="37" name="Group 36">
          <a:extLst>
            <a:ext uri="{FF2B5EF4-FFF2-40B4-BE49-F238E27FC236}">
              <a16:creationId xmlns:a16="http://schemas.microsoft.com/office/drawing/2014/main" id="{F15E351F-829A-A864-600C-BA7BE4AEDB3C}"/>
            </a:ext>
          </a:extLst>
        </xdr:cNvPr>
        <xdr:cNvGrpSpPr/>
      </xdr:nvGrpSpPr>
      <xdr:grpSpPr>
        <a:xfrm>
          <a:off x="6454130" y="83126"/>
          <a:ext cx="2557063" cy="1061856"/>
          <a:chOff x="6317671" y="264967"/>
          <a:chExt cx="2557897" cy="1051214"/>
        </a:xfrm>
      </xdr:grpSpPr>
      <xdr:sp macro="" textlink="">
        <xdr:nvSpPr>
          <xdr:cNvPr id="18" name="Rectangle 17">
            <a:extLst>
              <a:ext uri="{FF2B5EF4-FFF2-40B4-BE49-F238E27FC236}">
                <a16:creationId xmlns:a16="http://schemas.microsoft.com/office/drawing/2014/main" id="{AF46253A-337E-F650-80AC-7D10CA90BB4C}"/>
              </a:ext>
            </a:extLst>
          </xdr:cNvPr>
          <xdr:cNvSpPr/>
        </xdr:nvSpPr>
        <xdr:spPr>
          <a:xfrm>
            <a:off x="6317671" y="264967"/>
            <a:ext cx="2554432" cy="1013114"/>
          </a:xfrm>
          <a:prstGeom prst="rect">
            <a:avLst/>
          </a:prstGeom>
          <a:solidFill>
            <a:srgbClr val="00206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9" name="TextBox 18">
            <a:extLst>
              <a:ext uri="{FF2B5EF4-FFF2-40B4-BE49-F238E27FC236}">
                <a16:creationId xmlns:a16="http://schemas.microsoft.com/office/drawing/2014/main" id="{8363525D-EE93-95CB-B3D8-50081B5F0DFF}"/>
              </a:ext>
            </a:extLst>
          </xdr:cNvPr>
          <xdr:cNvSpPr txBox="1"/>
        </xdr:nvSpPr>
        <xdr:spPr>
          <a:xfrm>
            <a:off x="6360969" y="273626"/>
            <a:ext cx="2514599" cy="389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b="1" i="1" u="sng">
                <a:ln>
                  <a:noFill/>
                </a:ln>
                <a:solidFill>
                  <a:schemeClr val="bg1"/>
                </a:solidFill>
                <a:latin typeface="ADLaM Display" panose="02010000000000000000" pitchFamily="2" charset="0"/>
                <a:ea typeface="ADLaM Display" panose="02010000000000000000" pitchFamily="2" charset="0"/>
                <a:cs typeface="ADLaM Display" panose="02010000000000000000" pitchFamily="2" charset="0"/>
              </a:rPr>
              <a:t>Total</a:t>
            </a:r>
            <a:r>
              <a:rPr lang="en-IN" sz="1600" b="1" i="1" u="sng" baseline="0">
                <a:ln>
                  <a:noFill/>
                </a:ln>
                <a:solidFill>
                  <a:schemeClr val="bg1"/>
                </a:solidFill>
                <a:latin typeface="ADLaM Display" panose="02010000000000000000" pitchFamily="2" charset="0"/>
                <a:ea typeface="ADLaM Display" panose="02010000000000000000" pitchFamily="2" charset="0"/>
                <a:cs typeface="ADLaM Display" panose="02010000000000000000" pitchFamily="2" charset="0"/>
              </a:rPr>
              <a:t> Discount Allowed	</a:t>
            </a:r>
            <a:endParaRPr lang="en-IN" sz="1600" b="1" i="1" u="sng">
              <a:ln>
                <a:noFill/>
              </a:ln>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Sheet2!D4">
        <xdr:nvSpPr>
          <xdr:cNvPr id="21" name="TextBox 20">
            <a:extLst>
              <a:ext uri="{FF2B5EF4-FFF2-40B4-BE49-F238E27FC236}">
                <a16:creationId xmlns:a16="http://schemas.microsoft.com/office/drawing/2014/main" id="{6E918246-D967-257F-DD9D-CA25C384BC96}"/>
              </a:ext>
            </a:extLst>
          </xdr:cNvPr>
          <xdr:cNvSpPr txBox="1"/>
        </xdr:nvSpPr>
        <xdr:spPr>
          <a:xfrm>
            <a:off x="7226876" y="602671"/>
            <a:ext cx="1506682" cy="510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C9695F0-D515-4E69-8E60-099FCCD1CFAE}" type="TxLink">
              <a:rPr lang="en-US" sz="2800" b="1" i="0" u="none" strike="noStrike">
                <a:ln>
                  <a:noFill/>
                </a:ln>
                <a:solidFill>
                  <a:schemeClr val="bg1"/>
                </a:solidFill>
                <a:latin typeface="Calibri"/>
                <a:ea typeface="Calibri"/>
                <a:cs typeface="Calibri"/>
              </a:rPr>
              <a:pPr marL="0" indent="0" algn="ctr"/>
              <a:t>38.982 L</a:t>
            </a:fld>
            <a:endParaRPr lang="en-IN" sz="2800" b="1" i="1" u="none">
              <a:ln>
                <a:noFill/>
              </a:ln>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pic>
        <xdr:nvPicPr>
          <xdr:cNvPr id="33" name="Graphic 32" descr="Coins outline">
            <a:extLst>
              <a:ext uri="{FF2B5EF4-FFF2-40B4-BE49-F238E27FC236}">
                <a16:creationId xmlns:a16="http://schemas.microsoft.com/office/drawing/2014/main" id="{BDB7F436-354B-63EA-9E69-74ACB1DC0F9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416387" y="502227"/>
            <a:ext cx="813954" cy="813954"/>
          </a:xfrm>
          <a:prstGeom prst="rect">
            <a:avLst/>
          </a:prstGeom>
        </xdr:spPr>
      </xdr:pic>
    </xdr:grpSp>
    <xdr:clientData/>
  </xdr:twoCellAnchor>
  <xdr:twoCellAnchor>
    <xdr:from>
      <xdr:col>19</xdr:col>
      <xdr:colOff>277091</xdr:colOff>
      <xdr:row>0</xdr:row>
      <xdr:rowOff>76198</xdr:rowOff>
    </xdr:from>
    <xdr:to>
      <xdr:col>23</xdr:col>
      <xdr:colOff>439883</xdr:colOff>
      <xdr:row>6</xdr:row>
      <xdr:rowOff>43296</xdr:rowOff>
    </xdr:to>
    <xdr:grpSp>
      <xdr:nvGrpSpPr>
        <xdr:cNvPr id="39" name="Group 38">
          <a:extLst>
            <a:ext uri="{FF2B5EF4-FFF2-40B4-BE49-F238E27FC236}">
              <a16:creationId xmlns:a16="http://schemas.microsoft.com/office/drawing/2014/main" id="{0F84ACC4-AFFD-A394-5FA4-A08167742268}"/>
            </a:ext>
          </a:extLst>
        </xdr:cNvPr>
        <xdr:cNvGrpSpPr/>
      </xdr:nvGrpSpPr>
      <xdr:grpSpPr>
        <a:xfrm>
          <a:off x="11789718" y="76198"/>
          <a:ext cx="2586502" cy="1068785"/>
          <a:chOff x="11852564" y="76198"/>
          <a:chExt cx="2554432" cy="1071997"/>
        </a:xfrm>
      </xdr:grpSpPr>
      <xdr:sp macro="" textlink="">
        <xdr:nvSpPr>
          <xdr:cNvPr id="28" name="Rectangle 27">
            <a:extLst>
              <a:ext uri="{FF2B5EF4-FFF2-40B4-BE49-F238E27FC236}">
                <a16:creationId xmlns:a16="http://schemas.microsoft.com/office/drawing/2014/main" id="{C9E3D877-2FC1-D7EE-6839-89830979336E}"/>
              </a:ext>
            </a:extLst>
          </xdr:cNvPr>
          <xdr:cNvSpPr/>
        </xdr:nvSpPr>
        <xdr:spPr>
          <a:xfrm>
            <a:off x="11852564" y="76198"/>
            <a:ext cx="2554432" cy="1013114"/>
          </a:xfrm>
          <a:prstGeom prst="rect">
            <a:avLst/>
          </a:prstGeom>
          <a:solidFill>
            <a:srgbClr val="00206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9" name="TextBox 28">
            <a:extLst>
              <a:ext uri="{FF2B5EF4-FFF2-40B4-BE49-F238E27FC236}">
                <a16:creationId xmlns:a16="http://schemas.microsoft.com/office/drawing/2014/main" id="{D64A51EF-D35C-0CC2-91E4-6D886187D3FA}"/>
              </a:ext>
            </a:extLst>
          </xdr:cNvPr>
          <xdr:cNvSpPr txBox="1"/>
        </xdr:nvSpPr>
        <xdr:spPr>
          <a:xfrm>
            <a:off x="11861225" y="84857"/>
            <a:ext cx="2277341" cy="389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800" b="1" i="1" u="sng">
                <a:ln>
                  <a:noFill/>
                </a:ln>
                <a:solidFill>
                  <a:schemeClr val="bg1"/>
                </a:solidFill>
                <a:latin typeface="ADLaM Display" panose="02010000000000000000" pitchFamily="2" charset="0"/>
                <a:ea typeface="ADLaM Display" panose="02010000000000000000" pitchFamily="2" charset="0"/>
                <a:cs typeface="ADLaM Display" panose="02010000000000000000" pitchFamily="2" charset="0"/>
              </a:rPr>
              <a:t>Total Paid Amount</a:t>
            </a:r>
          </a:p>
        </xdr:txBody>
      </xdr:sp>
      <xdr:sp macro="" textlink="Sheet2!H4">
        <xdr:nvSpPr>
          <xdr:cNvPr id="31" name="TextBox 30">
            <a:extLst>
              <a:ext uri="{FF2B5EF4-FFF2-40B4-BE49-F238E27FC236}">
                <a16:creationId xmlns:a16="http://schemas.microsoft.com/office/drawing/2014/main" id="{0B55F550-0091-C35D-96AD-EF83E43F78FB}"/>
              </a:ext>
            </a:extLst>
          </xdr:cNvPr>
          <xdr:cNvSpPr txBox="1"/>
        </xdr:nvSpPr>
        <xdr:spPr>
          <a:xfrm>
            <a:off x="12727132" y="448539"/>
            <a:ext cx="1506682" cy="510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26AC723-1EF3-437A-A39E-885DF20BCEC3}" type="TxLink">
              <a:rPr lang="en-US" sz="2800" b="1" i="0" u="none" strike="noStrike">
                <a:ln>
                  <a:noFill/>
                </a:ln>
                <a:solidFill>
                  <a:schemeClr val="bg1"/>
                </a:solidFill>
                <a:latin typeface="Calibri"/>
                <a:ea typeface="Calibri"/>
                <a:cs typeface="Calibri"/>
              </a:rPr>
              <a:pPr marL="0" indent="0" algn="ctr"/>
              <a:t>92.889 L</a:t>
            </a:fld>
            <a:endParaRPr lang="en-IN" sz="2800" b="1" i="0" u="none" strike="noStrike">
              <a:ln>
                <a:noFill/>
              </a:ln>
              <a:solidFill>
                <a:schemeClr val="bg1"/>
              </a:solidFill>
              <a:latin typeface="Calibri"/>
              <a:ea typeface="Calibri"/>
              <a:cs typeface="Calibri"/>
            </a:endParaRPr>
          </a:p>
        </xdr:txBody>
      </xdr:sp>
      <xdr:pic>
        <xdr:nvPicPr>
          <xdr:cNvPr id="36" name="Graphic 35" descr="Coins outline">
            <a:extLst>
              <a:ext uri="{FF2B5EF4-FFF2-40B4-BE49-F238E27FC236}">
                <a16:creationId xmlns:a16="http://schemas.microsoft.com/office/drawing/2014/main" id="{6665E19F-49A8-68DC-84A1-A2DAD45229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859491" y="334241"/>
            <a:ext cx="813954" cy="813954"/>
          </a:xfrm>
          <a:prstGeom prst="rect">
            <a:avLst/>
          </a:prstGeom>
        </xdr:spPr>
      </xdr:pic>
    </xdr:grpSp>
    <xdr:clientData/>
  </xdr:twoCellAnchor>
  <xdr:twoCellAnchor>
    <xdr:from>
      <xdr:col>23</xdr:col>
      <xdr:colOff>559301</xdr:colOff>
      <xdr:row>0</xdr:row>
      <xdr:rowOff>55650</xdr:rowOff>
    </xdr:from>
    <xdr:to>
      <xdr:col>28</xdr:col>
      <xdr:colOff>75039</xdr:colOff>
      <xdr:row>5</xdr:row>
      <xdr:rowOff>176876</xdr:rowOff>
    </xdr:to>
    <xdr:grpSp>
      <xdr:nvGrpSpPr>
        <xdr:cNvPr id="34" name="Group 33">
          <a:extLst>
            <a:ext uri="{FF2B5EF4-FFF2-40B4-BE49-F238E27FC236}">
              <a16:creationId xmlns:a16="http://schemas.microsoft.com/office/drawing/2014/main" id="{16054624-36E6-A40C-B942-5746484EDF33}"/>
            </a:ext>
          </a:extLst>
        </xdr:cNvPr>
        <xdr:cNvGrpSpPr/>
      </xdr:nvGrpSpPr>
      <xdr:grpSpPr>
        <a:xfrm>
          <a:off x="14495638" y="55650"/>
          <a:ext cx="2545377" cy="1039298"/>
          <a:chOff x="14684734" y="55650"/>
          <a:chExt cx="2586484" cy="1031077"/>
        </a:xfrm>
      </xdr:grpSpPr>
      <xdr:sp macro="" textlink="">
        <xdr:nvSpPr>
          <xdr:cNvPr id="22" name="Rectangle 21">
            <a:extLst>
              <a:ext uri="{FF2B5EF4-FFF2-40B4-BE49-F238E27FC236}">
                <a16:creationId xmlns:a16="http://schemas.microsoft.com/office/drawing/2014/main" id="{CC0E40EC-4BC6-FEAB-2D99-7E8967768418}"/>
              </a:ext>
            </a:extLst>
          </xdr:cNvPr>
          <xdr:cNvSpPr/>
        </xdr:nvSpPr>
        <xdr:spPr>
          <a:xfrm>
            <a:off x="14684734" y="55650"/>
            <a:ext cx="2586484" cy="1013749"/>
          </a:xfrm>
          <a:prstGeom prst="rect">
            <a:avLst/>
          </a:prstGeom>
          <a:solidFill>
            <a:srgbClr val="00206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7" name="TextBox 26">
            <a:extLst>
              <a:ext uri="{FF2B5EF4-FFF2-40B4-BE49-F238E27FC236}">
                <a16:creationId xmlns:a16="http://schemas.microsoft.com/office/drawing/2014/main" id="{5732257F-BDDF-917A-D352-97B18AB74B8C}"/>
              </a:ext>
            </a:extLst>
          </xdr:cNvPr>
          <xdr:cNvSpPr txBox="1"/>
        </xdr:nvSpPr>
        <xdr:spPr>
          <a:xfrm>
            <a:off x="14746110" y="55650"/>
            <a:ext cx="2305916" cy="389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800" b="1" i="1" u="sng">
                <a:ln>
                  <a:noFill/>
                </a:ln>
                <a:solidFill>
                  <a:schemeClr val="bg1"/>
                </a:solidFill>
                <a:latin typeface="ADLaM Display" panose="02010000000000000000" pitchFamily="2" charset="0"/>
                <a:ea typeface="ADLaM Display" panose="02010000000000000000" pitchFamily="2" charset="0"/>
                <a:cs typeface="ADLaM Display" panose="02010000000000000000" pitchFamily="2" charset="0"/>
              </a:rPr>
              <a:t>Total Outstanding </a:t>
            </a:r>
          </a:p>
        </xdr:txBody>
      </xdr:sp>
      <xdr:pic>
        <xdr:nvPicPr>
          <xdr:cNvPr id="30" name="Graphic 29" descr="Money outline">
            <a:extLst>
              <a:ext uri="{FF2B5EF4-FFF2-40B4-BE49-F238E27FC236}">
                <a16:creationId xmlns:a16="http://schemas.microsoft.com/office/drawing/2014/main" id="{728B3D8A-2F39-051A-4953-D134460A1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789948" y="254933"/>
            <a:ext cx="841703" cy="831794"/>
          </a:xfrm>
          <a:prstGeom prst="rect">
            <a:avLst/>
          </a:prstGeom>
        </xdr:spPr>
      </xdr:pic>
      <xdr:sp macro="" textlink="Sheet2!J4">
        <xdr:nvSpPr>
          <xdr:cNvPr id="32" name="TextBox 31">
            <a:extLst>
              <a:ext uri="{FF2B5EF4-FFF2-40B4-BE49-F238E27FC236}">
                <a16:creationId xmlns:a16="http://schemas.microsoft.com/office/drawing/2014/main" id="{B5E1C51A-FAC2-0B17-2C3E-996187BDC478}"/>
              </a:ext>
            </a:extLst>
          </xdr:cNvPr>
          <xdr:cNvSpPr txBox="1"/>
        </xdr:nvSpPr>
        <xdr:spPr>
          <a:xfrm>
            <a:off x="15587810" y="454219"/>
            <a:ext cx="1637815" cy="431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D936542-09EA-46FD-BC18-970A3A303CCA}" type="TxLink">
              <a:rPr lang="en-US" sz="2800" b="1" i="0" u="none" strike="noStrike">
                <a:ln>
                  <a:noFill/>
                </a:ln>
                <a:solidFill>
                  <a:schemeClr val="bg1"/>
                </a:solidFill>
                <a:latin typeface="Calibri"/>
                <a:ea typeface="Calibri"/>
                <a:cs typeface="Calibri"/>
              </a:rPr>
              <a:pPr marL="0" indent="0" algn="ctr"/>
              <a:t>38.982 L</a:t>
            </a:fld>
            <a:endParaRPr lang="en-IN" sz="2800" b="1" i="0" u="none" strike="noStrike">
              <a:ln>
                <a:noFill/>
              </a:ln>
              <a:solidFill>
                <a:schemeClr val="bg1"/>
              </a:solidFill>
              <a:latin typeface="Calibri"/>
              <a:ea typeface="Calibri"/>
              <a:cs typeface="Calibri"/>
            </a:endParaRPr>
          </a:p>
        </xdr:txBody>
      </xdr:sp>
    </xdr:grpSp>
    <xdr:clientData/>
  </xdr:twoCellAnchor>
  <xdr:twoCellAnchor>
    <xdr:from>
      <xdr:col>6</xdr:col>
      <xdr:colOff>158188</xdr:colOff>
      <xdr:row>6</xdr:row>
      <xdr:rowOff>107756</xdr:rowOff>
    </xdr:from>
    <xdr:to>
      <xdr:col>13</xdr:col>
      <xdr:colOff>220338</xdr:colOff>
      <xdr:row>27</xdr:row>
      <xdr:rowOff>156073</xdr:rowOff>
    </xdr:to>
    <xdr:grpSp>
      <xdr:nvGrpSpPr>
        <xdr:cNvPr id="41" name="Group 40">
          <a:extLst>
            <a:ext uri="{FF2B5EF4-FFF2-40B4-BE49-F238E27FC236}">
              <a16:creationId xmlns:a16="http://schemas.microsoft.com/office/drawing/2014/main" id="{5A07D25E-ECFC-C7D7-2B3E-209E6C89B258}"/>
            </a:ext>
          </a:extLst>
        </xdr:cNvPr>
        <xdr:cNvGrpSpPr/>
      </xdr:nvGrpSpPr>
      <xdr:grpSpPr>
        <a:xfrm>
          <a:off x="3793754" y="1209443"/>
          <a:ext cx="4303644" cy="3904220"/>
          <a:chOff x="3806553" y="1239212"/>
          <a:chExt cx="3782659" cy="2593879"/>
        </a:xfrm>
      </xdr:grpSpPr>
      <xdr:graphicFrame macro="">
        <xdr:nvGraphicFramePr>
          <xdr:cNvPr id="35" name="Chart 34">
            <a:extLst>
              <a:ext uri="{FF2B5EF4-FFF2-40B4-BE49-F238E27FC236}">
                <a16:creationId xmlns:a16="http://schemas.microsoft.com/office/drawing/2014/main" id="{11CA6C4B-CC34-4E33-8927-4977698352DE}"/>
              </a:ext>
            </a:extLst>
          </xdr:cNvPr>
          <xdr:cNvGraphicFramePr>
            <a:graphicFrameLocks/>
          </xdr:cNvGraphicFramePr>
        </xdr:nvGraphicFramePr>
        <xdr:xfrm>
          <a:off x="3806553" y="1630034"/>
          <a:ext cx="3782659" cy="2203057"/>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40" name="TextBox 39">
            <a:extLst>
              <a:ext uri="{FF2B5EF4-FFF2-40B4-BE49-F238E27FC236}">
                <a16:creationId xmlns:a16="http://schemas.microsoft.com/office/drawing/2014/main" id="{0B5242BF-56C2-5EF3-CF4E-A415C1887C3F}"/>
              </a:ext>
            </a:extLst>
          </xdr:cNvPr>
          <xdr:cNvSpPr txBox="1"/>
        </xdr:nvSpPr>
        <xdr:spPr>
          <a:xfrm>
            <a:off x="3810000" y="1239212"/>
            <a:ext cx="3733030" cy="3309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1" u="sng">
                <a:solidFill>
                  <a:srgbClr val="00204F"/>
                </a:solidFill>
              </a:rPr>
              <a:t>Top 5 Department Wise Amount</a:t>
            </a:r>
          </a:p>
        </xdr:txBody>
      </xdr:sp>
    </xdr:grpSp>
    <xdr:clientData/>
  </xdr:twoCellAnchor>
  <xdr:twoCellAnchor>
    <xdr:from>
      <xdr:col>13</xdr:col>
      <xdr:colOff>308429</xdr:colOff>
      <xdr:row>6</xdr:row>
      <xdr:rowOff>114081</xdr:rowOff>
    </xdr:from>
    <xdr:to>
      <xdr:col>20</xdr:col>
      <xdr:colOff>413133</xdr:colOff>
      <xdr:row>27</xdr:row>
      <xdr:rowOff>110169</xdr:rowOff>
    </xdr:to>
    <xdr:grpSp>
      <xdr:nvGrpSpPr>
        <xdr:cNvPr id="46" name="Group 45">
          <a:extLst>
            <a:ext uri="{FF2B5EF4-FFF2-40B4-BE49-F238E27FC236}">
              <a16:creationId xmlns:a16="http://schemas.microsoft.com/office/drawing/2014/main" id="{31511892-216F-6D49-F1B6-B09945C63362}"/>
            </a:ext>
          </a:extLst>
        </xdr:cNvPr>
        <xdr:cNvGrpSpPr/>
      </xdr:nvGrpSpPr>
      <xdr:grpSpPr>
        <a:xfrm>
          <a:off x="8185489" y="1215768"/>
          <a:ext cx="4346198" cy="3851991"/>
          <a:chOff x="8209643" y="1202652"/>
          <a:chExt cx="3990181" cy="2580134"/>
        </a:xfrm>
      </xdr:grpSpPr>
      <xdr:graphicFrame macro="">
        <xdr:nvGraphicFramePr>
          <xdr:cNvPr id="42" name="Chart 41">
            <a:extLst>
              <a:ext uri="{FF2B5EF4-FFF2-40B4-BE49-F238E27FC236}">
                <a16:creationId xmlns:a16="http://schemas.microsoft.com/office/drawing/2014/main" id="{7CE2329D-062F-42E9-83A5-6DAF0422D112}"/>
              </a:ext>
            </a:extLst>
          </xdr:cNvPr>
          <xdr:cNvGraphicFramePr>
            <a:graphicFrameLocks/>
          </xdr:cNvGraphicFramePr>
        </xdr:nvGraphicFramePr>
        <xdr:xfrm>
          <a:off x="8209643" y="1608118"/>
          <a:ext cx="3975485" cy="2174668"/>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43" name="TextBox 42">
            <a:extLst>
              <a:ext uri="{FF2B5EF4-FFF2-40B4-BE49-F238E27FC236}">
                <a16:creationId xmlns:a16="http://schemas.microsoft.com/office/drawing/2014/main" id="{DE85539D-4F70-479D-A0B8-EBEE37C72B94}"/>
              </a:ext>
            </a:extLst>
          </xdr:cNvPr>
          <xdr:cNvSpPr txBox="1"/>
        </xdr:nvSpPr>
        <xdr:spPr>
          <a:xfrm>
            <a:off x="8218714" y="1202652"/>
            <a:ext cx="3981110" cy="3243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1" u="sng">
                <a:solidFill>
                  <a:srgbClr val="00204F"/>
                </a:solidFill>
              </a:rPr>
              <a:t>Settlement Status</a:t>
            </a:r>
          </a:p>
        </xdr:txBody>
      </xdr:sp>
    </xdr:grpSp>
    <xdr:clientData/>
  </xdr:twoCellAnchor>
  <xdr:twoCellAnchor>
    <xdr:from>
      <xdr:col>20</xdr:col>
      <xdr:colOff>541663</xdr:colOff>
      <xdr:row>6</xdr:row>
      <xdr:rowOff>126396</xdr:rowOff>
    </xdr:from>
    <xdr:to>
      <xdr:col>28</xdr:col>
      <xdr:colOff>183614</xdr:colOff>
      <xdr:row>27</xdr:row>
      <xdr:rowOff>128530</xdr:rowOff>
    </xdr:to>
    <xdr:grpSp>
      <xdr:nvGrpSpPr>
        <xdr:cNvPr id="3" name="Group 2">
          <a:extLst>
            <a:ext uri="{FF2B5EF4-FFF2-40B4-BE49-F238E27FC236}">
              <a16:creationId xmlns:a16="http://schemas.microsoft.com/office/drawing/2014/main" id="{A45AA072-665C-29D5-AB7B-0A693E6D0C9F}"/>
            </a:ext>
          </a:extLst>
        </xdr:cNvPr>
        <xdr:cNvGrpSpPr/>
      </xdr:nvGrpSpPr>
      <xdr:grpSpPr>
        <a:xfrm>
          <a:off x="12660217" y="1228083"/>
          <a:ext cx="4489373" cy="3858037"/>
          <a:chOff x="12660217" y="1228083"/>
          <a:chExt cx="4489373" cy="3858037"/>
        </a:xfrm>
      </xdr:grpSpPr>
      <xdr:graphicFrame macro="">
        <xdr:nvGraphicFramePr>
          <xdr:cNvPr id="44" name="Chart 43">
            <a:extLst>
              <a:ext uri="{FF2B5EF4-FFF2-40B4-BE49-F238E27FC236}">
                <a16:creationId xmlns:a16="http://schemas.microsoft.com/office/drawing/2014/main" id="{5D63C1CD-1333-4835-AB19-1D7450D9CF1D}"/>
              </a:ext>
            </a:extLst>
          </xdr:cNvPr>
          <xdr:cNvGraphicFramePr>
            <a:graphicFrameLocks/>
          </xdr:cNvGraphicFramePr>
        </xdr:nvGraphicFramePr>
        <xdr:xfrm>
          <a:off x="12660217" y="1796559"/>
          <a:ext cx="4489373" cy="3289561"/>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45" name="TextBox 44">
            <a:extLst>
              <a:ext uri="{FF2B5EF4-FFF2-40B4-BE49-F238E27FC236}">
                <a16:creationId xmlns:a16="http://schemas.microsoft.com/office/drawing/2014/main" id="{6555D7B3-E28F-6607-D3C4-1439AD797B77}"/>
              </a:ext>
            </a:extLst>
          </xdr:cNvPr>
          <xdr:cNvSpPr txBox="1"/>
        </xdr:nvSpPr>
        <xdr:spPr>
          <a:xfrm>
            <a:off x="12684539" y="1228083"/>
            <a:ext cx="4437998" cy="4638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1" u="sng">
                <a:solidFill>
                  <a:srgbClr val="00204F"/>
                </a:solidFill>
              </a:rPr>
              <a:t>Monthly</a:t>
            </a:r>
            <a:r>
              <a:rPr lang="en-IN" sz="1800" b="1" i="1" u="sng" baseline="0">
                <a:solidFill>
                  <a:srgbClr val="00204F"/>
                </a:solidFill>
              </a:rPr>
              <a:t> Revenue Trend</a:t>
            </a:r>
            <a:endParaRPr lang="en-IN" sz="1800" b="1" i="1" u="sng">
              <a:solidFill>
                <a:srgbClr val="00204F"/>
              </a:solidFill>
            </a:endParaRPr>
          </a:p>
        </xdr:txBody>
      </xdr:sp>
    </xdr:grpSp>
    <xdr:clientData/>
  </xdr:twoCellAnchor>
  <xdr:twoCellAnchor editAs="oneCell">
    <xdr:from>
      <xdr:col>0</xdr:col>
      <xdr:colOff>97272</xdr:colOff>
      <xdr:row>19</xdr:row>
      <xdr:rowOff>123262</xdr:rowOff>
    </xdr:from>
    <xdr:to>
      <xdr:col>3</xdr:col>
      <xdr:colOff>108289</xdr:colOff>
      <xdr:row>30</xdr:row>
      <xdr:rowOff>9180</xdr:rowOff>
    </xdr:to>
    <mc:AlternateContent xmlns:mc="http://schemas.openxmlformats.org/markup-compatibility/2006">
      <mc:Choice xmlns:a14="http://schemas.microsoft.com/office/drawing/2010/main" Requires="a14">
        <xdr:graphicFrame macro="">
          <xdr:nvGraphicFramePr>
            <xdr:cNvPr id="11" name="SPL">
              <a:extLst>
                <a:ext uri="{FF2B5EF4-FFF2-40B4-BE49-F238E27FC236}">
                  <a16:creationId xmlns:a16="http://schemas.microsoft.com/office/drawing/2014/main" id="{05C845AE-1145-402E-846C-82A8169DDBF1}"/>
                </a:ext>
              </a:extLst>
            </xdr:cNvPr>
            <xdr:cNvGraphicFramePr/>
          </xdr:nvGraphicFramePr>
          <xdr:xfrm>
            <a:off x="0" y="0"/>
            <a:ext cx="0" cy="0"/>
          </xdr:xfrm>
          <a:graphic>
            <a:graphicData uri="http://schemas.microsoft.com/office/drawing/2010/slicer">
              <sle:slicer xmlns:sle="http://schemas.microsoft.com/office/drawing/2010/slicer" name="SPL"/>
            </a:graphicData>
          </a:graphic>
        </xdr:graphicFrame>
      </mc:Choice>
      <mc:Fallback>
        <xdr:sp macro="" textlink="">
          <xdr:nvSpPr>
            <xdr:cNvPr id="0" name=""/>
            <xdr:cNvSpPr>
              <a:spLocks noTextEdit="1"/>
            </xdr:cNvSpPr>
          </xdr:nvSpPr>
          <xdr:spPr>
            <a:xfrm>
              <a:off x="97272" y="3611937"/>
              <a:ext cx="1828800" cy="1905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kaj Shakya" refreshedDate="46008.524925115744" createdVersion="8" refreshedVersion="8" minRefreshableVersion="3" recordCount="4097" xr:uid="{05CE00E7-3CA6-4B19-A4C1-5296C6608FA4}">
  <cacheSource type="worksheet">
    <worksheetSource name="Table1"/>
  </cacheSource>
  <cacheFields count="19">
    <cacheField name="Sl.No" numFmtId="0">
      <sharedItems containsSemiMixedTypes="0" containsString="0" containsNumber="1" containsInteger="1" minValue="1" maxValue="4097"/>
    </cacheField>
    <cacheField name="Panel Name" numFmtId="0">
      <sharedItems/>
    </cacheField>
    <cacheField name="Admission Date" numFmtId="15">
      <sharedItems containsSemiMixedTypes="0" containsNonDate="0" containsDate="1" containsString="0" minDate="2022-08-07T00:00:00" maxDate="2022-11-01T00:00:00"/>
    </cacheField>
    <cacheField name="Admission Month" numFmtId="15">
      <sharedItems count="3">
        <s v="September"/>
        <s v="October"/>
        <s v="August"/>
      </sharedItems>
    </cacheField>
    <cacheField name="Discharge Date" numFmtId="15">
      <sharedItems containsSemiMixedTypes="0" containsNonDate="0" containsDate="1" containsString="0" minDate="2022-10-01T00:00:00" maxDate="2022-11-01T00:00:00"/>
    </cacheField>
    <cacheField name="Bill Date" numFmtId="15">
      <sharedItems containsSemiMixedTypes="0" containsNonDate="0" containsDate="1" containsString="0" minDate="2022-10-01T00:00:00" maxDate="2022-11-01T00:00:00"/>
    </cacheField>
    <cacheField name="Bill No" numFmtId="0">
      <sharedItems containsSemiMixedTypes="0" containsString="0" containsNumber="1" containsInteger="1" minValue="22025093" maxValue="22029404"/>
    </cacheField>
    <cacheField name="I.P. No" numFmtId="0">
      <sharedItems containsSemiMixedTypes="0" containsString="0" containsNumber="1" containsInteger="1" minValue="2226718" maxValue="2238277"/>
    </cacheField>
    <cacheField name="MR No" numFmtId="0">
      <sharedItems containsSemiMixedTypes="0" containsString="0" containsNumber="1" containsInteger="1" minValue="1000837081" maxValue="10013545339"/>
    </cacheField>
    <cacheField name="Pt. Name" numFmtId="0">
      <sharedItems/>
    </cacheField>
    <cacheField name="Bill Amount" numFmtId="44">
      <sharedItems containsSemiMixedTypes="0" containsString="0" containsNumber="1" containsInteger="1" minValue="0" maxValue="2089307" count="2061">
        <n v="314146"/>
        <n v="848924"/>
        <n v="100804"/>
        <n v="65248"/>
        <n v="214957"/>
        <n v="170799"/>
        <n v="266779"/>
        <n v="4926"/>
        <n v="103522"/>
        <n v="514101"/>
        <n v="59250"/>
        <n v="22500"/>
        <n v="92791"/>
        <n v="1049046"/>
        <n v="191512"/>
        <n v="16240"/>
        <n v="0"/>
        <n v="210760"/>
        <n v="106948"/>
        <n v="14000"/>
        <n v="914175"/>
        <n v="9661"/>
        <n v="236747"/>
        <n v="32791"/>
        <n v="107799"/>
        <n v="252400"/>
        <n v="15908"/>
        <n v="71517"/>
        <n v="45999"/>
        <n v="105208"/>
        <n v="372000"/>
        <n v="27925"/>
        <n v="51763"/>
        <n v="66796"/>
        <n v="28449"/>
        <n v="716813"/>
        <n v="107278"/>
        <n v="241787"/>
        <n v="13205"/>
        <n v="32985"/>
        <n v="243438"/>
        <n v="2794"/>
        <n v="249093"/>
        <n v="1610"/>
        <n v="36135"/>
        <n v="4990"/>
        <n v="157503"/>
        <n v="68971"/>
        <n v="24400"/>
        <n v="2172"/>
        <n v="77516"/>
        <n v="39439"/>
        <n v="99499"/>
        <n v="74073"/>
        <n v="4729"/>
        <n v="238169"/>
        <n v="254128"/>
        <n v="85741"/>
        <n v="43560"/>
        <n v="3519"/>
        <n v="7494"/>
        <n v="24133"/>
        <n v="143983"/>
        <n v="14302"/>
        <n v="3630"/>
        <n v="20672"/>
        <n v="13225"/>
        <n v="217904"/>
        <n v="179580"/>
        <n v="108309"/>
        <n v="82617"/>
        <n v="17027"/>
        <n v="55051"/>
        <n v="2844"/>
        <n v="207703"/>
        <n v="2200"/>
        <n v="118009"/>
        <n v="73693"/>
        <n v="333630"/>
        <n v="30983"/>
        <n v="106611"/>
        <n v="21824"/>
        <n v="60228"/>
        <n v="129064"/>
        <n v="72899"/>
        <n v="173913"/>
        <n v="327395"/>
        <n v="35736"/>
        <n v="106159"/>
        <n v="76972"/>
        <n v="26588"/>
        <n v="78958"/>
        <n v="53735"/>
        <n v="904778"/>
        <n v="86822"/>
        <n v="198967"/>
        <n v="2064"/>
        <n v="41582"/>
        <n v="5759"/>
        <n v="2758"/>
        <n v="230405"/>
        <n v="60596"/>
        <n v="80266"/>
        <n v="194905"/>
        <n v="61139"/>
        <n v="34629"/>
        <n v="786"/>
        <n v="107222"/>
        <n v="42764"/>
        <n v="11212"/>
        <n v="58975"/>
        <n v="23824"/>
        <n v="3488"/>
        <n v="14617"/>
        <n v="70678"/>
        <n v="96000"/>
        <n v="54254"/>
        <n v="15152"/>
        <n v="15159"/>
        <n v="40136"/>
        <n v="25282"/>
        <n v="44005"/>
        <n v="125601"/>
        <n v="28490"/>
        <n v="171943"/>
        <n v="118887"/>
        <n v="88518"/>
        <n v="2680"/>
        <n v="65096"/>
        <n v="3070"/>
        <n v="69926"/>
        <n v="160006"/>
        <n v="70431"/>
        <n v="118761"/>
        <n v="3984"/>
        <n v="78278"/>
        <n v="38326"/>
        <n v="2560"/>
        <n v="60427"/>
        <n v="84305"/>
        <n v="48297"/>
        <n v="2950"/>
        <n v="43596"/>
        <n v="3729"/>
        <n v="68136"/>
        <n v="264819"/>
        <n v="49054"/>
        <n v="45952"/>
        <n v="8190"/>
        <n v="112204"/>
        <n v="350760"/>
        <n v="308068"/>
        <n v="16628"/>
        <n v="96810"/>
        <n v="55560"/>
        <n v="55612"/>
        <n v="197595"/>
        <n v="97497"/>
        <n v="2500"/>
        <n v="47549"/>
        <n v="700296"/>
        <n v="22389"/>
        <n v="155185"/>
        <n v="61774"/>
        <n v="35483"/>
        <n v="141374"/>
        <n v="184154"/>
        <n v="57064"/>
        <n v="4840"/>
        <n v="111966"/>
        <n v="15015"/>
        <n v="284448"/>
        <n v="14750"/>
        <n v="8930"/>
        <n v="35545"/>
        <n v="17033"/>
        <n v="130772"/>
        <n v="48585"/>
        <n v="8968"/>
        <n v="133518"/>
        <n v="82862"/>
        <n v="240237"/>
        <n v="86229"/>
        <n v="155170"/>
        <n v="292700"/>
        <n v="135251"/>
        <n v="26985"/>
        <n v="102825"/>
        <n v="123371"/>
        <n v="89949"/>
        <n v="3288"/>
        <n v="46608"/>
        <n v="30046"/>
        <n v="7905"/>
        <n v="70925"/>
        <n v="139681"/>
        <n v="65857"/>
        <n v="90947"/>
        <n v="174914"/>
        <n v="56708"/>
        <n v="3821"/>
        <n v="151726"/>
        <n v="12960"/>
        <n v="36690"/>
        <n v="161953"/>
        <n v="159444"/>
        <n v="51555"/>
        <n v="30807"/>
        <n v="60320"/>
        <n v="34273"/>
        <n v="57439"/>
        <n v="2000"/>
        <n v="3590"/>
        <n v="1032"/>
        <n v="40491"/>
        <n v="19938"/>
        <n v="142638"/>
        <n v="160815"/>
        <n v="80093"/>
        <n v="108065"/>
        <n v="56994"/>
        <n v="44213"/>
        <n v="71350"/>
        <n v="38905"/>
        <n v="22887"/>
        <n v="82732"/>
        <n v="92392"/>
        <n v="3072"/>
        <n v="158393"/>
        <n v="13628"/>
        <n v="2745"/>
        <n v="89491"/>
        <n v="143353"/>
        <n v="120992"/>
        <n v="82294"/>
        <n v="87113"/>
        <n v="328672"/>
        <n v="79931"/>
        <n v="147388"/>
        <n v="68263"/>
        <n v="83650"/>
        <n v="25884"/>
        <n v="37209"/>
        <n v="1274"/>
        <n v="22814"/>
        <n v="56300"/>
        <n v="389350"/>
        <n v="53349"/>
        <n v="328203"/>
        <n v="51155"/>
        <n v="2062"/>
        <n v="189338"/>
        <n v="17504"/>
        <n v="58562"/>
        <n v="2240"/>
        <n v="70250"/>
        <n v="28086"/>
        <n v="16220"/>
        <n v="57808"/>
        <n v="57569"/>
        <n v="144478"/>
        <n v="11903"/>
        <n v="73091"/>
        <n v="277139"/>
        <n v="86043"/>
        <n v="129736"/>
        <n v="92168"/>
        <n v="163868"/>
        <n v="12162"/>
        <n v="55707"/>
        <n v="13743"/>
        <n v="121092"/>
        <n v="116552"/>
        <n v="461401"/>
        <n v="22592"/>
        <n v="1814630"/>
        <n v="284866"/>
        <n v="57837"/>
        <n v="208423"/>
        <n v="88776"/>
        <n v="96633"/>
        <n v="225782"/>
        <n v="43352"/>
        <n v="204695"/>
        <n v="177124"/>
        <n v="47440"/>
        <n v="493416"/>
        <n v="162561"/>
        <n v="143394"/>
        <n v="351810"/>
        <n v="436622"/>
        <n v="41681"/>
        <n v="77761"/>
        <n v="6553"/>
        <n v="23500"/>
        <n v="115831"/>
        <n v="59570"/>
        <n v="252755"/>
        <n v="568810"/>
        <n v="58315"/>
        <n v="1465308"/>
        <n v="163552"/>
        <n v="97965"/>
        <n v="111732"/>
        <n v="19217"/>
        <n v="63888"/>
        <n v="15566"/>
        <n v="139158"/>
        <n v="170811"/>
        <n v="73527"/>
        <n v="211878"/>
        <n v="120868"/>
        <n v="109481"/>
        <n v="3970"/>
        <n v="67143"/>
        <n v="86020"/>
        <n v="29250"/>
        <n v="94862"/>
        <n v="44988"/>
        <n v="89619"/>
        <n v="22544"/>
        <n v="68980"/>
        <n v="112023"/>
        <n v="125670"/>
        <n v="57843"/>
        <n v="216890"/>
        <n v="593537"/>
        <n v="48926"/>
        <n v="16158"/>
        <n v="39672"/>
        <n v="101271"/>
        <n v="19695"/>
        <n v="30595"/>
        <n v="35955"/>
        <n v="56626"/>
        <n v="7307"/>
        <n v="14232"/>
        <n v="172695"/>
        <n v="129640"/>
        <n v="41352"/>
        <n v="270525"/>
        <n v="29786"/>
        <n v="9048"/>
        <n v="217166"/>
        <n v="101536"/>
        <n v="73772"/>
        <n v="41086"/>
        <n v="47373"/>
        <n v="21040"/>
        <n v="480499"/>
        <n v="152867"/>
        <n v="369120"/>
        <n v="284132"/>
        <n v="333232"/>
        <n v="203657"/>
        <n v="102905"/>
        <n v="272449"/>
        <n v="9980"/>
        <n v="19976"/>
        <n v="339224"/>
        <n v="114920"/>
        <n v="37837"/>
        <n v="734506"/>
        <n v="44423"/>
        <n v="76518"/>
        <n v="20846"/>
        <n v="41861"/>
        <n v="67116"/>
        <n v="42516"/>
        <n v="249947"/>
        <n v="77891"/>
        <n v="127864"/>
        <n v="15364"/>
        <n v="789844"/>
        <n v="147810"/>
        <n v="35963"/>
        <n v="70881"/>
        <n v="64291"/>
        <n v="9326"/>
        <n v="271271"/>
        <n v="88377"/>
        <n v="64077"/>
        <n v="192848"/>
        <n v="88058"/>
        <n v="84949"/>
        <n v="84422"/>
        <n v="62149"/>
        <n v="97115"/>
        <n v="15209"/>
        <n v="84286"/>
        <n v="107586"/>
        <n v="104446"/>
        <n v="58790"/>
        <n v="71866"/>
        <n v="169188"/>
        <n v="468883"/>
        <n v="21788"/>
        <n v="4806"/>
        <n v="40465"/>
        <n v="17667"/>
        <n v="346776"/>
        <n v="24206"/>
        <n v="88704"/>
        <n v="226021"/>
        <n v="54760"/>
        <n v="14542"/>
        <n v="4045"/>
        <n v="43582"/>
        <n v="108334"/>
        <n v="19407"/>
        <n v="96568"/>
        <n v="42833"/>
        <n v="107993"/>
        <n v="72007"/>
        <n v="51260"/>
        <n v="3666"/>
        <n v="39424"/>
        <n v="34569"/>
        <n v="246224"/>
        <n v="74245"/>
        <n v="72400"/>
        <n v="69698"/>
        <n v="190853"/>
        <n v="22943"/>
        <n v="17681"/>
        <n v="73263"/>
        <n v="36951"/>
        <n v="275654"/>
        <n v="118120"/>
        <n v="70594"/>
        <n v="50450"/>
        <n v="34085"/>
        <n v="73470"/>
        <n v="102086"/>
        <n v="47098"/>
        <n v="61210"/>
        <n v="69725"/>
        <n v="26510"/>
        <n v="10935"/>
        <n v="5153"/>
        <n v="12724"/>
        <n v="84064"/>
        <n v="191548"/>
        <n v="43772"/>
        <n v="63105"/>
        <n v="821139"/>
        <n v="21489"/>
        <n v="3319"/>
        <n v="57943"/>
        <n v="57469"/>
        <n v="172243"/>
        <n v="54897"/>
        <n v="10160"/>
        <n v="49308"/>
        <n v="80494"/>
        <n v="62444"/>
        <n v="79374"/>
        <n v="75738"/>
        <n v="50986"/>
        <n v="518775"/>
        <n v="7825"/>
        <n v="165431"/>
        <n v="108237"/>
        <n v="274772"/>
        <n v="166464"/>
        <n v="286856"/>
        <n v="123518"/>
        <n v="39030"/>
        <n v="54864"/>
        <n v="272536"/>
        <n v="29222"/>
        <n v="59467"/>
        <n v="89466"/>
        <n v="79015"/>
        <n v="121231"/>
        <n v="578470"/>
        <n v="74536"/>
        <n v="25995"/>
        <n v="118774"/>
        <n v="205191"/>
        <n v="64510"/>
        <n v="20519"/>
        <n v="92459"/>
        <n v="121778"/>
        <n v="15700"/>
        <n v="54063"/>
        <n v="221489"/>
        <n v="21101"/>
        <n v="97458"/>
        <n v="49246"/>
        <n v="384967"/>
        <n v="202335"/>
        <n v="67021"/>
        <n v="142657"/>
        <n v="86573"/>
        <n v="41045"/>
        <n v="108583"/>
        <n v="168386"/>
        <n v="23760"/>
        <n v="42711"/>
        <n v="93959"/>
        <n v="19568"/>
        <n v="113945"/>
        <n v="414221"/>
        <n v="28124"/>
        <n v="83032"/>
        <n v="48760"/>
        <n v="41508"/>
        <n v="43234"/>
        <n v="70048"/>
        <n v="312875"/>
        <n v="64818"/>
        <n v="15599"/>
        <n v="382095"/>
        <n v="48642"/>
        <n v="11555"/>
        <n v="70443"/>
        <n v="185720"/>
        <n v="73870"/>
        <n v="65845"/>
        <n v="2949"/>
        <n v="179187"/>
        <n v="57953"/>
        <n v="39173"/>
        <n v="132428"/>
        <n v="182169"/>
        <n v="26789"/>
        <n v="815915"/>
        <n v="43931"/>
        <n v="37654"/>
        <n v="54714"/>
        <n v="5356"/>
        <n v="130988"/>
        <n v="28842"/>
        <n v="322359"/>
        <n v="139358"/>
        <n v="153053"/>
        <n v="43980"/>
        <n v="99394"/>
        <n v="46975"/>
        <n v="38875"/>
        <n v="47447"/>
        <n v="84309"/>
        <n v="146670"/>
        <n v="257239"/>
        <n v="76840"/>
        <n v="51728"/>
        <n v="37879"/>
        <n v="3105"/>
        <n v="78693"/>
        <n v="44580"/>
        <n v="660311"/>
        <n v="84663"/>
        <n v="29956"/>
        <n v="240546"/>
        <n v="55252"/>
        <n v="183095"/>
        <n v="39178"/>
        <n v="5195"/>
        <n v="177472"/>
        <n v="37156"/>
        <n v="81295"/>
        <n v="307233"/>
        <n v="18161"/>
        <n v="250700"/>
        <n v="130088"/>
        <n v="6950"/>
        <n v="1145732"/>
        <n v="73440"/>
        <n v="40944"/>
        <n v="41817"/>
        <n v="18170"/>
        <n v="115276"/>
        <n v="887157"/>
        <n v="64299"/>
        <n v="16960"/>
        <n v="179433"/>
        <n v="71044"/>
        <n v="206910"/>
        <n v="6700"/>
        <n v="33740"/>
        <n v="59865"/>
        <n v="2570"/>
        <n v="27549"/>
        <n v="179244"/>
        <n v="73683"/>
        <n v="60182"/>
        <n v="67599"/>
        <n v="2739"/>
        <n v="48682"/>
        <n v="65786"/>
        <n v="333715"/>
        <n v="138552"/>
        <n v="46466"/>
        <n v="198252"/>
        <n v="61326"/>
        <n v="43251"/>
        <n v="25888"/>
        <n v="267977"/>
        <n v="61280"/>
        <n v="239982"/>
        <n v="77589"/>
        <n v="80420"/>
        <n v="111009"/>
        <n v="43621"/>
        <n v="221560"/>
        <n v="42274"/>
        <n v="115704"/>
        <n v="57957"/>
        <n v="48155"/>
        <n v="101659"/>
        <n v="31525"/>
        <n v="108063"/>
        <n v="264874"/>
        <n v="85315"/>
        <n v="16065"/>
        <n v="258733"/>
        <n v="88267"/>
        <n v="407318"/>
        <n v="113704"/>
        <n v="31968"/>
        <n v="25501"/>
        <n v="16670"/>
        <n v="14996"/>
        <n v="14896"/>
        <n v="149152"/>
        <n v="105714"/>
        <n v="142553"/>
        <n v="134637"/>
        <n v="197275"/>
        <n v="85046"/>
        <n v="41561"/>
        <n v="143348"/>
        <n v="127911"/>
        <n v="63928"/>
        <n v="19412"/>
        <n v="3538"/>
        <n v="69442"/>
        <n v="26121"/>
        <n v="44740"/>
        <n v="372153"/>
        <n v="69598"/>
        <n v="59130"/>
        <n v="71405"/>
        <n v="9318"/>
        <n v="47372"/>
        <n v="100959"/>
        <n v="20912"/>
        <n v="104378"/>
        <n v="420102"/>
        <n v="315928"/>
        <n v="82686"/>
        <n v="98359"/>
        <n v="15692"/>
        <n v="441898"/>
        <n v="7850"/>
        <n v="71400"/>
        <n v="6897"/>
        <n v="218605"/>
        <n v="145102"/>
        <n v="32914"/>
        <n v="94751"/>
        <n v="201822"/>
        <n v="49089"/>
        <n v="51674"/>
        <n v="42098"/>
        <n v="154782"/>
        <n v="72183"/>
        <n v="274715"/>
        <n v="51495"/>
        <n v="298946"/>
        <n v="91255"/>
        <n v="128665"/>
        <n v="158669"/>
        <n v="16743"/>
        <n v="36408"/>
        <n v="13729"/>
        <n v="24153"/>
        <n v="63315"/>
        <n v="118971"/>
        <n v="12137"/>
        <n v="132950"/>
        <n v="43819"/>
        <n v="125234"/>
        <n v="211410"/>
        <n v="44757"/>
        <n v="44989"/>
        <n v="52463"/>
        <n v="133919"/>
        <n v="37495"/>
        <n v="89170"/>
        <n v="31277"/>
        <n v="4370"/>
        <n v="164855"/>
        <n v="53082"/>
        <n v="71584"/>
        <n v="16311"/>
        <n v="62210"/>
        <n v="75137"/>
        <n v="86736"/>
        <n v="85794"/>
        <n v="323552"/>
        <n v="187234"/>
        <n v="7470"/>
        <n v="43014"/>
        <n v="303986"/>
        <n v="54819"/>
        <n v="31644"/>
        <n v="24523"/>
        <n v="80380"/>
        <n v="2034"/>
        <n v="56745"/>
        <n v="50662"/>
        <n v="54292"/>
        <n v="75650"/>
        <n v="3647"/>
        <n v="84503"/>
        <n v="114805"/>
        <n v="151372"/>
        <n v="266111"/>
        <n v="398906"/>
        <n v="75438"/>
        <n v="20300"/>
        <n v="56241"/>
        <n v="16519"/>
        <n v="22803"/>
        <n v="104609"/>
        <n v="46092"/>
        <n v="12353"/>
        <n v="78490"/>
        <n v="422368"/>
        <n v="67792"/>
        <n v="67281"/>
        <n v="36410"/>
        <n v="39137"/>
        <n v="120311"/>
        <n v="64696"/>
        <n v="39799"/>
        <n v="68832"/>
        <n v="20442"/>
        <n v="31746"/>
        <n v="69223"/>
        <n v="127337"/>
        <n v="11500"/>
        <n v="19169"/>
        <n v="84089"/>
        <n v="52258"/>
        <n v="41083"/>
        <n v="84082"/>
        <n v="12498"/>
        <n v="42326"/>
        <n v="85174"/>
        <n v="94940"/>
        <n v="39314"/>
        <n v="50945"/>
        <n v="7125"/>
        <n v="25037"/>
        <n v="6510"/>
        <n v="99778"/>
        <n v="284482"/>
        <n v="62786"/>
        <n v="61281"/>
        <n v="9308"/>
        <n v="4141"/>
        <n v="88355"/>
        <n v="55470"/>
        <n v="91997"/>
        <n v="66643"/>
        <n v="59240"/>
        <n v="33026"/>
        <n v="42752"/>
        <n v="95809"/>
        <n v="75847"/>
        <n v="13335"/>
        <n v="126626"/>
        <n v="21621"/>
        <n v="104573"/>
        <n v="10751"/>
        <n v="19842"/>
        <n v="304813"/>
        <n v="315155"/>
        <n v="99381"/>
        <n v="28945"/>
        <n v="172853"/>
        <n v="184374"/>
        <n v="54555"/>
        <n v="326154"/>
        <n v="41890"/>
        <n v="338728"/>
        <n v="33165"/>
        <n v="40340"/>
        <n v="112689"/>
        <n v="27554"/>
        <n v="56206"/>
        <n v="269461"/>
        <n v="209125"/>
        <n v="80342"/>
        <n v="60920"/>
        <n v="10504"/>
        <n v="111292"/>
        <n v="39966"/>
        <n v="54719"/>
        <n v="122493"/>
        <n v="42077"/>
        <n v="33385"/>
        <n v="105950"/>
        <n v="79080"/>
        <n v="18033"/>
        <n v="32003"/>
        <n v="17300"/>
        <n v="69251"/>
        <n v="144722"/>
        <n v="19297"/>
        <n v="60047"/>
        <n v="64915"/>
        <n v="60911"/>
        <n v="152181"/>
        <n v="162594"/>
        <n v="57764"/>
        <n v="107448"/>
        <n v="46754"/>
        <n v="130994"/>
        <n v="36403"/>
        <n v="122499"/>
        <n v="39338"/>
        <n v="138330"/>
        <n v="2320"/>
        <n v="173457"/>
        <n v="7580"/>
        <n v="36800"/>
        <n v="71657"/>
        <n v="303151"/>
        <n v="662252"/>
        <n v="95619"/>
        <n v="6056"/>
        <n v="344370"/>
        <n v="39228"/>
        <n v="118672"/>
        <n v="197694"/>
        <n v="51426"/>
        <n v="58095"/>
        <n v="254079"/>
        <n v="119519"/>
        <n v="10328"/>
        <n v="163112"/>
        <n v="151396"/>
        <n v="6160"/>
        <n v="3964"/>
        <n v="19789"/>
        <n v="150789"/>
        <n v="145257"/>
        <n v="105046"/>
        <n v="241724"/>
        <n v="127574"/>
        <n v="22459"/>
        <n v="58158"/>
        <n v="69492"/>
        <n v="249529"/>
        <n v="25420"/>
        <n v="50509"/>
        <n v="13896"/>
        <n v="52824"/>
        <n v="20070"/>
        <n v="78006"/>
        <n v="237884"/>
        <n v="105474"/>
        <n v="283141"/>
        <n v="173633"/>
        <n v="144254"/>
        <n v="81033"/>
        <n v="384395"/>
        <n v="341898"/>
        <n v="30571"/>
        <n v="14857"/>
        <n v="20864"/>
        <n v="601587"/>
        <n v="6104"/>
        <n v="15750"/>
        <n v="174162"/>
        <n v="38611"/>
        <n v="27894"/>
        <n v="34249"/>
        <n v="107737"/>
        <n v="128591"/>
        <n v="47801"/>
        <n v="295309"/>
        <n v="28470"/>
        <n v="38401"/>
        <n v="61496"/>
        <n v="175198"/>
        <n v="59980"/>
        <n v="121236"/>
        <n v="75542"/>
        <n v="84649"/>
        <n v="44137"/>
        <n v="117395"/>
        <n v="69770"/>
        <n v="111922"/>
        <n v="116478"/>
        <n v="9805"/>
        <n v="235989"/>
        <n v="491204"/>
        <n v="29819"/>
        <n v="81354"/>
        <n v="166021"/>
        <n v="141492"/>
        <n v="23311"/>
        <n v="72354"/>
        <n v="104467"/>
        <n v="290644"/>
        <n v="90178"/>
        <n v="83893"/>
        <n v="48463"/>
        <n v="6956"/>
        <n v="148007"/>
        <n v="122787"/>
        <n v="251784"/>
        <n v="80482"/>
        <n v="78508"/>
        <n v="37516"/>
        <n v="406435"/>
        <n v="224138"/>
        <n v="84437"/>
        <n v="232741"/>
        <n v="12186"/>
        <n v="103484"/>
        <n v="57772"/>
        <n v="67922"/>
        <n v="83568"/>
        <n v="117175"/>
        <n v="33850"/>
        <n v="28241"/>
        <n v="135962"/>
        <n v="92625"/>
        <n v="123005"/>
        <n v="590571"/>
        <n v="87619"/>
        <n v="229634"/>
        <n v="82205"/>
        <n v="102952"/>
        <n v="231206"/>
        <n v="85259"/>
        <n v="108647"/>
        <n v="8108"/>
        <n v="59997"/>
        <n v="24794"/>
        <n v="45188"/>
        <n v="47479"/>
        <n v="205108"/>
        <n v="14314"/>
        <n v="32549"/>
        <n v="86735"/>
        <n v="126668"/>
        <n v="178226"/>
        <n v="91619"/>
        <n v="36704"/>
        <n v="48222"/>
        <n v="3036"/>
        <n v="55349"/>
        <n v="250057"/>
        <n v="34199"/>
        <n v="60076"/>
        <n v="127701"/>
        <n v="70010"/>
        <n v="410847"/>
        <n v="15592"/>
        <n v="78435"/>
        <n v="31472"/>
        <n v="21154"/>
        <n v="114078"/>
        <n v="70329"/>
        <n v="22791"/>
        <n v="52728"/>
        <n v="52885"/>
        <n v="191105"/>
        <n v="75731"/>
        <n v="123580"/>
        <n v="61746"/>
        <n v="93521"/>
        <n v="93219"/>
        <n v="21232"/>
        <n v="268224"/>
        <n v="85872"/>
        <n v="19939"/>
        <n v="173979"/>
        <n v="61782"/>
        <n v="42552"/>
        <n v="99055"/>
        <n v="96425"/>
        <n v="19211"/>
        <n v="20436"/>
        <n v="145813"/>
        <n v="7925"/>
        <n v="92263"/>
        <n v="19794"/>
        <n v="2466"/>
        <n v="74098"/>
        <n v="99440"/>
        <n v="52450"/>
        <n v="58405"/>
        <n v="114305"/>
        <n v="49430"/>
        <n v="11855"/>
        <n v="26494"/>
        <n v="107789"/>
        <n v="52500"/>
        <n v="163620"/>
        <n v="272086"/>
        <n v="17237"/>
        <n v="12957"/>
        <n v="138722"/>
        <n v="187610"/>
        <n v="99895"/>
        <n v="60822"/>
        <n v="44123"/>
        <n v="30060"/>
        <n v="34864"/>
        <n v="24779"/>
        <n v="117491"/>
        <n v="23168"/>
        <n v="9954"/>
        <n v="218178"/>
        <n v="16766"/>
        <n v="21876"/>
        <n v="102479"/>
        <n v="14559"/>
        <n v="283091"/>
        <n v="23097"/>
        <n v="12894"/>
        <n v="22183"/>
        <n v="99589"/>
        <n v="237152"/>
        <n v="120043"/>
        <n v="86680"/>
        <n v="112929"/>
        <n v="115995"/>
        <n v="37865"/>
        <n v="86775"/>
        <n v="14315"/>
        <n v="12793"/>
        <n v="83810"/>
        <n v="44565"/>
        <n v="78495"/>
        <n v="13591"/>
        <n v="98951"/>
        <n v="828958"/>
        <n v="94527"/>
        <n v="4404"/>
        <n v="121590"/>
        <n v="149332"/>
        <n v="83931"/>
        <n v="5752"/>
        <n v="939926"/>
        <n v="99029"/>
        <n v="184789"/>
        <n v="28204"/>
        <n v="19525"/>
        <n v="77914"/>
        <n v="214255"/>
        <n v="254010"/>
        <n v="61961"/>
        <n v="61203"/>
        <n v="108959"/>
        <n v="127572"/>
        <n v="80034"/>
        <n v="169257"/>
        <n v="77025"/>
        <n v="8767"/>
        <n v="70830"/>
        <n v="117938"/>
        <n v="165155"/>
        <n v="169939"/>
        <n v="43790"/>
        <n v="72680"/>
        <n v="55013"/>
        <n v="156067"/>
        <n v="175207"/>
        <n v="24882"/>
        <n v="131029"/>
        <n v="73176"/>
        <n v="144868"/>
        <n v="166802"/>
        <n v="151642"/>
        <n v="59719"/>
        <n v="142562"/>
        <n v="23435"/>
        <n v="69845"/>
        <n v="95340"/>
        <n v="27615"/>
        <n v="190343"/>
        <n v="6930"/>
        <n v="33844"/>
        <n v="238540"/>
        <n v="13908"/>
        <n v="44624"/>
        <n v="123180"/>
        <n v="71228"/>
        <n v="40565"/>
        <n v="517249"/>
        <n v="7188"/>
        <n v="66468"/>
        <n v="16562"/>
        <n v="72901"/>
        <n v="243788"/>
        <n v="117665"/>
        <n v="44362"/>
        <n v="182228"/>
        <n v="252200"/>
        <n v="47734"/>
        <n v="1032626"/>
        <n v="77121"/>
        <n v="877696"/>
        <n v="51720"/>
        <n v="19377"/>
        <n v="115312"/>
        <n v="69507"/>
        <n v="165763"/>
        <n v="179391"/>
        <n v="85612"/>
        <n v="152394"/>
        <n v="4665"/>
        <n v="5512"/>
        <n v="84339"/>
        <n v="941009"/>
        <n v="653925"/>
        <n v="15980"/>
        <n v="96542"/>
        <n v="43275"/>
        <n v="77021"/>
        <n v="33441"/>
        <n v="102635"/>
        <n v="125046"/>
        <n v="233624"/>
        <n v="105297"/>
        <n v="57298"/>
        <n v="80275"/>
        <n v="18098"/>
        <n v="71287"/>
        <n v="67908"/>
        <n v="253012"/>
        <n v="198276"/>
        <n v="252775"/>
        <n v="25858"/>
        <n v="237730"/>
        <n v="144623"/>
        <n v="20601"/>
        <n v="140307"/>
        <n v="73638"/>
        <n v="137559"/>
        <n v="2089307"/>
        <n v="152302"/>
        <n v="610936"/>
        <n v="54207"/>
        <n v="82000"/>
        <n v="29500"/>
        <n v="67263"/>
        <n v="72630"/>
        <n v="18739"/>
        <n v="189257"/>
        <n v="41389"/>
        <n v="109308"/>
        <n v="73155"/>
        <n v="126053"/>
        <n v="89158"/>
        <n v="439530"/>
        <n v="72129"/>
        <n v="167554"/>
        <n v="133791"/>
        <n v="43858"/>
        <n v="29533"/>
        <n v="126358"/>
        <n v="7565"/>
        <n v="138248"/>
        <n v="86245"/>
        <n v="79325"/>
        <n v="101250"/>
        <n v="16709"/>
        <n v="167378"/>
        <n v="226443"/>
        <n v="23013"/>
        <n v="58460"/>
        <n v="73685"/>
        <n v="80186"/>
        <n v="315654"/>
        <n v="220830"/>
        <n v="21815"/>
        <n v="55597"/>
        <n v="99665"/>
        <n v="82138"/>
        <n v="54775"/>
        <n v="31751"/>
        <n v="23806"/>
        <n v="112247"/>
        <n v="18940"/>
        <n v="75943"/>
        <n v="240472"/>
        <n v="161968"/>
        <n v="161615"/>
        <n v="340762"/>
        <n v="50162"/>
        <n v="87493"/>
        <n v="9220"/>
        <n v="251004"/>
        <n v="7579"/>
        <n v="158827"/>
        <n v="81262"/>
        <n v="44770"/>
        <n v="58859"/>
        <n v="27710"/>
        <n v="261383"/>
        <n v="396683"/>
        <n v="287596"/>
        <n v="38290"/>
        <n v="28378"/>
        <n v="30152"/>
        <n v="36781"/>
        <n v="9909"/>
        <n v="71365"/>
        <n v="132814"/>
        <n v="113811"/>
        <n v="97531"/>
        <n v="18268"/>
        <n v="108842"/>
        <n v="155869"/>
        <n v="15366"/>
        <n v="7829"/>
        <n v="49111"/>
        <n v="177844"/>
        <n v="519695"/>
        <n v="42672"/>
        <n v="237100"/>
        <n v="38600"/>
        <n v="69605"/>
        <n v="157945"/>
        <n v="18324"/>
        <n v="248956"/>
        <n v="39616"/>
        <n v="205989"/>
        <n v="34977"/>
        <n v="68486"/>
        <n v="73731"/>
        <n v="98866"/>
        <n v="23763"/>
        <n v="143123"/>
        <n v="539781"/>
        <n v="45331"/>
        <n v="54117"/>
        <n v="29415"/>
        <n v="89661"/>
        <n v="48681"/>
        <n v="184368"/>
        <n v="222449"/>
        <n v="39347"/>
        <n v="22870"/>
        <n v="273724"/>
        <n v="230989"/>
        <n v="66947"/>
        <n v="21218"/>
        <n v="8969"/>
        <n v="71504"/>
        <n v="18118"/>
        <n v="290467"/>
        <n v="720298"/>
        <n v="68650"/>
        <n v="66591"/>
        <n v="77788"/>
        <n v="266580"/>
        <n v="19292"/>
        <n v="11269"/>
        <n v="114283"/>
        <n v="71099"/>
        <n v="56875"/>
        <n v="36592"/>
        <n v="12699"/>
        <n v="89412"/>
        <n v="46326"/>
        <n v="29108"/>
        <n v="116084"/>
        <n v="248230"/>
        <n v="45657"/>
        <n v="141731"/>
        <n v="87793"/>
        <n v="72303"/>
        <n v="275932"/>
        <n v="54034"/>
        <n v="205942"/>
        <n v="337836"/>
        <n v="277634"/>
        <n v="68315"/>
        <n v="88919"/>
        <n v="102187"/>
        <n v="7468"/>
        <n v="21062"/>
        <n v="75555"/>
        <n v="32297"/>
        <n v="85995"/>
        <n v="130953"/>
        <n v="15043"/>
        <n v="153418"/>
        <n v="69095"/>
        <n v="123323"/>
        <n v="124541"/>
        <n v="60059"/>
        <n v="335497"/>
        <n v="67370"/>
        <n v="2611"/>
        <n v="119678"/>
        <n v="46692"/>
        <n v="74348"/>
        <n v="116133"/>
        <n v="61334"/>
        <n v="41064"/>
        <n v="7951"/>
        <n v="22393"/>
        <n v="52157"/>
        <n v="14281"/>
        <n v="10247"/>
        <n v="80789"/>
        <n v="51540"/>
        <n v="14338"/>
        <n v="51612"/>
        <n v="66439"/>
        <n v="114469"/>
        <n v="175658"/>
        <n v="43580"/>
        <n v="28401"/>
        <n v="8055"/>
        <n v="3838"/>
        <n v="37868"/>
        <n v="19639"/>
        <n v="84409"/>
        <n v="3462"/>
        <n v="278639"/>
        <n v="159347"/>
        <n v="23561"/>
        <n v="109447"/>
        <n v="20043"/>
        <n v="346652"/>
        <n v="214143"/>
        <n v="259304"/>
        <n v="130137"/>
        <n v="49682"/>
        <n v="110525"/>
        <n v="644547"/>
        <n v="149109"/>
        <n v="18301"/>
        <n v="42746"/>
        <n v="52554"/>
        <n v="57605"/>
        <n v="134116"/>
        <n v="14935"/>
        <n v="163230"/>
        <n v="526950"/>
        <n v="94283"/>
        <n v="78679"/>
        <n v="54904"/>
        <n v="81039"/>
        <n v="99389"/>
        <n v="123295"/>
        <n v="188041"/>
        <n v="48366"/>
        <n v="232520"/>
        <n v="27915"/>
        <n v="409515"/>
        <n v="87342"/>
        <n v="59511"/>
        <n v="224278"/>
        <n v="74625"/>
        <n v="7794"/>
        <n v="105491"/>
        <n v="16027"/>
        <n v="167430"/>
        <n v="158160"/>
        <n v="238480"/>
        <n v="260589"/>
        <n v="47779"/>
        <n v="41223"/>
        <n v="161399"/>
        <n v="151568"/>
        <n v="15982"/>
        <n v="29161"/>
        <n v="76061"/>
        <n v="111263"/>
        <n v="65975"/>
        <n v="18130"/>
        <n v="59361"/>
        <n v="46508"/>
        <n v="240188"/>
        <n v="72307"/>
        <n v="58943"/>
        <n v="353152"/>
        <n v="61422"/>
        <n v="108648"/>
        <n v="81919"/>
        <n v="33993"/>
        <n v="299004"/>
        <n v="40325"/>
        <n v="48716"/>
        <n v="63554"/>
        <n v="40450"/>
        <n v="56902"/>
        <n v="30157"/>
        <n v="187668"/>
        <n v="17241"/>
        <n v="239571"/>
        <n v="70590"/>
        <n v="44507"/>
        <n v="177055"/>
        <n v="33776"/>
        <n v="71143"/>
        <n v="17253"/>
        <n v="93646"/>
        <n v="397389"/>
        <n v="95400"/>
        <n v="54445"/>
        <n v="5436"/>
        <n v="7763"/>
        <n v="96143"/>
        <n v="417211"/>
        <n v="72410"/>
        <n v="75295"/>
        <n v="46947"/>
        <n v="16415"/>
        <n v="93633"/>
        <n v="72797"/>
        <n v="56639"/>
        <n v="66760"/>
        <n v="41327"/>
        <n v="203918"/>
        <n v="172401"/>
        <n v="254226"/>
        <n v="15045"/>
        <n v="185436"/>
        <n v="94451"/>
        <n v="31201"/>
        <n v="28053"/>
        <n v="69101"/>
        <n v="50886"/>
        <n v="62729"/>
        <n v="18729"/>
        <n v="306954"/>
        <n v="65851"/>
        <n v="116448"/>
        <n v="85620"/>
        <n v="187402"/>
        <n v="202298"/>
        <n v="19934"/>
        <n v="41509"/>
        <n v="25588"/>
        <n v="47469"/>
        <n v="134714"/>
        <n v="86375"/>
        <n v="34451"/>
        <n v="30874"/>
        <n v="117869"/>
        <n v="133594"/>
        <n v="36871"/>
        <n v="6222"/>
        <n v="116791"/>
        <n v="34307"/>
        <n v="54036"/>
        <n v="68518"/>
        <n v="43616"/>
        <n v="178230"/>
        <n v="24465"/>
        <n v="37619"/>
        <n v="49881"/>
        <n v="19889"/>
        <n v="7370"/>
        <n v="301434"/>
        <n v="236535"/>
        <n v="276007"/>
        <n v="20604"/>
        <n v="152264"/>
        <n v="32486"/>
        <n v="1252678"/>
        <n v="34612"/>
        <n v="11692"/>
        <n v="175461"/>
        <n v="68301"/>
        <n v="3117"/>
        <n v="280823"/>
        <n v="21781"/>
        <n v="92989"/>
        <n v="46464"/>
        <n v="57882"/>
        <n v="30080"/>
        <n v="63206"/>
        <n v="70838"/>
        <n v="144159"/>
        <n v="12792"/>
        <n v="142318"/>
        <n v="211192"/>
        <n v="36737"/>
        <n v="46951"/>
        <n v="7115"/>
        <n v="88181"/>
        <n v="177704"/>
        <n v="65166"/>
        <n v="78638"/>
        <n v="232293"/>
        <n v="126918"/>
        <n v="70450"/>
        <n v="76026"/>
        <n v="115688"/>
        <n v="108477"/>
        <n v="584251"/>
        <n v="27803"/>
        <n v="88818"/>
        <n v="224552"/>
        <n v="30677"/>
        <n v="115019"/>
        <n v="83440"/>
        <n v="63420"/>
        <n v="78423"/>
        <n v="47971"/>
        <n v="188722"/>
        <n v="12989"/>
        <n v="101627"/>
        <n v="208779"/>
        <n v="133857"/>
        <n v="83701"/>
        <n v="14205"/>
        <n v="35514"/>
        <n v="60716"/>
        <n v="52925"/>
        <n v="50188"/>
        <n v="150349"/>
        <n v="559952"/>
        <n v="496986"/>
        <n v="305257"/>
        <n v="119116"/>
        <n v="77338"/>
        <n v="275142"/>
        <n v="45359"/>
        <n v="232126"/>
        <n v="101205"/>
        <n v="5937"/>
        <n v="138763"/>
        <n v="22205"/>
        <n v="177893"/>
        <n v="9608"/>
        <n v="28424"/>
        <n v="27608"/>
        <n v="67898"/>
        <n v="10961"/>
        <n v="9373"/>
        <n v="123695"/>
        <n v="118311"/>
        <n v="52547"/>
        <n v="65040"/>
        <n v="6952"/>
        <n v="12860"/>
        <n v="309953"/>
        <n v="200259"/>
        <n v="17128"/>
        <n v="33960"/>
        <n v="141638"/>
        <n v="103661"/>
        <n v="84898"/>
        <n v="82390"/>
        <n v="28191"/>
        <n v="39999"/>
        <n v="172314"/>
        <n v="97133"/>
        <n v="10436"/>
        <n v="111137"/>
        <n v="93198"/>
        <n v="24934"/>
        <n v="36066"/>
        <n v="150480"/>
        <n v="222355"/>
        <n v="65531"/>
        <n v="6916"/>
        <n v="39550"/>
        <n v="60006"/>
        <n v="316979"/>
        <n v="49076"/>
        <n v="146169"/>
        <n v="67046"/>
        <n v="44510"/>
        <n v="115892"/>
        <n v="39646"/>
        <n v="14749"/>
        <n v="14019"/>
        <n v="823875"/>
        <n v="56346"/>
        <n v="183425"/>
        <n v="116752"/>
        <n v="94252"/>
        <n v="42974"/>
        <n v="15216"/>
        <n v="78120"/>
        <n v="35174"/>
        <n v="10451"/>
        <n v="261224"/>
        <n v="195289"/>
        <n v="107326"/>
        <n v="102975"/>
        <n v="77639"/>
        <n v="196151"/>
        <n v="391334"/>
        <n v="214952"/>
        <n v="43590"/>
        <n v="133587"/>
        <n v="22635"/>
        <n v="165477"/>
        <n v="28028"/>
        <n v="164077"/>
        <n v="256728"/>
        <n v="108671"/>
        <n v="126387"/>
        <n v="21821"/>
        <n v="210601"/>
        <n v="11132"/>
        <n v="109293"/>
        <n v="6858"/>
        <n v="54481"/>
        <n v="76713"/>
        <n v="65097"/>
        <n v="94226"/>
        <n v="53300"/>
        <n v="62827"/>
        <n v="122543"/>
        <n v="123197"/>
        <n v="95802"/>
        <n v="34303"/>
        <n v="85175"/>
        <n v="96468"/>
        <n v="912983"/>
        <n v="25490"/>
        <n v="800178"/>
        <n v="79497"/>
        <n v="55218"/>
        <n v="88830"/>
        <n v="52996"/>
        <n v="30173"/>
        <n v="166159"/>
        <n v="9158"/>
        <n v="61342"/>
        <n v="128268"/>
        <n v="5627"/>
        <n v="47283"/>
        <n v="162494"/>
        <n v="13642"/>
        <n v="48939"/>
        <n v="28792"/>
        <n v="56701"/>
        <n v="54556"/>
        <n v="107984"/>
        <n v="101349"/>
        <n v="124551"/>
        <n v="263299"/>
        <n v="767556"/>
        <n v="381297"/>
        <n v="146925"/>
        <n v="713607"/>
        <n v="305350"/>
        <n v="89534"/>
        <n v="188321"/>
        <n v="61288"/>
        <n v="74668"/>
        <n v="134030"/>
        <n v="33125"/>
        <n v="136659"/>
        <n v="216259"/>
        <n v="399571"/>
        <n v="88649"/>
        <n v="17210"/>
        <n v="28902"/>
        <n v="266356"/>
        <n v="226499"/>
        <n v="18630"/>
        <n v="45215"/>
        <n v="35104"/>
        <n v="275024"/>
        <n v="601673"/>
        <n v="58938"/>
        <n v="17931"/>
        <n v="147704"/>
        <n v="65454"/>
        <n v="165140"/>
        <n v="68829"/>
        <n v="147063"/>
        <n v="69757"/>
        <n v="387781"/>
        <n v="57209"/>
        <n v="84298"/>
        <n v="48129"/>
        <n v="8509"/>
        <n v="82454"/>
        <n v="112909"/>
        <n v="334838"/>
        <n v="198776"/>
        <n v="37130"/>
        <n v="164744"/>
        <n v="89250"/>
        <n v="84470"/>
        <n v="245935"/>
        <n v="7868"/>
        <n v="119698"/>
        <n v="346574"/>
        <n v="62957"/>
        <n v="81936"/>
        <n v="22668"/>
        <n v="58068"/>
        <n v="370965"/>
        <n v="57517"/>
        <n v="49225"/>
        <n v="101931"/>
        <n v="673698"/>
        <n v="149698"/>
        <n v="103123"/>
        <n v="119950"/>
        <n v="48625"/>
        <n v="66091"/>
        <n v="24344"/>
        <n v="120339"/>
        <n v="67835"/>
        <n v="92490"/>
        <n v="68735"/>
        <n v="152067"/>
        <n v="182069"/>
        <n v="14673"/>
        <n v="29808"/>
        <n v="644324"/>
        <n v="198434"/>
        <n v="43731"/>
        <n v="49115"/>
        <n v="24178"/>
        <n v="53915"/>
        <n v="62788"/>
        <n v="218364"/>
        <n v="52275"/>
        <n v="52914"/>
        <n v="278734"/>
        <n v="87609"/>
        <n v="18640"/>
        <n v="89693"/>
        <n v="210382"/>
        <n v="291713"/>
        <n v="157526"/>
        <n v="34588"/>
        <n v="54853"/>
        <n v="16164"/>
        <n v="7381"/>
        <n v="61407"/>
        <n v="28161"/>
        <n v="186478"/>
        <n v="316888"/>
        <n v="82638"/>
        <n v="62568"/>
        <n v="64087"/>
        <n v="17977"/>
        <n v="331703"/>
        <n v="22425"/>
        <n v="13272"/>
        <n v="11374"/>
        <n v="22534"/>
        <n v="113836"/>
        <n v="83130"/>
        <n v="6511"/>
        <n v="203391"/>
        <n v="225390"/>
        <n v="23123"/>
        <n v="45794"/>
        <n v="213006"/>
        <n v="50930"/>
        <n v="29973"/>
        <n v="121575"/>
        <n v="66323"/>
        <n v="135201"/>
        <n v="68322"/>
        <n v="93761"/>
        <n v="5434"/>
        <n v="38168"/>
        <n v="63789"/>
        <n v="100951"/>
        <n v="52539"/>
        <n v="117215"/>
        <n v="145489"/>
        <n v="125463"/>
        <n v="53851"/>
        <n v="31358"/>
        <n v="344760"/>
        <n v="125495"/>
        <n v="56967"/>
        <n v="76941"/>
        <n v="18251"/>
        <n v="101682"/>
        <n v="69348"/>
        <n v="19925"/>
        <n v="27618"/>
        <n v="150156"/>
        <n v="279669"/>
        <n v="18204"/>
        <n v="315301"/>
        <n v="82515"/>
        <n v="10244"/>
        <n v="2810"/>
        <n v="28278"/>
        <n v="111464"/>
        <n v="39420"/>
        <n v="47022"/>
        <n v="15189"/>
        <n v="10128"/>
        <n v="27864"/>
        <n v="1653245"/>
        <n v="21069"/>
        <n v="40059"/>
        <n v="197203"/>
        <n v="15355"/>
        <n v="68803"/>
        <n v="29103"/>
        <n v="148528"/>
        <n v="66588"/>
        <n v="80452"/>
        <n v="27675"/>
        <n v="24787"/>
        <n v="24044"/>
        <n v="129428"/>
        <n v="15445"/>
        <n v="49087"/>
        <n v="12650"/>
        <n v="31583"/>
        <n v="64305"/>
        <n v="55607"/>
        <n v="53527"/>
        <n v="21522"/>
        <n v="42055"/>
        <n v="8130"/>
        <n v="84415"/>
        <n v="37092"/>
        <n v="14262"/>
        <n v="94914"/>
        <n v="390984"/>
        <n v="17234"/>
        <n v="427855"/>
        <n v="51166"/>
        <n v="100391"/>
        <n v="7285"/>
        <n v="88971"/>
        <n v="137866"/>
        <n v="44217"/>
        <n v="15594"/>
        <n v="328802"/>
        <n v="88086"/>
        <n v="17798"/>
        <n v="180789"/>
        <n v="134571"/>
        <n v="209371"/>
        <n v="97453"/>
        <n v="145255"/>
        <n v="164765"/>
        <n v="78498"/>
        <n v="162237"/>
        <n v="46069"/>
        <n v="162910"/>
        <n v="46275"/>
        <n v="109957"/>
        <n v="21614"/>
        <n v="497928"/>
        <n v="223857"/>
        <n v="136749"/>
        <n v="97112"/>
        <n v="78536"/>
        <n v="121096"/>
        <n v="18686"/>
        <n v="83490"/>
        <n v="37950"/>
        <n v="9019"/>
        <n v="34212"/>
        <n v="120350"/>
        <n v="76580"/>
        <n v="58872"/>
        <n v="64480"/>
        <n v="43847"/>
        <n v="260220"/>
        <n v="14984"/>
        <n v="84432"/>
        <n v="66565"/>
        <n v="119154"/>
        <n v="189030"/>
        <n v="62735"/>
        <n v="30470"/>
        <n v="48896"/>
        <n v="429799"/>
        <n v="170550"/>
        <n v="213035"/>
        <n v="21581"/>
        <n v="36085"/>
        <n v="222550"/>
        <n v="245309"/>
        <n v="94747"/>
        <n v="223169"/>
        <n v="336099"/>
        <n v="54033"/>
        <n v="112457"/>
        <n v="136221"/>
        <n v="38545"/>
        <n v="144396"/>
        <n v="264234"/>
        <n v="87797"/>
        <n v="31387"/>
        <n v="147110"/>
        <n v="218814"/>
        <n v="156448"/>
        <n v="109273"/>
        <n v="180951"/>
        <n v="31031"/>
        <n v="25641"/>
        <n v="10391"/>
        <n v="622518"/>
        <n v="69853"/>
        <n v="121614"/>
        <n v="324400"/>
        <n v="62181"/>
        <n v="119700"/>
        <n v="74365"/>
        <n v="115497"/>
        <n v="91015"/>
        <n v="158173"/>
        <n v="82112"/>
        <n v="260850"/>
        <n v="85102"/>
        <n v="82229"/>
        <n v="594762"/>
        <n v="185232"/>
        <n v="55034"/>
        <n v="314183"/>
        <n v="295174"/>
        <n v="129414"/>
        <n v="110973"/>
        <n v="207810"/>
        <n v="37580"/>
        <n v="6109"/>
        <n v="18657"/>
        <n v="58197"/>
        <n v="71155"/>
        <n v="116464"/>
        <n v="107209"/>
        <n v="96352"/>
        <n v="69225"/>
        <n v="121150"/>
        <n v="18681"/>
        <n v="27620"/>
        <n v="30293"/>
        <n v="354450"/>
        <n v="134123"/>
        <n v="28875"/>
        <n v="178839"/>
        <n v="35444"/>
        <n v="75965"/>
        <n v="66590"/>
        <n v="8215"/>
        <n v="59254"/>
        <n v="21478"/>
        <n v="18535"/>
        <n v="47224"/>
        <n v="244134"/>
        <n v="44383"/>
        <n v="42126"/>
        <n v="79794"/>
        <n v="54198"/>
        <n v="83664"/>
        <n v="324052"/>
        <n v="78316"/>
        <n v="41541"/>
        <n v="368838"/>
        <n v="42583"/>
        <n v="30343"/>
        <n v="44020"/>
        <n v="104769"/>
        <n v="43657"/>
        <n v="32601"/>
        <n v="71297"/>
        <n v="79120"/>
        <n v="146427"/>
        <n v="167829"/>
        <n v="35952"/>
        <n v="73972"/>
        <n v="47179"/>
        <n v="68481"/>
        <n v="13845"/>
        <n v="32610"/>
        <n v="106745"/>
        <n v="111178"/>
        <n v="58031"/>
        <n v="101750"/>
        <n v="22349"/>
        <n v="39446"/>
        <n v="103190"/>
        <n v="44190"/>
        <n v="40019"/>
        <n v="91381"/>
        <n v="131623"/>
        <n v="46292"/>
        <n v="16500"/>
        <n v="79445"/>
        <n v="31496"/>
        <n v="8490"/>
        <n v="36309"/>
        <n v="52245"/>
        <n v="36782"/>
        <n v="123016"/>
        <n v="175668"/>
        <n v="88418"/>
        <n v="113095"/>
        <n v="37955"/>
        <n v="109951"/>
        <n v="144489"/>
        <n v="115150"/>
        <n v="14121"/>
        <n v="25094"/>
        <n v="32337"/>
        <n v="31270"/>
        <n v="33539"/>
        <n v="150020"/>
        <n v="74075"/>
        <n v="24427"/>
        <n v="228143"/>
        <n v="147188"/>
        <n v="132205"/>
        <n v="4443"/>
        <n v="22802"/>
        <n v="35928"/>
        <n v="29915"/>
        <n v="17968"/>
        <n v="96025"/>
        <n v="66422"/>
        <n v="123843"/>
        <n v="124387"/>
        <n v="310971"/>
        <n v="22699"/>
        <n v="101152"/>
        <n v="44363"/>
        <n v="352952"/>
        <n v="104369"/>
        <n v="42712"/>
        <n v="112322"/>
        <n v="221717"/>
        <n v="44321"/>
        <n v="34158"/>
        <n v="57305"/>
        <n v="61034"/>
        <n v="23825"/>
        <n v="29219"/>
        <n v="126905"/>
        <n v="110628"/>
        <n v="53314"/>
        <n v="60276"/>
        <n v="82959"/>
        <n v="62036"/>
        <n v="47518"/>
        <n v="191561"/>
        <n v="75683"/>
        <n v="224735"/>
        <n v="214119"/>
        <n v="58507"/>
        <n v="75090"/>
        <n v="1197205"/>
      </sharedItems>
      <fieldGroup base="10">
        <rangePr startNum="0" endNum="2089307" groupInterval="300000"/>
        <groupItems count="9">
          <s v="&lt;0"/>
          <s v="0-299999"/>
          <s v="300000-599999"/>
          <s v="600000-899999"/>
          <s v="900000-1199999"/>
          <s v="1200000-1499999"/>
          <s v="1500000-1799999"/>
          <s v="1800000-2099999"/>
          <s v="&gt;2100000"/>
        </groupItems>
      </fieldGroup>
    </cacheField>
    <cacheField name="Discount Amount" numFmtId="44">
      <sharedItems containsSemiMixedTypes="0" containsString="0" containsNumber="1" containsInteger="1" minValue="0" maxValue="2089307"/>
    </cacheField>
    <cacheField name="NET Amount" numFmtId="44">
      <sharedItems containsSemiMixedTypes="0" containsString="0" containsNumber="1" containsInteger="1" minValue="0" maxValue="1814630"/>
    </cacheField>
    <cacheField name="Paid Amount" numFmtId="44">
      <sharedItems containsSemiMixedTypes="0" containsString="0" containsNumber="1" containsInteger="1" minValue="0" maxValue="1814630"/>
    </cacheField>
    <cacheField name="Total Outstanding Amount" numFmtId="44">
      <sharedItems containsSemiMixedTypes="0" containsString="0" containsNumber="1" containsInteger="1" minValue="-30576" maxValue="1567024"/>
    </cacheField>
    <cacheField name="Status" numFmtId="0">
      <sharedItems count="2">
        <s v="SETTLED"/>
        <s v="NOTSETTLED"/>
      </sharedItems>
    </cacheField>
    <cacheField name="PAYTYPE" numFmtId="0">
      <sharedItems count="22">
        <s v="S.PVT"/>
        <s v="ECONOMY"/>
        <s v="PRIVATE "/>
        <s v="GIPSA ECONOMY"/>
        <s v="ICU -HC"/>
        <s v="GIPSA S.PVT"/>
        <s v="DAY CARE"/>
        <s v="GENERAL ECONOMY"/>
        <s v="ICU WARD ECO"/>
        <s v="EWS"/>
        <s v="DELUXE"/>
        <s v="SUITE"/>
        <s v="GIPSA DAY CARE"/>
        <s v="ICU- GENERAL ECONOMY"/>
        <s v="GIPSA DELUXE"/>
        <s v="DELHI AROGYA KOSH"/>
        <s v="ICU WARD S.PVT"/>
        <s v="ICU WARD PVT"/>
        <s v="GENERAL ECONOMY T.C"/>
        <s v="TRANSIT ICU"/>
        <s v="GIPSA SUITES"/>
        <s v="COVID CARE"/>
      </sharedItems>
    </cacheField>
    <cacheField name="Collection Efficiency" numFmtId="9">
      <sharedItems containsMixedTypes="1" containsNumber="1" minValue="0" maxValue="10.13671875"/>
    </cacheField>
    <cacheField name="SPL" numFmtId="0">
      <sharedItems count="28">
        <s v="Medicine."/>
        <s v="Gynaecology"/>
        <s v="Neuro- Surgery"/>
        <s v="Paediatrics"/>
        <s v="Cardiology"/>
        <s v="Urology"/>
        <s v="PL. Surgery"/>
        <s v="Endocrinology &amp; Breast Surgery"/>
        <s v="Interventional Radiologist"/>
        <s v="Neurology"/>
        <s v="Cardiac By- Pass Surgery"/>
        <s v="Surgery"/>
        <s v="Resp. Medicine"/>
        <s v="Nephrology"/>
        <s v="E.N.T"/>
        <s v="Gastro"/>
        <s v="Orthopaedics"/>
        <s v="Gastro - I - Surgeon"/>
        <s v="Rheumatology"/>
        <s v="Endocrinology"/>
        <s v="CTVS"/>
        <s v="Paed Surgery"/>
        <s v="Ophthalmology"/>
        <s v="Pain Management"/>
        <s v="Dental"/>
        <s v="Bariatric Surgery"/>
        <s v="Casualty"/>
        <s v="Haematology"/>
      </sharedItems>
    </cacheField>
  </cacheFields>
  <extLst>
    <ext xmlns:x14="http://schemas.microsoft.com/office/spreadsheetml/2009/9/main" uri="{725AE2AE-9491-48be-B2B4-4EB974FC3084}">
      <x14:pivotCacheDefinition pivotCacheId="1395312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97">
  <r>
    <n v="1"/>
    <s v=" CGHS Cash"/>
    <d v="2022-09-17T00:00:00"/>
    <x v="0"/>
    <d v="2022-10-02T00:00:00"/>
    <d v="2022-10-02T00:00:00"/>
    <n v="22025268"/>
    <n v="2232371"/>
    <n v="1001799253"/>
    <s v="JANAK RANI"/>
    <x v="0"/>
    <n v="0"/>
    <n v="314146"/>
    <n v="314146"/>
    <n v="0"/>
    <x v="0"/>
    <x v="0"/>
    <n v="1"/>
    <x v="0"/>
  </r>
  <r>
    <n v="2"/>
    <s v="M.C.D"/>
    <d v="2022-09-03T00:00:00"/>
    <x v="0"/>
    <d v="2022-10-03T00:00:00"/>
    <d v="2022-10-03T00:00:00"/>
    <n v="22025447"/>
    <n v="2230451"/>
    <n v="10013536805"/>
    <s v="PRAKASH"/>
    <x v="1"/>
    <n v="0"/>
    <n v="848924"/>
    <n v="748500"/>
    <n v="100424"/>
    <x v="1"/>
    <x v="1"/>
    <n v="0.88170436929572027"/>
    <x v="0"/>
  </r>
  <r>
    <n v="3"/>
    <s v="GENERAL PATIENT"/>
    <d v="2022-10-04T00:00:00"/>
    <x v="1"/>
    <d v="2022-10-07T00:00:00"/>
    <d v="2022-10-07T00:00:00"/>
    <n v="22025945"/>
    <n v="2234626"/>
    <n v="10013508512"/>
    <s v="NIDHI"/>
    <x v="2"/>
    <n v="12044"/>
    <n v="88760"/>
    <n v="88760"/>
    <n v="0"/>
    <x v="0"/>
    <x v="0"/>
    <n v="1"/>
    <x v="1"/>
  </r>
  <r>
    <n v="4"/>
    <s v="NIVA BUPA"/>
    <d v="2022-10-04T00:00:00"/>
    <x v="1"/>
    <d v="2022-10-09T00:00:00"/>
    <d v="2022-10-09T00:00:00"/>
    <n v="22026284"/>
    <n v="2234631"/>
    <n v="10013541481"/>
    <s v="TOMYA"/>
    <x v="3"/>
    <n v="7252"/>
    <n v="57996"/>
    <n v="1850"/>
    <n v="56146"/>
    <x v="1"/>
    <x v="2"/>
    <n v="3.1898751638044003E-2"/>
    <x v="0"/>
  </r>
  <r>
    <n v="5"/>
    <s v="GENERAL PATIENT"/>
    <d v="2022-10-06T00:00:00"/>
    <x v="1"/>
    <d v="2022-10-10T00:00:00"/>
    <d v="2022-10-10T00:00:00"/>
    <n v="22026372"/>
    <n v="2234889"/>
    <n v="10013527842"/>
    <s v="MANOJ KUMAR"/>
    <x v="4"/>
    <n v="28110"/>
    <n v="186847"/>
    <n v="186847"/>
    <n v="0"/>
    <x v="0"/>
    <x v="1"/>
    <n v="1"/>
    <x v="2"/>
  </r>
  <r>
    <n v="6"/>
    <s v="GENERAL PATIENT"/>
    <d v="2022-10-13T00:00:00"/>
    <x v="1"/>
    <d v="2022-10-19T00:00:00"/>
    <d v="2022-10-19T00:00:00"/>
    <n v="22027753"/>
    <n v="2235893"/>
    <n v="10013542334"/>
    <s v="SHASHI MAITHAL"/>
    <x v="5"/>
    <n v="30952"/>
    <n v="139846"/>
    <n v="139846"/>
    <n v="0"/>
    <x v="0"/>
    <x v="1"/>
    <n v="1"/>
    <x v="0"/>
  </r>
  <r>
    <n v="7"/>
    <s v="GENERAL PATIENT"/>
    <d v="2022-10-13T00:00:00"/>
    <x v="1"/>
    <d v="2022-10-23T00:00:00"/>
    <d v="2022-10-23T00:00:00"/>
    <n v="22028324"/>
    <n v="2235890"/>
    <n v="1001804199"/>
    <s v="BIJENDER SOLANKI"/>
    <x v="6"/>
    <n v="52279"/>
    <n v="214500"/>
    <n v="214500"/>
    <n v="0"/>
    <x v="0"/>
    <x v="1"/>
    <n v="1"/>
    <x v="0"/>
  </r>
  <r>
    <n v="8"/>
    <s v="CGHS"/>
    <d v="2022-10-17T00:00:00"/>
    <x v="1"/>
    <d v="2022-10-19T00:00:00"/>
    <d v="2022-10-19T00:00:00"/>
    <n v="22027700"/>
    <n v="2236385"/>
    <n v="1001804898"/>
    <s v="PRIYA FEMALE BABY"/>
    <x v="7"/>
    <n v="0"/>
    <n v="4926"/>
    <n v="4926"/>
    <n v="0"/>
    <x v="0"/>
    <x v="1"/>
    <n v="1"/>
    <x v="3"/>
  </r>
  <r>
    <n v="9"/>
    <s v="GENERAL PATIENT"/>
    <d v="2022-10-15T00:00:00"/>
    <x v="1"/>
    <d v="2022-10-17T00:00:00"/>
    <d v="2022-10-17T00:00:00"/>
    <n v="22027410"/>
    <n v="2236069"/>
    <n v="1001182239"/>
    <s v="GAURI SHANKAR MITTAL"/>
    <x v="8"/>
    <n v="13268"/>
    <n v="90253"/>
    <n v="90253"/>
    <n v="0"/>
    <x v="0"/>
    <x v="1"/>
    <n v="1"/>
    <x v="4"/>
  </r>
  <r>
    <n v="10"/>
    <s v="PARK MED CLAIM LTD"/>
    <d v="2022-10-17T00:00:00"/>
    <x v="1"/>
    <d v="2022-10-26T00:00:00"/>
    <d v="2022-10-26T00:00:00"/>
    <n v="22028622"/>
    <n v="2236399"/>
    <n v="10013543462"/>
    <s v="SONIA  ARORA"/>
    <x v="9"/>
    <n v="7711"/>
    <n v="506390"/>
    <n v="413837"/>
    <n v="92553"/>
    <x v="1"/>
    <x v="3"/>
    <n v="0.81722980311617532"/>
    <x v="5"/>
  </r>
  <r>
    <n v="11"/>
    <s v="PARK MED CLAIM LTD"/>
    <d v="2022-10-06T00:00:00"/>
    <x v="1"/>
    <d v="2022-10-09T00:00:00"/>
    <d v="2022-10-09T00:00:00"/>
    <n v="22026249"/>
    <n v="2234850"/>
    <n v="10013278800"/>
    <s v="PARMINDEER KAUR"/>
    <x v="10"/>
    <n v="8123"/>
    <n v="51127"/>
    <n v="9624"/>
    <n v="41503"/>
    <x v="1"/>
    <x v="2"/>
    <n v="0.18823713497760478"/>
    <x v="0"/>
  </r>
  <r>
    <n v="12"/>
    <s v="Safeway Mediclaim Services Pvt. Ltd."/>
    <d v="2022-10-26T00:00:00"/>
    <x v="1"/>
    <d v="2022-10-26T00:00:00"/>
    <d v="2022-10-26T00:00:00"/>
    <n v="22028672"/>
    <n v="2237471"/>
    <n v="1001806270"/>
    <s v="VINOD KUMAR"/>
    <x v="11"/>
    <n v="0"/>
    <n v="22500"/>
    <n v="1500"/>
    <n v="21000"/>
    <x v="1"/>
    <x v="4"/>
    <n v="6.6666666666666666E-2"/>
    <x v="4"/>
  </r>
  <r>
    <n v="13"/>
    <s v="GENERAL PATIENT"/>
    <d v="2022-10-02T00:00:00"/>
    <x v="1"/>
    <d v="2022-10-05T00:00:00"/>
    <d v="2022-10-05T00:00:00"/>
    <n v="22025636"/>
    <n v="2234319"/>
    <n v="10013541238"/>
    <s v="MEHTAB SINGH"/>
    <x v="12"/>
    <n v="11474"/>
    <n v="81316"/>
    <n v="81316"/>
    <n v="0"/>
    <x v="0"/>
    <x v="2"/>
    <n v="1"/>
    <x v="0"/>
  </r>
  <r>
    <n v="14"/>
    <s v="GENERAL PATIENT"/>
    <d v="2022-09-21T00:00:00"/>
    <x v="0"/>
    <d v="2022-10-10T00:00:00"/>
    <d v="2022-10-10T00:00:00"/>
    <n v="22026356"/>
    <n v="2232814"/>
    <n v="10013539654"/>
    <s v="NEHA"/>
    <x v="13"/>
    <n v="212524"/>
    <n v="836522"/>
    <n v="836522"/>
    <n v="0"/>
    <x v="0"/>
    <x v="1"/>
    <n v="1"/>
    <x v="0"/>
  </r>
  <r>
    <n v="15"/>
    <s v="MEDI ASSIST"/>
    <d v="2022-09-26T00:00:00"/>
    <x v="0"/>
    <d v="2022-10-03T00:00:00"/>
    <d v="2022-10-03T00:00:00"/>
    <n v="22025416"/>
    <n v="2233514"/>
    <n v="1000954717"/>
    <s v="USHA GULATI"/>
    <x v="14"/>
    <n v="21573"/>
    <n v="169939"/>
    <n v="21838"/>
    <n v="148101"/>
    <x v="0"/>
    <x v="5"/>
    <n v="0.12850493412342076"/>
    <x v="0"/>
  </r>
  <r>
    <n v="16"/>
    <s v="CGHS"/>
    <d v="2022-10-04T00:00:00"/>
    <x v="1"/>
    <d v="2022-10-05T00:00:00"/>
    <d v="2022-10-05T00:00:00"/>
    <n v="22025676"/>
    <n v="2234496"/>
    <n v="10013541445"/>
    <s v="MEHTAB SINGH"/>
    <x v="15"/>
    <n v="0"/>
    <n v="16240"/>
    <n v="0"/>
    <n v="16240"/>
    <x v="1"/>
    <x v="1"/>
    <n v="0"/>
    <x v="4"/>
  </r>
  <r>
    <n v="17"/>
    <s v="GENERAL PATIENT"/>
    <d v="2022-10-20T00:00:00"/>
    <x v="1"/>
    <d v="2022-10-20T00:00:00"/>
    <d v="2022-10-20T00:00:00"/>
    <n v="22027831"/>
    <n v="2236756"/>
    <n v="1001331180"/>
    <s v="SATVIK GUPTA"/>
    <x v="16"/>
    <n v="0"/>
    <n v="0"/>
    <n v="0"/>
    <n v="0"/>
    <x v="0"/>
    <x v="6"/>
    <e v="#DIV/0!"/>
    <x v="6"/>
  </r>
  <r>
    <n v="18"/>
    <s v="GENERAL PATIENT"/>
    <d v="2022-10-21T00:00:00"/>
    <x v="1"/>
    <d v="2022-10-22T00:00:00"/>
    <d v="2022-10-22T00:00:00"/>
    <n v="22028238"/>
    <n v="2236862"/>
    <n v="10013543946"/>
    <s v="KRITIKA KHURANA"/>
    <x v="17"/>
    <n v="30940"/>
    <n v="179820"/>
    <n v="179820"/>
    <n v="0"/>
    <x v="0"/>
    <x v="1"/>
    <n v="1"/>
    <x v="7"/>
  </r>
  <r>
    <n v="19"/>
    <s v="GENERAL PATIENT"/>
    <d v="2022-10-17T00:00:00"/>
    <x v="1"/>
    <d v="2022-10-17T00:00:00"/>
    <d v="2022-10-17T00:00:00"/>
    <n v="22027500"/>
    <n v="2236361"/>
    <n v="10013543432"/>
    <s v="AFROZ ANSARI"/>
    <x v="18"/>
    <n v="8882"/>
    <n v="98066"/>
    <n v="98066"/>
    <n v="0"/>
    <x v="0"/>
    <x v="6"/>
    <n v="1"/>
    <x v="8"/>
  </r>
  <r>
    <n v="20"/>
    <s v="GENERAL PATIENT"/>
    <d v="2022-10-08T00:00:00"/>
    <x v="1"/>
    <d v="2022-10-08T00:00:00"/>
    <d v="2022-10-08T00:00:00"/>
    <n v="22026191"/>
    <n v="2235188"/>
    <n v="1001803291"/>
    <s v="SUNITA SHARAN"/>
    <x v="19"/>
    <n v="0"/>
    <n v="14000"/>
    <n v="14000"/>
    <n v="0"/>
    <x v="0"/>
    <x v="6"/>
    <n v="1"/>
    <x v="4"/>
  </r>
  <r>
    <n v="21"/>
    <s v="RAKSHA (TPA)"/>
    <d v="2022-09-26T00:00:00"/>
    <x v="0"/>
    <d v="2022-10-07T00:00:00"/>
    <d v="2022-10-07T00:00:00"/>
    <n v="22026069"/>
    <n v="2233571"/>
    <n v="10013540383"/>
    <s v="SHIV DAYAL"/>
    <x v="20"/>
    <n v="98554"/>
    <n v="815621"/>
    <n v="28989"/>
    <n v="786632"/>
    <x v="1"/>
    <x v="3"/>
    <n v="3.5542243272304173E-2"/>
    <x v="0"/>
  </r>
  <r>
    <n v="22"/>
    <s v="GENERAL PATIENT"/>
    <d v="2022-10-07T00:00:00"/>
    <x v="1"/>
    <d v="2022-10-08T00:00:00"/>
    <d v="2022-10-08T00:00:00"/>
    <n v="22026131"/>
    <n v="2235082"/>
    <n v="1001803131"/>
    <s v="POOJA  FEMALE BABY GUPTA"/>
    <x v="21"/>
    <n v="1180"/>
    <n v="8481"/>
    <n v="8481"/>
    <n v="0"/>
    <x v="0"/>
    <x v="0"/>
    <n v="1"/>
    <x v="3"/>
  </r>
  <r>
    <n v="23"/>
    <s v="GENERAL PATIENT"/>
    <d v="2022-09-29T00:00:00"/>
    <x v="0"/>
    <d v="2022-10-08T00:00:00"/>
    <d v="2022-10-08T00:00:00"/>
    <n v="22026145"/>
    <n v="2233967"/>
    <n v="10013540861"/>
    <s v="JAGDISH LAL DUA"/>
    <x v="22"/>
    <n v="49155"/>
    <n v="187592"/>
    <n v="187592"/>
    <n v="0"/>
    <x v="0"/>
    <x v="2"/>
    <n v="1"/>
    <x v="9"/>
  </r>
  <r>
    <n v="24"/>
    <s v="GENERAL PATIENT"/>
    <d v="2022-10-14T00:00:00"/>
    <x v="1"/>
    <d v="2022-10-15T00:00:00"/>
    <d v="2022-10-15T00:00:00"/>
    <n v="22027168"/>
    <n v="2236007"/>
    <n v="10013543045"/>
    <s v="SANTOSH BANSAL"/>
    <x v="23"/>
    <n v="7216"/>
    <n v="25575"/>
    <n v="25575"/>
    <n v="0"/>
    <x v="0"/>
    <x v="2"/>
    <n v="1"/>
    <x v="4"/>
  </r>
  <r>
    <n v="25"/>
    <s v="MEDI ASSIST"/>
    <d v="2022-10-11T00:00:00"/>
    <x v="1"/>
    <d v="2022-10-16T00:00:00"/>
    <d v="2022-10-16T00:00:00"/>
    <n v="22027286"/>
    <n v="2235524"/>
    <n v="1001333137"/>
    <s v="ASHOK  KUMAR JAIN"/>
    <x v="24"/>
    <n v="14806"/>
    <n v="92993"/>
    <n v="2287"/>
    <n v="90706"/>
    <x v="1"/>
    <x v="5"/>
    <n v="2.4593248954222362E-2"/>
    <x v="0"/>
  </r>
  <r>
    <n v="26"/>
    <s v="GENERAL PATIENT"/>
    <d v="2022-10-10T00:00:00"/>
    <x v="1"/>
    <d v="2022-10-17T00:00:00"/>
    <d v="2022-10-17T00:00:00"/>
    <n v="22027455"/>
    <n v="2235468"/>
    <n v="10013542473"/>
    <s v="RAJESH KUMAR"/>
    <x v="25"/>
    <n v="22400"/>
    <n v="230000"/>
    <n v="230000"/>
    <n v="0"/>
    <x v="0"/>
    <x v="7"/>
    <n v="1"/>
    <x v="10"/>
  </r>
  <r>
    <n v="27"/>
    <s v="CGHS"/>
    <d v="2022-10-04T00:00:00"/>
    <x v="1"/>
    <d v="2022-10-09T00:00:00"/>
    <d v="2022-10-09T00:00:00"/>
    <n v="22026275"/>
    <n v="2234576"/>
    <n v="10013512843"/>
    <s v="REETU"/>
    <x v="26"/>
    <n v="0"/>
    <n v="15908"/>
    <n v="15908"/>
    <n v="0"/>
    <x v="0"/>
    <x v="1"/>
    <n v="1"/>
    <x v="1"/>
  </r>
  <r>
    <n v="28"/>
    <s v="Paramount Health Services (TPA) Private Limited"/>
    <d v="2022-10-19T00:00:00"/>
    <x v="1"/>
    <d v="2022-10-22T00:00:00"/>
    <d v="2022-10-22T00:00:00"/>
    <n v="22028181"/>
    <n v="2236655"/>
    <n v="10013543753"/>
    <s v="RADHIKA DEVI"/>
    <x v="27"/>
    <n v="8238"/>
    <n v="63279"/>
    <n v="15939"/>
    <n v="47340"/>
    <x v="1"/>
    <x v="5"/>
    <n v="0.25188451144929597"/>
    <x v="0"/>
  </r>
  <r>
    <n v="29"/>
    <s v="GENERAL PATIENT"/>
    <d v="2022-10-12T00:00:00"/>
    <x v="1"/>
    <d v="2022-10-13T00:00:00"/>
    <d v="2022-10-13T00:00:00"/>
    <n v="22026902"/>
    <n v="2235672"/>
    <n v="10013351869"/>
    <s v="ESHA GOYAL"/>
    <x v="28"/>
    <n v="5652"/>
    <n v="40346"/>
    <n v="40346"/>
    <n v="0"/>
    <x v="0"/>
    <x v="2"/>
    <n v="1"/>
    <x v="1"/>
  </r>
  <r>
    <n v="30"/>
    <s v="CGHS ( CREDIT)"/>
    <d v="2022-10-06T00:00:00"/>
    <x v="1"/>
    <d v="2022-10-17T00:00:00"/>
    <d v="2022-10-17T00:00:00"/>
    <n v="22027472"/>
    <n v="2234932"/>
    <n v="1001222192"/>
    <s v="DAVINDER AHUJA"/>
    <x v="29"/>
    <n v="0"/>
    <n v="105208"/>
    <n v="3011"/>
    <n v="102197"/>
    <x v="1"/>
    <x v="0"/>
    <n v="2.8619496616226904E-2"/>
    <x v="11"/>
  </r>
  <r>
    <n v="31"/>
    <s v="GENERAL PATIENT"/>
    <d v="2022-09-20T00:00:00"/>
    <x v="0"/>
    <d v="2022-10-01T00:00:00"/>
    <d v="2022-10-01T00:00:00"/>
    <n v="22025185"/>
    <n v="2232781"/>
    <n v="10013539635"/>
    <s v="RAJ DEV YADAV"/>
    <x v="30"/>
    <n v="97621"/>
    <n v="274379"/>
    <n v="274379"/>
    <n v="0"/>
    <x v="0"/>
    <x v="7"/>
    <n v="1"/>
    <x v="0"/>
  </r>
  <r>
    <n v="32"/>
    <s v=" CAPF"/>
    <d v="2022-10-14T00:00:00"/>
    <x v="1"/>
    <d v="2022-10-21T00:00:00"/>
    <d v="2022-10-21T00:00:00"/>
    <n v="22028028"/>
    <n v="2235966"/>
    <n v="1001804316"/>
    <s v="DAKSH"/>
    <x v="31"/>
    <n v="0"/>
    <n v="27925"/>
    <n v="1195"/>
    <n v="26730"/>
    <x v="1"/>
    <x v="1"/>
    <n v="4.279319606087735E-2"/>
    <x v="3"/>
  </r>
  <r>
    <n v="33"/>
    <s v="BAJAJ ALLIANZ INSURANCE"/>
    <d v="2022-10-05T00:00:00"/>
    <x v="1"/>
    <d v="2022-10-08T00:00:00"/>
    <d v="2022-10-08T00:00:00"/>
    <n v="22026087"/>
    <n v="2234740"/>
    <n v="10013541639"/>
    <s v="TANUJ"/>
    <x v="32"/>
    <n v="3794"/>
    <n v="47969"/>
    <n v="2897"/>
    <n v="45072"/>
    <x v="1"/>
    <x v="1"/>
    <n v="6.0393170589338949E-2"/>
    <x v="0"/>
  </r>
  <r>
    <n v="34"/>
    <s v=" SSYAMA CASH"/>
    <d v="2022-10-22T00:00:00"/>
    <x v="1"/>
    <d v="2022-10-31T00:00:00"/>
    <d v="2022-10-31T00:00:00"/>
    <n v="22029296"/>
    <n v="2237028"/>
    <n v="1001805732"/>
    <s v="PASURAM"/>
    <x v="33"/>
    <n v="0"/>
    <n v="66796"/>
    <n v="66796"/>
    <n v="0"/>
    <x v="0"/>
    <x v="1"/>
    <n v="1"/>
    <x v="0"/>
  </r>
  <r>
    <n v="35"/>
    <s v=" MEDI ASSIST INSURANCE TPA LTD"/>
    <d v="2022-10-29T00:00:00"/>
    <x v="1"/>
    <d v="2022-10-31T00:00:00"/>
    <d v="2022-10-31T00:00:00"/>
    <n v="22029310"/>
    <n v="2238028"/>
    <n v="1001807081"/>
    <s v="GAURAV KUMAR"/>
    <x v="34"/>
    <n v="4197"/>
    <n v="24252"/>
    <n v="2410"/>
    <n v="21842"/>
    <x v="1"/>
    <x v="3"/>
    <n v="9.9373247567210957E-2"/>
    <x v="11"/>
  </r>
  <r>
    <n v="36"/>
    <s v="GENERAL PATIENT"/>
    <d v="2022-10-30T00:00:00"/>
    <x v="1"/>
    <d v="2022-10-30T00:00:00"/>
    <d v="2022-10-30T00:00:00"/>
    <n v="22029212"/>
    <n v="2238074"/>
    <n v="1001807134"/>
    <s v="NAVEEN BANSAL"/>
    <x v="19"/>
    <n v="825"/>
    <n v="13175"/>
    <n v="13175"/>
    <n v="0"/>
    <x v="1"/>
    <x v="7"/>
    <n v="1"/>
    <x v="4"/>
  </r>
  <r>
    <n v="37"/>
    <s v="GENERAL PATIENT"/>
    <d v="2022-09-22T00:00:00"/>
    <x v="0"/>
    <d v="2022-10-20T00:00:00"/>
    <d v="2022-10-20T00:00:00"/>
    <n v="22027910"/>
    <n v="2233082"/>
    <n v="10013534524"/>
    <s v="USHA DHAMIJA"/>
    <x v="35"/>
    <n v="203204"/>
    <n v="513609"/>
    <n v="513609"/>
    <n v="0"/>
    <x v="0"/>
    <x v="7"/>
    <n v="1"/>
    <x v="0"/>
  </r>
  <r>
    <n v="38"/>
    <s v="GENERAL PATIENT"/>
    <d v="2022-10-04T00:00:00"/>
    <x v="1"/>
    <d v="2022-10-06T00:00:00"/>
    <d v="2022-10-06T00:00:00"/>
    <n v="22025833"/>
    <n v="2234529"/>
    <n v="1001802328"/>
    <s v="SHILPI JAISWAL"/>
    <x v="36"/>
    <n v="18946"/>
    <n v="88332"/>
    <n v="88332"/>
    <n v="0"/>
    <x v="0"/>
    <x v="2"/>
    <n v="1"/>
    <x v="1"/>
  </r>
  <r>
    <n v="39"/>
    <s v="GENERAL PATIENT"/>
    <d v="2022-10-19T00:00:00"/>
    <x v="1"/>
    <d v="2022-10-24T00:00:00"/>
    <d v="2022-10-24T00:00:00"/>
    <n v="22028460"/>
    <n v="2236682"/>
    <n v="10013543778"/>
    <s v="SATBIR SINGH"/>
    <x v="37"/>
    <n v="51684"/>
    <n v="190103"/>
    <n v="190103"/>
    <n v="0"/>
    <x v="0"/>
    <x v="8"/>
    <n v="1"/>
    <x v="2"/>
  </r>
  <r>
    <n v="40"/>
    <s v="GENERAL PATIENT"/>
    <d v="2022-10-04T00:00:00"/>
    <x v="1"/>
    <d v="2022-10-04T00:00:00"/>
    <d v="2022-10-04T00:00:00"/>
    <n v="22025604"/>
    <n v="2234534"/>
    <n v="10013523188"/>
    <s v="SHIV RAM"/>
    <x v="38"/>
    <n v="13205"/>
    <n v="0"/>
    <n v="0"/>
    <n v="0"/>
    <x v="0"/>
    <x v="9"/>
    <e v="#DIV/0!"/>
    <x v="11"/>
  </r>
  <r>
    <n v="41"/>
    <s v="ICICI Lombard General Insurance"/>
    <d v="2022-10-04T00:00:00"/>
    <x v="1"/>
    <d v="2022-10-04T00:00:00"/>
    <d v="2022-10-04T00:00:00"/>
    <n v="22025599"/>
    <n v="2234525"/>
    <n v="1001801813"/>
    <s v="SHAMA TANEJA"/>
    <x v="39"/>
    <n v="1277"/>
    <n v="31708"/>
    <n v="28672"/>
    <n v="3036"/>
    <x v="0"/>
    <x v="6"/>
    <n v="0.90425129304907281"/>
    <x v="1"/>
  </r>
  <r>
    <n v="42"/>
    <s v="VIDAL HEALTH INSURANCE LIMITED"/>
    <d v="2022-10-13T00:00:00"/>
    <x v="1"/>
    <d v="2022-10-22T00:00:00"/>
    <d v="2022-10-22T00:00:00"/>
    <n v="22028241"/>
    <n v="2235873"/>
    <n v="10013334779"/>
    <s v="MAHAVEER JINDAL"/>
    <x v="40"/>
    <n v="41832"/>
    <n v="201606"/>
    <n v="41432"/>
    <n v="160174"/>
    <x v="1"/>
    <x v="5"/>
    <n v="0.20550975665406784"/>
    <x v="12"/>
  </r>
  <r>
    <n v="43"/>
    <s v="GENERAL PATIENT"/>
    <d v="2022-10-23T00:00:00"/>
    <x v="1"/>
    <d v="2022-10-23T00:00:00"/>
    <d v="2022-10-23T00:00:00"/>
    <n v="22028401"/>
    <n v="2237186"/>
    <n v="10013440543"/>
    <s v="SHYAM"/>
    <x v="41"/>
    <n v="2794"/>
    <n v="0"/>
    <n v="0"/>
    <n v="0"/>
    <x v="0"/>
    <x v="9"/>
    <e v="#DIV/0!"/>
    <x v="13"/>
  </r>
  <r>
    <n v="44"/>
    <s v="PARK MED CLAIM LTD"/>
    <d v="2022-10-13T00:00:00"/>
    <x v="1"/>
    <d v="2022-10-23T00:00:00"/>
    <d v="2022-10-23T00:00:00"/>
    <n v="22028368"/>
    <n v="2235790"/>
    <n v="10013542780"/>
    <s v="RAJ RANI"/>
    <x v="42"/>
    <n v="12611"/>
    <n v="236483"/>
    <n v="165111"/>
    <n v="71372"/>
    <x v="1"/>
    <x v="3"/>
    <n v="0.69819395051652766"/>
    <x v="0"/>
  </r>
  <r>
    <n v="45"/>
    <s v="CGHS"/>
    <d v="2022-10-22T00:00:00"/>
    <x v="1"/>
    <d v="2022-10-22T00:00:00"/>
    <d v="2022-10-22T00:00:00"/>
    <n v="22028125"/>
    <n v="2237007"/>
    <n v="10013540183"/>
    <s v="TARUN HURIA"/>
    <x v="43"/>
    <n v="0"/>
    <n v="1610"/>
    <n v="1610"/>
    <n v="0"/>
    <x v="0"/>
    <x v="6"/>
    <n v="1"/>
    <x v="13"/>
  </r>
  <r>
    <n v="46"/>
    <s v="GENERAL PATIENT"/>
    <d v="2022-10-28T00:00:00"/>
    <x v="1"/>
    <d v="2022-10-28T00:00:00"/>
    <d v="2022-10-28T00:00:00"/>
    <n v="22028941"/>
    <n v="2237774"/>
    <n v="10013226516"/>
    <s v="RICHA"/>
    <x v="44"/>
    <n v="4613"/>
    <n v="31522"/>
    <n v="31522"/>
    <n v="0"/>
    <x v="0"/>
    <x v="6"/>
    <n v="1"/>
    <x v="1"/>
  </r>
  <r>
    <n v="47"/>
    <s v="CGHS"/>
    <d v="2022-10-29T00:00:00"/>
    <x v="1"/>
    <d v="2022-10-29T00:00:00"/>
    <d v="2022-10-29T00:00:00"/>
    <n v="22029052"/>
    <n v="2237957"/>
    <n v="1001644664"/>
    <s v="P C. BHATT"/>
    <x v="43"/>
    <n v="0"/>
    <n v="1610"/>
    <n v="1610"/>
    <n v="0"/>
    <x v="0"/>
    <x v="6"/>
    <n v="1"/>
    <x v="13"/>
  </r>
  <r>
    <n v="48"/>
    <s v="GENERAL PATIENT"/>
    <d v="2022-10-29T00:00:00"/>
    <x v="1"/>
    <d v="2022-10-29T00:00:00"/>
    <d v="2022-10-29T00:00:00"/>
    <n v="22029118"/>
    <n v="2237972"/>
    <n v="10013230754"/>
    <s v="SANTOSH AGGARWAL"/>
    <x v="45"/>
    <n v="1647"/>
    <n v="3343"/>
    <n v="3343"/>
    <n v="0"/>
    <x v="0"/>
    <x v="6"/>
    <n v="1"/>
    <x v="13"/>
  </r>
  <r>
    <n v="49"/>
    <s v="GENERAL PATIENT"/>
    <d v="2022-10-25T00:00:00"/>
    <x v="1"/>
    <d v="2022-10-27T00:00:00"/>
    <d v="2022-10-27T00:00:00"/>
    <n v="22028745"/>
    <n v="2237331"/>
    <n v="10013543908"/>
    <s v="PARMOD SEHGAL"/>
    <x v="46"/>
    <n v="18480"/>
    <n v="139023"/>
    <n v="139023"/>
    <n v="0"/>
    <x v="0"/>
    <x v="10"/>
    <n v="1"/>
    <x v="11"/>
  </r>
  <r>
    <n v="50"/>
    <s v="Safeway Mediclaim Services Pvt. Ltd."/>
    <d v="2022-10-30T00:00:00"/>
    <x v="1"/>
    <d v="2022-10-31T00:00:00"/>
    <d v="2022-10-31T00:00:00"/>
    <n v="22029333"/>
    <n v="2238078"/>
    <n v="10013545199"/>
    <s v="GURMEET KAUR"/>
    <x v="47"/>
    <n v="8661"/>
    <n v="60310"/>
    <n v="17123"/>
    <n v="43187"/>
    <x v="1"/>
    <x v="4"/>
    <n v="0.28391643176919251"/>
    <x v="4"/>
  </r>
  <r>
    <n v="51"/>
    <s v=" HEALTH INDIA TPA SERVICES PVT LTD"/>
    <d v="2022-10-28T00:00:00"/>
    <x v="1"/>
    <d v="2022-10-29T00:00:00"/>
    <d v="2022-10-29T00:00:00"/>
    <n v="22029060"/>
    <n v="2237775"/>
    <n v="1001806730"/>
    <s v="DIVYA SINGH"/>
    <x v="48"/>
    <n v="0"/>
    <n v="24400"/>
    <n v="1900"/>
    <n v="22500"/>
    <x v="1"/>
    <x v="1"/>
    <n v="7.7868852459016397E-2"/>
    <x v="1"/>
  </r>
  <r>
    <n v="52"/>
    <s v=" SSYAMA CASH"/>
    <d v="2022-10-05T00:00:00"/>
    <x v="1"/>
    <d v="2022-10-05T00:00:00"/>
    <d v="2022-10-05T00:00:00"/>
    <n v="22025733"/>
    <n v="2234724"/>
    <n v="1001788579"/>
    <s v="JABBAR KHAN"/>
    <x v="49"/>
    <n v="0"/>
    <n v="2172"/>
    <n v="2172"/>
    <n v="0"/>
    <x v="0"/>
    <x v="6"/>
    <n v="1"/>
    <x v="13"/>
  </r>
  <r>
    <n v="53"/>
    <s v=" UNITED HEALTH CARE PAREKH TPA"/>
    <d v="2022-10-05T00:00:00"/>
    <x v="1"/>
    <d v="2022-10-07T00:00:00"/>
    <d v="2022-10-07T00:00:00"/>
    <n v="22025923"/>
    <n v="2234779"/>
    <n v="1001363079"/>
    <s v="RADHEY SHYAM  GUPTA"/>
    <x v="50"/>
    <n v="3734"/>
    <n v="73782"/>
    <n v="20638"/>
    <n v="53144"/>
    <x v="1"/>
    <x v="2"/>
    <n v="0.27971591987205552"/>
    <x v="0"/>
  </r>
  <r>
    <n v="54"/>
    <s v="CGHS ( CREDIT)"/>
    <d v="2022-10-12T00:00:00"/>
    <x v="1"/>
    <d v="2022-10-14T00:00:00"/>
    <d v="2022-10-14T00:00:00"/>
    <n v="22027007"/>
    <n v="2235626"/>
    <n v="10013442733"/>
    <s v="SAVITRI GOHLAN"/>
    <x v="51"/>
    <n v="0"/>
    <n v="39439"/>
    <n v="1181"/>
    <n v="38258"/>
    <x v="1"/>
    <x v="2"/>
    <n v="2.9944978320951342E-2"/>
    <x v="4"/>
  </r>
  <r>
    <n v="55"/>
    <s v="Aditya Birla Health Insurance Co. Limited"/>
    <d v="2022-10-29T00:00:00"/>
    <x v="1"/>
    <d v="2022-10-31T00:00:00"/>
    <d v="2022-10-31T00:00:00"/>
    <n v="22029279"/>
    <n v="2238024"/>
    <n v="1001310803"/>
    <s v="MONA JAISWAL"/>
    <x v="52"/>
    <n v="1562"/>
    <n v="97937"/>
    <n v="1500"/>
    <n v="96437"/>
    <x v="1"/>
    <x v="1"/>
    <n v="1.5315968428683746E-2"/>
    <x v="6"/>
  </r>
  <r>
    <n v="56"/>
    <s v="GENERAL PATIENT"/>
    <d v="2022-10-28T00:00:00"/>
    <x v="1"/>
    <d v="2022-10-30T00:00:00"/>
    <d v="2022-10-30T00:00:00"/>
    <n v="22029184"/>
    <n v="2237880"/>
    <n v="10013245590"/>
    <s v="PREM CHAND YADAV"/>
    <x v="53"/>
    <n v="13364"/>
    <n v="60709"/>
    <n v="60709"/>
    <n v="0"/>
    <x v="0"/>
    <x v="1"/>
    <n v="1"/>
    <x v="4"/>
  </r>
  <r>
    <n v="57"/>
    <s v="DDA"/>
    <d v="2022-10-29T00:00:00"/>
    <x v="1"/>
    <d v="2022-10-30T00:00:00"/>
    <d v="2022-10-30T00:00:00"/>
    <n v="22029187"/>
    <n v="2237939"/>
    <n v="10013528474"/>
    <s v="JYOTI"/>
    <x v="54"/>
    <n v="0"/>
    <n v="4729"/>
    <n v="4729"/>
    <n v="0"/>
    <x v="0"/>
    <x v="1"/>
    <n v="1"/>
    <x v="1"/>
  </r>
  <r>
    <n v="58"/>
    <s v="HEALTH INDIA"/>
    <d v="2022-10-29T00:00:00"/>
    <x v="1"/>
    <d v="2022-10-30T00:00:00"/>
    <d v="2022-10-30T00:00:00"/>
    <n v="22029190"/>
    <n v="2237944"/>
    <n v="1001806969"/>
    <s v="JAIDEEP MALIK"/>
    <x v="55"/>
    <n v="0"/>
    <n v="238169"/>
    <n v="26250"/>
    <n v="211919"/>
    <x v="1"/>
    <x v="4"/>
    <n v="0.11021585512808132"/>
    <x v="4"/>
  </r>
  <r>
    <n v="59"/>
    <s v="HARAYANA GOVT."/>
    <d v="2022-10-29T00:00:00"/>
    <x v="1"/>
    <d v="2022-10-30T00:00:00"/>
    <d v="2022-10-30T00:00:00"/>
    <n v="22029216"/>
    <n v="2237949"/>
    <n v="10013544365"/>
    <s v="ANUP SINGH"/>
    <x v="56"/>
    <n v="0"/>
    <n v="254128"/>
    <n v="254128"/>
    <n v="0"/>
    <x v="0"/>
    <x v="1"/>
    <n v="1"/>
    <x v="4"/>
  </r>
  <r>
    <n v="60"/>
    <s v="GENERAL PATIENT"/>
    <d v="2022-10-28T00:00:00"/>
    <x v="1"/>
    <d v="2022-10-28T00:00:00"/>
    <d v="2022-10-28T00:00:00"/>
    <n v="22028892"/>
    <n v="2237779"/>
    <n v="10013544904"/>
    <s v="TILAK RAJ SHARMA"/>
    <x v="19"/>
    <n v="780"/>
    <n v="13220"/>
    <n v="13220"/>
    <n v="0"/>
    <x v="0"/>
    <x v="6"/>
    <n v="1"/>
    <x v="4"/>
  </r>
  <r>
    <n v="61"/>
    <s v="GENERAL PATIENT"/>
    <d v="2022-10-26T00:00:00"/>
    <x v="1"/>
    <d v="2022-10-28T00:00:00"/>
    <d v="2022-10-28T00:00:00"/>
    <n v="22028881"/>
    <n v="2237433"/>
    <n v="1001639449"/>
    <s v="DHARSHAN SINGLA"/>
    <x v="57"/>
    <n v="16982"/>
    <n v="68759"/>
    <n v="68759"/>
    <n v="0"/>
    <x v="0"/>
    <x v="8"/>
    <n v="1"/>
    <x v="2"/>
  </r>
  <r>
    <n v="62"/>
    <s v="GENERAL PATIENT"/>
    <d v="2022-10-15T00:00:00"/>
    <x v="1"/>
    <d v="2022-10-16T00:00:00"/>
    <d v="2022-10-16T00:00:00"/>
    <n v="22027319"/>
    <n v="2236162"/>
    <n v="1001804580"/>
    <s v="ASHOK KUMAR"/>
    <x v="58"/>
    <n v="4333"/>
    <n v="39227"/>
    <n v="39227"/>
    <n v="0"/>
    <x v="0"/>
    <x v="1"/>
    <n v="1"/>
    <x v="4"/>
  </r>
  <r>
    <n v="63"/>
    <s v="GENERAL PATIENT (MAH)"/>
    <d v="2022-10-17T00:00:00"/>
    <x v="1"/>
    <d v="2022-10-17T00:00:00"/>
    <d v="2022-10-17T00:00:00"/>
    <n v="22027499"/>
    <n v="2236391"/>
    <n v="1001087967"/>
    <s v="SUKH NAND KUMAR JAIN"/>
    <x v="59"/>
    <n v="3519"/>
    <n v="0"/>
    <n v="0"/>
    <n v="0"/>
    <x v="0"/>
    <x v="6"/>
    <e v="#DIV/0!"/>
    <x v="13"/>
  </r>
  <r>
    <n v="64"/>
    <s v="GENERAL PATIENT"/>
    <d v="2022-10-17T00:00:00"/>
    <x v="1"/>
    <d v="2022-10-17T00:00:00"/>
    <d v="2022-10-17T00:00:00"/>
    <n v="22027514"/>
    <n v="2236408"/>
    <n v="1001491648"/>
    <s v="SURESH"/>
    <x v="60"/>
    <n v="7494"/>
    <n v="0"/>
    <n v="0"/>
    <n v="0"/>
    <x v="0"/>
    <x v="9"/>
    <e v="#DIV/0!"/>
    <x v="13"/>
  </r>
  <r>
    <n v="65"/>
    <s v="GENERAL PATIENT"/>
    <d v="2022-10-15T00:00:00"/>
    <x v="1"/>
    <d v="2022-10-18T00:00:00"/>
    <d v="2022-10-18T00:00:00"/>
    <n v="22027545"/>
    <n v="2236122"/>
    <n v="1001804542"/>
    <s v="PRIYANKA  FEMALE BABY JAIN"/>
    <x v="61"/>
    <n v="3068"/>
    <n v="21065"/>
    <n v="21065"/>
    <n v="0"/>
    <x v="0"/>
    <x v="2"/>
    <n v="1"/>
    <x v="3"/>
  </r>
  <r>
    <n v="66"/>
    <s v="STAR HEALTH CARE  (CREDIT)"/>
    <d v="2022-10-12T00:00:00"/>
    <x v="1"/>
    <d v="2022-10-17T00:00:00"/>
    <d v="2022-10-17T00:00:00"/>
    <n v="22027413"/>
    <n v="2235669"/>
    <n v="1001238364"/>
    <s v="ANITA DEVI"/>
    <x v="62"/>
    <n v="17282"/>
    <n v="126701"/>
    <n v="5344"/>
    <n v="121357"/>
    <x v="1"/>
    <x v="2"/>
    <n v="4.2178041215144318E-2"/>
    <x v="0"/>
  </r>
  <r>
    <n v="67"/>
    <s v="GENERAL PATIENT"/>
    <d v="2022-10-29T00:00:00"/>
    <x v="1"/>
    <d v="2022-10-30T00:00:00"/>
    <d v="2022-10-30T00:00:00"/>
    <n v="22029214"/>
    <n v="2238033"/>
    <n v="1001653684"/>
    <s v="EKTA SHARMA"/>
    <x v="63"/>
    <n v="2021"/>
    <n v="12281"/>
    <n v="12281"/>
    <n v="0"/>
    <x v="0"/>
    <x v="0"/>
    <n v="1"/>
    <x v="11"/>
  </r>
  <r>
    <n v="68"/>
    <s v="GENERAL PATIENT"/>
    <d v="2022-10-31T00:00:00"/>
    <x v="1"/>
    <d v="2022-10-31T00:00:00"/>
    <d v="2022-10-31T00:00:00"/>
    <n v="22029239"/>
    <n v="2238133"/>
    <n v="1001314823"/>
    <s v="MUKESH KUMAR"/>
    <x v="64"/>
    <n v="342"/>
    <n v="3288"/>
    <n v="3288"/>
    <n v="0"/>
    <x v="0"/>
    <x v="6"/>
    <n v="1"/>
    <x v="13"/>
  </r>
  <r>
    <n v="69"/>
    <s v="GENERAL PATIENT"/>
    <d v="2022-10-28T00:00:00"/>
    <x v="1"/>
    <d v="2022-10-31T00:00:00"/>
    <d v="2022-10-31T00:00:00"/>
    <n v="22029306"/>
    <n v="2237818"/>
    <n v="1001806821"/>
    <s v="TANVEER FEMALE BABY BEDI"/>
    <x v="65"/>
    <n v="0"/>
    <n v="20672"/>
    <n v="20672"/>
    <n v="0"/>
    <x v="0"/>
    <x v="11"/>
    <n v="1"/>
    <x v="3"/>
  </r>
  <r>
    <n v="70"/>
    <s v="CGHS"/>
    <d v="2022-10-07T00:00:00"/>
    <x v="1"/>
    <d v="2022-10-07T00:00:00"/>
    <d v="2022-10-07T00:00:00"/>
    <n v="22025955"/>
    <n v="2235001"/>
    <n v="1001802997"/>
    <s v="KRISHAN KUMAR"/>
    <x v="66"/>
    <n v="0"/>
    <n v="13225"/>
    <n v="13225"/>
    <n v="0"/>
    <x v="0"/>
    <x v="0"/>
    <n v="1"/>
    <x v="4"/>
  </r>
  <r>
    <n v="71"/>
    <s v="HARAYANA GOVT."/>
    <d v="2022-10-11T00:00:00"/>
    <x v="1"/>
    <d v="2022-10-21T00:00:00"/>
    <d v="2022-10-21T00:00:00"/>
    <n v="22028005"/>
    <n v="2235583"/>
    <n v="1000848600"/>
    <s v="BACHAN SINGH"/>
    <x v="67"/>
    <n v="0"/>
    <n v="217904"/>
    <n v="217904"/>
    <n v="0"/>
    <x v="0"/>
    <x v="1"/>
    <n v="1"/>
    <x v="0"/>
  </r>
  <r>
    <n v="72"/>
    <s v=" SSYAMA CASH"/>
    <d v="2022-10-03T00:00:00"/>
    <x v="1"/>
    <d v="2022-10-03T00:00:00"/>
    <d v="2022-10-03T00:00:00"/>
    <n v="22025345"/>
    <n v="2234367"/>
    <n v="1001788579"/>
    <s v="JABBAR KHAN"/>
    <x v="49"/>
    <n v="0"/>
    <n v="2172"/>
    <n v="2172"/>
    <n v="0"/>
    <x v="0"/>
    <x v="6"/>
    <n v="1"/>
    <x v="13"/>
  </r>
  <r>
    <n v="73"/>
    <s v="GENERAL PATIENT"/>
    <d v="2022-10-07T00:00:00"/>
    <x v="1"/>
    <d v="2022-10-10T00:00:00"/>
    <d v="2022-10-10T00:00:00"/>
    <n v="22026423"/>
    <n v="2235008"/>
    <n v="10013541517"/>
    <s v="LAXMI AGARWAL"/>
    <x v="68"/>
    <n v="24624"/>
    <n v="154956"/>
    <n v="154956"/>
    <n v="0"/>
    <x v="0"/>
    <x v="2"/>
    <n v="1"/>
    <x v="1"/>
  </r>
  <r>
    <n v="74"/>
    <s v="Staff DEPENDENT"/>
    <d v="2022-10-26T00:00:00"/>
    <x v="1"/>
    <d v="2022-10-31T00:00:00"/>
    <d v="2022-10-31T00:00:00"/>
    <n v="22029316"/>
    <n v="2237503"/>
    <n v="1001756038"/>
    <s v="JIYAN DABAS"/>
    <x v="69"/>
    <n v="108309"/>
    <n v="0"/>
    <n v="0"/>
    <n v="0"/>
    <x v="0"/>
    <x v="1"/>
    <e v="#DIV/0!"/>
    <x v="3"/>
  </r>
  <r>
    <n v="75"/>
    <s v="GENERAL PATIENT"/>
    <d v="2022-10-30T00:00:00"/>
    <x v="1"/>
    <d v="2022-10-31T00:00:00"/>
    <d v="2022-10-31T00:00:00"/>
    <n v="22029361"/>
    <n v="2238106"/>
    <n v="10013545216"/>
    <s v="BRIJESH BHARTI"/>
    <x v="70"/>
    <n v="10587"/>
    <n v="72030"/>
    <n v="72030"/>
    <n v="0"/>
    <x v="0"/>
    <x v="8"/>
    <n v="1"/>
    <x v="0"/>
  </r>
  <r>
    <n v="76"/>
    <s v=" AIRPORTS AUTHORITY OF INDIA"/>
    <d v="2022-10-06T00:00:00"/>
    <x v="1"/>
    <d v="2022-10-07T00:00:00"/>
    <d v="2022-10-07T00:00:00"/>
    <n v="22025976"/>
    <n v="2234890"/>
    <n v="1001717217"/>
    <s v="JEET SINGH"/>
    <x v="71"/>
    <n v="2046"/>
    <n v="14981"/>
    <n v="5625"/>
    <n v="9356"/>
    <x v="1"/>
    <x v="1"/>
    <n v="0.37547560242974432"/>
    <x v="14"/>
  </r>
  <r>
    <n v="77"/>
    <s v="Health Insurance TPA of India Ltd."/>
    <d v="2022-10-08T00:00:00"/>
    <x v="1"/>
    <d v="2022-10-08T00:00:00"/>
    <d v="2022-10-08T00:00:00"/>
    <n v="22026120"/>
    <n v="2235147"/>
    <n v="1001803214"/>
    <s v="ASHISH SHARMA"/>
    <x v="11"/>
    <n v="0"/>
    <n v="22500"/>
    <n v="1500"/>
    <n v="21000"/>
    <x v="1"/>
    <x v="4"/>
    <n v="6.6666666666666666E-2"/>
    <x v="4"/>
  </r>
  <r>
    <n v="78"/>
    <s v="EAST-WEST ASSIST."/>
    <d v="2022-10-27T00:00:00"/>
    <x v="1"/>
    <d v="2022-10-30T00:00:00"/>
    <d v="2022-10-30T00:00:00"/>
    <n v="22029236"/>
    <n v="2237732"/>
    <n v="10013544832"/>
    <s v="KAMLESH GUPTA"/>
    <x v="72"/>
    <n v="7478"/>
    <n v="47573"/>
    <n v="6001"/>
    <n v="41572"/>
    <x v="1"/>
    <x v="3"/>
    <n v="0.12614298026191326"/>
    <x v="0"/>
  </r>
  <r>
    <n v="79"/>
    <s v="GENERAL PATIENT"/>
    <d v="2022-10-08T00:00:00"/>
    <x v="1"/>
    <d v="2022-10-08T00:00:00"/>
    <d v="2022-10-08T00:00:00"/>
    <n v="22026156"/>
    <n v="2235159"/>
    <n v="10013533576"/>
    <s v="G. CHANDER SHEKHAR"/>
    <x v="73"/>
    <n v="286"/>
    <n v="2558"/>
    <n v="2558"/>
    <n v="0"/>
    <x v="0"/>
    <x v="6"/>
    <n v="1"/>
    <x v="13"/>
  </r>
  <r>
    <n v="80"/>
    <s v="GENERAL PATIENT"/>
    <d v="2022-10-08T00:00:00"/>
    <x v="1"/>
    <d v="2022-10-08T00:00:00"/>
    <d v="2022-10-08T00:00:00"/>
    <n v="22026173"/>
    <n v="2235174"/>
    <n v="10013230754"/>
    <s v="SANTOSH AGGARWAL"/>
    <x v="45"/>
    <n v="1417"/>
    <n v="3573"/>
    <n v="3573"/>
    <n v="0"/>
    <x v="0"/>
    <x v="6"/>
    <n v="1"/>
    <x v="13"/>
  </r>
  <r>
    <n v="81"/>
    <s v="Heritage Health TPA Private Limited"/>
    <d v="2022-10-18T00:00:00"/>
    <x v="1"/>
    <d v="2022-10-26T00:00:00"/>
    <d v="2022-10-26T00:00:00"/>
    <n v="22028656"/>
    <n v="2236542"/>
    <n v="10013542615"/>
    <s v="POONAM GUPTA"/>
    <x v="74"/>
    <n v="0"/>
    <n v="207703"/>
    <n v="52009"/>
    <n v="155694"/>
    <x v="1"/>
    <x v="5"/>
    <n v="0.2504008126989018"/>
    <x v="0"/>
  </r>
  <r>
    <n v="82"/>
    <s v="Health Insurance TPA of India Ltd."/>
    <d v="2022-10-31T00:00:00"/>
    <x v="1"/>
    <d v="2022-10-31T00:00:00"/>
    <d v="2022-10-31T00:00:00"/>
    <n v="22029334"/>
    <n v="2238186"/>
    <n v="1000947591"/>
    <s v="KULBHUSHAN AGGARWAL"/>
    <x v="75"/>
    <n v="0"/>
    <n v="2200"/>
    <n v="2200"/>
    <n v="0"/>
    <x v="0"/>
    <x v="12"/>
    <n v="1"/>
    <x v="13"/>
  </r>
  <r>
    <n v="83"/>
    <s v="GENERAL PATIENT"/>
    <d v="2022-10-04T00:00:00"/>
    <x v="1"/>
    <d v="2022-10-08T00:00:00"/>
    <d v="2022-10-08T00:00:00"/>
    <n v="22026096"/>
    <n v="2234491"/>
    <n v="10013431414"/>
    <s v="MEENU ANEEGRACE"/>
    <x v="76"/>
    <n v="15295"/>
    <n v="102714"/>
    <n v="102714"/>
    <n v="0"/>
    <x v="0"/>
    <x v="0"/>
    <n v="1"/>
    <x v="1"/>
  </r>
  <r>
    <n v="84"/>
    <s v="HDFC ERGO General Insurance Co. Ltd."/>
    <d v="2022-10-04T00:00:00"/>
    <x v="1"/>
    <d v="2022-10-06T00:00:00"/>
    <d v="2022-10-06T00:00:00"/>
    <n v="22025857"/>
    <n v="2234495"/>
    <n v="1001119664"/>
    <s v="ROSHAN LAL"/>
    <x v="77"/>
    <n v="6832"/>
    <n v="66861"/>
    <n v="0"/>
    <n v="66861"/>
    <x v="1"/>
    <x v="4"/>
    <n v="0"/>
    <x v="4"/>
  </r>
  <r>
    <n v="85"/>
    <s v="CGHS ( CREDIT)"/>
    <d v="2022-09-18T00:00:00"/>
    <x v="0"/>
    <d v="2022-10-10T00:00:00"/>
    <d v="2022-10-10T00:00:00"/>
    <n v="22026441"/>
    <n v="2232440"/>
    <n v="10013539171"/>
    <s v="RUDRA KUMAR VERMA"/>
    <x v="78"/>
    <n v="0"/>
    <n v="333630"/>
    <n v="4097"/>
    <n v="329533"/>
    <x v="1"/>
    <x v="2"/>
    <n v="1.2280070737044031E-2"/>
    <x v="0"/>
  </r>
  <r>
    <n v="86"/>
    <s v="DGHS (DELHI GOVT.)"/>
    <d v="2022-10-04T00:00:00"/>
    <x v="1"/>
    <d v="2022-10-06T00:00:00"/>
    <d v="2022-10-06T00:00:00"/>
    <n v="22025853"/>
    <n v="2234500"/>
    <n v="10013356362"/>
    <s v="SHRI KANT"/>
    <x v="79"/>
    <n v="0"/>
    <n v="30983"/>
    <n v="30983"/>
    <n v="0"/>
    <x v="0"/>
    <x v="0"/>
    <n v="1"/>
    <x v="5"/>
  </r>
  <r>
    <n v="87"/>
    <s v="GENERAL PATIENT"/>
    <d v="2022-10-04T00:00:00"/>
    <x v="1"/>
    <d v="2022-10-12T00:00:00"/>
    <d v="2022-10-12T00:00:00"/>
    <n v="22026700"/>
    <n v="2234585"/>
    <n v="1001802442"/>
    <s v="SHARAH MALE BABY"/>
    <x v="80"/>
    <n v="13860"/>
    <n v="92751"/>
    <n v="92751"/>
    <n v="0"/>
    <x v="0"/>
    <x v="2"/>
    <n v="1"/>
    <x v="3"/>
  </r>
  <r>
    <n v="88"/>
    <s v="GOVT. OF NCT OF DELHI"/>
    <d v="2022-10-06T00:00:00"/>
    <x v="1"/>
    <d v="2022-10-06T00:00:00"/>
    <d v="2022-10-06T00:00:00"/>
    <n v="22025801"/>
    <n v="2234824"/>
    <n v="10013521425"/>
    <s v="MEHAR CHAND"/>
    <x v="43"/>
    <n v="0"/>
    <n v="1610"/>
    <n v="1610"/>
    <n v="0"/>
    <x v="0"/>
    <x v="6"/>
    <n v="1"/>
    <x v="13"/>
  </r>
  <r>
    <n v="89"/>
    <s v="GENERAL PATIENT"/>
    <d v="2022-10-06T00:00:00"/>
    <x v="1"/>
    <d v="2022-10-08T00:00:00"/>
    <d v="2022-10-08T00:00:00"/>
    <n v="22026172"/>
    <n v="2234874"/>
    <n v="1001802816"/>
    <s v="LAVEENA MALE BABY BANSAL"/>
    <x v="81"/>
    <n v="2713"/>
    <n v="19111"/>
    <n v="19111"/>
    <n v="0"/>
    <x v="0"/>
    <x v="10"/>
    <n v="1"/>
    <x v="3"/>
  </r>
  <r>
    <n v="90"/>
    <s v=" RELIGARE HEALTH INSURANCE"/>
    <d v="2022-10-07T00:00:00"/>
    <x v="1"/>
    <d v="2022-10-10T00:00:00"/>
    <d v="2022-10-10T00:00:00"/>
    <n v="22026439"/>
    <n v="2235046"/>
    <n v="1001803103"/>
    <s v="DEVENDER SINGH"/>
    <x v="82"/>
    <n v="8854"/>
    <n v="51374"/>
    <n v="5375"/>
    <n v="45999"/>
    <x v="1"/>
    <x v="3"/>
    <n v="0.10462490754077938"/>
    <x v="0"/>
  </r>
  <r>
    <n v="91"/>
    <s v="MANIPAL CIGNA HEALTH INSURANCE COMPANY LIMITED"/>
    <d v="2022-10-25T00:00:00"/>
    <x v="1"/>
    <d v="2022-10-31T00:00:00"/>
    <d v="2022-10-31T00:00:00"/>
    <n v="22029289"/>
    <n v="2237344"/>
    <n v="1001201220"/>
    <s v="GAURAV SHARMA"/>
    <x v="83"/>
    <n v="9756"/>
    <n v="119309"/>
    <n v="6372"/>
    <n v="112937"/>
    <x v="1"/>
    <x v="2"/>
    <n v="5.3407538408669922E-2"/>
    <x v="0"/>
  </r>
  <r>
    <n v="92"/>
    <s v="GENERAL PATIENT"/>
    <d v="2022-10-28T00:00:00"/>
    <x v="1"/>
    <d v="2022-10-31T00:00:00"/>
    <d v="2022-10-31T00:00:00"/>
    <n v="22029383"/>
    <n v="2237831"/>
    <n v="10013539933"/>
    <s v="DALIP MALHOTRA"/>
    <x v="84"/>
    <n v="72899"/>
    <n v="0"/>
    <n v="0"/>
    <n v="0"/>
    <x v="0"/>
    <x v="9"/>
    <e v="#DIV/0!"/>
    <x v="15"/>
  </r>
  <r>
    <n v="93"/>
    <s v="RCare Health"/>
    <d v="2022-10-04T00:00:00"/>
    <x v="1"/>
    <d v="2022-10-07T00:00:00"/>
    <d v="2022-10-07T00:00:00"/>
    <n v="22025993"/>
    <n v="2234574"/>
    <n v="10013243964"/>
    <s v="NAVEEN  KUMAR MALHOTRA"/>
    <x v="85"/>
    <n v="0"/>
    <n v="173913"/>
    <n v="37110"/>
    <n v="136803"/>
    <x v="1"/>
    <x v="1"/>
    <n v="0.21338255334563833"/>
    <x v="11"/>
  </r>
  <r>
    <n v="94"/>
    <s v="ICICI Lombard General Insurance"/>
    <d v="2022-10-17T00:00:00"/>
    <x v="1"/>
    <d v="2022-10-19T00:00:00"/>
    <d v="2022-10-19T00:00:00"/>
    <n v="22027674"/>
    <n v="2236268"/>
    <n v="10013262630"/>
    <s v="RAM BABU"/>
    <x v="86"/>
    <n v="0"/>
    <n v="327395"/>
    <n v="13399"/>
    <n v="313996"/>
    <x v="1"/>
    <x v="4"/>
    <n v="4.0926098443775864E-2"/>
    <x v="4"/>
  </r>
  <r>
    <n v="95"/>
    <s v="Good Health Plan Limited"/>
    <d v="2022-10-10T00:00:00"/>
    <x v="1"/>
    <d v="2022-10-12T00:00:00"/>
    <d v="2022-10-12T00:00:00"/>
    <n v="22026716"/>
    <n v="2235471"/>
    <n v="10013542476"/>
    <s v="AKSHAY JAIN"/>
    <x v="87"/>
    <n v="0"/>
    <n v="35736"/>
    <n v="4668"/>
    <n v="31068"/>
    <x v="1"/>
    <x v="2"/>
    <n v="0.13062458025520485"/>
    <x v="0"/>
  </r>
  <r>
    <n v="96"/>
    <s v="MD INDIA TPA PVT.LTD."/>
    <d v="2022-10-04T00:00:00"/>
    <x v="1"/>
    <d v="2022-10-10T00:00:00"/>
    <d v="2022-10-10T00:00:00"/>
    <n v="22026368"/>
    <n v="2234659"/>
    <n v="10013541604"/>
    <s v="ROHAN KIUMAR"/>
    <x v="88"/>
    <n v="14553"/>
    <n v="91606"/>
    <n v="30263"/>
    <n v="61343"/>
    <x v="1"/>
    <x v="3"/>
    <n v="0.33036045673864156"/>
    <x v="3"/>
  </r>
  <r>
    <n v="97"/>
    <s v="NIVA BUPA"/>
    <d v="2022-10-14T00:00:00"/>
    <x v="1"/>
    <d v="2022-10-19T00:00:00"/>
    <d v="2022-10-19T00:00:00"/>
    <n v="22027705"/>
    <n v="2235932"/>
    <n v="1001279968"/>
    <s v="SHILPI"/>
    <x v="89"/>
    <n v="8517"/>
    <n v="68455"/>
    <n v="2415"/>
    <n v="66040"/>
    <x v="1"/>
    <x v="2"/>
    <n v="3.5278650208165951E-2"/>
    <x v="0"/>
  </r>
  <r>
    <n v="98"/>
    <s v="CGHS ( CREDIT)"/>
    <d v="2022-10-15T00:00:00"/>
    <x v="1"/>
    <d v="2022-10-19T00:00:00"/>
    <d v="2022-10-19T00:00:00"/>
    <n v="22027777"/>
    <n v="2236065"/>
    <n v="10013543087"/>
    <s v="KAUSHAL"/>
    <x v="90"/>
    <n v="0"/>
    <n v="26588"/>
    <n v="520"/>
    <n v="26068"/>
    <x v="1"/>
    <x v="1"/>
    <n v="1.9557695200842485E-2"/>
    <x v="9"/>
  </r>
  <r>
    <n v="99"/>
    <s v="GENERAL PATIENT"/>
    <d v="2022-10-06T00:00:00"/>
    <x v="1"/>
    <d v="2022-10-11T00:00:00"/>
    <d v="2022-10-11T00:00:00"/>
    <n v="22026506"/>
    <n v="2234902"/>
    <n v="10013541809"/>
    <s v="DEELIP KUMAR CHAUBEY"/>
    <x v="91"/>
    <n v="78958"/>
    <n v="0"/>
    <n v="0"/>
    <n v="0"/>
    <x v="0"/>
    <x v="9"/>
    <e v="#DIV/0!"/>
    <x v="0"/>
  </r>
  <r>
    <n v="100"/>
    <s v="CGHS"/>
    <d v="2022-10-15T00:00:00"/>
    <x v="1"/>
    <d v="2022-10-15T00:00:00"/>
    <d v="2022-10-15T00:00:00"/>
    <n v="22027120"/>
    <n v="2236087"/>
    <n v="10013514103"/>
    <s v="GOVIND KUMAR"/>
    <x v="43"/>
    <n v="0"/>
    <n v="1610"/>
    <n v="1610"/>
    <n v="0"/>
    <x v="0"/>
    <x v="6"/>
    <n v="1"/>
    <x v="13"/>
  </r>
  <r>
    <n v="101"/>
    <s v="GENERAL PATIENT"/>
    <d v="2022-10-13T00:00:00"/>
    <x v="1"/>
    <d v="2022-10-13T00:00:00"/>
    <d v="2022-10-13T00:00:00"/>
    <n v="22026815"/>
    <n v="2235800"/>
    <n v="10013484177"/>
    <s v="R.S DUBEY"/>
    <x v="73"/>
    <n v="310"/>
    <n v="2534"/>
    <n v="2534"/>
    <n v="0"/>
    <x v="0"/>
    <x v="6"/>
    <n v="1"/>
    <x v="13"/>
  </r>
  <r>
    <n v="102"/>
    <s v="GOVT. OF NCT OF DELHI"/>
    <d v="2022-10-13T00:00:00"/>
    <x v="1"/>
    <d v="2022-10-13T00:00:00"/>
    <d v="2022-10-13T00:00:00"/>
    <n v="22026817"/>
    <n v="2235803"/>
    <n v="10013269857"/>
    <s v="JAI BHAGWAN"/>
    <x v="43"/>
    <n v="0"/>
    <n v="1610"/>
    <n v="1610"/>
    <n v="0"/>
    <x v="0"/>
    <x v="6"/>
    <n v="1"/>
    <x v="13"/>
  </r>
  <r>
    <n v="103"/>
    <s v="GENERAL PATIENT"/>
    <d v="2022-10-13T00:00:00"/>
    <x v="1"/>
    <d v="2022-10-13T00:00:00"/>
    <d v="2022-10-13T00:00:00"/>
    <n v="22026827"/>
    <n v="2235817"/>
    <n v="1001542684"/>
    <s v="RAJEEV KUMAR GOEL"/>
    <x v="45"/>
    <n v="409"/>
    <n v="4581"/>
    <n v="4581"/>
    <n v="0"/>
    <x v="0"/>
    <x v="6"/>
    <n v="1"/>
    <x v="13"/>
  </r>
  <r>
    <n v="104"/>
    <s v="Safeway Mediclaim Services Pvt. Ltd."/>
    <d v="2022-10-19T00:00:00"/>
    <x v="1"/>
    <d v="2022-10-19T00:00:00"/>
    <d v="2022-10-19T00:00:00"/>
    <n v="22027744"/>
    <n v="2236632"/>
    <n v="1000837364"/>
    <s v="JOGINDER NATH ARORA"/>
    <x v="11"/>
    <n v="0"/>
    <n v="22500"/>
    <n v="1500"/>
    <n v="21000"/>
    <x v="1"/>
    <x v="4"/>
    <n v="6.6666666666666666E-2"/>
    <x v="4"/>
  </r>
  <r>
    <n v="105"/>
    <s v="VIPUL MED CORP PVT LTD"/>
    <d v="2022-10-15T00:00:00"/>
    <x v="1"/>
    <d v="2022-10-19T00:00:00"/>
    <d v="2022-10-19T00:00:00"/>
    <n v="22027730"/>
    <n v="2236155"/>
    <n v="10013504776"/>
    <s v="SUSHIL KUMAR GUPTA"/>
    <x v="92"/>
    <n v="7029"/>
    <n v="46706"/>
    <n v="9275"/>
    <n v="37431"/>
    <x v="1"/>
    <x v="3"/>
    <n v="0.19858262321757375"/>
    <x v="11"/>
  </r>
  <r>
    <n v="106"/>
    <s v="GENERAL PATIENT"/>
    <d v="2022-09-27T00:00:00"/>
    <x v="0"/>
    <d v="2022-10-16T00:00:00"/>
    <d v="2022-10-16T00:00:00"/>
    <n v="22027352"/>
    <n v="2233697"/>
    <n v="10013540515"/>
    <s v="SHYAM SINGH"/>
    <x v="93"/>
    <n v="168045"/>
    <n v="736733"/>
    <n v="350000"/>
    <n v="386733"/>
    <x v="1"/>
    <x v="7"/>
    <n v="0.47507034434455903"/>
    <x v="2"/>
  </r>
  <r>
    <n v="107"/>
    <s v="GENERAL PATIENT"/>
    <d v="2022-09-28T00:00:00"/>
    <x v="0"/>
    <d v="2022-10-02T00:00:00"/>
    <d v="2022-10-02T00:00:00"/>
    <n v="22025307"/>
    <n v="2233767"/>
    <n v="10013540579"/>
    <s v="SHIVAM MEHTA"/>
    <x v="94"/>
    <n v="10492"/>
    <n v="76330"/>
    <n v="76330"/>
    <n v="0"/>
    <x v="0"/>
    <x v="0"/>
    <n v="1"/>
    <x v="0"/>
  </r>
  <r>
    <n v="108"/>
    <s v="CGHS ( CREDIT)"/>
    <d v="2022-09-27T00:00:00"/>
    <x v="0"/>
    <d v="2022-10-04T00:00:00"/>
    <d v="2022-10-04T00:00:00"/>
    <n v="22025519"/>
    <n v="2233579"/>
    <n v="10013540392"/>
    <s v="PRABHA SAXENA"/>
    <x v="95"/>
    <n v="0"/>
    <n v="198967"/>
    <n v="12960"/>
    <n v="186007"/>
    <x v="1"/>
    <x v="0"/>
    <n v="6.5136429659189712E-2"/>
    <x v="4"/>
  </r>
  <r>
    <n v="109"/>
    <s v="MEDI ASSIST"/>
    <d v="2022-10-15T00:00:00"/>
    <x v="1"/>
    <d v="2022-10-15T00:00:00"/>
    <d v="2022-10-15T00:00:00"/>
    <n v="22027206"/>
    <n v="2236130"/>
    <n v="1001564406"/>
    <s v="RAVI BATURA"/>
    <x v="75"/>
    <n v="0"/>
    <n v="2200"/>
    <n v="330"/>
    <n v="1870"/>
    <x v="1"/>
    <x v="12"/>
    <n v="0.15"/>
    <x v="13"/>
  </r>
  <r>
    <n v="110"/>
    <s v="HARAYANA GOVT."/>
    <d v="2022-10-14T00:00:00"/>
    <x v="1"/>
    <d v="2022-10-14T00:00:00"/>
    <d v="2022-10-14T00:00:00"/>
    <n v="22027025"/>
    <n v="2235952"/>
    <n v="10013383005"/>
    <s v="AJIT SINGH"/>
    <x v="96"/>
    <n v="0"/>
    <n v="2064"/>
    <n v="2064"/>
    <n v="0"/>
    <x v="0"/>
    <x v="6"/>
    <n v="1"/>
    <x v="13"/>
  </r>
  <r>
    <n v="111"/>
    <s v="Health Insurance TPA of India Ltd."/>
    <d v="2022-10-20T00:00:00"/>
    <x v="1"/>
    <d v="2022-10-20T00:00:00"/>
    <d v="2022-10-20T00:00:00"/>
    <n v="22027860"/>
    <n v="2236754"/>
    <n v="1001805384"/>
    <s v="ROMA ACHHRA"/>
    <x v="11"/>
    <n v="0"/>
    <n v="22500"/>
    <n v="3600"/>
    <n v="18900"/>
    <x v="1"/>
    <x v="4"/>
    <n v="0.16"/>
    <x v="4"/>
  </r>
  <r>
    <n v="112"/>
    <s v="GENERAL PATIENT"/>
    <d v="2022-10-20T00:00:00"/>
    <x v="1"/>
    <d v="2022-10-22T00:00:00"/>
    <d v="2022-10-22T00:00:00"/>
    <n v="22028205"/>
    <n v="2236804"/>
    <n v="10013543921"/>
    <s v="AASHITA MALHOTRA CHUGH"/>
    <x v="97"/>
    <n v="5581"/>
    <n v="36001"/>
    <n v="36001"/>
    <n v="0"/>
    <x v="0"/>
    <x v="2"/>
    <n v="1"/>
    <x v="0"/>
  </r>
  <r>
    <n v="113"/>
    <s v="Staff DEPENDENT"/>
    <d v="2022-10-14T00:00:00"/>
    <x v="1"/>
    <d v="2022-10-14T00:00:00"/>
    <d v="2022-10-14T00:00:00"/>
    <n v="22027068"/>
    <n v="2235963"/>
    <n v="1000915528"/>
    <s v="SHABNAM"/>
    <x v="98"/>
    <n v="5759"/>
    <n v="0"/>
    <n v="0"/>
    <n v="0"/>
    <x v="0"/>
    <x v="6"/>
    <e v="#DIV/0!"/>
    <x v="13"/>
  </r>
  <r>
    <n v="114"/>
    <s v="GOVT. OF NCT OF DELHI"/>
    <d v="2022-10-15T00:00:00"/>
    <x v="1"/>
    <d v="2022-10-15T00:00:00"/>
    <d v="2022-10-15T00:00:00"/>
    <n v="22027278"/>
    <n v="2236198"/>
    <n v="1000915662"/>
    <s v="RAJ KUMAR"/>
    <x v="43"/>
    <n v="0"/>
    <n v="1610"/>
    <n v="1610"/>
    <n v="0"/>
    <x v="0"/>
    <x v="6"/>
    <n v="1"/>
    <x v="13"/>
  </r>
  <r>
    <n v="115"/>
    <s v="HARAYANA GOVT."/>
    <d v="2022-10-15T00:00:00"/>
    <x v="1"/>
    <d v="2022-10-15T00:00:00"/>
    <d v="2022-10-15T00:00:00"/>
    <n v="22027277"/>
    <n v="2236196"/>
    <n v="1001439428"/>
    <s v="DR.S.P.SHARMA"/>
    <x v="99"/>
    <n v="0"/>
    <n v="2758"/>
    <n v="2758"/>
    <n v="0"/>
    <x v="0"/>
    <x v="6"/>
    <n v="1"/>
    <x v="13"/>
  </r>
  <r>
    <n v="116"/>
    <s v="M.C.D"/>
    <d v="2022-10-23T00:00:00"/>
    <x v="1"/>
    <d v="2022-10-25T00:00:00"/>
    <d v="2022-10-25T00:00:00"/>
    <n v="22028484"/>
    <n v="2237140"/>
    <n v="10013366821"/>
    <s v="VIDYA"/>
    <x v="100"/>
    <n v="0"/>
    <n v="230405"/>
    <n v="230405"/>
    <n v="0"/>
    <x v="0"/>
    <x v="1"/>
    <n v="1"/>
    <x v="4"/>
  </r>
  <r>
    <n v="117"/>
    <s v="ICICI Lombard General Insurance"/>
    <d v="2022-10-17T00:00:00"/>
    <x v="1"/>
    <d v="2022-10-20T00:00:00"/>
    <d v="2022-10-20T00:00:00"/>
    <n v="22027848"/>
    <n v="2236315"/>
    <n v="10013543366"/>
    <s v="VIDHAN"/>
    <x v="101"/>
    <n v="5352"/>
    <n v="55244"/>
    <n v="5855"/>
    <n v="49389"/>
    <x v="1"/>
    <x v="1"/>
    <n v="0.10598436029252045"/>
    <x v="3"/>
  </r>
  <r>
    <n v="118"/>
    <s v="HARAYANA GOVT."/>
    <d v="2022-10-17T00:00:00"/>
    <x v="1"/>
    <d v="2022-10-19T00:00:00"/>
    <d v="2022-10-19T00:00:00"/>
    <n v="22027681"/>
    <n v="2236372"/>
    <n v="10013540214"/>
    <s v="NAFE SINGH"/>
    <x v="102"/>
    <n v="0"/>
    <n v="80266"/>
    <n v="80266"/>
    <n v="0"/>
    <x v="0"/>
    <x v="2"/>
    <n v="1"/>
    <x v="5"/>
  </r>
  <r>
    <n v="119"/>
    <s v="MEDI ASSIST"/>
    <d v="2022-10-07T00:00:00"/>
    <x v="1"/>
    <d v="2022-10-11T00:00:00"/>
    <d v="2022-10-11T00:00:00"/>
    <n v="22026531"/>
    <n v="2234968"/>
    <n v="10013541909"/>
    <s v="RAJ BAHADUR"/>
    <x v="103"/>
    <n v="12464"/>
    <n v="182441"/>
    <n v="55360"/>
    <n v="127081"/>
    <x v="1"/>
    <x v="3"/>
    <n v="0.30344056434682992"/>
    <x v="0"/>
  </r>
  <r>
    <n v="120"/>
    <s v=" BAJAJ ALLIANZ INSURANCE "/>
    <d v="2022-09-28T00:00:00"/>
    <x v="0"/>
    <d v="2022-10-01T00:00:00"/>
    <d v="2022-10-01T00:00:00"/>
    <n v="22025131"/>
    <n v="2233835"/>
    <n v="1001223061"/>
    <s v="SHYAM KISHORE JHA"/>
    <x v="104"/>
    <n v="11072"/>
    <n v="50067"/>
    <n v="2346"/>
    <n v="47721"/>
    <x v="1"/>
    <x v="2"/>
    <n v="4.6857211336808674E-2"/>
    <x v="0"/>
  </r>
  <r>
    <n v="121"/>
    <s v="GENERAL PATIENT"/>
    <d v="2022-10-07T00:00:00"/>
    <x v="1"/>
    <d v="2022-10-07T00:00:00"/>
    <d v="2022-10-07T00:00:00"/>
    <n v="22026028"/>
    <n v="2234992"/>
    <n v="1001802962"/>
    <s v="MAMTA SHARMA"/>
    <x v="105"/>
    <n v="4844"/>
    <n v="29785"/>
    <n v="29785"/>
    <n v="0"/>
    <x v="0"/>
    <x v="6"/>
    <n v="1"/>
    <x v="1"/>
  </r>
  <r>
    <n v="122"/>
    <s v="DGHS (DELHI GOVT.)"/>
    <d v="2022-10-14T00:00:00"/>
    <x v="1"/>
    <d v="2022-10-15T00:00:00"/>
    <d v="2022-10-15T00:00:00"/>
    <n v="22027164"/>
    <n v="2235994"/>
    <n v="1001804386"/>
    <s v="CHARU FEMALE BABY MITTAL"/>
    <x v="106"/>
    <n v="0"/>
    <n v="786"/>
    <n v="786"/>
    <n v="0"/>
    <x v="0"/>
    <x v="0"/>
    <n v="1"/>
    <x v="3"/>
  </r>
  <r>
    <n v="123"/>
    <s v="CGHS"/>
    <d v="2022-10-01T00:00:00"/>
    <x v="1"/>
    <d v="2022-10-11T00:00:00"/>
    <d v="2022-10-11T00:00:00"/>
    <n v="22026597"/>
    <n v="2234236"/>
    <n v="10013541149"/>
    <s v="KESHIKA"/>
    <x v="107"/>
    <n v="0"/>
    <n v="107222"/>
    <n v="107222"/>
    <n v="0"/>
    <x v="0"/>
    <x v="1"/>
    <n v="1"/>
    <x v="3"/>
  </r>
  <r>
    <n v="124"/>
    <s v="Health Insurance TPA of India Ltd."/>
    <d v="2022-10-08T00:00:00"/>
    <x v="1"/>
    <d v="2022-10-11T00:00:00"/>
    <d v="2022-10-11T00:00:00"/>
    <n v="22026588"/>
    <n v="2235196"/>
    <n v="10013542194"/>
    <s v="LAVANYA ARORA"/>
    <x v="108"/>
    <n v="5494"/>
    <n v="37270"/>
    <n v="10384"/>
    <n v="26886"/>
    <x v="1"/>
    <x v="5"/>
    <n v="0.27861550845183791"/>
    <x v="3"/>
  </r>
  <r>
    <n v="125"/>
    <s v="DGHS (DELHI GOVT.)"/>
    <d v="2022-10-14T00:00:00"/>
    <x v="1"/>
    <d v="2022-10-15T00:00:00"/>
    <d v="2022-10-15T00:00:00"/>
    <n v="22027159"/>
    <n v="2235943"/>
    <n v="10013452543"/>
    <s v="CHARU MITTAL"/>
    <x v="109"/>
    <n v="0"/>
    <n v="11212"/>
    <n v="11212"/>
    <n v="0"/>
    <x v="0"/>
    <x v="0"/>
    <n v="1"/>
    <x v="1"/>
  </r>
  <r>
    <n v="126"/>
    <s v="MD INDIA TPA PVT.LTD."/>
    <d v="2022-10-14T00:00:00"/>
    <x v="1"/>
    <d v="2022-10-15T00:00:00"/>
    <d v="2022-10-15T00:00:00"/>
    <n v="22027182"/>
    <n v="2235906"/>
    <n v="10013511190"/>
    <s v="SUSHIL KUMAR"/>
    <x v="110"/>
    <n v="0"/>
    <n v="58975"/>
    <n v="1975"/>
    <n v="57000"/>
    <x v="1"/>
    <x v="2"/>
    <n v="3.3488766426451884E-2"/>
    <x v="16"/>
  </r>
  <r>
    <n v="127"/>
    <s v="PARK MED CLAIM LTD"/>
    <d v="2022-10-18T00:00:00"/>
    <x v="1"/>
    <d v="2022-10-18T00:00:00"/>
    <d v="2022-10-18T00:00:00"/>
    <n v="22027580"/>
    <n v="2236481"/>
    <n v="1001300227"/>
    <s v="BIMLA"/>
    <x v="75"/>
    <n v="0"/>
    <n v="2200"/>
    <n v="2200"/>
    <n v="0"/>
    <x v="0"/>
    <x v="12"/>
    <n v="1"/>
    <x v="13"/>
  </r>
  <r>
    <n v="128"/>
    <s v="GENERAL PATIENT"/>
    <d v="2022-10-02T00:00:00"/>
    <x v="1"/>
    <d v="2022-10-05T00:00:00"/>
    <d v="2022-10-05T00:00:00"/>
    <n v="22025719"/>
    <n v="2234334"/>
    <n v="1001802048"/>
    <s v="TANVI  MALE BABY KAPOOR"/>
    <x v="111"/>
    <n v="3099"/>
    <n v="20725"/>
    <n v="20725"/>
    <n v="0"/>
    <x v="0"/>
    <x v="10"/>
    <n v="1"/>
    <x v="3"/>
  </r>
  <r>
    <n v="129"/>
    <s v="GENERAL PATIENT"/>
    <d v="2022-10-04T00:00:00"/>
    <x v="1"/>
    <d v="2022-10-04T00:00:00"/>
    <d v="2022-10-04T00:00:00"/>
    <n v="22025612"/>
    <n v="2234608"/>
    <n v="10013352607"/>
    <s v="SHRIKANT PATEL"/>
    <x v="112"/>
    <n v="291"/>
    <n v="3197"/>
    <n v="3197"/>
    <n v="0"/>
    <x v="0"/>
    <x v="6"/>
    <n v="1"/>
    <x v="13"/>
  </r>
  <r>
    <n v="130"/>
    <s v=" CGHS CREDIT"/>
    <d v="2022-10-07T00:00:00"/>
    <x v="1"/>
    <d v="2022-10-10T00:00:00"/>
    <d v="2022-10-10T00:00:00"/>
    <n v="22026375"/>
    <n v="2235107"/>
    <n v="1001803150"/>
    <s v="BALWANT SINGH"/>
    <x v="113"/>
    <n v="0"/>
    <n v="14617"/>
    <n v="1123"/>
    <n v="13494"/>
    <x v="1"/>
    <x v="1"/>
    <n v="7.6828350550728605E-2"/>
    <x v="0"/>
  </r>
  <r>
    <n v="131"/>
    <s v="Cholamandlam General Insurance Co. Ltd."/>
    <d v="2022-10-14T00:00:00"/>
    <x v="1"/>
    <d v="2022-10-15T00:00:00"/>
    <d v="2022-10-15T00:00:00"/>
    <n v="22027259"/>
    <n v="2236052"/>
    <n v="1001804413"/>
    <s v="NITIN SINGH NEGI"/>
    <x v="114"/>
    <n v="9389"/>
    <n v="61289"/>
    <n v="500"/>
    <n v="60789"/>
    <x v="1"/>
    <x v="2"/>
    <n v="8.1580707794220823E-3"/>
    <x v="11"/>
  </r>
  <r>
    <n v="132"/>
    <s v="RAKSHA (TPA)"/>
    <d v="2022-10-13T00:00:00"/>
    <x v="1"/>
    <d v="2022-10-15T00:00:00"/>
    <d v="2022-10-15T00:00:00"/>
    <n v="22027147"/>
    <n v="2235794"/>
    <n v="1001804051"/>
    <s v="KASHMIRI LAL BANSAL"/>
    <x v="115"/>
    <n v="0"/>
    <n v="96000"/>
    <n v="1725"/>
    <n v="94275"/>
    <x v="1"/>
    <x v="3"/>
    <n v="1.7968749999999999E-2"/>
    <x v="5"/>
  </r>
  <r>
    <n v="133"/>
    <s v="GENERAL PATIENT"/>
    <d v="2022-09-29T00:00:00"/>
    <x v="0"/>
    <d v="2022-10-01T00:00:00"/>
    <d v="2022-10-01T00:00:00"/>
    <n v="22025169"/>
    <n v="2233977"/>
    <n v="10013540883"/>
    <s v="VINOD BASOYA"/>
    <x v="116"/>
    <n v="54254"/>
    <n v="0"/>
    <n v="0"/>
    <n v="0"/>
    <x v="0"/>
    <x v="9"/>
    <e v="#DIV/0!"/>
    <x v="10"/>
  </r>
  <r>
    <n v="134"/>
    <s v="CGHS"/>
    <d v="2022-10-17T00:00:00"/>
    <x v="1"/>
    <d v="2022-10-17T00:00:00"/>
    <d v="2022-10-17T00:00:00"/>
    <n v="22027362"/>
    <n v="2236275"/>
    <n v="10013480632"/>
    <s v="MANJU GUPTA"/>
    <x v="43"/>
    <n v="0"/>
    <n v="1610"/>
    <n v="1610"/>
    <n v="0"/>
    <x v="0"/>
    <x v="6"/>
    <n v="1"/>
    <x v="13"/>
  </r>
  <r>
    <n v="135"/>
    <s v="DDA"/>
    <d v="2022-10-17T00:00:00"/>
    <x v="1"/>
    <d v="2022-10-17T00:00:00"/>
    <d v="2022-10-17T00:00:00"/>
    <n v="22027364"/>
    <n v="2236282"/>
    <n v="10013524248"/>
    <s v="KRISHNA DEVI"/>
    <x v="43"/>
    <n v="0"/>
    <n v="1610"/>
    <n v="1610"/>
    <n v="0"/>
    <x v="0"/>
    <x v="6"/>
    <n v="1"/>
    <x v="13"/>
  </r>
  <r>
    <n v="136"/>
    <s v="STAR HEALTH CARE  (CREDIT)"/>
    <d v="2022-10-06T00:00:00"/>
    <x v="1"/>
    <d v="2022-10-08T00:00:00"/>
    <d v="2022-10-08T00:00:00"/>
    <n v="22026144"/>
    <n v="2234849"/>
    <n v="1001802760"/>
    <s v="INDERPREET FEMALE BABY KAUR SOHAL"/>
    <x v="117"/>
    <n v="0"/>
    <n v="15152"/>
    <n v="15152"/>
    <n v="0"/>
    <x v="0"/>
    <x v="2"/>
    <n v="1"/>
    <x v="3"/>
  </r>
  <r>
    <n v="137"/>
    <s v="CGHS"/>
    <d v="2022-10-08T00:00:00"/>
    <x v="1"/>
    <d v="2022-10-08T00:00:00"/>
    <d v="2022-10-08T00:00:00"/>
    <n v="22026079"/>
    <n v="2235126"/>
    <n v="10013540183"/>
    <s v="TARUN HURIA"/>
    <x v="43"/>
    <n v="0"/>
    <n v="1610"/>
    <n v="1610"/>
    <n v="0"/>
    <x v="0"/>
    <x v="6"/>
    <n v="1"/>
    <x v="13"/>
  </r>
  <r>
    <n v="138"/>
    <s v="GENERAL PATIENT"/>
    <d v="2022-10-06T00:00:00"/>
    <x v="1"/>
    <d v="2022-10-08T00:00:00"/>
    <d v="2022-10-08T00:00:00"/>
    <n v="22026134"/>
    <n v="2234911"/>
    <n v="1001802873"/>
    <s v="MEENU ANEEGRACE FEMALE BABY"/>
    <x v="118"/>
    <n v="1991"/>
    <n v="13168"/>
    <n v="13168"/>
    <n v="0"/>
    <x v="0"/>
    <x v="0"/>
    <n v="1"/>
    <x v="3"/>
  </r>
  <r>
    <n v="139"/>
    <s v=" CGHS Cash"/>
    <d v="2022-10-17T00:00:00"/>
    <x v="1"/>
    <d v="2022-10-23T00:00:00"/>
    <d v="2022-10-23T00:00:00"/>
    <n v="22028378"/>
    <n v="2236405"/>
    <n v="1001793874"/>
    <s v="BISHNU RASAILY"/>
    <x v="119"/>
    <n v="0"/>
    <n v="40136"/>
    <n v="40136"/>
    <n v="0"/>
    <x v="0"/>
    <x v="2"/>
    <n v="1"/>
    <x v="0"/>
  </r>
  <r>
    <n v="140"/>
    <s v=" SSYAMA CASH"/>
    <d v="2022-10-21T00:00:00"/>
    <x v="1"/>
    <d v="2022-10-24T00:00:00"/>
    <d v="2022-10-24T00:00:00"/>
    <n v="22028429"/>
    <n v="2236936"/>
    <n v="1001790494"/>
    <s v="DOLLY"/>
    <x v="120"/>
    <n v="0"/>
    <n v="25282"/>
    <n v="25282"/>
    <n v="0"/>
    <x v="0"/>
    <x v="1"/>
    <n v="1"/>
    <x v="1"/>
  </r>
  <r>
    <n v="141"/>
    <s v="HARAYANA GOVT."/>
    <d v="2022-10-17T00:00:00"/>
    <x v="1"/>
    <d v="2022-10-22T00:00:00"/>
    <d v="2022-10-22T00:00:00"/>
    <n v="22028204"/>
    <n v="2236335"/>
    <n v="10013543390"/>
    <s v="RAM CHANDER"/>
    <x v="121"/>
    <n v="0"/>
    <n v="44005"/>
    <n v="44005"/>
    <n v="0"/>
    <x v="0"/>
    <x v="1"/>
    <n v="1"/>
    <x v="0"/>
  </r>
  <r>
    <n v="142"/>
    <s v="DGHS (DELHI GOVT.)"/>
    <d v="2022-10-26T00:00:00"/>
    <x v="1"/>
    <d v="2022-10-31T00:00:00"/>
    <d v="2022-10-31T00:00:00"/>
    <n v="22029404"/>
    <n v="2237539"/>
    <n v="10013544633"/>
    <s v="KHYALI RAM"/>
    <x v="122"/>
    <n v="0"/>
    <n v="125601"/>
    <n v="125601"/>
    <n v="0"/>
    <x v="0"/>
    <x v="1"/>
    <n v="1"/>
    <x v="2"/>
  </r>
  <r>
    <n v="143"/>
    <s v="MEDI ASSIST"/>
    <d v="2022-10-18T00:00:00"/>
    <x v="1"/>
    <d v="2022-10-20T00:00:00"/>
    <d v="2022-10-20T00:00:00"/>
    <n v="22027827"/>
    <n v="2236512"/>
    <n v="1001803951"/>
    <s v="URVASHI FEMALE BABY JAIN"/>
    <x v="123"/>
    <n v="4123"/>
    <n v="24367"/>
    <n v="2820"/>
    <n v="21547"/>
    <x v="1"/>
    <x v="3"/>
    <n v="0.11573029096729183"/>
    <x v="3"/>
  </r>
  <r>
    <n v="144"/>
    <s v="NIVA BUPA"/>
    <d v="2022-10-08T00:00:00"/>
    <x v="1"/>
    <d v="2022-10-15T00:00:00"/>
    <d v="2022-10-15T00:00:00"/>
    <n v="22027233"/>
    <n v="2235198"/>
    <n v="10013538772"/>
    <s v="JYOTI  GOEL"/>
    <x v="124"/>
    <n v="13406"/>
    <n v="158537"/>
    <n v="15964"/>
    <n v="142573"/>
    <x v="1"/>
    <x v="10"/>
    <n v="0.10069573664191955"/>
    <x v="12"/>
  </r>
  <r>
    <n v="145"/>
    <s v="STAR HEALTH CARE  (CREDIT)"/>
    <d v="2022-10-10T00:00:00"/>
    <x v="1"/>
    <d v="2022-10-15T00:00:00"/>
    <d v="2022-10-15T00:00:00"/>
    <n v="22027212"/>
    <n v="2235465"/>
    <n v="10013542471"/>
    <s v="VEENA AGGARWAL"/>
    <x v="125"/>
    <n v="15505"/>
    <n v="103382"/>
    <n v="7390"/>
    <n v="95992"/>
    <x v="1"/>
    <x v="1"/>
    <n v="7.1482463098024807E-2"/>
    <x v="9"/>
  </r>
  <r>
    <n v="146"/>
    <s v="CGHS ( CREDIT)"/>
    <d v="2022-10-05T00:00:00"/>
    <x v="1"/>
    <d v="2022-10-11T00:00:00"/>
    <d v="2022-10-11T00:00:00"/>
    <n v="22026570"/>
    <n v="2234801"/>
    <n v="10013541681"/>
    <s v="KUSUM"/>
    <x v="126"/>
    <n v="0"/>
    <n v="88518"/>
    <n v="2832"/>
    <n v="85686"/>
    <x v="1"/>
    <x v="0"/>
    <n v="3.1993492848912085E-2"/>
    <x v="0"/>
  </r>
  <r>
    <n v="147"/>
    <s v="GENERAL PATIENT"/>
    <d v="2022-10-27T00:00:00"/>
    <x v="1"/>
    <d v="2022-10-27T00:00:00"/>
    <d v="2022-10-27T00:00:00"/>
    <n v="22028724"/>
    <n v="2237618"/>
    <n v="1001561182"/>
    <s v="TAPATI CHATTERJEE"/>
    <x v="127"/>
    <n v="0"/>
    <n v="2680"/>
    <n v="2680"/>
    <n v="0"/>
    <x v="0"/>
    <x v="6"/>
    <n v="1"/>
    <x v="13"/>
  </r>
  <r>
    <n v="148"/>
    <s v="HARAYANA GOVT."/>
    <d v="2022-10-01T00:00:00"/>
    <x v="1"/>
    <d v="2022-10-07T00:00:00"/>
    <d v="2022-10-07T00:00:00"/>
    <n v="22025996"/>
    <n v="2234145"/>
    <n v="10013420769"/>
    <s v="REKHA"/>
    <x v="128"/>
    <n v="0"/>
    <n v="65096"/>
    <n v="65096"/>
    <n v="0"/>
    <x v="0"/>
    <x v="0"/>
    <n v="1"/>
    <x v="1"/>
  </r>
  <r>
    <n v="149"/>
    <s v="GOVT. OF NCT OF DELHI"/>
    <d v="2022-10-12T00:00:00"/>
    <x v="1"/>
    <d v="2022-10-12T00:00:00"/>
    <d v="2022-10-12T00:00:00"/>
    <n v="22026813"/>
    <n v="2235776"/>
    <n v="1000915662"/>
    <s v="RAJ KUMAR"/>
    <x v="129"/>
    <n v="0"/>
    <n v="3070"/>
    <n v="3070"/>
    <n v="0"/>
    <x v="0"/>
    <x v="6"/>
    <n v="1"/>
    <x v="13"/>
  </r>
  <r>
    <n v="150"/>
    <s v="GENERAL PATIENT"/>
    <d v="2022-10-13T00:00:00"/>
    <x v="1"/>
    <d v="2022-10-14T00:00:00"/>
    <d v="2022-10-14T00:00:00"/>
    <n v="22026960"/>
    <n v="2235862"/>
    <n v="10013504859"/>
    <s v="TEKCHAND ARORA"/>
    <x v="130"/>
    <n v="5678"/>
    <n v="64248"/>
    <n v="64248"/>
    <n v="0"/>
    <x v="0"/>
    <x v="13"/>
    <n v="1"/>
    <x v="0"/>
  </r>
  <r>
    <n v="151"/>
    <s v="CGHS ( CREDIT)"/>
    <d v="2022-10-14T00:00:00"/>
    <x v="1"/>
    <d v="2022-10-22T00:00:00"/>
    <d v="2022-10-22T00:00:00"/>
    <n v="22028215"/>
    <n v="2235995"/>
    <n v="10013543048"/>
    <s v="USHA WADHWA"/>
    <x v="131"/>
    <n v="0"/>
    <n v="160006"/>
    <n v="1731"/>
    <n v="158275"/>
    <x v="1"/>
    <x v="2"/>
    <n v="1.0818344312088297E-2"/>
    <x v="0"/>
  </r>
  <r>
    <n v="152"/>
    <s v=" STAR HEALTH TPA"/>
    <d v="2022-09-29T00:00:00"/>
    <x v="0"/>
    <d v="2022-10-04T00:00:00"/>
    <d v="2022-10-04T00:00:00"/>
    <n v="22025501"/>
    <n v="2233871"/>
    <n v="1001720080"/>
    <s v="AJAY KUMAR"/>
    <x v="132"/>
    <n v="6312"/>
    <n v="64119"/>
    <n v="5586"/>
    <n v="58533"/>
    <x v="1"/>
    <x v="1"/>
    <n v="8.7119262621063953E-2"/>
    <x v="0"/>
  </r>
  <r>
    <n v="153"/>
    <s v="CGHS"/>
    <d v="2022-10-07T00:00:00"/>
    <x v="1"/>
    <d v="2022-10-13T00:00:00"/>
    <d v="2022-10-13T00:00:00"/>
    <n v="22026879"/>
    <n v="2235087"/>
    <n v="10013507991"/>
    <s v="PARMOD SIKKA"/>
    <x v="133"/>
    <n v="0"/>
    <n v="118761"/>
    <n v="118761"/>
    <n v="0"/>
    <x v="0"/>
    <x v="2"/>
    <n v="1"/>
    <x v="0"/>
  </r>
  <r>
    <n v="154"/>
    <s v="CGHS"/>
    <d v="2022-10-09T00:00:00"/>
    <x v="1"/>
    <d v="2022-10-11T00:00:00"/>
    <d v="2022-10-11T00:00:00"/>
    <n v="22026596"/>
    <n v="2235299"/>
    <n v="1001803435"/>
    <s v="PINKI FEMALE BABY  PODDAR"/>
    <x v="134"/>
    <n v="0"/>
    <n v="3984"/>
    <n v="3984"/>
    <n v="0"/>
    <x v="0"/>
    <x v="1"/>
    <n v="1"/>
    <x v="3"/>
  </r>
  <r>
    <n v="155"/>
    <s v=" STAR HEALTH TPA"/>
    <d v="2022-10-13T00:00:00"/>
    <x v="1"/>
    <d v="2022-10-15T00:00:00"/>
    <d v="2022-10-15T00:00:00"/>
    <n v="22027160"/>
    <n v="2235822"/>
    <n v="1001804054"/>
    <s v="PURSHOTTAR KUMAR"/>
    <x v="135"/>
    <n v="10389"/>
    <n v="67889"/>
    <n v="1500"/>
    <n v="66389"/>
    <x v="1"/>
    <x v="1"/>
    <n v="2.2094890188395763E-2"/>
    <x v="5"/>
  </r>
  <r>
    <n v="156"/>
    <s v="GENERAL PATIENT"/>
    <d v="2022-10-13T00:00:00"/>
    <x v="1"/>
    <d v="2022-10-16T00:00:00"/>
    <d v="2022-10-16T00:00:00"/>
    <n v="22027329"/>
    <n v="2235846"/>
    <n v="1001800578"/>
    <s v="NISHA JHA"/>
    <x v="136"/>
    <n v="3750"/>
    <n v="34576"/>
    <n v="34576"/>
    <n v="0"/>
    <x v="0"/>
    <x v="1"/>
    <n v="1"/>
    <x v="0"/>
  </r>
  <r>
    <n v="157"/>
    <s v="HARAYANA GOVT."/>
    <d v="2022-10-29T00:00:00"/>
    <x v="1"/>
    <d v="2022-10-29T00:00:00"/>
    <d v="2022-10-29T00:00:00"/>
    <n v="22028996"/>
    <n v="2237912"/>
    <n v="1000891454"/>
    <s v="PREM SINGH"/>
    <x v="96"/>
    <n v="0"/>
    <n v="2064"/>
    <n v="2064"/>
    <n v="0"/>
    <x v="0"/>
    <x v="6"/>
    <n v="1"/>
    <x v="13"/>
  </r>
  <r>
    <n v="158"/>
    <s v=" CGHS Cash"/>
    <d v="2022-10-31T00:00:00"/>
    <x v="1"/>
    <d v="2022-10-31T00:00:00"/>
    <d v="2022-10-31T00:00:00"/>
    <n v="22029371"/>
    <n v="2238231"/>
    <n v="1001758739"/>
    <s v="HEMLATA"/>
    <x v="137"/>
    <n v="0"/>
    <n v="2560"/>
    <n v="2560"/>
    <n v="0"/>
    <x v="0"/>
    <x v="6"/>
    <n v="1"/>
    <x v="13"/>
  </r>
  <r>
    <n v="159"/>
    <s v=" HDFC ERGO General Insurance Company Limited"/>
    <d v="2022-09-27T00:00:00"/>
    <x v="0"/>
    <d v="2022-10-02T00:00:00"/>
    <d v="2022-10-02T00:00:00"/>
    <n v="22025318"/>
    <n v="2233627"/>
    <n v="1001801043"/>
    <s v="REKHA RANI"/>
    <x v="138"/>
    <n v="4188"/>
    <n v="56239"/>
    <n v="6500"/>
    <n v="49739"/>
    <x v="1"/>
    <x v="2"/>
    <n v="0.1155781575063568"/>
    <x v="0"/>
  </r>
  <r>
    <n v="160"/>
    <s v="Safeway Mediclaim Services Pvt. Ltd."/>
    <d v="2022-09-30T00:00:00"/>
    <x v="0"/>
    <d v="2022-10-02T00:00:00"/>
    <d v="2022-10-02T00:00:00"/>
    <n v="22025291"/>
    <n v="2234023"/>
    <n v="1001801609"/>
    <s v="MEGHA JAIN"/>
    <x v="139"/>
    <n v="2344"/>
    <n v="81961"/>
    <n v="13189"/>
    <n v="68772"/>
    <x v="1"/>
    <x v="5"/>
    <n v="0.16091799758421688"/>
    <x v="1"/>
  </r>
  <r>
    <n v="161"/>
    <s v="STAR HEALTH CARE  (CREDIT)"/>
    <d v="2022-10-19T00:00:00"/>
    <x v="1"/>
    <d v="2022-10-21T00:00:00"/>
    <d v="2022-10-21T00:00:00"/>
    <n v="22028015"/>
    <n v="2236700"/>
    <n v="1001805321"/>
    <s v="AGAM GOYAL"/>
    <x v="140"/>
    <n v="6646"/>
    <n v="41651"/>
    <n v="7319"/>
    <n v="34332"/>
    <x v="1"/>
    <x v="10"/>
    <n v="0.17572207149888358"/>
    <x v="0"/>
  </r>
  <r>
    <n v="162"/>
    <s v="GENERAL PATIENT"/>
    <d v="2022-10-22T00:00:00"/>
    <x v="1"/>
    <d v="2022-10-22T00:00:00"/>
    <d v="2022-10-22T00:00:00"/>
    <n v="22028119"/>
    <n v="2236997"/>
    <n v="10013407139"/>
    <s v="SITO DEVI"/>
    <x v="73"/>
    <n v="310"/>
    <n v="2534"/>
    <n v="2534"/>
    <n v="0"/>
    <x v="0"/>
    <x v="6"/>
    <n v="1"/>
    <x v="13"/>
  </r>
  <r>
    <n v="163"/>
    <s v=" Paramount Health Services and Insurance TPA Pvt.Ltd."/>
    <d v="2022-10-22T00:00:00"/>
    <x v="1"/>
    <d v="2022-10-22T00:00:00"/>
    <d v="2022-10-22T00:00:00"/>
    <n v="22028275"/>
    <n v="2237064"/>
    <n v="1001658205"/>
    <s v="USHA SINGH"/>
    <x v="141"/>
    <n v="0"/>
    <n v="2950"/>
    <n v="319"/>
    <n v="2631"/>
    <x v="1"/>
    <x v="6"/>
    <n v="0.10813559322033899"/>
    <x v="13"/>
  </r>
  <r>
    <n v="164"/>
    <s v=" AIRPORTS AUTHORITY OF INDIA"/>
    <d v="2022-10-12T00:00:00"/>
    <x v="1"/>
    <d v="2022-10-14T00:00:00"/>
    <d v="2022-10-14T00:00:00"/>
    <n v="22027021"/>
    <n v="2235695"/>
    <n v="1001803946"/>
    <s v="SARVESH CHOUDHARY"/>
    <x v="142"/>
    <n v="4989"/>
    <n v="38607"/>
    <n v="800"/>
    <n v="37807"/>
    <x v="1"/>
    <x v="0"/>
    <n v="2.0721630792343359E-2"/>
    <x v="0"/>
  </r>
  <r>
    <n v="165"/>
    <s v="GENERAL PATIENT"/>
    <d v="2022-10-15T00:00:00"/>
    <x v="1"/>
    <d v="2022-10-15T00:00:00"/>
    <d v="2022-10-15T00:00:00"/>
    <n v="22027204"/>
    <n v="2236126"/>
    <n v="10013507561"/>
    <s v="PUSHPA"/>
    <x v="143"/>
    <n v="290"/>
    <n v="3439"/>
    <n v="3439"/>
    <n v="0"/>
    <x v="0"/>
    <x v="6"/>
    <n v="1"/>
    <x v="13"/>
  </r>
  <r>
    <n v="166"/>
    <s v="GENERAL PATIENT"/>
    <d v="2022-10-15T00:00:00"/>
    <x v="1"/>
    <d v="2022-10-15T00:00:00"/>
    <d v="2022-10-15T00:00:00"/>
    <n v="22027194"/>
    <n v="2236149"/>
    <n v="10013526375"/>
    <s v="BIRBHAN GARG"/>
    <x v="45"/>
    <n v="434"/>
    <n v="4556"/>
    <n v="4556"/>
    <n v="0"/>
    <x v="0"/>
    <x v="6"/>
    <n v="1"/>
    <x v="13"/>
  </r>
  <r>
    <n v="167"/>
    <s v="GENERAL PATIENT"/>
    <d v="2022-10-15T00:00:00"/>
    <x v="1"/>
    <d v="2022-10-15T00:00:00"/>
    <d v="2022-10-15T00:00:00"/>
    <n v="22027219"/>
    <n v="2236141"/>
    <n v="10013339576"/>
    <s v="RAKESH GUPTA"/>
    <x v="41"/>
    <n v="2794"/>
    <n v="0"/>
    <n v="0"/>
    <n v="0"/>
    <x v="0"/>
    <x v="9"/>
    <e v="#DIV/0!"/>
    <x v="13"/>
  </r>
  <r>
    <n v="168"/>
    <s v="Health Insurance TPA of India Ltd."/>
    <d v="2022-10-25T00:00:00"/>
    <x v="1"/>
    <d v="2022-10-29T00:00:00"/>
    <d v="2022-10-29T00:00:00"/>
    <n v="22029019"/>
    <n v="2237411"/>
    <n v="1001230297"/>
    <s v="PARUL VAID"/>
    <x v="144"/>
    <n v="0"/>
    <n v="68136"/>
    <n v="7887"/>
    <n v="60249"/>
    <x v="1"/>
    <x v="5"/>
    <n v="0.11575378654455794"/>
    <x v="0"/>
  </r>
  <r>
    <n v="169"/>
    <s v="FHPL"/>
    <d v="2022-10-26T00:00:00"/>
    <x v="1"/>
    <d v="2022-10-27T00:00:00"/>
    <d v="2022-10-27T00:00:00"/>
    <n v="22028763"/>
    <n v="2237431"/>
    <n v="10013544496"/>
    <s v="JAGDISH SINGH"/>
    <x v="145"/>
    <n v="0"/>
    <n v="264819"/>
    <n v="78283"/>
    <n v="186536"/>
    <x v="1"/>
    <x v="4"/>
    <n v="0.29560945400443323"/>
    <x v="4"/>
  </r>
  <r>
    <n v="170"/>
    <s v="GENERAL PATIENT"/>
    <d v="2022-10-25T00:00:00"/>
    <x v="1"/>
    <d v="2022-10-25T00:00:00"/>
    <d v="2022-10-25T00:00:00"/>
    <n v="22028461"/>
    <n v="2237254"/>
    <n v="10013544329"/>
    <s v="POONAM MISHRA"/>
    <x v="16"/>
    <n v="0"/>
    <n v="0"/>
    <n v="0"/>
    <n v="0"/>
    <x v="0"/>
    <x v="8"/>
    <e v="#DIV/0!"/>
    <x v="0"/>
  </r>
  <r>
    <n v="171"/>
    <s v="CGHS"/>
    <d v="2022-10-22T00:00:00"/>
    <x v="1"/>
    <d v="2022-10-28T00:00:00"/>
    <d v="2022-10-28T00:00:00"/>
    <n v="22028902"/>
    <n v="2237058"/>
    <n v="10013544166"/>
    <s v="BIMLA GUPTA"/>
    <x v="146"/>
    <n v="0"/>
    <n v="49054"/>
    <n v="49054"/>
    <n v="0"/>
    <x v="0"/>
    <x v="2"/>
    <n v="1"/>
    <x v="0"/>
  </r>
  <r>
    <n v="172"/>
    <s v="GENERAL PATIENT"/>
    <d v="2022-10-18T00:00:00"/>
    <x v="1"/>
    <d v="2022-10-18T00:00:00"/>
    <d v="2022-10-18T00:00:00"/>
    <n v="22027595"/>
    <n v="2236505"/>
    <n v="10013460950"/>
    <s v="PREM CHAND"/>
    <x v="73"/>
    <n v="285"/>
    <n v="2559"/>
    <n v="2559"/>
    <n v="0"/>
    <x v="0"/>
    <x v="6"/>
    <n v="1"/>
    <x v="13"/>
  </r>
  <r>
    <n v="173"/>
    <s v="ICICI Lombard General Insurance"/>
    <d v="2022-10-12T00:00:00"/>
    <x v="1"/>
    <d v="2022-10-15T00:00:00"/>
    <d v="2022-10-15T00:00:00"/>
    <n v="22027190"/>
    <n v="2235780"/>
    <n v="10013542768"/>
    <s v="REETIKA GARG"/>
    <x v="147"/>
    <n v="0"/>
    <n v="45952"/>
    <n v="0"/>
    <n v="45952"/>
    <x v="1"/>
    <x v="2"/>
    <n v="0"/>
    <x v="0"/>
  </r>
  <r>
    <n v="174"/>
    <s v="GENERAL PATIENT"/>
    <d v="2022-10-27T00:00:00"/>
    <x v="1"/>
    <d v="2022-10-28T00:00:00"/>
    <d v="2022-10-28T00:00:00"/>
    <n v="22028910"/>
    <n v="2237674"/>
    <n v="1001806603"/>
    <s v="PRISHA FEMALE BABY HANDA"/>
    <x v="148"/>
    <n v="959"/>
    <n v="7231"/>
    <n v="7231"/>
    <n v="0"/>
    <x v="0"/>
    <x v="1"/>
    <n v="1"/>
    <x v="3"/>
  </r>
  <r>
    <n v="175"/>
    <s v="CGHS ( CREDIT)"/>
    <d v="2022-10-09T00:00:00"/>
    <x v="1"/>
    <d v="2022-10-19T00:00:00"/>
    <d v="2022-10-19T00:00:00"/>
    <n v="22027750"/>
    <n v="2235262"/>
    <n v="10013542268"/>
    <s v="RAM RATI"/>
    <x v="149"/>
    <n v="0"/>
    <n v="112204"/>
    <n v="1040"/>
    <n v="111164"/>
    <x v="1"/>
    <x v="2"/>
    <n v="9.2688317707033622E-3"/>
    <x v="0"/>
  </r>
  <r>
    <n v="176"/>
    <s v="GENERAL PATIENT"/>
    <d v="2022-10-19T00:00:00"/>
    <x v="1"/>
    <d v="2022-10-19T00:00:00"/>
    <d v="2022-10-19T00:00:00"/>
    <n v="22027772"/>
    <n v="2236653"/>
    <n v="1001805289"/>
    <s v="RAJ KUMAR"/>
    <x v="19"/>
    <n v="0"/>
    <n v="14000"/>
    <n v="14000"/>
    <n v="0"/>
    <x v="0"/>
    <x v="6"/>
    <n v="1"/>
    <x v="4"/>
  </r>
  <r>
    <n v="177"/>
    <s v="Health Insurance TPA of India Ltd."/>
    <d v="2022-10-20T00:00:00"/>
    <x v="1"/>
    <d v="2022-10-26T00:00:00"/>
    <d v="2022-10-26T00:00:00"/>
    <n v="22028573"/>
    <n v="2236794"/>
    <n v="10013543906"/>
    <s v="NISHI SODHI"/>
    <x v="150"/>
    <n v="29942"/>
    <n v="320818"/>
    <n v="32911"/>
    <n v="287907"/>
    <x v="1"/>
    <x v="2"/>
    <n v="0.1025846430063151"/>
    <x v="0"/>
  </r>
  <r>
    <n v="178"/>
    <s v=" RAKSHA TPA PVT.LTD."/>
    <d v="2022-10-10T00:00:00"/>
    <x v="1"/>
    <d v="2022-10-10T00:00:00"/>
    <d v="2022-10-10T00:00:00"/>
    <n v="22026457"/>
    <n v="2235430"/>
    <n v="1001689981"/>
    <s v="RITIKA SINGH"/>
    <x v="141"/>
    <n v="0"/>
    <n v="2950"/>
    <n v="24"/>
    <n v="2926"/>
    <x v="1"/>
    <x v="6"/>
    <n v="8.1355932203389832E-3"/>
    <x v="13"/>
  </r>
  <r>
    <n v="179"/>
    <s v="GENERAL PATIENT"/>
    <d v="2022-10-14T00:00:00"/>
    <x v="1"/>
    <d v="2022-10-14T00:00:00"/>
    <d v="2022-10-14T00:00:00"/>
    <n v="22027107"/>
    <n v="2236032"/>
    <n v="1001110018"/>
    <s v="RUPENDER KAUR"/>
    <x v="60"/>
    <n v="7494"/>
    <n v="0"/>
    <n v="0"/>
    <n v="0"/>
    <x v="0"/>
    <x v="9"/>
    <e v="#DIV/0!"/>
    <x v="13"/>
  </r>
  <r>
    <n v="180"/>
    <s v="GENERAL PATIENT"/>
    <d v="2022-10-14T00:00:00"/>
    <x v="1"/>
    <d v="2022-10-14T00:00:00"/>
    <d v="2022-10-14T00:00:00"/>
    <n v="22027108"/>
    <n v="2236039"/>
    <n v="1001074324"/>
    <s v="RAMESH CHAND NIGAM"/>
    <x v="73"/>
    <n v="308"/>
    <n v="2536"/>
    <n v="2536"/>
    <n v="0"/>
    <x v="0"/>
    <x v="6"/>
    <n v="1"/>
    <x v="13"/>
  </r>
  <r>
    <n v="181"/>
    <s v="GENERAL PATIENT"/>
    <d v="2022-10-04T00:00:00"/>
    <x v="1"/>
    <d v="2022-10-15T00:00:00"/>
    <d v="2022-10-15T00:00:00"/>
    <n v="22027208"/>
    <n v="2234657"/>
    <n v="10013541599"/>
    <s v="TANGAMMA"/>
    <x v="151"/>
    <n v="308068"/>
    <n v="0"/>
    <n v="0"/>
    <n v="0"/>
    <x v="0"/>
    <x v="9"/>
    <e v="#DIV/0!"/>
    <x v="0"/>
  </r>
  <r>
    <n v="182"/>
    <s v="GENERAL PATIENT"/>
    <d v="2022-10-20T00:00:00"/>
    <x v="1"/>
    <d v="2022-10-22T00:00:00"/>
    <d v="2022-10-22T00:00:00"/>
    <n v="22028217"/>
    <n v="2236764"/>
    <n v="1001805437"/>
    <s v="KOMAL MALE BABY ARORA"/>
    <x v="152"/>
    <n v="2032"/>
    <n v="14596"/>
    <n v="14596"/>
    <n v="0"/>
    <x v="0"/>
    <x v="10"/>
    <n v="1"/>
    <x v="3"/>
  </r>
  <r>
    <n v="183"/>
    <s v="Health Insurance TPA of India Ltd."/>
    <d v="2022-10-25T00:00:00"/>
    <x v="1"/>
    <d v="2022-10-28T00:00:00"/>
    <d v="2022-10-28T00:00:00"/>
    <n v="22028874"/>
    <n v="2237298"/>
    <n v="10013544357"/>
    <s v="RAMESH CHANDER  BHATIA"/>
    <x v="153"/>
    <n v="10282"/>
    <n v="86528"/>
    <n v="20780"/>
    <n v="65748"/>
    <x v="1"/>
    <x v="2"/>
    <n v="0.24015347633136094"/>
    <x v="0"/>
  </r>
  <r>
    <n v="184"/>
    <s v="CARE HEALTH INSURANCE LIMITED"/>
    <d v="2022-10-26T00:00:00"/>
    <x v="1"/>
    <d v="2022-10-28T00:00:00"/>
    <d v="2022-10-28T00:00:00"/>
    <n v="22028899"/>
    <n v="2237479"/>
    <n v="10013511657"/>
    <s v="JUHI UPADHYAY"/>
    <x v="154"/>
    <n v="0"/>
    <n v="55560"/>
    <n v="5560"/>
    <n v="50000"/>
    <x v="1"/>
    <x v="1"/>
    <n v="0.10007199424046076"/>
    <x v="1"/>
  </r>
  <r>
    <n v="185"/>
    <s v=" MEDI ASSIST INSURANCE TPA LTD"/>
    <d v="2022-10-17T00:00:00"/>
    <x v="1"/>
    <d v="2022-10-23T00:00:00"/>
    <d v="2022-10-23T00:00:00"/>
    <n v="22028357"/>
    <n v="2236427"/>
    <n v="1001701830"/>
    <s v="KAMAL JIT KAUR"/>
    <x v="155"/>
    <n v="8872"/>
    <n v="46740"/>
    <n v="4931"/>
    <n v="41809"/>
    <x v="1"/>
    <x v="3"/>
    <n v="0.10549850235344459"/>
    <x v="0"/>
  </r>
  <r>
    <n v="186"/>
    <s v="GENERAL PATIENT"/>
    <d v="2022-10-16T00:00:00"/>
    <x v="1"/>
    <d v="2022-10-21T00:00:00"/>
    <d v="2022-10-21T00:00:00"/>
    <n v="22028087"/>
    <n v="2236226"/>
    <n v="1001615161"/>
    <s v="ARCHANA REKHADI"/>
    <x v="156"/>
    <n v="35482"/>
    <n v="162113"/>
    <n v="162113"/>
    <n v="0"/>
    <x v="0"/>
    <x v="2"/>
    <n v="1"/>
    <x v="0"/>
  </r>
  <r>
    <n v="187"/>
    <s v="MEDI ASSIST"/>
    <d v="2022-10-01T00:00:00"/>
    <x v="1"/>
    <d v="2022-10-01T00:00:00"/>
    <d v="2022-10-01T00:00:00"/>
    <n v="22025238"/>
    <n v="2234254"/>
    <n v="1001564406"/>
    <s v="RAVI BATURA"/>
    <x v="75"/>
    <n v="0"/>
    <n v="2200"/>
    <n v="330"/>
    <n v="1870"/>
    <x v="1"/>
    <x v="12"/>
    <n v="0.15"/>
    <x v="13"/>
  </r>
  <r>
    <n v="188"/>
    <s v=" ECHS CREDIT"/>
    <d v="2022-09-13T00:00:00"/>
    <x v="0"/>
    <d v="2022-10-03T00:00:00"/>
    <d v="2022-10-03T00:00:00"/>
    <n v="22025420"/>
    <n v="2231871"/>
    <n v="1001798464"/>
    <s v="SHIVENDRA SINGH"/>
    <x v="157"/>
    <n v="0"/>
    <n v="97497"/>
    <n v="600"/>
    <n v="96897"/>
    <x v="1"/>
    <x v="0"/>
    <n v="6.1540355087848853E-3"/>
    <x v="0"/>
  </r>
  <r>
    <n v="189"/>
    <s v="STAR HEALTH CARE  (CREDIT)"/>
    <d v="2022-10-29T00:00:00"/>
    <x v="1"/>
    <d v="2022-10-29T00:00:00"/>
    <d v="2022-10-29T00:00:00"/>
    <n v="22029148"/>
    <n v="2238005"/>
    <n v="10013481278"/>
    <s v="NEELAM GUPTA"/>
    <x v="158"/>
    <n v="0"/>
    <n v="2500"/>
    <n v="2500"/>
    <n v="0"/>
    <x v="0"/>
    <x v="6"/>
    <n v="1"/>
    <x v="13"/>
  </r>
  <r>
    <n v="190"/>
    <s v="GENERAL PATIENT"/>
    <d v="2022-10-08T00:00:00"/>
    <x v="1"/>
    <d v="2022-10-09T00:00:00"/>
    <d v="2022-10-09T00:00:00"/>
    <n v="22026248"/>
    <n v="2235151"/>
    <n v="10013541792"/>
    <s v="RAMAN"/>
    <x v="159"/>
    <n v="16846"/>
    <n v="30702"/>
    <n v="30702"/>
    <n v="0"/>
    <x v="0"/>
    <x v="7"/>
    <n v="1"/>
    <x v="16"/>
  </r>
  <r>
    <n v="191"/>
    <s v="GENERAL PATIENT"/>
    <d v="2022-09-15T00:00:00"/>
    <x v="0"/>
    <d v="2022-10-12T00:00:00"/>
    <d v="2022-10-12T00:00:00"/>
    <n v="22026692"/>
    <n v="2232156"/>
    <n v="10013538448"/>
    <s v="SURESH KUMAR RAM"/>
    <x v="160"/>
    <n v="700296"/>
    <n v="0"/>
    <n v="0"/>
    <n v="0"/>
    <x v="0"/>
    <x v="9"/>
    <e v="#DIV/0!"/>
    <x v="0"/>
  </r>
  <r>
    <n v="192"/>
    <s v="CGHS"/>
    <d v="2022-10-14T00:00:00"/>
    <x v="1"/>
    <d v="2022-10-17T00:00:00"/>
    <d v="2022-10-17T00:00:00"/>
    <n v="22027426"/>
    <n v="2235938"/>
    <n v="10013539712"/>
    <s v="KANTI DEVI"/>
    <x v="161"/>
    <n v="0"/>
    <n v="22389"/>
    <n v="22389"/>
    <n v="0"/>
    <x v="0"/>
    <x v="1"/>
    <n v="1"/>
    <x v="11"/>
  </r>
  <r>
    <n v="193"/>
    <s v="PARK MED CLAIM LTD"/>
    <d v="2022-10-04T00:00:00"/>
    <x v="1"/>
    <d v="2022-10-04T00:00:00"/>
    <d v="2022-10-04T00:00:00"/>
    <n v="22025546"/>
    <n v="2234544"/>
    <n v="1001300227"/>
    <s v="BIMLA"/>
    <x v="75"/>
    <n v="0"/>
    <n v="2200"/>
    <n v="2200"/>
    <n v="0"/>
    <x v="0"/>
    <x v="12"/>
    <n v="1"/>
    <x v="13"/>
  </r>
  <r>
    <n v="194"/>
    <s v="GENERAL PATIENT"/>
    <d v="2022-10-23T00:00:00"/>
    <x v="1"/>
    <d v="2022-10-29T00:00:00"/>
    <d v="2022-10-29T00:00:00"/>
    <n v="22029088"/>
    <n v="2237174"/>
    <n v="1001684398"/>
    <s v="AVTAR SINGH"/>
    <x v="162"/>
    <n v="25770"/>
    <n v="129415"/>
    <n v="129415"/>
    <n v="0"/>
    <x v="0"/>
    <x v="0"/>
    <n v="1"/>
    <x v="4"/>
  </r>
  <r>
    <n v="195"/>
    <s v="STAFF"/>
    <d v="2022-10-16T00:00:00"/>
    <x v="1"/>
    <d v="2022-10-18T00:00:00"/>
    <d v="2022-10-18T00:00:00"/>
    <n v="22027542"/>
    <n v="2236222"/>
    <n v="10013444243"/>
    <s v="POONAM SHOKEEN"/>
    <x v="163"/>
    <n v="61774"/>
    <n v="0"/>
    <n v="0"/>
    <n v="0"/>
    <x v="0"/>
    <x v="9"/>
    <e v="#DIV/0!"/>
    <x v="1"/>
  </r>
  <r>
    <n v="196"/>
    <s v="GENERAL PATIENT"/>
    <d v="2022-09-30T00:00:00"/>
    <x v="0"/>
    <d v="2022-10-01T00:00:00"/>
    <d v="2022-10-01T00:00:00"/>
    <n v="22025142"/>
    <n v="2234083"/>
    <n v="1001801720"/>
    <s v="SANGH MITRA BARWA"/>
    <x v="164"/>
    <n v="3125"/>
    <n v="32358"/>
    <n v="32358"/>
    <n v="0"/>
    <x v="0"/>
    <x v="1"/>
    <n v="1"/>
    <x v="4"/>
  </r>
  <r>
    <n v="197"/>
    <s v=" RAKSHA TPA PVT.LTD."/>
    <d v="2022-10-01T00:00:00"/>
    <x v="1"/>
    <d v="2022-10-01T00:00:00"/>
    <d v="2022-10-01T00:00:00"/>
    <n v="22025174"/>
    <n v="2234202"/>
    <n v="1001689981"/>
    <s v="RITIKA SINGH"/>
    <x v="141"/>
    <n v="0"/>
    <n v="2950"/>
    <n v="24"/>
    <n v="2926"/>
    <x v="1"/>
    <x v="6"/>
    <n v="8.1355932203389832E-3"/>
    <x v="13"/>
  </r>
  <r>
    <n v="198"/>
    <s v="GENERAL PATIENT"/>
    <d v="2022-10-01T00:00:00"/>
    <x v="1"/>
    <d v="2022-10-01T00:00:00"/>
    <d v="2022-10-01T00:00:00"/>
    <n v="22025199"/>
    <n v="2234222"/>
    <n v="1000890994"/>
    <s v="HIMANSHU KAPOOR"/>
    <x v="112"/>
    <n v="311"/>
    <n v="3177"/>
    <n v="3177"/>
    <n v="0"/>
    <x v="0"/>
    <x v="6"/>
    <n v="1"/>
    <x v="13"/>
  </r>
  <r>
    <n v="199"/>
    <s v="GENERAL PATIENT"/>
    <d v="2022-10-16T00:00:00"/>
    <x v="1"/>
    <d v="2022-10-19T00:00:00"/>
    <d v="2022-10-19T00:00:00"/>
    <n v="22027690"/>
    <n v="2236242"/>
    <n v="1001266316"/>
    <s v="NIZAMMUDDIN"/>
    <x v="165"/>
    <n v="16825"/>
    <n v="124549"/>
    <n v="124549"/>
    <n v="0"/>
    <x v="0"/>
    <x v="8"/>
    <n v="1"/>
    <x v="0"/>
  </r>
  <r>
    <n v="200"/>
    <s v="GENERAL PATIENT"/>
    <d v="2022-10-02T00:00:00"/>
    <x v="1"/>
    <d v="2022-10-04T00:00:00"/>
    <d v="2022-10-04T00:00:00"/>
    <n v="22025504"/>
    <n v="2234323"/>
    <n v="1001802029"/>
    <s v="SILWANT KUMAR"/>
    <x v="166"/>
    <n v="11880"/>
    <n v="172274"/>
    <n v="172274"/>
    <n v="0"/>
    <x v="0"/>
    <x v="1"/>
    <n v="1"/>
    <x v="4"/>
  </r>
  <r>
    <n v="201"/>
    <s v="Aditya Birla Health Insurance Co. Limited"/>
    <d v="2022-10-07T00:00:00"/>
    <x v="1"/>
    <d v="2022-10-12T00:00:00"/>
    <d v="2022-10-12T00:00:00"/>
    <n v="22026648"/>
    <n v="2235079"/>
    <n v="10013507187"/>
    <s v="SHAILENDRA KUMAR GUPTA"/>
    <x v="167"/>
    <n v="0"/>
    <n v="57064"/>
    <n v="57064"/>
    <n v="0"/>
    <x v="0"/>
    <x v="2"/>
    <n v="1"/>
    <x v="9"/>
  </r>
  <r>
    <n v="202"/>
    <s v="MEDI ASSIST"/>
    <d v="2022-10-08T00:00:00"/>
    <x v="1"/>
    <d v="2022-10-08T00:00:00"/>
    <d v="2022-10-08T00:00:00"/>
    <n v="22026195"/>
    <n v="2235138"/>
    <n v="1001105051"/>
    <s v="KAMLA CHUGH"/>
    <x v="168"/>
    <n v="0"/>
    <n v="4840"/>
    <n v="242"/>
    <n v="4598"/>
    <x v="1"/>
    <x v="12"/>
    <n v="0.05"/>
    <x v="13"/>
  </r>
  <r>
    <n v="203"/>
    <s v="GENERAL PATIENT"/>
    <d v="2022-10-02T00:00:00"/>
    <x v="1"/>
    <d v="2022-10-05T00:00:00"/>
    <d v="2022-10-05T00:00:00"/>
    <n v="22025678"/>
    <n v="2234329"/>
    <n v="1001802039"/>
    <s v="MISHA MEHRA"/>
    <x v="169"/>
    <n v="14054"/>
    <n v="97913"/>
    <n v="97913"/>
    <n v="0"/>
    <x v="0"/>
    <x v="2"/>
    <n v="1"/>
    <x v="1"/>
  </r>
  <r>
    <n v="204"/>
    <s v="GENERAL PATIENT"/>
    <d v="2022-10-18T00:00:00"/>
    <x v="1"/>
    <d v="2022-10-21T00:00:00"/>
    <d v="2022-10-21T00:00:00"/>
    <n v="22028000"/>
    <n v="2236504"/>
    <n v="1001805082"/>
    <s v="TABASSUM MALE BABY"/>
    <x v="170"/>
    <n v="1880"/>
    <n v="13135"/>
    <n v="13135"/>
    <n v="0"/>
    <x v="0"/>
    <x v="0"/>
    <n v="1"/>
    <x v="3"/>
  </r>
  <r>
    <n v="205"/>
    <s v="GENERAL PATIENT"/>
    <d v="2022-10-12T00:00:00"/>
    <x v="1"/>
    <d v="2022-10-12T00:00:00"/>
    <d v="2022-10-12T00:00:00"/>
    <n v="22026655"/>
    <n v="2235639"/>
    <n v="10013407139"/>
    <s v="SITO DEVI"/>
    <x v="73"/>
    <n v="308"/>
    <n v="2536"/>
    <n v="2536"/>
    <n v="0"/>
    <x v="0"/>
    <x v="6"/>
    <n v="1"/>
    <x v="13"/>
  </r>
  <r>
    <n v="206"/>
    <s v="Safeway Mediclaim Services Pvt. Ltd."/>
    <d v="2022-10-12T00:00:00"/>
    <x v="1"/>
    <d v="2022-10-12T00:00:00"/>
    <d v="2022-10-12T00:00:00"/>
    <n v="22026668"/>
    <n v="2235656"/>
    <n v="10013464572"/>
    <s v="NANAK CHAND JAIN"/>
    <x v="168"/>
    <n v="1003"/>
    <n v="3837"/>
    <n v="1637"/>
    <n v="2200"/>
    <x v="1"/>
    <x v="12"/>
    <n v="0.42663539223351576"/>
    <x v="13"/>
  </r>
  <r>
    <n v="207"/>
    <s v="MD INDIA TPA PVT.LTD."/>
    <d v="2022-09-24T00:00:00"/>
    <x v="0"/>
    <d v="2022-10-04T00:00:00"/>
    <d v="2022-10-04T00:00:00"/>
    <n v="22025505"/>
    <n v="2233320"/>
    <n v="10013540206"/>
    <s v="DINDAYAL SINGH"/>
    <x v="171"/>
    <n v="29794"/>
    <n v="254654"/>
    <n v="10018"/>
    <n v="244636"/>
    <x v="1"/>
    <x v="3"/>
    <n v="3.9339653019391019E-2"/>
    <x v="17"/>
  </r>
  <r>
    <n v="208"/>
    <s v="GENERAL PATIENT"/>
    <d v="2022-10-05T00:00:00"/>
    <x v="1"/>
    <d v="2022-10-05T00:00:00"/>
    <d v="2022-10-05T00:00:00"/>
    <n v="22025736"/>
    <n v="2234692"/>
    <n v="1001802534"/>
    <s v="SOM NATH"/>
    <x v="172"/>
    <n v="112"/>
    <n v="14638"/>
    <n v="14638"/>
    <n v="0"/>
    <x v="0"/>
    <x v="6"/>
    <n v="1"/>
    <x v="4"/>
  </r>
  <r>
    <n v="209"/>
    <s v="SMILE TRAIN"/>
    <d v="2022-10-10T00:00:00"/>
    <x v="1"/>
    <d v="2022-10-10T00:00:00"/>
    <d v="2022-10-10T00:00:00"/>
    <n v="22026393"/>
    <n v="2235350"/>
    <n v="10013503050"/>
    <s v="LAKSHITA"/>
    <x v="173"/>
    <n v="8930"/>
    <n v="0"/>
    <n v="0"/>
    <n v="0"/>
    <x v="0"/>
    <x v="6"/>
    <e v="#DIV/0!"/>
    <x v="6"/>
  </r>
  <r>
    <n v="210"/>
    <s v=" Paramount Health Services and Insurance TPA Pvt.Ltd."/>
    <d v="2022-10-08T00:00:00"/>
    <x v="1"/>
    <d v="2022-10-09T00:00:00"/>
    <d v="2022-10-09T00:00:00"/>
    <n v="22026319"/>
    <n v="2235225"/>
    <n v="1001803331"/>
    <s v="RAHUL"/>
    <x v="174"/>
    <n v="645"/>
    <n v="34900"/>
    <n v="1900"/>
    <n v="33000"/>
    <x v="1"/>
    <x v="3"/>
    <n v="5.4441260744985676E-2"/>
    <x v="16"/>
  </r>
  <r>
    <n v="211"/>
    <s v="CGHS"/>
    <d v="2022-09-30T00:00:00"/>
    <x v="0"/>
    <d v="2022-10-01T00:00:00"/>
    <d v="2022-10-01T00:00:00"/>
    <n v="22025115"/>
    <n v="2234034"/>
    <n v="10013513605"/>
    <s v="RENU SINHMAR"/>
    <x v="109"/>
    <n v="0"/>
    <n v="11212"/>
    <n v="11212"/>
    <n v="0"/>
    <x v="0"/>
    <x v="0"/>
    <n v="1"/>
    <x v="1"/>
  </r>
  <r>
    <n v="212"/>
    <s v=" CGHS Cash"/>
    <d v="2022-10-05T00:00:00"/>
    <x v="1"/>
    <d v="2022-10-08T00:00:00"/>
    <d v="2022-10-08T00:00:00"/>
    <n v="22026137"/>
    <n v="2234665"/>
    <n v="1001802513"/>
    <s v="SURYA DEV"/>
    <x v="175"/>
    <n v="0"/>
    <n v="17033"/>
    <n v="17033"/>
    <n v="0"/>
    <x v="0"/>
    <x v="1"/>
    <n v="1"/>
    <x v="0"/>
  </r>
  <r>
    <n v="213"/>
    <s v="GENERAL PATIENT"/>
    <d v="2022-10-03T00:00:00"/>
    <x v="1"/>
    <d v="2022-10-03T00:00:00"/>
    <d v="2022-10-03T00:00:00"/>
    <n v="22025427"/>
    <n v="2234409"/>
    <n v="1001802205"/>
    <s v="REKHA DEVI"/>
    <x v="19"/>
    <n v="0"/>
    <n v="14000"/>
    <n v="14000"/>
    <n v="0"/>
    <x v="0"/>
    <x v="6"/>
    <n v="1"/>
    <x v="4"/>
  </r>
  <r>
    <n v="214"/>
    <s v="GENERAL PATIENT (MAH)"/>
    <d v="2022-09-29T00:00:00"/>
    <x v="0"/>
    <d v="2022-10-03T00:00:00"/>
    <d v="2022-10-03T00:00:00"/>
    <n v="22025450"/>
    <n v="2233939"/>
    <n v="1000950490"/>
    <s v="RAM DEO AGGARWAL"/>
    <x v="176"/>
    <n v="130772"/>
    <n v="0"/>
    <n v="0"/>
    <n v="0"/>
    <x v="0"/>
    <x v="9"/>
    <e v="#DIV/0!"/>
    <x v="15"/>
  </r>
  <r>
    <n v="215"/>
    <s v=" CGHS Cash"/>
    <d v="2022-09-28T00:00:00"/>
    <x v="0"/>
    <d v="2022-10-01T00:00:00"/>
    <d v="2022-10-01T00:00:00"/>
    <n v="22025112"/>
    <n v="2233773"/>
    <n v="1001801257"/>
    <s v="LAKSHYA SINGH BISHT"/>
    <x v="177"/>
    <n v="0"/>
    <n v="48585"/>
    <n v="48585"/>
    <n v="0"/>
    <x v="0"/>
    <x v="1"/>
    <n v="1"/>
    <x v="11"/>
  </r>
  <r>
    <n v="216"/>
    <s v="GENERAL PATIENT"/>
    <d v="2022-10-02T00:00:00"/>
    <x v="1"/>
    <d v="2022-10-03T00:00:00"/>
    <d v="2022-10-03T00:00:00"/>
    <n v="22025334"/>
    <n v="2234313"/>
    <n v="1001802010"/>
    <s v="SHELLY MALE BABY  AGGARWAL"/>
    <x v="178"/>
    <n v="1345"/>
    <n v="7623"/>
    <n v="7623"/>
    <n v="0"/>
    <x v="0"/>
    <x v="2"/>
    <n v="1"/>
    <x v="3"/>
  </r>
  <r>
    <n v="217"/>
    <s v="PARK MED CLAIM LTD"/>
    <d v="2022-10-21T00:00:00"/>
    <x v="1"/>
    <d v="2022-10-27T00:00:00"/>
    <d v="2022-10-27T00:00:00"/>
    <n v="22028782"/>
    <n v="2236899"/>
    <n v="1001805610"/>
    <s v="SHANTI DEVI"/>
    <x v="179"/>
    <n v="16219"/>
    <n v="117299"/>
    <n v="17326"/>
    <n v="99973"/>
    <x v="1"/>
    <x v="3"/>
    <n v="0.14770799410054647"/>
    <x v="16"/>
  </r>
  <r>
    <n v="218"/>
    <s v="Health Insurance TPA of India Ltd."/>
    <d v="2022-10-11T00:00:00"/>
    <x v="1"/>
    <d v="2022-10-12T00:00:00"/>
    <d v="2022-10-12T00:00:00"/>
    <n v="22026675"/>
    <n v="2235516"/>
    <n v="1001285966"/>
    <s v="TARA CHAND"/>
    <x v="180"/>
    <n v="0"/>
    <n v="82862"/>
    <n v="45066"/>
    <n v="37796"/>
    <x v="1"/>
    <x v="5"/>
    <n v="0.5438681180758369"/>
    <x v="18"/>
  </r>
  <r>
    <n v="219"/>
    <s v="GENERAL PATIENT"/>
    <d v="2022-10-11T00:00:00"/>
    <x v="1"/>
    <d v="2022-10-11T00:00:00"/>
    <d v="2022-10-11T00:00:00"/>
    <n v="22026497"/>
    <n v="2235490"/>
    <n v="1001427466"/>
    <s v="DEVENDER GOYAL"/>
    <x v="127"/>
    <n v="2680"/>
    <n v="0"/>
    <n v="0"/>
    <n v="0"/>
    <x v="0"/>
    <x v="9"/>
    <e v="#DIV/0!"/>
    <x v="13"/>
  </r>
  <r>
    <n v="220"/>
    <s v="GENERAL PATIENT"/>
    <d v="2022-10-16T00:00:00"/>
    <x v="1"/>
    <d v="2022-10-19T00:00:00"/>
    <d v="2022-10-19T00:00:00"/>
    <n v="22027680"/>
    <n v="2236258"/>
    <n v="10013543290"/>
    <s v="JOGINDER"/>
    <x v="181"/>
    <n v="7846"/>
    <n v="232392"/>
    <n v="232392"/>
    <n v="0"/>
    <x v="0"/>
    <x v="1"/>
    <n v="1"/>
    <x v="4"/>
  </r>
  <r>
    <n v="221"/>
    <s v="GENERAL PATIENT"/>
    <d v="2022-10-23T00:00:00"/>
    <x v="1"/>
    <d v="2022-10-25T00:00:00"/>
    <d v="2022-10-25T00:00:00"/>
    <n v="22028488"/>
    <n v="2237188"/>
    <n v="10013544072"/>
    <s v="SAMEENA"/>
    <x v="182"/>
    <n v="9768"/>
    <n v="76461"/>
    <n v="76461"/>
    <n v="0"/>
    <x v="0"/>
    <x v="1"/>
    <n v="1"/>
    <x v="1"/>
  </r>
  <r>
    <n v="222"/>
    <s v="GENERAL PATIENT"/>
    <d v="2022-10-08T00:00:00"/>
    <x v="1"/>
    <d v="2022-10-12T00:00:00"/>
    <d v="2022-10-12T00:00:00"/>
    <n v="22026683"/>
    <n v="2235199"/>
    <n v="1001803309"/>
    <s v="SHANTI DEVI"/>
    <x v="183"/>
    <n v="155170"/>
    <n v="0"/>
    <n v="0"/>
    <n v="0"/>
    <x v="0"/>
    <x v="9"/>
    <e v="#DIV/0!"/>
    <x v="16"/>
  </r>
  <r>
    <n v="223"/>
    <s v="GENERAL PATIENT"/>
    <d v="2022-10-06T00:00:00"/>
    <x v="1"/>
    <d v="2022-10-16T00:00:00"/>
    <d v="2022-10-16T00:00:00"/>
    <n v="22027299"/>
    <n v="2234872"/>
    <n v="1001802813"/>
    <s v="PARVEEN"/>
    <x v="184"/>
    <n v="0"/>
    <n v="292700"/>
    <n v="292700"/>
    <n v="0"/>
    <x v="0"/>
    <x v="1"/>
    <n v="1"/>
    <x v="4"/>
  </r>
  <r>
    <n v="224"/>
    <s v="Safeway Mediclaim Services Pvt. Ltd."/>
    <d v="2022-09-30T00:00:00"/>
    <x v="0"/>
    <d v="2022-10-02T00:00:00"/>
    <d v="2022-10-02T00:00:00"/>
    <n v="22025289"/>
    <n v="2234030"/>
    <n v="10013539940"/>
    <s v="UPMA BRIJ"/>
    <x v="139"/>
    <n v="0"/>
    <n v="84305"/>
    <n v="84305"/>
    <n v="0"/>
    <x v="0"/>
    <x v="5"/>
    <n v="1"/>
    <x v="1"/>
  </r>
  <r>
    <n v="225"/>
    <s v="MEDI ASSIST"/>
    <d v="2022-10-07T00:00:00"/>
    <x v="1"/>
    <d v="2022-10-07T00:00:00"/>
    <d v="2022-10-07T00:00:00"/>
    <n v="22025925"/>
    <n v="2234991"/>
    <n v="1000891498"/>
    <s v="GULSAN JAMWAL"/>
    <x v="75"/>
    <n v="0"/>
    <n v="2200"/>
    <n v="440"/>
    <n v="1760"/>
    <x v="1"/>
    <x v="12"/>
    <n v="0.2"/>
    <x v="13"/>
  </r>
  <r>
    <n v="226"/>
    <s v="GENERAL PATIENT"/>
    <d v="2022-10-07T00:00:00"/>
    <x v="1"/>
    <d v="2022-10-07T00:00:00"/>
    <d v="2022-10-07T00:00:00"/>
    <n v="22025929"/>
    <n v="2234981"/>
    <n v="10013451851"/>
    <s v="SHASHI JAIN"/>
    <x v="45"/>
    <n v="452"/>
    <n v="4538"/>
    <n v="4538"/>
    <n v="0"/>
    <x v="0"/>
    <x v="6"/>
    <n v="1"/>
    <x v="13"/>
  </r>
  <r>
    <n v="227"/>
    <s v="GENERAL PATIENT"/>
    <d v="2022-10-09T00:00:00"/>
    <x v="1"/>
    <d v="2022-10-11T00:00:00"/>
    <d v="2022-10-11T00:00:00"/>
    <n v="22026510"/>
    <n v="2235310"/>
    <n v="1001803452"/>
    <s v="MADAN GOPAL"/>
    <x v="185"/>
    <n v="18028"/>
    <n v="117223"/>
    <n v="117223"/>
    <n v="0"/>
    <x v="0"/>
    <x v="0"/>
    <n v="1"/>
    <x v="5"/>
  </r>
  <r>
    <n v="228"/>
    <s v="GENERAL PATIENT (MAH)"/>
    <d v="2022-10-13T00:00:00"/>
    <x v="1"/>
    <d v="2022-10-13T00:00:00"/>
    <d v="2022-10-13T00:00:00"/>
    <n v="22026949"/>
    <n v="2235876"/>
    <n v="1001087967"/>
    <s v="SUKH NAND KUMAR JAIN"/>
    <x v="59"/>
    <n v="3519"/>
    <n v="0"/>
    <n v="0"/>
    <n v="0"/>
    <x v="0"/>
    <x v="6"/>
    <e v="#DIV/0!"/>
    <x v="13"/>
  </r>
  <r>
    <n v="229"/>
    <s v="GENERAL PATIENT"/>
    <d v="2022-10-13T00:00:00"/>
    <x v="1"/>
    <d v="2022-10-13T00:00:00"/>
    <d v="2022-10-13T00:00:00"/>
    <n v="22026948"/>
    <n v="2235871"/>
    <n v="1001130529"/>
    <s v="SANJAY KUMAR"/>
    <x v="41"/>
    <n v="2794"/>
    <n v="0"/>
    <n v="0"/>
    <n v="0"/>
    <x v="0"/>
    <x v="9"/>
    <e v="#DIV/0!"/>
    <x v="13"/>
  </r>
  <r>
    <n v="230"/>
    <s v="M.C.D"/>
    <d v="2022-10-11T00:00:00"/>
    <x v="1"/>
    <d v="2022-10-14T00:00:00"/>
    <d v="2022-10-14T00:00:00"/>
    <n v="22027004"/>
    <n v="2235547"/>
    <n v="10013459052"/>
    <s v="KANTA"/>
    <x v="186"/>
    <n v="0"/>
    <n v="26985"/>
    <n v="26985"/>
    <n v="0"/>
    <x v="0"/>
    <x v="1"/>
    <n v="1"/>
    <x v="0"/>
  </r>
  <r>
    <n v="231"/>
    <s v="CGHS ( CREDIT)"/>
    <d v="2022-10-04T00:00:00"/>
    <x v="1"/>
    <d v="2022-10-14T00:00:00"/>
    <d v="2022-10-14T00:00:00"/>
    <n v="22026991"/>
    <n v="2234660"/>
    <n v="1000892004"/>
    <s v="RAJINDER KUMAR"/>
    <x v="187"/>
    <n v="0"/>
    <n v="102825"/>
    <n v="981"/>
    <n v="101844"/>
    <x v="1"/>
    <x v="1"/>
    <n v="9.5404814004376361E-3"/>
    <x v="0"/>
  </r>
  <r>
    <n v="232"/>
    <s v="GENERAL PATIENT"/>
    <d v="2022-10-07T00:00:00"/>
    <x v="1"/>
    <d v="2022-10-07T00:00:00"/>
    <d v="2022-10-07T00:00:00"/>
    <n v="22026051"/>
    <n v="2235063"/>
    <n v="10013352607"/>
    <s v="SHRIKANT"/>
    <x v="73"/>
    <n v="286"/>
    <n v="2558"/>
    <n v="2558"/>
    <n v="0"/>
    <x v="0"/>
    <x v="6"/>
    <n v="1"/>
    <x v="13"/>
  </r>
  <r>
    <n v="233"/>
    <s v="MEDI ASSIST"/>
    <d v="2022-10-08T00:00:00"/>
    <x v="1"/>
    <d v="2022-10-15T00:00:00"/>
    <d v="2022-10-15T00:00:00"/>
    <n v="22027151"/>
    <n v="2235191"/>
    <n v="1001803296"/>
    <s v="HITENDER GUPTA"/>
    <x v="188"/>
    <n v="15902"/>
    <n v="107469"/>
    <n v="29399"/>
    <n v="78070"/>
    <x v="1"/>
    <x v="2"/>
    <n v="0.27355795624784823"/>
    <x v="0"/>
  </r>
  <r>
    <n v="234"/>
    <s v="CGHS ( CREDIT)"/>
    <d v="2022-10-09T00:00:00"/>
    <x v="1"/>
    <d v="2022-10-15T00:00:00"/>
    <d v="2022-10-15T00:00:00"/>
    <n v="22027220"/>
    <n v="2235265"/>
    <n v="1001242396"/>
    <s v="OM WATI DEVI"/>
    <x v="189"/>
    <n v="0"/>
    <n v="89949"/>
    <n v="5223"/>
    <n v="84726"/>
    <x v="1"/>
    <x v="1"/>
    <n v="5.8066237534602945E-2"/>
    <x v="0"/>
  </r>
  <r>
    <n v="235"/>
    <s v="HARAYANA GOVT."/>
    <d v="2022-10-04T00:00:00"/>
    <x v="1"/>
    <d v="2022-10-04T00:00:00"/>
    <d v="2022-10-04T00:00:00"/>
    <n v="22025474"/>
    <n v="2234512"/>
    <n v="10013461113"/>
    <s v="DHARMVEER SINGH"/>
    <x v="96"/>
    <n v="0"/>
    <n v="2064"/>
    <n v="2064"/>
    <n v="0"/>
    <x v="0"/>
    <x v="6"/>
    <n v="1"/>
    <x v="13"/>
  </r>
  <r>
    <n v="236"/>
    <s v="GENERAL PATIENT"/>
    <d v="2022-10-04T00:00:00"/>
    <x v="1"/>
    <d v="2022-10-04T00:00:00"/>
    <d v="2022-10-04T00:00:00"/>
    <n v="22025499"/>
    <n v="2234523"/>
    <n v="1001307852"/>
    <s v="MEERA DEVI"/>
    <x v="190"/>
    <n v="3288"/>
    <n v="0"/>
    <n v="0"/>
    <n v="0"/>
    <x v="0"/>
    <x v="9"/>
    <e v="#DIV/0!"/>
    <x v="13"/>
  </r>
  <r>
    <n v="237"/>
    <s v="HARAYANA GOVT."/>
    <d v="2022-10-07T00:00:00"/>
    <x v="1"/>
    <d v="2022-10-08T00:00:00"/>
    <d v="2022-10-08T00:00:00"/>
    <n v="22026150"/>
    <n v="2234974"/>
    <n v="10013540978"/>
    <s v="MANJU SEHRAWAT"/>
    <x v="191"/>
    <n v="0"/>
    <n v="46608"/>
    <n v="46608"/>
    <n v="0"/>
    <x v="0"/>
    <x v="1"/>
    <n v="1"/>
    <x v="11"/>
  </r>
  <r>
    <n v="238"/>
    <s v=" ADITYA BIRLA HEALTH INSURANCE CO. LIMITED"/>
    <d v="2022-10-12T00:00:00"/>
    <x v="1"/>
    <d v="2022-10-15T00:00:00"/>
    <d v="2022-10-15T00:00:00"/>
    <n v="22027174"/>
    <n v="2235732"/>
    <n v="1001803997"/>
    <s v="JOEL BINU JOSEPH"/>
    <x v="192"/>
    <n v="2014"/>
    <n v="28032"/>
    <n v="1000"/>
    <n v="27032"/>
    <x v="1"/>
    <x v="1"/>
    <n v="3.5673515981735161E-2"/>
    <x v="0"/>
  </r>
  <r>
    <n v="239"/>
    <s v="GENERAL PATIENT"/>
    <d v="2022-10-12T00:00:00"/>
    <x v="1"/>
    <d v="2022-10-12T00:00:00"/>
    <d v="2022-10-12T00:00:00"/>
    <n v="22026761"/>
    <n v="2235698"/>
    <n v="1001803962"/>
    <s v="SAPNA"/>
    <x v="193"/>
    <n v="0"/>
    <n v="7905"/>
    <n v="7905"/>
    <n v="0"/>
    <x v="0"/>
    <x v="6"/>
    <n v="1"/>
    <x v="13"/>
  </r>
  <r>
    <n v="240"/>
    <s v="Heritage Health TPA Private Limited"/>
    <d v="2022-10-11T00:00:00"/>
    <x v="1"/>
    <d v="2022-10-14T00:00:00"/>
    <d v="2022-10-14T00:00:00"/>
    <n v="22026982"/>
    <n v="2235507"/>
    <n v="1000970685"/>
    <s v="RAJNI"/>
    <x v="194"/>
    <n v="0"/>
    <n v="70925"/>
    <n v="19925"/>
    <n v="51000"/>
    <x v="1"/>
    <x v="2"/>
    <n v="0.28093056045118081"/>
    <x v="1"/>
  </r>
  <r>
    <n v="241"/>
    <s v="GENERAL PATIENT"/>
    <d v="2022-10-11T00:00:00"/>
    <x v="1"/>
    <d v="2022-10-15T00:00:00"/>
    <d v="2022-10-15T00:00:00"/>
    <n v="22027156"/>
    <n v="2235616"/>
    <n v="10013542608"/>
    <s v="VINOD DEVI"/>
    <x v="195"/>
    <n v="43794"/>
    <n v="95887"/>
    <n v="95887"/>
    <n v="0"/>
    <x v="0"/>
    <x v="13"/>
    <n v="1"/>
    <x v="0"/>
  </r>
  <r>
    <n v="242"/>
    <s v="CGHS ( CREDIT)"/>
    <d v="2022-10-06T00:00:00"/>
    <x v="1"/>
    <d v="2022-10-08T00:00:00"/>
    <d v="2022-10-08T00:00:00"/>
    <n v="22026224"/>
    <n v="2234949"/>
    <n v="1001028709"/>
    <s v="SAVETA SHARMA"/>
    <x v="196"/>
    <n v="0"/>
    <n v="65857"/>
    <n v="5451"/>
    <n v="60406"/>
    <x v="1"/>
    <x v="1"/>
    <n v="8.2770244620921085E-2"/>
    <x v="0"/>
  </r>
  <r>
    <n v="243"/>
    <s v="GENERAL PATIENT"/>
    <d v="2022-10-12T00:00:00"/>
    <x v="1"/>
    <d v="2022-10-12T00:00:00"/>
    <d v="2022-10-12T00:00:00"/>
    <n v="22026746"/>
    <n v="2235706"/>
    <n v="10013526375"/>
    <s v="BIRBHAN GARG"/>
    <x v="45"/>
    <n v="413"/>
    <n v="4577"/>
    <n v="4577"/>
    <n v="0"/>
    <x v="0"/>
    <x v="6"/>
    <n v="1"/>
    <x v="13"/>
  </r>
  <r>
    <n v="244"/>
    <s v="STAR HEALTH CARE  (CREDIT)"/>
    <d v="2022-09-30T00:00:00"/>
    <x v="0"/>
    <d v="2022-10-05T00:00:00"/>
    <d v="2022-10-05T00:00:00"/>
    <n v="22025698"/>
    <n v="2234127"/>
    <n v="10013541046"/>
    <s v="SAKSHAM GARG"/>
    <x v="197"/>
    <n v="12713"/>
    <n v="78233"/>
    <n v="8227"/>
    <n v="70006"/>
    <x v="1"/>
    <x v="2"/>
    <n v="0.10516022650288241"/>
    <x v="3"/>
  </r>
  <r>
    <n v="245"/>
    <s v="STAR HEALTH CARE  (CREDIT)"/>
    <d v="2022-09-30T00:00:00"/>
    <x v="0"/>
    <d v="2022-10-05T00:00:00"/>
    <d v="2022-10-05T00:00:00"/>
    <n v="22025752"/>
    <n v="2234066"/>
    <n v="1001207257"/>
    <s v="AARTI JAIN"/>
    <x v="198"/>
    <n v="11626"/>
    <n v="163288"/>
    <n v="11763"/>
    <n v="151525"/>
    <x v="1"/>
    <x v="2"/>
    <n v="7.2038361667728187E-2"/>
    <x v="11"/>
  </r>
  <r>
    <n v="246"/>
    <s v="GENERAL PATIENT"/>
    <d v="2022-09-30T00:00:00"/>
    <x v="0"/>
    <d v="2022-10-05T00:00:00"/>
    <d v="2022-10-05T00:00:00"/>
    <n v="22025739"/>
    <n v="2234087"/>
    <n v="10013540732"/>
    <s v="GOVIND RAM"/>
    <x v="199"/>
    <n v="56708"/>
    <n v="0"/>
    <n v="0"/>
    <n v="0"/>
    <x v="0"/>
    <x v="9"/>
    <e v="#DIV/0!"/>
    <x v="9"/>
  </r>
  <r>
    <n v="247"/>
    <s v="GENERAL PATIENT"/>
    <d v="2022-10-10T00:00:00"/>
    <x v="1"/>
    <d v="2022-10-10T00:00:00"/>
    <d v="2022-10-10T00:00:00"/>
    <n v="22026391"/>
    <n v="2235371"/>
    <n v="1000919979"/>
    <s v="HEMA  BHAGAT"/>
    <x v="200"/>
    <n v="292"/>
    <n v="3529"/>
    <n v="3529"/>
    <n v="0"/>
    <x v="0"/>
    <x v="6"/>
    <n v="1"/>
    <x v="13"/>
  </r>
  <r>
    <n v="248"/>
    <s v="GENERAL PATIENT (MAH)"/>
    <d v="2022-10-07T00:00:00"/>
    <x v="1"/>
    <d v="2022-10-11T00:00:00"/>
    <d v="2022-10-11T00:00:00"/>
    <n v="22026583"/>
    <n v="2235045"/>
    <n v="1001077052"/>
    <s v="NIRMALA GUPTA"/>
    <x v="201"/>
    <n v="151726"/>
    <n v="0"/>
    <n v="0"/>
    <n v="0"/>
    <x v="0"/>
    <x v="9"/>
    <e v="#DIV/0!"/>
    <x v="9"/>
  </r>
  <r>
    <n v="249"/>
    <s v="MEDI ASSIST"/>
    <d v="2022-10-19T00:00:00"/>
    <x v="1"/>
    <d v="2022-10-19T00:00:00"/>
    <d v="2022-10-19T00:00:00"/>
    <n v="22027647"/>
    <n v="2236595"/>
    <n v="1001105051"/>
    <s v="KAMLA CHUGH"/>
    <x v="168"/>
    <n v="0"/>
    <n v="4840"/>
    <n v="242"/>
    <n v="4598"/>
    <x v="1"/>
    <x v="12"/>
    <n v="0.05"/>
    <x v="13"/>
  </r>
  <r>
    <n v="250"/>
    <s v=" CGHS Cash"/>
    <d v="2022-10-17T00:00:00"/>
    <x v="1"/>
    <d v="2022-10-19T00:00:00"/>
    <d v="2022-10-19T00:00:00"/>
    <n v="22027664"/>
    <n v="2236334"/>
    <n v="1001789631"/>
    <s v="POOJA"/>
    <x v="202"/>
    <n v="0"/>
    <n v="12960"/>
    <n v="12960"/>
    <n v="0"/>
    <x v="0"/>
    <x v="1"/>
    <n v="1"/>
    <x v="1"/>
  </r>
  <r>
    <n v="251"/>
    <s v="CGHS"/>
    <d v="2022-10-10T00:00:00"/>
    <x v="1"/>
    <d v="2022-10-12T00:00:00"/>
    <d v="2022-10-12T00:00:00"/>
    <n v="22026691"/>
    <n v="2235319"/>
    <n v="1001802294"/>
    <s v="RAKHI RASTOGI"/>
    <x v="203"/>
    <n v="0"/>
    <n v="36690"/>
    <n v="36690"/>
    <n v="0"/>
    <x v="0"/>
    <x v="2"/>
    <n v="1"/>
    <x v="1"/>
  </r>
  <r>
    <n v="252"/>
    <s v="GENERAL PATIENT"/>
    <d v="2022-09-26T00:00:00"/>
    <x v="0"/>
    <d v="2022-10-01T00:00:00"/>
    <d v="2022-10-01T00:00:00"/>
    <n v="22025188"/>
    <n v="2233509"/>
    <n v="1001800844"/>
    <s v="SUNIL KUMAR"/>
    <x v="204"/>
    <n v="161953"/>
    <n v="0"/>
    <n v="0"/>
    <n v="0"/>
    <x v="0"/>
    <x v="1"/>
    <e v="#DIV/0!"/>
    <x v="16"/>
  </r>
  <r>
    <n v="253"/>
    <s v="MEDI ASSIST"/>
    <d v="2022-10-31T00:00:00"/>
    <x v="1"/>
    <d v="2022-10-31T00:00:00"/>
    <d v="2022-10-31T00:00:00"/>
    <n v="22029388"/>
    <n v="2238247"/>
    <n v="10013538474"/>
    <s v="RAM  VINAY MISHRA"/>
    <x v="75"/>
    <n v="0"/>
    <n v="2200"/>
    <n v="440"/>
    <n v="1760"/>
    <x v="1"/>
    <x v="12"/>
    <n v="0.2"/>
    <x v="13"/>
  </r>
  <r>
    <n v="254"/>
    <s v="GENERAL PATIENT"/>
    <d v="2022-10-02T00:00:00"/>
    <x v="1"/>
    <d v="2022-10-11T00:00:00"/>
    <d v="2022-10-11T00:00:00"/>
    <n v="22026578"/>
    <n v="2234307"/>
    <n v="10013541213"/>
    <s v="LEELAWATI"/>
    <x v="205"/>
    <n v="159444"/>
    <n v="0"/>
    <n v="0"/>
    <n v="0"/>
    <x v="0"/>
    <x v="9"/>
    <e v="#DIV/0!"/>
    <x v="0"/>
  </r>
  <r>
    <n v="255"/>
    <s v=" DGEHS (CREDIT)"/>
    <d v="2022-10-20T00:00:00"/>
    <x v="1"/>
    <d v="2022-10-20T00:00:00"/>
    <d v="2022-10-20T00:00:00"/>
    <n v="22027928"/>
    <n v="2236770"/>
    <n v="1001756832"/>
    <s v="VIJAY DEVI"/>
    <x v="43"/>
    <n v="0"/>
    <n v="1610"/>
    <n v="0"/>
    <n v="1610"/>
    <x v="1"/>
    <x v="6"/>
    <n v="0"/>
    <x v="13"/>
  </r>
  <r>
    <n v="256"/>
    <s v="DELHI TRANSPORT CORPORATION"/>
    <d v="2022-10-11T00:00:00"/>
    <x v="1"/>
    <d v="2022-10-14T00:00:00"/>
    <d v="2022-10-14T00:00:00"/>
    <n v="22027064"/>
    <n v="2235543"/>
    <n v="1001695569"/>
    <s v="KANTA DEVI"/>
    <x v="206"/>
    <n v="0"/>
    <n v="51555"/>
    <n v="51555"/>
    <n v="0"/>
    <x v="0"/>
    <x v="1"/>
    <n v="1"/>
    <x v="16"/>
  </r>
  <r>
    <n v="257"/>
    <s v="Delhi University"/>
    <d v="2022-09-27T00:00:00"/>
    <x v="0"/>
    <d v="2022-10-01T00:00:00"/>
    <d v="2022-10-01T00:00:00"/>
    <n v="22025177"/>
    <n v="2233583"/>
    <n v="10013540394"/>
    <s v="VIDYA DEVI"/>
    <x v="207"/>
    <n v="0"/>
    <n v="30807"/>
    <n v="30807"/>
    <n v="0"/>
    <x v="0"/>
    <x v="2"/>
    <n v="1"/>
    <x v="0"/>
  </r>
  <r>
    <n v="258"/>
    <s v="MEDI ASSIST"/>
    <d v="2022-10-22T00:00:00"/>
    <x v="1"/>
    <d v="2022-10-25T00:00:00"/>
    <d v="2022-10-25T00:00:00"/>
    <n v="22028499"/>
    <n v="2237103"/>
    <n v="10013530051"/>
    <s v="HIMANSHI"/>
    <x v="208"/>
    <n v="0"/>
    <n v="60320"/>
    <n v="10320"/>
    <n v="50000"/>
    <x v="1"/>
    <x v="5"/>
    <n v="0.17108753315649866"/>
    <x v="1"/>
  </r>
  <r>
    <n v="259"/>
    <s v="GENERAL PATIENT"/>
    <d v="2022-10-23T00:00:00"/>
    <x v="1"/>
    <d v="2022-10-23T00:00:00"/>
    <d v="2022-10-23T00:00:00"/>
    <n v="22028385"/>
    <n v="2237114"/>
    <n v="10013544199"/>
    <s v="ROHIT"/>
    <x v="209"/>
    <n v="4480"/>
    <n v="29793"/>
    <n v="29793"/>
    <n v="0"/>
    <x v="0"/>
    <x v="8"/>
    <n v="1"/>
    <x v="2"/>
  </r>
  <r>
    <n v="260"/>
    <s v="CGHS"/>
    <d v="2022-10-10T00:00:00"/>
    <x v="1"/>
    <d v="2022-10-10T00:00:00"/>
    <d v="2022-10-10T00:00:00"/>
    <n v="22026324"/>
    <n v="2235333"/>
    <n v="10013480632"/>
    <s v="MANJU GUPTA"/>
    <x v="43"/>
    <n v="0"/>
    <n v="1610"/>
    <n v="1610"/>
    <n v="0"/>
    <x v="0"/>
    <x v="6"/>
    <n v="1"/>
    <x v="13"/>
  </r>
  <r>
    <n v="261"/>
    <s v="GENERAL PATIENT"/>
    <d v="2022-10-10T00:00:00"/>
    <x v="1"/>
    <d v="2022-10-10T00:00:00"/>
    <d v="2022-10-10T00:00:00"/>
    <n v="22026330"/>
    <n v="2235326"/>
    <n v="10013424453"/>
    <s v="ASHWANI KUMAR GUPTA"/>
    <x v="45"/>
    <n v="413"/>
    <n v="4577"/>
    <n v="4577"/>
    <n v="0"/>
    <x v="0"/>
    <x v="6"/>
    <n v="1"/>
    <x v="13"/>
  </r>
  <r>
    <n v="262"/>
    <s v="CARE HEALTH INSURANCE LIMITED"/>
    <d v="2022-10-08T00:00:00"/>
    <x v="1"/>
    <d v="2022-10-10T00:00:00"/>
    <d v="2022-10-10T00:00:00"/>
    <n v="22026340"/>
    <n v="2235229"/>
    <n v="10013481285"/>
    <s v="ANAYA GUPTA"/>
    <x v="210"/>
    <n v="15898"/>
    <n v="41540"/>
    <n v="41540"/>
    <n v="0"/>
    <x v="0"/>
    <x v="1"/>
    <n v="1"/>
    <x v="3"/>
  </r>
  <r>
    <n v="263"/>
    <s v="GENERAL PATIENT"/>
    <d v="2022-10-13T00:00:00"/>
    <x v="1"/>
    <d v="2022-10-13T00:00:00"/>
    <d v="2022-10-13T00:00:00"/>
    <n v="22026823"/>
    <n v="2235815"/>
    <n v="10013415573"/>
    <s v="SANJEEV KUKERJA"/>
    <x v="45"/>
    <n v="409"/>
    <n v="4581"/>
    <n v="4581"/>
    <n v="0"/>
    <x v="0"/>
    <x v="6"/>
    <n v="1"/>
    <x v="13"/>
  </r>
  <r>
    <n v="264"/>
    <s v="GENERAL PATIENT"/>
    <d v="2022-10-13T00:00:00"/>
    <x v="1"/>
    <d v="2022-10-13T00:00:00"/>
    <d v="2022-10-13T00:00:00"/>
    <n v="22026842"/>
    <n v="2235818"/>
    <n v="10013541160"/>
    <s v="SARJIT SINGH CHANA"/>
    <x v="45"/>
    <n v="614"/>
    <n v="4376"/>
    <n v="4376"/>
    <n v="0"/>
    <x v="0"/>
    <x v="6"/>
    <n v="1"/>
    <x v="13"/>
  </r>
  <r>
    <n v="265"/>
    <s v="GENERAL PATIENT"/>
    <d v="2022-10-01T00:00:00"/>
    <x v="1"/>
    <d v="2022-10-01T00:00:00"/>
    <d v="2022-10-01T00:00:00"/>
    <n v="22025108"/>
    <n v="2234159"/>
    <n v="1000891450"/>
    <s v="MANOJ KUMAR SINHA"/>
    <x v="112"/>
    <n v="1514"/>
    <n v="1974"/>
    <n v="1974"/>
    <n v="0"/>
    <x v="0"/>
    <x v="6"/>
    <n v="1"/>
    <x v="13"/>
  </r>
  <r>
    <n v="266"/>
    <s v="GENERAL PATIENT"/>
    <d v="2022-10-11T00:00:00"/>
    <x v="1"/>
    <d v="2022-10-11T00:00:00"/>
    <d v="2022-10-11T00:00:00"/>
    <n v="22026551"/>
    <n v="2235555"/>
    <n v="10013372212"/>
    <s v="V. K.  SURI"/>
    <x v="45"/>
    <n v="413"/>
    <n v="4577"/>
    <n v="4577"/>
    <n v="0"/>
    <x v="0"/>
    <x v="6"/>
    <n v="1"/>
    <x v="13"/>
  </r>
  <r>
    <n v="267"/>
    <s v="CGHS"/>
    <d v="2022-10-11T00:00:00"/>
    <x v="1"/>
    <d v="2022-10-11T00:00:00"/>
    <d v="2022-10-11T00:00:00"/>
    <n v="22026542"/>
    <n v="2235537"/>
    <n v="10013519440"/>
    <s v="RAJENDER KUMAR"/>
    <x v="43"/>
    <n v="0"/>
    <n v="1610"/>
    <n v="1610"/>
    <n v="0"/>
    <x v="0"/>
    <x v="6"/>
    <n v="1"/>
    <x v="13"/>
  </r>
  <r>
    <n v="268"/>
    <s v=" MEDI ASSIST INSURANCE TPA LTD"/>
    <d v="2022-10-01T00:00:00"/>
    <x v="1"/>
    <d v="2022-10-01T00:00:00"/>
    <d v="2022-10-01T00:00:00"/>
    <n v="22025123"/>
    <n v="2234176"/>
    <n v="1001561182"/>
    <s v="TAPATI CHATTERJEE"/>
    <x v="211"/>
    <n v="0"/>
    <n v="2000"/>
    <n v="300"/>
    <n v="1700"/>
    <x v="1"/>
    <x v="6"/>
    <n v="0.15"/>
    <x v="13"/>
  </r>
  <r>
    <n v="269"/>
    <s v="GENERAL PATIENT"/>
    <d v="2022-10-21T00:00:00"/>
    <x v="1"/>
    <d v="2022-10-21T00:00:00"/>
    <d v="2022-10-21T00:00:00"/>
    <n v="22028038"/>
    <n v="2236914"/>
    <n v="10013543895"/>
    <s v="KAUSHALYA DEVI"/>
    <x v="212"/>
    <n v="290"/>
    <n v="3300"/>
    <n v="3300"/>
    <n v="0"/>
    <x v="0"/>
    <x v="6"/>
    <n v="1"/>
    <x v="13"/>
  </r>
  <r>
    <n v="270"/>
    <s v="GENERAL PATIENT"/>
    <d v="2022-10-21T00:00:00"/>
    <x v="1"/>
    <d v="2022-10-21T00:00:00"/>
    <d v="2022-10-21T00:00:00"/>
    <n v="22028037"/>
    <n v="2236923"/>
    <n v="1000975940"/>
    <s v="PROMILA KANSAL"/>
    <x v="45"/>
    <n v="474"/>
    <n v="4516"/>
    <n v="4516"/>
    <n v="0"/>
    <x v="0"/>
    <x v="6"/>
    <n v="1"/>
    <x v="13"/>
  </r>
  <r>
    <n v="271"/>
    <s v="CGHS"/>
    <d v="2022-10-23T00:00:00"/>
    <x v="1"/>
    <d v="2022-10-25T00:00:00"/>
    <d v="2022-10-25T00:00:00"/>
    <n v="22028495"/>
    <n v="2237167"/>
    <n v="1001805893"/>
    <s v="DEVYANI FEMALE BABY CHHABRA"/>
    <x v="213"/>
    <n v="0"/>
    <n v="1032"/>
    <n v="1032"/>
    <n v="0"/>
    <x v="0"/>
    <x v="2"/>
    <n v="1"/>
    <x v="3"/>
  </r>
  <r>
    <n v="272"/>
    <s v="GENERAL PATIENT"/>
    <d v="2022-10-26T00:00:00"/>
    <x v="1"/>
    <d v="2022-10-26T00:00:00"/>
    <d v="2022-10-26T00:00:00"/>
    <n v="22028643"/>
    <n v="2237504"/>
    <n v="10013509533"/>
    <s v="ANKIT BINDRA"/>
    <x v="73"/>
    <n v="289"/>
    <n v="2555"/>
    <n v="2555"/>
    <n v="0"/>
    <x v="0"/>
    <x v="6"/>
    <n v="1"/>
    <x v="13"/>
  </r>
  <r>
    <n v="273"/>
    <s v="HARAYANA GOVT."/>
    <d v="2022-10-27T00:00:00"/>
    <x v="1"/>
    <d v="2022-10-27T00:00:00"/>
    <d v="2022-10-27T00:00:00"/>
    <n v="22028786"/>
    <n v="2237636"/>
    <n v="10013383005"/>
    <s v="AJIT SINGH"/>
    <x v="96"/>
    <n v="0"/>
    <n v="2064"/>
    <n v="2064"/>
    <n v="0"/>
    <x v="0"/>
    <x v="6"/>
    <n v="1"/>
    <x v="13"/>
  </r>
  <r>
    <n v="274"/>
    <s v="GENERAL PATIENT"/>
    <d v="2022-10-29T00:00:00"/>
    <x v="1"/>
    <d v="2022-10-29T00:00:00"/>
    <d v="2022-10-29T00:00:00"/>
    <n v="22029014"/>
    <n v="2237917"/>
    <n v="1000891450"/>
    <s v="MANOJ KUMAR SINHA"/>
    <x v="112"/>
    <n v="1457"/>
    <n v="2031"/>
    <n v="2031"/>
    <n v="0"/>
    <x v="0"/>
    <x v="6"/>
    <n v="1"/>
    <x v="13"/>
  </r>
  <r>
    <n v="275"/>
    <s v="CGHS ( CREDIT)"/>
    <d v="2022-10-10T00:00:00"/>
    <x v="1"/>
    <d v="2022-10-13T00:00:00"/>
    <d v="2022-10-13T00:00:00"/>
    <n v="22026890"/>
    <n v="2235366"/>
    <n v="10013335004"/>
    <s v="GIRDHARA SINGH"/>
    <x v="214"/>
    <n v="0"/>
    <n v="40491"/>
    <n v="3534"/>
    <n v="36957"/>
    <x v="1"/>
    <x v="1"/>
    <n v="8.727865451581833E-2"/>
    <x v="4"/>
  </r>
  <r>
    <n v="276"/>
    <s v="GENERAL PATIENT"/>
    <d v="2022-10-11T00:00:00"/>
    <x v="1"/>
    <d v="2022-10-11T00:00:00"/>
    <d v="2022-10-11T00:00:00"/>
    <n v="22026605"/>
    <n v="2235521"/>
    <n v="10013469996"/>
    <s v="AANCHAL MITTAL"/>
    <x v="215"/>
    <n v="2340"/>
    <n v="17598"/>
    <n v="17598"/>
    <n v="0"/>
    <x v="0"/>
    <x v="6"/>
    <n v="1"/>
    <x v="1"/>
  </r>
  <r>
    <n v="277"/>
    <s v="GENERAL PATIENT"/>
    <d v="2022-09-29T00:00:00"/>
    <x v="0"/>
    <d v="2022-10-01T00:00:00"/>
    <d v="2022-10-01T00:00:00"/>
    <n v="22025163"/>
    <n v="2233966"/>
    <n v="10013540825"/>
    <s v="PANKAJ KUMAR SINGH"/>
    <x v="216"/>
    <n v="17868"/>
    <n v="124770"/>
    <n v="124770"/>
    <n v="0"/>
    <x v="0"/>
    <x v="1"/>
    <n v="1"/>
    <x v="16"/>
  </r>
  <r>
    <n v="278"/>
    <s v="MD INDIA TPA PVT.LTD."/>
    <d v="2022-09-25T00:00:00"/>
    <x v="0"/>
    <d v="2022-10-01T00:00:00"/>
    <d v="2022-10-01T00:00:00"/>
    <n v="22025212"/>
    <n v="2233419"/>
    <n v="10013335305"/>
    <s v="NIKHIL CHOMIYA"/>
    <x v="217"/>
    <n v="22714"/>
    <n v="138102"/>
    <n v="10565"/>
    <n v="127537"/>
    <x v="1"/>
    <x v="3"/>
    <n v="7.6501426481875717E-2"/>
    <x v="0"/>
  </r>
  <r>
    <n v="279"/>
    <s v="STAR HEALTH CARE  (CREDIT)"/>
    <d v="2022-10-09T00:00:00"/>
    <x v="1"/>
    <d v="2022-10-13T00:00:00"/>
    <d v="2022-10-13T00:00:00"/>
    <n v="22026880"/>
    <n v="2235283"/>
    <n v="10013542291"/>
    <s v="MEENA KUMARI"/>
    <x v="218"/>
    <n v="10847"/>
    <n v="69246"/>
    <n v="4588"/>
    <n v="64658"/>
    <x v="1"/>
    <x v="2"/>
    <n v="6.6256534673482942E-2"/>
    <x v="0"/>
  </r>
  <r>
    <n v="280"/>
    <s v="GENERAL PATIENT"/>
    <d v="2022-10-27T00:00:00"/>
    <x v="1"/>
    <d v="2022-10-27T00:00:00"/>
    <d v="2022-10-27T00:00:00"/>
    <n v="22028722"/>
    <n v="2237622"/>
    <n v="10013424453"/>
    <s v="ASHWANI KUMAR GUPTA"/>
    <x v="45"/>
    <n v="418"/>
    <n v="4572"/>
    <n v="4572"/>
    <n v="0"/>
    <x v="0"/>
    <x v="6"/>
    <n v="1"/>
    <x v="13"/>
  </r>
  <r>
    <n v="281"/>
    <s v="GENERAL PATIENT"/>
    <d v="2022-10-27T00:00:00"/>
    <x v="1"/>
    <d v="2022-10-27T00:00:00"/>
    <d v="2022-10-27T00:00:00"/>
    <n v="22028723"/>
    <n v="2237625"/>
    <n v="1001542684"/>
    <s v="RAJEEV KUMAR GOEL"/>
    <x v="45"/>
    <n v="418"/>
    <n v="4572"/>
    <n v="4572"/>
    <n v="0"/>
    <x v="0"/>
    <x v="6"/>
    <n v="1"/>
    <x v="13"/>
  </r>
  <r>
    <n v="282"/>
    <s v="STAR HEALTH CARE  (CREDIT)"/>
    <d v="2022-10-15T00:00:00"/>
    <x v="1"/>
    <d v="2022-10-20T00:00:00"/>
    <d v="2022-10-20T00:00:00"/>
    <n v="22027887"/>
    <n v="2236153"/>
    <n v="10013443574"/>
    <s v="OMVATI DEVI GUPTA"/>
    <x v="219"/>
    <n v="6262"/>
    <n v="101803"/>
    <n v="59207"/>
    <n v="42596"/>
    <x v="1"/>
    <x v="2"/>
    <n v="0.58158403976307183"/>
    <x v="0"/>
  </r>
  <r>
    <n v="283"/>
    <s v="GENERAL PATIENT"/>
    <d v="2022-10-20T00:00:00"/>
    <x v="1"/>
    <d v="2022-10-21T00:00:00"/>
    <d v="2022-10-21T00:00:00"/>
    <n v="22027996"/>
    <n v="2236732"/>
    <n v="1000909567"/>
    <s v="PUNEET GUPTA"/>
    <x v="220"/>
    <n v="19160"/>
    <n v="37834"/>
    <n v="37834"/>
    <n v="0"/>
    <x v="0"/>
    <x v="7"/>
    <n v="1"/>
    <x v="4"/>
  </r>
  <r>
    <n v="284"/>
    <s v="HDFC ERGO General Insurance Co. Ltd."/>
    <d v="2022-10-13T00:00:00"/>
    <x v="1"/>
    <d v="2022-10-14T00:00:00"/>
    <d v="2022-10-14T00:00:00"/>
    <n v="22027024"/>
    <n v="2235868"/>
    <n v="10013542878"/>
    <s v="VINOD KUMAR SETHI"/>
    <x v="221"/>
    <n v="2216"/>
    <n v="41997"/>
    <n v="0"/>
    <n v="41997"/>
    <x v="1"/>
    <x v="4"/>
    <n v="0"/>
    <x v="4"/>
  </r>
  <r>
    <n v="285"/>
    <s v="CARE HEALTH INSURANCE LIMITED"/>
    <d v="2022-10-19T00:00:00"/>
    <x v="1"/>
    <d v="2022-10-21T00:00:00"/>
    <d v="2022-10-21T00:00:00"/>
    <n v="22028031"/>
    <n v="2236644"/>
    <n v="1001080912"/>
    <s v="PANKAJ GOYAL"/>
    <x v="222"/>
    <n v="0"/>
    <n v="71350"/>
    <n v="1500"/>
    <n v="69850"/>
    <x v="1"/>
    <x v="2"/>
    <n v="2.1023125437981779E-2"/>
    <x v="11"/>
  </r>
  <r>
    <n v="286"/>
    <s v=" Paramount Health Services and Insurance TPA Pvt.Ltd."/>
    <d v="2022-10-08T00:00:00"/>
    <x v="1"/>
    <d v="2022-10-08T00:00:00"/>
    <d v="2022-10-08T00:00:00"/>
    <n v="22026203"/>
    <n v="2235222"/>
    <n v="1001658205"/>
    <s v="USHA SINGH"/>
    <x v="141"/>
    <n v="0"/>
    <n v="2950"/>
    <n v="295"/>
    <n v="2655"/>
    <x v="1"/>
    <x v="6"/>
    <n v="0.1"/>
    <x v="13"/>
  </r>
  <r>
    <n v="287"/>
    <s v="GENERAL PATIENT"/>
    <d v="2022-10-15T00:00:00"/>
    <x v="1"/>
    <d v="2022-10-16T00:00:00"/>
    <d v="2022-10-16T00:00:00"/>
    <n v="22027291"/>
    <n v="2236208"/>
    <n v="10013543224"/>
    <s v="ASHOK KUMAR JAIN"/>
    <x v="223"/>
    <n v="3526"/>
    <n v="35379"/>
    <n v="35379"/>
    <n v="0"/>
    <x v="0"/>
    <x v="1"/>
    <n v="1"/>
    <x v="4"/>
  </r>
  <r>
    <n v="288"/>
    <s v="DGHS (DELHI GOVT.)"/>
    <d v="2022-10-14T00:00:00"/>
    <x v="1"/>
    <d v="2022-10-16T00:00:00"/>
    <d v="2022-10-16T00:00:00"/>
    <n v="22027292"/>
    <n v="2236060"/>
    <n v="10013509603"/>
    <s v="DEVESH KUMAR SAXENA"/>
    <x v="224"/>
    <n v="0"/>
    <n v="22887"/>
    <n v="520"/>
    <n v="22367"/>
    <x v="1"/>
    <x v="1"/>
    <n v="2.2720321579936208E-2"/>
    <x v="4"/>
  </r>
  <r>
    <n v="289"/>
    <s v="STAFF"/>
    <d v="2022-10-04T00:00:00"/>
    <x v="1"/>
    <d v="2022-10-06T00:00:00"/>
    <d v="2022-10-06T00:00:00"/>
    <n v="22025881"/>
    <n v="2234542"/>
    <n v="1000908563"/>
    <s v="MAYA DEVI"/>
    <x v="225"/>
    <n v="82732"/>
    <n v="0"/>
    <n v="0"/>
    <n v="0"/>
    <x v="0"/>
    <x v="0"/>
    <e v="#DIV/0!"/>
    <x v="1"/>
  </r>
  <r>
    <n v="290"/>
    <s v="GENERAL PATIENT"/>
    <d v="2022-10-22T00:00:00"/>
    <x v="1"/>
    <d v="2022-10-22T00:00:00"/>
    <d v="2022-10-22T00:00:00"/>
    <n v="22028219"/>
    <n v="2237046"/>
    <n v="10013526375"/>
    <s v="BIRBHAN GARG"/>
    <x v="45"/>
    <n v="415"/>
    <n v="4575"/>
    <n v="4575"/>
    <n v="0"/>
    <x v="0"/>
    <x v="6"/>
    <n v="1"/>
    <x v="13"/>
  </r>
  <r>
    <n v="291"/>
    <s v="CGHS"/>
    <d v="2022-10-05T00:00:00"/>
    <x v="1"/>
    <d v="2022-10-05T00:00:00"/>
    <d v="2022-10-05T00:00:00"/>
    <n v="22025641"/>
    <n v="2234679"/>
    <n v="10013530699"/>
    <s v="SONIKA BAGGA"/>
    <x v="43"/>
    <n v="0"/>
    <n v="1610"/>
    <n v="1610"/>
    <n v="0"/>
    <x v="0"/>
    <x v="6"/>
    <n v="1"/>
    <x v="13"/>
  </r>
  <r>
    <n v="292"/>
    <s v=" RELIGARE HEALTH INSURANCE"/>
    <d v="2022-10-06T00:00:00"/>
    <x v="1"/>
    <d v="2022-10-08T00:00:00"/>
    <d v="2022-10-08T00:00:00"/>
    <n v="22026215"/>
    <n v="2234845"/>
    <n v="1001802716"/>
    <s v="KAWALJEET SINGH"/>
    <x v="226"/>
    <n v="0"/>
    <n v="92392"/>
    <n v="23400"/>
    <n v="68992"/>
    <x v="1"/>
    <x v="0"/>
    <n v="0.25326868127110574"/>
    <x v="11"/>
  </r>
  <r>
    <n v="293"/>
    <s v="GOVT. OF NCT OF DELHI"/>
    <d v="2022-10-20T00:00:00"/>
    <x v="1"/>
    <d v="2022-10-20T00:00:00"/>
    <d v="2022-10-20T00:00:00"/>
    <n v="22027825"/>
    <n v="2236743"/>
    <n v="10013537888"/>
    <s v="RASHMI"/>
    <x v="43"/>
    <n v="0"/>
    <n v="1610"/>
    <n v="1610"/>
    <n v="0"/>
    <x v="0"/>
    <x v="6"/>
    <n v="1"/>
    <x v="13"/>
  </r>
  <r>
    <n v="294"/>
    <s v="CGHS"/>
    <d v="2022-10-01T00:00:00"/>
    <x v="1"/>
    <d v="2022-10-01T00:00:00"/>
    <d v="2022-10-01T00:00:00"/>
    <n v="22025095"/>
    <n v="2234147"/>
    <n v="10013514103"/>
    <s v="GOVIND KUMAR"/>
    <x v="43"/>
    <n v="0"/>
    <n v="1610"/>
    <n v="1610"/>
    <n v="0"/>
    <x v="0"/>
    <x v="6"/>
    <n v="1"/>
    <x v="13"/>
  </r>
  <r>
    <n v="295"/>
    <s v="GENERAL PATIENT"/>
    <d v="2022-10-01T00:00:00"/>
    <x v="1"/>
    <d v="2022-10-01T00:00:00"/>
    <d v="2022-10-01T00:00:00"/>
    <n v="22025204"/>
    <n v="2234210"/>
    <n v="10013230754"/>
    <s v="SANTOSH AGGARWAL"/>
    <x v="45"/>
    <n v="1363"/>
    <n v="3627"/>
    <n v="3627"/>
    <n v="0"/>
    <x v="0"/>
    <x v="6"/>
    <n v="1"/>
    <x v="13"/>
  </r>
  <r>
    <n v="296"/>
    <s v="CGHS"/>
    <d v="2022-10-07T00:00:00"/>
    <x v="1"/>
    <d v="2022-10-07T00:00:00"/>
    <d v="2022-10-07T00:00:00"/>
    <n v="22025999"/>
    <n v="2235006"/>
    <n v="10013487696"/>
    <s v="SANTOSH GROVER"/>
    <x v="43"/>
    <n v="0"/>
    <n v="1610"/>
    <n v="1610"/>
    <n v="0"/>
    <x v="0"/>
    <x v="6"/>
    <n v="1"/>
    <x v="13"/>
  </r>
  <r>
    <n v="297"/>
    <s v="GENERAL PATIENT"/>
    <d v="2022-10-20T00:00:00"/>
    <x v="1"/>
    <d v="2022-10-20T00:00:00"/>
    <d v="2022-10-20T00:00:00"/>
    <n v="22027875"/>
    <n v="2236757"/>
    <n v="1001805416"/>
    <s v="JAINWANTI JAIN"/>
    <x v="19"/>
    <n v="780"/>
    <n v="13220"/>
    <n v="13220"/>
    <n v="0"/>
    <x v="0"/>
    <x v="6"/>
    <n v="1"/>
    <x v="4"/>
  </r>
  <r>
    <n v="298"/>
    <s v=" SSYAMA CASH"/>
    <d v="2022-10-24T00:00:00"/>
    <x v="1"/>
    <d v="2022-10-24T00:00:00"/>
    <d v="2022-10-24T00:00:00"/>
    <n v="22028417"/>
    <n v="2237215"/>
    <n v="1001788579"/>
    <s v="JABBAR KHAN"/>
    <x v="227"/>
    <n v="0"/>
    <n v="3072"/>
    <n v="3072"/>
    <n v="0"/>
    <x v="0"/>
    <x v="6"/>
    <n v="1"/>
    <x v="13"/>
  </r>
  <r>
    <n v="299"/>
    <s v=" Reliance General Insurance Co. Ltd."/>
    <d v="2022-10-25T00:00:00"/>
    <x v="1"/>
    <d v="2022-10-28T00:00:00"/>
    <d v="2022-10-28T00:00:00"/>
    <n v="22028887"/>
    <n v="2237383"/>
    <n v="1001806155"/>
    <s v="VIMLA RANA"/>
    <x v="228"/>
    <n v="1682"/>
    <n v="156711"/>
    <n v="4676"/>
    <n v="152035"/>
    <x v="1"/>
    <x v="0"/>
    <n v="2.9838364888233757E-2"/>
    <x v="16"/>
  </r>
  <r>
    <n v="300"/>
    <s v="GENERAL PATIENT"/>
    <d v="2022-10-31T00:00:00"/>
    <x v="1"/>
    <d v="2022-10-31T00:00:00"/>
    <d v="2022-10-31T00:00:00"/>
    <n v="22029244"/>
    <n v="2238139"/>
    <n v="1001526280"/>
    <s v="TAPATI MITRA"/>
    <x v="64"/>
    <n v="0"/>
    <n v="3630"/>
    <n v="3630"/>
    <n v="0"/>
    <x v="0"/>
    <x v="6"/>
    <n v="1"/>
    <x v="13"/>
  </r>
  <r>
    <n v="301"/>
    <s v=" STAR HEALTH TPA"/>
    <d v="2022-10-31T00:00:00"/>
    <x v="1"/>
    <d v="2022-10-31T00:00:00"/>
    <d v="2022-10-31T00:00:00"/>
    <n v="22029376"/>
    <n v="2238172"/>
    <n v="1001804054"/>
    <s v="PURSHOTTAR KUMAR"/>
    <x v="229"/>
    <n v="1771"/>
    <n v="11857"/>
    <n v="1000"/>
    <n v="10857"/>
    <x v="1"/>
    <x v="6"/>
    <n v="8.4338365522476172E-2"/>
    <x v="5"/>
  </r>
  <r>
    <n v="302"/>
    <s v="Health Insurance TPA of India Ltd."/>
    <d v="2022-10-20T00:00:00"/>
    <x v="1"/>
    <d v="2022-10-20T00:00:00"/>
    <d v="2022-10-20T00:00:00"/>
    <n v="22027863"/>
    <n v="2236725"/>
    <n v="10013415573"/>
    <s v="SANJEEV KUKERJA"/>
    <x v="230"/>
    <n v="0"/>
    <n v="2745"/>
    <n v="545"/>
    <n v="2200"/>
    <x v="1"/>
    <x v="12"/>
    <n v="0.19854280510018216"/>
    <x v="13"/>
  </r>
  <r>
    <n v="303"/>
    <s v="Paramount Health Services (TPA) Private Limited"/>
    <d v="2022-10-18T00:00:00"/>
    <x v="1"/>
    <d v="2022-10-22T00:00:00"/>
    <d v="2022-10-22T00:00:00"/>
    <n v="22028193"/>
    <n v="2236433"/>
    <n v="10013543505"/>
    <s v="RAHUL SINGLA"/>
    <x v="231"/>
    <n v="11985"/>
    <n v="77506"/>
    <n v="2429"/>
    <n v="75077"/>
    <x v="1"/>
    <x v="2"/>
    <n v="3.1339509199287796E-2"/>
    <x v="0"/>
  </r>
  <r>
    <n v="304"/>
    <s v="CGHS"/>
    <d v="2022-10-01T00:00:00"/>
    <x v="1"/>
    <d v="2022-10-01T00:00:00"/>
    <d v="2022-10-01T00:00:00"/>
    <n v="22025094"/>
    <n v="2234153"/>
    <n v="10013540183"/>
    <s v="TARUN HURIA"/>
    <x v="43"/>
    <n v="0"/>
    <n v="1610"/>
    <n v="1610"/>
    <n v="0"/>
    <x v="0"/>
    <x v="6"/>
    <n v="1"/>
    <x v="13"/>
  </r>
  <r>
    <n v="305"/>
    <s v="GENERAL PATIENT"/>
    <d v="2022-10-01T00:00:00"/>
    <x v="1"/>
    <d v="2022-10-01T00:00:00"/>
    <d v="2022-10-01T00:00:00"/>
    <n v="22025103"/>
    <n v="2234149"/>
    <n v="10013407139"/>
    <s v="SITO DEVI"/>
    <x v="143"/>
    <n v="311"/>
    <n v="3418"/>
    <n v="3418"/>
    <n v="0"/>
    <x v="0"/>
    <x v="6"/>
    <n v="1"/>
    <x v="13"/>
  </r>
  <r>
    <n v="306"/>
    <s v="CGHS ( CREDIT)"/>
    <d v="2022-09-30T00:00:00"/>
    <x v="0"/>
    <d v="2022-10-02T00:00:00"/>
    <d v="2022-10-02T00:00:00"/>
    <n v="22025277"/>
    <n v="2234111"/>
    <n v="10013541041"/>
    <s v="PRAVEEN PETER"/>
    <x v="232"/>
    <n v="0"/>
    <n v="143353"/>
    <n v="12210"/>
    <n v="131143"/>
    <x v="1"/>
    <x v="0"/>
    <n v="8.517435979714412E-2"/>
    <x v="4"/>
  </r>
  <r>
    <n v="307"/>
    <s v="FHPL-ACKO"/>
    <d v="2022-10-04T00:00:00"/>
    <x v="1"/>
    <d v="2022-10-06T00:00:00"/>
    <d v="2022-10-06T00:00:00"/>
    <n v="22025842"/>
    <n v="2234599"/>
    <n v="1001802468"/>
    <s v="MOHIT CHUGH"/>
    <x v="233"/>
    <n v="8655"/>
    <n v="112337"/>
    <n v="3468"/>
    <n v="108869"/>
    <x v="1"/>
    <x v="1"/>
    <n v="3.0871395889154954E-2"/>
    <x v="16"/>
  </r>
  <r>
    <n v="308"/>
    <s v="GENERAL PATIENT"/>
    <d v="2022-10-28T00:00:00"/>
    <x v="1"/>
    <d v="2022-10-28T00:00:00"/>
    <d v="2022-10-28T00:00:00"/>
    <n v="22028955"/>
    <n v="2237824"/>
    <n v="1000891328"/>
    <s v="SOURAV SHARMA"/>
    <x v="190"/>
    <n v="3288"/>
    <n v="0"/>
    <n v="0"/>
    <n v="0"/>
    <x v="0"/>
    <x v="9"/>
    <e v="#DIV/0!"/>
    <x v="13"/>
  </r>
  <r>
    <n v="309"/>
    <s v="STAFF"/>
    <d v="2022-10-26T00:00:00"/>
    <x v="1"/>
    <d v="2022-10-27T00:00:00"/>
    <d v="2022-10-27T00:00:00"/>
    <n v="22028844"/>
    <n v="2237480"/>
    <n v="1001043842"/>
    <s v="RISHITA"/>
    <x v="234"/>
    <n v="82294"/>
    <n v="0"/>
    <n v="0"/>
    <n v="0"/>
    <x v="0"/>
    <x v="1"/>
    <e v="#DIV/0!"/>
    <x v="12"/>
  </r>
  <r>
    <n v="310"/>
    <s v="STAFF"/>
    <d v="2022-10-02T00:00:00"/>
    <x v="1"/>
    <d v="2022-10-07T00:00:00"/>
    <d v="2022-10-07T00:00:00"/>
    <n v="22026022"/>
    <n v="2234308"/>
    <n v="10013441370"/>
    <s v="SUNIL KUMAR"/>
    <x v="235"/>
    <n v="87113"/>
    <n v="0"/>
    <n v="0"/>
    <n v="0"/>
    <x v="0"/>
    <x v="1"/>
    <e v="#DIV/0!"/>
    <x v="0"/>
  </r>
  <r>
    <n v="311"/>
    <s v="GENERAL PATIENT"/>
    <d v="2022-10-12T00:00:00"/>
    <x v="1"/>
    <d v="2022-10-12T00:00:00"/>
    <d v="2022-10-12T00:00:00"/>
    <n v="22026812"/>
    <n v="2235771"/>
    <n v="10013499172"/>
    <s v="TUSHAR GOEL"/>
    <x v="190"/>
    <n v="3288"/>
    <n v="0"/>
    <n v="0"/>
    <n v="0"/>
    <x v="0"/>
    <x v="9"/>
    <e v="#DIV/0!"/>
    <x v="13"/>
  </r>
  <r>
    <n v="312"/>
    <s v="EAST-WEST ASSIST."/>
    <d v="2022-10-13T00:00:00"/>
    <x v="1"/>
    <d v="2022-10-26T00:00:00"/>
    <d v="2022-10-26T00:00:00"/>
    <n v="22028661"/>
    <n v="2235894"/>
    <n v="10013542903"/>
    <s v="RAJEEV SINGLA"/>
    <x v="236"/>
    <n v="54923"/>
    <n v="273749"/>
    <n v="138656"/>
    <n v="135093"/>
    <x v="1"/>
    <x v="3"/>
    <n v="0.50650778632981308"/>
    <x v="0"/>
  </r>
  <r>
    <n v="313"/>
    <s v="GENERAL PATIENT"/>
    <d v="2022-10-08T00:00:00"/>
    <x v="1"/>
    <d v="2022-10-08T00:00:00"/>
    <d v="2022-10-08T00:00:00"/>
    <n v="22026238"/>
    <n v="2235244"/>
    <n v="10013499172"/>
    <s v="TUSHAR GOEL"/>
    <x v="41"/>
    <n v="2794"/>
    <n v="0"/>
    <n v="0"/>
    <n v="0"/>
    <x v="0"/>
    <x v="9"/>
    <e v="#DIV/0!"/>
    <x v="13"/>
  </r>
  <r>
    <n v="314"/>
    <s v="GENERAL PATIENT"/>
    <d v="2022-09-28T00:00:00"/>
    <x v="0"/>
    <d v="2022-10-01T00:00:00"/>
    <d v="2022-10-01T00:00:00"/>
    <n v="22025128"/>
    <n v="2233811"/>
    <n v="10013496810"/>
    <s v="BABITA"/>
    <x v="237"/>
    <n v="79931"/>
    <n v="0"/>
    <n v="0"/>
    <n v="0"/>
    <x v="0"/>
    <x v="9"/>
    <e v="#DIV/0!"/>
    <x v="1"/>
  </r>
  <r>
    <n v="315"/>
    <s v="GENERAL PATIENT"/>
    <d v="2022-10-23T00:00:00"/>
    <x v="1"/>
    <d v="2022-10-23T00:00:00"/>
    <d v="2022-10-23T00:00:00"/>
    <n v="22028308"/>
    <n v="2237119"/>
    <n v="10013531598"/>
    <s v="OMWATI"/>
    <x v="73"/>
    <n v="297"/>
    <n v="2547"/>
    <n v="2547"/>
    <n v="0"/>
    <x v="0"/>
    <x v="6"/>
    <n v="1"/>
    <x v="13"/>
  </r>
  <r>
    <n v="316"/>
    <s v="GOVT. OF NCT OF DELHI"/>
    <d v="2022-10-23T00:00:00"/>
    <x v="1"/>
    <d v="2022-10-23T00:00:00"/>
    <d v="2022-10-23T00:00:00"/>
    <n v="22028310"/>
    <n v="2237123"/>
    <n v="10013521425"/>
    <s v="MEHAR CHAND"/>
    <x v="43"/>
    <n v="0"/>
    <n v="1610"/>
    <n v="1610"/>
    <n v="0"/>
    <x v="0"/>
    <x v="6"/>
    <n v="1"/>
    <x v="13"/>
  </r>
  <r>
    <n v="317"/>
    <s v="GENERAL PATIENT"/>
    <d v="2022-10-20T00:00:00"/>
    <x v="1"/>
    <d v="2022-10-23T00:00:00"/>
    <d v="2022-10-23T00:00:00"/>
    <n v="22028321"/>
    <n v="2236803"/>
    <n v="10013543896"/>
    <s v="RAM PRATAP"/>
    <x v="238"/>
    <n v="147388"/>
    <n v="0"/>
    <n v="0"/>
    <n v="0"/>
    <x v="0"/>
    <x v="9"/>
    <e v="#DIV/0!"/>
    <x v="16"/>
  </r>
  <r>
    <n v="318"/>
    <s v="Health Insurance TPA of India Ltd."/>
    <d v="2022-10-27T00:00:00"/>
    <x v="1"/>
    <d v="2022-10-27T00:00:00"/>
    <d v="2022-10-27T00:00:00"/>
    <n v="22028823"/>
    <n v="2237693"/>
    <n v="10013353354"/>
    <s v="NARENDER CHAWLA"/>
    <x v="75"/>
    <n v="0"/>
    <n v="2200"/>
    <n v="220"/>
    <n v="1980"/>
    <x v="1"/>
    <x v="12"/>
    <n v="0.1"/>
    <x v="13"/>
  </r>
  <r>
    <n v="319"/>
    <s v="MEDI ASSIST"/>
    <d v="2022-10-17T00:00:00"/>
    <x v="1"/>
    <d v="2022-10-17T00:00:00"/>
    <d v="2022-10-17T00:00:00"/>
    <n v="22027447"/>
    <n v="2236331"/>
    <n v="1001206152"/>
    <s v="JITENDRA GARG"/>
    <x v="75"/>
    <n v="0"/>
    <n v="2200"/>
    <n v="440"/>
    <n v="1760"/>
    <x v="1"/>
    <x v="12"/>
    <n v="0.2"/>
    <x v="13"/>
  </r>
  <r>
    <n v="320"/>
    <s v="VIDAL HEALTH INSURANCE LIMITED"/>
    <d v="2022-09-28T00:00:00"/>
    <x v="0"/>
    <d v="2022-10-02T00:00:00"/>
    <d v="2022-10-02T00:00:00"/>
    <n v="22025271"/>
    <n v="2233858"/>
    <n v="10013540725"/>
    <s v="GAGAN GHAI"/>
    <x v="239"/>
    <n v="6925"/>
    <n v="61338"/>
    <n v="18241"/>
    <n v="43097"/>
    <x v="1"/>
    <x v="5"/>
    <n v="0.29738498157748866"/>
    <x v="0"/>
  </r>
  <r>
    <n v="321"/>
    <s v="DGHS (DELHI GOVT.)"/>
    <d v="2022-10-13T00:00:00"/>
    <x v="1"/>
    <d v="2022-10-17T00:00:00"/>
    <d v="2022-10-17T00:00:00"/>
    <n v="22027421"/>
    <n v="2235829"/>
    <n v="10013422734"/>
    <s v="KRISHAN LAL GAUBA"/>
    <x v="240"/>
    <n v="0"/>
    <n v="83650"/>
    <n v="2833"/>
    <n v="80817"/>
    <x v="1"/>
    <x v="0"/>
    <n v="3.3867304243873284E-2"/>
    <x v="4"/>
  </r>
  <r>
    <n v="322"/>
    <s v="MEDI ASSIST"/>
    <d v="2022-10-18T00:00:00"/>
    <x v="1"/>
    <d v="2022-10-18T00:00:00"/>
    <d v="2022-10-18T00:00:00"/>
    <n v="22027528"/>
    <n v="2236440"/>
    <n v="1000891498"/>
    <s v="GULSAN JAMWAL"/>
    <x v="75"/>
    <n v="0"/>
    <n v="2200"/>
    <n v="440"/>
    <n v="1760"/>
    <x v="1"/>
    <x v="12"/>
    <n v="0.2"/>
    <x v="13"/>
  </r>
  <r>
    <n v="323"/>
    <s v=" National Cooperative Development Corporation"/>
    <d v="2022-10-19T00:00:00"/>
    <x v="1"/>
    <d v="2022-10-22T00:00:00"/>
    <d v="2022-10-22T00:00:00"/>
    <n v="22028190"/>
    <n v="2236710"/>
    <n v="1001805338"/>
    <s v="SACHIDANAND"/>
    <x v="241"/>
    <n v="0"/>
    <n v="25884"/>
    <n v="10000"/>
    <n v="15884"/>
    <x v="1"/>
    <x v="1"/>
    <n v="0.38633905115129036"/>
    <x v="0"/>
  </r>
  <r>
    <n v="324"/>
    <s v=" Paramount Health Services and Insurance TPA Pvt.Ltd."/>
    <d v="2022-10-21T00:00:00"/>
    <x v="1"/>
    <d v="2022-10-22T00:00:00"/>
    <d v="2022-10-22T00:00:00"/>
    <n v="22028209"/>
    <n v="2236912"/>
    <n v="1001805626"/>
    <s v="RAJAT CHAUHAN"/>
    <x v="242"/>
    <n v="4447"/>
    <n v="32762"/>
    <n v="500"/>
    <n v="32262"/>
    <x v="1"/>
    <x v="1"/>
    <n v="1.5261583541908309E-2"/>
    <x v="11"/>
  </r>
  <r>
    <n v="325"/>
    <s v="GENERAL PATIENT"/>
    <d v="2022-10-21T00:00:00"/>
    <x v="1"/>
    <d v="2022-10-21T00:00:00"/>
    <d v="2022-10-21T00:00:00"/>
    <n v="22027974"/>
    <n v="2236866"/>
    <n v="1001427466"/>
    <s v="DEVENDER GOYAL"/>
    <x v="127"/>
    <n v="2680"/>
    <n v="0"/>
    <n v="0"/>
    <n v="0"/>
    <x v="0"/>
    <x v="9"/>
    <e v="#DIV/0!"/>
    <x v="13"/>
  </r>
  <r>
    <n v="326"/>
    <s v=" DAK DIALYSIS"/>
    <d v="2022-10-25T00:00:00"/>
    <x v="1"/>
    <d v="2022-10-25T00:00:00"/>
    <d v="2022-10-25T00:00:00"/>
    <n v="22028475"/>
    <n v="2237279"/>
    <n v="1001711925"/>
    <s v="SANJAY KUMAR"/>
    <x v="243"/>
    <n v="0"/>
    <n v="1274"/>
    <n v="0"/>
    <n v="1274"/>
    <x v="1"/>
    <x v="6"/>
    <n v="0"/>
    <x v="13"/>
  </r>
  <r>
    <n v="327"/>
    <s v="Delhi Arogya kosh"/>
    <d v="2022-10-11T00:00:00"/>
    <x v="1"/>
    <d v="2022-10-11T00:00:00"/>
    <d v="2022-10-11T00:00:00"/>
    <n v="22026641"/>
    <n v="2235603"/>
    <n v="1001581259"/>
    <s v="NARENDER SINGH"/>
    <x v="243"/>
    <n v="0"/>
    <n v="1274"/>
    <n v="0"/>
    <n v="1274"/>
    <x v="1"/>
    <x v="6"/>
    <n v="0"/>
    <x v="13"/>
  </r>
  <r>
    <n v="328"/>
    <s v="Delhi Arogya kosh"/>
    <d v="2022-10-23T00:00:00"/>
    <x v="1"/>
    <d v="2022-10-23T00:00:00"/>
    <d v="2022-10-23T00:00:00"/>
    <n v="22028408"/>
    <n v="2237195"/>
    <n v="10013223537"/>
    <s v="GOVIND"/>
    <x v="243"/>
    <n v="0"/>
    <n v="1274"/>
    <n v="0"/>
    <n v="1274"/>
    <x v="1"/>
    <x v="6"/>
    <n v="0"/>
    <x v="13"/>
  </r>
  <r>
    <n v="329"/>
    <s v=" CGHS CREDIT"/>
    <d v="2022-10-21T00:00:00"/>
    <x v="1"/>
    <d v="2022-10-21T00:00:00"/>
    <d v="2022-10-21T00:00:00"/>
    <n v="22028063"/>
    <n v="2236913"/>
    <n v="1001692673"/>
    <s v="AMRIT PAL SHUKLA"/>
    <x v="43"/>
    <n v="0"/>
    <n v="1610"/>
    <n v="0"/>
    <n v="1610"/>
    <x v="1"/>
    <x v="6"/>
    <n v="0"/>
    <x v="13"/>
  </r>
  <r>
    <n v="330"/>
    <s v="Delhi Arogya kosh"/>
    <d v="2022-10-27T00:00:00"/>
    <x v="1"/>
    <d v="2022-10-27T00:00:00"/>
    <d v="2022-10-27T00:00:00"/>
    <n v="22028835"/>
    <n v="2237710"/>
    <n v="1001092597"/>
    <s v="RAVI"/>
    <x v="243"/>
    <n v="0"/>
    <n v="1274"/>
    <n v="0"/>
    <n v="1274"/>
    <x v="1"/>
    <x v="6"/>
    <n v="0"/>
    <x v="13"/>
  </r>
  <r>
    <n v="331"/>
    <s v="Delhi Arogya kosh"/>
    <d v="2022-10-01T00:00:00"/>
    <x v="1"/>
    <d v="2022-10-01T00:00:00"/>
    <d v="2022-10-01T00:00:00"/>
    <n v="22025240"/>
    <n v="2234252"/>
    <n v="1001542371"/>
    <s v="USHA GAMBHIR"/>
    <x v="243"/>
    <n v="0"/>
    <n v="1274"/>
    <n v="0"/>
    <n v="1274"/>
    <x v="1"/>
    <x v="6"/>
    <n v="0"/>
    <x v="13"/>
  </r>
  <r>
    <n v="332"/>
    <s v="Health Insurance TPA of India Ltd."/>
    <d v="2022-10-18T00:00:00"/>
    <x v="1"/>
    <d v="2022-10-18T00:00:00"/>
    <d v="2022-10-18T00:00:00"/>
    <n v="22027584"/>
    <n v="2236480"/>
    <n v="1001199995"/>
    <s v="JITENDER NARULA"/>
    <x v="75"/>
    <n v="0"/>
    <n v="2200"/>
    <n v="0"/>
    <n v="2200"/>
    <x v="1"/>
    <x v="12"/>
    <n v="0"/>
    <x v="13"/>
  </r>
  <r>
    <n v="333"/>
    <s v="MD INDIA TPA PVT.LTD."/>
    <d v="2022-10-13T00:00:00"/>
    <x v="1"/>
    <d v="2022-10-13T00:00:00"/>
    <d v="2022-10-13T00:00:00"/>
    <n v="22026898"/>
    <n v="2235833"/>
    <n v="1001468779"/>
    <s v="RAMESH KR BANSAL"/>
    <x v="75"/>
    <n v="0"/>
    <n v="2200"/>
    <n v="0"/>
    <n v="2200"/>
    <x v="1"/>
    <x v="12"/>
    <n v="0"/>
    <x v="13"/>
  </r>
  <r>
    <n v="334"/>
    <s v="Delhi Arogya kosh"/>
    <d v="2022-10-03T00:00:00"/>
    <x v="1"/>
    <d v="2022-10-03T00:00:00"/>
    <d v="2022-10-03T00:00:00"/>
    <n v="22025458"/>
    <n v="2234476"/>
    <n v="10013223537"/>
    <s v="GOVIND"/>
    <x v="243"/>
    <n v="0"/>
    <n v="1274"/>
    <n v="0"/>
    <n v="1274"/>
    <x v="1"/>
    <x v="6"/>
    <n v="0"/>
    <x v="13"/>
  </r>
  <r>
    <n v="335"/>
    <s v="Delhi Arogya kosh"/>
    <d v="2022-10-21T00:00:00"/>
    <x v="1"/>
    <d v="2022-10-21T00:00:00"/>
    <d v="2022-10-21T00:00:00"/>
    <n v="22027970"/>
    <n v="2236882"/>
    <n v="1001033406"/>
    <s v="SURENDER GOEL"/>
    <x v="243"/>
    <n v="0"/>
    <n v="1274"/>
    <n v="0"/>
    <n v="1274"/>
    <x v="1"/>
    <x v="6"/>
    <n v="0"/>
    <x v="13"/>
  </r>
  <r>
    <n v="336"/>
    <s v=" CGHS CREDIT"/>
    <d v="2022-10-18T00:00:00"/>
    <x v="1"/>
    <d v="2022-10-18T00:00:00"/>
    <d v="2022-10-18T00:00:00"/>
    <n v="22027532"/>
    <n v="2236451"/>
    <n v="1001626180"/>
    <s v="KAMLA DEVI"/>
    <x v="43"/>
    <n v="0"/>
    <n v="1610"/>
    <n v="0"/>
    <n v="1610"/>
    <x v="1"/>
    <x v="6"/>
    <n v="0"/>
    <x v="13"/>
  </r>
  <r>
    <n v="337"/>
    <s v="CGHS ( CREDIT)"/>
    <d v="2022-10-05T00:00:00"/>
    <x v="1"/>
    <d v="2022-10-09T00:00:00"/>
    <d v="2022-10-09T00:00:00"/>
    <n v="22026272"/>
    <n v="2234734"/>
    <n v="10013524504"/>
    <s v="SHANTA"/>
    <x v="244"/>
    <n v="0"/>
    <n v="22814"/>
    <n v="0"/>
    <n v="22814"/>
    <x v="1"/>
    <x v="2"/>
    <n v="0"/>
    <x v="1"/>
  </r>
  <r>
    <n v="338"/>
    <s v=" DAK DIALYSIS"/>
    <d v="2022-10-31T00:00:00"/>
    <x v="1"/>
    <d v="2022-10-31T00:00:00"/>
    <d v="2022-10-31T00:00:00"/>
    <n v="22029349"/>
    <n v="2238216"/>
    <n v="1001367923"/>
    <s v="PRIYANKA KUMARI"/>
    <x v="243"/>
    <n v="0"/>
    <n v="1274"/>
    <n v="0"/>
    <n v="1274"/>
    <x v="1"/>
    <x v="6"/>
    <n v="0"/>
    <x v="13"/>
  </r>
  <r>
    <n v="339"/>
    <s v=" CGHS CREDIT"/>
    <d v="2022-10-19T00:00:00"/>
    <x v="1"/>
    <d v="2022-10-19T00:00:00"/>
    <d v="2022-10-19T00:00:00"/>
    <n v="22027656"/>
    <n v="2236579"/>
    <n v="1001801530"/>
    <s v="UMA BISHT"/>
    <x v="43"/>
    <n v="0"/>
    <n v="1610"/>
    <n v="0"/>
    <n v="1610"/>
    <x v="1"/>
    <x v="6"/>
    <n v="0"/>
    <x v="13"/>
  </r>
  <r>
    <n v="340"/>
    <s v=" ECHS CREDIT"/>
    <d v="2022-10-07T00:00:00"/>
    <x v="1"/>
    <d v="2022-10-07T00:00:00"/>
    <d v="2022-10-07T00:00:00"/>
    <n v="22026046"/>
    <n v="2235066"/>
    <n v="1001763340"/>
    <s v="ASHOK KUMAR"/>
    <x v="43"/>
    <n v="0"/>
    <n v="1610"/>
    <n v="0"/>
    <n v="1610"/>
    <x v="1"/>
    <x v="6"/>
    <n v="0"/>
    <x v="13"/>
  </r>
  <r>
    <n v="341"/>
    <s v="CGHS ( CREDIT)"/>
    <d v="2022-10-15T00:00:00"/>
    <x v="1"/>
    <d v="2022-10-19T00:00:00"/>
    <d v="2022-10-19T00:00:00"/>
    <n v="22027775"/>
    <n v="2236185"/>
    <n v="1000979219"/>
    <s v="VIJAY KUMAR KAPOOR"/>
    <x v="245"/>
    <n v="0"/>
    <n v="56300"/>
    <n v="0"/>
    <n v="56300"/>
    <x v="1"/>
    <x v="0"/>
    <n v="0"/>
    <x v="4"/>
  </r>
  <r>
    <n v="342"/>
    <s v="Health Insurance TPA of India Ltd."/>
    <d v="2022-10-20T00:00:00"/>
    <x v="1"/>
    <d v="2022-10-20T00:00:00"/>
    <d v="2022-10-20T00:00:00"/>
    <n v="22027904"/>
    <n v="2236787"/>
    <n v="1001199995"/>
    <s v="JITENDER NARULA"/>
    <x v="75"/>
    <n v="0"/>
    <n v="2200"/>
    <n v="0"/>
    <n v="2200"/>
    <x v="1"/>
    <x v="12"/>
    <n v="0"/>
    <x v="13"/>
  </r>
  <r>
    <n v="343"/>
    <s v=" DAK DIALYSIS"/>
    <d v="2022-10-24T00:00:00"/>
    <x v="1"/>
    <d v="2022-10-24T00:00:00"/>
    <d v="2022-10-24T00:00:00"/>
    <n v="22028440"/>
    <n v="2237231"/>
    <n v="1001680001"/>
    <s v="BIPIN KUMAR"/>
    <x v="243"/>
    <n v="0"/>
    <n v="1274"/>
    <n v="0"/>
    <n v="1274"/>
    <x v="1"/>
    <x v="6"/>
    <n v="0"/>
    <x v="13"/>
  </r>
  <r>
    <n v="344"/>
    <s v="Health Insurance TPA of India Ltd."/>
    <d v="2022-09-29T00:00:00"/>
    <x v="0"/>
    <d v="2022-10-05T00:00:00"/>
    <d v="2022-10-05T00:00:00"/>
    <n v="22025754"/>
    <n v="2233974"/>
    <n v="1001009363"/>
    <s v="ANKUR GOEL"/>
    <x v="246"/>
    <n v="102091"/>
    <n v="287258"/>
    <n v="0"/>
    <n v="287258"/>
    <x v="1"/>
    <x v="14"/>
    <n v="0"/>
    <x v="0"/>
  </r>
  <r>
    <n v="345"/>
    <s v=" DAK DIALYSIS"/>
    <d v="2022-10-26T00:00:00"/>
    <x v="1"/>
    <d v="2022-10-26T00:00:00"/>
    <d v="2022-10-26T00:00:00"/>
    <n v="22028587"/>
    <n v="2237450"/>
    <n v="1001677731"/>
    <s v="HIMANSHU GOYAL"/>
    <x v="243"/>
    <n v="0"/>
    <n v="1274"/>
    <n v="0"/>
    <n v="1274"/>
    <x v="1"/>
    <x v="6"/>
    <n v="0"/>
    <x v="13"/>
  </r>
  <r>
    <n v="346"/>
    <s v=" DAK DIALYSIS"/>
    <d v="2022-10-14T00:00:00"/>
    <x v="1"/>
    <d v="2022-10-14T00:00:00"/>
    <d v="2022-10-14T00:00:00"/>
    <n v="22026977"/>
    <n v="2235923"/>
    <n v="1001449196"/>
    <s v="RAKESH JAIN"/>
    <x v="243"/>
    <n v="0"/>
    <n v="1274"/>
    <n v="0"/>
    <n v="1274"/>
    <x v="1"/>
    <x v="6"/>
    <n v="0"/>
    <x v="13"/>
  </r>
  <r>
    <n v="347"/>
    <s v="Delhi Arogya kosh"/>
    <d v="2022-10-31T00:00:00"/>
    <x v="1"/>
    <d v="2022-10-31T00:00:00"/>
    <d v="2022-10-31T00:00:00"/>
    <n v="22029261"/>
    <n v="2238143"/>
    <n v="1000891036"/>
    <s v="RAKIKESH KUMAR"/>
    <x v="243"/>
    <n v="0"/>
    <n v="1274"/>
    <n v="0"/>
    <n v="1274"/>
    <x v="1"/>
    <x v="6"/>
    <n v="0"/>
    <x v="13"/>
  </r>
  <r>
    <n v="348"/>
    <s v="CGHS ( CREDIT)"/>
    <d v="2022-10-03T00:00:00"/>
    <x v="1"/>
    <d v="2022-10-03T00:00:00"/>
    <d v="2022-10-03T00:00:00"/>
    <n v="22025445"/>
    <n v="2234448"/>
    <n v="1001300172"/>
    <s v="SWARN LATA KINDRA"/>
    <x v="43"/>
    <n v="0"/>
    <n v="1610"/>
    <n v="0"/>
    <n v="1610"/>
    <x v="1"/>
    <x v="6"/>
    <n v="0"/>
    <x v="13"/>
  </r>
  <r>
    <n v="349"/>
    <s v=" ECHS CREDIT"/>
    <d v="2022-10-11T00:00:00"/>
    <x v="1"/>
    <d v="2022-10-11T00:00:00"/>
    <d v="2022-10-11T00:00:00"/>
    <n v="22026616"/>
    <n v="2235570"/>
    <n v="1001765693"/>
    <s v="SHRI PRAKASH PRAJAPATI"/>
    <x v="43"/>
    <n v="0"/>
    <n v="1610"/>
    <n v="0"/>
    <n v="1610"/>
    <x v="1"/>
    <x v="6"/>
    <n v="0"/>
    <x v="13"/>
  </r>
  <r>
    <n v="350"/>
    <s v="Delhi Arogya kosh"/>
    <d v="2022-10-25T00:00:00"/>
    <x v="1"/>
    <d v="2022-10-25T00:00:00"/>
    <d v="2022-10-25T00:00:00"/>
    <n v="22028566"/>
    <n v="2237403"/>
    <n v="10013520283"/>
    <s v="DEVI RANI"/>
    <x v="243"/>
    <n v="0"/>
    <n v="1274"/>
    <n v="0"/>
    <n v="1274"/>
    <x v="1"/>
    <x v="6"/>
    <n v="0"/>
    <x v="13"/>
  </r>
  <r>
    <n v="351"/>
    <s v="Health Insurance TPA of India Ltd."/>
    <d v="2022-10-08T00:00:00"/>
    <x v="1"/>
    <d v="2022-10-08T00:00:00"/>
    <d v="2022-10-08T00:00:00"/>
    <n v="22026164"/>
    <n v="2235171"/>
    <n v="1001199995"/>
    <s v="JITENDER NARULA"/>
    <x v="75"/>
    <n v="0"/>
    <n v="2200"/>
    <n v="0"/>
    <n v="2200"/>
    <x v="1"/>
    <x v="12"/>
    <n v="0"/>
    <x v="13"/>
  </r>
  <r>
    <n v="352"/>
    <s v="Delhi Arogya kosh"/>
    <d v="2022-10-21T00:00:00"/>
    <x v="1"/>
    <d v="2022-10-21T00:00:00"/>
    <d v="2022-10-21T00:00:00"/>
    <n v="22028116"/>
    <n v="2236962"/>
    <n v="10013276269"/>
    <s v="DAYA SHANKAR"/>
    <x v="243"/>
    <n v="0"/>
    <n v="1274"/>
    <n v="0"/>
    <n v="1274"/>
    <x v="1"/>
    <x v="6"/>
    <n v="0"/>
    <x v="13"/>
  </r>
  <r>
    <n v="353"/>
    <s v=" CGHS CREDIT"/>
    <d v="2022-10-07T00:00:00"/>
    <x v="1"/>
    <d v="2022-10-10T00:00:00"/>
    <d v="2022-10-10T00:00:00"/>
    <n v="22026454"/>
    <n v="2235047"/>
    <n v="1001564592"/>
    <s v="ASHOK KUMAR"/>
    <x v="247"/>
    <n v="0"/>
    <n v="53349"/>
    <n v="0"/>
    <n v="53349"/>
    <x v="1"/>
    <x v="0"/>
    <n v="0"/>
    <x v="11"/>
  </r>
  <r>
    <n v="354"/>
    <s v="HEALTH INDIA"/>
    <d v="2022-10-29T00:00:00"/>
    <x v="1"/>
    <d v="2022-10-29T00:00:00"/>
    <d v="2022-10-29T00:00:00"/>
    <n v="22029171"/>
    <n v="2238047"/>
    <n v="1001456152"/>
    <s v="VIRENDER KUMAR ATRI"/>
    <x v="75"/>
    <n v="0"/>
    <n v="2200"/>
    <n v="0"/>
    <n v="2200"/>
    <x v="1"/>
    <x v="12"/>
    <n v="0"/>
    <x v="13"/>
  </r>
  <r>
    <n v="355"/>
    <s v="Delhi Arogya kosh"/>
    <d v="2022-09-05T00:00:00"/>
    <x v="0"/>
    <d v="2022-10-15T00:00:00"/>
    <d v="2022-10-20T00:00:00"/>
    <n v="22027830"/>
    <n v="2230732"/>
    <n v="10013534335"/>
    <s v="SIMRAN JAISWAL"/>
    <x v="248"/>
    <n v="0"/>
    <n v="328203"/>
    <n v="0"/>
    <n v="328203"/>
    <x v="1"/>
    <x v="15"/>
    <n v="0"/>
    <x v="9"/>
  </r>
  <r>
    <n v="356"/>
    <s v="ECHS"/>
    <d v="2022-10-02T00:00:00"/>
    <x v="1"/>
    <d v="2022-10-08T00:00:00"/>
    <d v="2022-10-08T00:00:00"/>
    <n v="22026194"/>
    <n v="2234333"/>
    <n v="10013541259"/>
    <s v="DIVYA DEVI"/>
    <x v="249"/>
    <n v="0"/>
    <n v="51155"/>
    <n v="0"/>
    <n v="51155"/>
    <x v="1"/>
    <x v="1"/>
    <n v="0"/>
    <x v="0"/>
  </r>
  <r>
    <n v="357"/>
    <s v="CGHS ( CREDIT)"/>
    <d v="2022-10-06T00:00:00"/>
    <x v="1"/>
    <d v="2022-10-06T00:00:00"/>
    <d v="2022-10-06T00:00:00"/>
    <n v="22025899"/>
    <n v="2234846"/>
    <n v="1000970876"/>
    <s v="SHIKHA MITRA"/>
    <x v="250"/>
    <n v="0"/>
    <n v="2062"/>
    <n v="0"/>
    <n v="2062"/>
    <x v="1"/>
    <x v="1"/>
    <n v="0"/>
    <x v="19"/>
  </r>
  <r>
    <n v="358"/>
    <s v=" CGHS CREDIT"/>
    <d v="2022-10-14T00:00:00"/>
    <x v="1"/>
    <d v="2022-10-14T00:00:00"/>
    <d v="2022-10-14T00:00:00"/>
    <n v="22027084"/>
    <n v="2236001"/>
    <n v="1001777526"/>
    <s v="PRADEEP KUMAR MALIK"/>
    <x v="43"/>
    <n v="0"/>
    <n v="1610"/>
    <n v="0"/>
    <n v="1610"/>
    <x v="1"/>
    <x v="6"/>
    <n v="0"/>
    <x v="13"/>
  </r>
  <r>
    <n v="359"/>
    <s v="Delhi Arogya kosh"/>
    <d v="2022-10-25T00:00:00"/>
    <x v="1"/>
    <d v="2022-10-25T00:00:00"/>
    <d v="2022-10-25T00:00:00"/>
    <n v="22028546"/>
    <n v="2237371"/>
    <n v="10013371134"/>
    <s v="RADHA GOEL"/>
    <x v="243"/>
    <n v="0"/>
    <n v="1274"/>
    <n v="0"/>
    <n v="1274"/>
    <x v="1"/>
    <x v="6"/>
    <n v="0"/>
    <x v="13"/>
  </r>
  <r>
    <n v="360"/>
    <s v=" DAK DIALYSIS"/>
    <d v="2022-10-17T00:00:00"/>
    <x v="1"/>
    <d v="2022-10-17T00:00:00"/>
    <d v="2022-10-17T00:00:00"/>
    <n v="22027386"/>
    <n v="2236303"/>
    <n v="1001678600"/>
    <s v="RAKESH THAKUR"/>
    <x v="243"/>
    <n v="0"/>
    <n v="1274"/>
    <n v="0"/>
    <n v="1274"/>
    <x v="1"/>
    <x v="6"/>
    <n v="0"/>
    <x v="13"/>
  </r>
  <r>
    <n v="361"/>
    <s v="Safeway Mediclaim Services Pvt. Ltd."/>
    <d v="2022-10-13T00:00:00"/>
    <x v="1"/>
    <d v="2022-10-13T00:00:00"/>
    <d v="2022-10-13T00:00:00"/>
    <n v="22026901"/>
    <n v="2235836"/>
    <n v="1001684515"/>
    <s v="SHIV NARAYAN BANSAL"/>
    <x v="75"/>
    <n v="0"/>
    <n v="2200"/>
    <n v="0"/>
    <n v="2200"/>
    <x v="1"/>
    <x v="12"/>
    <n v="0"/>
    <x v="13"/>
  </r>
  <r>
    <n v="362"/>
    <s v="VIPUL MED CORP PVT LTD"/>
    <d v="2022-10-14T00:00:00"/>
    <x v="1"/>
    <d v="2022-10-14T00:00:00"/>
    <d v="2022-10-14T00:00:00"/>
    <n v="22027092"/>
    <n v="2236022"/>
    <n v="10013332282"/>
    <s v="SANGEETA"/>
    <x v="75"/>
    <n v="0"/>
    <n v="2200"/>
    <n v="0"/>
    <n v="2200"/>
    <x v="1"/>
    <x v="12"/>
    <n v="0"/>
    <x v="13"/>
  </r>
  <r>
    <n v="363"/>
    <s v="Delhi Arogya kosh"/>
    <d v="2022-10-12T00:00:00"/>
    <x v="1"/>
    <d v="2022-10-12T00:00:00"/>
    <d v="2022-10-12T00:00:00"/>
    <n v="22026806"/>
    <n v="2235769"/>
    <n v="1000857532"/>
    <s v="HARI BABU"/>
    <x v="243"/>
    <n v="0"/>
    <n v="1274"/>
    <n v="0"/>
    <n v="1274"/>
    <x v="1"/>
    <x v="6"/>
    <n v="0"/>
    <x v="13"/>
  </r>
  <r>
    <n v="364"/>
    <s v=" CGHS CREDIT"/>
    <d v="2022-10-24T00:00:00"/>
    <x v="1"/>
    <d v="2022-10-24T00:00:00"/>
    <d v="2022-10-24T00:00:00"/>
    <n v="22028421"/>
    <n v="2237218"/>
    <n v="1001801530"/>
    <s v="UMA BISHT"/>
    <x v="43"/>
    <n v="0"/>
    <n v="1610"/>
    <n v="0"/>
    <n v="1610"/>
    <x v="1"/>
    <x v="6"/>
    <n v="0"/>
    <x v="13"/>
  </r>
  <r>
    <n v="365"/>
    <s v=" DAK DIALYSIS"/>
    <d v="2022-10-07T00:00:00"/>
    <x v="1"/>
    <d v="2022-10-07T00:00:00"/>
    <d v="2022-10-07T00:00:00"/>
    <n v="22026044"/>
    <n v="2235069"/>
    <n v="1001767553"/>
    <s v="VIJAY SINGH NEGI"/>
    <x v="243"/>
    <n v="0"/>
    <n v="1274"/>
    <n v="0"/>
    <n v="1274"/>
    <x v="1"/>
    <x v="6"/>
    <n v="0"/>
    <x v="13"/>
  </r>
  <r>
    <n v="366"/>
    <s v=" CGHS CREDIT"/>
    <d v="2022-10-01T00:00:00"/>
    <x v="1"/>
    <d v="2022-10-01T00:00:00"/>
    <d v="2022-10-01T00:00:00"/>
    <n v="22025229"/>
    <n v="2234250"/>
    <n v="1001722362"/>
    <s v="PAWANA DEVI"/>
    <x v="43"/>
    <n v="0"/>
    <n v="1610"/>
    <n v="0"/>
    <n v="1610"/>
    <x v="1"/>
    <x v="6"/>
    <n v="0"/>
    <x v="13"/>
  </r>
  <r>
    <n v="367"/>
    <s v=" CGHS CREDIT"/>
    <d v="2022-10-31T00:00:00"/>
    <x v="1"/>
    <d v="2022-10-31T00:00:00"/>
    <d v="2022-10-31T00:00:00"/>
    <n v="22029240"/>
    <n v="2238137"/>
    <n v="1001801530"/>
    <s v="UMA BISHT"/>
    <x v="43"/>
    <n v="0"/>
    <n v="1610"/>
    <n v="0"/>
    <n v="1610"/>
    <x v="1"/>
    <x v="6"/>
    <n v="0"/>
    <x v="13"/>
  </r>
  <r>
    <n v="368"/>
    <s v="Delhi Arogya kosh"/>
    <d v="2022-10-13T00:00:00"/>
    <x v="1"/>
    <d v="2022-10-13T00:00:00"/>
    <d v="2022-10-13T00:00:00"/>
    <n v="22026958"/>
    <n v="2235886"/>
    <n v="1001237257"/>
    <s v="RAJPATI"/>
    <x v="243"/>
    <n v="0"/>
    <n v="1274"/>
    <n v="0"/>
    <n v="1274"/>
    <x v="1"/>
    <x v="6"/>
    <n v="0"/>
    <x v="13"/>
  </r>
  <r>
    <n v="369"/>
    <s v="Delhi Arogya kosh"/>
    <d v="2022-10-15T00:00:00"/>
    <x v="1"/>
    <d v="2022-10-15T00:00:00"/>
    <d v="2022-10-15T00:00:00"/>
    <n v="22027272"/>
    <n v="2236189"/>
    <n v="10013528076"/>
    <s v="MANENDER DESHWAL"/>
    <x v="243"/>
    <n v="0"/>
    <n v="1274"/>
    <n v="0"/>
    <n v="1274"/>
    <x v="1"/>
    <x v="6"/>
    <n v="0"/>
    <x v="13"/>
  </r>
  <r>
    <n v="370"/>
    <s v=" CGHS CREDIT"/>
    <d v="2022-10-19T00:00:00"/>
    <x v="1"/>
    <d v="2022-10-19T00:00:00"/>
    <d v="2022-10-19T00:00:00"/>
    <n v="22027740"/>
    <n v="2236636"/>
    <n v="1001692673"/>
    <s v="AMRIT PAL SHUKLA"/>
    <x v="43"/>
    <n v="0"/>
    <n v="1610"/>
    <n v="0"/>
    <n v="1610"/>
    <x v="1"/>
    <x v="6"/>
    <n v="0"/>
    <x v="13"/>
  </r>
  <r>
    <n v="371"/>
    <s v="GENERAL PATIENT"/>
    <d v="2022-10-01T00:00:00"/>
    <x v="1"/>
    <d v="2022-10-03T00:00:00"/>
    <d v="2022-10-03T00:00:00"/>
    <n v="22025390"/>
    <n v="2234245"/>
    <n v="1001251802"/>
    <s v="KASHMIRI LAL JAIN"/>
    <x v="251"/>
    <n v="9680"/>
    <n v="179658"/>
    <n v="0"/>
    <n v="179658"/>
    <x v="1"/>
    <x v="1"/>
    <n v="0"/>
    <x v="4"/>
  </r>
  <r>
    <n v="372"/>
    <s v="Delhi Arogya kosh"/>
    <d v="2022-10-11T00:00:00"/>
    <x v="1"/>
    <d v="2022-10-11T00:00:00"/>
    <d v="2022-10-11T00:00:00"/>
    <n v="22026614"/>
    <n v="2235591"/>
    <n v="10013371134"/>
    <s v="RADHA GOEL"/>
    <x v="243"/>
    <n v="0"/>
    <n v="1274"/>
    <n v="0"/>
    <n v="1274"/>
    <x v="1"/>
    <x v="6"/>
    <n v="0"/>
    <x v="13"/>
  </r>
  <r>
    <n v="373"/>
    <s v="Delhi Arogya kosh"/>
    <d v="2022-10-06T00:00:00"/>
    <x v="1"/>
    <d v="2022-10-06T00:00:00"/>
    <d v="2022-10-06T00:00:00"/>
    <n v="22025911"/>
    <n v="2234942"/>
    <n v="10013521877"/>
    <s v="TUNTUN  MANDAL"/>
    <x v="243"/>
    <n v="0"/>
    <n v="1274"/>
    <n v="0"/>
    <n v="1274"/>
    <x v="1"/>
    <x v="6"/>
    <n v="0"/>
    <x v="13"/>
  </r>
  <r>
    <n v="374"/>
    <s v=" DAK DIALYSIS"/>
    <d v="2022-10-11T00:00:00"/>
    <x v="1"/>
    <d v="2022-10-11T00:00:00"/>
    <d v="2022-10-11T00:00:00"/>
    <n v="22026626"/>
    <n v="2235596"/>
    <n v="1001677731"/>
    <s v="HIMANSHU GOYAL"/>
    <x v="243"/>
    <n v="0"/>
    <n v="1274"/>
    <n v="0"/>
    <n v="1274"/>
    <x v="1"/>
    <x v="6"/>
    <n v="0"/>
    <x v="13"/>
  </r>
  <r>
    <n v="375"/>
    <s v="Delhi Arogya kosh"/>
    <d v="2022-10-06T00:00:00"/>
    <x v="1"/>
    <d v="2022-10-06T00:00:00"/>
    <d v="2022-10-06T00:00:00"/>
    <n v="22025913"/>
    <n v="2234944"/>
    <n v="10013413542"/>
    <s v="KAMLA DEVI"/>
    <x v="243"/>
    <n v="0"/>
    <n v="1274"/>
    <n v="0"/>
    <n v="1274"/>
    <x v="1"/>
    <x v="6"/>
    <n v="0"/>
    <x v="13"/>
  </r>
  <r>
    <n v="376"/>
    <s v="GENERAL PATIENT"/>
    <d v="2022-10-22T00:00:00"/>
    <x v="1"/>
    <d v="2022-10-24T00:00:00"/>
    <d v="2022-10-24T00:00:00"/>
    <n v="22028459"/>
    <n v="2237081"/>
    <n v="1001805815"/>
    <s v="NISHU MALE BABY SHARMA"/>
    <x v="252"/>
    <n v="2298"/>
    <n v="15206"/>
    <n v="0"/>
    <n v="15206"/>
    <x v="1"/>
    <x v="1"/>
    <n v="0"/>
    <x v="3"/>
  </r>
  <r>
    <n v="377"/>
    <s v="MD INDIA TPA PVT.LTD."/>
    <d v="2022-10-20T00:00:00"/>
    <x v="1"/>
    <d v="2022-10-20T00:00:00"/>
    <d v="2022-10-20T00:00:00"/>
    <n v="22027908"/>
    <n v="2236786"/>
    <n v="1001468779"/>
    <s v="RAMESH KR BANSAL"/>
    <x v="75"/>
    <n v="0"/>
    <n v="2200"/>
    <n v="0"/>
    <n v="2200"/>
    <x v="1"/>
    <x v="12"/>
    <n v="0"/>
    <x v="13"/>
  </r>
  <r>
    <n v="378"/>
    <s v="SMILE TRAIN"/>
    <d v="2022-10-03T00:00:00"/>
    <x v="1"/>
    <d v="2022-10-05T00:00:00"/>
    <d v="2022-10-05T00:00:00"/>
    <n v="22025700"/>
    <n v="2234430"/>
    <n v="10013480003"/>
    <s v="DEEPANSHI"/>
    <x v="253"/>
    <n v="28562"/>
    <n v="30000"/>
    <n v="0"/>
    <n v="30000"/>
    <x v="1"/>
    <x v="1"/>
    <n v="0"/>
    <x v="6"/>
  </r>
  <r>
    <n v="379"/>
    <s v=" DAK DIALYSIS"/>
    <d v="2022-10-18T00:00:00"/>
    <x v="1"/>
    <d v="2022-10-18T00:00:00"/>
    <d v="2022-10-18T00:00:00"/>
    <n v="22027619"/>
    <n v="2236521"/>
    <n v="1001686545"/>
    <s v="RAKESH KUMAR"/>
    <x v="243"/>
    <n v="0"/>
    <n v="1274"/>
    <n v="0"/>
    <n v="1274"/>
    <x v="1"/>
    <x v="6"/>
    <n v="0"/>
    <x v="13"/>
  </r>
  <r>
    <n v="380"/>
    <s v=" CGHS CREDIT"/>
    <d v="2022-10-07T00:00:00"/>
    <x v="1"/>
    <d v="2022-10-07T00:00:00"/>
    <d v="2022-10-07T00:00:00"/>
    <n v="22026020"/>
    <n v="2235007"/>
    <n v="1001803044"/>
    <s v="GOVIND SINGH"/>
    <x v="43"/>
    <n v="0"/>
    <n v="1610"/>
    <n v="0"/>
    <n v="1610"/>
    <x v="1"/>
    <x v="6"/>
    <n v="0"/>
    <x v="13"/>
  </r>
  <r>
    <n v="381"/>
    <s v="NIVA BUPA"/>
    <d v="2022-10-19T00:00:00"/>
    <x v="1"/>
    <d v="2022-10-19T00:00:00"/>
    <d v="2022-10-19T00:00:00"/>
    <n v="22027665"/>
    <n v="2236588"/>
    <n v="10013484190"/>
    <s v="JULI SINGH"/>
    <x v="254"/>
    <n v="0"/>
    <n v="2240"/>
    <n v="0"/>
    <n v="2240"/>
    <x v="1"/>
    <x v="6"/>
    <n v="0"/>
    <x v="13"/>
  </r>
  <r>
    <n v="382"/>
    <s v="Delhi Arogya kosh"/>
    <d v="2022-10-26T00:00:00"/>
    <x v="1"/>
    <d v="2022-10-26T00:00:00"/>
    <d v="2022-10-26T00:00:00"/>
    <n v="22028694"/>
    <n v="2237573"/>
    <n v="1000857532"/>
    <s v="HARI BABU"/>
    <x v="243"/>
    <n v="0"/>
    <n v="1274"/>
    <n v="0"/>
    <n v="1274"/>
    <x v="1"/>
    <x v="6"/>
    <n v="0"/>
    <x v="13"/>
  </r>
  <r>
    <n v="383"/>
    <s v="CGHS ( CREDIT)"/>
    <d v="2022-10-03T00:00:00"/>
    <x v="1"/>
    <d v="2022-10-10T00:00:00"/>
    <d v="2022-10-10T00:00:00"/>
    <n v="22026448"/>
    <n v="2234465"/>
    <n v="1001206593"/>
    <s v="MAHAVIR SINGH MALIK"/>
    <x v="255"/>
    <n v="0"/>
    <n v="70250"/>
    <n v="0"/>
    <n v="70250"/>
    <x v="1"/>
    <x v="2"/>
    <n v="0"/>
    <x v="0"/>
  </r>
  <r>
    <n v="384"/>
    <s v="Delhi Arogya kosh"/>
    <d v="2022-10-01T00:00:00"/>
    <x v="1"/>
    <d v="2022-10-01T00:00:00"/>
    <d v="2022-10-01T00:00:00"/>
    <n v="22025129"/>
    <n v="2234161"/>
    <n v="10013475917"/>
    <s v="meena srivastav"/>
    <x v="243"/>
    <n v="0"/>
    <n v="1274"/>
    <n v="0"/>
    <n v="1274"/>
    <x v="1"/>
    <x v="6"/>
    <n v="0"/>
    <x v="13"/>
  </r>
  <r>
    <n v="385"/>
    <s v="Delhi Arogya kosh"/>
    <d v="2022-10-10T00:00:00"/>
    <x v="1"/>
    <d v="2022-10-10T00:00:00"/>
    <d v="2022-10-10T00:00:00"/>
    <n v="22026484"/>
    <n v="2235455"/>
    <n v="1001092597"/>
    <s v="RAVI"/>
    <x v="243"/>
    <n v="0"/>
    <n v="1274"/>
    <n v="0"/>
    <n v="1274"/>
    <x v="1"/>
    <x v="6"/>
    <n v="0"/>
    <x v="13"/>
  </r>
  <r>
    <n v="386"/>
    <s v=" DAK DIALYSIS"/>
    <d v="2022-10-08T00:00:00"/>
    <x v="1"/>
    <d v="2022-10-08T00:00:00"/>
    <d v="2022-10-08T00:00:00"/>
    <n v="22026205"/>
    <n v="2235216"/>
    <n v="1001686545"/>
    <s v="RAKESH KUMAR"/>
    <x v="243"/>
    <n v="0"/>
    <n v="1274"/>
    <n v="0"/>
    <n v="1274"/>
    <x v="1"/>
    <x v="6"/>
    <n v="0"/>
    <x v="13"/>
  </r>
  <r>
    <n v="387"/>
    <s v="Delhi Arogya kosh"/>
    <d v="2022-10-13T00:00:00"/>
    <x v="1"/>
    <d v="2022-10-13T00:00:00"/>
    <d v="2022-10-13T00:00:00"/>
    <n v="22026945"/>
    <n v="2235867"/>
    <n v="1001208331"/>
    <s v="PREM"/>
    <x v="243"/>
    <n v="0"/>
    <n v="1274"/>
    <n v="0"/>
    <n v="1274"/>
    <x v="1"/>
    <x v="6"/>
    <n v="0"/>
    <x v="13"/>
  </r>
  <r>
    <n v="388"/>
    <s v="DGHS (DELHI GOVT.)"/>
    <d v="2022-10-10T00:00:00"/>
    <x v="1"/>
    <d v="2022-10-12T00:00:00"/>
    <d v="2022-10-12T00:00:00"/>
    <n v="22026748"/>
    <n v="2235317"/>
    <n v="1001516596"/>
    <s v="BHUSHAN KUMAR"/>
    <x v="256"/>
    <n v="0"/>
    <n v="28086"/>
    <n v="0"/>
    <n v="28086"/>
    <x v="1"/>
    <x v="2"/>
    <n v="0"/>
    <x v="4"/>
  </r>
  <r>
    <n v="389"/>
    <s v="Delhi Arogya kosh"/>
    <d v="2022-10-20T00:00:00"/>
    <x v="1"/>
    <d v="2022-10-20T00:00:00"/>
    <d v="2022-10-20T00:00:00"/>
    <n v="22027888"/>
    <n v="2236790"/>
    <n v="1000947753"/>
    <s v="DHARAMPAL GUPTA"/>
    <x v="243"/>
    <n v="0"/>
    <n v="1274"/>
    <n v="0"/>
    <n v="1274"/>
    <x v="1"/>
    <x v="6"/>
    <n v="0"/>
    <x v="13"/>
  </r>
  <r>
    <n v="390"/>
    <s v=" CGHS CREDIT"/>
    <d v="2022-10-05T00:00:00"/>
    <x v="1"/>
    <d v="2022-10-06T00:00:00"/>
    <d v="2022-10-06T00:00:00"/>
    <n v="22025827"/>
    <n v="2234663"/>
    <n v="1001703064"/>
    <s v="DEVKALI DEVI"/>
    <x v="257"/>
    <n v="0"/>
    <n v="16220"/>
    <n v="0"/>
    <n v="16220"/>
    <x v="1"/>
    <x v="1"/>
    <n v="0"/>
    <x v="4"/>
  </r>
  <r>
    <n v="391"/>
    <s v=" DAK DIALYSIS"/>
    <d v="2022-10-26T00:00:00"/>
    <x v="1"/>
    <d v="2022-10-26T00:00:00"/>
    <d v="2022-10-26T00:00:00"/>
    <n v="22028581"/>
    <n v="2237454"/>
    <n v="1001767553"/>
    <s v="VIJAY SINGH NEGI"/>
    <x v="243"/>
    <n v="0"/>
    <n v="1274"/>
    <n v="0"/>
    <n v="1274"/>
    <x v="1"/>
    <x v="6"/>
    <n v="0"/>
    <x v="13"/>
  </r>
  <r>
    <n v="392"/>
    <s v=" CGHS CREDIT"/>
    <d v="2022-10-05T00:00:00"/>
    <x v="1"/>
    <d v="2022-10-05T00:00:00"/>
    <d v="2022-10-05T00:00:00"/>
    <n v="22025653"/>
    <n v="2234699"/>
    <n v="1001722362"/>
    <s v="PAWANA DEVI"/>
    <x v="43"/>
    <n v="0"/>
    <n v="1610"/>
    <n v="0"/>
    <n v="1610"/>
    <x v="1"/>
    <x v="6"/>
    <n v="0"/>
    <x v="13"/>
  </r>
  <r>
    <n v="393"/>
    <s v="SMILE TRAIN"/>
    <d v="2022-10-16T00:00:00"/>
    <x v="1"/>
    <d v="2022-10-18T00:00:00"/>
    <d v="2022-10-18T00:00:00"/>
    <n v="22027562"/>
    <n v="2236234"/>
    <n v="1001160739"/>
    <s v="MD. ARBAZ"/>
    <x v="258"/>
    <n v="27808"/>
    <n v="30000"/>
    <n v="0"/>
    <n v="30000"/>
    <x v="1"/>
    <x v="1"/>
    <n v="0"/>
    <x v="6"/>
  </r>
  <r>
    <n v="394"/>
    <s v=" DAK DIALYSIS"/>
    <d v="2022-10-03T00:00:00"/>
    <x v="1"/>
    <d v="2022-10-03T00:00:00"/>
    <d v="2022-10-03T00:00:00"/>
    <n v="22025339"/>
    <n v="2234365"/>
    <n v="1001367923"/>
    <s v="PRIYANKA KUMARI"/>
    <x v="243"/>
    <n v="0"/>
    <n v="1274"/>
    <n v="0"/>
    <n v="1274"/>
    <x v="1"/>
    <x v="6"/>
    <n v="0"/>
    <x v="13"/>
  </r>
  <r>
    <n v="395"/>
    <s v="Delhi Arogya kosh"/>
    <d v="2022-10-22T00:00:00"/>
    <x v="1"/>
    <d v="2022-10-22T00:00:00"/>
    <d v="2022-10-22T00:00:00"/>
    <n v="22028296"/>
    <n v="2237094"/>
    <n v="10013453025"/>
    <s v="VIRENDER SINGH"/>
    <x v="243"/>
    <n v="0"/>
    <n v="1274"/>
    <n v="0"/>
    <n v="1274"/>
    <x v="1"/>
    <x v="6"/>
    <n v="0"/>
    <x v="13"/>
  </r>
  <r>
    <n v="396"/>
    <s v="Delhi Arogya kosh"/>
    <d v="2022-10-21T00:00:00"/>
    <x v="1"/>
    <d v="2022-10-21T00:00:00"/>
    <d v="2022-10-21T00:00:00"/>
    <n v="22028074"/>
    <n v="2236916"/>
    <n v="1001082290"/>
    <s v="SUSHMA"/>
    <x v="243"/>
    <n v="0"/>
    <n v="1274"/>
    <n v="0"/>
    <n v="1274"/>
    <x v="1"/>
    <x v="6"/>
    <n v="0"/>
    <x v="13"/>
  </r>
  <r>
    <n v="397"/>
    <s v="Delhi Arogya kosh"/>
    <d v="2022-10-18T00:00:00"/>
    <x v="1"/>
    <d v="2022-10-18T00:00:00"/>
    <d v="2022-10-18T00:00:00"/>
    <n v="22027623"/>
    <n v="2236537"/>
    <n v="1000933464"/>
    <s v="SACHIN MITTAL"/>
    <x v="243"/>
    <n v="0"/>
    <n v="1274"/>
    <n v="0"/>
    <n v="1274"/>
    <x v="1"/>
    <x v="6"/>
    <n v="0"/>
    <x v="13"/>
  </r>
  <r>
    <n v="398"/>
    <s v="SMILE TRAIN"/>
    <d v="2022-10-24T00:00:00"/>
    <x v="1"/>
    <d v="2022-10-26T00:00:00"/>
    <d v="2022-10-26T00:00:00"/>
    <n v="22028600"/>
    <n v="2237224"/>
    <n v="10013527371"/>
    <s v="ROSHAN PASWAN"/>
    <x v="259"/>
    <n v="27569"/>
    <n v="30000"/>
    <n v="0"/>
    <n v="30000"/>
    <x v="1"/>
    <x v="1"/>
    <n v="0"/>
    <x v="6"/>
  </r>
  <r>
    <n v="399"/>
    <s v=" CGHS CREDIT"/>
    <d v="2022-10-12T00:00:00"/>
    <x v="1"/>
    <d v="2022-10-12T00:00:00"/>
    <d v="2022-10-12T00:00:00"/>
    <n v="22026763"/>
    <n v="2235713"/>
    <n v="1001692673"/>
    <s v="AMRIT PAL SHUKLA"/>
    <x v="43"/>
    <n v="0"/>
    <n v="1610"/>
    <n v="0"/>
    <n v="1610"/>
    <x v="1"/>
    <x v="6"/>
    <n v="0"/>
    <x v="13"/>
  </r>
  <r>
    <n v="400"/>
    <s v="Delhi Arogya kosh"/>
    <d v="2022-10-20T00:00:00"/>
    <x v="1"/>
    <d v="2022-10-20T00:00:00"/>
    <d v="2022-10-20T00:00:00"/>
    <n v="22027954"/>
    <n v="2236842"/>
    <n v="10013521877"/>
    <s v="TUNTUN  MANDAL"/>
    <x v="243"/>
    <n v="0"/>
    <n v="1274"/>
    <n v="0"/>
    <n v="1274"/>
    <x v="1"/>
    <x v="6"/>
    <n v="0"/>
    <x v="13"/>
  </r>
  <r>
    <n v="401"/>
    <s v=" CGHS CREDIT"/>
    <d v="2022-10-12T00:00:00"/>
    <x v="1"/>
    <d v="2022-10-12T00:00:00"/>
    <d v="2022-10-12T00:00:00"/>
    <n v="22026662"/>
    <n v="2235647"/>
    <n v="1001803044"/>
    <s v="GOVIND SINGH"/>
    <x v="43"/>
    <n v="0"/>
    <n v="1610"/>
    <n v="0"/>
    <n v="1610"/>
    <x v="1"/>
    <x v="6"/>
    <n v="0"/>
    <x v="13"/>
  </r>
  <r>
    <n v="402"/>
    <s v="Delhi Arogya kosh"/>
    <d v="2022-10-17T00:00:00"/>
    <x v="1"/>
    <d v="2022-10-17T00:00:00"/>
    <d v="2022-10-17T00:00:00"/>
    <n v="22027493"/>
    <n v="2236392"/>
    <n v="1000961855"/>
    <s v="SHASHI BALA"/>
    <x v="243"/>
    <n v="0"/>
    <n v="1274"/>
    <n v="0"/>
    <n v="1274"/>
    <x v="1"/>
    <x v="6"/>
    <n v="0"/>
    <x v="13"/>
  </r>
  <r>
    <n v="403"/>
    <s v=" CGHS CREDIT"/>
    <d v="2022-10-26T00:00:00"/>
    <x v="1"/>
    <d v="2022-10-26T00:00:00"/>
    <d v="2022-10-26T00:00:00"/>
    <n v="22028583"/>
    <n v="2237444"/>
    <n v="1001722362"/>
    <s v="PAWANA DEVI"/>
    <x v="43"/>
    <n v="0"/>
    <n v="1610"/>
    <n v="0"/>
    <n v="1610"/>
    <x v="1"/>
    <x v="6"/>
    <n v="0"/>
    <x v="13"/>
  </r>
  <r>
    <n v="404"/>
    <s v=" CGHS CREDIT"/>
    <d v="2022-10-11T00:00:00"/>
    <x v="1"/>
    <d v="2022-10-11T00:00:00"/>
    <d v="2022-10-11T00:00:00"/>
    <n v="22026494"/>
    <n v="2235506"/>
    <n v="10013503569"/>
    <s v="SURENDER KUMAR"/>
    <x v="43"/>
    <n v="0"/>
    <n v="1610"/>
    <n v="0"/>
    <n v="1610"/>
    <x v="1"/>
    <x v="6"/>
    <n v="0"/>
    <x v="13"/>
  </r>
  <r>
    <n v="405"/>
    <s v="Delhi Arogya kosh"/>
    <d v="2022-10-17T00:00:00"/>
    <x v="1"/>
    <d v="2022-10-17T00:00:00"/>
    <d v="2022-10-17T00:00:00"/>
    <n v="22027512"/>
    <n v="2236418"/>
    <n v="10013437822"/>
    <s v="JOGINDER PAL"/>
    <x v="243"/>
    <n v="0"/>
    <n v="1274"/>
    <n v="0"/>
    <n v="1274"/>
    <x v="1"/>
    <x v="6"/>
    <n v="0"/>
    <x v="13"/>
  </r>
  <r>
    <n v="406"/>
    <s v=" DAK DIALYSIS"/>
    <d v="2022-10-29T00:00:00"/>
    <x v="1"/>
    <d v="2022-10-29T00:00:00"/>
    <d v="2022-10-29T00:00:00"/>
    <n v="22029010"/>
    <n v="2237924"/>
    <n v="1001680001"/>
    <s v="BIPIN KUMAR"/>
    <x v="243"/>
    <n v="0"/>
    <n v="1274"/>
    <n v="0"/>
    <n v="1274"/>
    <x v="1"/>
    <x v="6"/>
    <n v="0"/>
    <x v="13"/>
  </r>
  <r>
    <n v="407"/>
    <s v=" CGHS CREDIT"/>
    <d v="2022-10-10T00:00:00"/>
    <x v="1"/>
    <d v="2022-10-10T00:00:00"/>
    <d v="2022-10-10T00:00:00"/>
    <n v="22026434"/>
    <n v="2235401"/>
    <n v="1001736024"/>
    <s v="RADHIKA"/>
    <x v="43"/>
    <n v="0"/>
    <n v="1610"/>
    <n v="0"/>
    <n v="1610"/>
    <x v="1"/>
    <x v="6"/>
    <n v="0"/>
    <x v="13"/>
  </r>
  <r>
    <n v="408"/>
    <s v="Delhi Arogya kosh"/>
    <d v="2022-10-07T00:00:00"/>
    <x v="1"/>
    <d v="2022-10-07T00:00:00"/>
    <d v="2022-10-07T00:00:00"/>
    <n v="22025998"/>
    <n v="2235027"/>
    <n v="1001397167"/>
    <s v="SUNIL KUMAR AGGARWAL"/>
    <x v="243"/>
    <n v="0"/>
    <n v="1274"/>
    <n v="0"/>
    <n v="1274"/>
    <x v="1"/>
    <x v="6"/>
    <n v="0"/>
    <x v="13"/>
  </r>
  <r>
    <n v="409"/>
    <s v="CGHS ( CREDIT)"/>
    <d v="2022-10-25T00:00:00"/>
    <x v="1"/>
    <d v="2022-10-25T00:00:00"/>
    <d v="2022-10-25T00:00:00"/>
    <n v="22028470"/>
    <n v="2237270"/>
    <n v="10013480632"/>
    <s v="MANJU GUPTA"/>
    <x v="43"/>
    <n v="0"/>
    <n v="1610"/>
    <n v="0"/>
    <n v="1610"/>
    <x v="1"/>
    <x v="6"/>
    <n v="0"/>
    <x v="13"/>
  </r>
  <r>
    <n v="410"/>
    <s v="Delhi Arogya kosh"/>
    <d v="2022-10-21T00:00:00"/>
    <x v="1"/>
    <d v="2022-10-21T00:00:00"/>
    <d v="2022-10-21T00:00:00"/>
    <n v="22028100"/>
    <n v="2236943"/>
    <n v="1001039513"/>
    <s v="RITU"/>
    <x v="243"/>
    <n v="0"/>
    <n v="1274"/>
    <n v="0"/>
    <n v="1274"/>
    <x v="1"/>
    <x v="6"/>
    <n v="0"/>
    <x v="13"/>
  </r>
  <r>
    <n v="411"/>
    <s v=" HEALTH INSURANCE TPA OF INDIA LTD"/>
    <d v="2022-10-12T00:00:00"/>
    <x v="1"/>
    <d v="2022-10-12T00:00:00"/>
    <d v="2022-10-12T00:00:00"/>
    <n v="22026796"/>
    <n v="2235752"/>
    <n v="1001445916"/>
    <s v="NAGENDER PATHAK"/>
    <x v="211"/>
    <n v="0"/>
    <n v="2000"/>
    <n v="0"/>
    <n v="2000"/>
    <x v="1"/>
    <x v="6"/>
    <n v="0"/>
    <x v="13"/>
  </r>
  <r>
    <n v="412"/>
    <s v=" DAK DIALYSIS"/>
    <d v="2022-10-14T00:00:00"/>
    <x v="1"/>
    <d v="2022-10-14T00:00:00"/>
    <d v="2022-10-14T00:00:00"/>
    <n v="22027083"/>
    <n v="2236008"/>
    <n v="1001684202"/>
    <s v="RAM NIWAS"/>
    <x v="243"/>
    <n v="0"/>
    <n v="1274"/>
    <n v="0"/>
    <n v="1274"/>
    <x v="1"/>
    <x v="6"/>
    <n v="0"/>
    <x v="13"/>
  </r>
  <r>
    <n v="413"/>
    <s v="ECHS"/>
    <d v="2022-10-17T00:00:00"/>
    <x v="1"/>
    <d v="2022-10-23T00:00:00"/>
    <d v="2022-10-23T00:00:00"/>
    <n v="22028391"/>
    <n v="2236367"/>
    <n v="10013543433"/>
    <s v="BULAKI RAM DAS"/>
    <x v="260"/>
    <n v="0"/>
    <n v="144478"/>
    <n v="0"/>
    <n v="144478"/>
    <x v="1"/>
    <x v="0"/>
    <n v="0"/>
    <x v="0"/>
  </r>
  <r>
    <n v="414"/>
    <s v="CGHS ( CREDIT)"/>
    <d v="2022-10-19T00:00:00"/>
    <x v="1"/>
    <d v="2022-10-19T00:00:00"/>
    <d v="2022-10-19T00:00:00"/>
    <n v="22027774"/>
    <n v="2236647"/>
    <n v="1001748211"/>
    <s v="J P GUPTA"/>
    <x v="261"/>
    <n v="0"/>
    <n v="11903"/>
    <n v="0"/>
    <n v="11903"/>
    <x v="1"/>
    <x v="1"/>
    <n v="0"/>
    <x v="4"/>
  </r>
  <r>
    <n v="415"/>
    <s v="CGHS ( CREDIT)"/>
    <d v="2022-10-25T00:00:00"/>
    <x v="1"/>
    <d v="2022-10-25T00:00:00"/>
    <d v="2022-10-25T00:00:00"/>
    <n v="22028469"/>
    <n v="2237267"/>
    <n v="10013401847"/>
    <s v="TIRLOCHAN SINGH"/>
    <x v="43"/>
    <n v="0"/>
    <n v="1610"/>
    <n v="0"/>
    <n v="1610"/>
    <x v="1"/>
    <x v="6"/>
    <n v="0"/>
    <x v="13"/>
  </r>
  <r>
    <n v="416"/>
    <s v=" DAK DIALYSIS"/>
    <d v="2022-10-29T00:00:00"/>
    <x v="1"/>
    <d v="2022-10-29T00:00:00"/>
    <d v="2022-10-29T00:00:00"/>
    <n v="22029012"/>
    <n v="2237934"/>
    <n v="1001678600"/>
    <s v="RAKESH THAKUR"/>
    <x v="243"/>
    <n v="0"/>
    <n v="1274"/>
    <n v="0"/>
    <n v="1274"/>
    <x v="1"/>
    <x v="6"/>
    <n v="0"/>
    <x v="13"/>
  </r>
  <r>
    <n v="417"/>
    <s v=" RAKSHA TPA PVT.LTD."/>
    <d v="2022-10-04T00:00:00"/>
    <x v="1"/>
    <d v="2022-10-04T00:00:00"/>
    <d v="2022-10-04T00:00:00"/>
    <n v="22025566"/>
    <n v="2234569"/>
    <n v="1001689981"/>
    <s v="RITIKA SINGH"/>
    <x v="141"/>
    <n v="0"/>
    <n v="2950"/>
    <n v="0"/>
    <n v="2950"/>
    <x v="1"/>
    <x v="6"/>
    <n v="0"/>
    <x v="13"/>
  </r>
  <r>
    <n v="418"/>
    <s v=" DAK DIALYSIS"/>
    <d v="2022-10-05T00:00:00"/>
    <x v="1"/>
    <d v="2022-10-05T00:00:00"/>
    <d v="2022-10-05T00:00:00"/>
    <n v="22025663"/>
    <n v="2234693"/>
    <n v="1001367923"/>
    <s v="PRIYANKA KUMARI"/>
    <x v="243"/>
    <n v="0"/>
    <n v="1274"/>
    <n v="0"/>
    <n v="1274"/>
    <x v="1"/>
    <x v="6"/>
    <n v="0"/>
    <x v="13"/>
  </r>
  <r>
    <n v="419"/>
    <s v=" DAK DIALYSIS"/>
    <d v="2022-10-18T00:00:00"/>
    <x v="1"/>
    <d v="2022-10-18T00:00:00"/>
    <d v="2022-10-18T00:00:00"/>
    <n v="22027583"/>
    <n v="2236496"/>
    <n v="1001712791"/>
    <s v="PAWAN SINGH"/>
    <x v="243"/>
    <n v="0"/>
    <n v="1274"/>
    <n v="0"/>
    <n v="1274"/>
    <x v="1"/>
    <x v="6"/>
    <n v="0"/>
    <x v="13"/>
  </r>
  <r>
    <n v="420"/>
    <s v="Delhi Arogya kosh"/>
    <d v="2022-10-23T00:00:00"/>
    <x v="1"/>
    <d v="2022-10-23T00:00:00"/>
    <d v="2022-10-23T00:00:00"/>
    <n v="22028346"/>
    <n v="2237137"/>
    <n v="1000891036"/>
    <s v="RAKIKESH KUMAR"/>
    <x v="243"/>
    <n v="0"/>
    <n v="1274"/>
    <n v="0"/>
    <n v="1274"/>
    <x v="1"/>
    <x v="6"/>
    <n v="0"/>
    <x v="13"/>
  </r>
  <r>
    <n v="421"/>
    <s v=" DAK DIALYSIS"/>
    <d v="2022-10-21T00:00:00"/>
    <x v="1"/>
    <d v="2022-10-21T00:00:00"/>
    <d v="2022-10-21T00:00:00"/>
    <n v="22027975"/>
    <n v="2236867"/>
    <n v="1001367923"/>
    <s v="PRIYANKA KUMARI"/>
    <x v="243"/>
    <n v="0"/>
    <n v="1274"/>
    <n v="0"/>
    <n v="1274"/>
    <x v="1"/>
    <x v="6"/>
    <n v="0"/>
    <x v="13"/>
  </r>
  <r>
    <n v="422"/>
    <s v=" ECHS CREDIT"/>
    <d v="2022-10-18T00:00:00"/>
    <x v="1"/>
    <d v="2022-10-18T00:00:00"/>
    <d v="2022-10-18T00:00:00"/>
    <n v="22027530"/>
    <n v="2236443"/>
    <n v="1001763340"/>
    <s v="ASHOK KUMAR"/>
    <x v="43"/>
    <n v="0"/>
    <n v="1610"/>
    <n v="0"/>
    <n v="1610"/>
    <x v="1"/>
    <x v="6"/>
    <n v="0"/>
    <x v="13"/>
  </r>
  <r>
    <n v="423"/>
    <s v=" CGHS CREDIT"/>
    <d v="2022-10-12T00:00:00"/>
    <x v="1"/>
    <d v="2022-10-12T00:00:00"/>
    <d v="2022-10-12T00:00:00"/>
    <n v="22026800"/>
    <n v="2235741"/>
    <n v="1001777526"/>
    <s v="PRADEEP KUMAR MALIK"/>
    <x v="43"/>
    <n v="0"/>
    <n v="1610"/>
    <n v="0"/>
    <n v="1610"/>
    <x v="1"/>
    <x v="6"/>
    <n v="0"/>
    <x v="13"/>
  </r>
  <r>
    <n v="424"/>
    <s v=" DGEHS (CREDIT)"/>
    <d v="2022-10-28T00:00:00"/>
    <x v="1"/>
    <d v="2022-10-28T00:00:00"/>
    <d v="2022-10-28T00:00:00"/>
    <n v="22028857"/>
    <n v="2237754"/>
    <n v="1001756832"/>
    <s v="VIJAY DEVI"/>
    <x v="43"/>
    <n v="0"/>
    <n v="1610"/>
    <n v="0"/>
    <n v="1610"/>
    <x v="1"/>
    <x v="6"/>
    <n v="0"/>
    <x v="13"/>
  </r>
  <r>
    <n v="425"/>
    <s v="Delhi Arogya kosh"/>
    <d v="2022-10-04T00:00:00"/>
    <x v="1"/>
    <d v="2022-10-04T00:00:00"/>
    <d v="2022-10-04T00:00:00"/>
    <n v="22025617"/>
    <n v="2234616"/>
    <n v="1001082290"/>
    <s v="SUSHMA"/>
    <x v="243"/>
    <n v="0"/>
    <n v="1274"/>
    <n v="0"/>
    <n v="1274"/>
    <x v="1"/>
    <x v="6"/>
    <n v="0"/>
    <x v="13"/>
  </r>
  <r>
    <n v="426"/>
    <s v="Health Insurance TPA of India Ltd."/>
    <d v="2022-10-03T00:00:00"/>
    <x v="1"/>
    <d v="2022-10-03T00:00:00"/>
    <d v="2022-10-03T00:00:00"/>
    <n v="22025349"/>
    <n v="2234361"/>
    <n v="1001547355"/>
    <s v="AJAY BAJAJ"/>
    <x v="75"/>
    <n v="0"/>
    <n v="2200"/>
    <n v="0"/>
    <n v="2200"/>
    <x v="1"/>
    <x v="12"/>
    <n v="0"/>
    <x v="13"/>
  </r>
  <r>
    <n v="427"/>
    <s v="MEDI ASSIST"/>
    <d v="2022-10-26T00:00:00"/>
    <x v="1"/>
    <d v="2022-10-31T00:00:00"/>
    <d v="2022-10-31T00:00:00"/>
    <n v="22029280"/>
    <n v="2237491"/>
    <n v="1001016551"/>
    <s v="SHAGUN JAIN"/>
    <x v="262"/>
    <n v="9646"/>
    <n v="63445"/>
    <n v="0"/>
    <n v="63445"/>
    <x v="1"/>
    <x v="5"/>
    <n v="0"/>
    <x v="0"/>
  </r>
  <r>
    <n v="428"/>
    <s v=" DAK DIALYSIS"/>
    <d v="2022-10-31T00:00:00"/>
    <x v="1"/>
    <d v="2022-10-31T00:00:00"/>
    <d v="2022-10-31T00:00:00"/>
    <n v="22029353"/>
    <n v="2238215"/>
    <n v="1001767553"/>
    <s v="VIJAY SINGH NEGI"/>
    <x v="243"/>
    <n v="0"/>
    <n v="1274"/>
    <n v="0"/>
    <n v="1274"/>
    <x v="1"/>
    <x v="6"/>
    <n v="0"/>
    <x v="13"/>
  </r>
  <r>
    <n v="429"/>
    <s v="Delhi Arogya kosh"/>
    <d v="2022-10-07T00:00:00"/>
    <x v="1"/>
    <d v="2022-10-07T00:00:00"/>
    <d v="2022-10-07T00:00:00"/>
    <n v="22026036"/>
    <n v="2235058"/>
    <n v="10013449380"/>
    <s v="RAM NARAYAN MANDAL"/>
    <x v="243"/>
    <n v="0"/>
    <n v="1274"/>
    <n v="0"/>
    <n v="1274"/>
    <x v="1"/>
    <x v="6"/>
    <n v="0"/>
    <x v="13"/>
  </r>
  <r>
    <n v="430"/>
    <s v="Delhi Arogya kosh"/>
    <d v="2022-10-17T00:00:00"/>
    <x v="1"/>
    <d v="2022-10-17T00:00:00"/>
    <d v="2022-10-17T00:00:00"/>
    <n v="22027508"/>
    <n v="2236421"/>
    <n v="1001004027"/>
    <s v="PARTAP SINGH"/>
    <x v="243"/>
    <n v="0"/>
    <n v="1274"/>
    <n v="0"/>
    <n v="1274"/>
    <x v="1"/>
    <x v="6"/>
    <n v="0"/>
    <x v="13"/>
  </r>
  <r>
    <n v="431"/>
    <s v="Delhi Arogya kosh"/>
    <d v="2022-10-15T00:00:00"/>
    <x v="1"/>
    <d v="2022-10-15T00:00:00"/>
    <d v="2022-10-15T00:00:00"/>
    <n v="22027251"/>
    <n v="2236169"/>
    <n v="1001761745"/>
    <s v="SATYA PAL GOEL"/>
    <x v="243"/>
    <n v="0"/>
    <n v="1274"/>
    <n v="0"/>
    <n v="1274"/>
    <x v="1"/>
    <x v="6"/>
    <n v="0"/>
    <x v="13"/>
  </r>
  <r>
    <n v="432"/>
    <s v="GENERAL PATIENT"/>
    <d v="2022-10-01T00:00:00"/>
    <x v="1"/>
    <d v="2022-10-13T00:00:00"/>
    <d v="2022-10-13T00:00:00"/>
    <n v="22026951"/>
    <n v="2234199"/>
    <n v="1001795405"/>
    <s v="UDAY PRASAD GUPTA"/>
    <x v="263"/>
    <n v="275289"/>
    <n v="1850"/>
    <n v="0"/>
    <n v="1850"/>
    <x v="1"/>
    <x v="9"/>
    <n v="0"/>
    <x v="10"/>
  </r>
  <r>
    <n v="433"/>
    <s v="Health Insurance TPA of India Ltd."/>
    <d v="2022-10-07T00:00:00"/>
    <x v="1"/>
    <d v="2022-10-07T00:00:00"/>
    <d v="2022-10-07T00:00:00"/>
    <n v="22026041"/>
    <n v="2235062"/>
    <n v="1001547355"/>
    <s v="AJAY BAJAJ"/>
    <x v="75"/>
    <n v="0"/>
    <n v="2200"/>
    <n v="0"/>
    <n v="2200"/>
    <x v="1"/>
    <x v="12"/>
    <n v="0"/>
    <x v="13"/>
  </r>
  <r>
    <n v="434"/>
    <s v="Delhi Arogya kosh"/>
    <d v="2022-10-25T00:00:00"/>
    <x v="1"/>
    <d v="2022-10-25T00:00:00"/>
    <d v="2022-10-25T00:00:00"/>
    <n v="22028567"/>
    <n v="2237402"/>
    <n v="10013521329"/>
    <s v="KANTI"/>
    <x v="243"/>
    <n v="0"/>
    <n v="1274"/>
    <n v="0"/>
    <n v="1274"/>
    <x v="1"/>
    <x v="6"/>
    <n v="0"/>
    <x v="13"/>
  </r>
  <r>
    <n v="435"/>
    <s v=" DAK DIALYSIS"/>
    <d v="2022-10-03T00:00:00"/>
    <x v="1"/>
    <d v="2022-10-03T00:00:00"/>
    <d v="2022-10-03T00:00:00"/>
    <n v="22025346"/>
    <n v="2234366"/>
    <n v="1001767553"/>
    <s v="VIJAY SINGH NEGI"/>
    <x v="243"/>
    <n v="0"/>
    <n v="1274"/>
    <n v="0"/>
    <n v="1274"/>
    <x v="1"/>
    <x v="6"/>
    <n v="0"/>
    <x v="13"/>
  </r>
  <r>
    <n v="436"/>
    <s v=" DAK DIALYSIS"/>
    <d v="2022-10-29T00:00:00"/>
    <x v="1"/>
    <d v="2022-10-29T00:00:00"/>
    <d v="2022-10-29T00:00:00"/>
    <n v="22029146"/>
    <n v="2238008"/>
    <n v="1001648223"/>
    <s v="BRIJ LAL KORI"/>
    <x v="243"/>
    <n v="0"/>
    <n v="1274"/>
    <n v="0"/>
    <n v="1274"/>
    <x v="1"/>
    <x v="6"/>
    <n v="0"/>
    <x v="13"/>
  </r>
  <r>
    <n v="437"/>
    <s v="Delhi Arogya kosh"/>
    <d v="2022-10-03T00:00:00"/>
    <x v="1"/>
    <d v="2022-10-03T00:00:00"/>
    <d v="2022-10-03T00:00:00"/>
    <n v="22025459"/>
    <n v="2234475"/>
    <n v="10013426616"/>
    <s v="ANIL KUMAR GUPTA"/>
    <x v="243"/>
    <n v="0"/>
    <n v="1274"/>
    <n v="0"/>
    <n v="1274"/>
    <x v="1"/>
    <x v="6"/>
    <n v="0"/>
    <x v="13"/>
  </r>
  <r>
    <n v="438"/>
    <s v=" DAK DIALYSIS"/>
    <d v="2022-10-28T00:00:00"/>
    <x v="1"/>
    <d v="2022-10-28T00:00:00"/>
    <d v="2022-10-28T00:00:00"/>
    <n v="22028860"/>
    <n v="2237749"/>
    <n v="1001449196"/>
    <s v="RAKESH JAIN"/>
    <x v="243"/>
    <n v="0"/>
    <n v="1274"/>
    <n v="0"/>
    <n v="1274"/>
    <x v="1"/>
    <x v="6"/>
    <n v="0"/>
    <x v="13"/>
  </r>
  <r>
    <n v="439"/>
    <s v=" STAR HEALTH TPA"/>
    <d v="2022-10-10T00:00:00"/>
    <x v="1"/>
    <d v="2022-10-11T00:00:00"/>
    <d v="2022-10-11T00:00:00"/>
    <n v="22026615"/>
    <n v="2235386"/>
    <n v="1001803574"/>
    <s v="MANOJ  PRABHAKAR"/>
    <x v="264"/>
    <n v="0"/>
    <n v="86043"/>
    <n v="0"/>
    <n v="86043"/>
    <x v="1"/>
    <x v="0"/>
    <n v="0"/>
    <x v="14"/>
  </r>
  <r>
    <n v="440"/>
    <s v="NIVA BUPA"/>
    <d v="2022-10-01T00:00:00"/>
    <x v="1"/>
    <d v="2022-10-01T00:00:00"/>
    <d v="2022-10-01T00:00:00"/>
    <n v="22025130"/>
    <n v="2234148"/>
    <n v="10013484190"/>
    <s v="JULI SINGH"/>
    <x v="254"/>
    <n v="0"/>
    <n v="2240"/>
    <n v="0"/>
    <n v="2240"/>
    <x v="1"/>
    <x v="6"/>
    <n v="0"/>
    <x v="13"/>
  </r>
  <r>
    <n v="441"/>
    <s v="Delhi Arogya kosh"/>
    <d v="2022-10-08T00:00:00"/>
    <x v="1"/>
    <d v="2022-10-08T00:00:00"/>
    <d v="2022-10-08T00:00:00"/>
    <n v="22026231"/>
    <n v="2235235"/>
    <n v="1000857532"/>
    <s v="HARI BABU"/>
    <x v="243"/>
    <n v="0"/>
    <n v="1274"/>
    <n v="0"/>
    <n v="1274"/>
    <x v="1"/>
    <x v="6"/>
    <n v="0"/>
    <x v="13"/>
  </r>
  <r>
    <n v="442"/>
    <s v="Delhi Arogya kosh"/>
    <d v="2022-10-10T00:00:00"/>
    <x v="1"/>
    <d v="2022-10-10T00:00:00"/>
    <d v="2022-10-10T00:00:00"/>
    <n v="22026480"/>
    <n v="2235451"/>
    <n v="1001237257"/>
    <s v="RAJPATI"/>
    <x v="243"/>
    <n v="0"/>
    <n v="1274"/>
    <n v="0"/>
    <n v="1274"/>
    <x v="1"/>
    <x v="6"/>
    <n v="0"/>
    <x v="13"/>
  </r>
  <r>
    <n v="443"/>
    <s v="Delhi Arogya kosh"/>
    <d v="2022-10-29T00:00:00"/>
    <x v="1"/>
    <d v="2022-10-29T00:00:00"/>
    <d v="2022-10-29T00:00:00"/>
    <n v="22029157"/>
    <n v="2238014"/>
    <n v="1001590721"/>
    <s v="MAMTA"/>
    <x v="243"/>
    <n v="0"/>
    <n v="1274"/>
    <n v="0"/>
    <n v="1274"/>
    <x v="1"/>
    <x v="6"/>
    <n v="0"/>
    <x v="13"/>
  </r>
  <r>
    <n v="444"/>
    <s v=" DAK DIALYSIS"/>
    <d v="2022-10-08T00:00:00"/>
    <x v="1"/>
    <d v="2022-10-08T00:00:00"/>
    <d v="2022-10-08T00:00:00"/>
    <n v="22026076"/>
    <n v="2235121"/>
    <n v="1001678600"/>
    <s v="RAKESH THAKUR"/>
    <x v="243"/>
    <n v="0"/>
    <n v="1274"/>
    <n v="0"/>
    <n v="1274"/>
    <x v="1"/>
    <x v="6"/>
    <n v="0"/>
    <x v="13"/>
  </r>
  <r>
    <n v="445"/>
    <s v="Delhi Arogya kosh"/>
    <d v="2022-10-26T00:00:00"/>
    <x v="1"/>
    <d v="2022-10-26T00:00:00"/>
    <d v="2022-10-26T00:00:00"/>
    <n v="22028695"/>
    <n v="2237572"/>
    <n v="10013499172"/>
    <s v="TUSHAR GOEL"/>
    <x v="243"/>
    <n v="0"/>
    <n v="1274"/>
    <n v="0"/>
    <n v="1274"/>
    <x v="1"/>
    <x v="6"/>
    <n v="0"/>
    <x v="13"/>
  </r>
  <r>
    <n v="446"/>
    <s v="Delhi Arogya kosh"/>
    <d v="2022-10-01T00:00:00"/>
    <x v="1"/>
    <d v="2022-10-01T00:00:00"/>
    <d v="2022-10-01T00:00:00"/>
    <n v="22025257"/>
    <n v="2234281"/>
    <n v="10013453025"/>
    <s v="VIRENDER SINGH"/>
    <x v="243"/>
    <n v="0"/>
    <n v="1274"/>
    <n v="0"/>
    <n v="1274"/>
    <x v="1"/>
    <x v="6"/>
    <n v="0"/>
    <x v="13"/>
  </r>
  <r>
    <n v="447"/>
    <s v="Safeway Mediclaim Services Pvt. Ltd."/>
    <d v="2022-10-07T00:00:00"/>
    <x v="1"/>
    <d v="2022-10-07T00:00:00"/>
    <d v="2022-10-07T00:00:00"/>
    <n v="22026050"/>
    <n v="2235075"/>
    <n v="1001020879"/>
    <s v="KUSUM LATA"/>
    <x v="75"/>
    <n v="0"/>
    <n v="2200"/>
    <n v="0"/>
    <n v="2200"/>
    <x v="1"/>
    <x v="12"/>
    <n v="0"/>
    <x v="13"/>
  </r>
  <r>
    <n v="448"/>
    <s v="Delhi Arogya kosh"/>
    <d v="2022-10-05T00:00:00"/>
    <x v="1"/>
    <d v="2022-10-05T00:00:00"/>
    <d v="2022-10-05T00:00:00"/>
    <n v="22025772"/>
    <n v="2234756"/>
    <n v="10013276269"/>
    <s v="DAYA SHANKAR"/>
    <x v="243"/>
    <n v="0"/>
    <n v="1274"/>
    <n v="0"/>
    <n v="1274"/>
    <x v="1"/>
    <x v="6"/>
    <n v="0"/>
    <x v="13"/>
  </r>
  <r>
    <n v="449"/>
    <s v="NIVA BUPA"/>
    <d v="2022-10-05T00:00:00"/>
    <x v="1"/>
    <d v="2022-10-05T00:00:00"/>
    <d v="2022-10-05T00:00:00"/>
    <n v="22025647"/>
    <n v="2234687"/>
    <n v="10013484190"/>
    <s v="JULI SINGH"/>
    <x v="254"/>
    <n v="0"/>
    <n v="2240"/>
    <n v="0"/>
    <n v="2240"/>
    <x v="1"/>
    <x v="6"/>
    <n v="0"/>
    <x v="13"/>
  </r>
  <r>
    <n v="450"/>
    <s v="CGHS ( CREDIT)"/>
    <d v="2022-10-17T00:00:00"/>
    <x v="1"/>
    <d v="2022-10-17T00:00:00"/>
    <d v="2022-10-17T00:00:00"/>
    <n v="22027476"/>
    <n v="2236363"/>
    <n v="1001040508"/>
    <s v="RAVI BHUSHAN"/>
    <x v="261"/>
    <n v="0"/>
    <n v="11903"/>
    <n v="0"/>
    <n v="11903"/>
    <x v="1"/>
    <x v="1"/>
    <n v="0"/>
    <x v="4"/>
  </r>
  <r>
    <n v="451"/>
    <s v="ECHS"/>
    <d v="2022-10-07T00:00:00"/>
    <x v="1"/>
    <d v="2022-10-19T00:00:00"/>
    <d v="2022-10-19T00:00:00"/>
    <n v="22027756"/>
    <n v="2235067"/>
    <n v="1001167517"/>
    <s v="KRISHNA KUMARI"/>
    <x v="265"/>
    <n v="0"/>
    <n v="129736"/>
    <n v="0"/>
    <n v="129736"/>
    <x v="1"/>
    <x v="1"/>
    <n v="0"/>
    <x v="0"/>
  </r>
  <r>
    <n v="452"/>
    <s v="Delhi Arogya kosh"/>
    <d v="2022-10-10T00:00:00"/>
    <x v="1"/>
    <d v="2022-10-10T00:00:00"/>
    <d v="2022-10-10T00:00:00"/>
    <n v="22026469"/>
    <n v="2235424"/>
    <n v="1000961855"/>
    <s v="SHASHI BALA"/>
    <x v="243"/>
    <n v="0"/>
    <n v="1274"/>
    <n v="0"/>
    <n v="1274"/>
    <x v="1"/>
    <x v="6"/>
    <n v="0"/>
    <x v="13"/>
  </r>
  <r>
    <n v="453"/>
    <s v="CGHS ( CREDIT)"/>
    <d v="2022-10-21T00:00:00"/>
    <x v="1"/>
    <d v="2022-10-21T00:00:00"/>
    <d v="2022-10-21T00:00:00"/>
    <n v="22027968"/>
    <n v="2236868"/>
    <n v="10013453991"/>
    <s v="RAJENDER"/>
    <x v="43"/>
    <n v="0"/>
    <n v="1610"/>
    <n v="0"/>
    <n v="1610"/>
    <x v="1"/>
    <x v="6"/>
    <n v="0"/>
    <x v="13"/>
  </r>
  <r>
    <n v="454"/>
    <s v="Delhi Arogya kosh"/>
    <d v="2022-10-05T00:00:00"/>
    <x v="1"/>
    <d v="2022-10-05T00:00:00"/>
    <d v="2022-10-05T00:00:00"/>
    <n v="22025725"/>
    <n v="2234726"/>
    <n v="1000889533"/>
    <s v="MANJU AGGARWAL"/>
    <x v="243"/>
    <n v="0"/>
    <n v="1274"/>
    <n v="0"/>
    <n v="1274"/>
    <x v="1"/>
    <x v="6"/>
    <n v="0"/>
    <x v="13"/>
  </r>
  <r>
    <n v="455"/>
    <s v="Delhi Arogya kosh"/>
    <d v="2022-10-19T00:00:00"/>
    <x v="1"/>
    <d v="2022-10-19T00:00:00"/>
    <d v="2022-10-19T00:00:00"/>
    <n v="22027784"/>
    <n v="2236668"/>
    <n v="10013506167"/>
    <s v="KETAN GOEL"/>
    <x v="243"/>
    <n v="0"/>
    <n v="1274"/>
    <n v="0"/>
    <n v="1274"/>
    <x v="1"/>
    <x v="6"/>
    <n v="0"/>
    <x v="13"/>
  </r>
  <r>
    <n v="456"/>
    <s v=" ECHS CREDIT"/>
    <d v="2022-10-28T00:00:00"/>
    <x v="1"/>
    <d v="2022-10-28T00:00:00"/>
    <d v="2022-10-28T00:00:00"/>
    <n v="22028971"/>
    <n v="2237848"/>
    <n v="1001797077"/>
    <s v="DURGA DEVI"/>
    <x v="43"/>
    <n v="0"/>
    <n v="1610"/>
    <n v="0"/>
    <n v="1610"/>
    <x v="1"/>
    <x v="6"/>
    <n v="0"/>
    <x v="13"/>
  </r>
  <r>
    <n v="457"/>
    <s v=" DAK DIALYSIS"/>
    <d v="2022-10-19T00:00:00"/>
    <x v="1"/>
    <d v="2022-10-19T00:00:00"/>
    <d v="2022-10-19T00:00:00"/>
    <n v="22027650"/>
    <n v="2236582"/>
    <n v="1001367923"/>
    <s v="PRIYANKA KUMARI"/>
    <x v="243"/>
    <n v="0"/>
    <n v="1274"/>
    <n v="0"/>
    <n v="1274"/>
    <x v="1"/>
    <x v="6"/>
    <n v="0"/>
    <x v="13"/>
  </r>
  <r>
    <n v="458"/>
    <s v=" CGHS CREDIT"/>
    <d v="2022-10-17T00:00:00"/>
    <x v="1"/>
    <d v="2022-10-19T00:00:00"/>
    <d v="2022-10-19T00:00:00"/>
    <n v="22027759"/>
    <n v="2236313"/>
    <n v="1001375172"/>
    <s v="BADAMI DEVI"/>
    <x v="266"/>
    <n v="0"/>
    <n v="92168"/>
    <n v="0"/>
    <n v="92168"/>
    <x v="1"/>
    <x v="1"/>
    <n v="0"/>
    <x v="16"/>
  </r>
  <r>
    <n v="459"/>
    <s v=" CGHS CREDIT"/>
    <d v="2022-10-14T00:00:00"/>
    <x v="1"/>
    <d v="2022-10-14T00:00:00"/>
    <d v="2022-10-14T00:00:00"/>
    <n v="22027056"/>
    <n v="2235981"/>
    <n v="1001729640"/>
    <s v="BRIJ MOHAN"/>
    <x v="43"/>
    <n v="0"/>
    <n v="1610"/>
    <n v="0"/>
    <n v="1610"/>
    <x v="1"/>
    <x v="6"/>
    <n v="0"/>
    <x v="13"/>
  </r>
  <r>
    <n v="460"/>
    <s v=" ECHS CREDIT"/>
    <d v="2022-10-04T00:00:00"/>
    <x v="1"/>
    <d v="2022-10-04T00:00:00"/>
    <d v="2022-10-04T00:00:00"/>
    <n v="22025553"/>
    <n v="2234567"/>
    <n v="1001765693"/>
    <s v="SHRI PRAKASH PRAJAPATI"/>
    <x v="43"/>
    <n v="0"/>
    <n v="1610"/>
    <n v="0"/>
    <n v="1610"/>
    <x v="1"/>
    <x v="6"/>
    <n v="0"/>
    <x v="13"/>
  </r>
  <r>
    <n v="461"/>
    <s v=" DAK DIALYSIS"/>
    <d v="2022-10-24T00:00:00"/>
    <x v="1"/>
    <d v="2022-10-24T00:00:00"/>
    <d v="2022-10-24T00:00:00"/>
    <n v="22028443"/>
    <n v="2237234"/>
    <n v="1001684202"/>
    <s v="RAM NIWAS"/>
    <x v="243"/>
    <n v="0"/>
    <n v="1274"/>
    <n v="0"/>
    <n v="1274"/>
    <x v="1"/>
    <x v="6"/>
    <n v="0"/>
    <x v="13"/>
  </r>
  <r>
    <n v="462"/>
    <s v="Delhi Arogya kosh"/>
    <d v="2022-10-04T00:00:00"/>
    <x v="1"/>
    <d v="2022-10-04T00:00:00"/>
    <d v="2022-10-04T00:00:00"/>
    <n v="22025616"/>
    <n v="2234618"/>
    <n v="10013520283"/>
    <s v="DEVI RANI"/>
    <x v="243"/>
    <n v="0"/>
    <n v="1274"/>
    <n v="0"/>
    <n v="1274"/>
    <x v="1"/>
    <x v="6"/>
    <n v="0"/>
    <x v="13"/>
  </r>
  <r>
    <n v="463"/>
    <s v="Delhi Arogya kosh"/>
    <d v="2022-10-06T00:00:00"/>
    <x v="1"/>
    <d v="2022-10-08T00:00:00"/>
    <d v="2022-10-09T00:00:00"/>
    <n v="22026281"/>
    <n v="2234909"/>
    <n v="10013531598"/>
    <s v="OMWATI"/>
    <x v="267"/>
    <n v="0"/>
    <n v="163868"/>
    <n v="0"/>
    <n v="163868"/>
    <x v="1"/>
    <x v="15"/>
    <n v="0"/>
    <x v="4"/>
  </r>
  <r>
    <n v="464"/>
    <s v=" ECHS CREDIT"/>
    <d v="2022-10-26T00:00:00"/>
    <x v="1"/>
    <d v="2022-10-27T00:00:00"/>
    <d v="2022-10-27T00:00:00"/>
    <n v="22028817"/>
    <n v="2237582"/>
    <n v="1001330247"/>
    <s v="OM PRAKASH"/>
    <x v="268"/>
    <n v="0"/>
    <n v="12162"/>
    <n v="0"/>
    <n v="12162"/>
    <x v="1"/>
    <x v="1"/>
    <n v="0"/>
    <x v="0"/>
  </r>
  <r>
    <n v="465"/>
    <s v=" DAK DIALYSIS"/>
    <d v="2022-10-12T00:00:00"/>
    <x v="1"/>
    <d v="2022-10-12T00:00:00"/>
    <d v="2022-10-12T00:00:00"/>
    <n v="22026799"/>
    <n v="2235753"/>
    <n v="1001699417"/>
    <s v="T.THAMBAN"/>
    <x v="243"/>
    <n v="0"/>
    <n v="1274"/>
    <n v="0"/>
    <n v="1274"/>
    <x v="1"/>
    <x v="6"/>
    <n v="0"/>
    <x v="13"/>
  </r>
  <r>
    <n v="466"/>
    <s v=" DAK DIALYSIS"/>
    <d v="2022-10-08T00:00:00"/>
    <x v="1"/>
    <d v="2022-10-08T00:00:00"/>
    <d v="2022-10-08T00:00:00"/>
    <n v="22026187"/>
    <n v="2235185"/>
    <n v="1001712791"/>
    <s v="PAWAN SINGH"/>
    <x v="243"/>
    <n v="0"/>
    <n v="1274"/>
    <n v="0"/>
    <n v="1274"/>
    <x v="1"/>
    <x v="6"/>
    <n v="0"/>
    <x v="13"/>
  </r>
  <r>
    <n v="467"/>
    <s v="Delhi Arogya kosh"/>
    <d v="2022-10-23T00:00:00"/>
    <x v="1"/>
    <d v="2022-10-23T00:00:00"/>
    <d v="2022-10-23T00:00:00"/>
    <n v="22028349"/>
    <n v="2237134"/>
    <n v="10013435866"/>
    <s v="SUSHIL KUMAR AGGARWAL"/>
    <x v="243"/>
    <n v="0"/>
    <n v="1274"/>
    <n v="0"/>
    <n v="1274"/>
    <x v="1"/>
    <x v="6"/>
    <n v="0"/>
    <x v="13"/>
  </r>
  <r>
    <n v="468"/>
    <s v=" DAK DIALYSIS"/>
    <d v="2022-10-18T00:00:00"/>
    <x v="1"/>
    <d v="2022-10-18T00:00:00"/>
    <d v="2022-10-18T00:00:00"/>
    <n v="22027536"/>
    <n v="2236453"/>
    <n v="1001449196"/>
    <s v="RAKESH JAIN"/>
    <x v="243"/>
    <n v="0"/>
    <n v="1274"/>
    <n v="0"/>
    <n v="1274"/>
    <x v="1"/>
    <x v="6"/>
    <n v="0"/>
    <x v="13"/>
  </r>
  <r>
    <n v="469"/>
    <s v="ECHS"/>
    <d v="2022-09-28T00:00:00"/>
    <x v="0"/>
    <d v="2022-10-05T00:00:00"/>
    <d v="2022-10-05T00:00:00"/>
    <n v="22025685"/>
    <n v="2233786"/>
    <n v="10013540656"/>
    <s v="KRISHANA DEVI"/>
    <x v="269"/>
    <n v="0"/>
    <n v="55707"/>
    <n v="0"/>
    <n v="55707"/>
    <x v="1"/>
    <x v="0"/>
    <n v="0"/>
    <x v="0"/>
  </r>
  <r>
    <n v="470"/>
    <s v=" CGHS CREDIT"/>
    <d v="2022-10-26T00:00:00"/>
    <x v="1"/>
    <d v="2022-10-26T00:00:00"/>
    <d v="2022-10-26T00:00:00"/>
    <n v="22028640"/>
    <n v="2237509"/>
    <n v="1001777526"/>
    <s v="PRADEEP KUMAR MALIK"/>
    <x v="43"/>
    <n v="0"/>
    <n v="1610"/>
    <n v="0"/>
    <n v="1610"/>
    <x v="1"/>
    <x v="6"/>
    <n v="0"/>
    <x v="13"/>
  </r>
  <r>
    <n v="471"/>
    <s v=" DGEHS (CREDIT)"/>
    <d v="2022-10-17T00:00:00"/>
    <x v="1"/>
    <d v="2022-10-17T00:00:00"/>
    <d v="2022-10-17T00:00:00"/>
    <n v="22027449"/>
    <n v="2236347"/>
    <n v="1001756832"/>
    <s v="VIJAY DEVI"/>
    <x v="43"/>
    <n v="0"/>
    <n v="1610"/>
    <n v="0"/>
    <n v="1610"/>
    <x v="1"/>
    <x v="6"/>
    <n v="0"/>
    <x v="13"/>
  </r>
  <r>
    <n v="472"/>
    <s v=" CGHS CREDIT"/>
    <d v="2022-10-14T00:00:00"/>
    <x v="1"/>
    <d v="2022-10-14T00:00:00"/>
    <d v="2022-10-14T00:00:00"/>
    <n v="22027077"/>
    <n v="2235946"/>
    <n v="1001583741"/>
    <s v="JAWAHAR SAMANTA"/>
    <x v="270"/>
    <n v="0"/>
    <n v="13743"/>
    <n v="0"/>
    <n v="13743"/>
    <x v="1"/>
    <x v="0"/>
    <n v="0"/>
    <x v="4"/>
  </r>
  <r>
    <n v="473"/>
    <s v="Delhi Arogya kosh"/>
    <d v="2022-10-22T00:00:00"/>
    <x v="1"/>
    <d v="2022-10-22T00:00:00"/>
    <d v="2022-10-22T00:00:00"/>
    <n v="22028273"/>
    <n v="2237076"/>
    <n v="1001590721"/>
    <s v="MAMTA"/>
    <x v="243"/>
    <n v="0"/>
    <n v="1274"/>
    <n v="0"/>
    <n v="1274"/>
    <x v="1"/>
    <x v="6"/>
    <n v="0"/>
    <x v="13"/>
  </r>
  <r>
    <n v="474"/>
    <s v="CGHS ( CREDIT)"/>
    <d v="2022-10-25T00:00:00"/>
    <x v="1"/>
    <d v="2022-10-25T00:00:00"/>
    <d v="2022-10-25T00:00:00"/>
    <n v="22028521"/>
    <n v="2237308"/>
    <n v="1001300172"/>
    <s v="SWARN LATA KINDRA"/>
    <x v="43"/>
    <n v="0"/>
    <n v="1610"/>
    <n v="0"/>
    <n v="1610"/>
    <x v="1"/>
    <x v="6"/>
    <n v="0"/>
    <x v="13"/>
  </r>
  <r>
    <n v="475"/>
    <s v=" CGHS CREDIT"/>
    <d v="2022-10-17T00:00:00"/>
    <x v="1"/>
    <d v="2022-10-17T00:00:00"/>
    <d v="2022-10-17T00:00:00"/>
    <n v="22027448"/>
    <n v="2236343"/>
    <n v="1001803044"/>
    <s v="GOVIND SINGH"/>
    <x v="43"/>
    <n v="0"/>
    <n v="1610"/>
    <n v="0"/>
    <n v="1610"/>
    <x v="1"/>
    <x v="6"/>
    <n v="0"/>
    <x v="13"/>
  </r>
  <r>
    <n v="476"/>
    <s v="MEDI ASSIST"/>
    <d v="2022-10-04T00:00:00"/>
    <x v="1"/>
    <d v="2022-10-04T00:00:00"/>
    <d v="2022-10-04T00:00:00"/>
    <n v="22025556"/>
    <n v="2234557"/>
    <n v="10013511637"/>
    <s v="MANJU KOHLI"/>
    <x v="75"/>
    <n v="0"/>
    <n v="2200"/>
    <n v="0"/>
    <n v="2200"/>
    <x v="1"/>
    <x v="12"/>
    <n v="0"/>
    <x v="13"/>
  </r>
  <r>
    <n v="477"/>
    <s v="Delhi Arogya kosh"/>
    <d v="2022-10-03T00:00:00"/>
    <x v="1"/>
    <d v="2022-10-03T00:00:00"/>
    <d v="2022-10-03T00:00:00"/>
    <n v="22025463"/>
    <n v="2234483"/>
    <n v="1001086099"/>
    <s v="RAMESHWAR"/>
    <x v="243"/>
    <n v="0"/>
    <n v="1274"/>
    <n v="0"/>
    <n v="1274"/>
    <x v="1"/>
    <x v="6"/>
    <n v="0"/>
    <x v="13"/>
  </r>
  <r>
    <n v="478"/>
    <s v="Delhi Arogya kosh"/>
    <d v="2022-10-31T00:00:00"/>
    <x v="1"/>
    <d v="2022-10-31T00:00:00"/>
    <d v="2022-10-31T00:00:00"/>
    <n v="22029264"/>
    <n v="2238141"/>
    <n v="10013435866"/>
    <s v="SUSHIL KUMAR AGGARWAL"/>
    <x v="243"/>
    <n v="0"/>
    <n v="1274"/>
    <n v="0"/>
    <n v="1274"/>
    <x v="1"/>
    <x v="6"/>
    <n v="0"/>
    <x v="13"/>
  </r>
  <r>
    <n v="479"/>
    <s v=" MD INDIA TPA"/>
    <d v="2022-10-27T00:00:00"/>
    <x v="1"/>
    <d v="2022-10-27T00:00:00"/>
    <d v="2022-10-27T00:00:00"/>
    <n v="22028773"/>
    <n v="2237647"/>
    <n v="1001806533"/>
    <s v="LAL BABU MANJHI"/>
    <x v="141"/>
    <n v="0"/>
    <n v="2950"/>
    <n v="0"/>
    <n v="2950"/>
    <x v="1"/>
    <x v="12"/>
    <n v="0"/>
    <x v="13"/>
  </r>
  <r>
    <n v="480"/>
    <s v="CGHS ( CREDIT)"/>
    <d v="2022-10-31T00:00:00"/>
    <x v="1"/>
    <d v="2022-10-31T00:00:00"/>
    <d v="2022-10-31T00:00:00"/>
    <n v="22029272"/>
    <n v="2238159"/>
    <n v="10013480632"/>
    <s v="MANJU GUPTA"/>
    <x v="43"/>
    <n v="0"/>
    <n v="1610"/>
    <n v="0"/>
    <n v="1610"/>
    <x v="1"/>
    <x v="6"/>
    <n v="0"/>
    <x v="13"/>
  </r>
  <r>
    <n v="481"/>
    <s v="Health Insurance TPA of India Ltd."/>
    <d v="2022-10-15T00:00:00"/>
    <x v="1"/>
    <d v="2022-10-15T00:00:00"/>
    <d v="2022-10-15T00:00:00"/>
    <n v="22027209"/>
    <n v="2236132"/>
    <n v="1000947591"/>
    <s v="KULBHUSHAN AGGARWAL"/>
    <x v="75"/>
    <n v="0"/>
    <n v="2200"/>
    <n v="0"/>
    <n v="2200"/>
    <x v="1"/>
    <x v="12"/>
    <n v="0"/>
    <x v="13"/>
  </r>
  <r>
    <n v="482"/>
    <s v="Delhi Arogya kosh"/>
    <d v="2022-10-11T00:00:00"/>
    <x v="1"/>
    <d v="2022-10-11T00:00:00"/>
    <d v="2022-10-11T00:00:00"/>
    <n v="22026633"/>
    <n v="2235586"/>
    <n v="10013520283"/>
    <s v="DEVI RANI"/>
    <x v="243"/>
    <n v="0"/>
    <n v="1274"/>
    <n v="0"/>
    <n v="1274"/>
    <x v="1"/>
    <x v="6"/>
    <n v="0"/>
    <x v="13"/>
  </r>
  <r>
    <n v="483"/>
    <s v=" CGHS CREDIT"/>
    <d v="2022-10-26T00:00:00"/>
    <x v="1"/>
    <d v="2022-10-26T00:00:00"/>
    <d v="2022-10-26T00:00:00"/>
    <n v="22028642"/>
    <n v="2237515"/>
    <n v="1001692673"/>
    <s v="AMRIT PAL SHUKLA"/>
    <x v="43"/>
    <n v="0"/>
    <n v="1610"/>
    <n v="0"/>
    <n v="1610"/>
    <x v="1"/>
    <x v="6"/>
    <n v="0"/>
    <x v="13"/>
  </r>
  <r>
    <n v="484"/>
    <s v="MEDI ASSIST"/>
    <d v="2022-10-14T00:00:00"/>
    <x v="1"/>
    <d v="2022-10-14T00:00:00"/>
    <d v="2022-10-14T00:00:00"/>
    <n v="22027037"/>
    <n v="2235960"/>
    <n v="10013511637"/>
    <s v="MANJU KOHLI"/>
    <x v="75"/>
    <n v="0"/>
    <n v="2200"/>
    <n v="0"/>
    <n v="2200"/>
    <x v="1"/>
    <x v="12"/>
    <n v="0"/>
    <x v="13"/>
  </r>
  <r>
    <n v="485"/>
    <s v="VIPUL MED CORP PVT LTD"/>
    <d v="2022-10-01T00:00:00"/>
    <x v="1"/>
    <d v="2022-10-01T00:00:00"/>
    <d v="2022-10-01T00:00:00"/>
    <n v="22025234"/>
    <n v="2234244"/>
    <n v="10013519562"/>
    <s v="KAMLA SATI"/>
    <x v="75"/>
    <n v="0"/>
    <n v="2200"/>
    <n v="0"/>
    <n v="2200"/>
    <x v="1"/>
    <x v="12"/>
    <n v="0"/>
    <x v="13"/>
  </r>
  <r>
    <n v="486"/>
    <s v=" CGHS CREDIT"/>
    <d v="2022-10-07T00:00:00"/>
    <x v="1"/>
    <d v="2022-10-07T00:00:00"/>
    <d v="2022-10-07T00:00:00"/>
    <n v="22026011"/>
    <n v="2235034"/>
    <n v="1001692673"/>
    <s v="AMRIT PAL SHUKLA"/>
    <x v="43"/>
    <n v="0"/>
    <n v="1610"/>
    <n v="0"/>
    <n v="1610"/>
    <x v="1"/>
    <x v="6"/>
    <n v="0"/>
    <x v="13"/>
  </r>
  <r>
    <n v="487"/>
    <s v="Delhi Arogya kosh"/>
    <d v="2022-10-19T00:00:00"/>
    <x v="1"/>
    <d v="2022-10-19T00:00:00"/>
    <d v="2022-10-19T00:00:00"/>
    <n v="22027728"/>
    <n v="2236635"/>
    <n v="10013241267"/>
    <s v="MANOJ KOHLI"/>
    <x v="243"/>
    <n v="0"/>
    <n v="1274"/>
    <n v="0"/>
    <n v="1274"/>
    <x v="1"/>
    <x v="6"/>
    <n v="0"/>
    <x v="13"/>
  </r>
  <r>
    <n v="488"/>
    <s v="Delhi Arogya kosh"/>
    <d v="2022-10-29T00:00:00"/>
    <x v="1"/>
    <d v="2022-10-29T00:00:00"/>
    <d v="2022-10-29T00:00:00"/>
    <n v="22029167"/>
    <n v="2238038"/>
    <n v="10013507516"/>
    <s v="AMIT NAGAR"/>
    <x v="243"/>
    <n v="0"/>
    <n v="1274"/>
    <n v="0"/>
    <n v="1274"/>
    <x v="1"/>
    <x v="6"/>
    <n v="0"/>
    <x v="13"/>
  </r>
  <r>
    <n v="489"/>
    <s v="Safeway Mediclaim Services Pvt. Ltd."/>
    <d v="2022-10-04T00:00:00"/>
    <x v="1"/>
    <d v="2022-10-04T00:00:00"/>
    <d v="2022-10-04T00:00:00"/>
    <n v="22025622"/>
    <n v="2234628"/>
    <n v="1001020879"/>
    <s v="KUSUM LATA"/>
    <x v="75"/>
    <n v="0"/>
    <n v="2200"/>
    <n v="0"/>
    <n v="2200"/>
    <x v="1"/>
    <x v="12"/>
    <n v="0"/>
    <x v="13"/>
  </r>
  <r>
    <n v="490"/>
    <s v=" HEALTH INSURANCE TPA OF INDIA LTD"/>
    <d v="2022-10-29T00:00:00"/>
    <x v="1"/>
    <d v="2022-10-29T00:00:00"/>
    <d v="2022-10-29T00:00:00"/>
    <n v="22029149"/>
    <n v="2238025"/>
    <n v="1001445916"/>
    <s v="NAGENDER PATHAK"/>
    <x v="211"/>
    <n v="0"/>
    <n v="2000"/>
    <n v="0"/>
    <n v="2000"/>
    <x v="1"/>
    <x v="6"/>
    <n v="0"/>
    <x v="13"/>
  </r>
  <r>
    <n v="491"/>
    <s v=" CGHS CREDIT"/>
    <d v="2022-10-07T00:00:00"/>
    <x v="1"/>
    <d v="2022-10-07T00:00:00"/>
    <d v="2022-10-07T00:00:00"/>
    <n v="22026043"/>
    <n v="2235073"/>
    <n v="1001777526"/>
    <s v="PRADEEP KUMAR MALIK"/>
    <x v="43"/>
    <n v="0"/>
    <n v="1610"/>
    <n v="0"/>
    <n v="1610"/>
    <x v="1"/>
    <x v="6"/>
    <n v="0"/>
    <x v="13"/>
  </r>
  <r>
    <n v="492"/>
    <s v="NIVA BUPA"/>
    <d v="2022-10-28T00:00:00"/>
    <x v="1"/>
    <d v="2022-10-28T00:00:00"/>
    <d v="2022-10-28T00:00:00"/>
    <n v="22028869"/>
    <n v="2237755"/>
    <n v="10013484190"/>
    <s v="JULI SINGH"/>
    <x v="254"/>
    <n v="0"/>
    <n v="2240"/>
    <n v="0"/>
    <n v="2240"/>
    <x v="1"/>
    <x v="6"/>
    <n v="0"/>
    <x v="13"/>
  </r>
  <r>
    <n v="493"/>
    <s v="Delhi Arogya kosh"/>
    <d v="2022-10-23T00:00:00"/>
    <x v="1"/>
    <d v="2022-10-23T00:00:00"/>
    <d v="2022-10-23T00:00:00"/>
    <n v="22028375"/>
    <n v="2237157"/>
    <n v="1000947753"/>
    <s v="DHARAMPAL GUPTA"/>
    <x v="243"/>
    <n v="0"/>
    <n v="1274"/>
    <n v="0"/>
    <n v="1274"/>
    <x v="1"/>
    <x v="6"/>
    <n v="0"/>
    <x v="13"/>
  </r>
  <r>
    <n v="494"/>
    <s v="Delhi Arogya kosh"/>
    <d v="2022-10-01T00:00:00"/>
    <x v="1"/>
    <d v="2022-10-01T00:00:00"/>
    <d v="2022-10-01T00:00:00"/>
    <n v="22025251"/>
    <n v="2234275"/>
    <n v="10013371548"/>
    <s v="AMRIK SINGH"/>
    <x v="243"/>
    <n v="0"/>
    <n v="1274"/>
    <n v="0"/>
    <n v="1274"/>
    <x v="1"/>
    <x v="6"/>
    <n v="0"/>
    <x v="13"/>
  </r>
  <r>
    <n v="495"/>
    <s v="MD INDIA TPA PVT.LTD."/>
    <d v="2022-10-06T00:00:00"/>
    <x v="1"/>
    <d v="2022-10-10T00:00:00"/>
    <d v="2022-10-10T00:00:00"/>
    <n v="22026426"/>
    <n v="2234878"/>
    <n v="1001041795"/>
    <s v="SHRISHTI GUPTA"/>
    <x v="271"/>
    <n v="15739"/>
    <n v="105353"/>
    <n v="0"/>
    <n v="105353"/>
    <x v="1"/>
    <x v="2"/>
    <n v="0"/>
    <x v="0"/>
  </r>
  <r>
    <n v="496"/>
    <s v="Delhi Arogya kosh"/>
    <d v="2022-10-14T00:00:00"/>
    <x v="1"/>
    <d v="2022-10-14T00:00:00"/>
    <d v="2022-10-14T00:00:00"/>
    <n v="22027095"/>
    <n v="2236010"/>
    <n v="10013520283"/>
    <s v="DEVI RANI"/>
    <x v="243"/>
    <n v="0"/>
    <n v="1274"/>
    <n v="0"/>
    <n v="1274"/>
    <x v="1"/>
    <x v="6"/>
    <n v="0"/>
    <x v="13"/>
  </r>
  <r>
    <n v="497"/>
    <s v="GOVT. OF NCT OF DELHI"/>
    <d v="2022-10-08T00:00:00"/>
    <x v="1"/>
    <d v="2022-10-08T00:00:00"/>
    <d v="2022-10-08T00:00:00"/>
    <n v="22026151"/>
    <n v="2235179"/>
    <n v="10013502614"/>
    <s v="RAM SAHAI"/>
    <x v="43"/>
    <n v="0"/>
    <n v="1610"/>
    <n v="0"/>
    <n v="1610"/>
    <x v="1"/>
    <x v="6"/>
    <n v="0"/>
    <x v="13"/>
  </r>
  <r>
    <n v="498"/>
    <s v=" ECHS CREDIT"/>
    <d v="2022-10-07T00:00:00"/>
    <x v="1"/>
    <d v="2022-10-07T00:00:00"/>
    <d v="2022-10-07T00:00:00"/>
    <n v="22026048"/>
    <n v="2235072"/>
    <n v="1001797077"/>
    <s v="DURGA DEVI"/>
    <x v="43"/>
    <n v="0"/>
    <n v="1610"/>
    <n v="0"/>
    <n v="1610"/>
    <x v="1"/>
    <x v="6"/>
    <n v="0"/>
    <x v="13"/>
  </r>
  <r>
    <n v="499"/>
    <s v=" DAK DIALYSIS"/>
    <d v="2022-10-01T00:00:00"/>
    <x v="1"/>
    <d v="2022-10-01T00:00:00"/>
    <d v="2022-10-01T00:00:00"/>
    <n v="22025114"/>
    <n v="2234182"/>
    <n v="1001678600"/>
    <s v="RAKESH THAKUR"/>
    <x v="243"/>
    <n v="0"/>
    <n v="1274"/>
    <n v="0"/>
    <n v="1274"/>
    <x v="1"/>
    <x v="6"/>
    <n v="0"/>
    <x v="13"/>
  </r>
  <r>
    <n v="500"/>
    <s v="Delhi Arogya kosh"/>
    <d v="2022-10-13T00:00:00"/>
    <x v="1"/>
    <d v="2022-10-13T00:00:00"/>
    <d v="2022-10-13T00:00:00"/>
    <n v="22026894"/>
    <n v="2235831"/>
    <n v="1000947753"/>
    <s v="DHARAMPAL GUPTA"/>
    <x v="243"/>
    <n v="0"/>
    <n v="1274"/>
    <n v="0"/>
    <n v="1274"/>
    <x v="1"/>
    <x v="6"/>
    <n v="0"/>
    <x v="13"/>
  </r>
  <r>
    <n v="501"/>
    <s v="Heritage Health TPA Private Limited"/>
    <d v="2022-10-14T00:00:00"/>
    <x v="1"/>
    <d v="2022-10-14T00:00:00"/>
    <d v="2022-10-14T00:00:00"/>
    <n v="22026970"/>
    <n v="2235918"/>
    <n v="1001183341"/>
    <s v="KAMLESH JAIN"/>
    <x v="75"/>
    <n v="0"/>
    <n v="2200"/>
    <n v="0"/>
    <n v="2200"/>
    <x v="1"/>
    <x v="12"/>
    <n v="0"/>
    <x v="13"/>
  </r>
  <r>
    <n v="502"/>
    <s v="Delhi Arogya kosh"/>
    <d v="2022-10-21T00:00:00"/>
    <x v="1"/>
    <d v="2022-10-21T00:00:00"/>
    <d v="2022-10-21T00:00:00"/>
    <n v="22027985"/>
    <n v="2236881"/>
    <n v="1000889533"/>
    <s v="MANJU AGGARWAL"/>
    <x v="243"/>
    <n v="0"/>
    <n v="1274"/>
    <n v="0"/>
    <n v="1274"/>
    <x v="1"/>
    <x v="6"/>
    <n v="0"/>
    <x v="13"/>
  </r>
  <r>
    <n v="503"/>
    <s v="Delhi Arogya kosh"/>
    <d v="2022-10-02T00:00:00"/>
    <x v="1"/>
    <d v="2022-10-07T00:00:00"/>
    <d v="2022-10-07T00:00:00"/>
    <n v="22026037"/>
    <n v="2234306"/>
    <n v="1001796575"/>
    <s v="ANUJ KUMAR"/>
    <x v="272"/>
    <n v="42279"/>
    <n v="74273"/>
    <n v="0"/>
    <n v="74273"/>
    <x v="1"/>
    <x v="15"/>
    <n v="0"/>
    <x v="5"/>
  </r>
  <r>
    <n v="504"/>
    <s v="Delhi Arogya kosh"/>
    <d v="2022-10-01T00:00:00"/>
    <x v="1"/>
    <d v="2022-10-01T00:00:00"/>
    <d v="2022-10-01T00:00:00"/>
    <n v="22025242"/>
    <n v="2234255"/>
    <n v="10013299539"/>
    <s v="SATISH MALIK"/>
    <x v="243"/>
    <n v="0"/>
    <n v="1274"/>
    <n v="0"/>
    <n v="1274"/>
    <x v="1"/>
    <x v="6"/>
    <n v="0"/>
    <x v="13"/>
  </r>
  <r>
    <n v="505"/>
    <s v=" DAK DIALYSIS"/>
    <d v="2022-10-22T00:00:00"/>
    <x v="1"/>
    <d v="2022-10-22T00:00:00"/>
    <d v="2022-10-22T00:00:00"/>
    <n v="22028279"/>
    <n v="2237075"/>
    <n v="1001677731"/>
    <s v="HIMANSHU GOYAL"/>
    <x v="243"/>
    <n v="0"/>
    <n v="1274"/>
    <n v="0"/>
    <n v="1274"/>
    <x v="1"/>
    <x v="6"/>
    <n v="0"/>
    <x v="13"/>
  </r>
  <r>
    <n v="506"/>
    <s v="Delhi Arogya kosh"/>
    <d v="2022-10-01T00:00:00"/>
    <x v="1"/>
    <d v="2022-10-01T00:00:00"/>
    <d v="2022-10-01T00:00:00"/>
    <n v="22025254"/>
    <n v="2234278"/>
    <n v="10013370253"/>
    <s v="USHA RANI"/>
    <x v="243"/>
    <n v="0"/>
    <n v="1274"/>
    <n v="0"/>
    <n v="1274"/>
    <x v="1"/>
    <x v="6"/>
    <n v="0"/>
    <x v="13"/>
  </r>
  <r>
    <n v="507"/>
    <s v="MEDI ASSIST"/>
    <d v="2022-10-18T00:00:00"/>
    <x v="1"/>
    <d v="2022-10-18T00:00:00"/>
    <d v="2022-10-18T00:00:00"/>
    <n v="22027582"/>
    <n v="2236478"/>
    <n v="10013511637"/>
    <s v="MANJU KOHLI"/>
    <x v="75"/>
    <n v="0"/>
    <n v="2200"/>
    <n v="0"/>
    <n v="2200"/>
    <x v="1"/>
    <x v="12"/>
    <n v="0"/>
    <x v="13"/>
  </r>
  <r>
    <n v="508"/>
    <s v=" DAK DIALYSIS"/>
    <d v="2022-10-11T00:00:00"/>
    <x v="1"/>
    <d v="2022-10-11T00:00:00"/>
    <d v="2022-10-11T00:00:00"/>
    <n v="22026493"/>
    <n v="2235508"/>
    <n v="1001449196"/>
    <s v="RAKESH JAIN"/>
    <x v="243"/>
    <n v="0"/>
    <n v="1274"/>
    <n v="0"/>
    <n v="1274"/>
    <x v="1"/>
    <x v="6"/>
    <n v="0"/>
    <x v="13"/>
  </r>
  <r>
    <n v="509"/>
    <s v="CGHS ( CREDIT)"/>
    <d v="2022-10-22T00:00:00"/>
    <x v="1"/>
    <d v="2022-10-22T00:00:00"/>
    <d v="2022-10-22T00:00:00"/>
    <n v="22028170"/>
    <n v="2237010"/>
    <n v="10013401847"/>
    <s v="TIRLOCHAN SINGH"/>
    <x v="43"/>
    <n v="0"/>
    <n v="1610"/>
    <n v="0"/>
    <n v="1610"/>
    <x v="1"/>
    <x v="6"/>
    <n v="0"/>
    <x v="13"/>
  </r>
  <r>
    <n v="510"/>
    <s v="DGHS (DELHI GOVT.)"/>
    <d v="2022-10-28T00:00:00"/>
    <x v="1"/>
    <d v="2022-10-29T00:00:00"/>
    <d v="2022-10-29T00:00:00"/>
    <n v="22029062"/>
    <n v="2237777"/>
    <n v="10013544901"/>
    <s v="SHRI KRISHAN DABAS"/>
    <x v="273"/>
    <n v="0"/>
    <n v="461401"/>
    <n v="0"/>
    <n v="461401"/>
    <x v="1"/>
    <x v="1"/>
    <n v="0"/>
    <x v="4"/>
  </r>
  <r>
    <n v="511"/>
    <s v="Delhi Arogya kosh"/>
    <d v="2022-10-13T00:00:00"/>
    <x v="1"/>
    <d v="2022-10-13T00:00:00"/>
    <d v="2022-10-13T00:00:00"/>
    <n v="22026946"/>
    <n v="2235869"/>
    <n v="1000961855"/>
    <s v="SHASHI BALA"/>
    <x v="243"/>
    <n v="0"/>
    <n v="1274"/>
    <n v="0"/>
    <n v="1274"/>
    <x v="1"/>
    <x v="6"/>
    <n v="0"/>
    <x v="13"/>
  </r>
  <r>
    <n v="512"/>
    <s v="GENERAL PATIENT"/>
    <d v="2022-10-15T00:00:00"/>
    <x v="1"/>
    <d v="2022-10-17T00:00:00"/>
    <d v="2022-10-17T00:00:00"/>
    <n v="22027392"/>
    <n v="2236214"/>
    <n v="1001804627"/>
    <s v="NISHU SHARMA"/>
    <x v="274"/>
    <n v="7804"/>
    <n v="14788"/>
    <n v="0"/>
    <n v="14788"/>
    <x v="1"/>
    <x v="7"/>
    <n v="0"/>
    <x v="1"/>
  </r>
  <r>
    <n v="513"/>
    <s v="Delhi Arogya kosh"/>
    <d v="2022-10-10T00:00:00"/>
    <x v="1"/>
    <d v="2022-10-10T00:00:00"/>
    <d v="2022-10-10T00:00:00"/>
    <n v="22026473"/>
    <n v="2235423"/>
    <n v="10013513950"/>
    <s v="RAJENDRA PRASAD AGARWAL"/>
    <x v="243"/>
    <n v="0"/>
    <n v="1274"/>
    <n v="0"/>
    <n v="1274"/>
    <x v="1"/>
    <x v="6"/>
    <n v="0"/>
    <x v="13"/>
  </r>
  <r>
    <n v="514"/>
    <s v="DDA"/>
    <d v="2022-08-07T00:00:00"/>
    <x v="2"/>
    <d v="2022-10-22T00:00:00"/>
    <d v="2022-10-22T00:00:00"/>
    <n v="22028283"/>
    <n v="2226718"/>
    <n v="1001060170"/>
    <s v="RATI YADAV"/>
    <x v="275"/>
    <n v="0"/>
    <n v="1814630"/>
    <n v="1814630"/>
    <n v="0"/>
    <x v="0"/>
    <x v="2"/>
    <n v="1"/>
    <x v="9"/>
  </r>
  <r>
    <n v="515"/>
    <s v="GENERAL PATIENT"/>
    <d v="2022-10-22T00:00:00"/>
    <x v="1"/>
    <d v="2022-10-30T00:00:00"/>
    <d v="2022-10-30T00:00:00"/>
    <n v="22029235"/>
    <n v="2236991"/>
    <n v="1001188526"/>
    <s v="ASHOK RANA"/>
    <x v="276"/>
    <n v="61703"/>
    <n v="223163"/>
    <n v="99999"/>
    <n v="123164"/>
    <x v="1"/>
    <x v="7"/>
    <n v="0.44809847510564027"/>
    <x v="20"/>
  </r>
  <r>
    <n v="516"/>
    <s v="HDFC ERGO General Insurance Co. Ltd."/>
    <d v="2022-10-04T00:00:00"/>
    <x v="1"/>
    <d v="2022-10-08T00:00:00"/>
    <d v="2022-10-08T00:00:00"/>
    <n v="22026114"/>
    <n v="2234595"/>
    <n v="10013400374"/>
    <s v="ANGAD PREET SINGH BATRA"/>
    <x v="277"/>
    <n v="0"/>
    <n v="57837"/>
    <n v="1500"/>
    <n v="56337"/>
    <x v="1"/>
    <x v="2"/>
    <n v="2.593495513252762E-2"/>
    <x v="3"/>
  </r>
  <r>
    <n v="517"/>
    <s v="MD INDIA TPA PVT.LTD."/>
    <d v="2022-10-04T00:00:00"/>
    <x v="1"/>
    <d v="2022-10-06T00:00:00"/>
    <d v="2022-10-06T00:00:00"/>
    <n v="22025822"/>
    <n v="2234604"/>
    <n v="1001395064"/>
    <s v="NIRMAL GUPTA"/>
    <x v="55"/>
    <n v="0"/>
    <n v="238169"/>
    <n v="1501"/>
    <n v="236668"/>
    <x v="1"/>
    <x v="4"/>
    <n v="6.3022475637047647E-3"/>
    <x v="4"/>
  </r>
  <r>
    <n v="518"/>
    <s v="DDA"/>
    <d v="2022-10-06T00:00:00"/>
    <x v="1"/>
    <d v="2022-10-06T00:00:00"/>
    <d v="2022-10-06T00:00:00"/>
    <n v="22025922"/>
    <n v="2234965"/>
    <n v="10013444638"/>
    <s v="BARFI DEVI"/>
    <x v="16"/>
    <n v="0"/>
    <n v="0"/>
    <n v="0"/>
    <n v="0"/>
    <x v="0"/>
    <x v="1"/>
    <e v="#DIV/0!"/>
    <x v="0"/>
  </r>
  <r>
    <n v="519"/>
    <s v="GENERAL PATIENT"/>
    <d v="2022-10-17T00:00:00"/>
    <x v="1"/>
    <d v="2022-10-17T00:00:00"/>
    <d v="2022-10-17T00:00:00"/>
    <n v="22027480"/>
    <n v="2236376"/>
    <n v="10013533934"/>
    <s v="RAMESH AHUJA"/>
    <x v="45"/>
    <n v="416"/>
    <n v="4574"/>
    <n v="4574"/>
    <n v="0"/>
    <x v="0"/>
    <x v="6"/>
    <n v="1"/>
    <x v="13"/>
  </r>
  <r>
    <n v="520"/>
    <s v="GENERAL PATIENT"/>
    <d v="2022-10-26T00:00:00"/>
    <x v="1"/>
    <d v="2022-10-26T00:00:00"/>
    <d v="2022-10-26T00:00:00"/>
    <n v="22028653"/>
    <n v="2237488"/>
    <n v="1001806325"/>
    <s v="THAKUR DASS"/>
    <x v="19"/>
    <n v="0"/>
    <n v="14000"/>
    <n v="14000"/>
    <n v="0"/>
    <x v="0"/>
    <x v="6"/>
    <n v="1"/>
    <x v="4"/>
  </r>
  <r>
    <n v="521"/>
    <s v="DELHI TRANSPORT CORPORATION"/>
    <d v="2022-10-27T00:00:00"/>
    <x v="1"/>
    <d v="2022-10-28T00:00:00"/>
    <d v="2022-10-28T00:00:00"/>
    <n v="22028896"/>
    <n v="2237651"/>
    <n v="1001806564"/>
    <s v="DHRAM SINGH"/>
    <x v="278"/>
    <n v="0"/>
    <n v="208423"/>
    <n v="208423"/>
    <n v="0"/>
    <x v="0"/>
    <x v="1"/>
    <n v="1"/>
    <x v="4"/>
  </r>
  <r>
    <n v="522"/>
    <s v="GENERAL PATIENT"/>
    <d v="2022-10-28T00:00:00"/>
    <x v="1"/>
    <d v="2022-10-31T00:00:00"/>
    <d v="2022-10-31T00:00:00"/>
    <n v="22029295"/>
    <n v="2237770"/>
    <n v="1001166808"/>
    <s v="POOJA MANGLA"/>
    <x v="279"/>
    <n v="10571"/>
    <n v="78205"/>
    <n v="78205"/>
    <n v="0"/>
    <x v="0"/>
    <x v="0"/>
    <n v="1"/>
    <x v="1"/>
  </r>
  <r>
    <n v="523"/>
    <s v="GENERAL PATIENT"/>
    <d v="2022-10-11T00:00:00"/>
    <x v="1"/>
    <d v="2022-10-17T00:00:00"/>
    <d v="2022-10-17T00:00:00"/>
    <n v="22027423"/>
    <n v="2235573"/>
    <n v="1000983526"/>
    <s v="SATTO  DEVI"/>
    <x v="280"/>
    <n v="11869"/>
    <n v="84764"/>
    <n v="84764"/>
    <n v="0"/>
    <x v="0"/>
    <x v="1"/>
    <n v="1"/>
    <x v="0"/>
  </r>
  <r>
    <n v="524"/>
    <s v="HARAYANA GOVT."/>
    <d v="2022-10-17T00:00:00"/>
    <x v="1"/>
    <d v="2022-10-17T00:00:00"/>
    <d v="2022-10-17T00:00:00"/>
    <n v="22027469"/>
    <n v="2236348"/>
    <n v="1000861147"/>
    <s v="BANARSI DASS"/>
    <x v="281"/>
    <n v="0"/>
    <n v="225782"/>
    <n v="54502"/>
    <n v="171280"/>
    <x v="1"/>
    <x v="1"/>
    <n v="0.24139213932022924"/>
    <x v="4"/>
  </r>
  <r>
    <n v="525"/>
    <s v="GENERAL PATIENT"/>
    <d v="2022-10-17T00:00:00"/>
    <x v="1"/>
    <d v="2022-10-17T00:00:00"/>
    <d v="2022-10-17T00:00:00"/>
    <n v="22027477"/>
    <n v="2236264"/>
    <n v="10013543305"/>
    <s v="GEETA"/>
    <x v="282"/>
    <n v="4199"/>
    <n v="39153"/>
    <n v="39153"/>
    <n v="0"/>
    <x v="0"/>
    <x v="1"/>
    <n v="1"/>
    <x v="4"/>
  </r>
  <r>
    <n v="526"/>
    <s v="Health Insurance TPA of India Ltd."/>
    <d v="2022-09-30T00:00:00"/>
    <x v="0"/>
    <d v="2022-10-01T00:00:00"/>
    <d v="2022-10-01T00:00:00"/>
    <n v="22025132"/>
    <n v="2234040"/>
    <n v="10013540926"/>
    <s v="UGRASEN SINGH"/>
    <x v="283"/>
    <n v="354"/>
    <n v="204341"/>
    <n v="1501"/>
    <n v="202840"/>
    <x v="1"/>
    <x v="4"/>
    <n v="7.3455645220489281E-3"/>
    <x v="4"/>
  </r>
  <r>
    <n v="527"/>
    <s v="GENERAL PATIENT"/>
    <d v="2022-10-06T00:00:00"/>
    <x v="1"/>
    <d v="2022-10-11T00:00:00"/>
    <d v="2022-10-11T00:00:00"/>
    <n v="22026546"/>
    <n v="2234862"/>
    <n v="10013537150"/>
    <s v="ISHWAR CHAND GUPTA"/>
    <x v="284"/>
    <n v="34920"/>
    <n v="142204"/>
    <n v="19500"/>
    <n v="122704"/>
    <x v="1"/>
    <x v="0"/>
    <n v="0.13712694438974993"/>
    <x v="0"/>
  </r>
  <r>
    <n v="528"/>
    <s v="HARAYANA GOVT."/>
    <d v="2022-10-27T00:00:00"/>
    <x v="1"/>
    <d v="2022-10-28T00:00:00"/>
    <d v="2022-10-28T00:00:00"/>
    <n v="22028876"/>
    <n v="2237627"/>
    <n v="10013542802"/>
    <s v="RAJBIR SINGH"/>
    <x v="285"/>
    <n v="0"/>
    <n v="47440"/>
    <n v="47440"/>
    <n v="0"/>
    <x v="0"/>
    <x v="0"/>
    <n v="1"/>
    <x v="5"/>
  </r>
  <r>
    <n v="529"/>
    <s v="GENERAL PATIENT"/>
    <d v="2022-10-10T00:00:00"/>
    <x v="1"/>
    <d v="2022-10-20T00:00:00"/>
    <d v="2022-10-20T00:00:00"/>
    <n v="22027940"/>
    <n v="2235469"/>
    <n v="1001803643"/>
    <s v="KAMLESH"/>
    <x v="286"/>
    <n v="493416"/>
    <n v="0"/>
    <n v="0"/>
    <n v="0"/>
    <x v="0"/>
    <x v="9"/>
    <e v="#DIV/0!"/>
    <x v="0"/>
  </r>
  <r>
    <n v="530"/>
    <s v="VIDAL HEALTH INSURANCE LIMITED"/>
    <d v="2022-10-14T00:00:00"/>
    <x v="1"/>
    <d v="2022-10-16T00:00:00"/>
    <d v="2022-10-16T00:00:00"/>
    <n v="22027330"/>
    <n v="2235908"/>
    <n v="10013541140"/>
    <s v="VIPIN GARG"/>
    <x v="287"/>
    <n v="0"/>
    <n v="162561"/>
    <n v="2450"/>
    <n v="160111"/>
    <x v="1"/>
    <x v="2"/>
    <n v="1.5071265555699091E-2"/>
    <x v="16"/>
  </r>
  <r>
    <n v="531"/>
    <s v="Safeway Mediclaim Services Pvt. Ltd."/>
    <d v="2022-10-11T00:00:00"/>
    <x v="1"/>
    <d v="2022-10-16T00:00:00"/>
    <d v="2022-10-16T00:00:00"/>
    <n v="22027295"/>
    <n v="2235576"/>
    <n v="1001037548"/>
    <s v="SANCHIT CHOUDHARY"/>
    <x v="288"/>
    <n v="17839"/>
    <n v="125555"/>
    <n v="33919"/>
    <n v="91636"/>
    <x v="1"/>
    <x v="3"/>
    <n v="0.27015252279877344"/>
    <x v="0"/>
  </r>
  <r>
    <n v="532"/>
    <s v="MEDI ASSIST"/>
    <d v="2022-09-30T00:00:00"/>
    <x v="0"/>
    <d v="2022-10-09T00:00:00"/>
    <d v="2022-10-09T00:00:00"/>
    <n v="22026312"/>
    <n v="2234088"/>
    <n v="1001296105"/>
    <s v="TAPESHWARI DEVI"/>
    <x v="289"/>
    <n v="36458"/>
    <n v="315352"/>
    <n v="15352"/>
    <n v="300000"/>
    <x v="1"/>
    <x v="3"/>
    <n v="4.8682107613079985E-2"/>
    <x v="0"/>
  </r>
  <r>
    <n v="533"/>
    <s v="GENERAL PATIENT"/>
    <d v="2022-10-11T00:00:00"/>
    <x v="1"/>
    <d v="2022-10-25T00:00:00"/>
    <d v="2022-10-25T00:00:00"/>
    <n v="22028540"/>
    <n v="2235575"/>
    <n v="10013542477"/>
    <s v="NIRMAL KANTA"/>
    <x v="290"/>
    <n v="113194"/>
    <n v="323429"/>
    <n v="323429"/>
    <n v="0"/>
    <x v="0"/>
    <x v="8"/>
    <n v="1"/>
    <x v="0"/>
  </r>
  <r>
    <n v="534"/>
    <s v="GENERAL PATIENT"/>
    <d v="2022-10-17T00:00:00"/>
    <x v="1"/>
    <d v="2022-10-20T00:00:00"/>
    <d v="2022-10-20T00:00:00"/>
    <n v="22027836"/>
    <n v="2236360"/>
    <n v="10013543423"/>
    <s v="HIMANSHU MITTAL"/>
    <x v="291"/>
    <n v="5255"/>
    <n v="36426"/>
    <n v="36426"/>
    <n v="0"/>
    <x v="0"/>
    <x v="0"/>
    <n v="1"/>
    <x v="0"/>
  </r>
  <r>
    <n v="535"/>
    <s v="DGHS (DELHI GOVT.)"/>
    <d v="2022-10-13T00:00:00"/>
    <x v="1"/>
    <d v="2022-10-18T00:00:00"/>
    <d v="2022-10-18T00:00:00"/>
    <n v="22027551"/>
    <n v="2235892"/>
    <n v="1001031634"/>
    <s v="SUMITRA"/>
    <x v="292"/>
    <n v="0"/>
    <n v="77761"/>
    <n v="77761"/>
    <n v="0"/>
    <x v="0"/>
    <x v="1"/>
    <n v="1"/>
    <x v="9"/>
  </r>
  <r>
    <n v="536"/>
    <s v="DDA"/>
    <d v="2022-10-06T00:00:00"/>
    <x v="1"/>
    <d v="2022-10-08T00:00:00"/>
    <d v="2022-10-08T00:00:00"/>
    <n v="22026093"/>
    <n v="2234860"/>
    <n v="10013323361"/>
    <s v="ANSHUL CHAUHAN"/>
    <x v="293"/>
    <n v="0"/>
    <n v="6553"/>
    <n v="6553"/>
    <n v="0"/>
    <x v="0"/>
    <x v="1"/>
    <n v="1"/>
    <x v="3"/>
  </r>
  <r>
    <n v="537"/>
    <s v="STAR HEALTH CARE  (CREDIT)"/>
    <d v="2022-10-26T00:00:00"/>
    <x v="1"/>
    <d v="2022-10-27T00:00:00"/>
    <d v="2022-10-27T00:00:00"/>
    <n v="22028735"/>
    <n v="2237436"/>
    <n v="10013544505"/>
    <s v="KAILASH PARKASH KAUSHIK"/>
    <x v="294"/>
    <n v="0"/>
    <n v="23500"/>
    <n v="1500"/>
    <n v="22000"/>
    <x v="1"/>
    <x v="1"/>
    <n v="6.3829787234042548E-2"/>
    <x v="4"/>
  </r>
  <r>
    <n v="538"/>
    <s v="GENERAL PATIENT"/>
    <d v="2022-10-25T00:00:00"/>
    <x v="1"/>
    <d v="2022-10-31T00:00:00"/>
    <d v="2022-10-31T00:00:00"/>
    <n v="22029311"/>
    <n v="2237348"/>
    <n v="10013544421"/>
    <s v="SARLA CHHABRA"/>
    <x v="295"/>
    <n v="23861"/>
    <n v="91971"/>
    <n v="91971"/>
    <n v="0"/>
    <x v="0"/>
    <x v="1"/>
    <n v="1"/>
    <x v="0"/>
  </r>
  <r>
    <n v="539"/>
    <s v="STAR HEALTH CARE  (CREDIT)"/>
    <d v="2022-10-25T00:00:00"/>
    <x v="1"/>
    <d v="2022-10-27T00:00:00"/>
    <d v="2022-10-27T00:00:00"/>
    <n v="22028733"/>
    <n v="2237416"/>
    <n v="10013526729"/>
    <s v="NISHA"/>
    <x v="296"/>
    <n v="8146"/>
    <n v="51424"/>
    <n v="44680"/>
    <n v="6744"/>
    <x v="1"/>
    <x v="0"/>
    <n v="0.86885500933416304"/>
    <x v="0"/>
  </r>
  <r>
    <n v="540"/>
    <s v="CGHS ( CREDIT)"/>
    <d v="2022-10-18T00:00:00"/>
    <x v="1"/>
    <d v="2022-10-25T00:00:00"/>
    <d v="2022-10-25T00:00:00"/>
    <n v="22028514"/>
    <n v="2236503"/>
    <n v="10013361532"/>
    <s v="SHEELA DEVI"/>
    <x v="297"/>
    <n v="0"/>
    <n v="252755"/>
    <n v="147977"/>
    <n v="104778"/>
    <x v="1"/>
    <x v="2"/>
    <n v="0.58545627188384008"/>
    <x v="16"/>
  </r>
  <r>
    <n v="541"/>
    <s v="DELHI VIDYUT BOARD"/>
    <d v="2022-10-21T00:00:00"/>
    <x v="1"/>
    <d v="2022-10-21T00:00:00"/>
    <d v="2022-10-21T00:00:00"/>
    <n v="22028091"/>
    <n v="2236955"/>
    <n v="10013540903"/>
    <s v="RANVIR SEHGAL"/>
    <x v="43"/>
    <n v="0"/>
    <n v="1610"/>
    <n v="1610"/>
    <n v="0"/>
    <x v="0"/>
    <x v="6"/>
    <n v="1"/>
    <x v="13"/>
  </r>
  <r>
    <n v="542"/>
    <s v="Staff DEPENDENT"/>
    <d v="2022-09-27T00:00:00"/>
    <x v="0"/>
    <d v="2022-10-11T00:00:00"/>
    <d v="2022-10-11T00:00:00"/>
    <n v="22026636"/>
    <n v="2233611"/>
    <n v="1000915528"/>
    <s v="SHABNAM"/>
    <x v="298"/>
    <n v="568810"/>
    <n v="0"/>
    <n v="0"/>
    <n v="0"/>
    <x v="0"/>
    <x v="9"/>
    <e v="#DIV/0!"/>
    <x v="0"/>
  </r>
  <r>
    <n v="543"/>
    <s v="NHA - CENTRAL ARMED POLICE FORCES (CGHS)"/>
    <d v="2022-10-17T00:00:00"/>
    <x v="1"/>
    <d v="2022-10-22T00:00:00"/>
    <d v="2022-10-22T00:00:00"/>
    <n v="22028187"/>
    <n v="2236373"/>
    <n v="1000854199"/>
    <s v="SAVITRI DEVI"/>
    <x v="299"/>
    <n v="0"/>
    <n v="58315"/>
    <n v="2657"/>
    <n v="55658"/>
    <x v="1"/>
    <x v="1"/>
    <n v="4.5562891194375378E-2"/>
    <x v="12"/>
  </r>
  <r>
    <n v="544"/>
    <s v="GENERAL PATIENT"/>
    <d v="2022-10-09T00:00:00"/>
    <x v="1"/>
    <d v="2022-10-27T00:00:00"/>
    <d v="2022-10-27T00:00:00"/>
    <n v="22028801"/>
    <n v="2235296"/>
    <n v="10013541061"/>
    <s v="UMANG CHADHA"/>
    <x v="300"/>
    <n v="264781"/>
    <n v="1200527"/>
    <n v="1200527"/>
    <n v="0"/>
    <x v="0"/>
    <x v="13"/>
    <n v="1"/>
    <x v="0"/>
  </r>
  <r>
    <n v="545"/>
    <s v="CARE HEALTH INSURANCE LIMITED"/>
    <d v="2022-10-15T00:00:00"/>
    <x v="1"/>
    <d v="2022-10-22T00:00:00"/>
    <d v="2022-10-22T00:00:00"/>
    <n v="22028169"/>
    <n v="2236117"/>
    <n v="10013305837"/>
    <s v="ARUNA ARORA"/>
    <x v="301"/>
    <n v="0"/>
    <n v="163552"/>
    <n v="1500"/>
    <n v="162052"/>
    <x v="1"/>
    <x v="1"/>
    <n v="9.1713950303267469E-3"/>
    <x v="9"/>
  </r>
  <r>
    <n v="546"/>
    <s v="Safeway Mediclaim Services Pvt. Ltd."/>
    <d v="2022-10-18T00:00:00"/>
    <x v="1"/>
    <d v="2022-10-22T00:00:00"/>
    <d v="2022-10-22T00:00:00"/>
    <n v="22028198"/>
    <n v="2236467"/>
    <n v="10013543535"/>
    <s v="AVIRAL"/>
    <x v="302"/>
    <n v="17187"/>
    <n v="80778"/>
    <n v="16478"/>
    <n v="64300"/>
    <x v="1"/>
    <x v="3"/>
    <n v="0.20399118571888386"/>
    <x v="0"/>
  </r>
  <r>
    <n v="547"/>
    <s v="GENERAL PATIENT"/>
    <d v="2022-10-12T00:00:00"/>
    <x v="1"/>
    <d v="2022-10-15T00:00:00"/>
    <d v="2022-10-15T00:00:00"/>
    <n v="22027184"/>
    <n v="2235665"/>
    <n v="10013535078"/>
    <s v="GUNJAN GUPTA"/>
    <x v="303"/>
    <n v="13195"/>
    <n v="98538"/>
    <n v="98538"/>
    <n v="0"/>
    <x v="0"/>
    <x v="2"/>
    <n v="1"/>
    <x v="1"/>
  </r>
  <r>
    <n v="548"/>
    <s v="GENERAL PATIENT"/>
    <d v="2022-10-12T00:00:00"/>
    <x v="1"/>
    <d v="2022-10-14T00:00:00"/>
    <d v="2022-10-14T00:00:00"/>
    <n v="22027015"/>
    <n v="2235670"/>
    <n v="1001803936"/>
    <s v="SAHIBA MALE BABY  DHAWAN"/>
    <x v="304"/>
    <n v="2486"/>
    <n v="16731"/>
    <n v="16731"/>
    <n v="0"/>
    <x v="0"/>
    <x v="2"/>
    <n v="1"/>
    <x v="3"/>
  </r>
  <r>
    <n v="549"/>
    <s v="VIDAL HEALTH INSURANCE LIMITED"/>
    <d v="2022-10-20T00:00:00"/>
    <x v="1"/>
    <d v="2022-10-22T00:00:00"/>
    <d v="2022-10-22T00:00:00"/>
    <n v="22028184"/>
    <n v="2236714"/>
    <n v="10013543806"/>
    <s v="RAHUL AGGARWAL"/>
    <x v="305"/>
    <n v="8628"/>
    <n v="55260"/>
    <n v="25000"/>
    <n v="30260"/>
    <x v="1"/>
    <x v="14"/>
    <n v="0.45240680419833512"/>
    <x v="0"/>
  </r>
  <r>
    <n v="550"/>
    <s v="HARAYANA GOVT."/>
    <d v="2022-10-20T00:00:00"/>
    <x v="1"/>
    <d v="2022-10-20T00:00:00"/>
    <d v="2022-10-20T00:00:00"/>
    <n v="22027907"/>
    <n v="2236715"/>
    <n v="1000956202"/>
    <s v="JASWANT SINGH"/>
    <x v="306"/>
    <n v="0"/>
    <n v="15566"/>
    <n v="15566"/>
    <n v="0"/>
    <x v="0"/>
    <x v="1"/>
    <n v="1"/>
    <x v="4"/>
  </r>
  <r>
    <n v="551"/>
    <s v=" SSYAMA CASH"/>
    <d v="2022-10-14T00:00:00"/>
    <x v="1"/>
    <d v="2022-10-14T00:00:00"/>
    <d v="2022-10-14T00:00:00"/>
    <n v="22027053"/>
    <n v="2235977"/>
    <n v="1001788579"/>
    <s v="JABBAR KHAN"/>
    <x v="49"/>
    <n v="0"/>
    <n v="2172"/>
    <n v="2172"/>
    <n v="0"/>
    <x v="0"/>
    <x v="6"/>
    <n v="1"/>
    <x v="13"/>
  </r>
  <r>
    <n v="552"/>
    <s v="Health Insurance TPA of India Ltd."/>
    <d v="2022-10-21T00:00:00"/>
    <x v="1"/>
    <d v="2022-10-24T00:00:00"/>
    <d v="2022-10-24T00:00:00"/>
    <n v="22028455"/>
    <n v="2236933"/>
    <n v="10013495827"/>
    <s v="RAFIQ MOHD"/>
    <x v="307"/>
    <n v="0"/>
    <n v="139158"/>
    <n v="27298"/>
    <n v="111860"/>
    <x v="1"/>
    <x v="4"/>
    <n v="0.19616550970838903"/>
    <x v="4"/>
  </r>
  <r>
    <n v="553"/>
    <s v="HDFC ERGO General Insurance Co. Ltd."/>
    <d v="2022-10-06T00:00:00"/>
    <x v="1"/>
    <d v="2022-10-08T00:00:00"/>
    <d v="2022-10-08T00:00:00"/>
    <n v="22026095"/>
    <n v="2234844"/>
    <n v="1001802712"/>
    <s v="SUNITA"/>
    <x v="308"/>
    <n v="0"/>
    <n v="170811"/>
    <n v="6003"/>
    <n v="164808"/>
    <x v="1"/>
    <x v="1"/>
    <n v="3.5144106644185678E-2"/>
    <x v="7"/>
  </r>
  <r>
    <n v="554"/>
    <s v="NIVA BUPA"/>
    <d v="2022-10-10T00:00:00"/>
    <x v="1"/>
    <d v="2022-10-13T00:00:00"/>
    <d v="2022-10-13T00:00:00"/>
    <n v="22026854"/>
    <n v="2235360"/>
    <n v="10013542050"/>
    <s v="SARANG"/>
    <x v="309"/>
    <n v="9500"/>
    <n v="64027"/>
    <n v="1000"/>
    <n v="63027"/>
    <x v="1"/>
    <x v="0"/>
    <n v="1.5618410982866603E-2"/>
    <x v="12"/>
  </r>
  <r>
    <n v="555"/>
    <s v="GENERAL PATIENT"/>
    <d v="2022-10-11T00:00:00"/>
    <x v="1"/>
    <d v="2022-10-12T00:00:00"/>
    <d v="2022-10-12T00:00:00"/>
    <n v="22026774"/>
    <n v="2235497"/>
    <n v="10013542428"/>
    <s v="SUNIL KUMAR"/>
    <x v="310"/>
    <n v="44944"/>
    <n v="166934"/>
    <n v="166934"/>
    <n v="0"/>
    <x v="0"/>
    <x v="7"/>
    <n v="1"/>
    <x v="16"/>
  </r>
  <r>
    <n v="556"/>
    <s v="NIVA BUPA"/>
    <d v="2022-10-20T00:00:00"/>
    <x v="1"/>
    <d v="2022-10-27T00:00:00"/>
    <d v="2022-10-27T00:00:00"/>
    <n v="22028765"/>
    <n v="2236830"/>
    <n v="10013543942"/>
    <s v="RAJESH MAGAN"/>
    <x v="311"/>
    <n v="12253"/>
    <n v="108615"/>
    <n v="3362"/>
    <n v="105253"/>
    <x v="1"/>
    <x v="2"/>
    <n v="3.0953367398609769E-2"/>
    <x v="0"/>
  </r>
  <r>
    <n v="557"/>
    <s v=" VIPUL MEDCORP TPA"/>
    <d v="2022-10-07T00:00:00"/>
    <x v="1"/>
    <d v="2022-10-10T00:00:00"/>
    <d v="2022-10-10T00:00:00"/>
    <n v="22026451"/>
    <n v="2235078"/>
    <n v="1001803118"/>
    <s v="CECELIA"/>
    <x v="312"/>
    <n v="18266"/>
    <n v="91215"/>
    <n v="29116"/>
    <n v="62099"/>
    <x v="1"/>
    <x v="1"/>
    <n v="0.3192018856547717"/>
    <x v="0"/>
  </r>
  <r>
    <n v="558"/>
    <s v="GENERAL PATIENT"/>
    <d v="2022-10-28T00:00:00"/>
    <x v="1"/>
    <d v="2022-10-28T00:00:00"/>
    <d v="2022-10-28T00:00:00"/>
    <n v="22028935"/>
    <n v="2237801"/>
    <n v="10013544920"/>
    <s v="PREM DEVI"/>
    <x v="313"/>
    <n v="348"/>
    <n v="3622"/>
    <n v="3622"/>
    <n v="0"/>
    <x v="0"/>
    <x v="8"/>
    <n v="1"/>
    <x v="9"/>
  </r>
  <r>
    <n v="559"/>
    <s v="GENERAL PATIENT"/>
    <d v="2022-10-14T00:00:00"/>
    <x v="1"/>
    <d v="2022-10-18T00:00:00"/>
    <d v="2022-10-18T00:00:00"/>
    <n v="22027550"/>
    <n v="2236058"/>
    <n v="10013543034"/>
    <s v="LAKSHAY SHARMA"/>
    <x v="314"/>
    <n v="14390"/>
    <n v="52753"/>
    <n v="52753"/>
    <n v="0"/>
    <x v="0"/>
    <x v="1"/>
    <n v="1"/>
    <x v="0"/>
  </r>
  <r>
    <n v="560"/>
    <s v="GENERAL PATIENT"/>
    <d v="2022-10-13T00:00:00"/>
    <x v="1"/>
    <d v="2022-10-18T00:00:00"/>
    <d v="2022-10-18T00:00:00"/>
    <n v="22027568"/>
    <n v="2235874"/>
    <n v="10013464974"/>
    <s v="USHA GUPTA"/>
    <x v="315"/>
    <n v="27988"/>
    <n v="58032"/>
    <n v="58032"/>
    <n v="0"/>
    <x v="0"/>
    <x v="7"/>
    <n v="1"/>
    <x v="0"/>
  </r>
  <r>
    <n v="561"/>
    <s v="GENERAL PATIENT"/>
    <d v="2022-10-18T00:00:00"/>
    <x v="1"/>
    <d v="2022-10-19T00:00:00"/>
    <d v="2022-10-19T00:00:00"/>
    <n v="22027649"/>
    <n v="2236484"/>
    <n v="1001144994"/>
    <s v="K.K. KAPOOR"/>
    <x v="316"/>
    <n v="5221"/>
    <n v="24030"/>
    <n v="24030"/>
    <n v="0"/>
    <x v="0"/>
    <x v="1"/>
    <n v="1"/>
    <x v="4"/>
  </r>
  <r>
    <n v="562"/>
    <s v=" CGHS Cash"/>
    <d v="2022-10-14T00:00:00"/>
    <x v="1"/>
    <d v="2022-10-24T00:00:00"/>
    <d v="2022-10-24T00:00:00"/>
    <n v="22028416"/>
    <n v="2235988"/>
    <n v="1001804368"/>
    <s v="SUSHILA KAUL"/>
    <x v="317"/>
    <n v="0"/>
    <n v="94862"/>
    <n v="94790"/>
    <n v="72"/>
    <x v="1"/>
    <x v="1"/>
    <n v="0.99924100271974026"/>
    <x v="0"/>
  </r>
  <r>
    <n v="563"/>
    <s v="CGHS"/>
    <d v="2022-10-19T00:00:00"/>
    <x v="1"/>
    <d v="2022-10-19T00:00:00"/>
    <d v="2022-10-19T00:00:00"/>
    <n v="22027701"/>
    <n v="2236611"/>
    <n v="1001644664"/>
    <s v="P C. BHATT"/>
    <x v="43"/>
    <n v="0"/>
    <n v="1610"/>
    <n v="1610"/>
    <n v="0"/>
    <x v="0"/>
    <x v="6"/>
    <n v="1"/>
    <x v="13"/>
  </r>
  <r>
    <n v="564"/>
    <s v="GENERAL PATIENT"/>
    <d v="2022-10-18T00:00:00"/>
    <x v="1"/>
    <d v="2022-10-18T00:00:00"/>
    <d v="2022-10-18T00:00:00"/>
    <n v="22027641"/>
    <n v="2236554"/>
    <n v="1001012376"/>
    <s v="SHOBHA"/>
    <x v="41"/>
    <n v="2794"/>
    <n v="0"/>
    <n v="0"/>
    <n v="0"/>
    <x v="0"/>
    <x v="9"/>
    <e v="#DIV/0!"/>
    <x v="13"/>
  </r>
  <r>
    <n v="565"/>
    <s v="GENERAL PATIENT"/>
    <d v="2022-10-16T00:00:00"/>
    <x v="1"/>
    <d v="2022-10-20T00:00:00"/>
    <d v="2022-10-20T00:00:00"/>
    <n v="22027869"/>
    <n v="2236260"/>
    <n v="10013543226"/>
    <s v="NILESH KUMAR"/>
    <x v="318"/>
    <n v="44988"/>
    <n v="0"/>
    <n v="0"/>
    <n v="0"/>
    <x v="0"/>
    <x v="9"/>
    <e v="#DIV/0!"/>
    <x v="0"/>
  </r>
  <r>
    <n v="566"/>
    <s v="STAR HEALTH CARE  (CREDIT)"/>
    <d v="2022-10-01T00:00:00"/>
    <x v="1"/>
    <d v="2022-10-04T00:00:00"/>
    <d v="2022-10-04T00:00:00"/>
    <n v="22025557"/>
    <n v="2234293"/>
    <n v="10013479443"/>
    <s v="ANVIT"/>
    <x v="319"/>
    <n v="4623"/>
    <n v="84996"/>
    <n v="4257"/>
    <n v="80739"/>
    <x v="1"/>
    <x v="1"/>
    <n v="5.0084709868699701E-2"/>
    <x v="21"/>
  </r>
  <r>
    <n v="567"/>
    <s v="Universal Sompo Gen.Insu.Co.Ltd."/>
    <d v="2022-10-04T00:00:00"/>
    <x v="1"/>
    <d v="2022-10-04T00:00:00"/>
    <d v="2022-10-04T00:00:00"/>
    <n v="22025591"/>
    <n v="2234536"/>
    <n v="1001802357"/>
    <s v="SHANTI DEVI"/>
    <x v="320"/>
    <n v="0"/>
    <n v="22544"/>
    <n v="22543"/>
    <n v="1"/>
    <x v="1"/>
    <x v="6"/>
    <n v="0.99995564229950318"/>
    <x v="0"/>
  </r>
  <r>
    <n v="568"/>
    <s v="HDFC ERGO General Insurance Co. Ltd."/>
    <d v="2022-10-19T00:00:00"/>
    <x v="1"/>
    <d v="2022-10-23T00:00:00"/>
    <d v="2022-10-23T00:00:00"/>
    <n v="22028369"/>
    <n v="2236689"/>
    <n v="10013543785"/>
    <s v="RAVNEET SINGH"/>
    <x v="321"/>
    <n v="5440"/>
    <n v="63540"/>
    <n v="1621"/>
    <n v="61919"/>
    <x v="1"/>
    <x v="2"/>
    <n v="2.5511488825936419E-2"/>
    <x v="0"/>
  </r>
  <r>
    <n v="569"/>
    <s v="RAKSHA (TPA)"/>
    <d v="2022-10-17T00:00:00"/>
    <x v="1"/>
    <d v="2022-10-23T00:00:00"/>
    <d v="2022-10-23T00:00:00"/>
    <n v="22028365"/>
    <n v="2236411"/>
    <n v="10013543471"/>
    <s v="GOVIND GUPTA"/>
    <x v="322"/>
    <n v="14545"/>
    <n v="97478"/>
    <n v="40220"/>
    <n v="57258"/>
    <x v="1"/>
    <x v="2"/>
    <n v="0.41260592133609636"/>
    <x v="0"/>
  </r>
  <r>
    <n v="570"/>
    <s v="GENERAL PATIENT"/>
    <d v="2022-09-28T00:00:00"/>
    <x v="0"/>
    <d v="2022-10-01T00:00:00"/>
    <d v="2022-10-01T00:00:00"/>
    <n v="22025110"/>
    <n v="2233722"/>
    <n v="10013413841"/>
    <s v="ANJALI VERMA"/>
    <x v="323"/>
    <n v="15762"/>
    <n v="109909"/>
    <n v="109909"/>
    <n v="0"/>
    <x v="0"/>
    <x v="1"/>
    <n v="1"/>
    <x v="1"/>
  </r>
  <r>
    <n v="571"/>
    <s v="Safeway Mediclaim Services Pvt. Ltd."/>
    <d v="2022-10-11T00:00:00"/>
    <x v="1"/>
    <d v="2022-10-13T00:00:00"/>
    <d v="2022-10-13T00:00:00"/>
    <n v="22026877"/>
    <n v="2235594"/>
    <n v="1000997725"/>
    <s v="SAURABH SINGHAL"/>
    <x v="324"/>
    <n v="8027"/>
    <n v="49816"/>
    <n v="7557"/>
    <n v="42259"/>
    <x v="1"/>
    <x v="2"/>
    <n v="0.15169824955837483"/>
    <x v="0"/>
  </r>
  <r>
    <n v="572"/>
    <s v="GENERAL PATIENT"/>
    <d v="2022-10-09T00:00:00"/>
    <x v="1"/>
    <d v="2022-10-15T00:00:00"/>
    <d v="2022-10-15T00:00:00"/>
    <n v="22027158"/>
    <n v="2235270"/>
    <n v="10013451510"/>
    <s v="KIMTI LAL SACHDEVA"/>
    <x v="325"/>
    <n v="46375"/>
    <n v="170515"/>
    <n v="170515"/>
    <n v="0"/>
    <x v="0"/>
    <x v="16"/>
    <n v="1"/>
    <x v="0"/>
  </r>
  <r>
    <n v="573"/>
    <s v="GENERAL PATIENT"/>
    <d v="2022-10-29T00:00:00"/>
    <x v="1"/>
    <d v="2022-10-29T00:00:00"/>
    <d v="2022-10-29T00:00:00"/>
    <n v="22029056"/>
    <n v="2237950"/>
    <n v="10013539422"/>
    <s v="NAVEEN KUMAR"/>
    <x v="143"/>
    <n v="286"/>
    <n v="3443"/>
    <n v="3443"/>
    <n v="0"/>
    <x v="0"/>
    <x v="6"/>
    <n v="1"/>
    <x v="13"/>
  </r>
  <r>
    <n v="574"/>
    <s v="GENERAL PATIENT"/>
    <d v="2022-10-25T00:00:00"/>
    <x v="1"/>
    <d v="2022-10-25T00:00:00"/>
    <d v="2022-10-25T00:00:00"/>
    <n v="22028526"/>
    <n v="2237338"/>
    <n v="10013527702"/>
    <s v="RAJENDER TAYAL"/>
    <x v="45"/>
    <n v="416"/>
    <n v="4574"/>
    <n v="4574"/>
    <n v="0"/>
    <x v="0"/>
    <x v="6"/>
    <n v="1"/>
    <x v="13"/>
  </r>
  <r>
    <n v="575"/>
    <s v="GENERAL PATIENT"/>
    <d v="2022-10-25T00:00:00"/>
    <x v="1"/>
    <d v="2022-10-25T00:00:00"/>
    <d v="2022-10-25T00:00:00"/>
    <n v="22028527"/>
    <n v="2237339"/>
    <n v="10013526375"/>
    <s v="BIRBHAN GARG"/>
    <x v="45"/>
    <n v="416"/>
    <n v="4574"/>
    <n v="4574"/>
    <n v="0"/>
    <x v="0"/>
    <x v="6"/>
    <n v="1"/>
    <x v="13"/>
  </r>
  <r>
    <n v="576"/>
    <s v="VIDAL HEALTH INSURANCE LIMITED"/>
    <d v="2022-09-24T00:00:00"/>
    <x v="0"/>
    <d v="2022-10-04T00:00:00"/>
    <d v="2022-10-04T00:00:00"/>
    <n v="22025473"/>
    <n v="2233285"/>
    <n v="10013538589"/>
    <s v="NARINDER JEET SINGH"/>
    <x v="326"/>
    <n v="0"/>
    <n v="593537"/>
    <n v="96029"/>
    <n v="497508"/>
    <x v="1"/>
    <x v="3"/>
    <n v="0.16179109305738312"/>
    <x v="0"/>
  </r>
  <r>
    <n v="577"/>
    <s v="HDFC ERGO General Insurance Co. Ltd."/>
    <d v="2022-10-07T00:00:00"/>
    <x v="1"/>
    <d v="2022-10-09T00:00:00"/>
    <d v="2022-10-09T00:00:00"/>
    <n v="22026320"/>
    <n v="2235038"/>
    <n v="10013542019"/>
    <s v="SUMAN"/>
    <x v="327"/>
    <n v="0"/>
    <n v="48926"/>
    <n v="0"/>
    <n v="48926"/>
    <x v="1"/>
    <x v="0"/>
    <n v="0"/>
    <x v="0"/>
  </r>
  <r>
    <n v="578"/>
    <s v=" MEDI ASSIST INSURANCE TPA LTD"/>
    <d v="2022-10-10T00:00:00"/>
    <x v="1"/>
    <d v="2022-10-10T00:00:00"/>
    <d v="2022-10-10T00:00:00"/>
    <n v="22026348"/>
    <n v="2235349"/>
    <n v="1001561182"/>
    <s v="TAPATI CHATTERJEE"/>
    <x v="211"/>
    <n v="0"/>
    <n v="2000"/>
    <n v="300"/>
    <n v="1700"/>
    <x v="1"/>
    <x v="12"/>
    <n v="0.15"/>
    <x v="13"/>
  </r>
  <r>
    <n v="579"/>
    <s v="GENERAL PATIENT"/>
    <d v="2022-10-23T00:00:00"/>
    <x v="1"/>
    <d v="2022-10-23T00:00:00"/>
    <d v="2022-10-23T00:00:00"/>
    <n v="22028392"/>
    <n v="2237181"/>
    <n v="10013541901"/>
    <s v="PINKI DEVI"/>
    <x v="73"/>
    <n v="308"/>
    <n v="2536"/>
    <n v="2536"/>
    <n v="0"/>
    <x v="0"/>
    <x v="6"/>
    <n v="1"/>
    <x v="13"/>
  </r>
  <r>
    <n v="580"/>
    <s v="Safeway Mediclaim Services Pvt. Ltd."/>
    <d v="2022-10-29T00:00:00"/>
    <x v="1"/>
    <d v="2022-10-29T00:00:00"/>
    <d v="2022-10-29T00:00:00"/>
    <n v="22029003"/>
    <n v="2237921"/>
    <n v="10013464572"/>
    <s v="NANAK CHAND JAIN"/>
    <x v="168"/>
    <n v="1062"/>
    <n v="3778"/>
    <n v="1578"/>
    <n v="2200"/>
    <x v="1"/>
    <x v="12"/>
    <n v="0.41768131286394916"/>
    <x v="13"/>
  </r>
  <r>
    <n v="581"/>
    <s v="DGHS (DELHI GOVT.)"/>
    <d v="2022-10-03T00:00:00"/>
    <x v="1"/>
    <d v="2022-10-06T00:00:00"/>
    <d v="2022-10-06T00:00:00"/>
    <n v="22025832"/>
    <n v="2234372"/>
    <n v="10013508336"/>
    <s v="NITANSHA GULATI"/>
    <x v="328"/>
    <n v="0"/>
    <n v="16158"/>
    <n v="16158"/>
    <n v="0"/>
    <x v="0"/>
    <x v="0"/>
    <n v="1"/>
    <x v="1"/>
  </r>
  <r>
    <n v="582"/>
    <s v="GENERAL PATIENT"/>
    <d v="2022-10-12T00:00:00"/>
    <x v="1"/>
    <d v="2022-10-15T00:00:00"/>
    <d v="2022-10-15T00:00:00"/>
    <n v="22027167"/>
    <n v="2235729"/>
    <n v="10013542738"/>
    <s v="DHEERAJ PATHAK"/>
    <x v="329"/>
    <n v="4883"/>
    <n v="34789"/>
    <n v="34789"/>
    <n v="0"/>
    <x v="0"/>
    <x v="1"/>
    <n v="1"/>
    <x v="0"/>
  </r>
  <r>
    <n v="583"/>
    <s v="FHPL-TATA AIG"/>
    <d v="2022-10-25T00:00:00"/>
    <x v="1"/>
    <d v="2022-10-27T00:00:00"/>
    <d v="2022-10-27T00:00:00"/>
    <n v="22028764"/>
    <n v="2237354"/>
    <n v="1001095692"/>
    <s v="CHAYANK BAKSHI"/>
    <x v="330"/>
    <n v="0"/>
    <n v="101271"/>
    <n v="2560"/>
    <n v="98711"/>
    <x v="1"/>
    <x v="1"/>
    <n v="2.5278707626072618E-2"/>
    <x v="11"/>
  </r>
  <r>
    <n v="584"/>
    <s v="M.C.D"/>
    <d v="2022-10-06T00:00:00"/>
    <x v="1"/>
    <d v="2022-10-10T00:00:00"/>
    <d v="2022-10-10T00:00:00"/>
    <n v="22026361"/>
    <n v="2234957"/>
    <n v="10013541888"/>
    <s v="ANURADHA"/>
    <x v="331"/>
    <n v="0"/>
    <n v="19695"/>
    <n v="19695"/>
    <n v="0"/>
    <x v="0"/>
    <x v="1"/>
    <n v="1"/>
    <x v="0"/>
  </r>
  <r>
    <n v="585"/>
    <s v="GENERAL PATIENT"/>
    <d v="2022-10-11T00:00:00"/>
    <x v="1"/>
    <d v="2022-10-12T00:00:00"/>
    <d v="2022-10-12T00:00:00"/>
    <n v="22026686"/>
    <n v="2235561"/>
    <n v="1001803781"/>
    <s v="KARAN SINGH"/>
    <x v="332"/>
    <n v="3410"/>
    <n v="27185"/>
    <n v="27185"/>
    <n v="0"/>
    <x v="0"/>
    <x v="1"/>
    <n v="1"/>
    <x v="4"/>
  </r>
  <r>
    <n v="586"/>
    <s v="GENERAL PATIENT"/>
    <d v="2022-10-13T00:00:00"/>
    <x v="1"/>
    <d v="2022-10-13T00:00:00"/>
    <d v="2022-10-13T00:00:00"/>
    <n v="22026891"/>
    <n v="2235835"/>
    <n v="10013513064"/>
    <s v="JAGJEET KAUR"/>
    <x v="143"/>
    <n v="310"/>
    <n v="3419"/>
    <n v="3419"/>
    <n v="0"/>
    <x v="0"/>
    <x v="6"/>
    <n v="1"/>
    <x v="13"/>
  </r>
  <r>
    <n v="587"/>
    <s v="MEDI ASSIST"/>
    <d v="2022-10-13T00:00:00"/>
    <x v="1"/>
    <d v="2022-10-13T00:00:00"/>
    <d v="2022-10-13T00:00:00"/>
    <n v="22026904"/>
    <n v="2235837"/>
    <n v="1000983811"/>
    <s v="LUXMI TRIVEDI"/>
    <x v="75"/>
    <n v="0"/>
    <n v="2200"/>
    <n v="440"/>
    <n v="1760"/>
    <x v="1"/>
    <x v="12"/>
    <n v="0.2"/>
    <x v="13"/>
  </r>
  <r>
    <n v="588"/>
    <s v="GENERAL PATIENT"/>
    <d v="2022-10-13T00:00:00"/>
    <x v="1"/>
    <d v="2022-10-13T00:00:00"/>
    <d v="2022-10-13T00:00:00"/>
    <n v="22026909"/>
    <n v="2235843"/>
    <n v="10013339576"/>
    <s v="RAKESH GUPTA"/>
    <x v="41"/>
    <n v="2794"/>
    <n v="0"/>
    <n v="0"/>
    <n v="0"/>
    <x v="0"/>
    <x v="9"/>
    <e v="#DIV/0!"/>
    <x v="13"/>
  </r>
  <r>
    <n v="589"/>
    <s v="RAKSHA (TPA)"/>
    <d v="2022-10-29T00:00:00"/>
    <x v="1"/>
    <d v="2022-10-30T00:00:00"/>
    <d v="2022-10-30T00:00:00"/>
    <n v="22029180"/>
    <n v="2237897"/>
    <n v="10013543244"/>
    <s v="MOOL CHAND"/>
    <x v="333"/>
    <n v="1216"/>
    <n v="34739"/>
    <n v="15149"/>
    <n v="19590"/>
    <x v="1"/>
    <x v="4"/>
    <n v="0.43608048590920867"/>
    <x v="4"/>
  </r>
  <r>
    <n v="590"/>
    <s v="GENERAL PATIENT"/>
    <d v="2022-10-29T00:00:00"/>
    <x v="1"/>
    <d v="2022-10-29T00:00:00"/>
    <d v="2022-10-29T00:00:00"/>
    <n v="22029131"/>
    <n v="2237976"/>
    <n v="1001807010"/>
    <s v="SURESH CHAND GARG"/>
    <x v="19"/>
    <n v="0"/>
    <n v="14000"/>
    <n v="14000"/>
    <n v="0"/>
    <x v="0"/>
    <x v="6"/>
    <n v="1"/>
    <x v="4"/>
  </r>
  <r>
    <n v="591"/>
    <s v="GENERAL PATIENT"/>
    <d v="2022-10-15T00:00:00"/>
    <x v="1"/>
    <d v="2022-10-15T00:00:00"/>
    <d v="2022-10-15T00:00:00"/>
    <n v="22027266"/>
    <n v="2236179"/>
    <n v="10013391599"/>
    <s v="BALA SINGHAL"/>
    <x v="19"/>
    <n v="0"/>
    <n v="14000"/>
    <n v="14000"/>
    <n v="0"/>
    <x v="0"/>
    <x v="6"/>
    <n v="1"/>
    <x v="4"/>
  </r>
  <r>
    <n v="592"/>
    <s v="STAR HEALTH CARE  (CREDIT)"/>
    <d v="2022-10-30T00:00:00"/>
    <x v="1"/>
    <d v="2022-10-31T00:00:00"/>
    <d v="2022-10-31T00:00:00"/>
    <n v="22029354"/>
    <n v="2238082"/>
    <n v="10013545202"/>
    <s v="LATA"/>
    <x v="334"/>
    <n v="8123"/>
    <n v="48503"/>
    <n v="10507"/>
    <n v="37996"/>
    <x v="1"/>
    <x v="1"/>
    <n v="0.21662577572521288"/>
    <x v="3"/>
  </r>
  <r>
    <n v="593"/>
    <s v=" CGHS Cash"/>
    <d v="2022-10-31T00:00:00"/>
    <x v="1"/>
    <d v="2022-10-31T00:00:00"/>
    <d v="2022-10-31T00:00:00"/>
    <n v="22029356"/>
    <n v="2238188"/>
    <n v="1001772963"/>
    <s v="RAVINDER VERMA"/>
    <x v="137"/>
    <n v="0"/>
    <n v="2560"/>
    <n v="25950"/>
    <n v="-23390"/>
    <x v="1"/>
    <x v="6"/>
    <n v="10.13671875"/>
    <x v="13"/>
  </r>
  <r>
    <n v="594"/>
    <s v="DGHS (DELHI GOVT.)"/>
    <d v="2022-10-01T00:00:00"/>
    <x v="1"/>
    <d v="2022-10-02T00:00:00"/>
    <d v="2022-10-02T00:00:00"/>
    <n v="22025296"/>
    <n v="2234267"/>
    <n v="1001801949"/>
    <s v="SURAJ PRAKASH KHANNA"/>
    <x v="335"/>
    <n v="0"/>
    <n v="7307"/>
    <n v="572"/>
    <n v="6735"/>
    <x v="1"/>
    <x v="2"/>
    <n v="7.8281100314766663E-2"/>
    <x v="4"/>
  </r>
  <r>
    <n v="595"/>
    <s v="DGHS (DELHI GOVT.)"/>
    <d v="2022-10-17T00:00:00"/>
    <x v="1"/>
    <d v="2022-10-18T00:00:00"/>
    <d v="2022-10-18T00:00:00"/>
    <n v="22027574"/>
    <n v="2236314"/>
    <n v="10013494693"/>
    <s v="USHA KALRA"/>
    <x v="336"/>
    <n v="0"/>
    <n v="14232"/>
    <n v="1992"/>
    <n v="12240"/>
    <x v="1"/>
    <x v="1"/>
    <n v="0.1399662731871838"/>
    <x v="12"/>
  </r>
  <r>
    <n v="596"/>
    <s v="GENERAL PATIENT"/>
    <d v="2022-10-13T00:00:00"/>
    <x v="1"/>
    <d v="2022-10-18T00:00:00"/>
    <d v="2022-10-18T00:00:00"/>
    <n v="22027571"/>
    <n v="2235844"/>
    <n v="10013542822"/>
    <s v="DEVENDER GUPTA"/>
    <x v="337"/>
    <n v="49015"/>
    <n v="123679"/>
    <n v="123679"/>
    <n v="0"/>
    <x v="0"/>
    <x v="7"/>
    <n v="1"/>
    <x v="0"/>
  </r>
  <r>
    <n v="597"/>
    <s v="CGHS ( CREDIT)"/>
    <d v="2022-10-28T00:00:00"/>
    <x v="1"/>
    <d v="2022-10-30T00:00:00"/>
    <d v="2022-10-30T00:00:00"/>
    <n v="22029229"/>
    <n v="2237802"/>
    <n v="10013498631"/>
    <s v="T.M. SAMUEL"/>
    <x v="338"/>
    <n v="0"/>
    <n v="129640"/>
    <n v="1400"/>
    <n v="128240"/>
    <x v="1"/>
    <x v="1"/>
    <n v="1.079913606911447E-2"/>
    <x v="4"/>
  </r>
  <r>
    <n v="598"/>
    <s v=" CGHS CREDIT"/>
    <d v="2022-10-03T00:00:00"/>
    <x v="1"/>
    <d v="2022-10-08T00:00:00"/>
    <d v="2022-10-08T00:00:00"/>
    <n v="22026196"/>
    <n v="2234414"/>
    <n v="1001775627"/>
    <s v="NARENDRA KUMAR SINGH"/>
    <x v="339"/>
    <n v="0"/>
    <n v="41352"/>
    <n v="0"/>
    <n v="41352"/>
    <x v="1"/>
    <x v="0"/>
    <n v="0"/>
    <x v="0"/>
  </r>
  <r>
    <n v="599"/>
    <s v="GENERAL PATIENT"/>
    <d v="2022-10-20T00:00:00"/>
    <x v="1"/>
    <d v="2022-10-31T00:00:00"/>
    <d v="2022-10-31T00:00:00"/>
    <n v="22029299"/>
    <n v="2236851"/>
    <n v="10013491587"/>
    <s v="JASVINDER KAUR"/>
    <x v="340"/>
    <n v="39525"/>
    <n v="231000"/>
    <n v="231000"/>
    <n v="0"/>
    <x v="0"/>
    <x v="7"/>
    <n v="1"/>
    <x v="4"/>
  </r>
  <r>
    <n v="600"/>
    <s v="GENERAL PATIENT"/>
    <d v="2022-10-08T00:00:00"/>
    <x v="1"/>
    <d v="2022-10-09T00:00:00"/>
    <d v="2022-10-09T00:00:00"/>
    <n v="22026247"/>
    <n v="2235150"/>
    <n v="1001803227"/>
    <s v="RAJ KUMAR AHUJA"/>
    <x v="166"/>
    <n v="26750"/>
    <n v="157404"/>
    <n v="157404"/>
    <n v="0"/>
    <x v="0"/>
    <x v="7"/>
    <n v="1"/>
    <x v="4"/>
  </r>
  <r>
    <n v="601"/>
    <s v="GENERAL PATIENT"/>
    <d v="2022-10-09T00:00:00"/>
    <x v="1"/>
    <d v="2022-10-10T00:00:00"/>
    <d v="2022-10-10T00:00:00"/>
    <n v="22026367"/>
    <n v="2235264"/>
    <n v="1001803393"/>
    <s v="PRASHANT KUMAR NATH"/>
    <x v="341"/>
    <n v="1250"/>
    <n v="28536"/>
    <n v="28536"/>
    <n v="0"/>
    <x v="0"/>
    <x v="1"/>
    <n v="1"/>
    <x v="16"/>
  </r>
  <r>
    <n v="602"/>
    <s v="Delhi University"/>
    <d v="2022-10-18T00:00:00"/>
    <x v="1"/>
    <d v="2022-10-18T00:00:00"/>
    <d v="2022-10-18T00:00:00"/>
    <n v="22027611"/>
    <n v="2236455"/>
    <n v="10013543443"/>
    <s v="GARIMA GUPTA"/>
    <x v="342"/>
    <n v="0"/>
    <n v="9048"/>
    <n v="9048"/>
    <n v="0"/>
    <x v="0"/>
    <x v="1"/>
    <n v="1"/>
    <x v="1"/>
  </r>
  <r>
    <n v="603"/>
    <s v="GENERAL PATIENT"/>
    <d v="2022-10-22T00:00:00"/>
    <x v="1"/>
    <d v="2022-10-30T00:00:00"/>
    <d v="2022-10-30T00:00:00"/>
    <n v="22029232"/>
    <n v="2236992"/>
    <n v="10013544102"/>
    <s v="TARKESHWAR  RAY"/>
    <x v="343"/>
    <n v="31105"/>
    <n v="186060"/>
    <n v="186060"/>
    <n v="0"/>
    <x v="0"/>
    <x v="7"/>
    <n v="1"/>
    <x v="20"/>
  </r>
  <r>
    <n v="604"/>
    <s v="DDA"/>
    <d v="2022-10-01T00:00:00"/>
    <x v="1"/>
    <d v="2022-10-02T00:00:00"/>
    <d v="2022-10-02T00:00:00"/>
    <n v="22025323"/>
    <n v="2234180"/>
    <n v="10013541112"/>
    <s v="RAJ RANI"/>
    <x v="344"/>
    <n v="0"/>
    <n v="101536"/>
    <n v="101536"/>
    <n v="0"/>
    <x v="0"/>
    <x v="1"/>
    <n v="1"/>
    <x v="7"/>
  </r>
  <r>
    <n v="605"/>
    <s v="DELHI VIDYUT BOARD"/>
    <d v="2022-10-01T00:00:00"/>
    <x v="1"/>
    <d v="2022-10-05T00:00:00"/>
    <d v="2022-10-05T00:00:00"/>
    <n v="22025750"/>
    <n v="2234183"/>
    <n v="10013541111"/>
    <s v="MOHAN LAL"/>
    <x v="345"/>
    <n v="0"/>
    <n v="73772"/>
    <n v="73772"/>
    <n v="0"/>
    <x v="0"/>
    <x v="1"/>
    <n v="1"/>
    <x v="0"/>
  </r>
  <r>
    <n v="606"/>
    <s v="DGHS (DELHI GOVT.)"/>
    <d v="2022-10-01T00:00:00"/>
    <x v="1"/>
    <d v="2022-10-05T00:00:00"/>
    <d v="2022-10-05T00:00:00"/>
    <n v="22025743"/>
    <n v="2234227"/>
    <n v="1001572622"/>
    <s v="NEETU CHAUDHARY"/>
    <x v="346"/>
    <n v="0"/>
    <n v="41086"/>
    <n v="41086"/>
    <n v="0"/>
    <x v="0"/>
    <x v="2"/>
    <n v="1"/>
    <x v="0"/>
  </r>
  <r>
    <n v="607"/>
    <s v="HARAYANA GOVT."/>
    <d v="2022-10-08T00:00:00"/>
    <x v="1"/>
    <d v="2022-10-08T00:00:00"/>
    <d v="2022-10-08T00:00:00"/>
    <n v="22026153"/>
    <n v="2235162"/>
    <n v="10013383005"/>
    <s v="AJIT SINGH"/>
    <x v="96"/>
    <n v="0"/>
    <n v="2064"/>
    <n v="2064"/>
    <n v="0"/>
    <x v="0"/>
    <x v="6"/>
    <n v="1"/>
    <x v="13"/>
  </r>
  <r>
    <n v="608"/>
    <s v="STAR HEALTH CARE  (CREDIT)"/>
    <d v="2022-10-27T00:00:00"/>
    <x v="1"/>
    <d v="2022-10-31T00:00:00"/>
    <d v="2022-10-31T00:00:00"/>
    <n v="22029255"/>
    <n v="2237676"/>
    <n v="1000973033"/>
    <s v="SUMAN SHARMA"/>
    <x v="347"/>
    <n v="6061"/>
    <n v="41312"/>
    <n v="2494"/>
    <n v="38818"/>
    <x v="1"/>
    <x v="1"/>
    <n v="6.0369868319132457E-2"/>
    <x v="0"/>
  </r>
  <r>
    <n v="609"/>
    <s v="GENERAL PATIENT (MAH)"/>
    <d v="2022-10-18T00:00:00"/>
    <x v="1"/>
    <d v="2022-10-18T00:00:00"/>
    <d v="2022-10-18T00:00:00"/>
    <n v="22027616"/>
    <n v="2236494"/>
    <n v="1000950490"/>
    <s v="RAM DEO AGGARWAL"/>
    <x v="348"/>
    <n v="21040"/>
    <n v="0"/>
    <n v="0"/>
    <n v="0"/>
    <x v="0"/>
    <x v="9"/>
    <e v="#DIV/0!"/>
    <x v="15"/>
  </r>
  <r>
    <n v="610"/>
    <s v="Good Health Plan Limited"/>
    <d v="2022-10-14T00:00:00"/>
    <x v="1"/>
    <d v="2022-10-18T00:00:00"/>
    <d v="2022-10-18T00:00:00"/>
    <n v="22027614"/>
    <n v="2236018"/>
    <n v="10013543035"/>
    <s v="VIPAN BATRA"/>
    <x v="349"/>
    <n v="0"/>
    <n v="480499"/>
    <n v="231330"/>
    <n v="249169"/>
    <x v="1"/>
    <x v="3"/>
    <n v="0.48143700611239565"/>
    <x v="0"/>
  </r>
  <r>
    <n v="611"/>
    <s v="PARK MED CLAIM LTD"/>
    <d v="2022-10-24T00:00:00"/>
    <x v="1"/>
    <d v="2022-10-30T00:00:00"/>
    <d v="2022-10-30T00:00:00"/>
    <n v="22029219"/>
    <n v="2237223"/>
    <n v="1000860417"/>
    <s v="KAMLESH"/>
    <x v="350"/>
    <n v="18696"/>
    <n v="134171"/>
    <n v="37410"/>
    <n v="96761"/>
    <x v="1"/>
    <x v="3"/>
    <n v="0.27882329266383943"/>
    <x v="0"/>
  </r>
  <r>
    <n v="612"/>
    <s v="T.T.K"/>
    <d v="2022-10-31T00:00:00"/>
    <x v="1"/>
    <d v="2022-10-31T00:00:00"/>
    <d v="2022-10-31T00:00:00"/>
    <n v="22029330"/>
    <n v="2238178"/>
    <n v="10013376566"/>
    <s v="RAJEEV BHATIA"/>
    <x v="75"/>
    <n v="0"/>
    <n v="2200"/>
    <n v="440"/>
    <n v="1760"/>
    <x v="1"/>
    <x v="12"/>
    <n v="0.2"/>
    <x v="13"/>
  </r>
  <r>
    <n v="613"/>
    <s v="GENERAL PATIENT"/>
    <d v="2022-10-31T00:00:00"/>
    <x v="1"/>
    <d v="2022-10-31T00:00:00"/>
    <d v="2022-10-31T00:00:00"/>
    <n v="22029343"/>
    <n v="2238185"/>
    <n v="10013339576"/>
    <s v="RAKESH GUPTA"/>
    <x v="41"/>
    <n v="2794"/>
    <n v="0"/>
    <n v="0"/>
    <n v="0"/>
    <x v="0"/>
    <x v="9"/>
    <e v="#DIV/0!"/>
    <x v="13"/>
  </r>
  <r>
    <n v="614"/>
    <s v="GENERAL PATIENT"/>
    <d v="2022-10-03T00:00:00"/>
    <x v="1"/>
    <d v="2022-10-09T00:00:00"/>
    <d v="2022-10-09T00:00:00"/>
    <n v="22026311"/>
    <n v="2234460"/>
    <n v="1001159027"/>
    <s v="J.R BABBAR"/>
    <x v="351"/>
    <n v="126703"/>
    <n v="242418"/>
    <n v="242418"/>
    <n v="0"/>
    <x v="0"/>
    <x v="7"/>
    <n v="1"/>
    <x v="11"/>
  </r>
  <r>
    <n v="615"/>
    <s v=" EAST WEST ASSIST TPA PVT LTD"/>
    <d v="2022-09-24T00:00:00"/>
    <x v="0"/>
    <d v="2022-10-04T00:00:00"/>
    <d v="2022-10-04T00:00:00"/>
    <n v="22025583"/>
    <n v="2233324"/>
    <n v="1001241551"/>
    <s v="ANIL JAIN"/>
    <x v="352"/>
    <n v="46132"/>
    <n v="238000"/>
    <n v="41500"/>
    <n v="196500"/>
    <x v="1"/>
    <x v="3"/>
    <n v="0.17436974789915966"/>
    <x v="0"/>
  </r>
  <r>
    <n v="616"/>
    <s v="GENERAL PATIENT"/>
    <d v="2022-10-04T00:00:00"/>
    <x v="1"/>
    <d v="2022-10-11T00:00:00"/>
    <d v="2022-10-11T00:00:00"/>
    <n v="22026631"/>
    <n v="2234632"/>
    <n v="10013541588"/>
    <s v="PRAMILA SAIGAL"/>
    <x v="353"/>
    <n v="71638"/>
    <n v="261594"/>
    <n v="261594"/>
    <n v="0"/>
    <x v="0"/>
    <x v="13"/>
    <n v="1"/>
    <x v="0"/>
  </r>
  <r>
    <n v="617"/>
    <s v="GENERAL PATIENT"/>
    <d v="2022-10-06T00:00:00"/>
    <x v="1"/>
    <d v="2022-10-11T00:00:00"/>
    <d v="2022-10-11T00:00:00"/>
    <n v="22026521"/>
    <n v="2234938"/>
    <n v="10013537495"/>
    <s v="SNEH LATA"/>
    <x v="354"/>
    <n v="41740"/>
    <n v="161917"/>
    <n v="161917"/>
    <n v="0"/>
    <x v="0"/>
    <x v="8"/>
    <n v="1"/>
    <x v="0"/>
  </r>
  <r>
    <n v="618"/>
    <s v="Safeway Mediclaim Services Pvt. Ltd."/>
    <d v="2022-10-14T00:00:00"/>
    <x v="1"/>
    <d v="2022-10-19T00:00:00"/>
    <d v="2022-10-19T00:00:00"/>
    <n v="22027663"/>
    <n v="2236054"/>
    <n v="10013542910"/>
    <s v="TILAK RAJ ARORA"/>
    <x v="355"/>
    <n v="14551"/>
    <n v="88354"/>
    <n v="18172"/>
    <n v="70182"/>
    <x v="1"/>
    <x v="5"/>
    <n v="0.20567263508160355"/>
    <x v="11"/>
  </r>
  <r>
    <n v="619"/>
    <s v="GENERAL PATIENT"/>
    <d v="2022-10-19T00:00:00"/>
    <x v="1"/>
    <d v="2022-10-19T00:00:00"/>
    <d v="2022-10-19T00:00:00"/>
    <n v="22027720"/>
    <n v="2236617"/>
    <n v="10013543527"/>
    <s v="RASHMI"/>
    <x v="16"/>
    <n v="0"/>
    <n v="0"/>
    <n v="0"/>
    <n v="0"/>
    <x v="0"/>
    <x v="6"/>
    <e v="#DIV/0!"/>
    <x v="1"/>
  </r>
  <r>
    <n v="620"/>
    <s v="NIVA BUPA"/>
    <d v="2022-10-29T00:00:00"/>
    <x v="1"/>
    <d v="2022-10-30T00:00:00"/>
    <d v="2022-10-30T00:00:00"/>
    <n v="22029191"/>
    <n v="2237903"/>
    <n v="10013545001"/>
    <s v="SHYAM SUNDER BHATIA"/>
    <x v="356"/>
    <n v="0"/>
    <n v="272449"/>
    <n v="19650"/>
    <n v="252799"/>
    <x v="1"/>
    <x v="4"/>
    <n v="7.2123590103101862E-2"/>
    <x v="4"/>
  </r>
  <r>
    <n v="621"/>
    <s v="CGHS"/>
    <d v="2022-10-04T00:00:00"/>
    <x v="1"/>
    <d v="2022-10-04T00:00:00"/>
    <d v="2022-10-04T00:00:00"/>
    <n v="22025571"/>
    <n v="2234499"/>
    <n v="1001802294"/>
    <s v="RAKHI RASTOGI"/>
    <x v="357"/>
    <n v="0"/>
    <n v="9980"/>
    <n v="9980"/>
    <n v="0"/>
    <x v="0"/>
    <x v="1"/>
    <n v="1"/>
    <x v="1"/>
  </r>
  <r>
    <n v="622"/>
    <s v="HARAYANA GOVT."/>
    <d v="2022-10-04T00:00:00"/>
    <x v="1"/>
    <d v="2022-10-05T00:00:00"/>
    <d v="2022-10-05T00:00:00"/>
    <n v="22025693"/>
    <n v="2234588"/>
    <n v="10013257869"/>
    <s v="DR.GAJENDRA"/>
    <x v="358"/>
    <n v="0"/>
    <n v="19976"/>
    <n v="19976"/>
    <n v="0"/>
    <x v="0"/>
    <x v="2"/>
    <n v="1"/>
    <x v="4"/>
  </r>
  <r>
    <n v="623"/>
    <s v="GENERAL PATIENT"/>
    <d v="2022-09-27T00:00:00"/>
    <x v="0"/>
    <d v="2022-10-10T00:00:00"/>
    <d v="2022-10-10T00:00:00"/>
    <n v="22026362"/>
    <n v="2233695"/>
    <n v="1001130314"/>
    <s v="ROSHANI DEVI"/>
    <x v="359"/>
    <n v="339224"/>
    <n v="0"/>
    <n v="0"/>
    <n v="0"/>
    <x v="0"/>
    <x v="9"/>
    <e v="#DIV/0!"/>
    <x v="0"/>
  </r>
  <r>
    <n v="624"/>
    <s v="GENERAL PATIENT"/>
    <d v="2022-10-01T00:00:00"/>
    <x v="1"/>
    <d v="2022-10-07T00:00:00"/>
    <d v="2022-10-07T00:00:00"/>
    <n v="22026002"/>
    <n v="2234196"/>
    <n v="10013541105"/>
    <s v="SUDHA SINGH"/>
    <x v="360"/>
    <n v="32668"/>
    <n v="82253"/>
    <n v="82253"/>
    <n v="0"/>
    <x v="0"/>
    <x v="7"/>
    <n v="1"/>
    <x v="0"/>
  </r>
  <r>
    <n v="625"/>
    <s v="GENERAL PATIENT"/>
    <d v="2022-10-06T00:00:00"/>
    <x v="1"/>
    <d v="2022-10-08T00:00:00"/>
    <d v="2022-10-08T00:00:00"/>
    <n v="22026101"/>
    <n v="2234960"/>
    <n v="10013532599"/>
    <s v="HEMA  GARG"/>
    <x v="361"/>
    <n v="5260"/>
    <n v="32577"/>
    <n v="32577"/>
    <n v="0"/>
    <x v="0"/>
    <x v="2"/>
    <n v="1"/>
    <x v="1"/>
  </r>
  <r>
    <n v="626"/>
    <s v="STAR HEALTH CARE  (CREDIT)"/>
    <d v="2022-10-01T00:00:00"/>
    <x v="1"/>
    <d v="2022-10-09T00:00:00"/>
    <d v="2022-10-09T00:00:00"/>
    <n v="22026250"/>
    <n v="2234139"/>
    <n v="10013541061"/>
    <s v="UMANG CHADHA"/>
    <x v="362"/>
    <n v="59157"/>
    <n v="675349"/>
    <n v="41415"/>
    <n v="633934"/>
    <x v="1"/>
    <x v="0"/>
    <n v="6.1323848854444148E-2"/>
    <x v="0"/>
  </r>
  <r>
    <n v="627"/>
    <s v="GENERAL PATIENT"/>
    <d v="2022-10-10T00:00:00"/>
    <x v="1"/>
    <d v="2022-10-10T00:00:00"/>
    <d v="2022-10-10T00:00:00"/>
    <n v="22026470"/>
    <n v="2235431"/>
    <n v="10013440543"/>
    <s v="SHYAM"/>
    <x v="41"/>
    <n v="2794"/>
    <n v="0"/>
    <n v="0"/>
    <n v="0"/>
    <x v="0"/>
    <x v="9"/>
    <e v="#DIV/0!"/>
    <x v="13"/>
  </r>
  <r>
    <n v="628"/>
    <s v="HARAYANA GOVT."/>
    <d v="2022-09-29T00:00:00"/>
    <x v="0"/>
    <d v="2022-10-04T00:00:00"/>
    <d v="2022-10-04T00:00:00"/>
    <n v="22025551"/>
    <n v="2233941"/>
    <n v="10013538602"/>
    <s v="AMRIT KALA"/>
    <x v="363"/>
    <n v="0"/>
    <n v="44423"/>
    <n v="44423"/>
    <n v="0"/>
    <x v="0"/>
    <x v="0"/>
    <n v="1"/>
    <x v="0"/>
  </r>
  <r>
    <n v="629"/>
    <s v="Safeway Mediclaim Services Pvt. Ltd."/>
    <d v="2022-10-15T00:00:00"/>
    <x v="1"/>
    <d v="2022-10-19T00:00:00"/>
    <d v="2022-10-19T00:00:00"/>
    <n v="22027727"/>
    <n v="2236119"/>
    <n v="1000969689"/>
    <s v="KAMLA DEVI GOEL"/>
    <x v="364"/>
    <n v="10764"/>
    <n v="65754"/>
    <n v="3025"/>
    <n v="62729"/>
    <x v="1"/>
    <x v="3"/>
    <n v="4.600480579128266E-2"/>
    <x v="0"/>
  </r>
  <r>
    <n v="630"/>
    <s v="SMILE TRAIN"/>
    <d v="2022-09-29T00:00:00"/>
    <x v="0"/>
    <d v="2022-10-01T00:00:00"/>
    <d v="2022-10-01T00:00:00"/>
    <n v="22025201"/>
    <n v="2233945"/>
    <n v="10013540496"/>
    <s v="ALIYA"/>
    <x v="365"/>
    <n v="20846"/>
    <n v="0"/>
    <n v="0"/>
    <n v="0"/>
    <x v="0"/>
    <x v="1"/>
    <e v="#DIV/0!"/>
    <x v="6"/>
  </r>
  <r>
    <n v="631"/>
    <s v=" VIPUL MEDCORP TPA"/>
    <d v="2022-10-06T00:00:00"/>
    <x v="1"/>
    <d v="2022-10-07T00:00:00"/>
    <d v="2022-10-07T00:00:00"/>
    <n v="22025957"/>
    <n v="2234811"/>
    <n v="1001802640"/>
    <s v="RITA DEVI"/>
    <x v="366"/>
    <n v="7188"/>
    <n v="34673"/>
    <n v="8350"/>
    <n v="26323"/>
    <x v="1"/>
    <x v="1"/>
    <n v="0.24082138840019612"/>
    <x v="0"/>
  </r>
  <r>
    <n v="632"/>
    <s v="Universal Sompo Gen.Insu.Co.Ltd."/>
    <d v="2022-10-10T00:00:00"/>
    <x v="1"/>
    <d v="2022-10-15T00:00:00"/>
    <d v="2022-10-15T00:00:00"/>
    <n v="22027140"/>
    <n v="2235470"/>
    <n v="10013542475"/>
    <s v="EKLAVYA VASHISTH"/>
    <x v="367"/>
    <n v="5906"/>
    <n v="61210"/>
    <n v="2944"/>
    <n v="58266"/>
    <x v="1"/>
    <x v="2"/>
    <n v="4.8096716222839404E-2"/>
    <x v="3"/>
  </r>
  <r>
    <n v="633"/>
    <s v="GENERAL PATIENT"/>
    <d v="2022-10-11T00:00:00"/>
    <x v="1"/>
    <d v="2022-10-11T00:00:00"/>
    <d v="2022-10-11T00:00:00"/>
    <n v="22026501"/>
    <n v="2235478"/>
    <n v="10013542486"/>
    <s v="HARDAMAN KOHLI"/>
    <x v="368"/>
    <n v="8359"/>
    <n v="34157"/>
    <n v="34157"/>
    <n v="0"/>
    <x v="0"/>
    <x v="1"/>
    <n v="1"/>
    <x v="4"/>
  </r>
  <r>
    <n v="634"/>
    <s v="MD INDIA TPA PVT.LTD."/>
    <d v="2022-10-03T00:00:00"/>
    <x v="1"/>
    <d v="2022-10-07T00:00:00"/>
    <d v="2022-10-07T00:00:00"/>
    <n v="22025995"/>
    <n v="2234469"/>
    <n v="1000837081"/>
    <s v="SAROJ GUPTA"/>
    <x v="369"/>
    <n v="28755"/>
    <n v="221192"/>
    <n v="34500"/>
    <n v="186692"/>
    <x v="1"/>
    <x v="3"/>
    <n v="0.15597309125103981"/>
    <x v="0"/>
  </r>
  <r>
    <n v="635"/>
    <s v="GENERAL PATIENT"/>
    <d v="2022-10-18T00:00:00"/>
    <x v="1"/>
    <d v="2022-10-20T00:00:00"/>
    <d v="2022-10-20T00:00:00"/>
    <n v="22027856"/>
    <n v="2236444"/>
    <n v="10013543510"/>
    <s v="SANTRA"/>
    <x v="370"/>
    <n v="16952"/>
    <n v="60939"/>
    <n v="60939"/>
    <n v="0"/>
    <x v="0"/>
    <x v="8"/>
    <n v="1"/>
    <x v="0"/>
  </r>
  <r>
    <n v="636"/>
    <s v="GENERAL PATIENT"/>
    <d v="2022-10-04T00:00:00"/>
    <x v="1"/>
    <d v="2022-10-12T00:00:00"/>
    <d v="2022-10-12T00:00:00"/>
    <n v="22026697"/>
    <n v="2234624"/>
    <n v="10013536754"/>
    <s v="SUNIL KUMAR"/>
    <x v="371"/>
    <n v="127864"/>
    <n v="0"/>
    <n v="0"/>
    <n v="0"/>
    <x v="0"/>
    <x v="9"/>
    <e v="#DIV/0!"/>
    <x v="0"/>
  </r>
  <r>
    <n v="637"/>
    <s v="GOVT. OF NCT OF DELHI"/>
    <d v="2022-10-13T00:00:00"/>
    <x v="1"/>
    <d v="2022-10-13T00:00:00"/>
    <d v="2022-10-13T00:00:00"/>
    <n v="22026820"/>
    <n v="2235799"/>
    <n v="10013521425"/>
    <s v="MEHAR CHAND"/>
    <x v="43"/>
    <n v="0"/>
    <n v="1610"/>
    <n v="1610"/>
    <n v="0"/>
    <x v="0"/>
    <x v="6"/>
    <n v="1"/>
    <x v="13"/>
  </r>
  <r>
    <n v="638"/>
    <s v=" MEDI ASSIST INSURANCE TPA LTD"/>
    <d v="2022-10-12T00:00:00"/>
    <x v="1"/>
    <d v="2022-10-14T00:00:00"/>
    <d v="2022-10-14T00:00:00"/>
    <n v="22026999"/>
    <n v="2235683"/>
    <n v="1001803769"/>
    <s v="BABY OF SHITAL SINGH"/>
    <x v="372"/>
    <n v="0"/>
    <n v="15364"/>
    <n v="15364"/>
    <n v="0"/>
    <x v="0"/>
    <x v="5"/>
    <n v="1"/>
    <x v="3"/>
  </r>
  <r>
    <n v="639"/>
    <s v="GENERAL PATIENT"/>
    <d v="2022-10-07T00:00:00"/>
    <x v="1"/>
    <d v="2022-10-22T00:00:00"/>
    <d v="2022-10-22T00:00:00"/>
    <n v="22028257"/>
    <n v="2234970"/>
    <n v="1001222446"/>
    <s v="DILIP KUMAR YADAV"/>
    <x v="373"/>
    <n v="426359"/>
    <n v="363485"/>
    <n v="199000"/>
    <n v="164485"/>
    <x v="1"/>
    <x v="7"/>
    <n v="0.5474778876707429"/>
    <x v="17"/>
  </r>
  <r>
    <n v="640"/>
    <s v="STAR HEALTH CARE  (CREDIT)"/>
    <d v="2022-10-11T00:00:00"/>
    <x v="1"/>
    <d v="2022-10-19T00:00:00"/>
    <d v="2022-10-19T00:00:00"/>
    <n v="22027725"/>
    <n v="2235548"/>
    <n v="10013542531"/>
    <s v="NEHA"/>
    <x v="374"/>
    <n v="21015"/>
    <n v="126795"/>
    <n v="9986"/>
    <n v="116809"/>
    <x v="1"/>
    <x v="2"/>
    <n v="7.8757048779526009E-2"/>
    <x v="1"/>
  </r>
  <r>
    <n v="641"/>
    <s v=" STAR HEALTH TPA"/>
    <d v="2022-10-20T00:00:00"/>
    <x v="1"/>
    <d v="2022-10-21T00:00:00"/>
    <d v="2022-10-21T00:00:00"/>
    <n v="22027993"/>
    <n v="2236716"/>
    <n v="1001805344"/>
    <s v="KOMAL"/>
    <x v="375"/>
    <n v="0"/>
    <n v="35963"/>
    <n v="35963"/>
    <n v="0"/>
    <x v="0"/>
    <x v="1"/>
    <n v="1"/>
    <x v="1"/>
  </r>
  <r>
    <n v="642"/>
    <s v="VIPUL MED CORP PVT LTD"/>
    <d v="2022-09-30T00:00:00"/>
    <x v="0"/>
    <d v="2022-10-04T00:00:00"/>
    <d v="2022-10-04T00:00:00"/>
    <n v="22025516"/>
    <n v="2234128"/>
    <n v="1001801762"/>
    <s v="SAESHA BANSAL"/>
    <x v="376"/>
    <n v="10049"/>
    <n v="60832"/>
    <n v="5921"/>
    <n v="54911"/>
    <x v="1"/>
    <x v="5"/>
    <n v="9.7333640189374016E-2"/>
    <x v="3"/>
  </r>
  <r>
    <n v="643"/>
    <s v="CGHS ( CREDIT)"/>
    <d v="2022-10-13T00:00:00"/>
    <x v="1"/>
    <d v="2022-10-20T00:00:00"/>
    <d v="2022-10-20T00:00:00"/>
    <n v="22027889"/>
    <n v="2235788"/>
    <n v="10013541425"/>
    <s v="NEELAM CHAWLA"/>
    <x v="377"/>
    <n v="0"/>
    <n v="64291"/>
    <n v="1092"/>
    <n v="63199"/>
    <x v="1"/>
    <x v="1"/>
    <n v="1.6985270100013997E-2"/>
    <x v="0"/>
  </r>
  <r>
    <n v="644"/>
    <s v="MD INDIA TPA PVT.LTD."/>
    <d v="2022-10-15T00:00:00"/>
    <x v="1"/>
    <d v="2022-10-15T00:00:00"/>
    <d v="2022-10-15T00:00:00"/>
    <n v="22027186"/>
    <n v="2236101"/>
    <n v="10013529905"/>
    <s v="ANUPAMA BHATIA"/>
    <x v="16"/>
    <n v="0"/>
    <n v="0"/>
    <n v="0"/>
    <n v="0"/>
    <x v="0"/>
    <x v="12"/>
    <e v="#DIV/0!"/>
    <x v="6"/>
  </r>
  <r>
    <n v="645"/>
    <s v="Safeway Mediclaim Services Pvt. Ltd."/>
    <d v="2022-10-26T00:00:00"/>
    <x v="1"/>
    <d v="2022-10-26T00:00:00"/>
    <d v="2022-10-26T00:00:00"/>
    <n v="22028597"/>
    <n v="2237457"/>
    <n v="10013464572"/>
    <s v="NANAK CHAND JAIN"/>
    <x v="168"/>
    <n v="1070"/>
    <n v="3770"/>
    <n v="1570"/>
    <n v="2200"/>
    <x v="1"/>
    <x v="12"/>
    <n v="0.41644562334217505"/>
    <x v="13"/>
  </r>
  <r>
    <n v="646"/>
    <s v="SMILE TRAIN"/>
    <d v="2022-10-26T00:00:00"/>
    <x v="1"/>
    <d v="2022-10-26T00:00:00"/>
    <d v="2022-10-26T00:00:00"/>
    <n v="22028667"/>
    <n v="2237451"/>
    <n v="10013270939"/>
    <s v="KHUSHBOO"/>
    <x v="378"/>
    <n v="9326"/>
    <n v="0"/>
    <n v="0"/>
    <n v="0"/>
    <x v="0"/>
    <x v="6"/>
    <e v="#DIV/0!"/>
    <x v="6"/>
  </r>
  <r>
    <n v="647"/>
    <s v="GENERAL PATIENT"/>
    <d v="2022-09-27T00:00:00"/>
    <x v="0"/>
    <d v="2022-10-06T00:00:00"/>
    <d v="2022-10-06T00:00:00"/>
    <n v="22025910"/>
    <n v="2233656"/>
    <n v="10013540527"/>
    <s v="NATWAR"/>
    <x v="379"/>
    <n v="73771"/>
    <n v="197500"/>
    <n v="197500"/>
    <n v="0"/>
    <x v="0"/>
    <x v="7"/>
    <n v="1"/>
    <x v="9"/>
  </r>
  <r>
    <n v="648"/>
    <s v="GENERAL PATIENT"/>
    <d v="2022-10-14T00:00:00"/>
    <x v="1"/>
    <d v="2022-10-18T00:00:00"/>
    <d v="2022-10-18T00:00:00"/>
    <n v="22027522"/>
    <n v="2236055"/>
    <n v="1001803728"/>
    <s v="PRIYANKA GARG"/>
    <x v="380"/>
    <n v="10297"/>
    <n v="78080"/>
    <n v="78080"/>
    <n v="0"/>
    <x v="0"/>
    <x v="1"/>
    <n v="1"/>
    <x v="1"/>
  </r>
  <r>
    <n v="649"/>
    <s v="PARK MED CLAIM LTD"/>
    <d v="2022-10-14T00:00:00"/>
    <x v="1"/>
    <d v="2022-10-17T00:00:00"/>
    <d v="2022-10-17T00:00:00"/>
    <n v="22027404"/>
    <n v="2236048"/>
    <n v="10013543071"/>
    <s v="ARADHYA AGARWAL"/>
    <x v="381"/>
    <n v="8974"/>
    <n v="55103"/>
    <n v="21299"/>
    <n v="33804"/>
    <x v="1"/>
    <x v="14"/>
    <n v="0.38653067891040416"/>
    <x v="3"/>
  </r>
  <r>
    <n v="650"/>
    <s v="GENERAL PATIENT"/>
    <d v="2022-10-17T00:00:00"/>
    <x v="1"/>
    <d v="2022-10-17T00:00:00"/>
    <d v="2022-10-17T00:00:00"/>
    <n v="22027429"/>
    <n v="2236320"/>
    <n v="10013543303"/>
    <s v="SAT PAL SINGH KHARI"/>
    <x v="19"/>
    <n v="780"/>
    <n v="13220"/>
    <n v="13220"/>
    <n v="0"/>
    <x v="0"/>
    <x v="6"/>
    <n v="1"/>
    <x v="4"/>
  </r>
  <r>
    <n v="651"/>
    <s v="MD INDIA TPA PVT.LTD."/>
    <d v="2022-10-04T00:00:00"/>
    <x v="1"/>
    <d v="2022-10-12T00:00:00"/>
    <d v="2022-10-12T00:00:00"/>
    <n v="22026682"/>
    <n v="2234617"/>
    <n v="10013481582"/>
    <s v="YASHVEER SINGH CHAUHAN"/>
    <x v="382"/>
    <n v="25218"/>
    <n v="167630"/>
    <n v="8672"/>
    <n v="158958"/>
    <x v="1"/>
    <x v="3"/>
    <n v="5.1732983356201155E-2"/>
    <x v="12"/>
  </r>
  <r>
    <n v="652"/>
    <s v="Safeway Mediclaim Services Pvt. Ltd."/>
    <d v="2022-10-14T00:00:00"/>
    <x v="1"/>
    <d v="2022-10-17T00:00:00"/>
    <d v="2022-10-17T00:00:00"/>
    <n v="22027405"/>
    <n v="2236059"/>
    <n v="10013543080"/>
    <s v="ANJU MEDIRATTA"/>
    <x v="383"/>
    <n v="11130"/>
    <n v="76928"/>
    <n v="34942"/>
    <n v="41986"/>
    <x v="1"/>
    <x v="4"/>
    <n v="0.45421693011647257"/>
    <x v="4"/>
  </r>
  <r>
    <n v="653"/>
    <s v="PARK MED CLAIM LTD"/>
    <d v="2022-10-15T00:00:00"/>
    <x v="1"/>
    <d v="2022-10-17T00:00:00"/>
    <d v="2022-10-17T00:00:00"/>
    <n v="22027397"/>
    <n v="2236158"/>
    <n v="10013543184"/>
    <s v="ANITA DEVI JAIN"/>
    <x v="384"/>
    <n v="11834"/>
    <n v="73115"/>
    <n v="2354"/>
    <n v="70761"/>
    <x v="1"/>
    <x v="3"/>
    <n v="3.2195855843534162E-2"/>
    <x v="6"/>
  </r>
  <r>
    <n v="654"/>
    <s v="GENERAL PATIENT"/>
    <d v="2022-10-05T00:00:00"/>
    <x v="1"/>
    <d v="2022-10-09T00:00:00"/>
    <d v="2022-10-09T00:00:00"/>
    <n v="22026294"/>
    <n v="2234666"/>
    <n v="1001802518"/>
    <s v="NIDHI MALE BABY"/>
    <x v="385"/>
    <n v="9972"/>
    <n v="74450"/>
    <n v="74450"/>
    <n v="0"/>
    <x v="0"/>
    <x v="0"/>
    <n v="1"/>
    <x v="3"/>
  </r>
  <r>
    <n v="655"/>
    <s v="GENERAL PATIENT"/>
    <d v="2022-10-02T00:00:00"/>
    <x v="1"/>
    <d v="2022-10-03T00:00:00"/>
    <d v="2022-10-03T00:00:00"/>
    <n v="22025469"/>
    <n v="2234316"/>
    <n v="1001802015"/>
    <s v="AMARWATI"/>
    <x v="386"/>
    <n v="7962"/>
    <n v="54187"/>
    <n v="54187"/>
    <n v="0"/>
    <x v="0"/>
    <x v="1"/>
    <n v="1"/>
    <x v="1"/>
  </r>
  <r>
    <n v="656"/>
    <s v="GENERAL PATIENT"/>
    <d v="2022-10-22T00:00:00"/>
    <x v="1"/>
    <d v="2022-10-22T00:00:00"/>
    <d v="2022-10-22T00:00:00"/>
    <n v="22028136"/>
    <n v="2236998"/>
    <n v="1001561182"/>
    <s v="TAPATI CHATTERJEE"/>
    <x v="127"/>
    <n v="0"/>
    <n v="2680"/>
    <n v="2680"/>
    <n v="0"/>
    <x v="0"/>
    <x v="6"/>
    <n v="1"/>
    <x v="13"/>
  </r>
  <r>
    <n v="657"/>
    <s v="GENERAL PATIENT"/>
    <d v="2022-10-27T00:00:00"/>
    <x v="1"/>
    <d v="2022-10-29T00:00:00"/>
    <d v="2022-10-29T00:00:00"/>
    <n v="22029072"/>
    <n v="2237714"/>
    <n v="10013321602"/>
    <s v="GANESH RAI"/>
    <x v="387"/>
    <n v="19723"/>
    <n v="77392"/>
    <n v="77392"/>
    <n v="0"/>
    <x v="0"/>
    <x v="8"/>
    <n v="1"/>
    <x v="0"/>
  </r>
  <r>
    <n v="658"/>
    <s v="M.C.D"/>
    <d v="2022-10-13T00:00:00"/>
    <x v="1"/>
    <d v="2022-10-13T00:00:00"/>
    <d v="2022-10-13T00:00:00"/>
    <n v="22026907"/>
    <n v="2235825"/>
    <n v="1001804092"/>
    <s v="PREM SINGH"/>
    <x v="388"/>
    <n v="0"/>
    <n v="15209"/>
    <n v="15209"/>
    <n v="0"/>
    <x v="0"/>
    <x v="2"/>
    <n v="1"/>
    <x v="4"/>
  </r>
  <r>
    <n v="659"/>
    <s v="VIPUL MED CORP PVT LTD"/>
    <d v="2022-10-10T00:00:00"/>
    <x v="1"/>
    <d v="2022-10-13T00:00:00"/>
    <d v="2022-10-13T00:00:00"/>
    <n v="22026895"/>
    <n v="2235437"/>
    <n v="10013504776"/>
    <s v="SUSHIL KUMAR GUPTA"/>
    <x v="389"/>
    <n v="7872"/>
    <n v="76414"/>
    <n v="5396"/>
    <n v="71018"/>
    <x v="1"/>
    <x v="3"/>
    <n v="7.0615332268955944E-2"/>
    <x v="11"/>
  </r>
  <r>
    <n v="660"/>
    <s v="MEDI ASSIST"/>
    <d v="2022-10-18T00:00:00"/>
    <x v="1"/>
    <d v="2022-10-18T00:00:00"/>
    <d v="2022-10-18T00:00:00"/>
    <n v="22027594"/>
    <n v="2236483"/>
    <n v="1001564406"/>
    <s v="RAVI BATURA"/>
    <x v="75"/>
    <n v="0"/>
    <n v="2200"/>
    <n v="330"/>
    <n v="1870"/>
    <x v="1"/>
    <x v="12"/>
    <n v="0.15"/>
    <x v="13"/>
  </r>
  <r>
    <n v="661"/>
    <s v="MEDI ASSIST"/>
    <d v="2022-10-02T00:00:00"/>
    <x v="1"/>
    <d v="2022-10-05T00:00:00"/>
    <d v="2022-10-05T00:00:00"/>
    <n v="22025674"/>
    <n v="2234325"/>
    <n v="10013541250"/>
    <s v="MAHIPAL SHARMA"/>
    <x v="390"/>
    <n v="7763"/>
    <n v="99823"/>
    <n v="23837"/>
    <n v="75986"/>
    <x v="1"/>
    <x v="4"/>
    <n v="0.23879266301353397"/>
    <x v="4"/>
  </r>
  <r>
    <n v="662"/>
    <s v="GENERAL PATIENT"/>
    <d v="2022-10-03T00:00:00"/>
    <x v="1"/>
    <d v="2022-10-03T00:00:00"/>
    <d v="2022-10-03T00:00:00"/>
    <n v="22025426"/>
    <n v="2234415"/>
    <n v="10013541345"/>
    <s v="JAGBIR SINGH"/>
    <x v="19"/>
    <n v="2350"/>
    <n v="11650"/>
    <n v="11650"/>
    <n v="0"/>
    <x v="0"/>
    <x v="7"/>
    <n v="1"/>
    <x v="4"/>
  </r>
  <r>
    <n v="663"/>
    <s v="Health Insurance TPA of India Ltd."/>
    <d v="2022-09-30T00:00:00"/>
    <x v="0"/>
    <d v="2022-10-05T00:00:00"/>
    <d v="2022-10-05T00:00:00"/>
    <n v="22025692"/>
    <n v="2234005"/>
    <n v="10013339280"/>
    <s v="KASHISH LONGIANY"/>
    <x v="391"/>
    <n v="0"/>
    <n v="104446"/>
    <n v="12655"/>
    <n v="91791"/>
    <x v="1"/>
    <x v="2"/>
    <n v="0.12116308906037569"/>
    <x v="0"/>
  </r>
  <r>
    <n v="664"/>
    <s v="HEALTH INDIA"/>
    <d v="2022-10-28T00:00:00"/>
    <x v="1"/>
    <d v="2022-10-29T00:00:00"/>
    <d v="2022-10-29T00:00:00"/>
    <n v="22029114"/>
    <n v="2237744"/>
    <n v="10013544750"/>
    <s v="SARIKA GARG"/>
    <x v="392"/>
    <n v="0"/>
    <n v="58790"/>
    <n v="1840"/>
    <n v="56950"/>
    <x v="1"/>
    <x v="5"/>
    <n v="3.1297839768668144E-2"/>
    <x v="11"/>
  </r>
  <r>
    <n v="665"/>
    <s v="GENERAL PATIENT"/>
    <d v="2022-09-30T00:00:00"/>
    <x v="0"/>
    <d v="2022-10-01T00:00:00"/>
    <d v="2022-10-01T00:00:00"/>
    <n v="22025106"/>
    <n v="2234041"/>
    <n v="1001797452"/>
    <s v="MANROMA"/>
    <x v="393"/>
    <n v="13366"/>
    <n v="58500"/>
    <n v="58500"/>
    <n v="0"/>
    <x v="0"/>
    <x v="7"/>
    <n v="1"/>
    <x v="16"/>
  </r>
  <r>
    <n v="666"/>
    <s v="STAR HEALTH CARE  (CREDIT)"/>
    <d v="2022-10-06T00:00:00"/>
    <x v="1"/>
    <d v="2022-10-12T00:00:00"/>
    <d v="2022-10-12T00:00:00"/>
    <n v="22026730"/>
    <n v="2234840"/>
    <n v="10013541716"/>
    <s v="SANYOGITA LAMBA"/>
    <x v="394"/>
    <n v="22196"/>
    <n v="146992"/>
    <n v="11107"/>
    <n v="135885"/>
    <x v="1"/>
    <x v="2"/>
    <n v="7.5561935343420053E-2"/>
    <x v="12"/>
  </r>
  <r>
    <n v="667"/>
    <s v="GENERAL PATIENT"/>
    <d v="2022-09-27T00:00:00"/>
    <x v="0"/>
    <d v="2022-10-06T00:00:00"/>
    <d v="2022-10-06T00:00:00"/>
    <n v="22025897"/>
    <n v="2233660"/>
    <n v="10013526339"/>
    <s v="VIJAY KUMAR GUPTA"/>
    <x v="395"/>
    <n v="84447"/>
    <n v="384436"/>
    <n v="384436"/>
    <n v="0"/>
    <x v="0"/>
    <x v="8"/>
    <n v="1"/>
    <x v="0"/>
  </r>
  <r>
    <n v="668"/>
    <s v="GENERAL PATIENT"/>
    <d v="2022-10-01T00:00:00"/>
    <x v="1"/>
    <d v="2022-10-01T00:00:00"/>
    <d v="2022-10-01T00:00:00"/>
    <n v="22025196"/>
    <n v="2234162"/>
    <n v="1001801804"/>
    <s v="SATNAM KAUR"/>
    <x v="396"/>
    <n v="2750"/>
    <n v="19038"/>
    <n v="19038"/>
    <n v="0"/>
    <x v="0"/>
    <x v="6"/>
    <n v="1"/>
    <x v="1"/>
  </r>
  <r>
    <n v="669"/>
    <s v="GOVT. OF NCT OF DELHI"/>
    <d v="2022-10-17T00:00:00"/>
    <x v="1"/>
    <d v="2022-10-17T00:00:00"/>
    <d v="2022-10-17T00:00:00"/>
    <n v="22027358"/>
    <n v="2236280"/>
    <n v="10013386841"/>
    <s v="LEELA DEVI"/>
    <x v="43"/>
    <n v="0"/>
    <n v="1610"/>
    <n v="1610"/>
    <n v="0"/>
    <x v="0"/>
    <x v="6"/>
    <n v="1"/>
    <x v="13"/>
  </r>
  <r>
    <n v="670"/>
    <s v="VIDAL HEALTH INSURANCE LIMITED"/>
    <d v="2022-10-06T00:00:00"/>
    <x v="1"/>
    <d v="2022-10-07T00:00:00"/>
    <d v="2022-10-07T00:00:00"/>
    <n v="22025961"/>
    <n v="2234871"/>
    <n v="1001802809"/>
    <s v="YOGITA MALE BABY  ADHIKARY"/>
    <x v="397"/>
    <n v="0"/>
    <n v="4806"/>
    <n v="4806"/>
    <n v="0"/>
    <x v="0"/>
    <x v="2"/>
    <n v="1"/>
    <x v="3"/>
  </r>
  <r>
    <n v="671"/>
    <s v=" SSYAMA CASH"/>
    <d v="2022-10-07T00:00:00"/>
    <x v="1"/>
    <d v="2022-10-07T00:00:00"/>
    <d v="2022-10-07T00:00:00"/>
    <n v="22026009"/>
    <n v="2235032"/>
    <n v="1001788579"/>
    <s v="JABBAR KHAN"/>
    <x v="49"/>
    <n v="0"/>
    <n v="2172"/>
    <n v="2172"/>
    <n v="0"/>
    <x v="0"/>
    <x v="6"/>
    <n v="1"/>
    <x v="13"/>
  </r>
  <r>
    <n v="672"/>
    <s v="CGHS"/>
    <d v="2022-10-08T00:00:00"/>
    <x v="1"/>
    <d v="2022-10-08T00:00:00"/>
    <d v="2022-10-08T00:00:00"/>
    <n v="22026083"/>
    <n v="2235133"/>
    <n v="10013401198"/>
    <s v="RAM KUMAR"/>
    <x v="43"/>
    <n v="0"/>
    <n v="1610"/>
    <n v="1610"/>
    <n v="0"/>
    <x v="0"/>
    <x v="6"/>
    <n v="1"/>
    <x v="13"/>
  </r>
  <r>
    <n v="673"/>
    <s v="GENERAL PATIENT"/>
    <d v="2022-10-22T00:00:00"/>
    <x v="1"/>
    <d v="2022-10-22T00:00:00"/>
    <d v="2022-10-22T00:00:00"/>
    <n v="22028286"/>
    <n v="2236987"/>
    <n v="1001805707"/>
    <s v="PREETI"/>
    <x v="398"/>
    <n v="5576"/>
    <n v="34889"/>
    <n v="34889"/>
    <n v="0"/>
    <x v="0"/>
    <x v="1"/>
    <n v="1"/>
    <x v="0"/>
  </r>
  <r>
    <n v="674"/>
    <s v="GENERAL PATIENT"/>
    <d v="2022-10-25T00:00:00"/>
    <x v="1"/>
    <d v="2022-10-25T00:00:00"/>
    <d v="2022-10-25T00:00:00"/>
    <n v="22028547"/>
    <n v="2237362"/>
    <n v="1001615161"/>
    <s v="ARCHNA"/>
    <x v="64"/>
    <n v="0"/>
    <n v="3630"/>
    <n v="3630"/>
    <n v="0"/>
    <x v="0"/>
    <x v="6"/>
    <n v="1"/>
    <x v="13"/>
  </r>
  <r>
    <n v="675"/>
    <s v="CGHS"/>
    <d v="2022-10-07T00:00:00"/>
    <x v="1"/>
    <d v="2022-10-09T00:00:00"/>
    <d v="2022-10-09T00:00:00"/>
    <n v="22026305"/>
    <n v="2235016"/>
    <n v="10013538002"/>
    <s v="DINESH KUMAR"/>
    <x v="399"/>
    <n v="0"/>
    <n v="17667"/>
    <n v="17667"/>
    <n v="0"/>
    <x v="0"/>
    <x v="1"/>
    <n v="1"/>
    <x v="11"/>
  </r>
  <r>
    <n v="676"/>
    <s v="VIDAL HEALTH INSURANCE LIMITED"/>
    <d v="2022-10-19T00:00:00"/>
    <x v="1"/>
    <d v="2022-10-29T00:00:00"/>
    <d v="2022-10-29T00:00:00"/>
    <n v="22029005"/>
    <n v="2236669"/>
    <n v="10013420951"/>
    <s v="INDU MADAN"/>
    <x v="400"/>
    <n v="43605"/>
    <n v="303171"/>
    <n v="72107"/>
    <n v="231064"/>
    <x v="1"/>
    <x v="2"/>
    <n v="0.23784266964848222"/>
    <x v="0"/>
  </r>
  <r>
    <n v="677"/>
    <s v="GENERAL PATIENT"/>
    <d v="2022-10-20T00:00:00"/>
    <x v="1"/>
    <d v="2022-10-23T00:00:00"/>
    <d v="2022-10-23T00:00:00"/>
    <n v="22028340"/>
    <n v="2236850"/>
    <n v="1001805536"/>
    <s v="SONALI FEMALE GUPTA"/>
    <x v="401"/>
    <n v="3175"/>
    <n v="21031"/>
    <n v="21031"/>
    <n v="0"/>
    <x v="0"/>
    <x v="2"/>
    <n v="1"/>
    <x v="3"/>
  </r>
  <r>
    <n v="678"/>
    <s v="DGHS (DELHI GOVT.)"/>
    <d v="2022-10-12T00:00:00"/>
    <x v="1"/>
    <d v="2022-10-17T00:00:00"/>
    <d v="2022-10-17T00:00:00"/>
    <n v="22027442"/>
    <n v="2235730"/>
    <n v="10013446702"/>
    <s v="BHUSHAN KUMAR"/>
    <x v="402"/>
    <n v="0"/>
    <n v="88704"/>
    <n v="520"/>
    <n v="88184"/>
    <x v="1"/>
    <x v="2"/>
    <n v="5.862193362193362E-3"/>
    <x v="0"/>
  </r>
  <r>
    <n v="679"/>
    <s v="Paramount Health Services (TPA) Private Limited"/>
    <d v="2022-10-10T00:00:00"/>
    <x v="1"/>
    <d v="2022-10-15T00:00:00"/>
    <d v="2022-10-15T00:00:00"/>
    <n v="22027202"/>
    <n v="2235323"/>
    <n v="10013542344"/>
    <s v="RENU NARANG"/>
    <x v="403"/>
    <n v="25343"/>
    <n v="200678"/>
    <n v="59854"/>
    <n v="140824"/>
    <x v="1"/>
    <x v="3"/>
    <n v="0.29825890232113139"/>
    <x v="9"/>
  </r>
  <r>
    <n v="680"/>
    <s v="STAR HEALTH CARE  (CREDIT)"/>
    <d v="2022-10-14T00:00:00"/>
    <x v="1"/>
    <d v="2022-10-15T00:00:00"/>
    <d v="2022-10-15T00:00:00"/>
    <n v="22027235"/>
    <n v="2235955"/>
    <n v="10013455241"/>
    <s v="JYOTI"/>
    <x v="404"/>
    <n v="0"/>
    <n v="54760"/>
    <n v="54760"/>
    <n v="0"/>
    <x v="0"/>
    <x v="1"/>
    <n v="1"/>
    <x v="4"/>
  </r>
  <r>
    <n v="681"/>
    <s v="CGHS"/>
    <d v="2022-10-09T00:00:00"/>
    <x v="1"/>
    <d v="2022-10-11T00:00:00"/>
    <d v="2022-10-11T00:00:00"/>
    <n v="22026535"/>
    <n v="2235266"/>
    <n v="1001803397"/>
    <s v="HEENA"/>
    <x v="405"/>
    <n v="0"/>
    <n v="14542"/>
    <n v="14542"/>
    <n v="0"/>
    <x v="0"/>
    <x v="1"/>
    <n v="1"/>
    <x v="1"/>
  </r>
  <r>
    <n v="682"/>
    <s v="CGHS"/>
    <d v="2022-10-09T00:00:00"/>
    <x v="1"/>
    <d v="2022-10-11T00:00:00"/>
    <d v="2022-10-11T00:00:00"/>
    <n v="22026538"/>
    <n v="2235277"/>
    <n v="1001803412"/>
    <s v="HEENA MALE BABY"/>
    <x v="406"/>
    <n v="0"/>
    <n v="4045"/>
    <n v="4045"/>
    <n v="0"/>
    <x v="0"/>
    <x v="1"/>
    <n v="1"/>
    <x v="3"/>
  </r>
  <r>
    <n v="683"/>
    <s v="CGHS"/>
    <d v="2022-10-08T00:00:00"/>
    <x v="1"/>
    <d v="2022-10-10T00:00:00"/>
    <d v="2022-10-10T00:00:00"/>
    <n v="22026490"/>
    <n v="2235200"/>
    <n v="10013542170"/>
    <s v="HAWA SINGH"/>
    <x v="407"/>
    <n v="0"/>
    <n v="43582"/>
    <n v="43582"/>
    <n v="0"/>
    <x v="0"/>
    <x v="1"/>
    <n v="1"/>
    <x v="2"/>
  </r>
  <r>
    <n v="684"/>
    <s v="GENERAL PATIENT (MAH)"/>
    <d v="2022-10-06T00:00:00"/>
    <x v="1"/>
    <d v="2022-10-06T00:00:00"/>
    <d v="2022-10-06T00:00:00"/>
    <n v="22025908"/>
    <n v="2234922"/>
    <n v="1001087967"/>
    <s v="SUKH NAND KUMAR JAIN"/>
    <x v="112"/>
    <n v="3488"/>
    <n v="0"/>
    <n v="0"/>
    <n v="0"/>
    <x v="0"/>
    <x v="6"/>
    <e v="#DIV/0!"/>
    <x v="13"/>
  </r>
  <r>
    <n v="685"/>
    <s v="GENERAL PATIENT"/>
    <d v="2022-10-21T00:00:00"/>
    <x v="1"/>
    <d v="2022-10-22T00:00:00"/>
    <d v="2022-10-22T00:00:00"/>
    <n v="22028118"/>
    <n v="2236855"/>
    <n v="10013543963"/>
    <s v="SUDHEESH MANGAD"/>
    <x v="408"/>
    <n v="14511"/>
    <n v="93823"/>
    <n v="93823"/>
    <n v="0"/>
    <x v="0"/>
    <x v="1"/>
    <n v="1"/>
    <x v="4"/>
  </r>
  <r>
    <n v="686"/>
    <s v="GENERAL PATIENT"/>
    <d v="2022-10-21T00:00:00"/>
    <x v="1"/>
    <d v="2022-10-21T00:00:00"/>
    <d v="2022-10-21T00:00:00"/>
    <n v="22028042"/>
    <n v="2236876"/>
    <n v="10013541678"/>
    <s v="ANSHUL GUPTA"/>
    <x v="409"/>
    <n v="2401"/>
    <n v="17006"/>
    <n v="17006"/>
    <n v="0"/>
    <x v="0"/>
    <x v="6"/>
    <n v="1"/>
    <x v="1"/>
  </r>
  <r>
    <n v="687"/>
    <s v="Aditya Birla Health Insurance Co. Limited"/>
    <d v="2022-10-20T00:00:00"/>
    <x v="1"/>
    <d v="2022-10-21T00:00:00"/>
    <d v="2022-10-21T00:00:00"/>
    <n v="22028012"/>
    <n v="2236760"/>
    <n v="1001804728"/>
    <s v="MEGHA SANJEEV ARORA"/>
    <x v="410"/>
    <n v="0"/>
    <n v="96568"/>
    <n v="3891"/>
    <n v="92677"/>
    <x v="1"/>
    <x v="2"/>
    <n v="4.0292850633750307E-2"/>
    <x v="11"/>
  </r>
  <r>
    <n v="688"/>
    <s v="GENERAL PATIENT"/>
    <d v="2022-10-21T00:00:00"/>
    <x v="1"/>
    <d v="2022-10-22T00:00:00"/>
    <d v="2022-10-22T00:00:00"/>
    <n v="22028149"/>
    <n v="2236893"/>
    <n v="10013254882"/>
    <s v="VEENA JOLLY"/>
    <x v="411"/>
    <n v="8957"/>
    <n v="33876"/>
    <n v="33876"/>
    <n v="0"/>
    <x v="0"/>
    <x v="1"/>
    <n v="1"/>
    <x v="4"/>
  </r>
  <r>
    <n v="689"/>
    <s v="Safeway Mediclaim Services Pvt. Ltd."/>
    <d v="2022-10-11T00:00:00"/>
    <x v="1"/>
    <d v="2022-10-13T00:00:00"/>
    <d v="2022-10-13T00:00:00"/>
    <n v="22026851"/>
    <n v="2235484"/>
    <n v="10013541745"/>
    <s v="NEETU KHURANA"/>
    <x v="412"/>
    <n v="5897"/>
    <n v="102096"/>
    <n v="17724"/>
    <n v="84372"/>
    <x v="1"/>
    <x v="5"/>
    <n v="0.17360131640808651"/>
    <x v="1"/>
  </r>
  <r>
    <n v="690"/>
    <s v="STAR HEALTH CARE  (CREDIT)"/>
    <d v="2022-09-30T00:00:00"/>
    <x v="0"/>
    <d v="2022-10-03T00:00:00"/>
    <d v="2022-10-03T00:00:00"/>
    <n v="22025375"/>
    <n v="2234039"/>
    <n v="10013478711"/>
    <s v="GAURISHA MADAAN"/>
    <x v="413"/>
    <n v="9796"/>
    <n v="62211"/>
    <n v="62211"/>
    <n v="0"/>
    <x v="0"/>
    <x v="2"/>
    <n v="1"/>
    <x v="3"/>
  </r>
  <r>
    <n v="691"/>
    <s v="ICICI Lombard General Insurance"/>
    <d v="2022-10-21T00:00:00"/>
    <x v="1"/>
    <d v="2022-10-23T00:00:00"/>
    <d v="2022-10-23T00:00:00"/>
    <n v="22028337"/>
    <n v="2236981"/>
    <n v="1000996415"/>
    <s v="POOJA"/>
    <x v="414"/>
    <n v="0"/>
    <n v="51260"/>
    <n v="51260"/>
    <n v="0"/>
    <x v="0"/>
    <x v="2"/>
    <n v="1"/>
    <x v="0"/>
  </r>
  <r>
    <n v="692"/>
    <s v=" CGHS Cash"/>
    <d v="2022-10-22T00:00:00"/>
    <x v="1"/>
    <d v="2022-10-22T00:00:00"/>
    <d v="2022-10-22T00:00:00"/>
    <n v="22028277"/>
    <n v="2237079"/>
    <n v="1001783673"/>
    <s v="ANWAR MEHDI ZAIDI"/>
    <x v="137"/>
    <n v="0"/>
    <n v="2560"/>
    <n v="2560"/>
    <n v="0"/>
    <x v="0"/>
    <x v="6"/>
    <n v="1"/>
    <x v="13"/>
  </r>
  <r>
    <n v="693"/>
    <s v="GENERAL PATIENT"/>
    <d v="2022-10-23T00:00:00"/>
    <x v="1"/>
    <d v="2022-10-23T00:00:00"/>
    <d v="2022-10-23T00:00:00"/>
    <n v="22028314"/>
    <n v="2237126"/>
    <n v="10013539422"/>
    <s v="NAVEEN KUMAR"/>
    <x v="73"/>
    <n v="308"/>
    <n v="2536"/>
    <n v="2536"/>
    <n v="0"/>
    <x v="0"/>
    <x v="6"/>
    <n v="1"/>
    <x v="13"/>
  </r>
  <r>
    <n v="694"/>
    <s v="GENERAL PATIENT"/>
    <d v="2022-10-23T00:00:00"/>
    <x v="1"/>
    <d v="2022-10-23T00:00:00"/>
    <d v="2022-10-23T00:00:00"/>
    <n v="22028327"/>
    <n v="2237129"/>
    <n v="10013533934"/>
    <s v="RAMESH AHUJA"/>
    <x v="45"/>
    <n v="413"/>
    <n v="4577"/>
    <n v="4577"/>
    <n v="0"/>
    <x v="0"/>
    <x v="6"/>
    <n v="1"/>
    <x v="13"/>
  </r>
  <r>
    <n v="695"/>
    <s v="GENERAL PATIENT"/>
    <d v="2022-10-23T00:00:00"/>
    <x v="1"/>
    <d v="2022-10-23T00:00:00"/>
    <d v="2022-10-23T00:00:00"/>
    <n v="22028326"/>
    <n v="2237132"/>
    <n v="10013518452"/>
    <s v="RAJESH WADHERA"/>
    <x v="45"/>
    <n v="413"/>
    <n v="4577"/>
    <n v="4577"/>
    <n v="0"/>
    <x v="0"/>
    <x v="6"/>
    <n v="1"/>
    <x v="13"/>
  </r>
  <r>
    <n v="696"/>
    <s v="GENERAL PATIENT"/>
    <d v="2022-10-23T00:00:00"/>
    <x v="1"/>
    <d v="2022-10-23T00:00:00"/>
    <d v="2022-10-23T00:00:00"/>
    <n v="22028329"/>
    <n v="2237130"/>
    <n v="1001542684"/>
    <s v="RAJEEV KUMAR GOEL"/>
    <x v="415"/>
    <n v="290"/>
    <n v="3376"/>
    <n v="3376"/>
    <n v="0"/>
    <x v="0"/>
    <x v="6"/>
    <n v="1"/>
    <x v="13"/>
  </r>
  <r>
    <n v="697"/>
    <s v="DGHS (DELHI GOVT.)"/>
    <d v="2022-10-24T00:00:00"/>
    <x v="1"/>
    <d v="2022-10-28T00:00:00"/>
    <d v="2022-10-28T00:00:00"/>
    <n v="22028952"/>
    <n v="2237244"/>
    <n v="10013544310"/>
    <s v="VIJAY SHARMA"/>
    <x v="416"/>
    <n v="0"/>
    <n v="39424"/>
    <n v="70000"/>
    <n v="-30576"/>
    <x v="1"/>
    <x v="1"/>
    <n v="1.7755681818181819"/>
    <x v="9"/>
  </r>
  <r>
    <n v="698"/>
    <s v="M.C.D"/>
    <d v="2022-10-25T00:00:00"/>
    <x v="1"/>
    <d v="2022-10-29T00:00:00"/>
    <d v="2022-10-29T00:00:00"/>
    <n v="22029044"/>
    <n v="2237249"/>
    <n v="1001805992"/>
    <s v="SHALU FEMALE BABY 1ST"/>
    <x v="417"/>
    <n v="0"/>
    <n v="34569"/>
    <n v="34569"/>
    <n v="0"/>
    <x v="0"/>
    <x v="0"/>
    <n v="1"/>
    <x v="3"/>
  </r>
  <r>
    <n v="699"/>
    <s v="STAR HEALTH CARE  (CREDIT)"/>
    <d v="2022-10-14T00:00:00"/>
    <x v="1"/>
    <d v="2022-10-15T00:00:00"/>
    <d v="2022-10-15T00:00:00"/>
    <n v="22027144"/>
    <n v="2235939"/>
    <n v="1001359771"/>
    <s v="PRAVEEN GOYAL"/>
    <x v="418"/>
    <n v="0"/>
    <n v="246224"/>
    <n v="13555"/>
    <n v="232669"/>
    <x v="1"/>
    <x v="1"/>
    <n v="5.505149782312041E-2"/>
    <x v="4"/>
  </r>
  <r>
    <n v="700"/>
    <s v="MD INDIA TPA PVT.LTD."/>
    <d v="2022-10-02T00:00:00"/>
    <x v="1"/>
    <d v="2022-10-02T00:00:00"/>
    <d v="2022-10-02T00:00:00"/>
    <n v="22025290"/>
    <n v="2234302"/>
    <n v="10013540827"/>
    <s v="RAM PRATAP  AGARWAL"/>
    <x v="11"/>
    <n v="0"/>
    <n v="22500"/>
    <n v="20715"/>
    <n v="1785"/>
    <x v="0"/>
    <x v="4"/>
    <n v="0.92066666666666663"/>
    <x v="4"/>
  </r>
  <r>
    <n v="701"/>
    <s v="GENERAL PATIENT"/>
    <d v="2022-10-08T00:00:00"/>
    <x v="1"/>
    <d v="2022-10-08T00:00:00"/>
    <d v="2022-10-08T00:00:00"/>
    <n v="22026218"/>
    <n v="2235117"/>
    <n v="1000847185"/>
    <s v="KOMAL"/>
    <x v="419"/>
    <n v="10577"/>
    <n v="63667"/>
    <n v="63667"/>
    <n v="0"/>
    <x v="0"/>
    <x v="1"/>
    <n v="1"/>
    <x v="6"/>
  </r>
  <r>
    <n v="702"/>
    <s v="NIVA BUPA"/>
    <d v="2022-10-26T00:00:00"/>
    <x v="1"/>
    <d v="2022-10-29T00:00:00"/>
    <d v="2022-10-29T00:00:00"/>
    <n v="22029050"/>
    <n v="2237422"/>
    <n v="10013517362"/>
    <s v="SUNENA BATRA GULATI"/>
    <x v="420"/>
    <n v="5000"/>
    <n v="67400"/>
    <n v="22400"/>
    <n v="45000"/>
    <x v="1"/>
    <x v="1"/>
    <n v="0.33234421364985162"/>
    <x v="1"/>
  </r>
  <r>
    <n v="703"/>
    <s v="GENERAL PATIENT"/>
    <d v="2022-10-23T00:00:00"/>
    <x v="1"/>
    <d v="2022-10-26T00:00:00"/>
    <d v="2022-10-26T00:00:00"/>
    <n v="22028595"/>
    <n v="2237173"/>
    <n v="1001805899"/>
    <s v="POOJA GAUTAM"/>
    <x v="421"/>
    <n v="69698"/>
    <n v="0"/>
    <n v="0"/>
    <n v="0"/>
    <x v="0"/>
    <x v="9"/>
    <e v="#DIV/0!"/>
    <x v="1"/>
  </r>
  <r>
    <n v="704"/>
    <s v="DGHS (DELHI GOVT.)"/>
    <d v="2022-10-25T00:00:00"/>
    <x v="1"/>
    <d v="2022-10-28T00:00:00"/>
    <d v="2022-10-28T00:00:00"/>
    <n v="22028894"/>
    <n v="2237357"/>
    <n v="10013388600"/>
    <s v="MONA"/>
    <x v="422"/>
    <n v="0"/>
    <n v="190853"/>
    <n v="190853"/>
    <n v="0"/>
    <x v="0"/>
    <x v="1"/>
    <n v="1"/>
    <x v="4"/>
  </r>
  <r>
    <n v="705"/>
    <s v="GENERAL PATIENT"/>
    <d v="2022-10-15T00:00:00"/>
    <x v="1"/>
    <d v="2022-10-18T00:00:00"/>
    <d v="2022-10-18T00:00:00"/>
    <n v="22027518"/>
    <n v="2236181"/>
    <n v="1001804598"/>
    <s v="PRIYANKA MALE BABY GARG-II"/>
    <x v="423"/>
    <n v="2946"/>
    <n v="19998"/>
    <n v="19998"/>
    <n v="0"/>
    <x v="0"/>
    <x v="1"/>
    <n v="1"/>
    <x v="3"/>
  </r>
  <r>
    <n v="706"/>
    <s v=" CGHS CREDIT"/>
    <d v="2022-10-18T00:00:00"/>
    <x v="1"/>
    <d v="2022-10-20T00:00:00"/>
    <d v="2022-10-20T00:00:00"/>
    <n v="22027916"/>
    <n v="2236457"/>
    <n v="1001804964"/>
    <s v="YASH PAL SHARMA"/>
    <x v="424"/>
    <n v="0"/>
    <n v="17681"/>
    <n v="595"/>
    <n v="17086"/>
    <x v="1"/>
    <x v="0"/>
    <n v="3.365194276341836E-2"/>
    <x v="0"/>
  </r>
  <r>
    <n v="707"/>
    <s v="CARE HEALTH INSURANCE LIMITED"/>
    <d v="2022-10-06T00:00:00"/>
    <x v="1"/>
    <d v="2022-10-08T00:00:00"/>
    <d v="2022-10-08T00:00:00"/>
    <n v="22026174"/>
    <n v="2234926"/>
    <n v="10013541855"/>
    <s v="MEHAK GUPTA"/>
    <x v="425"/>
    <n v="0"/>
    <n v="73263"/>
    <n v="1500"/>
    <n v="71763"/>
    <x v="1"/>
    <x v="0"/>
    <n v="2.0474182056426846E-2"/>
    <x v="12"/>
  </r>
  <r>
    <n v="708"/>
    <s v="ICICI Lombard General Insurance"/>
    <d v="2022-10-07T00:00:00"/>
    <x v="1"/>
    <d v="2022-10-08T00:00:00"/>
    <d v="2022-10-08T00:00:00"/>
    <n v="22026227"/>
    <n v="2235100"/>
    <n v="10013514437"/>
    <s v="ANKUSHA SHARMA"/>
    <x v="426"/>
    <n v="916"/>
    <n v="36035"/>
    <n v="8944"/>
    <n v="27091"/>
    <x v="1"/>
    <x v="0"/>
    <n v="0.24820313584015541"/>
    <x v="0"/>
  </r>
  <r>
    <n v="709"/>
    <s v="MEDI ASSIST"/>
    <d v="2022-10-13T00:00:00"/>
    <x v="1"/>
    <d v="2022-10-15T00:00:00"/>
    <d v="2022-10-15T00:00:00"/>
    <n v="22027176"/>
    <n v="2235786"/>
    <n v="10013542778"/>
    <s v="VINOD ARORA"/>
    <x v="427"/>
    <n v="473"/>
    <n v="275181"/>
    <n v="0"/>
    <n v="275181"/>
    <x v="1"/>
    <x v="4"/>
    <n v="0"/>
    <x v="4"/>
  </r>
  <r>
    <n v="710"/>
    <s v="GENERAL PATIENT"/>
    <d v="2022-10-27T00:00:00"/>
    <x v="1"/>
    <d v="2022-10-31T00:00:00"/>
    <d v="2022-10-31T00:00:00"/>
    <n v="22029292"/>
    <n v="2237590"/>
    <n v="1001806451"/>
    <s v="JASLEEN KAUR"/>
    <x v="428"/>
    <n v="24087"/>
    <n v="94033"/>
    <n v="94033"/>
    <n v="0"/>
    <x v="0"/>
    <x v="1"/>
    <n v="1"/>
    <x v="1"/>
  </r>
  <r>
    <n v="711"/>
    <s v=" Paramount Health Services and Insurance TPA Pvt.Ltd."/>
    <d v="2022-10-19T00:00:00"/>
    <x v="1"/>
    <d v="2022-10-21T00:00:00"/>
    <d v="2022-10-21T00:00:00"/>
    <n v="22028084"/>
    <n v="2236621"/>
    <n v="1001805240"/>
    <s v="BRIJ KISHOR SHARMA"/>
    <x v="429"/>
    <n v="28923"/>
    <n v="41671"/>
    <n v="8000"/>
    <n v="33671"/>
    <x v="1"/>
    <x v="1"/>
    <n v="0.19198003407645606"/>
    <x v="13"/>
  </r>
  <r>
    <n v="712"/>
    <s v="GENERAL PATIENT"/>
    <d v="2022-10-20T00:00:00"/>
    <x v="1"/>
    <d v="2022-10-22T00:00:00"/>
    <d v="2022-10-22T00:00:00"/>
    <n v="22028168"/>
    <n v="2236798"/>
    <n v="1001805475"/>
    <s v="NEHA SHUKLA"/>
    <x v="430"/>
    <n v="6250"/>
    <n v="44200"/>
    <n v="44200"/>
    <n v="0"/>
    <x v="0"/>
    <x v="1"/>
    <n v="1"/>
    <x v="0"/>
  </r>
  <r>
    <n v="713"/>
    <s v="GOVT. OF NCT OF DELHI"/>
    <d v="2022-10-23T00:00:00"/>
    <x v="1"/>
    <d v="2022-10-23T00:00:00"/>
    <d v="2022-10-23T00:00:00"/>
    <n v="22028317"/>
    <n v="2237125"/>
    <n v="10013386841"/>
    <s v="LEELA DEVI"/>
    <x v="43"/>
    <n v="0"/>
    <n v="1610"/>
    <n v="1610"/>
    <n v="0"/>
    <x v="0"/>
    <x v="6"/>
    <n v="1"/>
    <x v="13"/>
  </r>
  <r>
    <n v="714"/>
    <s v="GENERAL PATIENT"/>
    <d v="2022-10-01T00:00:00"/>
    <x v="1"/>
    <d v="2022-10-01T00:00:00"/>
    <d v="2022-10-01T00:00:00"/>
    <n v="22025239"/>
    <n v="2234239"/>
    <n v="10013541160"/>
    <s v="SARJIT SINGH CHANA"/>
    <x v="45"/>
    <n v="566"/>
    <n v="4424"/>
    <n v="4424"/>
    <n v="0"/>
    <x v="0"/>
    <x v="6"/>
    <n v="1"/>
    <x v="13"/>
  </r>
  <r>
    <n v="715"/>
    <s v="ICICI Lombard General Insurance"/>
    <d v="2022-10-28T00:00:00"/>
    <x v="1"/>
    <d v="2022-10-28T00:00:00"/>
    <d v="2022-10-28T00:00:00"/>
    <n v="22028959"/>
    <n v="2237766"/>
    <n v="10013497346"/>
    <s v="NIDHI DUA"/>
    <x v="431"/>
    <n v="1386"/>
    <n v="32698"/>
    <n v="1685"/>
    <n v="31013"/>
    <x v="1"/>
    <x v="6"/>
    <n v="5.1532203804514037E-2"/>
    <x v="1"/>
  </r>
  <r>
    <n v="716"/>
    <s v="CARE HEALTH INSURANCE LIMITED"/>
    <d v="2022-10-27T00:00:00"/>
    <x v="1"/>
    <d v="2022-10-29T00:00:00"/>
    <d v="2022-10-29T00:00:00"/>
    <n v="22029043"/>
    <n v="2237672"/>
    <n v="10013542252"/>
    <s v="KANCHAN SONI"/>
    <x v="432"/>
    <n v="0"/>
    <n v="73470"/>
    <n v="1500"/>
    <n v="71970"/>
    <x v="1"/>
    <x v="2"/>
    <n v="2.0416496529195589E-2"/>
    <x v="11"/>
  </r>
  <r>
    <n v="717"/>
    <s v="DGHS (DELHI GOVT.)"/>
    <d v="2022-10-28T00:00:00"/>
    <x v="1"/>
    <d v="2022-10-31T00:00:00"/>
    <d v="2022-10-31T00:00:00"/>
    <n v="22029393"/>
    <n v="2237817"/>
    <n v="10013419196"/>
    <s v="MALTI DEVI"/>
    <x v="433"/>
    <n v="0"/>
    <n v="102086"/>
    <n v="2107"/>
    <n v="99979"/>
    <x v="1"/>
    <x v="2"/>
    <n v="2.0639460846737064E-2"/>
    <x v="0"/>
  </r>
  <r>
    <n v="718"/>
    <s v="GENERAL PATIENT"/>
    <d v="2022-10-24T00:00:00"/>
    <x v="1"/>
    <d v="2022-10-25T00:00:00"/>
    <d v="2022-10-25T00:00:00"/>
    <n v="22028465"/>
    <n v="2237238"/>
    <n v="1001805968"/>
    <s v="AANSHIKA"/>
    <x v="434"/>
    <n v="47098"/>
    <n v="0"/>
    <n v="0"/>
    <n v="0"/>
    <x v="0"/>
    <x v="9"/>
    <e v="#DIV/0!"/>
    <x v="3"/>
  </r>
  <r>
    <n v="719"/>
    <s v="GENERAL PATIENT"/>
    <d v="2022-10-19T00:00:00"/>
    <x v="1"/>
    <d v="2022-10-22T00:00:00"/>
    <d v="2022-10-22T00:00:00"/>
    <n v="22028174"/>
    <n v="2236665"/>
    <n v="10013543757"/>
    <s v="KAJAL"/>
    <x v="435"/>
    <n v="61210"/>
    <n v="0"/>
    <n v="0"/>
    <n v="0"/>
    <x v="0"/>
    <x v="9"/>
    <e v="#DIV/0!"/>
    <x v="0"/>
  </r>
  <r>
    <n v="720"/>
    <s v="Staff DEPENDENT"/>
    <d v="2022-10-01T00:00:00"/>
    <x v="1"/>
    <d v="2022-10-05T00:00:00"/>
    <d v="2022-10-05T00:00:00"/>
    <n v="22025756"/>
    <n v="2234189"/>
    <n v="1001624933"/>
    <s v="NAISHA SHARMA"/>
    <x v="436"/>
    <n v="69725"/>
    <n v="0"/>
    <n v="0"/>
    <n v="0"/>
    <x v="0"/>
    <x v="9"/>
    <e v="#DIV/0!"/>
    <x v="3"/>
  </r>
  <r>
    <n v="721"/>
    <s v="DGHS (DELHI GOVT.)"/>
    <d v="2022-10-10T00:00:00"/>
    <x v="1"/>
    <d v="2022-10-12T00:00:00"/>
    <d v="2022-10-12T00:00:00"/>
    <n v="22026688"/>
    <n v="2235475"/>
    <n v="1001249346"/>
    <s v="VEENA GERA"/>
    <x v="437"/>
    <n v="0"/>
    <n v="26510"/>
    <n v="981"/>
    <n v="25529"/>
    <x v="1"/>
    <x v="0"/>
    <n v="3.7004903809883062E-2"/>
    <x v="0"/>
  </r>
  <r>
    <n v="722"/>
    <s v="CGHS"/>
    <d v="2022-10-04T00:00:00"/>
    <x v="1"/>
    <d v="2022-10-04T00:00:00"/>
    <d v="2022-10-04T00:00:00"/>
    <n v="22025575"/>
    <n v="2234586"/>
    <n v="10013519440"/>
    <s v="RAJENDER KUMAR"/>
    <x v="43"/>
    <n v="0"/>
    <n v="1610"/>
    <n v="1610"/>
    <n v="0"/>
    <x v="0"/>
    <x v="6"/>
    <n v="1"/>
    <x v="13"/>
  </r>
  <r>
    <n v="723"/>
    <s v="GENERAL PATIENT"/>
    <d v="2022-10-04T00:00:00"/>
    <x v="1"/>
    <d v="2022-10-04T00:00:00"/>
    <d v="2022-10-04T00:00:00"/>
    <n v="22025584"/>
    <n v="2234583"/>
    <n v="1000891328"/>
    <s v="SOURAV SHARMA"/>
    <x v="190"/>
    <n v="3288"/>
    <n v="0"/>
    <n v="0"/>
    <n v="0"/>
    <x v="0"/>
    <x v="9"/>
    <e v="#DIV/0!"/>
    <x v="13"/>
  </r>
  <r>
    <n v="724"/>
    <s v=" CGHS Cash"/>
    <d v="2022-10-05T00:00:00"/>
    <x v="1"/>
    <d v="2022-10-07T00:00:00"/>
    <d v="2022-10-07T00:00:00"/>
    <n v="22026027"/>
    <n v="2234803"/>
    <n v="1001802620"/>
    <s v="AKSH"/>
    <x v="438"/>
    <n v="0"/>
    <n v="10935"/>
    <n v="10935"/>
    <n v="0"/>
    <x v="0"/>
    <x v="1"/>
    <n v="1"/>
    <x v="3"/>
  </r>
  <r>
    <n v="725"/>
    <s v="HARAYANA GOVT."/>
    <d v="2022-10-10T00:00:00"/>
    <x v="1"/>
    <d v="2022-10-13T00:00:00"/>
    <d v="2022-10-13T00:00:00"/>
    <n v="22026870"/>
    <n v="2235413"/>
    <n v="1001803602"/>
    <s v="RAJNI FEMALE BABY DEVI"/>
    <x v="439"/>
    <n v="0"/>
    <n v="5153"/>
    <n v="5153"/>
    <n v="0"/>
    <x v="0"/>
    <x v="1"/>
    <n v="1"/>
    <x v="3"/>
  </r>
  <r>
    <n v="726"/>
    <s v="GENERAL PATIENT"/>
    <d v="2022-10-26T00:00:00"/>
    <x v="1"/>
    <d v="2022-10-26T00:00:00"/>
    <d v="2022-10-26T00:00:00"/>
    <n v="22028654"/>
    <n v="2237497"/>
    <n v="10013542866"/>
    <s v="SAROJ MADAN"/>
    <x v="45"/>
    <n v="412"/>
    <n v="4578"/>
    <n v="4578"/>
    <n v="0"/>
    <x v="0"/>
    <x v="6"/>
    <n v="1"/>
    <x v="13"/>
  </r>
  <r>
    <n v="727"/>
    <s v="EAST-WEST ASSIST."/>
    <d v="2022-10-23T00:00:00"/>
    <x v="1"/>
    <d v="2022-10-26T00:00:00"/>
    <d v="2022-10-26T00:00:00"/>
    <n v="22028628"/>
    <n v="2237160"/>
    <n v="1001805878"/>
    <s v="PARUL MALE BABY BANSAL"/>
    <x v="440"/>
    <n v="0"/>
    <n v="12724"/>
    <n v="12724"/>
    <n v="0"/>
    <x v="0"/>
    <x v="14"/>
    <n v="1"/>
    <x v="3"/>
  </r>
  <r>
    <n v="728"/>
    <s v="RAKSHA (TPA)"/>
    <d v="2022-10-05T00:00:00"/>
    <x v="1"/>
    <d v="2022-10-06T00:00:00"/>
    <d v="2022-10-06T00:00:00"/>
    <n v="22025878"/>
    <n v="2234746"/>
    <n v="1001802564"/>
    <s v="DAKSHI FEMALE BABY"/>
    <x v="397"/>
    <n v="0"/>
    <n v="4806"/>
    <n v="4806"/>
    <n v="0"/>
    <x v="0"/>
    <x v="2"/>
    <n v="1"/>
    <x v="3"/>
  </r>
  <r>
    <n v="729"/>
    <s v="Heritage Health TPA Private Limited"/>
    <d v="2022-10-05T00:00:00"/>
    <x v="1"/>
    <d v="2022-10-09T00:00:00"/>
    <d v="2022-10-09T00:00:00"/>
    <n v="22026288"/>
    <n v="2234747"/>
    <n v="10013430023"/>
    <s v="MONI SINHA"/>
    <x v="441"/>
    <n v="0"/>
    <n v="84064"/>
    <n v="31852"/>
    <n v="52212"/>
    <x v="1"/>
    <x v="2"/>
    <n v="0.37890178911305672"/>
    <x v="0"/>
  </r>
  <r>
    <n v="730"/>
    <s v="GENERAL PATIENT"/>
    <d v="2022-10-05T00:00:00"/>
    <x v="1"/>
    <d v="2022-10-07T00:00:00"/>
    <d v="2022-10-07T00:00:00"/>
    <n v="22025952"/>
    <n v="2234772"/>
    <n v="10013541652"/>
    <s v="MOHD. SHAUKEEN SAIFI"/>
    <x v="442"/>
    <n v="0"/>
    <n v="191548"/>
    <n v="191548"/>
    <n v="0"/>
    <x v="0"/>
    <x v="1"/>
    <n v="1"/>
    <x v="4"/>
  </r>
  <r>
    <n v="731"/>
    <s v="Safeway Mediclaim Services Pvt. Ltd."/>
    <d v="2022-10-01T00:00:00"/>
    <x v="1"/>
    <d v="2022-10-04T00:00:00"/>
    <d v="2022-10-04T00:00:00"/>
    <n v="22025581"/>
    <n v="2234217"/>
    <n v="10013541135"/>
    <s v="BABITA BANSAL"/>
    <x v="443"/>
    <n v="5982"/>
    <n v="37790"/>
    <n v="1641"/>
    <n v="36149"/>
    <x v="1"/>
    <x v="5"/>
    <n v="4.3424186292670017E-2"/>
    <x v="0"/>
  </r>
  <r>
    <n v="732"/>
    <s v="Delhi Tourism &amp; Transportation Development Corp.Ltd."/>
    <d v="2022-10-01T00:00:00"/>
    <x v="1"/>
    <d v="2022-10-14T00:00:00"/>
    <d v="2022-10-14T00:00:00"/>
    <n v="22027060"/>
    <n v="2234269"/>
    <n v="10013541177"/>
    <s v="NUTAN KUMARI"/>
    <x v="444"/>
    <n v="0"/>
    <n v="63105"/>
    <n v="1971"/>
    <n v="61134"/>
    <x v="1"/>
    <x v="1"/>
    <n v="3.1233658188733065E-2"/>
    <x v="2"/>
  </r>
  <r>
    <n v="733"/>
    <s v="BAJAJ ALLIANZ INSURANCE"/>
    <d v="2022-10-15T00:00:00"/>
    <x v="1"/>
    <d v="2022-10-24T00:00:00"/>
    <d v="2022-10-24T00:00:00"/>
    <n v="22028456"/>
    <n v="2236112"/>
    <n v="1001716329"/>
    <s v="PARVEEN KAPOOR"/>
    <x v="445"/>
    <n v="50593"/>
    <n v="770546"/>
    <n v="153491"/>
    <n v="617055"/>
    <x v="1"/>
    <x v="1"/>
    <n v="0.19919771175244566"/>
    <x v="2"/>
  </r>
  <r>
    <n v="734"/>
    <s v="GENERAL PATIENT"/>
    <d v="2022-10-01T00:00:00"/>
    <x v="1"/>
    <d v="2022-10-01T00:00:00"/>
    <d v="2022-10-01T00:00:00"/>
    <n v="22025187"/>
    <n v="2234207"/>
    <n v="10013533576"/>
    <s v="G. CHANDER SHEKHAR"/>
    <x v="73"/>
    <n v="310"/>
    <n v="2534"/>
    <n v="2534"/>
    <n v="0"/>
    <x v="0"/>
    <x v="6"/>
    <n v="1"/>
    <x v="13"/>
  </r>
  <r>
    <n v="735"/>
    <s v="CGHS ( CREDIT)"/>
    <d v="2022-10-10T00:00:00"/>
    <x v="1"/>
    <d v="2022-10-13T00:00:00"/>
    <d v="2022-10-13T00:00:00"/>
    <n v="22026868"/>
    <n v="2235449"/>
    <n v="10013542463"/>
    <s v="HARSH AHLAWAT"/>
    <x v="446"/>
    <n v="0"/>
    <n v="21489"/>
    <n v="520"/>
    <n v="20969"/>
    <x v="1"/>
    <x v="0"/>
    <n v="2.4198427102238355E-2"/>
    <x v="0"/>
  </r>
  <r>
    <n v="736"/>
    <s v="GENERAL PATIENT"/>
    <d v="2022-10-20T00:00:00"/>
    <x v="1"/>
    <d v="2022-10-20T00:00:00"/>
    <d v="2022-10-20T00:00:00"/>
    <n v="22027890"/>
    <n v="2236791"/>
    <n v="1000891310"/>
    <s v="MUKESH"/>
    <x v="447"/>
    <n v="3319"/>
    <n v="0"/>
    <n v="0"/>
    <n v="0"/>
    <x v="0"/>
    <x v="9"/>
    <e v="#DIV/0!"/>
    <x v="13"/>
  </r>
  <r>
    <n v="737"/>
    <s v="DGHS (DELHI GOVT.)"/>
    <d v="2022-10-17T00:00:00"/>
    <x v="1"/>
    <d v="2022-10-21T00:00:00"/>
    <d v="2022-10-21T00:00:00"/>
    <n v="22028051"/>
    <n v="2236403"/>
    <n v="10013521270"/>
    <s v="SATYAVATI ARORA"/>
    <x v="448"/>
    <n v="0"/>
    <n v="57943"/>
    <n v="1944"/>
    <n v="55999"/>
    <x v="1"/>
    <x v="0"/>
    <n v="3.3550213140500149E-2"/>
    <x v="0"/>
  </r>
  <r>
    <n v="738"/>
    <s v=" STAR HEALTH TPA"/>
    <d v="2022-10-04T00:00:00"/>
    <x v="1"/>
    <d v="2022-10-05T00:00:00"/>
    <d v="2022-10-05T00:00:00"/>
    <n v="22025747"/>
    <n v="2234590"/>
    <n v="1001802448"/>
    <s v="REKHA  BHARAJ"/>
    <x v="449"/>
    <n v="4739"/>
    <n v="52730"/>
    <n v="1000"/>
    <n v="51730"/>
    <x v="1"/>
    <x v="0"/>
    <n v="1.8964536317087048E-2"/>
    <x v="11"/>
  </r>
  <r>
    <n v="739"/>
    <s v="GENERAL PATIENT"/>
    <d v="2022-10-23T00:00:00"/>
    <x v="1"/>
    <d v="2022-10-27T00:00:00"/>
    <d v="2022-10-27T00:00:00"/>
    <n v="22028760"/>
    <n v="2237142"/>
    <n v="10013544210"/>
    <s v="BHARAT ARORA"/>
    <x v="450"/>
    <n v="52787"/>
    <n v="119455"/>
    <n v="119455"/>
    <n v="0"/>
    <x v="0"/>
    <x v="7"/>
    <n v="1"/>
    <x v="0"/>
  </r>
  <r>
    <n v="740"/>
    <s v="GENERAL PATIENT"/>
    <d v="2022-10-20T00:00:00"/>
    <x v="1"/>
    <d v="2022-10-21T00:00:00"/>
    <d v="2022-10-21T00:00:00"/>
    <n v="22028043"/>
    <n v="2236824"/>
    <n v="10013543932"/>
    <s v="SHANTA SETHI"/>
    <x v="451"/>
    <n v="7409"/>
    <n v="47488"/>
    <n v="47488"/>
    <n v="0"/>
    <x v="0"/>
    <x v="1"/>
    <n v="1"/>
    <x v="4"/>
  </r>
  <r>
    <n v="741"/>
    <s v="DELHI TRANSPORT CORPORATION"/>
    <d v="2022-10-07T00:00:00"/>
    <x v="1"/>
    <d v="2022-10-08T00:00:00"/>
    <d v="2022-10-08T00:00:00"/>
    <n v="22026108"/>
    <n v="2235086"/>
    <n v="10013542077"/>
    <s v="MOHIT KUMAR"/>
    <x v="452"/>
    <n v="0"/>
    <n v="10160"/>
    <n v="10160"/>
    <n v="0"/>
    <x v="0"/>
    <x v="1"/>
    <n v="1"/>
    <x v="4"/>
  </r>
  <r>
    <n v="742"/>
    <s v="MEDI ASSIST"/>
    <d v="2022-10-08T00:00:00"/>
    <x v="1"/>
    <d v="2022-10-09T00:00:00"/>
    <d v="2022-10-09T00:00:00"/>
    <n v="22026304"/>
    <n v="2235145"/>
    <n v="1001803208"/>
    <s v="POOJA CHAUHAN"/>
    <x v="453"/>
    <n v="0"/>
    <n v="49308"/>
    <n v="7103"/>
    <n v="42205"/>
    <x v="1"/>
    <x v="5"/>
    <n v="0.14405370325302183"/>
    <x v="0"/>
  </r>
  <r>
    <n v="743"/>
    <s v="Health Insurance TPA of India Ltd."/>
    <d v="2022-10-04T00:00:00"/>
    <x v="1"/>
    <d v="2022-10-08T00:00:00"/>
    <d v="2022-10-08T00:00:00"/>
    <n v="22026142"/>
    <n v="2234594"/>
    <n v="10013541570"/>
    <s v="DAVINDER SINGH"/>
    <x v="454"/>
    <n v="0"/>
    <n v="80494"/>
    <n v="7987"/>
    <n v="72507"/>
    <x v="1"/>
    <x v="5"/>
    <n v="9.9224786940641532E-2"/>
    <x v="0"/>
  </r>
  <r>
    <n v="744"/>
    <s v="MEDI ASSIST"/>
    <d v="2022-10-03T00:00:00"/>
    <x v="1"/>
    <d v="2022-10-05T00:00:00"/>
    <d v="2022-10-05T00:00:00"/>
    <n v="22025668"/>
    <n v="2234397"/>
    <n v="10013312816"/>
    <s v="NEHA KUMARI"/>
    <x v="455"/>
    <n v="1717"/>
    <n v="60727"/>
    <n v="10727"/>
    <n v="50000"/>
    <x v="1"/>
    <x v="3"/>
    <n v="0.17664300887578838"/>
    <x v="1"/>
  </r>
  <r>
    <n v="745"/>
    <s v="RAKSHA (TPA)"/>
    <d v="2022-10-15T00:00:00"/>
    <x v="1"/>
    <d v="2022-10-19T00:00:00"/>
    <d v="2022-10-19T00:00:00"/>
    <n v="22027707"/>
    <n v="2236202"/>
    <n v="10013543220"/>
    <s v="KAPIL DEV"/>
    <x v="456"/>
    <n v="8780"/>
    <n v="70594"/>
    <n v="2125"/>
    <n v="68469"/>
    <x v="1"/>
    <x v="2"/>
    <n v="3.0101708360483894E-2"/>
    <x v="0"/>
  </r>
  <r>
    <n v="746"/>
    <s v="BAJAJ ALLIANZ INSURANCE"/>
    <d v="2022-10-10T00:00:00"/>
    <x v="1"/>
    <d v="2022-10-12T00:00:00"/>
    <d v="2022-10-12T00:00:00"/>
    <n v="22026756"/>
    <n v="2235448"/>
    <n v="10013541364"/>
    <s v="MAMTA"/>
    <x v="457"/>
    <n v="0"/>
    <n v="75738"/>
    <n v="2016"/>
    <n v="73722"/>
    <x v="1"/>
    <x v="1"/>
    <n v="2.6618078111383982E-2"/>
    <x v="11"/>
  </r>
  <r>
    <n v="747"/>
    <s v=" STAR HEALTH TPA"/>
    <d v="2022-10-01T00:00:00"/>
    <x v="1"/>
    <d v="2022-10-07T00:00:00"/>
    <d v="2022-10-07T00:00:00"/>
    <n v="22025960"/>
    <n v="2234231"/>
    <n v="1001547744"/>
    <s v="DEEPANJALI NAYAK"/>
    <x v="458"/>
    <n v="4026"/>
    <n v="46960"/>
    <n v="6700"/>
    <n v="40260"/>
    <x v="1"/>
    <x v="5"/>
    <n v="0.14267461669505963"/>
    <x v="0"/>
  </r>
  <r>
    <n v="748"/>
    <s v=" CGHS Cash"/>
    <d v="2022-10-01T00:00:00"/>
    <x v="1"/>
    <d v="2022-10-01T00:00:00"/>
    <d v="2022-10-01T00:00:00"/>
    <n v="22025175"/>
    <n v="2234225"/>
    <n v="1001735831"/>
    <s v="MOHAN KUMARI BHATIA"/>
    <x v="137"/>
    <n v="0"/>
    <n v="2560"/>
    <n v="2560"/>
    <n v="0"/>
    <x v="0"/>
    <x v="6"/>
    <n v="1"/>
    <x v="13"/>
  </r>
  <r>
    <n v="749"/>
    <s v="GENERAL PATIENT"/>
    <d v="2022-09-21T00:00:00"/>
    <x v="0"/>
    <d v="2022-10-07T00:00:00"/>
    <d v="2022-10-07T00:00:00"/>
    <n v="22025990"/>
    <n v="2232846"/>
    <n v="10013472363"/>
    <s v="ANGOORI DEVI"/>
    <x v="459"/>
    <n v="105749"/>
    <n v="413026"/>
    <n v="100000"/>
    <n v="313026"/>
    <x v="1"/>
    <x v="17"/>
    <n v="0.24211550846677934"/>
    <x v="0"/>
  </r>
  <r>
    <n v="750"/>
    <s v="CGHS ( CREDIT)"/>
    <d v="2022-10-29T00:00:00"/>
    <x v="1"/>
    <d v="2022-10-29T00:00:00"/>
    <d v="2022-10-29T00:00:00"/>
    <n v="22029059"/>
    <n v="2237900"/>
    <n v="10013355624"/>
    <s v="KEWAL KRISHAN GOGIA"/>
    <x v="460"/>
    <n v="0"/>
    <n v="7825"/>
    <n v="252"/>
    <n v="7573"/>
    <x v="1"/>
    <x v="0"/>
    <n v="3.2204472843450481E-2"/>
    <x v="4"/>
  </r>
  <r>
    <n v="751"/>
    <s v="Health Insurance TPA of India Ltd."/>
    <d v="2022-10-03T00:00:00"/>
    <x v="1"/>
    <d v="2022-10-03T00:00:00"/>
    <d v="2022-10-03T00:00:00"/>
    <n v="22025451"/>
    <n v="2234439"/>
    <n v="10013353354"/>
    <s v="NARENDER CHAWLA"/>
    <x v="75"/>
    <n v="0"/>
    <n v="2200"/>
    <n v="220"/>
    <n v="1980"/>
    <x v="1"/>
    <x v="12"/>
    <n v="0.1"/>
    <x v="13"/>
  </r>
  <r>
    <n v="752"/>
    <s v="GENERAL PATIENT"/>
    <d v="2022-10-11T00:00:00"/>
    <x v="1"/>
    <d v="2022-10-11T00:00:00"/>
    <d v="2022-10-11T00:00:00"/>
    <n v="22026621"/>
    <n v="2235588"/>
    <n v="10013352607"/>
    <s v="SHRIKANT"/>
    <x v="73"/>
    <n v="310"/>
    <n v="2534"/>
    <n v="2534"/>
    <n v="0"/>
    <x v="0"/>
    <x v="6"/>
    <n v="1"/>
    <x v="13"/>
  </r>
  <r>
    <n v="753"/>
    <s v="DELHI VIDYUT BOARD"/>
    <d v="2022-09-29T00:00:00"/>
    <x v="0"/>
    <d v="2022-10-09T00:00:00"/>
    <d v="2022-10-09T00:00:00"/>
    <n v="22026321"/>
    <n v="2233997"/>
    <n v="10013540903"/>
    <s v="RANVIR SEHGAL"/>
    <x v="461"/>
    <n v="0"/>
    <n v="165431"/>
    <n v="165431"/>
    <n v="0"/>
    <x v="0"/>
    <x v="2"/>
    <n v="1"/>
    <x v="0"/>
  </r>
  <r>
    <n v="754"/>
    <s v="GENERAL PATIENT"/>
    <d v="2022-10-01T00:00:00"/>
    <x v="1"/>
    <d v="2022-10-09T00:00:00"/>
    <d v="2022-10-09T00:00:00"/>
    <n v="22026270"/>
    <n v="2234209"/>
    <n v="10013369851"/>
    <s v="JACKY UPADHYA"/>
    <x v="462"/>
    <n v="108237"/>
    <n v="0"/>
    <n v="0"/>
    <n v="0"/>
    <x v="0"/>
    <x v="9"/>
    <e v="#DIV/0!"/>
    <x v="0"/>
  </r>
  <r>
    <n v="755"/>
    <s v="GENERAL PATIENT"/>
    <d v="2022-09-26T00:00:00"/>
    <x v="0"/>
    <d v="2022-10-02T00:00:00"/>
    <d v="2022-10-02T00:00:00"/>
    <n v="22025272"/>
    <n v="2233543"/>
    <n v="10013540367"/>
    <s v="DHARMENDER SINGH"/>
    <x v="463"/>
    <n v="33506"/>
    <n v="241265"/>
    <n v="241265"/>
    <n v="0"/>
    <x v="0"/>
    <x v="1"/>
    <n v="1"/>
    <x v="2"/>
  </r>
  <r>
    <n v="756"/>
    <s v="GOVT. OF NCT OF DELHI"/>
    <d v="2022-10-03T00:00:00"/>
    <x v="1"/>
    <d v="2022-10-03T00:00:00"/>
    <d v="2022-10-03T00:00:00"/>
    <n v="22025343"/>
    <n v="2234352"/>
    <n v="10013521425"/>
    <s v="MEHAR CHAND"/>
    <x v="43"/>
    <n v="0"/>
    <n v="1610"/>
    <n v="1610"/>
    <n v="0"/>
    <x v="0"/>
    <x v="6"/>
    <n v="1"/>
    <x v="13"/>
  </r>
  <r>
    <n v="757"/>
    <s v="GENERAL PATIENT"/>
    <d v="2022-10-03T00:00:00"/>
    <x v="1"/>
    <d v="2022-10-03T00:00:00"/>
    <d v="2022-10-03T00:00:00"/>
    <n v="22025353"/>
    <n v="2234375"/>
    <n v="10013424453"/>
    <s v="ASHWANI KUMAR GUPTA"/>
    <x v="45"/>
    <n v="419"/>
    <n v="4571"/>
    <n v="4571"/>
    <n v="0"/>
    <x v="0"/>
    <x v="6"/>
    <n v="1"/>
    <x v="13"/>
  </r>
  <r>
    <n v="758"/>
    <s v="DGHS (DELHI GOVT.)"/>
    <d v="2022-10-12T00:00:00"/>
    <x v="1"/>
    <d v="2022-10-14T00:00:00"/>
    <d v="2022-10-15T00:00:00"/>
    <n v="22027135"/>
    <n v="2235710"/>
    <n v="10013517732"/>
    <s v="PREM KHURANA"/>
    <x v="464"/>
    <n v="0"/>
    <n v="166464"/>
    <n v="12210"/>
    <n v="154254"/>
    <x v="1"/>
    <x v="2"/>
    <n v="7.3349192618223757E-2"/>
    <x v="4"/>
  </r>
  <r>
    <n v="759"/>
    <s v="Health Insurance TPA of India Ltd."/>
    <d v="2022-09-30T00:00:00"/>
    <x v="0"/>
    <d v="2022-10-03T00:00:00"/>
    <d v="2022-10-03T00:00:00"/>
    <n v="22025365"/>
    <n v="2234137"/>
    <n v="1001801770"/>
    <s v="SATPAL KALRA"/>
    <x v="465"/>
    <n v="2883"/>
    <n v="283973"/>
    <n v="49454"/>
    <n v="234519"/>
    <x v="1"/>
    <x v="4"/>
    <n v="0.17415035936515091"/>
    <x v="4"/>
  </r>
  <r>
    <n v="760"/>
    <s v="STAR HEALTH CARE  (CREDIT)"/>
    <d v="2022-10-04T00:00:00"/>
    <x v="1"/>
    <d v="2022-10-09T00:00:00"/>
    <d v="2022-10-09T00:00:00"/>
    <n v="22026242"/>
    <n v="2234560"/>
    <n v="10013441830"/>
    <s v="MONIKA GUPTA"/>
    <x v="466"/>
    <n v="14329"/>
    <n v="109189"/>
    <n v="8616"/>
    <n v="100573"/>
    <x v="1"/>
    <x v="0"/>
    <n v="7.8909047614686464E-2"/>
    <x v="0"/>
  </r>
  <r>
    <n v="761"/>
    <s v=" CGHS CREDIT"/>
    <d v="2022-09-29T00:00:00"/>
    <x v="0"/>
    <d v="2022-10-04T00:00:00"/>
    <d v="2022-10-04T00:00:00"/>
    <n v="22025520"/>
    <n v="2233996"/>
    <n v="1001703064"/>
    <s v="DEVKALI DEVI"/>
    <x v="467"/>
    <n v="0"/>
    <n v="39030"/>
    <n v="1473"/>
    <n v="37557"/>
    <x v="1"/>
    <x v="1"/>
    <n v="3.7740199846272096E-2"/>
    <x v="0"/>
  </r>
  <r>
    <n v="762"/>
    <s v="CGHS ( CREDIT)"/>
    <d v="2022-10-16T00:00:00"/>
    <x v="1"/>
    <d v="2022-10-20T00:00:00"/>
    <d v="2022-10-20T00:00:00"/>
    <n v="22027912"/>
    <n v="2236247"/>
    <n v="1001016184"/>
    <s v="RAJPAUL SIWACH"/>
    <x v="468"/>
    <n v="0"/>
    <n v="54864"/>
    <n v="1092"/>
    <n v="53772"/>
    <x v="1"/>
    <x v="1"/>
    <n v="1.990376202974628E-2"/>
    <x v="0"/>
  </r>
  <r>
    <n v="763"/>
    <s v="GENERAL PATIENT"/>
    <d v="2022-10-08T00:00:00"/>
    <x v="1"/>
    <d v="2022-10-08T00:00:00"/>
    <d v="2022-10-08T00:00:00"/>
    <n v="22026148"/>
    <n v="2235173"/>
    <n v="10013526375"/>
    <s v="BIRBHAN GARG"/>
    <x v="45"/>
    <n v="415"/>
    <n v="4575"/>
    <n v="4575"/>
    <n v="0"/>
    <x v="0"/>
    <x v="6"/>
    <n v="1"/>
    <x v="13"/>
  </r>
  <r>
    <n v="764"/>
    <s v="RCare Health"/>
    <d v="2022-09-29T00:00:00"/>
    <x v="0"/>
    <d v="2022-10-02T00:00:00"/>
    <d v="2022-10-02T00:00:00"/>
    <n v="22025269"/>
    <n v="2233995"/>
    <n v="1001801573"/>
    <s v="PREM PRAKASH"/>
    <x v="469"/>
    <n v="0"/>
    <n v="272536"/>
    <n v="2128"/>
    <n v="270408"/>
    <x v="1"/>
    <x v="10"/>
    <n v="7.8081427774679309E-3"/>
    <x v="16"/>
  </r>
  <r>
    <n v="765"/>
    <s v=" CGHS Cash"/>
    <d v="2022-10-04T00:00:00"/>
    <x v="1"/>
    <d v="2022-10-04T00:00:00"/>
    <d v="2022-10-04T00:00:00"/>
    <n v="22025562"/>
    <n v="2234565"/>
    <n v="1001797549"/>
    <s v="ASHOK KUMAR"/>
    <x v="43"/>
    <n v="0"/>
    <n v="1610"/>
    <n v="1610"/>
    <n v="0"/>
    <x v="0"/>
    <x v="6"/>
    <n v="1"/>
    <x v="13"/>
  </r>
  <r>
    <n v="766"/>
    <s v="GENERAL PATIENT"/>
    <d v="2022-10-02T00:00:00"/>
    <x v="1"/>
    <d v="2022-10-03T00:00:00"/>
    <d v="2022-10-03T00:00:00"/>
    <n v="22025381"/>
    <n v="2234321"/>
    <n v="10013541242"/>
    <s v="ASHOK SONI"/>
    <x v="470"/>
    <n v="620"/>
    <n v="28602"/>
    <n v="28602"/>
    <n v="0"/>
    <x v="0"/>
    <x v="1"/>
    <n v="1"/>
    <x v="4"/>
  </r>
  <r>
    <n v="767"/>
    <s v="GENERAL PATIENT"/>
    <d v="2022-10-21T00:00:00"/>
    <x v="1"/>
    <d v="2022-10-21T00:00:00"/>
    <d v="2022-10-21T00:00:00"/>
    <n v="22028072"/>
    <n v="2236908"/>
    <n v="1000891328"/>
    <s v="SOURAV SHARMA"/>
    <x v="190"/>
    <n v="3288"/>
    <n v="0"/>
    <n v="0"/>
    <n v="0"/>
    <x v="0"/>
    <x v="9"/>
    <e v="#DIV/0!"/>
    <x v="13"/>
  </r>
  <r>
    <n v="768"/>
    <s v="STAR HEALTH CARE  (CREDIT)"/>
    <d v="2022-10-23T00:00:00"/>
    <x v="1"/>
    <d v="2022-10-26T00:00:00"/>
    <d v="2022-10-26T00:00:00"/>
    <n v="22028612"/>
    <n v="2237175"/>
    <n v="10013543651"/>
    <s v="AAKASH MIDHA"/>
    <x v="471"/>
    <n v="7456"/>
    <n v="52011"/>
    <n v="4081"/>
    <n v="47930"/>
    <x v="1"/>
    <x v="0"/>
    <n v="7.8464171040741382E-2"/>
    <x v="0"/>
  </r>
  <r>
    <n v="769"/>
    <s v="GENERAL PATIENT"/>
    <d v="2022-09-29T00:00:00"/>
    <x v="0"/>
    <d v="2022-10-01T00:00:00"/>
    <d v="2022-10-01T00:00:00"/>
    <n v="22025122"/>
    <n v="2233957"/>
    <n v="10013486193"/>
    <s v="REKHA"/>
    <x v="472"/>
    <n v="89466"/>
    <n v="0"/>
    <n v="0"/>
    <n v="0"/>
    <x v="0"/>
    <x v="9"/>
    <e v="#DIV/0!"/>
    <x v="11"/>
  </r>
  <r>
    <n v="770"/>
    <s v="ICICI Lombard General Insurance"/>
    <d v="2022-10-10T00:00:00"/>
    <x v="1"/>
    <d v="2022-10-13T00:00:00"/>
    <d v="2022-10-13T00:00:00"/>
    <n v="22026835"/>
    <n v="2235417"/>
    <n v="10013470461"/>
    <s v="BHUMIKA SACHDEVA"/>
    <x v="473"/>
    <n v="0"/>
    <n v="79015"/>
    <n v="1500"/>
    <n v="77515"/>
    <x v="1"/>
    <x v="2"/>
    <n v="1.898373726507625E-2"/>
    <x v="1"/>
  </r>
  <r>
    <n v="771"/>
    <s v="CGHS ( CREDIT)"/>
    <d v="2022-10-04T00:00:00"/>
    <x v="1"/>
    <d v="2022-10-09T00:00:00"/>
    <d v="2022-10-09T00:00:00"/>
    <n v="22026241"/>
    <n v="2234650"/>
    <n v="1001352014"/>
    <s v="DARSHAN KAUR"/>
    <x v="474"/>
    <n v="0"/>
    <n v="121231"/>
    <n v="4920"/>
    <n v="116311"/>
    <x v="1"/>
    <x v="1"/>
    <n v="4.0583679091981427E-2"/>
    <x v="0"/>
  </r>
  <r>
    <n v="772"/>
    <s v="CGHS ( CREDIT)"/>
    <d v="2022-09-09T00:00:00"/>
    <x v="0"/>
    <d v="2022-10-13T00:00:00"/>
    <d v="2022-10-13T00:00:00"/>
    <n v="22026886"/>
    <n v="2231253"/>
    <n v="1001529079"/>
    <s v="PRITAM LAL BHATIA"/>
    <x v="475"/>
    <n v="0"/>
    <n v="578470"/>
    <n v="18200"/>
    <n v="560270"/>
    <x v="1"/>
    <x v="0"/>
    <n v="3.1462305737549053E-2"/>
    <x v="0"/>
  </r>
  <r>
    <n v="773"/>
    <s v="GENERAL PATIENT(MAHSRC)"/>
    <d v="2022-10-12T00:00:00"/>
    <x v="1"/>
    <d v="2022-10-15T00:00:00"/>
    <d v="2022-10-15T00:00:00"/>
    <n v="22027191"/>
    <n v="2235621"/>
    <n v="10013542626"/>
    <s v="BIMLA GOEL"/>
    <x v="476"/>
    <n v="0"/>
    <n v="74536"/>
    <n v="74536"/>
    <n v="0"/>
    <x v="0"/>
    <x v="0"/>
    <n v="1"/>
    <x v="0"/>
  </r>
  <r>
    <n v="774"/>
    <s v="M.C.D"/>
    <d v="2022-10-10T00:00:00"/>
    <x v="1"/>
    <d v="2022-10-14T00:00:00"/>
    <d v="2022-10-14T00:00:00"/>
    <n v="22027079"/>
    <n v="2235412"/>
    <n v="10013542393"/>
    <s v="VIKAS PAL"/>
    <x v="477"/>
    <n v="0"/>
    <n v="25995"/>
    <n v="25995"/>
    <n v="0"/>
    <x v="0"/>
    <x v="1"/>
    <n v="1"/>
    <x v="7"/>
  </r>
  <r>
    <n v="775"/>
    <s v="GENERAL PATIENT"/>
    <d v="2022-10-07T00:00:00"/>
    <x v="1"/>
    <d v="2022-10-07T00:00:00"/>
    <d v="2022-10-07T00:00:00"/>
    <n v="22026058"/>
    <n v="2235096"/>
    <n v="1001012376"/>
    <s v="SHOBHA"/>
    <x v="41"/>
    <n v="2794"/>
    <n v="0"/>
    <n v="0"/>
    <n v="0"/>
    <x v="0"/>
    <x v="9"/>
    <e v="#DIV/0!"/>
    <x v="13"/>
  </r>
  <r>
    <n v="776"/>
    <s v="GENERAL PATIENT"/>
    <d v="2022-10-04T00:00:00"/>
    <x v="1"/>
    <d v="2022-10-04T00:00:00"/>
    <d v="2022-10-04T00:00:00"/>
    <n v="22025632"/>
    <n v="2234643"/>
    <n v="1001110018"/>
    <s v="RUPENDER KAUR"/>
    <x v="41"/>
    <n v="2794"/>
    <n v="0"/>
    <n v="0"/>
    <n v="0"/>
    <x v="0"/>
    <x v="9"/>
    <e v="#DIV/0!"/>
    <x v="13"/>
  </r>
  <r>
    <n v="777"/>
    <s v="GENERAL PATIENT"/>
    <d v="2022-10-12T00:00:00"/>
    <x v="1"/>
    <d v="2022-10-14T00:00:00"/>
    <d v="2022-10-14T00:00:00"/>
    <n v="22027058"/>
    <n v="2235759"/>
    <n v="10013329154"/>
    <s v="SHYAMA GOYAL"/>
    <x v="478"/>
    <n v="10136"/>
    <n v="108638"/>
    <n v="108638"/>
    <n v="0"/>
    <x v="0"/>
    <x v="8"/>
    <n v="1"/>
    <x v="9"/>
  </r>
  <r>
    <n v="778"/>
    <s v="Health Insurance TPA of India Ltd."/>
    <d v="2022-10-17T00:00:00"/>
    <x v="1"/>
    <d v="2022-10-17T00:00:00"/>
    <d v="2022-10-17T00:00:00"/>
    <n v="22027494"/>
    <n v="2236388"/>
    <n v="10013353354"/>
    <s v="NARENDER CHAWLA"/>
    <x v="75"/>
    <n v="0"/>
    <n v="2200"/>
    <n v="220"/>
    <n v="1980"/>
    <x v="1"/>
    <x v="12"/>
    <n v="0.1"/>
    <x v="13"/>
  </r>
  <r>
    <n v="779"/>
    <s v="GENERAL PATIENT"/>
    <d v="2022-10-15T00:00:00"/>
    <x v="1"/>
    <d v="2022-10-17T00:00:00"/>
    <d v="2022-10-17T00:00:00"/>
    <n v="22027395"/>
    <n v="2236182"/>
    <n v="10013543208"/>
    <s v="JOSE .K.J"/>
    <x v="479"/>
    <n v="29574"/>
    <n v="175617"/>
    <n v="175617"/>
    <n v="0"/>
    <x v="0"/>
    <x v="7"/>
    <n v="1"/>
    <x v="4"/>
  </r>
  <r>
    <n v="780"/>
    <s v="Safeway Mediclaim Services Pvt. Ltd."/>
    <d v="2022-10-19T00:00:00"/>
    <x v="1"/>
    <d v="2022-10-20T00:00:00"/>
    <d v="2022-10-20T00:00:00"/>
    <n v="22027915"/>
    <n v="2236640"/>
    <n v="10013536417"/>
    <s v="RAKESH JAIN"/>
    <x v="480"/>
    <n v="9151"/>
    <n v="55359"/>
    <n v="7228"/>
    <n v="48131"/>
    <x v="1"/>
    <x v="4"/>
    <n v="0.13056594230387109"/>
    <x v="4"/>
  </r>
  <r>
    <n v="781"/>
    <s v="GENERAL PATIENT"/>
    <d v="2022-10-04T00:00:00"/>
    <x v="1"/>
    <d v="2022-10-04T00:00:00"/>
    <d v="2022-10-04T00:00:00"/>
    <n v="22025633"/>
    <n v="2234639"/>
    <n v="1001012376"/>
    <s v="SHOBHA"/>
    <x v="41"/>
    <n v="2794"/>
    <n v="0"/>
    <n v="0"/>
    <n v="0"/>
    <x v="0"/>
    <x v="9"/>
    <e v="#DIV/0!"/>
    <x v="13"/>
  </r>
  <r>
    <n v="782"/>
    <s v="GENERAL PATIENT"/>
    <d v="2022-10-10T00:00:00"/>
    <x v="1"/>
    <d v="2022-10-10T00:00:00"/>
    <d v="2022-10-10T00:00:00"/>
    <n v="22026414"/>
    <n v="2235395"/>
    <n v="1000891310"/>
    <s v="MUKESH"/>
    <x v="190"/>
    <n v="3288"/>
    <n v="0"/>
    <n v="0"/>
    <n v="0"/>
    <x v="0"/>
    <x v="9"/>
    <e v="#DIV/0!"/>
    <x v="13"/>
  </r>
  <r>
    <n v="783"/>
    <s v="DELHI TRANSPORT CORPORATION"/>
    <d v="2022-09-29T00:00:00"/>
    <x v="0"/>
    <d v="2022-10-01T00:00:00"/>
    <d v="2022-10-01T00:00:00"/>
    <n v="22025166"/>
    <n v="2233905"/>
    <n v="10013540632"/>
    <s v="PRAMILA"/>
    <x v="481"/>
    <n v="0"/>
    <n v="20519"/>
    <n v="20519"/>
    <n v="0"/>
    <x v="0"/>
    <x v="1"/>
    <n v="1"/>
    <x v="0"/>
  </r>
  <r>
    <n v="784"/>
    <s v="MED SAVE"/>
    <d v="2022-10-16T00:00:00"/>
    <x v="1"/>
    <d v="2022-10-20T00:00:00"/>
    <d v="2022-10-20T00:00:00"/>
    <n v="22027841"/>
    <n v="2236244"/>
    <n v="10013543268"/>
    <s v="NIKHIL GOEL"/>
    <x v="482"/>
    <n v="11744"/>
    <n v="80715"/>
    <n v="4477"/>
    <n v="76238"/>
    <x v="1"/>
    <x v="14"/>
    <n v="5.5466765780833795E-2"/>
    <x v="0"/>
  </r>
  <r>
    <n v="785"/>
    <s v="GENERAL PATIENT"/>
    <d v="2022-10-16T00:00:00"/>
    <x v="1"/>
    <d v="2022-10-18T00:00:00"/>
    <d v="2022-10-18T00:00:00"/>
    <n v="22027606"/>
    <n v="2236245"/>
    <n v="10013401286"/>
    <s v="SUNDER DASS PAHUJA"/>
    <x v="483"/>
    <n v="26958"/>
    <n v="94821"/>
    <n v="94821"/>
    <n v="0"/>
    <x v="0"/>
    <x v="1"/>
    <n v="1"/>
    <x v="4"/>
  </r>
  <r>
    <n v="786"/>
    <s v="MEDI ASSIST"/>
    <d v="2022-10-05T00:00:00"/>
    <x v="1"/>
    <d v="2022-10-05T00:00:00"/>
    <d v="2022-10-05T00:00:00"/>
    <n v="22025769"/>
    <n v="2234752"/>
    <n v="10013538474"/>
    <s v="RAM  VINAY MISHRA"/>
    <x v="75"/>
    <n v="0"/>
    <n v="2200"/>
    <n v="440"/>
    <n v="1760"/>
    <x v="1"/>
    <x v="12"/>
    <n v="0.2"/>
    <x v="13"/>
  </r>
  <r>
    <n v="787"/>
    <s v=" MD INDIA TPA"/>
    <d v="2022-10-27T00:00:00"/>
    <x v="1"/>
    <d v="2022-10-27T00:00:00"/>
    <d v="2022-10-27T00:00:00"/>
    <n v="22028813"/>
    <n v="2237624"/>
    <n v="1001806469"/>
    <s v="SIMA RAJAIN"/>
    <x v="484"/>
    <n v="0"/>
    <n v="15700"/>
    <n v="500"/>
    <n v="15200"/>
    <x v="1"/>
    <x v="12"/>
    <n v="3.1847133757961783E-2"/>
    <x v="1"/>
  </r>
  <r>
    <n v="788"/>
    <s v="GENERAL PATIENT"/>
    <d v="2022-10-20T00:00:00"/>
    <x v="1"/>
    <d v="2022-10-21T00:00:00"/>
    <d v="2022-10-21T00:00:00"/>
    <n v="22028079"/>
    <n v="2236759"/>
    <n v="1001805419"/>
    <s v="CHETAN"/>
    <x v="485"/>
    <n v="0"/>
    <n v="54063"/>
    <n v="18000"/>
    <n v="36063"/>
    <x v="1"/>
    <x v="1"/>
    <n v="0.33294489761944396"/>
    <x v="14"/>
  </r>
  <r>
    <n v="789"/>
    <s v="GENERAL PATIENT"/>
    <d v="2022-09-29T00:00:00"/>
    <x v="0"/>
    <d v="2022-10-01T00:00:00"/>
    <d v="2022-10-01T00:00:00"/>
    <n v="22025134"/>
    <n v="2233923"/>
    <n v="1001801478"/>
    <s v="SOMNATH TALWAR"/>
    <x v="486"/>
    <n v="29325"/>
    <n v="192164"/>
    <n v="192164"/>
    <n v="0"/>
    <x v="0"/>
    <x v="7"/>
    <n v="1"/>
    <x v="4"/>
  </r>
  <r>
    <n v="790"/>
    <s v="GENERAL PATIENT"/>
    <d v="2022-09-28T00:00:00"/>
    <x v="0"/>
    <d v="2022-10-01T00:00:00"/>
    <d v="2022-10-01T00:00:00"/>
    <n v="22025180"/>
    <n v="2233813"/>
    <n v="1001801319"/>
    <s v="MEHAK FEMALE BABY  GUPTA"/>
    <x v="487"/>
    <n v="2820"/>
    <n v="18282"/>
    <n v="18282"/>
    <n v="0"/>
    <x v="0"/>
    <x v="2"/>
    <n v="1"/>
    <x v="3"/>
  </r>
  <r>
    <n v="791"/>
    <s v="GOVT. OF NCT OF DELHI"/>
    <d v="2022-10-10T00:00:00"/>
    <x v="1"/>
    <d v="2022-10-10T00:00:00"/>
    <d v="2022-10-10T00:00:00"/>
    <n v="22026346"/>
    <n v="2235332"/>
    <n v="10013386841"/>
    <s v="LEELA DEVI"/>
    <x v="43"/>
    <n v="0"/>
    <n v="1610"/>
    <n v="1610"/>
    <n v="0"/>
    <x v="0"/>
    <x v="6"/>
    <n v="1"/>
    <x v="13"/>
  </r>
  <r>
    <n v="792"/>
    <s v="CGHS ( CREDIT)"/>
    <d v="2022-10-08T00:00:00"/>
    <x v="1"/>
    <d v="2022-10-20T00:00:00"/>
    <d v="2022-10-20T00:00:00"/>
    <n v="22027920"/>
    <n v="2235112"/>
    <n v="10013542098"/>
    <s v="KAMLESH ANANDAN"/>
    <x v="488"/>
    <n v="0"/>
    <n v="97458"/>
    <n v="2045"/>
    <n v="95413"/>
    <x v="1"/>
    <x v="0"/>
    <n v="2.0983397976564264E-2"/>
    <x v="9"/>
  </r>
  <r>
    <n v="793"/>
    <s v="GENERAL PATIENT"/>
    <d v="2022-10-11T00:00:00"/>
    <x v="1"/>
    <d v="2022-10-12T00:00:00"/>
    <d v="2022-10-12T00:00:00"/>
    <n v="22026673"/>
    <n v="2235617"/>
    <n v="10013542611"/>
    <s v="KISHOR"/>
    <x v="489"/>
    <n v="6560"/>
    <n v="42687"/>
    <n v="42687"/>
    <n v="0"/>
    <x v="0"/>
    <x v="1"/>
    <n v="1"/>
    <x v="4"/>
  </r>
  <r>
    <n v="794"/>
    <s v="DGHS (DELHI GOVT.)"/>
    <d v="2022-10-14T00:00:00"/>
    <x v="1"/>
    <d v="2022-10-23T00:00:00"/>
    <d v="2022-10-23T00:00:00"/>
    <n v="22028360"/>
    <n v="2235992"/>
    <n v="10013543038"/>
    <s v="NIRMALA"/>
    <x v="490"/>
    <n v="0"/>
    <n v="384966"/>
    <n v="2050"/>
    <n v="382916"/>
    <x v="1"/>
    <x v="0"/>
    <n v="5.3251455972735257E-3"/>
    <x v="10"/>
  </r>
  <r>
    <n v="795"/>
    <s v="GENERAL PATIENT"/>
    <d v="2022-10-11T00:00:00"/>
    <x v="1"/>
    <d v="2022-10-11T00:00:00"/>
    <d v="2022-10-11T00:00:00"/>
    <n v="22026553"/>
    <n v="2235554"/>
    <n v="10013527702"/>
    <s v="RAJENDER TAYAL"/>
    <x v="45"/>
    <n v="413"/>
    <n v="4577"/>
    <n v="4577"/>
    <n v="0"/>
    <x v="0"/>
    <x v="6"/>
    <n v="1"/>
    <x v="13"/>
  </r>
  <r>
    <n v="796"/>
    <s v="GENERAL PATIENT"/>
    <d v="2022-10-11T00:00:00"/>
    <x v="1"/>
    <d v="2022-10-11T00:00:00"/>
    <d v="2022-10-11T00:00:00"/>
    <n v="22026584"/>
    <n v="2235492"/>
    <n v="10013451851"/>
    <s v="SHASHI JAIN"/>
    <x v="45"/>
    <n v="451"/>
    <n v="4539"/>
    <n v="4539"/>
    <n v="0"/>
    <x v="0"/>
    <x v="6"/>
    <n v="1"/>
    <x v="13"/>
  </r>
  <r>
    <n v="797"/>
    <s v="GENERAL PATIENT"/>
    <d v="2022-10-11T00:00:00"/>
    <x v="1"/>
    <d v="2022-10-11T00:00:00"/>
    <d v="2022-10-11T00:00:00"/>
    <n v="22026589"/>
    <n v="2235488"/>
    <n v="1000891305"/>
    <s v="MRIDULA SUNEJA"/>
    <x v="73"/>
    <n v="286"/>
    <n v="2558"/>
    <n v="2558"/>
    <n v="0"/>
    <x v="0"/>
    <x v="6"/>
    <n v="1"/>
    <x v="13"/>
  </r>
  <r>
    <n v="798"/>
    <s v="GENERAL PATIENT"/>
    <d v="2022-10-21T00:00:00"/>
    <x v="1"/>
    <d v="2022-10-21T00:00:00"/>
    <d v="2022-10-21T00:00:00"/>
    <n v="22028017"/>
    <n v="2236900"/>
    <n v="10013460950"/>
    <s v="PREM CHAND"/>
    <x v="73"/>
    <n v="310"/>
    <n v="2534"/>
    <n v="2534"/>
    <n v="0"/>
    <x v="0"/>
    <x v="6"/>
    <n v="1"/>
    <x v="13"/>
  </r>
  <r>
    <n v="799"/>
    <s v="FHPL"/>
    <d v="2022-10-14T00:00:00"/>
    <x v="1"/>
    <d v="2022-10-15T00:00:00"/>
    <d v="2022-10-15T00:00:00"/>
    <n v="22027148"/>
    <n v="2235945"/>
    <n v="1001804304"/>
    <s v="ANIL MANGAL"/>
    <x v="491"/>
    <n v="0"/>
    <n v="202335"/>
    <n v="42750"/>
    <n v="159585"/>
    <x v="1"/>
    <x v="4"/>
    <n v="0.21128326784787604"/>
    <x v="4"/>
  </r>
  <r>
    <n v="800"/>
    <s v="GENERAL PATIENT"/>
    <d v="2022-10-17T00:00:00"/>
    <x v="1"/>
    <d v="2022-10-17T00:00:00"/>
    <d v="2022-10-17T00:00:00"/>
    <n v="22027389"/>
    <n v="2236302"/>
    <n v="1001561182"/>
    <s v="TAPATI CHATTERJEE"/>
    <x v="127"/>
    <n v="0"/>
    <n v="2680"/>
    <n v="2680"/>
    <n v="0"/>
    <x v="0"/>
    <x v="6"/>
    <n v="1"/>
    <x v="13"/>
  </r>
  <r>
    <n v="801"/>
    <s v="STAR HEALTH CARE  (CREDIT)"/>
    <d v="2022-10-23T00:00:00"/>
    <x v="1"/>
    <d v="2022-10-25T00:00:00"/>
    <d v="2022-10-25T00:00:00"/>
    <n v="22028524"/>
    <n v="2237166"/>
    <n v="1001789610"/>
    <s v="DEVENDER"/>
    <x v="492"/>
    <n v="6362"/>
    <n v="60659"/>
    <n v="7233"/>
    <n v="53426"/>
    <x v="1"/>
    <x v="4"/>
    <n v="0.11924034355990043"/>
    <x v="4"/>
  </r>
  <r>
    <n v="802"/>
    <s v="MEDI ASSIST"/>
    <d v="2022-10-27T00:00:00"/>
    <x v="1"/>
    <d v="2022-10-27T00:00:00"/>
    <d v="2022-10-27T00:00:00"/>
    <n v="22028791"/>
    <n v="2237635"/>
    <n v="1001206152"/>
    <s v="JITENDRA GARG"/>
    <x v="75"/>
    <n v="0"/>
    <n v="2200"/>
    <n v="440"/>
    <n v="1760"/>
    <x v="1"/>
    <x v="12"/>
    <n v="0.2"/>
    <x v="13"/>
  </r>
  <r>
    <n v="803"/>
    <s v="CGHS ( CREDIT)"/>
    <d v="2022-10-03T00:00:00"/>
    <x v="1"/>
    <d v="2022-10-13T00:00:00"/>
    <d v="2022-10-13T00:00:00"/>
    <n v="22026916"/>
    <n v="2234437"/>
    <n v="10013528640"/>
    <s v="CHAND ROOP"/>
    <x v="493"/>
    <n v="0"/>
    <n v="142657"/>
    <n v="18604"/>
    <n v="124053"/>
    <x v="1"/>
    <x v="1"/>
    <n v="0.13041070539826297"/>
    <x v="0"/>
  </r>
  <r>
    <n v="804"/>
    <s v="Good Health Plan Limited"/>
    <d v="2022-10-25T00:00:00"/>
    <x v="1"/>
    <d v="2022-10-25T00:00:00"/>
    <d v="2022-10-25T00:00:00"/>
    <n v="22028464"/>
    <n v="2237265"/>
    <n v="10013471499"/>
    <s v="MOHAN LAL KATARIA"/>
    <x v="75"/>
    <n v="0"/>
    <n v="2200"/>
    <n v="220"/>
    <n v="1980"/>
    <x v="1"/>
    <x v="12"/>
    <n v="0.1"/>
    <x v="13"/>
  </r>
  <r>
    <n v="805"/>
    <s v="GENERAL PATIENT"/>
    <d v="2022-10-26T00:00:00"/>
    <x v="1"/>
    <d v="2022-10-29T00:00:00"/>
    <d v="2022-10-29T00:00:00"/>
    <n v="22029042"/>
    <n v="2237455"/>
    <n v="10013544506"/>
    <s v="KELA DEVI"/>
    <x v="494"/>
    <n v="23329"/>
    <n v="63244"/>
    <n v="63244"/>
    <n v="0"/>
    <x v="0"/>
    <x v="7"/>
    <n v="1"/>
    <x v="0"/>
  </r>
  <r>
    <n v="806"/>
    <s v="MEDI ASSIST"/>
    <d v="2022-10-12T00:00:00"/>
    <x v="1"/>
    <d v="2022-10-13T00:00:00"/>
    <d v="2022-10-13T00:00:00"/>
    <n v="22026872"/>
    <n v="2235662"/>
    <n v="10013531684"/>
    <s v="BIRLA  SAPROO"/>
    <x v="495"/>
    <n v="0"/>
    <n v="41045"/>
    <n v="41045"/>
    <n v="0"/>
    <x v="0"/>
    <x v="3"/>
    <n v="1"/>
    <x v="15"/>
  </r>
  <r>
    <n v="807"/>
    <s v="NIVA BUPA"/>
    <d v="2022-10-09T00:00:00"/>
    <x v="1"/>
    <d v="2022-10-13T00:00:00"/>
    <d v="2022-10-13T00:00:00"/>
    <n v="22026858"/>
    <n v="2235273"/>
    <n v="1000932732"/>
    <s v="ROHIT"/>
    <x v="496"/>
    <n v="10566"/>
    <n v="98017"/>
    <n v="3898"/>
    <n v="94119"/>
    <x v="1"/>
    <x v="2"/>
    <n v="3.9768611567381165E-2"/>
    <x v="0"/>
  </r>
  <r>
    <n v="808"/>
    <s v="CARE HEALTH INSURANCE LIMITED"/>
    <d v="2022-10-12T00:00:00"/>
    <x v="1"/>
    <d v="2022-10-13T00:00:00"/>
    <d v="2022-10-13T00:00:00"/>
    <n v="22026912"/>
    <n v="2235649"/>
    <n v="10013542409"/>
    <s v="KAMNA"/>
    <x v="497"/>
    <n v="0"/>
    <n v="168386"/>
    <n v="1500"/>
    <n v="166886"/>
    <x v="1"/>
    <x v="2"/>
    <n v="8.9081039991448212E-3"/>
    <x v="16"/>
  </r>
  <r>
    <n v="809"/>
    <s v="DDA"/>
    <d v="2022-10-27T00:00:00"/>
    <x v="1"/>
    <d v="2022-10-27T00:00:00"/>
    <d v="2022-10-27T00:00:00"/>
    <n v="22028711"/>
    <n v="2237603"/>
    <n v="10013524248"/>
    <s v="KRISHNA DEVI"/>
    <x v="43"/>
    <n v="0"/>
    <n v="1610"/>
    <n v="1610"/>
    <n v="0"/>
    <x v="0"/>
    <x v="6"/>
    <n v="1"/>
    <x v="13"/>
  </r>
  <r>
    <n v="810"/>
    <s v="CARE HEALTH INSURANCE LIMITED"/>
    <d v="2022-10-20T00:00:00"/>
    <x v="1"/>
    <d v="2022-10-20T00:00:00"/>
    <d v="2022-10-20T00:00:00"/>
    <n v="22027882"/>
    <n v="2236744"/>
    <n v="1001442060"/>
    <s v="SIMRANPREET KAUR SANDHU"/>
    <x v="498"/>
    <n v="0"/>
    <n v="23760"/>
    <n v="1500"/>
    <n v="22260"/>
    <x v="1"/>
    <x v="6"/>
    <n v="6.3131313131313135E-2"/>
    <x v="1"/>
  </r>
  <r>
    <n v="811"/>
    <s v="Staff"/>
    <d v="2022-10-17T00:00:00"/>
    <x v="1"/>
    <d v="2022-10-21T00:00:00"/>
    <d v="2022-10-21T00:00:00"/>
    <n v="22028034"/>
    <n v="2236368"/>
    <n v="1001054526"/>
    <s v="KRISHAN KANT"/>
    <x v="499"/>
    <n v="42711"/>
    <n v="0"/>
    <n v="0"/>
    <n v="0"/>
    <x v="0"/>
    <x v="9"/>
    <e v="#DIV/0!"/>
    <x v="0"/>
  </r>
  <r>
    <n v="812"/>
    <s v="CGHS ( CREDIT)"/>
    <d v="2022-10-24T00:00:00"/>
    <x v="1"/>
    <d v="2022-10-29T00:00:00"/>
    <d v="2022-10-29T00:00:00"/>
    <n v="22029090"/>
    <n v="2237222"/>
    <n v="10013544288"/>
    <s v="PREM KISHORE"/>
    <x v="500"/>
    <n v="0"/>
    <n v="93959"/>
    <n v="1233"/>
    <n v="92726"/>
    <x v="1"/>
    <x v="1"/>
    <n v="1.3122745027086283E-2"/>
    <x v="0"/>
  </r>
  <r>
    <n v="813"/>
    <s v="STAFF"/>
    <d v="2022-10-29T00:00:00"/>
    <x v="1"/>
    <d v="2022-10-29T00:00:00"/>
    <d v="2022-10-29T00:00:00"/>
    <n v="22029133"/>
    <n v="2237942"/>
    <n v="1001374958"/>
    <s v="DEEPIKA"/>
    <x v="501"/>
    <n v="19568"/>
    <n v="0"/>
    <n v="0"/>
    <n v="0"/>
    <x v="0"/>
    <x v="6"/>
    <e v="#DIV/0!"/>
    <x v="1"/>
  </r>
  <r>
    <n v="814"/>
    <s v="STAR HEALTH CARE  (CREDIT)"/>
    <d v="2022-10-15T00:00:00"/>
    <x v="1"/>
    <d v="2022-10-21T00:00:00"/>
    <d v="2022-10-21T00:00:00"/>
    <n v="22028010"/>
    <n v="2236200"/>
    <n v="1001800022"/>
    <s v="SHARDA RANI CHADHA"/>
    <x v="502"/>
    <n v="5468"/>
    <n v="108477"/>
    <n v="71079"/>
    <n v="37398"/>
    <x v="1"/>
    <x v="2"/>
    <n v="0.65524489062197522"/>
    <x v="0"/>
  </r>
  <r>
    <n v="815"/>
    <s v="AIRPORT AUTHORITY OF INDIA"/>
    <d v="2022-10-09T00:00:00"/>
    <x v="1"/>
    <d v="2022-10-21T00:00:00"/>
    <d v="2022-10-21T00:00:00"/>
    <n v="22028078"/>
    <n v="2235307"/>
    <n v="10013542318"/>
    <s v="KAILASH DEVI"/>
    <x v="503"/>
    <n v="31305"/>
    <n v="382916"/>
    <n v="23014"/>
    <n v="359902"/>
    <x v="1"/>
    <x v="0"/>
    <n v="6.0101954475655237E-2"/>
    <x v="0"/>
  </r>
  <r>
    <n v="816"/>
    <s v="NIVA BUPA"/>
    <d v="2022-10-14T00:00:00"/>
    <x v="1"/>
    <d v="2022-10-14T00:00:00"/>
    <d v="2022-10-14T00:00:00"/>
    <n v="22027078"/>
    <n v="2235907"/>
    <n v="1000969357"/>
    <s v="NITU AGRAWAL"/>
    <x v="504"/>
    <n v="2792"/>
    <n v="25332"/>
    <n v="1500"/>
    <n v="23832"/>
    <x v="1"/>
    <x v="6"/>
    <n v="5.9213642823306489E-2"/>
    <x v="1"/>
  </r>
  <r>
    <n v="817"/>
    <s v=" CGHS Cash"/>
    <d v="2022-10-08T00:00:00"/>
    <x v="1"/>
    <d v="2022-10-08T00:00:00"/>
    <d v="2022-10-08T00:00:00"/>
    <n v="22026180"/>
    <n v="2235182"/>
    <n v="1001797549"/>
    <s v="ASHOK KUMAR"/>
    <x v="43"/>
    <n v="0"/>
    <n v="1610"/>
    <n v="1610"/>
    <n v="0"/>
    <x v="0"/>
    <x v="6"/>
    <n v="1"/>
    <x v="13"/>
  </r>
  <r>
    <n v="818"/>
    <s v="ICICI Lombard General Insurance"/>
    <d v="2022-10-05T00:00:00"/>
    <x v="1"/>
    <d v="2022-10-09T00:00:00"/>
    <d v="2022-10-09T00:00:00"/>
    <n v="22026264"/>
    <n v="2234667"/>
    <n v="10013541616"/>
    <s v="AMIT ARORA"/>
    <x v="505"/>
    <n v="1548"/>
    <n v="81485"/>
    <n v="14447"/>
    <n v="67038"/>
    <x v="1"/>
    <x v="1"/>
    <n v="0.17729643492667363"/>
    <x v="0"/>
  </r>
  <r>
    <n v="819"/>
    <s v="Health Insurance TPA of India Ltd."/>
    <d v="2022-10-27T00:00:00"/>
    <x v="1"/>
    <d v="2022-10-29T00:00:00"/>
    <d v="2022-10-29T00:00:00"/>
    <n v="22029074"/>
    <n v="2237723"/>
    <n v="10013358987"/>
    <s v="VANSHIKA"/>
    <x v="506"/>
    <n v="0"/>
    <n v="48760"/>
    <n v="1500"/>
    <n v="47260"/>
    <x v="1"/>
    <x v="2"/>
    <n v="3.0762920426579164E-2"/>
    <x v="3"/>
  </r>
  <r>
    <n v="820"/>
    <s v="CGHS ( CREDIT)"/>
    <d v="2022-10-27T00:00:00"/>
    <x v="1"/>
    <d v="2022-10-31T00:00:00"/>
    <d v="2022-10-31T00:00:00"/>
    <n v="22029322"/>
    <n v="2237665"/>
    <n v="10013544764"/>
    <s v="KHYATI PARASHAR"/>
    <x v="507"/>
    <n v="0"/>
    <n v="41508"/>
    <n v="520"/>
    <n v="40988"/>
    <x v="1"/>
    <x v="2"/>
    <n v="1.2527705502553724E-2"/>
    <x v="0"/>
  </r>
  <r>
    <n v="821"/>
    <s v=" RELIGARE HEALTH INSURANCE"/>
    <d v="2022-10-21T00:00:00"/>
    <x v="1"/>
    <d v="2022-10-23T00:00:00"/>
    <d v="2022-10-23T00:00:00"/>
    <n v="22028332"/>
    <n v="2236959"/>
    <n v="1001805675"/>
    <s v="RAJ RANI"/>
    <x v="508"/>
    <n v="0"/>
    <n v="43234"/>
    <n v="43234"/>
    <n v="0"/>
    <x v="0"/>
    <x v="1"/>
    <n v="1"/>
    <x v="4"/>
  </r>
  <r>
    <n v="822"/>
    <s v="GENERAL PATIENT"/>
    <d v="2022-10-27T00:00:00"/>
    <x v="1"/>
    <d v="2022-10-27T00:00:00"/>
    <d v="2022-10-27T00:00:00"/>
    <n v="22028821"/>
    <n v="2237689"/>
    <n v="10013518452"/>
    <s v="RAJESH WADHERA"/>
    <x v="45"/>
    <n v="415"/>
    <n v="4575"/>
    <n v="4575"/>
    <n v="0"/>
    <x v="0"/>
    <x v="6"/>
    <n v="1"/>
    <x v="13"/>
  </r>
  <r>
    <n v="823"/>
    <s v="GENERAL PATIENT"/>
    <d v="2022-10-14T00:00:00"/>
    <x v="1"/>
    <d v="2022-10-16T00:00:00"/>
    <d v="2022-10-16T00:00:00"/>
    <n v="22027314"/>
    <n v="2236023"/>
    <n v="1001804400"/>
    <s v="ISHA GOEL"/>
    <x v="509"/>
    <n v="8954"/>
    <n v="61094"/>
    <n v="61094"/>
    <n v="0"/>
    <x v="0"/>
    <x v="2"/>
    <n v="1"/>
    <x v="1"/>
  </r>
  <r>
    <n v="824"/>
    <s v=" SSYAMA CASH"/>
    <d v="2022-10-12T00:00:00"/>
    <x v="1"/>
    <d v="2022-10-12T00:00:00"/>
    <d v="2022-10-12T00:00:00"/>
    <n v="22026681"/>
    <n v="2235660"/>
    <n v="1001788579"/>
    <s v="JABBAR KHAN"/>
    <x v="49"/>
    <n v="0"/>
    <n v="2172"/>
    <n v="2172"/>
    <n v="0"/>
    <x v="0"/>
    <x v="6"/>
    <n v="1"/>
    <x v="13"/>
  </r>
  <r>
    <n v="825"/>
    <s v="DGHS (DELHI GOVT.)"/>
    <d v="2022-10-03T00:00:00"/>
    <x v="1"/>
    <d v="2022-10-16T00:00:00"/>
    <d v="2022-10-16T00:00:00"/>
    <n v="22027348"/>
    <n v="2234344"/>
    <n v="10013325906"/>
    <s v="SUDHA SHARMA"/>
    <x v="510"/>
    <n v="0"/>
    <n v="312875"/>
    <n v="5125"/>
    <n v="307750"/>
    <x v="1"/>
    <x v="2"/>
    <n v="1.6380343587694766E-2"/>
    <x v="0"/>
  </r>
  <r>
    <n v="826"/>
    <s v="GENERAL PATIENT"/>
    <d v="2022-10-03T00:00:00"/>
    <x v="1"/>
    <d v="2022-10-04T00:00:00"/>
    <d v="2022-10-04T00:00:00"/>
    <n v="22025502"/>
    <n v="2234379"/>
    <n v="1001802136"/>
    <s v="OMWATI"/>
    <x v="511"/>
    <n v="2660"/>
    <n v="62158"/>
    <n v="62158"/>
    <n v="0"/>
    <x v="0"/>
    <x v="1"/>
    <n v="1"/>
    <x v="4"/>
  </r>
  <r>
    <n v="827"/>
    <s v="FHPL-MAX BUPA"/>
    <d v="2022-10-03T00:00:00"/>
    <x v="1"/>
    <d v="2022-10-06T00:00:00"/>
    <d v="2022-10-06T00:00:00"/>
    <n v="22025870"/>
    <n v="2234405"/>
    <n v="1001802196"/>
    <s v="POONAM MALE BABY CHHABRA"/>
    <x v="512"/>
    <n v="0"/>
    <n v="15599"/>
    <n v="15599"/>
    <n v="0"/>
    <x v="0"/>
    <x v="0"/>
    <n v="1"/>
    <x v="3"/>
  </r>
  <r>
    <n v="828"/>
    <s v="VIPUL MED CORP PVT LTD"/>
    <d v="2022-10-02T00:00:00"/>
    <x v="1"/>
    <d v="2022-10-11T00:00:00"/>
    <d v="2022-10-11T00:00:00"/>
    <n v="22026503"/>
    <n v="2234336"/>
    <n v="10013541260"/>
    <s v="GHANSHYAM DASS BANSAL"/>
    <x v="513"/>
    <n v="39804"/>
    <n v="342291"/>
    <n v="34500"/>
    <n v="307791"/>
    <x v="1"/>
    <x v="3"/>
    <n v="0.10079143185184536"/>
    <x v="0"/>
  </r>
  <r>
    <n v="829"/>
    <s v="HARAYANA GOVT."/>
    <d v="2022-10-22T00:00:00"/>
    <x v="1"/>
    <d v="2022-10-22T00:00:00"/>
    <d v="2022-10-22T00:00:00"/>
    <n v="22028229"/>
    <n v="2237030"/>
    <n v="10013383005"/>
    <s v="AJIT SINGH"/>
    <x v="96"/>
    <n v="0"/>
    <n v="2064"/>
    <n v="2064"/>
    <n v="0"/>
    <x v="0"/>
    <x v="6"/>
    <n v="1"/>
    <x v="13"/>
  </r>
  <r>
    <n v="830"/>
    <s v="GENERAL PATIENT"/>
    <d v="2022-10-05T00:00:00"/>
    <x v="1"/>
    <d v="2022-10-06T00:00:00"/>
    <d v="2022-10-06T00:00:00"/>
    <n v="22025900"/>
    <n v="2234802"/>
    <n v="10013541682"/>
    <s v="RAJEEV"/>
    <x v="514"/>
    <n v="7013"/>
    <n v="41629"/>
    <n v="41629"/>
    <n v="0"/>
    <x v="0"/>
    <x v="1"/>
    <n v="1"/>
    <x v="4"/>
  </r>
  <r>
    <n v="831"/>
    <s v="HARAYANA GOVT."/>
    <d v="2022-10-26T00:00:00"/>
    <x v="1"/>
    <d v="2022-10-26T00:00:00"/>
    <d v="2022-10-26T00:00:00"/>
    <n v="22028704"/>
    <n v="2237564"/>
    <n v="1001439428"/>
    <s v="DR.S.P.SHARMA"/>
    <x v="99"/>
    <n v="0"/>
    <n v="2758"/>
    <n v="2758"/>
    <n v="0"/>
    <x v="0"/>
    <x v="6"/>
    <n v="1"/>
    <x v="13"/>
  </r>
  <r>
    <n v="832"/>
    <s v="CGHS"/>
    <d v="2022-10-26T00:00:00"/>
    <x v="1"/>
    <d v="2022-10-26T00:00:00"/>
    <d v="2022-10-26T00:00:00"/>
    <n v="22028594"/>
    <n v="2237447"/>
    <n v="10013401198"/>
    <s v="RAM KUMAR"/>
    <x v="43"/>
    <n v="0"/>
    <n v="1610"/>
    <n v="1610"/>
    <n v="0"/>
    <x v="0"/>
    <x v="6"/>
    <n v="1"/>
    <x v="13"/>
  </r>
  <r>
    <n v="833"/>
    <s v=" CGHS Cash"/>
    <d v="2022-10-06T00:00:00"/>
    <x v="1"/>
    <d v="2022-10-06T00:00:00"/>
    <d v="2022-10-06T00:00:00"/>
    <n v="22025825"/>
    <n v="2234828"/>
    <n v="1001755099"/>
    <s v="SUSHILA DEVI"/>
    <x v="43"/>
    <n v="0"/>
    <n v="1610"/>
    <n v="1610"/>
    <n v="0"/>
    <x v="0"/>
    <x v="6"/>
    <n v="1"/>
    <x v="13"/>
  </r>
  <r>
    <n v="834"/>
    <s v="TaTa Power DDL"/>
    <d v="2022-10-11T00:00:00"/>
    <x v="1"/>
    <d v="2022-10-13T00:00:00"/>
    <d v="2022-10-13T00:00:00"/>
    <n v="22026897"/>
    <n v="2235578"/>
    <n v="10013542584"/>
    <s v="BABITA JAIN"/>
    <x v="515"/>
    <n v="0"/>
    <n v="11555"/>
    <n v="302"/>
    <n v="11253"/>
    <x v="1"/>
    <x v="0"/>
    <n v="2.6135871916919084E-2"/>
    <x v="9"/>
  </r>
  <r>
    <n v="835"/>
    <s v="GOVT. OF NCT OF DELHI"/>
    <d v="2022-10-20T00:00:00"/>
    <x v="1"/>
    <d v="2022-10-20T00:00:00"/>
    <d v="2022-10-20T00:00:00"/>
    <n v="22027810"/>
    <n v="2236738"/>
    <n v="10013386841"/>
    <s v="LEELA DEVI"/>
    <x v="43"/>
    <n v="0"/>
    <n v="1610"/>
    <n v="1610"/>
    <n v="0"/>
    <x v="0"/>
    <x v="6"/>
    <n v="1"/>
    <x v="13"/>
  </r>
  <r>
    <n v="836"/>
    <s v="GENERAL PATIENT"/>
    <d v="2022-10-20T00:00:00"/>
    <x v="1"/>
    <d v="2022-10-20T00:00:00"/>
    <d v="2022-10-20T00:00:00"/>
    <n v="22027814"/>
    <n v="2236737"/>
    <n v="10013484177"/>
    <s v="R.S DUBEY"/>
    <x v="200"/>
    <n v="266"/>
    <n v="3555"/>
    <n v="3555"/>
    <n v="0"/>
    <x v="0"/>
    <x v="6"/>
    <n v="1"/>
    <x v="13"/>
  </r>
  <r>
    <n v="837"/>
    <s v="CGHS"/>
    <d v="2022-10-20T00:00:00"/>
    <x v="1"/>
    <d v="2022-10-20T00:00:00"/>
    <d v="2022-10-20T00:00:00"/>
    <n v="22027818"/>
    <n v="2236740"/>
    <n v="10013480632"/>
    <s v="MANJU GUPTA"/>
    <x v="43"/>
    <n v="0"/>
    <n v="1610"/>
    <n v="1610"/>
    <n v="0"/>
    <x v="0"/>
    <x v="6"/>
    <n v="1"/>
    <x v="13"/>
  </r>
  <r>
    <n v="838"/>
    <s v="GENERAL PATIENT"/>
    <d v="2022-10-20T00:00:00"/>
    <x v="1"/>
    <d v="2022-10-20T00:00:00"/>
    <d v="2022-10-20T00:00:00"/>
    <n v="22027821"/>
    <n v="2236727"/>
    <n v="1001542684"/>
    <s v="RAJEEV KUMAR GOEL"/>
    <x v="415"/>
    <n v="274"/>
    <n v="3392"/>
    <n v="3392"/>
    <n v="0"/>
    <x v="0"/>
    <x v="6"/>
    <n v="1"/>
    <x v="13"/>
  </r>
  <r>
    <n v="839"/>
    <s v="CGHS"/>
    <d v="2022-10-01T00:00:00"/>
    <x v="1"/>
    <d v="2022-10-01T00:00:00"/>
    <d v="2022-10-01T00:00:00"/>
    <n v="22025097"/>
    <n v="2234155"/>
    <n v="10013480632"/>
    <s v="MANJU GUPTA"/>
    <x v="43"/>
    <n v="0"/>
    <n v="1610"/>
    <n v="1610"/>
    <n v="0"/>
    <x v="0"/>
    <x v="6"/>
    <n v="1"/>
    <x v="13"/>
  </r>
  <r>
    <n v="840"/>
    <s v="Safeway Mediclaim Services Pvt. Ltd."/>
    <d v="2022-10-01T00:00:00"/>
    <x v="1"/>
    <d v="2022-10-01T00:00:00"/>
    <d v="2022-10-01T00:00:00"/>
    <n v="22025107"/>
    <n v="2234156"/>
    <n v="10013464572"/>
    <s v="NANAK CHAND JAIN"/>
    <x v="168"/>
    <n v="1067"/>
    <n v="3773"/>
    <n v="1573"/>
    <n v="2200"/>
    <x v="1"/>
    <x v="12"/>
    <n v="0.41690962099125367"/>
    <x v="13"/>
  </r>
  <r>
    <n v="841"/>
    <s v="Medvantage Insurance TPA Private Limited"/>
    <d v="2022-09-28T00:00:00"/>
    <x v="0"/>
    <d v="2022-10-02T00:00:00"/>
    <d v="2022-10-02T00:00:00"/>
    <n v="22025297"/>
    <n v="2233800"/>
    <n v="10013540648"/>
    <s v="KRISHNA RANI"/>
    <x v="516"/>
    <n v="2"/>
    <n v="70441"/>
    <n v="17081"/>
    <n v="53360"/>
    <x v="1"/>
    <x v="2"/>
    <n v="0.24248662000823384"/>
    <x v="0"/>
  </r>
  <r>
    <n v="842"/>
    <s v="Good Health Plan Limited"/>
    <d v="2022-10-07T00:00:00"/>
    <x v="1"/>
    <d v="2022-10-07T00:00:00"/>
    <d v="2022-10-07T00:00:00"/>
    <n v="22025981"/>
    <n v="2235015"/>
    <n v="10013471499"/>
    <s v="MOHAN LAL KATARIA"/>
    <x v="75"/>
    <n v="0"/>
    <n v="2200"/>
    <n v="220"/>
    <n v="1980"/>
    <x v="1"/>
    <x v="12"/>
    <n v="0.1"/>
    <x v="13"/>
  </r>
  <r>
    <n v="843"/>
    <s v="STAR HEALTH CARE  (CREDIT)"/>
    <d v="2022-10-29T00:00:00"/>
    <x v="1"/>
    <d v="2022-10-29T00:00:00"/>
    <d v="2022-10-29T00:00:00"/>
    <n v="22029164"/>
    <n v="2238030"/>
    <n v="10013545155"/>
    <s v="ASHISH GUPTA"/>
    <x v="16"/>
    <n v="0"/>
    <n v="0"/>
    <n v="0"/>
    <n v="0"/>
    <x v="0"/>
    <x v="1"/>
    <e v="#DIV/0!"/>
    <x v="0"/>
  </r>
  <r>
    <n v="844"/>
    <s v="MEDI ASSIST"/>
    <d v="2022-10-12T00:00:00"/>
    <x v="1"/>
    <d v="2022-10-12T00:00:00"/>
    <d v="2022-10-12T00:00:00"/>
    <n v="22026793"/>
    <n v="2235751"/>
    <n v="10013538474"/>
    <s v="RAM  VINAY MISHRA"/>
    <x v="75"/>
    <n v="0"/>
    <n v="2200"/>
    <n v="440"/>
    <n v="1760"/>
    <x v="1"/>
    <x v="12"/>
    <n v="0.2"/>
    <x v="13"/>
  </r>
  <r>
    <n v="845"/>
    <s v="GENERAL PATIENT"/>
    <d v="2022-10-15T00:00:00"/>
    <x v="1"/>
    <d v="2022-10-15T00:00:00"/>
    <d v="2022-10-15T00:00:00"/>
    <n v="22027178"/>
    <n v="2236107"/>
    <n v="1001308180"/>
    <s v="AJAY KUMAR"/>
    <x v="19"/>
    <n v="0"/>
    <n v="14000"/>
    <n v="14000"/>
    <n v="0"/>
    <x v="0"/>
    <x v="6"/>
    <n v="1"/>
    <x v="4"/>
  </r>
  <r>
    <n v="846"/>
    <s v="GENERAL PATIENT"/>
    <d v="2022-10-15T00:00:00"/>
    <x v="1"/>
    <d v="2022-10-17T00:00:00"/>
    <d v="2022-10-17T00:00:00"/>
    <n v="22027466"/>
    <n v="2236139"/>
    <n v="10013543169"/>
    <s v="RAJKUMARI GUPTA"/>
    <x v="517"/>
    <n v="0"/>
    <n v="185720"/>
    <n v="9500"/>
    <n v="176220"/>
    <x v="1"/>
    <x v="1"/>
    <n v="5.1152272237777296E-2"/>
    <x v="4"/>
  </r>
  <r>
    <n v="847"/>
    <s v="CGHS ( CREDIT)"/>
    <d v="2022-09-27T00:00:00"/>
    <x v="0"/>
    <d v="2022-10-04T00:00:00"/>
    <d v="2022-10-04T00:00:00"/>
    <n v="22025507"/>
    <n v="2233659"/>
    <n v="1001168698"/>
    <s v="DROPADI DEVI"/>
    <x v="518"/>
    <n v="0"/>
    <n v="73870"/>
    <n v="1836"/>
    <n v="72034"/>
    <x v="1"/>
    <x v="1"/>
    <n v="2.4854474076079599E-2"/>
    <x v="4"/>
  </r>
  <r>
    <n v="848"/>
    <s v="GENERAL PATIENT"/>
    <d v="2022-10-04T00:00:00"/>
    <x v="1"/>
    <d v="2022-10-09T00:00:00"/>
    <d v="2022-10-09T00:00:00"/>
    <n v="22026278"/>
    <n v="2234575"/>
    <n v="10013541252"/>
    <s v="SUMAN"/>
    <x v="519"/>
    <n v="65845"/>
    <n v="0"/>
    <n v="0"/>
    <n v="0"/>
    <x v="0"/>
    <x v="9"/>
    <e v="#DIV/0!"/>
    <x v="0"/>
  </r>
  <r>
    <n v="849"/>
    <s v="GENERAL PATIENT"/>
    <d v="2022-10-19T00:00:00"/>
    <x v="1"/>
    <d v="2022-10-19T00:00:00"/>
    <d v="2022-10-19T00:00:00"/>
    <n v="22027716"/>
    <n v="2236626"/>
    <n v="10013526375"/>
    <s v="BIRBHAN GARG"/>
    <x v="45"/>
    <n v="433"/>
    <n v="4557"/>
    <n v="4557"/>
    <n v="0"/>
    <x v="0"/>
    <x v="6"/>
    <n v="1"/>
    <x v="13"/>
  </r>
  <r>
    <n v="850"/>
    <s v="HARAYANA GOVT."/>
    <d v="2022-10-19T00:00:00"/>
    <x v="1"/>
    <d v="2022-10-19T00:00:00"/>
    <d v="2022-10-19T00:00:00"/>
    <n v="22027706"/>
    <n v="2236609"/>
    <n v="10013383005"/>
    <s v="AJIT SINGH"/>
    <x v="520"/>
    <n v="0"/>
    <n v="2949"/>
    <n v="2949"/>
    <n v="0"/>
    <x v="0"/>
    <x v="6"/>
    <n v="1"/>
    <x v="13"/>
  </r>
  <r>
    <n v="851"/>
    <s v="GENERAL PATIENT"/>
    <d v="2022-10-28T00:00:00"/>
    <x v="1"/>
    <d v="2022-10-28T00:00:00"/>
    <d v="2022-10-28T00:00:00"/>
    <n v="22028937"/>
    <n v="2237814"/>
    <n v="10013372212"/>
    <s v="V. K.  SURI"/>
    <x v="45"/>
    <n v="414"/>
    <n v="4576"/>
    <n v="4576"/>
    <n v="0"/>
    <x v="0"/>
    <x v="6"/>
    <n v="1"/>
    <x v="13"/>
  </r>
  <r>
    <n v="852"/>
    <s v="GENERAL PATIENT"/>
    <d v="2022-10-28T00:00:00"/>
    <x v="1"/>
    <d v="2022-10-28T00:00:00"/>
    <d v="2022-10-28T00:00:00"/>
    <n v="22028946"/>
    <n v="2237819"/>
    <n v="1000975940"/>
    <s v="PROMILA KANSAL"/>
    <x v="45"/>
    <n v="421"/>
    <n v="4569"/>
    <n v="4569"/>
    <n v="0"/>
    <x v="0"/>
    <x v="6"/>
    <n v="1"/>
    <x v="13"/>
  </r>
  <r>
    <n v="853"/>
    <s v="MEDI ASSIST"/>
    <d v="2022-10-21T00:00:00"/>
    <x v="1"/>
    <d v="2022-10-22T00:00:00"/>
    <d v="2022-10-22T00:00:00"/>
    <n v="22028153"/>
    <n v="2236878"/>
    <n v="10013538975"/>
    <s v="HITIKA ARORA"/>
    <x v="10"/>
    <n v="0"/>
    <n v="59250"/>
    <n v="1500"/>
    <n v="57750"/>
    <x v="1"/>
    <x v="3"/>
    <n v="2.5316455696202531E-2"/>
    <x v="11"/>
  </r>
  <r>
    <n v="854"/>
    <s v="VIDAL HEALTH INSURANCE LIMITED"/>
    <d v="2022-10-05T00:00:00"/>
    <x v="1"/>
    <d v="2022-10-06T00:00:00"/>
    <d v="2022-10-06T00:00:00"/>
    <n v="22025810"/>
    <n v="2234703"/>
    <n v="1001802539"/>
    <s v="VINOD KUMAR GHAI"/>
    <x v="491"/>
    <n v="0"/>
    <n v="202335"/>
    <n v="31625"/>
    <n v="170710"/>
    <x v="1"/>
    <x v="4"/>
    <n v="0.15630019522079719"/>
    <x v="4"/>
  </r>
  <r>
    <n v="855"/>
    <s v="DGHS (DELHI GOVT.)"/>
    <d v="2022-10-01T00:00:00"/>
    <x v="1"/>
    <d v="2022-10-02T00:00:00"/>
    <d v="2022-10-02T00:00:00"/>
    <n v="22025288"/>
    <n v="2234175"/>
    <n v="1000978180"/>
    <s v="PADMA SHARMA"/>
    <x v="521"/>
    <n v="0"/>
    <n v="179187"/>
    <n v="24420"/>
    <n v="154767"/>
    <x v="1"/>
    <x v="0"/>
    <n v="0.13628220797267659"/>
    <x v="4"/>
  </r>
  <r>
    <n v="856"/>
    <s v="STAR HEALTH CARE  (CREDIT)"/>
    <d v="2022-09-28T00:00:00"/>
    <x v="0"/>
    <d v="2022-10-02T00:00:00"/>
    <d v="2022-10-02T00:00:00"/>
    <n v="22025294"/>
    <n v="2233795"/>
    <n v="10013540666"/>
    <s v="KALPANA"/>
    <x v="522"/>
    <n v="7583"/>
    <n v="50370"/>
    <n v="3705"/>
    <n v="46665"/>
    <x v="1"/>
    <x v="1"/>
    <n v="7.3555687909469925E-2"/>
    <x v="0"/>
  </r>
  <r>
    <n v="857"/>
    <s v=" STAR HEALTH TPA"/>
    <d v="2022-10-07T00:00:00"/>
    <x v="1"/>
    <d v="2022-10-12T00:00:00"/>
    <d v="2022-10-12T00:00:00"/>
    <n v="22026707"/>
    <n v="2235042"/>
    <n v="1001803024"/>
    <s v="ADISHREE"/>
    <x v="523"/>
    <n v="5803"/>
    <n v="33370"/>
    <n v="2090"/>
    <n v="31280"/>
    <x v="1"/>
    <x v="0"/>
    <n v="6.2631105783637994E-2"/>
    <x v="3"/>
  </r>
  <r>
    <n v="858"/>
    <s v=" CGHS CREDIT"/>
    <d v="2022-10-18T00:00:00"/>
    <x v="1"/>
    <d v="2022-10-30T00:00:00"/>
    <d v="2022-10-30T00:00:00"/>
    <n v="22029217"/>
    <n v="2236561"/>
    <n v="1001805143"/>
    <s v="NISHA SHARMA"/>
    <x v="524"/>
    <n v="0"/>
    <n v="132428"/>
    <n v="4761"/>
    <n v="127667"/>
    <x v="1"/>
    <x v="0"/>
    <n v="3.5951611441689069E-2"/>
    <x v="0"/>
  </r>
  <r>
    <n v="859"/>
    <s v=" CGHS CREDIT"/>
    <d v="2022-10-15T00:00:00"/>
    <x v="1"/>
    <d v="2022-10-19T00:00:00"/>
    <d v="2022-10-19T00:00:00"/>
    <n v="22027708"/>
    <n v="2236073"/>
    <n v="1001804442"/>
    <s v="KISHORI DEVI"/>
    <x v="525"/>
    <n v="0"/>
    <n v="182169"/>
    <n v="24420"/>
    <n v="157749"/>
    <x v="1"/>
    <x v="0"/>
    <n v="0.1340513479241803"/>
    <x v="4"/>
  </r>
  <r>
    <n v="860"/>
    <s v=" DGEHS (CASH)"/>
    <d v="2022-10-17T00:00:00"/>
    <x v="1"/>
    <d v="2022-10-21T00:00:00"/>
    <d v="2022-10-21T00:00:00"/>
    <n v="22027999"/>
    <n v="2236339"/>
    <n v="1001801619"/>
    <s v="PINKI KUMARI"/>
    <x v="526"/>
    <n v="0"/>
    <n v="26789"/>
    <n v="26789"/>
    <n v="0"/>
    <x v="0"/>
    <x v="1"/>
    <n v="1"/>
    <x v="0"/>
  </r>
  <r>
    <n v="861"/>
    <s v="GOVT. OF NCT OF DELHI"/>
    <d v="2022-10-31T00:00:00"/>
    <x v="1"/>
    <d v="2022-10-31T00:00:00"/>
    <d v="2022-10-31T00:00:00"/>
    <n v="22029248"/>
    <n v="2238144"/>
    <n v="10013521425"/>
    <s v="MEHAR CHAND"/>
    <x v="43"/>
    <n v="0"/>
    <n v="1610"/>
    <n v="1610"/>
    <n v="0"/>
    <x v="0"/>
    <x v="6"/>
    <n v="1"/>
    <x v="13"/>
  </r>
  <r>
    <n v="862"/>
    <s v="GOVT. OF NCT OF DELHI"/>
    <d v="2022-10-31T00:00:00"/>
    <x v="1"/>
    <d v="2022-10-31T00:00:00"/>
    <d v="2022-10-31T00:00:00"/>
    <n v="22029247"/>
    <n v="2238146"/>
    <n v="10013537888"/>
    <s v="RASHMI"/>
    <x v="43"/>
    <n v="0"/>
    <n v="1610"/>
    <n v="1610"/>
    <n v="0"/>
    <x v="0"/>
    <x v="6"/>
    <n v="1"/>
    <x v="13"/>
  </r>
  <r>
    <n v="863"/>
    <s v="GENERAL PATIENT"/>
    <d v="2022-10-28T00:00:00"/>
    <x v="1"/>
    <d v="2022-10-28T00:00:00"/>
    <d v="2022-10-28T00:00:00"/>
    <n v="22028916"/>
    <n v="2237793"/>
    <n v="1001526280"/>
    <s v="TAPATI MITRA"/>
    <x v="64"/>
    <n v="0"/>
    <n v="3630"/>
    <n v="3630"/>
    <n v="0"/>
    <x v="0"/>
    <x v="6"/>
    <n v="1"/>
    <x v="13"/>
  </r>
  <r>
    <n v="864"/>
    <s v="MEDI ASSIST"/>
    <d v="2022-10-17T00:00:00"/>
    <x v="1"/>
    <d v="2022-10-17T00:00:00"/>
    <d v="2022-10-17T00:00:00"/>
    <n v="22027441"/>
    <n v="2236322"/>
    <n v="1000983811"/>
    <s v="LUXMI TRIVEDI"/>
    <x v="75"/>
    <n v="0"/>
    <n v="2200"/>
    <n v="440"/>
    <n v="1760"/>
    <x v="1"/>
    <x v="12"/>
    <n v="0.2"/>
    <x v="13"/>
  </r>
  <r>
    <n v="865"/>
    <s v="GENERAL PATIENT"/>
    <d v="2022-10-17T00:00:00"/>
    <x v="1"/>
    <d v="2022-10-17T00:00:00"/>
    <d v="2022-10-17T00:00:00"/>
    <n v="22027439"/>
    <n v="2236354"/>
    <n v="10013541901"/>
    <s v="PINKI DEVI"/>
    <x v="73"/>
    <n v="308"/>
    <n v="2536"/>
    <n v="2536"/>
    <n v="0"/>
    <x v="0"/>
    <x v="6"/>
    <n v="1"/>
    <x v="13"/>
  </r>
  <r>
    <n v="866"/>
    <s v="CGHS ( CREDIT)"/>
    <d v="2022-09-17T00:00:00"/>
    <x v="0"/>
    <d v="2022-10-25T00:00:00"/>
    <d v="2022-10-26T00:00:00"/>
    <n v="22028601"/>
    <n v="2232408"/>
    <n v="10013434143"/>
    <s v="DHARAM PAL"/>
    <x v="527"/>
    <n v="0"/>
    <n v="815915"/>
    <n v="28643"/>
    <n v="787272"/>
    <x v="1"/>
    <x v="1"/>
    <n v="3.5105372495909504E-2"/>
    <x v="0"/>
  </r>
  <r>
    <n v="867"/>
    <s v="GENERAL PATIENT"/>
    <d v="2022-10-18T00:00:00"/>
    <x v="1"/>
    <d v="2022-10-18T00:00:00"/>
    <d v="2022-10-18T00:00:00"/>
    <n v="22027605"/>
    <n v="2236465"/>
    <n v="10013543155"/>
    <s v="HARBIRI"/>
    <x v="528"/>
    <n v="43931"/>
    <n v="0"/>
    <n v="0"/>
    <n v="0"/>
    <x v="0"/>
    <x v="9"/>
    <e v="#DIV/0!"/>
    <x v="22"/>
  </r>
  <r>
    <n v="868"/>
    <s v="GENERAL PATIENT"/>
    <d v="2022-10-15T00:00:00"/>
    <x v="1"/>
    <d v="2022-10-15T00:00:00"/>
    <d v="2022-10-15T00:00:00"/>
    <n v="22027136"/>
    <n v="2236079"/>
    <n v="10013539422"/>
    <s v="NAVEEN KUMAR"/>
    <x v="59"/>
    <n v="290"/>
    <n v="3229"/>
    <n v="3229"/>
    <n v="0"/>
    <x v="0"/>
    <x v="6"/>
    <n v="1"/>
    <x v="13"/>
  </r>
  <r>
    <n v="869"/>
    <s v="HARAYANA GOVT."/>
    <d v="2022-10-28T00:00:00"/>
    <x v="1"/>
    <d v="2022-10-28T00:00:00"/>
    <d v="2022-10-28T00:00:00"/>
    <n v="22028846"/>
    <n v="2237753"/>
    <n v="10013461113"/>
    <s v="DHARMVEER SINGH"/>
    <x v="520"/>
    <n v="0"/>
    <n v="2949"/>
    <n v="2949"/>
    <n v="0"/>
    <x v="0"/>
    <x v="6"/>
    <n v="1"/>
    <x v="13"/>
  </r>
  <r>
    <n v="870"/>
    <s v="GENERAL PATIENT"/>
    <d v="2022-09-30T00:00:00"/>
    <x v="0"/>
    <d v="2022-10-02T00:00:00"/>
    <d v="2022-10-02T00:00:00"/>
    <n v="22025282"/>
    <n v="2234126"/>
    <n v="10013540375"/>
    <s v="MAM RAJ"/>
    <x v="529"/>
    <n v="37654"/>
    <n v="0"/>
    <n v="0"/>
    <n v="0"/>
    <x v="0"/>
    <x v="9"/>
    <e v="#DIV/0!"/>
    <x v="0"/>
  </r>
  <r>
    <n v="871"/>
    <s v="GENERAL PATIENT"/>
    <d v="2022-09-29T00:00:00"/>
    <x v="0"/>
    <d v="2022-10-02T00:00:00"/>
    <d v="2022-10-02T00:00:00"/>
    <n v="22025308"/>
    <n v="2233978"/>
    <n v="10013540885"/>
    <s v="SHAKUNTLA DEVI"/>
    <x v="530"/>
    <n v="54714"/>
    <n v="0"/>
    <n v="0"/>
    <n v="0"/>
    <x v="0"/>
    <x v="9"/>
    <e v="#DIV/0!"/>
    <x v="0"/>
  </r>
  <r>
    <n v="872"/>
    <s v=" CGHS Cash"/>
    <d v="2022-10-21T00:00:00"/>
    <x v="1"/>
    <d v="2022-10-21T00:00:00"/>
    <d v="2022-10-21T00:00:00"/>
    <n v="22028094"/>
    <n v="2236902"/>
    <n v="1001801617"/>
    <s v="KARISHMA YADAV"/>
    <x v="531"/>
    <n v="0"/>
    <n v="5356"/>
    <n v="5356"/>
    <n v="0"/>
    <x v="0"/>
    <x v="1"/>
    <n v="1"/>
    <x v="1"/>
  </r>
  <r>
    <n v="873"/>
    <s v="M.C.D"/>
    <d v="2022-09-30T00:00:00"/>
    <x v="0"/>
    <d v="2022-10-02T00:00:00"/>
    <d v="2022-10-02T00:00:00"/>
    <n v="22025325"/>
    <n v="2234008"/>
    <n v="10013522072"/>
    <s v="POOJA"/>
    <x v="405"/>
    <n v="0"/>
    <n v="14542"/>
    <n v="14542"/>
    <n v="0"/>
    <x v="0"/>
    <x v="1"/>
    <n v="1"/>
    <x v="1"/>
  </r>
  <r>
    <n v="874"/>
    <s v=" DGEHS (CASH)"/>
    <d v="2022-10-01T00:00:00"/>
    <x v="1"/>
    <d v="2022-10-01T00:00:00"/>
    <d v="2022-10-01T00:00:00"/>
    <n v="22025233"/>
    <n v="2234249"/>
    <n v="1001753780"/>
    <s v="DAU DAYAL VARSHNEY"/>
    <x v="137"/>
    <n v="0"/>
    <n v="2560"/>
    <n v="2560"/>
    <n v="0"/>
    <x v="0"/>
    <x v="6"/>
    <n v="1"/>
    <x v="13"/>
  </r>
  <r>
    <n v="875"/>
    <s v=" Paramount Health Services and Insurance TPA Pvt.Ltd."/>
    <d v="2022-10-01T00:00:00"/>
    <x v="1"/>
    <d v="2022-10-01T00:00:00"/>
    <d v="2022-10-01T00:00:00"/>
    <n v="22025225"/>
    <n v="2234229"/>
    <n v="1001658205"/>
    <s v="USHA SINGH"/>
    <x v="141"/>
    <n v="0"/>
    <n v="2950"/>
    <n v="295"/>
    <n v="2655"/>
    <x v="1"/>
    <x v="6"/>
    <n v="0.1"/>
    <x v="13"/>
  </r>
  <r>
    <n v="876"/>
    <s v=" CGHS CREDIT"/>
    <d v="2022-10-01T00:00:00"/>
    <x v="1"/>
    <d v="2022-10-07T00:00:00"/>
    <d v="2022-10-07T00:00:00"/>
    <n v="22025944"/>
    <n v="2234230"/>
    <n v="1001564592"/>
    <s v="ASHOK KUMAR"/>
    <x v="532"/>
    <n v="0"/>
    <n v="130988"/>
    <n v="1996"/>
    <n v="128992"/>
    <x v="1"/>
    <x v="0"/>
    <n v="1.5238037072098207E-2"/>
    <x v="0"/>
  </r>
  <r>
    <n v="877"/>
    <s v="GENERAL PATIENT"/>
    <d v="2022-10-25T00:00:00"/>
    <x v="1"/>
    <d v="2022-10-25T00:00:00"/>
    <d v="2022-10-25T00:00:00"/>
    <n v="22028486"/>
    <n v="2237288"/>
    <n v="10013451851"/>
    <s v="SHASHI JAIN"/>
    <x v="45"/>
    <n v="428"/>
    <n v="4562"/>
    <n v="4562"/>
    <n v="0"/>
    <x v="0"/>
    <x v="6"/>
    <n v="1"/>
    <x v="13"/>
  </r>
  <r>
    <n v="878"/>
    <s v=" CGHS Cash"/>
    <d v="2022-10-08T00:00:00"/>
    <x v="1"/>
    <d v="2022-10-08T00:00:00"/>
    <d v="2022-10-08T00:00:00"/>
    <n v="22026185"/>
    <n v="2235186"/>
    <n v="1001735831"/>
    <s v="MOHAN KUMARI BHATIA"/>
    <x v="137"/>
    <n v="0"/>
    <n v="2560"/>
    <n v="2560"/>
    <n v="0"/>
    <x v="0"/>
    <x v="6"/>
    <n v="1"/>
    <x v="13"/>
  </r>
  <r>
    <n v="879"/>
    <s v="PARK MED CLAIM LTD"/>
    <d v="2022-10-28T00:00:00"/>
    <x v="1"/>
    <d v="2022-10-28T00:00:00"/>
    <d v="2022-10-28T00:00:00"/>
    <n v="22028949"/>
    <n v="2237783"/>
    <n v="10013436915"/>
    <s v="USHA"/>
    <x v="75"/>
    <n v="0"/>
    <n v="2200"/>
    <n v="0"/>
    <n v="2200"/>
    <x v="1"/>
    <x v="12"/>
    <n v="0"/>
    <x v="13"/>
  </r>
  <r>
    <n v="880"/>
    <s v=" DAK DIALYSIS"/>
    <d v="2022-10-01T00:00:00"/>
    <x v="1"/>
    <d v="2022-10-01T00:00:00"/>
    <d v="2022-10-01T00:00:00"/>
    <n v="22025119"/>
    <n v="2234172"/>
    <n v="1001680001"/>
    <s v="BIPIN KUMAR"/>
    <x v="243"/>
    <n v="0"/>
    <n v="1274"/>
    <n v="0"/>
    <n v="1274"/>
    <x v="1"/>
    <x v="6"/>
    <n v="0"/>
    <x v="13"/>
  </r>
  <r>
    <n v="881"/>
    <s v="MD INDIA TPA PVT.LTD."/>
    <d v="2022-10-31T00:00:00"/>
    <x v="1"/>
    <d v="2022-10-31T00:00:00"/>
    <d v="2022-10-31T00:00:00"/>
    <n v="22029327"/>
    <n v="2238179"/>
    <n v="10013359873"/>
    <s v="ANAND KUMAR SINGHAL"/>
    <x v="75"/>
    <n v="0"/>
    <n v="2200"/>
    <n v="0"/>
    <n v="2200"/>
    <x v="1"/>
    <x v="12"/>
    <n v="0"/>
    <x v="13"/>
  </r>
  <r>
    <n v="882"/>
    <s v="Delhi Arogya kosh"/>
    <d v="2022-10-19T00:00:00"/>
    <x v="1"/>
    <d v="2022-10-19T00:00:00"/>
    <d v="2022-10-19T00:00:00"/>
    <n v="22027794"/>
    <n v="2236695"/>
    <n v="10013507516"/>
    <s v="AMIT NAGAR"/>
    <x v="243"/>
    <n v="0"/>
    <n v="1274"/>
    <n v="0"/>
    <n v="1274"/>
    <x v="1"/>
    <x v="6"/>
    <n v="0"/>
    <x v="13"/>
  </r>
  <r>
    <n v="883"/>
    <s v="Delhi Arogya kosh"/>
    <d v="2022-10-12T00:00:00"/>
    <x v="1"/>
    <d v="2022-10-12T00:00:00"/>
    <d v="2022-10-12T00:00:00"/>
    <n v="22026738"/>
    <n v="2235697"/>
    <n v="10013347178"/>
    <s v="BABITA"/>
    <x v="243"/>
    <n v="0"/>
    <n v="1274"/>
    <n v="0"/>
    <n v="1274"/>
    <x v="1"/>
    <x v="6"/>
    <n v="0"/>
    <x v="13"/>
  </r>
  <r>
    <n v="884"/>
    <s v="Health Insurance TPA of India Ltd."/>
    <d v="2022-10-01T00:00:00"/>
    <x v="1"/>
    <d v="2022-10-01T00:00:00"/>
    <d v="2022-10-01T00:00:00"/>
    <n v="22025195"/>
    <n v="2234212"/>
    <n v="1000947591"/>
    <s v="KULBHUSHAN AGGARWAL"/>
    <x v="75"/>
    <n v="0"/>
    <n v="2200"/>
    <n v="0"/>
    <n v="2200"/>
    <x v="1"/>
    <x v="12"/>
    <n v="0"/>
    <x v="13"/>
  </r>
  <r>
    <n v="885"/>
    <s v=" DELHI AROGYA KOSH"/>
    <d v="2022-10-21T00:00:00"/>
    <x v="1"/>
    <d v="2022-10-22T00:00:00"/>
    <d v="2022-10-22T00:00:00"/>
    <n v="22028224"/>
    <n v="2236910"/>
    <n v="1001805603"/>
    <s v="PUSHPA DEVI"/>
    <x v="533"/>
    <n v="0"/>
    <n v="28842"/>
    <n v="0"/>
    <n v="28842"/>
    <x v="1"/>
    <x v="1"/>
    <n v="0"/>
    <x v="11"/>
  </r>
  <r>
    <n v="886"/>
    <s v="Delhi Arogya kosh"/>
    <d v="2022-10-28T00:00:00"/>
    <x v="1"/>
    <d v="2022-10-28T00:00:00"/>
    <d v="2022-10-28T00:00:00"/>
    <n v="22028975"/>
    <n v="2237855"/>
    <n v="1001074266"/>
    <s v="VINAY JAIN"/>
    <x v="243"/>
    <n v="0"/>
    <n v="1274"/>
    <n v="0"/>
    <n v="1274"/>
    <x v="1"/>
    <x v="6"/>
    <n v="0"/>
    <x v="13"/>
  </r>
  <r>
    <n v="887"/>
    <s v=" ECHS CREDIT"/>
    <d v="2022-10-25T00:00:00"/>
    <x v="1"/>
    <d v="2022-10-25T00:00:00"/>
    <d v="2022-10-25T00:00:00"/>
    <n v="22028476"/>
    <n v="2237277"/>
    <n v="1001781083"/>
    <s v="MITHILESH KUMAR SRIVASTAVA"/>
    <x v="43"/>
    <n v="0"/>
    <n v="1610"/>
    <n v="0"/>
    <n v="1610"/>
    <x v="1"/>
    <x v="6"/>
    <n v="0"/>
    <x v="13"/>
  </r>
  <r>
    <n v="888"/>
    <s v=" CGHS CREDIT"/>
    <d v="2022-10-17T00:00:00"/>
    <x v="1"/>
    <d v="2022-10-17T00:00:00"/>
    <d v="2022-10-17T00:00:00"/>
    <n v="22027387"/>
    <n v="2236300"/>
    <n v="1001801530"/>
    <s v="UMA BISHT"/>
    <x v="43"/>
    <n v="0"/>
    <n v="1610"/>
    <n v="0"/>
    <n v="1610"/>
    <x v="1"/>
    <x v="6"/>
    <n v="0"/>
    <x v="13"/>
  </r>
  <r>
    <n v="889"/>
    <s v=" HEALTH INSURANCE TPA OF INDIA LTD"/>
    <d v="2022-10-19T00:00:00"/>
    <x v="1"/>
    <d v="2022-10-19T00:00:00"/>
    <d v="2022-10-19T00:00:00"/>
    <n v="22027778"/>
    <n v="2236672"/>
    <n v="1001445916"/>
    <s v="NAGENDER PATHAK"/>
    <x v="141"/>
    <n v="0"/>
    <n v="2950"/>
    <n v="0"/>
    <n v="2950"/>
    <x v="1"/>
    <x v="6"/>
    <n v="0"/>
    <x v="13"/>
  </r>
  <r>
    <n v="890"/>
    <s v="STAR HEALTH CARE  (CREDIT)"/>
    <d v="2022-10-01T00:00:00"/>
    <x v="1"/>
    <d v="2022-10-04T00:00:00"/>
    <d v="2022-10-04T00:00:00"/>
    <n v="22025538"/>
    <n v="2234266"/>
    <n v="1001801947"/>
    <s v="AMIT MITTAL"/>
    <x v="534"/>
    <n v="5868"/>
    <n v="316491"/>
    <n v="0"/>
    <n v="316491"/>
    <x v="1"/>
    <x v="2"/>
    <n v="0"/>
    <x v="4"/>
  </r>
  <r>
    <n v="891"/>
    <s v="Delhi Arogya kosh"/>
    <d v="2022-10-29T00:00:00"/>
    <x v="1"/>
    <d v="2022-10-29T00:00:00"/>
    <d v="2022-10-29T00:00:00"/>
    <n v="22029158"/>
    <n v="2238015"/>
    <n v="1001542371"/>
    <s v="USHA GAMBHIR"/>
    <x v="243"/>
    <n v="0"/>
    <n v="1274"/>
    <n v="0"/>
    <n v="1274"/>
    <x v="1"/>
    <x v="6"/>
    <n v="0"/>
    <x v="13"/>
  </r>
  <r>
    <n v="892"/>
    <s v=" CGHS CREDIT"/>
    <d v="2022-10-15T00:00:00"/>
    <x v="1"/>
    <d v="2022-10-15T00:00:00"/>
    <d v="2022-10-15T00:00:00"/>
    <n v="22027241"/>
    <n v="2236159"/>
    <n v="1001722362"/>
    <s v="PAWANA DEVI"/>
    <x v="43"/>
    <n v="0"/>
    <n v="1610"/>
    <n v="0"/>
    <n v="1610"/>
    <x v="1"/>
    <x v="6"/>
    <n v="0"/>
    <x v="13"/>
  </r>
  <r>
    <n v="893"/>
    <s v=" HEALTH INSURANCE TPA OF INDIA LTD"/>
    <d v="2022-10-22T00:00:00"/>
    <x v="1"/>
    <d v="2022-10-22T00:00:00"/>
    <d v="2022-10-22T00:00:00"/>
    <n v="22028276"/>
    <n v="2237083"/>
    <n v="1001445916"/>
    <s v="NAGENDER PATHAK"/>
    <x v="211"/>
    <n v="0"/>
    <n v="2000"/>
    <n v="0"/>
    <n v="2000"/>
    <x v="1"/>
    <x v="6"/>
    <n v="0"/>
    <x v="13"/>
  </r>
  <r>
    <n v="894"/>
    <s v=" CGHS CREDIT"/>
    <d v="2022-10-17T00:00:00"/>
    <x v="1"/>
    <d v="2022-10-17T00:00:00"/>
    <d v="2022-10-17T00:00:00"/>
    <n v="22027450"/>
    <n v="2236341"/>
    <n v="1001772963"/>
    <s v="RAVINDER VERMA"/>
    <x v="43"/>
    <n v="0"/>
    <n v="1610"/>
    <n v="0"/>
    <n v="1610"/>
    <x v="1"/>
    <x v="6"/>
    <n v="0"/>
    <x v="13"/>
  </r>
  <r>
    <n v="895"/>
    <s v=" DAK DIALYSIS"/>
    <d v="2022-10-19T00:00:00"/>
    <x v="1"/>
    <d v="2022-10-19T00:00:00"/>
    <d v="2022-10-19T00:00:00"/>
    <n v="22027768"/>
    <n v="2236660"/>
    <n v="1001767553"/>
    <s v="VIJAY SINGH NEGI"/>
    <x v="243"/>
    <n v="0"/>
    <n v="1274"/>
    <n v="0"/>
    <n v="1274"/>
    <x v="1"/>
    <x v="6"/>
    <n v="0"/>
    <x v="13"/>
  </r>
  <r>
    <n v="896"/>
    <s v=" DAK DIALYSIS"/>
    <d v="2022-10-12T00:00:00"/>
    <x v="1"/>
    <d v="2022-10-12T00:00:00"/>
    <d v="2022-10-12T00:00:00"/>
    <n v="22026798"/>
    <n v="2235739"/>
    <n v="1001767553"/>
    <s v="VIJAY SINGH NEGI"/>
    <x v="243"/>
    <n v="0"/>
    <n v="1274"/>
    <n v="0"/>
    <n v="1274"/>
    <x v="1"/>
    <x v="6"/>
    <n v="0"/>
    <x v="13"/>
  </r>
  <r>
    <n v="897"/>
    <s v="Delhi Arogya kosh"/>
    <d v="2022-10-28T00:00:00"/>
    <x v="1"/>
    <d v="2022-10-28T00:00:00"/>
    <d v="2022-10-28T00:00:00"/>
    <n v="22028977"/>
    <n v="2237852"/>
    <n v="10013276269"/>
    <s v="DAYA SHANKAR"/>
    <x v="243"/>
    <n v="0"/>
    <n v="1274"/>
    <n v="0"/>
    <n v="1274"/>
    <x v="1"/>
    <x v="6"/>
    <n v="0"/>
    <x v="13"/>
  </r>
  <r>
    <n v="898"/>
    <s v="CGHS ( CREDIT)"/>
    <d v="2022-10-26T00:00:00"/>
    <x v="1"/>
    <d v="2022-10-29T00:00:00"/>
    <d v="2022-10-29T00:00:00"/>
    <n v="22029096"/>
    <n v="2237425"/>
    <n v="1001135777"/>
    <s v="KAMLA DEVI"/>
    <x v="535"/>
    <n v="0"/>
    <n v="139358"/>
    <n v="0"/>
    <n v="139358"/>
    <x v="1"/>
    <x v="0"/>
    <n v="0"/>
    <x v="4"/>
  </r>
  <r>
    <n v="899"/>
    <s v="Delhi Arogya kosh"/>
    <d v="2022-10-01T00:00:00"/>
    <x v="1"/>
    <d v="2022-10-01T00:00:00"/>
    <d v="2022-10-01T00:00:00"/>
    <n v="22025258"/>
    <n v="2234282"/>
    <n v="10013528076"/>
    <s v="MANENDER DESHWAL"/>
    <x v="243"/>
    <n v="0"/>
    <n v="1274"/>
    <n v="0"/>
    <n v="1274"/>
    <x v="1"/>
    <x v="6"/>
    <n v="0"/>
    <x v="13"/>
  </r>
  <r>
    <n v="900"/>
    <s v="Delhi Arogya kosh"/>
    <d v="2022-10-29T00:00:00"/>
    <x v="1"/>
    <d v="2022-10-29T00:00:00"/>
    <d v="2022-10-29T00:00:00"/>
    <n v="22029169"/>
    <n v="2238045"/>
    <n v="10013453025"/>
    <s v="VIRENDER SINGH"/>
    <x v="243"/>
    <n v="0"/>
    <n v="1274"/>
    <n v="0"/>
    <n v="1274"/>
    <x v="1"/>
    <x v="6"/>
    <n v="0"/>
    <x v="13"/>
  </r>
  <r>
    <n v="901"/>
    <s v="Delhi Arogya kosh"/>
    <d v="2022-10-25T00:00:00"/>
    <x v="1"/>
    <d v="2022-10-25T00:00:00"/>
    <d v="2022-10-25T00:00:00"/>
    <n v="22028555"/>
    <n v="2237367"/>
    <n v="1001397167"/>
    <s v="SUNIL KUMAR AGGARWAL"/>
    <x v="243"/>
    <n v="0"/>
    <n v="1274"/>
    <n v="0"/>
    <n v="1274"/>
    <x v="1"/>
    <x v="6"/>
    <n v="0"/>
    <x v="13"/>
  </r>
  <r>
    <n v="902"/>
    <s v="Delhi Arogya kosh"/>
    <d v="2022-10-19T00:00:00"/>
    <x v="1"/>
    <d v="2022-10-19T00:00:00"/>
    <d v="2022-10-19T00:00:00"/>
    <n v="22027788"/>
    <n v="2236676"/>
    <n v="1001590721"/>
    <s v="MAMTA"/>
    <x v="243"/>
    <n v="0"/>
    <n v="1274"/>
    <n v="0"/>
    <n v="1274"/>
    <x v="1"/>
    <x v="6"/>
    <n v="0"/>
    <x v="13"/>
  </r>
  <r>
    <n v="903"/>
    <s v="VIPUL MED CORP PVT LTD"/>
    <d v="2022-10-29T00:00:00"/>
    <x v="1"/>
    <d v="2022-10-29T00:00:00"/>
    <d v="2022-10-29T00:00:00"/>
    <n v="22029154"/>
    <n v="2238010"/>
    <n v="10013519562"/>
    <s v="KAMLA SATI"/>
    <x v="75"/>
    <n v="0"/>
    <n v="2200"/>
    <n v="0"/>
    <n v="2200"/>
    <x v="1"/>
    <x v="12"/>
    <n v="0"/>
    <x v="13"/>
  </r>
  <r>
    <n v="904"/>
    <s v="Delhi Arogya kosh"/>
    <d v="2022-10-13T00:00:00"/>
    <x v="1"/>
    <d v="2022-10-13T00:00:00"/>
    <d v="2022-10-13T00:00:00"/>
    <n v="22026952"/>
    <n v="2235878"/>
    <n v="10013292990"/>
    <s v="SONU YADAV"/>
    <x v="243"/>
    <n v="0"/>
    <n v="1274"/>
    <n v="0"/>
    <n v="1274"/>
    <x v="1"/>
    <x v="6"/>
    <n v="0"/>
    <x v="13"/>
  </r>
  <r>
    <n v="905"/>
    <s v="Delhi Arogya kosh"/>
    <d v="2022-10-08T00:00:00"/>
    <x v="1"/>
    <d v="2022-10-08T00:00:00"/>
    <d v="2022-10-08T00:00:00"/>
    <n v="22026235"/>
    <n v="2235240"/>
    <n v="10013528076"/>
    <s v="MANENDER DESHWAL"/>
    <x v="243"/>
    <n v="0"/>
    <n v="1274"/>
    <n v="0"/>
    <n v="1274"/>
    <x v="1"/>
    <x v="6"/>
    <n v="0"/>
    <x v="13"/>
  </r>
  <r>
    <n v="906"/>
    <s v="ECHS"/>
    <d v="2022-10-19T00:00:00"/>
    <x v="1"/>
    <d v="2022-10-22T00:00:00"/>
    <d v="2022-10-22T00:00:00"/>
    <n v="22028230"/>
    <n v="2236573"/>
    <n v="1001027632"/>
    <s v="KAUSHALYA DEVI"/>
    <x v="536"/>
    <n v="0"/>
    <n v="153053"/>
    <n v="0"/>
    <n v="153053"/>
    <x v="1"/>
    <x v="1"/>
    <n v="0"/>
    <x v="4"/>
  </r>
  <r>
    <n v="907"/>
    <s v=" DAK DIALYSIS"/>
    <d v="2022-10-01T00:00:00"/>
    <x v="1"/>
    <d v="2022-10-01T00:00:00"/>
    <d v="2022-10-01T00:00:00"/>
    <n v="22025173"/>
    <n v="2234221"/>
    <n v="1001711925"/>
    <s v="SANJAY KUMAR"/>
    <x v="243"/>
    <n v="0"/>
    <n v="1274"/>
    <n v="0"/>
    <n v="1274"/>
    <x v="1"/>
    <x v="6"/>
    <n v="0"/>
    <x v="13"/>
  </r>
  <r>
    <n v="908"/>
    <s v="Delhi Arogya kosh"/>
    <d v="2022-10-17T00:00:00"/>
    <x v="1"/>
    <d v="2022-10-17T00:00:00"/>
    <d v="2022-10-17T00:00:00"/>
    <n v="22027382"/>
    <n v="2236287"/>
    <n v="10013435866"/>
    <s v="SUSHIL KUMAR AGGARWAL"/>
    <x v="243"/>
    <n v="0"/>
    <n v="1274"/>
    <n v="0"/>
    <n v="1274"/>
    <x v="1"/>
    <x v="6"/>
    <n v="0"/>
    <x v="13"/>
  </r>
  <r>
    <n v="909"/>
    <s v="Delhi Arogya kosh"/>
    <d v="2022-10-12T00:00:00"/>
    <x v="1"/>
    <d v="2022-10-12T00:00:00"/>
    <d v="2022-10-12T00:00:00"/>
    <n v="22026665"/>
    <n v="2235652"/>
    <n v="10013475917"/>
    <s v="meena srivastav"/>
    <x v="243"/>
    <n v="0"/>
    <n v="1274"/>
    <n v="0"/>
    <n v="1274"/>
    <x v="1"/>
    <x v="6"/>
    <n v="0"/>
    <x v="13"/>
  </r>
  <r>
    <n v="910"/>
    <s v="Delhi Arogya kosh"/>
    <d v="2022-10-12T00:00:00"/>
    <x v="1"/>
    <d v="2022-10-12T00:00:00"/>
    <d v="2022-10-12T00:00:00"/>
    <n v="22026785"/>
    <n v="2235742"/>
    <n v="10013506167"/>
    <s v="KETAN GOEL"/>
    <x v="243"/>
    <n v="0"/>
    <n v="1274"/>
    <n v="0"/>
    <n v="1274"/>
    <x v="1"/>
    <x v="6"/>
    <n v="0"/>
    <x v="13"/>
  </r>
  <r>
    <n v="911"/>
    <s v="VIPUL MED CORP PVT LTD"/>
    <d v="2022-10-05T00:00:00"/>
    <x v="1"/>
    <d v="2022-10-05T00:00:00"/>
    <d v="2022-10-05T00:00:00"/>
    <n v="22025770"/>
    <n v="2234754"/>
    <n v="10013519562"/>
    <s v="KAMLA SATI"/>
    <x v="75"/>
    <n v="0"/>
    <n v="2200"/>
    <n v="0"/>
    <n v="2200"/>
    <x v="1"/>
    <x v="12"/>
    <n v="0"/>
    <x v="13"/>
  </r>
  <r>
    <n v="912"/>
    <s v=" DAK DIALYSIS"/>
    <d v="2022-10-10T00:00:00"/>
    <x v="1"/>
    <d v="2022-10-10T00:00:00"/>
    <d v="2022-10-10T00:00:00"/>
    <n v="22026349"/>
    <n v="2235347"/>
    <n v="1001678600"/>
    <s v="RAKESH THAKUR"/>
    <x v="243"/>
    <n v="0"/>
    <n v="1274"/>
    <n v="0"/>
    <n v="1274"/>
    <x v="1"/>
    <x v="6"/>
    <n v="0"/>
    <x v="13"/>
  </r>
  <r>
    <n v="913"/>
    <s v="Health Insurance TPA of India Ltd."/>
    <d v="2022-10-20T00:00:00"/>
    <x v="1"/>
    <d v="2022-10-21T00:00:00"/>
    <d v="2022-10-21T00:00:00"/>
    <n v="22028048"/>
    <n v="2236779"/>
    <n v="1001191897"/>
    <s v="CHANDER BHAN GUPTA"/>
    <x v="537"/>
    <n v="2125"/>
    <n v="41855"/>
    <n v="0"/>
    <n v="41855"/>
    <x v="1"/>
    <x v="2"/>
    <n v="0"/>
    <x v="9"/>
  </r>
  <r>
    <n v="914"/>
    <s v="Delhi Arogya kosh"/>
    <d v="2022-10-03T00:00:00"/>
    <x v="1"/>
    <d v="2022-10-05T00:00:00"/>
    <d v="2022-10-06T00:00:00"/>
    <n v="22025888"/>
    <n v="2234467"/>
    <n v="1001802205"/>
    <s v="REKHA"/>
    <x v="538"/>
    <n v="0"/>
    <n v="99394"/>
    <n v="0"/>
    <n v="99394"/>
    <x v="1"/>
    <x v="15"/>
    <n v="0"/>
    <x v="4"/>
  </r>
  <r>
    <n v="915"/>
    <s v=" CGHS CREDIT"/>
    <d v="2022-10-24T00:00:00"/>
    <x v="1"/>
    <d v="2022-10-24T00:00:00"/>
    <d v="2022-10-24T00:00:00"/>
    <n v="22028419"/>
    <n v="2237212"/>
    <n v="1001777526"/>
    <s v="PRADEEP KUMAR MALIK"/>
    <x v="43"/>
    <n v="0"/>
    <n v="1610"/>
    <n v="0"/>
    <n v="1610"/>
    <x v="1"/>
    <x v="6"/>
    <n v="0"/>
    <x v="13"/>
  </r>
  <r>
    <n v="916"/>
    <s v="HDFC ERGO General Insurance Co. Ltd."/>
    <d v="2022-10-19T00:00:00"/>
    <x v="1"/>
    <d v="2022-10-19T00:00:00"/>
    <d v="2022-10-19T00:00:00"/>
    <n v="22027804"/>
    <n v="2236698"/>
    <n v="10013477952"/>
    <s v="NEEMA GOEL"/>
    <x v="254"/>
    <n v="0"/>
    <n v="2240"/>
    <n v="0"/>
    <n v="2240"/>
    <x v="1"/>
    <x v="6"/>
    <n v="0"/>
    <x v="13"/>
  </r>
  <r>
    <n v="917"/>
    <s v="Delhi Arogya kosh"/>
    <d v="2022-10-29T00:00:00"/>
    <x v="1"/>
    <d v="2022-10-29T00:00:00"/>
    <d v="2022-10-29T00:00:00"/>
    <n v="22029032"/>
    <n v="2237918"/>
    <n v="10013475917"/>
    <s v="meena srivastav"/>
    <x v="243"/>
    <n v="0"/>
    <n v="1274"/>
    <n v="0"/>
    <n v="1274"/>
    <x v="1"/>
    <x v="6"/>
    <n v="0"/>
    <x v="13"/>
  </r>
  <r>
    <n v="918"/>
    <s v="Paramount Health Services (TPA) Private Limited"/>
    <d v="2022-10-21T00:00:00"/>
    <x v="1"/>
    <d v="2022-10-22T00:00:00"/>
    <d v="2022-10-22T00:00:00"/>
    <n v="22028159"/>
    <n v="2236889"/>
    <n v="10013543924"/>
    <s v="HITESH GUPTA"/>
    <x v="539"/>
    <n v="1500"/>
    <n v="45475"/>
    <n v="0"/>
    <n v="45475"/>
    <x v="1"/>
    <x v="2"/>
    <n v="0"/>
    <x v="11"/>
  </r>
  <r>
    <n v="919"/>
    <s v=" RAKSHA TPA PVT.LTD."/>
    <d v="2022-10-27T00:00:00"/>
    <x v="1"/>
    <d v="2022-10-27T00:00:00"/>
    <d v="2022-10-27T00:00:00"/>
    <n v="22028772"/>
    <n v="2237650"/>
    <n v="1001689981"/>
    <s v="RITIKA SINGH"/>
    <x v="141"/>
    <n v="0"/>
    <n v="2950"/>
    <n v="0"/>
    <n v="2950"/>
    <x v="1"/>
    <x v="6"/>
    <n v="0"/>
    <x v="13"/>
  </r>
  <r>
    <n v="920"/>
    <s v=" CGHS CREDIT"/>
    <d v="2022-10-28T00:00:00"/>
    <x v="1"/>
    <d v="2022-10-28T00:00:00"/>
    <d v="2022-10-28T00:00:00"/>
    <n v="22028982"/>
    <n v="2237849"/>
    <n v="1001777526"/>
    <s v="PRADEEP KUMAR MALIK"/>
    <x v="43"/>
    <n v="0"/>
    <n v="1610"/>
    <n v="0"/>
    <n v="1610"/>
    <x v="1"/>
    <x v="6"/>
    <n v="0"/>
    <x v="13"/>
  </r>
  <r>
    <n v="921"/>
    <s v="Delhi Arogya kosh"/>
    <d v="2022-10-21T00:00:00"/>
    <x v="1"/>
    <d v="2022-10-21T00:00:00"/>
    <d v="2022-10-21T00:00:00"/>
    <n v="22028093"/>
    <n v="2236947"/>
    <n v="1001074266"/>
    <s v="VINAY JAIN"/>
    <x v="243"/>
    <n v="0"/>
    <n v="1274"/>
    <n v="0"/>
    <n v="1274"/>
    <x v="1"/>
    <x v="6"/>
    <n v="0"/>
    <x v="13"/>
  </r>
  <r>
    <n v="922"/>
    <s v=" ECHS CREDIT"/>
    <d v="2022-10-27T00:00:00"/>
    <x v="1"/>
    <d v="2022-10-27T00:00:00"/>
    <d v="2022-10-27T00:00:00"/>
    <n v="22028725"/>
    <n v="2237616"/>
    <n v="1001781083"/>
    <s v="MITHILESH KUMAR SRIVASTAVA"/>
    <x v="43"/>
    <n v="0"/>
    <n v="1610"/>
    <n v="0"/>
    <n v="1610"/>
    <x v="1"/>
    <x v="6"/>
    <n v="0"/>
    <x v="13"/>
  </r>
  <r>
    <n v="923"/>
    <s v=" CGHS CREDIT"/>
    <d v="2022-10-03T00:00:00"/>
    <x v="1"/>
    <d v="2022-10-03T00:00:00"/>
    <d v="2022-10-03T00:00:00"/>
    <n v="22025425"/>
    <n v="2234418"/>
    <n v="1001736024"/>
    <s v="RADHIKA"/>
    <x v="43"/>
    <n v="0"/>
    <n v="1610"/>
    <n v="0"/>
    <n v="1610"/>
    <x v="1"/>
    <x v="6"/>
    <n v="0"/>
    <x v="13"/>
  </r>
  <r>
    <n v="924"/>
    <s v="Safeway Mediclaim Services Pvt. Ltd."/>
    <d v="2022-10-22T00:00:00"/>
    <x v="1"/>
    <d v="2022-10-22T00:00:00"/>
    <d v="2022-10-22T00:00:00"/>
    <n v="22028246"/>
    <n v="2237029"/>
    <n v="1001684515"/>
    <s v="SHIV NARAYAN BANSAL"/>
    <x v="75"/>
    <n v="0"/>
    <n v="2200"/>
    <n v="0"/>
    <n v="2200"/>
    <x v="1"/>
    <x v="12"/>
    <n v="0"/>
    <x v="13"/>
  </r>
  <r>
    <n v="925"/>
    <s v="Heritage Health TPA Private Limited"/>
    <d v="2022-10-04T00:00:00"/>
    <x v="1"/>
    <d v="2022-10-04T00:00:00"/>
    <d v="2022-10-04T00:00:00"/>
    <n v="22025480"/>
    <n v="2234514"/>
    <n v="1001183341"/>
    <s v="KAMLESH JAIN"/>
    <x v="75"/>
    <n v="0"/>
    <n v="2200"/>
    <n v="0"/>
    <n v="2200"/>
    <x v="1"/>
    <x v="12"/>
    <n v="0"/>
    <x v="13"/>
  </r>
  <r>
    <n v="926"/>
    <s v="HEALTH INDIA"/>
    <d v="2022-10-17T00:00:00"/>
    <x v="1"/>
    <d v="2022-10-17T00:00:00"/>
    <d v="2022-10-17T00:00:00"/>
    <n v="22027473"/>
    <n v="2236306"/>
    <n v="1000880823"/>
    <s v="BANWARI LAL GUPTA"/>
    <x v="540"/>
    <n v="1500"/>
    <n v="37375"/>
    <n v="0"/>
    <n v="37375"/>
    <x v="1"/>
    <x v="12"/>
    <n v="0"/>
    <x v="22"/>
  </r>
  <r>
    <n v="927"/>
    <s v=" CGHS CREDIT"/>
    <d v="2022-10-22T00:00:00"/>
    <x v="1"/>
    <d v="2022-10-29T00:00:00"/>
    <d v="2022-10-29T00:00:00"/>
    <n v="22029031"/>
    <n v="2237082"/>
    <n v="1001800891"/>
    <s v="KAMLA ADHIKARI"/>
    <x v="541"/>
    <n v="0"/>
    <n v="47447"/>
    <n v="0"/>
    <n v="47447"/>
    <x v="1"/>
    <x v="0"/>
    <n v="0"/>
    <x v="0"/>
  </r>
  <r>
    <n v="928"/>
    <s v=" DAK DIALYSIS"/>
    <d v="2022-10-15T00:00:00"/>
    <x v="1"/>
    <d v="2022-10-15T00:00:00"/>
    <d v="2022-10-15T00:00:00"/>
    <n v="22027131"/>
    <n v="2236086"/>
    <n v="1001678600"/>
    <s v="RAKESH THAKUR"/>
    <x v="243"/>
    <n v="0"/>
    <n v="1274"/>
    <n v="0"/>
    <n v="1274"/>
    <x v="1"/>
    <x v="6"/>
    <n v="0"/>
    <x v="13"/>
  </r>
  <r>
    <n v="929"/>
    <s v="GOVT. OF NCT OF DELHI"/>
    <d v="2022-10-08T00:00:00"/>
    <x v="1"/>
    <d v="2022-10-08T00:00:00"/>
    <d v="2022-10-08T00:00:00"/>
    <n v="22026219"/>
    <n v="2235214"/>
    <n v="1000979923"/>
    <s v="SAROJ"/>
    <x v="43"/>
    <n v="0"/>
    <n v="1610"/>
    <n v="0"/>
    <n v="1610"/>
    <x v="1"/>
    <x v="6"/>
    <n v="0"/>
    <x v="13"/>
  </r>
  <r>
    <n v="930"/>
    <s v=" CGHS CREDIT"/>
    <d v="2022-10-12T00:00:00"/>
    <x v="1"/>
    <d v="2022-10-12T00:00:00"/>
    <d v="2022-10-12T00:00:00"/>
    <n v="22026772"/>
    <n v="2235714"/>
    <n v="1001729640"/>
    <s v="BRIJ MOHAN"/>
    <x v="43"/>
    <n v="0"/>
    <n v="1610"/>
    <n v="0"/>
    <n v="1610"/>
    <x v="1"/>
    <x v="6"/>
    <n v="0"/>
    <x v="13"/>
  </r>
  <r>
    <n v="931"/>
    <s v=" DAK DIALYSIS"/>
    <d v="2022-10-07T00:00:00"/>
    <x v="1"/>
    <d v="2022-10-07T00:00:00"/>
    <d v="2022-10-07T00:00:00"/>
    <n v="22025935"/>
    <n v="2234984"/>
    <n v="1001751950"/>
    <s v="GITANJALI MOHAPATRA"/>
    <x v="243"/>
    <n v="0"/>
    <n v="1274"/>
    <n v="0"/>
    <n v="1274"/>
    <x v="1"/>
    <x v="6"/>
    <n v="0"/>
    <x v="13"/>
  </r>
  <r>
    <n v="932"/>
    <s v="Delhi Arogya kosh"/>
    <d v="2022-10-14T00:00:00"/>
    <x v="1"/>
    <d v="2022-10-14T00:00:00"/>
    <d v="2022-10-14T00:00:00"/>
    <n v="22027099"/>
    <n v="2236015"/>
    <n v="1001074266"/>
    <s v="VINAY JAIN"/>
    <x v="243"/>
    <n v="0"/>
    <n v="1274"/>
    <n v="0"/>
    <n v="1274"/>
    <x v="1"/>
    <x v="6"/>
    <n v="0"/>
    <x v="13"/>
  </r>
  <r>
    <n v="933"/>
    <s v=" CGHS CREDIT"/>
    <d v="2022-10-21T00:00:00"/>
    <x v="1"/>
    <d v="2022-10-21T00:00:00"/>
    <d v="2022-10-21T00:00:00"/>
    <n v="22028065"/>
    <n v="2236921"/>
    <n v="1001736024"/>
    <s v="RADHIKA"/>
    <x v="43"/>
    <n v="0"/>
    <n v="1610"/>
    <n v="0"/>
    <n v="1610"/>
    <x v="1"/>
    <x v="6"/>
    <n v="0"/>
    <x v="13"/>
  </r>
  <r>
    <n v="934"/>
    <s v="STAR HEALTH CARE  (CREDIT)"/>
    <d v="2022-10-19T00:00:00"/>
    <x v="1"/>
    <d v="2022-10-22T00:00:00"/>
    <d v="2022-10-22T00:00:00"/>
    <n v="22028186"/>
    <n v="2236566"/>
    <n v="10013543482"/>
    <s v="YAAGIK GOEL"/>
    <x v="542"/>
    <n v="11543"/>
    <n v="72766"/>
    <n v="0"/>
    <n v="72766"/>
    <x v="1"/>
    <x v="10"/>
    <n v="0"/>
    <x v="0"/>
  </r>
  <r>
    <n v="935"/>
    <s v=" Council of Scientific and Industrial Research (CSIR)"/>
    <d v="2022-10-19T00:00:00"/>
    <x v="1"/>
    <d v="2022-10-19T00:00:00"/>
    <d v="2022-10-19T00:00:00"/>
    <n v="22027745"/>
    <n v="2236630"/>
    <n v="1001729640"/>
    <s v="BRIJ MOHAN"/>
    <x v="43"/>
    <n v="0"/>
    <n v="1610"/>
    <n v="0"/>
    <n v="1610"/>
    <x v="1"/>
    <x v="6"/>
    <n v="0"/>
    <x v="13"/>
  </r>
  <r>
    <n v="936"/>
    <s v="GENERAL PATIENT"/>
    <d v="2022-10-22T00:00:00"/>
    <x v="1"/>
    <d v="2022-10-25T00:00:00"/>
    <d v="2022-10-25T00:00:00"/>
    <n v="22028487"/>
    <n v="2237074"/>
    <n v="10013544177"/>
    <s v="ABHISHEK SINGH"/>
    <x v="543"/>
    <n v="18762"/>
    <n v="127908"/>
    <n v="0"/>
    <n v="127908"/>
    <x v="1"/>
    <x v="13"/>
    <n v="0"/>
    <x v="0"/>
  </r>
  <r>
    <n v="937"/>
    <s v="Delhi Arogya kosh"/>
    <d v="2022-10-17T00:00:00"/>
    <x v="1"/>
    <d v="2022-10-17T00:00:00"/>
    <d v="2022-10-17T00:00:00"/>
    <n v="22027379"/>
    <n v="2236289"/>
    <n v="1000899251"/>
    <s v="SURESH KUMAR"/>
    <x v="243"/>
    <n v="0"/>
    <n v="1274"/>
    <n v="0"/>
    <n v="1274"/>
    <x v="1"/>
    <x v="6"/>
    <n v="0"/>
    <x v="13"/>
  </r>
  <r>
    <n v="938"/>
    <s v="Delhi Arogya kosh"/>
    <d v="2022-10-23T00:00:00"/>
    <x v="1"/>
    <d v="2022-10-23T00:00:00"/>
    <d v="2022-10-23T00:00:00"/>
    <n v="22028411"/>
    <n v="2237198"/>
    <n v="1001237257"/>
    <s v="RAJPATI"/>
    <x v="243"/>
    <n v="0"/>
    <n v="1274"/>
    <n v="0"/>
    <n v="1274"/>
    <x v="1"/>
    <x v="6"/>
    <n v="0"/>
    <x v="13"/>
  </r>
  <r>
    <n v="939"/>
    <s v=" DAK DIALYSIS"/>
    <d v="2022-10-28T00:00:00"/>
    <x v="1"/>
    <d v="2022-10-28T00:00:00"/>
    <d v="2022-10-28T00:00:00"/>
    <n v="22028926"/>
    <n v="2237820"/>
    <n v="1001677731"/>
    <s v="HIMANSHU GOYAL"/>
    <x v="243"/>
    <n v="0"/>
    <n v="1274"/>
    <n v="0"/>
    <n v="1274"/>
    <x v="1"/>
    <x v="6"/>
    <n v="0"/>
    <x v="13"/>
  </r>
  <r>
    <n v="940"/>
    <s v="VIPUL MED CORP PVT LTD"/>
    <d v="2022-10-05T00:00:00"/>
    <x v="1"/>
    <d v="2022-10-05T00:00:00"/>
    <d v="2022-10-05T00:00:00"/>
    <n v="22025714"/>
    <n v="2234710"/>
    <n v="10013469159"/>
    <s v="ANITA NANGIA"/>
    <x v="75"/>
    <n v="0"/>
    <n v="2200"/>
    <n v="0"/>
    <n v="2200"/>
    <x v="1"/>
    <x v="12"/>
    <n v="0"/>
    <x v="13"/>
  </r>
  <r>
    <n v="941"/>
    <s v=" DAK DIALYSIS"/>
    <d v="2022-10-08T00:00:00"/>
    <x v="1"/>
    <d v="2022-10-08T00:00:00"/>
    <d v="2022-10-08T00:00:00"/>
    <n v="22026179"/>
    <n v="2235187"/>
    <n v="1001777331"/>
    <s v="RAVI KUMAR SINGH"/>
    <x v="243"/>
    <n v="0"/>
    <n v="1274"/>
    <n v="0"/>
    <n v="1274"/>
    <x v="1"/>
    <x v="6"/>
    <n v="0"/>
    <x v="13"/>
  </r>
  <r>
    <n v="942"/>
    <s v=" DAK DIALYSIS"/>
    <d v="2022-10-19T00:00:00"/>
    <x v="1"/>
    <d v="2022-10-19T00:00:00"/>
    <d v="2022-10-19T00:00:00"/>
    <n v="22027769"/>
    <n v="2236662"/>
    <n v="1001699417"/>
    <s v="T.THAMBAN"/>
    <x v="243"/>
    <n v="0"/>
    <n v="1274"/>
    <n v="0"/>
    <n v="1274"/>
    <x v="1"/>
    <x v="6"/>
    <n v="0"/>
    <x v="13"/>
  </r>
  <r>
    <n v="943"/>
    <s v="Delhi Arogya kosh"/>
    <d v="2022-10-23T00:00:00"/>
    <x v="1"/>
    <d v="2022-10-23T00:00:00"/>
    <d v="2022-10-23T00:00:00"/>
    <n v="22028409"/>
    <n v="2237196"/>
    <n v="10013437822"/>
    <s v="JOGINDER PAL"/>
    <x v="243"/>
    <n v="0"/>
    <n v="1274"/>
    <n v="0"/>
    <n v="1274"/>
    <x v="1"/>
    <x v="6"/>
    <n v="0"/>
    <x v="13"/>
  </r>
  <r>
    <n v="944"/>
    <s v=" DAK DIALYSIS"/>
    <d v="2022-10-04T00:00:00"/>
    <x v="1"/>
    <d v="2022-10-04T00:00:00"/>
    <d v="2022-10-04T00:00:00"/>
    <n v="22025494"/>
    <n v="2234507"/>
    <n v="1001751950"/>
    <s v="GITANJALI MOHAPATRA"/>
    <x v="243"/>
    <n v="0"/>
    <n v="1274"/>
    <n v="0"/>
    <n v="1274"/>
    <x v="1"/>
    <x v="6"/>
    <n v="0"/>
    <x v="13"/>
  </r>
  <r>
    <n v="945"/>
    <s v="Delhi Arogya kosh"/>
    <d v="2022-10-21T00:00:00"/>
    <x v="1"/>
    <d v="2022-10-21T00:00:00"/>
    <d v="2022-10-21T00:00:00"/>
    <n v="22028113"/>
    <n v="2236965"/>
    <n v="1000891355"/>
    <s v="PRAHLAD"/>
    <x v="243"/>
    <n v="0"/>
    <n v="1274"/>
    <n v="0"/>
    <n v="1274"/>
    <x v="1"/>
    <x v="6"/>
    <n v="0"/>
    <x v="13"/>
  </r>
  <r>
    <n v="946"/>
    <s v="CGHS ( CREDIT)"/>
    <d v="2022-10-05T00:00:00"/>
    <x v="1"/>
    <d v="2022-10-05T00:00:00"/>
    <d v="2022-10-05T00:00:00"/>
    <n v="22025646"/>
    <n v="2234686"/>
    <n v="10013373132"/>
    <s v="DEVI RANI"/>
    <x v="43"/>
    <n v="0"/>
    <n v="1610"/>
    <n v="0"/>
    <n v="1610"/>
    <x v="1"/>
    <x v="6"/>
    <n v="0"/>
    <x v="13"/>
  </r>
  <r>
    <n v="947"/>
    <s v="STAR HEALTH CARE  (CREDIT)"/>
    <d v="2022-10-04T00:00:00"/>
    <x v="1"/>
    <d v="2022-10-13T00:00:00"/>
    <d v="2022-10-13T00:00:00"/>
    <n v="22026915"/>
    <n v="2234494"/>
    <n v="10013541440"/>
    <s v="MUKESH KUMAR"/>
    <x v="544"/>
    <n v="33912"/>
    <n v="223327"/>
    <n v="0"/>
    <n v="223327"/>
    <x v="1"/>
    <x v="1"/>
    <n v="0"/>
    <x v="0"/>
  </r>
  <r>
    <n v="948"/>
    <s v="Delhi Arogya kosh"/>
    <d v="2022-10-29T00:00:00"/>
    <x v="1"/>
    <d v="2022-10-29T00:00:00"/>
    <d v="2022-10-29T00:00:00"/>
    <n v="22029159"/>
    <n v="2238016"/>
    <n v="10013506167"/>
    <s v="KETAN GOEL"/>
    <x v="243"/>
    <n v="0"/>
    <n v="1274"/>
    <n v="0"/>
    <n v="1274"/>
    <x v="1"/>
    <x v="6"/>
    <n v="0"/>
    <x v="13"/>
  </r>
  <r>
    <n v="949"/>
    <s v="VIPUL MED CORP PVT LTD"/>
    <d v="2022-10-27T00:00:00"/>
    <x v="1"/>
    <d v="2022-10-27T00:00:00"/>
    <d v="2022-10-27T00:00:00"/>
    <n v="22028789"/>
    <n v="2237639"/>
    <n v="10013469159"/>
    <s v="ANITA NANGIA"/>
    <x v="75"/>
    <n v="0"/>
    <n v="2200"/>
    <n v="0"/>
    <n v="2200"/>
    <x v="1"/>
    <x v="12"/>
    <n v="0"/>
    <x v="13"/>
  </r>
  <r>
    <n v="950"/>
    <s v="Delhi Arogya kosh"/>
    <d v="2022-10-18T00:00:00"/>
    <x v="1"/>
    <d v="2022-10-18T00:00:00"/>
    <d v="2022-10-18T00:00:00"/>
    <n v="22027639"/>
    <n v="2236550"/>
    <n v="10013316109"/>
    <s v="GAURAV PAWAR"/>
    <x v="243"/>
    <n v="0"/>
    <n v="1274"/>
    <n v="0"/>
    <n v="1274"/>
    <x v="1"/>
    <x v="6"/>
    <n v="0"/>
    <x v="13"/>
  </r>
  <r>
    <n v="951"/>
    <s v="Delhi Arogya kosh"/>
    <d v="2022-10-21T00:00:00"/>
    <x v="1"/>
    <d v="2022-10-21T00:00:00"/>
    <d v="2022-10-21T00:00:00"/>
    <n v="22028111"/>
    <n v="2236967"/>
    <n v="10013521329"/>
    <s v="KANTI"/>
    <x v="243"/>
    <n v="0"/>
    <n v="1274"/>
    <n v="0"/>
    <n v="1274"/>
    <x v="1"/>
    <x v="6"/>
    <n v="0"/>
    <x v="13"/>
  </r>
  <r>
    <n v="952"/>
    <s v="Delhi Arogya kosh"/>
    <d v="2022-10-06T00:00:00"/>
    <x v="1"/>
    <d v="2022-10-06T00:00:00"/>
    <d v="2022-10-06T00:00:00"/>
    <n v="22025906"/>
    <n v="2234919"/>
    <n v="1000961855"/>
    <s v="SHASHI BALA"/>
    <x v="243"/>
    <n v="0"/>
    <n v="1274"/>
    <n v="0"/>
    <n v="1274"/>
    <x v="1"/>
    <x v="6"/>
    <n v="0"/>
    <x v="13"/>
  </r>
  <r>
    <n v="953"/>
    <s v="Delhi Arogya kosh"/>
    <d v="2022-10-01T00:00:00"/>
    <x v="1"/>
    <d v="2022-10-01T00:00:00"/>
    <d v="2022-10-01T00:00:00"/>
    <n v="22025126"/>
    <n v="2234160"/>
    <n v="10013436995"/>
    <s v="URVASHI"/>
    <x v="243"/>
    <n v="0"/>
    <n v="1274"/>
    <n v="0"/>
    <n v="1274"/>
    <x v="1"/>
    <x v="6"/>
    <n v="0"/>
    <x v="13"/>
  </r>
  <r>
    <n v="954"/>
    <s v=" CGHS CREDIT"/>
    <d v="2022-10-17T00:00:00"/>
    <x v="1"/>
    <d v="2022-10-17T00:00:00"/>
    <d v="2022-10-17T00:00:00"/>
    <n v="22027482"/>
    <n v="2236394"/>
    <n v="1001777526"/>
    <s v="PRADEEP KUMAR MALIK"/>
    <x v="43"/>
    <n v="0"/>
    <n v="1610"/>
    <n v="0"/>
    <n v="1610"/>
    <x v="1"/>
    <x v="6"/>
    <n v="0"/>
    <x v="13"/>
  </r>
  <r>
    <n v="955"/>
    <s v="CGHS ( CREDIT)"/>
    <d v="2022-10-12T00:00:00"/>
    <x v="1"/>
    <d v="2022-10-12T00:00:00"/>
    <d v="2022-10-12T00:00:00"/>
    <n v="22026656"/>
    <n v="2235640"/>
    <n v="10013401847"/>
    <s v="TIRLOCHAN SINGH"/>
    <x v="43"/>
    <n v="0"/>
    <n v="1610"/>
    <n v="0"/>
    <n v="1610"/>
    <x v="1"/>
    <x v="6"/>
    <n v="0"/>
    <x v="13"/>
  </r>
  <r>
    <n v="956"/>
    <s v="Delhi Arogya kosh"/>
    <d v="2022-10-03T00:00:00"/>
    <x v="1"/>
    <d v="2022-10-03T00:00:00"/>
    <d v="2022-10-03T00:00:00"/>
    <n v="22025462"/>
    <n v="2234481"/>
    <n v="1001237257"/>
    <s v="RAJPATI"/>
    <x v="243"/>
    <n v="0"/>
    <n v="1274"/>
    <n v="0"/>
    <n v="1274"/>
    <x v="1"/>
    <x v="6"/>
    <n v="0"/>
    <x v="13"/>
  </r>
  <r>
    <n v="957"/>
    <s v="Delhi Arogya kosh"/>
    <d v="2022-10-25T00:00:00"/>
    <x v="1"/>
    <d v="2022-10-25T00:00:00"/>
    <d v="2022-10-25T00:00:00"/>
    <n v="22028549"/>
    <n v="2237369"/>
    <n v="1001082290"/>
    <s v="SUSHMA"/>
    <x v="243"/>
    <n v="0"/>
    <n v="1274"/>
    <n v="0"/>
    <n v="1274"/>
    <x v="1"/>
    <x v="6"/>
    <n v="0"/>
    <x v="13"/>
  </r>
  <r>
    <n v="958"/>
    <s v=" DAK DIALYSIS"/>
    <d v="2022-10-28T00:00:00"/>
    <x v="1"/>
    <d v="2022-10-28T00:00:00"/>
    <d v="2022-10-28T00:00:00"/>
    <n v="22028973"/>
    <n v="2237847"/>
    <n v="1001527101"/>
    <s v="SURENDER SHARMA"/>
    <x v="243"/>
    <n v="0"/>
    <n v="1274"/>
    <n v="0"/>
    <n v="1274"/>
    <x v="1"/>
    <x v="6"/>
    <n v="0"/>
    <x v="13"/>
  </r>
  <r>
    <n v="959"/>
    <s v="Delhi Arogya kosh"/>
    <d v="2022-10-15T00:00:00"/>
    <x v="1"/>
    <d v="2022-10-15T00:00:00"/>
    <d v="2022-10-15T00:00:00"/>
    <n v="22027273"/>
    <n v="2236188"/>
    <n v="10013453025"/>
    <s v="VIRENDER SINGH"/>
    <x v="243"/>
    <n v="0"/>
    <n v="1274"/>
    <n v="0"/>
    <n v="1274"/>
    <x v="1"/>
    <x v="6"/>
    <n v="0"/>
    <x v="13"/>
  </r>
  <r>
    <n v="960"/>
    <s v=" DAK DIALYSIS"/>
    <d v="2022-10-12T00:00:00"/>
    <x v="1"/>
    <d v="2022-10-12T00:00:00"/>
    <d v="2022-10-12T00:00:00"/>
    <n v="22026770"/>
    <n v="2235721"/>
    <n v="1001684202"/>
    <s v="RAM NIWAS"/>
    <x v="243"/>
    <n v="0"/>
    <n v="1274"/>
    <n v="0"/>
    <n v="1274"/>
    <x v="1"/>
    <x v="6"/>
    <n v="0"/>
    <x v="13"/>
  </r>
  <r>
    <n v="961"/>
    <s v=" CGHS CREDIT"/>
    <d v="2022-10-11T00:00:00"/>
    <x v="1"/>
    <d v="2022-10-11T00:00:00"/>
    <d v="2022-10-11T00:00:00"/>
    <n v="22026499"/>
    <n v="2235499"/>
    <n v="1001626180"/>
    <s v="KAMLA DEVI"/>
    <x v="43"/>
    <n v="0"/>
    <n v="1610"/>
    <n v="0"/>
    <n v="1610"/>
    <x v="1"/>
    <x v="6"/>
    <n v="0"/>
    <x v="13"/>
  </r>
  <r>
    <n v="962"/>
    <s v=" DAK DIALYSIS"/>
    <d v="2022-10-07T00:00:00"/>
    <x v="1"/>
    <d v="2022-10-07T00:00:00"/>
    <d v="2022-10-07T00:00:00"/>
    <n v="22026033"/>
    <n v="2235071"/>
    <n v="1001699417"/>
    <s v="T.THAMBAN"/>
    <x v="243"/>
    <n v="0"/>
    <n v="1274"/>
    <n v="0"/>
    <n v="1274"/>
    <x v="1"/>
    <x v="6"/>
    <n v="0"/>
    <x v="13"/>
  </r>
  <r>
    <n v="963"/>
    <s v="GOVT. OF NCT OF DELHI"/>
    <d v="2022-10-20T00:00:00"/>
    <x v="1"/>
    <d v="2022-10-20T00:00:00"/>
    <d v="2022-10-20T00:00:00"/>
    <n v="22027903"/>
    <n v="2236784"/>
    <n v="1000853411"/>
    <s v="SOMA"/>
    <x v="43"/>
    <n v="0"/>
    <n v="1610"/>
    <n v="0"/>
    <n v="1610"/>
    <x v="1"/>
    <x v="6"/>
    <n v="0"/>
    <x v="13"/>
  </r>
  <r>
    <n v="964"/>
    <s v="Delhi Arogya kosh"/>
    <d v="2022-10-10T00:00:00"/>
    <x v="1"/>
    <d v="2022-10-10T00:00:00"/>
    <d v="2022-10-10T00:00:00"/>
    <n v="22026486"/>
    <n v="2235457"/>
    <n v="1001004027"/>
    <s v="PARTAP SINGH"/>
    <x v="243"/>
    <n v="0"/>
    <n v="1274"/>
    <n v="0"/>
    <n v="1274"/>
    <x v="1"/>
    <x v="6"/>
    <n v="0"/>
    <x v="13"/>
  </r>
  <r>
    <n v="965"/>
    <s v="Delhi Arogya kosh"/>
    <d v="2022-10-27T00:00:00"/>
    <x v="1"/>
    <d v="2022-10-27T00:00:00"/>
    <d v="2022-10-27T00:00:00"/>
    <n v="22028830"/>
    <n v="2237699"/>
    <n v="10013299539"/>
    <s v="SATISH MALIK"/>
    <x v="243"/>
    <n v="0"/>
    <n v="1274"/>
    <n v="0"/>
    <n v="1274"/>
    <x v="1"/>
    <x v="6"/>
    <n v="0"/>
    <x v="13"/>
  </r>
  <r>
    <n v="966"/>
    <s v="Delhi Arogya kosh"/>
    <d v="2022-10-01T00:00:00"/>
    <x v="1"/>
    <d v="2022-10-01T00:00:00"/>
    <d v="2022-10-01T00:00:00"/>
    <n v="22025247"/>
    <n v="2234261"/>
    <n v="1001761745"/>
    <s v="SATYA PAL GOEL"/>
    <x v="243"/>
    <n v="0"/>
    <n v="1274"/>
    <n v="0"/>
    <n v="1274"/>
    <x v="1"/>
    <x v="6"/>
    <n v="0"/>
    <x v="13"/>
  </r>
  <r>
    <n v="967"/>
    <s v="STAR HEALTH CARE  (CREDIT)"/>
    <d v="2022-10-07T00:00:00"/>
    <x v="1"/>
    <d v="2022-10-10T00:00:00"/>
    <d v="2022-10-10T00:00:00"/>
    <n v="22026338"/>
    <n v="2235018"/>
    <n v="1001803063"/>
    <s v="YAKSHIT GUPTA"/>
    <x v="545"/>
    <n v="10868"/>
    <n v="65972"/>
    <n v="0"/>
    <n v="65972"/>
    <x v="1"/>
    <x v="1"/>
    <n v="0"/>
    <x v="3"/>
  </r>
  <r>
    <n v="968"/>
    <s v="CGHS ( CREDIT)"/>
    <d v="2022-10-17T00:00:00"/>
    <x v="1"/>
    <d v="2022-10-17T00:00:00"/>
    <d v="2022-10-17T00:00:00"/>
    <n v="22027492"/>
    <n v="2236380"/>
    <n v="10013442733"/>
    <s v="SAVITRI GOHLAN"/>
    <x v="43"/>
    <n v="0"/>
    <n v="1610"/>
    <n v="0"/>
    <n v="1610"/>
    <x v="1"/>
    <x v="6"/>
    <n v="0"/>
    <x v="13"/>
  </r>
  <r>
    <n v="969"/>
    <s v="Heritage Health TPA Private Limited"/>
    <d v="2022-10-11T00:00:00"/>
    <x v="1"/>
    <d v="2022-10-11T00:00:00"/>
    <d v="2022-10-11T00:00:00"/>
    <n v="22026569"/>
    <n v="2235498"/>
    <n v="1001183341"/>
    <s v="KAMLESH JAIN"/>
    <x v="75"/>
    <n v="0"/>
    <n v="2200"/>
    <n v="0"/>
    <n v="2200"/>
    <x v="1"/>
    <x v="12"/>
    <n v="0"/>
    <x v="13"/>
  </r>
  <r>
    <n v="970"/>
    <s v=" DAK DIALYSIS"/>
    <d v="2022-10-31T00:00:00"/>
    <x v="1"/>
    <d v="2022-10-31T00:00:00"/>
    <d v="2022-10-31T00:00:00"/>
    <n v="22029370"/>
    <n v="2238232"/>
    <n v="1001657236"/>
    <s v="RAM KUMAR SINGH"/>
    <x v="243"/>
    <n v="0"/>
    <n v="1274"/>
    <n v="0"/>
    <n v="1274"/>
    <x v="1"/>
    <x v="6"/>
    <n v="0"/>
    <x v="13"/>
  </r>
  <r>
    <n v="971"/>
    <s v="MEDI ASSIST"/>
    <d v="2022-10-25T00:00:00"/>
    <x v="1"/>
    <d v="2022-10-25T00:00:00"/>
    <d v="2022-10-25T00:00:00"/>
    <n v="22028498"/>
    <n v="2237313"/>
    <n v="10013511637"/>
    <s v="MANJU KOHLI"/>
    <x v="75"/>
    <n v="0"/>
    <n v="2200"/>
    <n v="0"/>
    <n v="2200"/>
    <x v="1"/>
    <x v="12"/>
    <n v="0"/>
    <x v="13"/>
  </r>
  <r>
    <n v="972"/>
    <s v="Delhi Arogya kosh"/>
    <d v="2022-10-15T00:00:00"/>
    <x v="1"/>
    <d v="2022-10-15T00:00:00"/>
    <d v="2022-10-15T00:00:00"/>
    <n v="22027269"/>
    <n v="2236192"/>
    <n v="10013370253"/>
    <s v="USHA RANI"/>
    <x v="243"/>
    <n v="0"/>
    <n v="1274"/>
    <n v="0"/>
    <n v="1274"/>
    <x v="1"/>
    <x v="6"/>
    <n v="0"/>
    <x v="13"/>
  </r>
  <r>
    <n v="973"/>
    <s v="Delhi Arogya kosh"/>
    <d v="2022-10-27T00:00:00"/>
    <x v="1"/>
    <d v="2022-10-27T00:00:00"/>
    <d v="2022-10-27T00:00:00"/>
    <n v="22028720"/>
    <n v="2237613"/>
    <n v="1000899251"/>
    <s v="SURESH KUMAR"/>
    <x v="243"/>
    <n v="0"/>
    <n v="1274"/>
    <n v="0"/>
    <n v="1274"/>
    <x v="1"/>
    <x v="6"/>
    <n v="0"/>
    <x v="13"/>
  </r>
  <r>
    <n v="974"/>
    <s v=" DAK DIALYSIS"/>
    <d v="2022-10-03T00:00:00"/>
    <x v="1"/>
    <d v="2022-10-03T00:00:00"/>
    <d v="2022-10-03T00:00:00"/>
    <n v="22025441"/>
    <n v="2234446"/>
    <n v="1001657236"/>
    <s v="RAM KUMAR SINGH"/>
    <x v="243"/>
    <n v="0"/>
    <n v="1274"/>
    <n v="0"/>
    <n v="1274"/>
    <x v="1"/>
    <x v="6"/>
    <n v="0"/>
    <x v="13"/>
  </r>
  <r>
    <n v="975"/>
    <s v=" DAK DIALYSIS"/>
    <d v="2022-10-24T00:00:00"/>
    <x v="1"/>
    <d v="2022-10-24T00:00:00"/>
    <d v="2022-10-24T00:00:00"/>
    <n v="22028422"/>
    <n v="2237216"/>
    <n v="1001367923"/>
    <s v="PRIYANKA KUMARI"/>
    <x v="243"/>
    <n v="0"/>
    <n v="1274"/>
    <n v="0"/>
    <n v="1274"/>
    <x v="1"/>
    <x v="6"/>
    <n v="0"/>
    <x v="13"/>
  </r>
  <r>
    <n v="976"/>
    <s v="PARK MED CLAIM LTD"/>
    <d v="2022-10-11T00:00:00"/>
    <x v="1"/>
    <d v="2022-10-11T00:00:00"/>
    <d v="2022-10-11T00:00:00"/>
    <n v="22026556"/>
    <n v="2235533"/>
    <n v="10013436915"/>
    <s v="USHA"/>
    <x v="75"/>
    <n v="0"/>
    <n v="2200"/>
    <n v="0"/>
    <n v="2200"/>
    <x v="1"/>
    <x v="12"/>
    <n v="0"/>
    <x v="13"/>
  </r>
  <r>
    <n v="977"/>
    <s v="Delhi Arogya kosh"/>
    <d v="2022-10-20T00:00:00"/>
    <x v="1"/>
    <d v="2022-10-20T00:00:00"/>
    <d v="2022-10-20T00:00:00"/>
    <n v="22027952"/>
    <n v="2236836"/>
    <n v="10013437822"/>
    <s v="JOGINDER PAL"/>
    <x v="243"/>
    <n v="0"/>
    <n v="1274"/>
    <n v="0"/>
    <n v="1274"/>
    <x v="1"/>
    <x v="6"/>
    <n v="0"/>
    <x v="13"/>
  </r>
  <r>
    <n v="978"/>
    <s v=" ECHS CREDIT"/>
    <d v="2022-10-20T00:00:00"/>
    <x v="1"/>
    <d v="2022-10-20T00:00:00"/>
    <d v="2022-10-20T00:00:00"/>
    <n v="22027816"/>
    <n v="2236733"/>
    <n v="1001781083"/>
    <s v="MITHILESH KUMAR SRIVASTAVA"/>
    <x v="43"/>
    <n v="0"/>
    <n v="1610"/>
    <n v="0"/>
    <n v="1610"/>
    <x v="1"/>
    <x v="6"/>
    <n v="0"/>
    <x v="13"/>
  </r>
  <r>
    <n v="979"/>
    <s v="CGHS ( CREDIT)"/>
    <d v="2022-10-27T00:00:00"/>
    <x v="1"/>
    <d v="2022-10-27T00:00:00"/>
    <d v="2022-10-27T00:00:00"/>
    <n v="22028832"/>
    <n v="2237702"/>
    <n v="10013442733"/>
    <s v="SAVITRI GOHLAN"/>
    <x v="43"/>
    <n v="0"/>
    <n v="1610"/>
    <n v="0"/>
    <n v="1610"/>
    <x v="1"/>
    <x v="6"/>
    <n v="0"/>
    <x v="13"/>
  </r>
  <r>
    <n v="980"/>
    <s v="Delhi Arogya kosh"/>
    <d v="2022-10-01T00:00:00"/>
    <x v="1"/>
    <d v="2022-10-01T00:00:00"/>
    <d v="2022-10-01T00:00:00"/>
    <n v="22025198"/>
    <n v="2234226"/>
    <n v="1000933464"/>
    <s v="SACHIN MITTAL"/>
    <x v="243"/>
    <n v="0"/>
    <n v="1274"/>
    <n v="0"/>
    <n v="1274"/>
    <x v="1"/>
    <x v="6"/>
    <n v="0"/>
    <x v="13"/>
  </r>
  <r>
    <n v="981"/>
    <s v=" DAK DIALYSIS"/>
    <d v="2022-10-17T00:00:00"/>
    <x v="1"/>
    <d v="2022-10-17T00:00:00"/>
    <d v="2022-10-17T00:00:00"/>
    <n v="22027373"/>
    <n v="2236304"/>
    <n v="1001680001"/>
    <s v="BIPIN KUMAR"/>
    <x v="243"/>
    <n v="0"/>
    <n v="1274"/>
    <n v="0"/>
    <n v="1274"/>
    <x v="1"/>
    <x v="6"/>
    <n v="0"/>
    <x v="13"/>
  </r>
  <r>
    <n v="982"/>
    <s v="Delhi Arogya kosh"/>
    <d v="2022-10-05T00:00:00"/>
    <x v="1"/>
    <d v="2022-10-05T00:00:00"/>
    <d v="2022-10-05T00:00:00"/>
    <n v="22025774"/>
    <n v="2234758"/>
    <n v="10013385641"/>
    <s v="KAMLESH MISHRA"/>
    <x v="243"/>
    <n v="0"/>
    <n v="1274"/>
    <n v="0"/>
    <n v="1274"/>
    <x v="1"/>
    <x v="6"/>
    <n v="0"/>
    <x v="13"/>
  </r>
  <r>
    <n v="983"/>
    <s v=" CGHS CREDIT"/>
    <d v="2022-10-10T00:00:00"/>
    <x v="1"/>
    <d v="2022-10-10T00:00:00"/>
    <d v="2022-10-10T00:00:00"/>
    <n v="22026430"/>
    <n v="2235394"/>
    <n v="1001692673"/>
    <s v="AMRIT PAL SHUKLA"/>
    <x v="43"/>
    <n v="0"/>
    <n v="1610"/>
    <n v="0"/>
    <n v="1610"/>
    <x v="1"/>
    <x v="6"/>
    <n v="0"/>
    <x v="13"/>
  </r>
  <r>
    <n v="984"/>
    <s v="DAK MLC"/>
    <d v="2022-10-21T00:00:00"/>
    <x v="1"/>
    <d v="2022-10-28T00:00:00"/>
    <d v="2022-10-28T00:00:00"/>
    <n v="22028962"/>
    <n v="2236854"/>
    <n v="1001107137"/>
    <s v="PRAMOD SHARMA"/>
    <x v="546"/>
    <n v="0"/>
    <n v="51728"/>
    <n v="0"/>
    <n v="51728"/>
    <x v="1"/>
    <x v="1"/>
    <n v="0"/>
    <x v="11"/>
  </r>
  <r>
    <n v="985"/>
    <s v=" STAR HEALTH TPA"/>
    <d v="2022-10-26T00:00:00"/>
    <x v="1"/>
    <d v="2022-10-27T00:00:00"/>
    <d v="2022-10-27T00:00:00"/>
    <n v="22028804"/>
    <n v="2237477"/>
    <n v="1001806290"/>
    <s v="RAM CHANDER"/>
    <x v="547"/>
    <n v="3163"/>
    <n v="34715"/>
    <n v="0"/>
    <n v="34715"/>
    <x v="1"/>
    <x v="2"/>
    <n v="0"/>
    <x v="11"/>
  </r>
  <r>
    <n v="986"/>
    <s v=" DAK DIALYSIS"/>
    <d v="2022-10-31T00:00:00"/>
    <x v="1"/>
    <d v="2022-10-31T00:00:00"/>
    <d v="2022-10-31T00:00:00"/>
    <n v="22029245"/>
    <n v="2238130"/>
    <n v="1001647517"/>
    <s v="RAJENDER PANDAY"/>
    <x v="243"/>
    <n v="0"/>
    <n v="1274"/>
    <n v="0"/>
    <n v="1274"/>
    <x v="1"/>
    <x v="6"/>
    <n v="0"/>
    <x v="13"/>
  </r>
  <r>
    <n v="987"/>
    <s v="DGHS (DELHI GOVT.)"/>
    <d v="2022-10-11T00:00:00"/>
    <x v="1"/>
    <d v="2022-10-11T00:00:00"/>
    <d v="2022-10-11T00:00:00"/>
    <n v="22026602"/>
    <n v="2235515"/>
    <n v="10013465058"/>
    <s v="GAURI SHANKAR BHARAJ"/>
    <x v="548"/>
    <n v="0"/>
    <n v="3105"/>
    <n v="0"/>
    <n v="3105"/>
    <x v="1"/>
    <x v="1"/>
    <n v="0"/>
    <x v="22"/>
  </r>
  <r>
    <n v="988"/>
    <s v=" CGHS CREDIT"/>
    <d v="2022-10-29T00:00:00"/>
    <x v="1"/>
    <d v="2022-10-29T00:00:00"/>
    <d v="2022-10-29T00:00:00"/>
    <n v="22029153"/>
    <n v="2238009"/>
    <n v="1001722362"/>
    <s v="PAWANA DEVI"/>
    <x v="43"/>
    <n v="0"/>
    <n v="1610"/>
    <n v="0"/>
    <n v="1610"/>
    <x v="1"/>
    <x v="6"/>
    <n v="0"/>
    <x v="13"/>
  </r>
  <r>
    <n v="989"/>
    <s v=" CGHS CREDIT"/>
    <d v="2022-10-29T00:00:00"/>
    <x v="1"/>
    <d v="2022-10-29T00:00:00"/>
    <d v="2022-10-29T00:00:00"/>
    <n v="22029011"/>
    <n v="2237936"/>
    <n v="1001626180"/>
    <s v="KAMLA DEVI"/>
    <x v="43"/>
    <n v="0"/>
    <n v="1610"/>
    <n v="0"/>
    <n v="1610"/>
    <x v="1"/>
    <x v="6"/>
    <n v="0"/>
    <x v="13"/>
  </r>
  <r>
    <n v="990"/>
    <s v="MD INDIA TPA PVT.LTD."/>
    <d v="2022-10-13T00:00:00"/>
    <x v="1"/>
    <d v="2022-10-13T00:00:00"/>
    <d v="2022-10-13T00:00:00"/>
    <n v="22026896"/>
    <n v="2235832"/>
    <n v="10013359873"/>
    <s v="ANAND KUMAR SINGHAL"/>
    <x v="75"/>
    <n v="0"/>
    <n v="2200"/>
    <n v="0"/>
    <n v="2200"/>
    <x v="1"/>
    <x v="12"/>
    <n v="0"/>
    <x v="13"/>
  </r>
  <r>
    <n v="991"/>
    <s v="HDFC ERGO General Insurance Co. Ltd."/>
    <d v="2022-10-04T00:00:00"/>
    <x v="1"/>
    <d v="2022-10-08T00:00:00"/>
    <d v="2022-10-08T00:00:00"/>
    <n v="22026109"/>
    <n v="2234633"/>
    <n v="10013391778"/>
    <s v="NITIN  GOEL"/>
    <x v="549"/>
    <n v="0"/>
    <n v="78693"/>
    <n v="0"/>
    <n v="78693"/>
    <x v="1"/>
    <x v="2"/>
    <n v="0"/>
    <x v="0"/>
  </r>
  <r>
    <n v="992"/>
    <s v=" CGHS CREDIT"/>
    <d v="2022-10-31T00:00:00"/>
    <x v="1"/>
    <d v="2022-10-31T00:00:00"/>
    <d v="2022-10-31T00:00:00"/>
    <n v="22029355"/>
    <n v="2238217"/>
    <n v="1001692673"/>
    <s v="AMRIT PAL SHUKLA"/>
    <x v="43"/>
    <n v="0"/>
    <n v="1610"/>
    <n v="0"/>
    <n v="1610"/>
    <x v="1"/>
    <x v="6"/>
    <n v="0"/>
    <x v="13"/>
  </r>
  <r>
    <n v="993"/>
    <s v="Delhi Arogya kosh"/>
    <d v="2022-10-08T00:00:00"/>
    <x v="1"/>
    <d v="2022-10-08T00:00:00"/>
    <d v="2022-10-08T00:00:00"/>
    <n v="22026216"/>
    <n v="2235208"/>
    <n v="1001761745"/>
    <s v="SATYA PAL GOEL"/>
    <x v="243"/>
    <n v="0"/>
    <n v="1274"/>
    <n v="0"/>
    <n v="1274"/>
    <x v="1"/>
    <x v="6"/>
    <n v="0"/>
    <x v="13"/>
  </r>
  <r>
    <n v="994"/>
    <s v="GENERAL PATIENT SELF (MAHT)"/>
    <d v="2022-10-08T00:00:00"/>
    <x v="1"/>
    <d v="2022-10-12T00:00:00"/>
    <d v="2022-10-12T00:00:00"/>
    <n v="22026758"/>
    <n v="2235226"/>
    <n v="1001155936"/>
    <s v="MAMTA GUPTA"/>
    <x v="550"/>
    <n v="0"/>
    <n v="44580"/>
    <n v="0"/>
    <n v="44580"/>
    <x v="1"/>
    <x v="2"/>
    <n v="0"/>
    <x v="0"/>
  </r>
  <r>
    <n v="995"/>
    <s v="VIPUL MED CORP PVT LTD"/>
    <d v="2022-10-19T00:00:00"/>
    <x v="1"/>
    <d v="2022-10-19T00:00:00"/>
    <d v="2022-10-19T00:00:00"/>
    <n v="22027785"/>
    <n v="2236670"/>
    <n v="10013519562"/>
    <s v="KAMLA SATI"/>
    <x v="75"/>
    <n v="0"/>
    <n v="2200"/>
    <n v="0"/>
    <n v="2200"/>
    <x v="1"/>
    <x v="12"/>
    <n v="0"/>
    <x v="13"/>
  </r>
  <r>
    <n v="996"/>
    <s v="DGHS (DELHI GOVT.)"/>
    <d v="2022-09-03T00:00:00"/>
    <x v="0"/>
    <d v="2022-10-20T00:00:00"/>
    <d v="2022-10-20T00:00:00"/>
    <n v="22027917"/>
    <n v="2230477"/>
    <n v="10013457169"/>
    <s v="SUNITA KAUR"/>
    <x v="551"/>
    <n v="0"/>
    <n v="660311"/>
    <n v="0"/>
    <n v="660311"/>
    <x v="1"/>
    <x v="1"/>
    <n v="0"/>
    <x v="0"/>
  </r>
  <r>
    <n v="997"/>
    <s v="Delhi Arogya kosh"/>
    <d v="2022-10-07T00:00:00"/>
    <x v="1"/>
    <d v="2022-10-07T00:00:00"/>
    <d v="2022-10-07T00:00:00"/>
    <n v="22026032"/>
    <n v="2235055"/>
    <n v="10013371134"/>
    <s v="RADHA GOEL"/>
    <x v="243"/>
    <n v="0"/>
    <n v="1274"/>
    <n v="0"/>
    <n v="1274"/>
    <x v="1"/>
    <x v="6"/>
    <n v="0"/>
    <x v="13"/>
  </r>
  <r>
    <n v="998"/>
    <s v=" DAK DIALYSIS"/>
    <d v="2022-10-03T00:00:00"/>
    <x v="1"/>
    <d v="2022-10-03T00:00:00"/>
    <d v="2022-10-03T00:00:00"/>
    <n v="22025446"/>
    <n v="2234452"/>
    <n v="1001699417"/>
    <s v="T.THAMBAN"/>
    <x v="243"/>
    <n v="0"/>
    <n v="1274"/>
    <n v="0"/>
    <n v="1274"/>
    <x v="1"/>
    <x v="6"/>
    <n v="0"/>
    <x v="13"/>
  </r>
  <r>
    <n v="999"/>
    <s v="GENERAL PATIENT"/>
    <d v="2022-10-22T00:00:00"/>
    <x v="1"/>
    <d v="2022-10-26T00:00:00"/>
    <d v="2022-10-26T00:00:00"/>
    <n v="22028605"/>
    <n v="2237049"/>
    <n v="10013544156"/>
    <s v="ABHISHEK GUPTA"/>
    <x v="552"/>
    <n v="8788"/>
    <n v="75875"/>
    <n v="0"/>
    <n v="75875"/>
    <x v="1"/>
    <x v="0"/>
    <n v="0"/>
    <x v="0"/>
  </r>
  <r>
    <n v="1000"/>
    <s v="Delhi Arogya kosh"/>
    <d v="2022-10-15T00:00:00"/>
    <x v="1"/>
    <d v="2022-10-15T00:00:00"/>
    <d v="2022-10-15T00:00:00"/>
    <n v="22027271"/>
    <n v="2236190"/>
    <n v="10013451090"/>
    <s v="MANJU SUNDRIYAL"/>
    <x v="243"/>
    <n v="0"/>
    <n v="1274"/>
    <n v="0"/>
    <n v="1274"/>
    <x v="1"/>
    <x v="6"/>
    <n v="0"/>
    <x v="13"/>
  </r>
  <r>
    <n v="1001"/>
    <s v="Health Insurance TPA of India Ltd."/>
    <d v="2022-10-26T00:00:00"/>
    <x v="1"/>
    <d v="2022-10-26T00:00:00"/>
    <d v="2022-10-26T00:00:00"/>
    <n v="22028632"/>
    <n v="2237494"/>
    <n v="1000947591"/>
    <s v="KULBHUSHAN AGGARWAL"/>
    <x v="75"/>
    <n v="0"/>
    <n v="2200"/>
    <n v="0"/>
    <n v="2200"/>
    <x v="1"/>
    <x v="12"/>
    <n v="0"/>
    <x v="13"/>
  </r>
  <r>
    <n v="1002"/>
    <s v=" HEALTH INSURANCE TPA OF INDIA LTD"/>
    <d v="2022-10-05T00:00:00"/>
    <x v="1"/>
    <d v="2022-10-05T00:00:00"/>
    <d v="2022-10-05T00:00:00"/>
    <n v="22025763"/>
    <n v="2234770"/>
    <n v="1001445916"/>
    <s v="NAGENDER PATHAK"/>
    <x v="211"/>
    <n v="0"/>
    <n v="2000"/>
    <n v="0"/>
    <n v="2000"/>
    <x v="1"/>
    <x v="12"/>
    <n v="0"/>
    <x v="13"/>
  </r>
  <r>
    <n v="1003"/>
    <s v=" DAK DIALYSIS"/>
    <d v="2022-10-08T00:00:00"/>
    <x v="1"/>
    <d v="2022-10-08T00:00:00"/>
    <d v="2022-10-08T00:00:00"/>
    <n v="22026071"/>
    <n v="2235129"/>
    <n v="1001666089"/>
    <s v="PRADEEP BISHT"/>
    <x v="243"/>
    <n v="0"/>
    <n v="1274"/>
    <n v="0"/>
    <n v="1274"/>
    <x v="1"/>
    <x v="6"/>
    <n v="0"/>
    <x v="13"/>
  </r>
  <r>
    <n v="1004"/>
    <s v="Delhi Arogya kosh"/>
    <d v="2022-10-12T00:00:00"/>
    <x v="1"/>
    <d v="2022-10-12T00:00:00"/>
    <d v="2022-10-12T00:00:00"/>
    <n v="22026784"/>
    <n v="2235740"/>
    <n v="1001542371"/>
    <s v="USHA GAMBHIR"/>
    <x v="243"/>
    <n v="0"/>
    <n v="1274"/>
    <n v="0"/>
    <n v="1274"/>
    <x v="1"/>
    <x v="6"/>
    <n v="0"/>
    <x v="13"/>
  </r>
  <r>
    <n v="1005"/>
    <s v="Delhi Arogya kosh"/>
    <d v="2022-10-22T00:00:00"/>
    <x v="1"/>
    <d v="2022-10-22T00:00:00"/>
    <d v="2022-10-22T00:00:00"/>
    <n v="22028281"/>
    <n v="2237059"/>
    <n v="10013241267"/>
    <s v="MANOJ KOHLI"/>
    <x v="243"/>
    <n v="0"/>
    <n v="1274"/>
    <n v="0"/>
    <n v="1274"/>
    <x v="1"/>
    <x v="6"/>
    <n v="0"/>
    <x v="13"/>
  </r>
  <r>
    <n v="1006"/>
    <s v=" CGHS CREDIT"/>
    <d v="2022-10-12T00:00:00"/>
    <x v="1"/>
    <d v="2022-10-12T00:00:00"/>
    <d v="2022-10-12T00:00:00"/>
    <n v="22026659"/>
    <n v="2235658"/>
    <n v="1001749543"/>
    <s v="DALEEP SINGH NEGI"/>
    <x v="43"/>
    <n v="0"/>
    <n v="1610"/>
    <n v="0"/>
    <n v="1610"/>
    <x v="1"/>
    <x v="6"/>
    <n v="0"/>
    <x v="13"/>
  </r>
  <r>
    <n v="1007"/>
    <s v=" DAK DIALYSIS"/>
    <d v="2022-10-25T00:00:00"/>
    <x v="1"/>
    <d v="2022-10-25T00:00:00"/>
    <d v="2022-10-25T00:00:00"/>
    <n v="22028543"/>
    <n v="2237382"/>
    <n v="1001648223"/>
    <s v="BRIJ LAL KORI"/>
    <x v="243"/>
    <n v="0"/>
    <n v="1274"/>
    <n v="0"/>
    <n v="1274"/>
    <x v="1"/>
    <x v="6"/>
    <n v="0"/>
    <x v="13"/>
  </r>
  <r>
    <n v="1008"/>
    <s v=" HEALTH INSURANCE TPA OF INDIA LTD"/>
    <d v="2022-10-26T00:00:00"/>
    <x v="1"/>
    <d v="2022-10-26T00:00:00"/>
    <d v="2022-10-26T00:00:00"/>
    <n v="22028676"/>
    <n v="2237542"/>
    <n v="1001445916"/>
    <s v="NAGENDER PATHAK"/>
    <x v="211"/>
    <n v="0"/>
    <n v="2000"/>
    <n v="0"/>
    <n v="2000"/>
    <x v="1"/>
    <x v="6"/>
    <n v="0"/>
    <x v="13"/>
  </r>
  <r>
    <n v="1009"/>
    <s v="Delhi Arogya kosh"/>
    <d v="2022-10-01T00:00:00"/>
    <x v="1"/>
    <d v="2022-10-01T00:00:00"/>
    <d v="2022-10-01T00:00:00"/>
    <n v="22025260"/>
    <n v="2234274"/>
    <n v="10013507516"/>
    <s v="AMIT NAGAR"/>
    <x v="243"/>
    <n v="0"/>
    <n v="1274"/>
    <n v="0"/>
    <n v="1274"/>
    <x v="1"/>
    <x v="6"/>
    <n v="0"/>
    <x v="13"/>
  </r>
  <r>
    <n v="1010"/>
    <s v=" ECHS CREDIT"/>
    <d v="2022-09-27T00:00:00"/>
    <x v="0"/>
    <d v="2022-10-04T00:00:00"/>
    <d v="2022-10-04T00:00:00"/>
    <n v="22025497"/>
    <n v="2233658"/>
    <n v="1001801105"/>
    <s v="LAKSHITA"/>
    <x v="553"/>
    <n v="0"/>
    <n v="29956"/>
    <n v="0"/>
    <n v="29956"/>
    <x v="1"/>
    <x v="0"/>
    <n v="0"/>
    <x v="0"/>
  </r>
  <r>
    <n v="1011"/>
    <s v="MEDI ASSIST"/>
    <d v="2022-10-31T00:00:00"/>
    <x v="1"/>
    <d v="2022-10-31T00:00:00"/>
    <d v="2022-10-31T00:00:00"/>
    <n v="22029363"/>
    <n v="2238161"/>
    <n v="1000937952"/>
    <s v="PUNAM JAIN"/>
    <x v="540"/>
    <n v="0"/>
    <n v="38875"/>
    <n v="0"/>
    <n v="38875"/>
    <x v="1"/>
    <x v="12"/>
    <n v="0"/>
    <x v="22"/>
  </r>
  <r>
    <n v="1012"/>
    <s v="MD INDIA TPA PVT.LTD."/>
    <d v="2022-10-20T00:00:00"/>
    <x v="1"/>
    <d v="2022-10-20T00:00:00"/>
    <d v="2022-10-20T00:00:00"/>
    <n v="22027905"/>
    <n v="2236785"/>
    <n v="10013359873"/>
    <s v="ANAND KUMAR SINGHAL"/>
    <x v="75"/>
    <n v="0"/>
    <n v="2200"/>
    <n v="0"/>
    <n v="2200"/>
    <x v="1"/>
    <x v="12"/>
    <n v="0"/>
    <x v="13"/>
  </r>
  <r>
    <n v="1013"/>
    <s v="Delhi Arogya kosh"/>
    <d v="2022-10-28T00:00:00"/>
    <x v="1"/>
    <d v="2022-10-28T00:00:00"/>
    <d v="2022-10-28T00:00:00"/>
    <n v="22028986"/>
    <n v="2237879"/>
    <n v="10013516483"/>
    <s v="CHANCHAL RANI"/>
    <x v="243"/>
    <n v="0"/>
    <n v="1274"/>
    <n v="0"/>
    <n v="1274"/>
    <x v="1"/>
    <x v="6"/>
    <n v="0"/>
    <x v="13"/>
  </r>
  <r>
    <n v="1014"/>
    <s v="Delhi Arogya kosh"/>
    <d v="2022-10-08T00:00:00"/>
    <x v="1"/>
    <d v="2022-10-08T00:00:00"/>
    <d v="2022-10-08T00:00:00"/>
    <n v="22026210"/>
    <n v="2235212"/>
    <n v="10013276269"/>
    <s v="DAYA SHANKAR"/>
    <x v="243"/>
    <n v="0"/>
    <n v="1274"/>
    <n v="0"/>
    <n v="1274"/>
    <x v="1"/>
    <x v="6"/>
    <n v="0"/>
    <x v="13"/>
  </r>
  <r>
    <n v="1015"/>
    <s v="Delhi Arogya kosh"/>
    <d v="2022-10-08T00:00:00"/>
    <x v="1"/>
    <d v="2022-10-08T00:00:00"/>
    <d v="2022-10-08T00:00:00"/>
    <n v="22026209"/>
    <n v="2235213"/>
    <n v="10013385641"/>
    <s v="KAMLESH MISHRA"/>
    <x v="243"/>
    <n v="0"/>
    <n v="1274"/>
    <n v="0"/>
    <n v="1274"/>
    <x v="1"/>
    <x v="6"/>
    <n v="0"/>
    <x v="13"/>
  </r>
  <r>
    <n v="1016"/>
    <s v=" DAK DIALYSIS"/>
    <d v="2022-10-01T00:00:00"/>
    <x v="1"/>
    <d v="2022-10-01T00:00:00"/>
    <d v="2022-10-01T00:00:00"/>
    <n v="22025124"/>
    <n v="2234174"/>
    <n v="1001666089"/>
    <s v="PRADEEP BISHT"/>
    <x v="243"/>
    <n v="0"/>
    <n v="1274"/>
    <n v="0"/>
    <n v="1274"/>
    <x v="1"/>
    <x v="6"/>
    <n v="0"/>
    <x v="13"/>
  </r>
  <r>
    <n v="1017"/>
    <s v="Delhi Arogya kosh"/>
    <d v="2022-10-05T00:00:00"/>
    <x v="1"/>
    <d v="2022-10-05T00:00:00"/>
    <d v="2022-10-05T00:00:00"/>
    <n v="22025785"/>
    <n v="2234786"/>
    <n v="1001188488"/>
    <s v="PARVEEN"/>
    <x v="243"/>
    <n v="0"/>
    <n v="1274"/>
    <n v="0"/>
    <n v="1274"/>
    <x v="1"/>
    <x v="6"/>
    <n v="0"/>
    <x v="13"/>
  </r>
  <r>
    <n v="1018"/>
    <s v="VIPUL MED CORP PVT LTD"/>
    <d v="2022-10-06T00:00:00"/>
    <x v="1"/>
    <d v="2022-10-06T00:00:00"/>
    <d v="2022-10-06T00:00:00"/>
    <n v="22025907"/>
    <n v="2234921"/>
    <n v="10013332282"/>
    <s v="SANGEETA"/>
    <x v="75"/>
    <n v="0"/>
    <n v="2200"/>
    <n v="0"/>
    <n v="2200"/>
    <x v="1"/>
    <x v="12"/>
    <n v="0"/>
    <x v="13"/>
  </r>
  <r>
    <n v="1019"/>
    <s v=" DAK DIALYSIS"/>
    <d v="2022-10-27T00:00:00"/>
    <x v="1"/>
    <d v="2022-10-27T00:00:00"/>
    <d v="2022-10-27T00:00:00"/>
    <n v="22028728"/>
    <n v="2237620"/>
    <n v="1001712791"/>
    <s v="PAWAN SINGH"/>
    <x v="243"/>
    <n v="0"/>
    <n v="1274"/>
    <n v="0"/>
    <n v="1274"/>
    <x v="1"/>
    <x v="6"/>
    <n v="0"/>
    <x v="13"/>
  </r>
  <r>
    <n v="1020"/>
    <s v="Delhi Arogya kosh"/>
    <d v="2022-10-26T00:00:00"/>
    <x v="1"/>
    <d v="2022-10-26T00:00:00"/>
    <d v="2022-10-26T00:00:00"/>
    <n v="22028650"/>
    <n v="2237496"/>
    <n v="1001542371"/>
    <s v="USHA GAMBHIR"/>
    <x v="243"/>
    <n v="0"/>
    <n v="1274"/>
    <n v="0"/>
    <n v="1274"/>
    <x v="1"/>
    <x v="6"/>
    <n v="0"/>
    <x v="13"/>
  </r>
  <r>
    <n v="1021"/>
    <s v=" ECHS CREDIT"/>
    <d v="2022-10-04T00:00:00"/>
    <x v="1"/>
    <d v="2022-10-04T00:00:00"/>
    <d v="2022-10-04T00:00:00"/>
    <n v="22025488"/>
    <n v="2234508"/>
    <n v="1001763340"/>
    <s v="ASHOK KUMAR"/>
    <x v="43"/>
    <n v="0"/>
    <n v="1610"/>
    <n v="0"/>
    <n v="1610"/>
    <x v="1"/>
    <x v="6"/>
    <n v="0"/>
    <x v="13"/>
  </r>
  <r>
    <n v="1022"/>
    <s v="Delhi Arogya kosh"/>
    <d v="2022-10-19T00:00:00"/>
    <x v="1"/>
    <d v="2022-10-19T00:00:00"/>
    <d v="2022-10-19T00:00:00"/>
    <n v="22027803"/>
    <n v="2236699"/>
    <n v="10013370253"/>
    <s v="USHA RANI"/>
    <x v="243"/>
    <n v="0"/>
    <n v="1274"/>
    <n v="0"/>
    <n v="1274"/>
    <x v="1"/>
    <x v="6"/>
    <n v="0"/>
    <x v="13"/>
  </r>
  <r>
    <n v="1023"/>
    <s v="GENERAL PATIENT (MAH)"/>
    <d v="2022-10-04T00:00:00"/>
    <x v="1"/>
    <d v="2022-10-12T00:00:00"/>
    <d v="2022-10-12T00:00:00"/>
    <n v="22026775"/>
    <n v="2234539"/>
    <n v="1001222299"/>
    <s v="BAL KISHAN AGGARWAL"/>
    <x v="554"/>
    <n v="240546"/>
    <n v="0"/>
    <n v="0"/>
    <n v="0"/>
    <x v="1"/>
    <x v="9"/>
    <e v="#DIV/0!"/>
    <x v="15"/>
  </r>
  <r>
    <n v="1024"/>
    <s v=" CGHS CREDIT"/>
    <d v="2022-10-28T00:00:00"/>
    <x v="1"/>
    <d v="2022-10-28T00:00:00"/>
    <d v="2022-10-28T00:00:00"/>
    <n v="22028920"/>
    <n v="2237809"/>
    <n v="1001681903"/>
    <s v="OM PRAKASH"/>
    <x v="43"/>
    <n v="0"/>
    <n v="1610"/>
    <n v="0"/>
    <n v="1610"/>
    <x v="1"/>
    <x v="6"/>
    <n v="0"/>
    <x v="13"/>
  </r>
  <r>
    <n v="1025"/>
    <s v=" DAK DIALYSIS"/>
    <d v="2022-10-22T00:00:00"/>
    <x v="1"/>
    <d v="2022-10-22T00:00:00"/>
    <d v="2022-10-22T00:00:00"/>
    <n v="22028147"/>
    <n v="2237002"/>
    <n v="1001666089"/>
    <s v="PRADEEP BISHT"/>
    <x v="243"/>
    <n v="0"/>
    <n v="1274"/>
    <n v="0"/>
    <n v="1274"/>
    <x v="1"/>
    <x v="6"/>
    <n v="0"/>
    <x v="13"/>
  </r>
  <r>
    <n v="1026"/>
    <s v=" DAK DIALYSIS"/>
    <d v="2022-10-04T00:00:00"/>
    <x v="1"/>
    <d v="2022-10-04T00:00:00"/>
    <d v="2022-10-04T00:00:00"/>
    <n v="22025605"/>
    <n v="2234607"/>
    <n v="1001677731"/>
    <s v="HIMANSHU GOYAL"/>
    <x v="243"/>
    <n v="0"/>
    <n v="1274"/>
    <n v="0"/>
    <n v="1274"/>
    <x v="1"/>
    <x v="6"/>
    <n v="0"/>
    <x v="13"/>
  </r>
  <r>
    <n v="1027"/>
    <s v="CGHS ( CREDIT)"/>
    <d v="2022-10-15T00:00:00"/>
    <x v="1"/>
    <d v="2022-10-15T00:00:00"/>
    <d v="2022-10-15T00:00:00"/>
    <n v="22027217"/>
    <n v="2236138"/>
    <n v="10013514225"/>
    <s v="PUSHPA ARORA"/>
    <x v="43"/>
    <n v="0"/>
    <n v="1610"/>
    <n v="0"/>
    <n v="1610"/>
    <x v="1"/>
    <x v="6"/>
    <n v="0"/>
    <x v="13"/>
  </r>
  <r>
    <n v="1028"/>
    <s v="CGHS ( CREDIT)"/>
    <d v="2022-10-04T00:00:00"/>
    <x v="1"/>
    <d v="2022-10-04T00:00:00"/>
    <d v="2022-10-04T00:00:00"/>
    <n v="22025623"/>
    <n v="2234549"/>
    <n v="10013453991"/>
    <s v="RAJENDER"/>
    <x v="43"/>
    <n v="0"/>
    <n v="1610"/>
    <n v="0"/>
    <n v="1610"/>
    <x v="1"/>
    <x v="6"/>
    <n v="0"/>
    <x v="13"/>
  </r>
  <r>
    <n v="1029"/>
    <s v=" DAK DIALYSIS"/>
    <d v="2022-10-11T00:00:00"/>
    <x v="1"/>
    <d v="2022-10-11T00:00:00"/>
    <d v="2022-10-11T00:00:00"/>
    <n v="22026632"/>
    <n v="2235571"/>
    <n v="1001648223"/>
    <s v="BRIJ LAL KORI"/>
    <x v="243"/>
    <n v="0"/>
    <n v="1274"/>
    <n v="0"/>
    <n v="1274"/>
    <x v="1"/>
    <x v="6"/>
    <n v="0"/>
    <x v="13"/>
  </r>
  <r>
    <n v="1030"/>
    <s v="Delhi Arogya kosh"/>
    <d v="2022-10-28T00:00:00"/>
    <x v="1"/>
    <d v="2022-10-28T00:00:00"/>
    <d v="2022-10-28T00:00:00"/>
    <n v="22028987"/>
    <n v="2237878"/>
    <n v="10013521329"/>
    <s v="KANTI"/>
    <x v="243"/>
    <n v="0"/>
    <n v="1274"/>
    <n v="0"/>
    <n v="1274"/>
    <x v="1"/>
    <x v="6"/>
    <n v="0"/>
    <x v="13"/>
  </r>
  <r>
    <n v="1031"/>
    <s v="VIPUL MED CORP PVT LTD"/>
    <d v="2022-10-22T00:00:00"/>
    <x v="1"/>
    <d v="2022-10-23T00:00:00"/>
    <d v="2022-10-23T00:00:00"/>
    <n v="22028414"/>
    <n v="2237084"/>
    <n v="10013418363"/>
    <s v="SUNITA"/>
    <x v="555"/>
    <n v="7753"/>
    <n v="47499"/>
    <n v="0"/>
    <n v="47499"/>
    <x v="1"/>
    <x v="4"/>
    <n v="0"/>
    <x v="4"/>
  </r>
  <r>
    <n v="1032"/>
    <s v="Delhi Arogya kosh"/>
    <d v="2022-10-27T00:00:00"/>
    <x v="1"/>
    <d v="2022-10-27T00:00:00"/>
    <d v="2022-10-27T00:00:00"/>
    <n v="22028828"/>
    <n v="2237694"/>
    <n v="1000891592"/>
    <s v="MANOJ"/>
    <x v="243"/>
    <n v="0"/>
    <n v="1274"/>
    <n v="0"/>
    <n v="1274"/>
    <x v="1"/>
    <x v="6"/>
    <n v="0"/>
    <x v="13"/>
  </r>
  <r>
    <n v="1033"/>
    <s v="Safeway Mediclaim Services Pvt. Ltd."/>
    <d v="2022-10-07T00:00:00"/>
    <x v="1"/>
    <d v="2022-10-07T00:00:00"/>
    <d v="2022-10-07T00:00:00"/>
    <n v="22025968"/>
    <n v="2235010"/>
    <n v="1001684515"/>
    <s v="SHIV NARAYAN BANSAL"/>
    <x v="75"/>
    <n v="0"/>
    <n v="2200"/>
    <n v="0"/>
    <n v="2200"/>
    <x v="1"/>
    <x v="12"/>
    <n v="0"/>
    <x v="13"/>
  </r>
  <r>
    <n v="1034"/>
    <s v="Delhi Arogya kosh"/>
    <d v="2022-10-22T00:00:00"/>
    <x v="1"/>
    <d v="2022-10-22T00:00:00"/>
    <d v="2022-10-22T00:00:00"/>
    <n v="22028265"/>
    <n v="2237068"/>
    <n v="10013422914"/>
    <s v="ANJUM"/>
    <x v="243"/>
    <n v="0"/>
    <n v="1274"/>
    <n v="0"/>
    <n v="1274"/>
    <x v="1"/>
    <x v="6"/>
    <n v="0"/>
    <x v="13"/>
  </r>
  <r>
    <n v="1035"/>
    <s v=" CGHS CREDIT"/>
    <d v="2022-10-06T00:00:00"/>
    <x v="1"/>
    <d v="2022-10-06T00:00:00"/>
    <d v="2022-10-06T00:00:00"/>
    <n v="22025891"/>
    <n v="2234896"/>
    <n v="1001772963"/>
    <s v="RAVINDER VERMA"/>
    <x v="43"/>
    <n v="0"/>
    <n v="1610"/>
    <n v="0"/>
    <n v="1610"/>
    <x v="1"/>
    <x v="6"/>
    <n v="0"/>
    <x v="13"/>
  </r>
  <r>
    <n v="1036"/>
    <s v="GENERAL PATIENT"/>
    <d v="2022-10-04T00:00:00"/>
    <x v="1"/>
    <d v="2022-10-11T00:00:00"/>
    <d v="2022-10-11T00:00:00"/>
    <n v="22026598"/>
    <n v="2234498"/>
    <n v="10013541450"/>
    <s v="SAROJ LAMBA"/>
    <x v="556"/>
    <n v="37274"/>
    <n v="145821"/>
    <n v="145821"/>
    <n v="0"/>
    <x v="0"/>
    <x v="1"/>
    <n v="1"/>
    <x v="0"/>
  </r>
  <r>
    <n v="1037"/>
    <s v="STAR HEALTH CARE  (CREDIT)"/>
    <d v="2022-10-04T00:00:00"/>
    <x v="1"/>
    <d v="2022-10-05T00:00:00"/>
    <d v="2022-10-05T00:00:00"/>
    <n v="22025661"/>
    <n v="2234533"/>
    <n v="1001302352"/>
    <s v="USHA SINGHAL"/>
    <x v="557"/>
    <n v="0"/>
    <n v="39178"/>
    <n v="11178"/>
    <n v="28000"/>
    <x v="1"/>
    <x v="1"/>
    <n v="0.28531318597171884"/>
    <x v="1"/>
  </r>
  <r>
    <n v="1038"/>
    <s v="MEDI ASSIST"/>
    <d v="2022-10-04T00:00:00"/>
    <x v="1"/>
    <d v="2022-10-06T00:00:00"/>
    <d v="2022-10-06T00:00:00"/>
    <n v="22025876"/>
    <n v="2234561"/>
    <n v="1001802400"/>
    <s v="SHUBHA MALE BABY  CHHABRA"/>
    <x v="558"/>
    <n v="0"/>
    <n v="5195"/>
    <n v="5195"/>
    <n v="0"/>
    <x v="0"/>
    <x v="5"/>
    <n v="1"/>
    <x v="3"/>
  </r>
  <r>
    <n v="1039"/>
    <s v="ECHS"/>
    <d v="2022-10-16T00:00:00"/>
    <x v="1"/>
    <d v="2022-10-17T00:00:00"/>
    <d v="2022-10-17T00:00:00"/>
    <n v="22027464"/>
    <n v="2236221"/>
    <n v="1001804640"/>
    <s v="RAJ SINGH CHHIKARA"/>
    <x v="559"/>
    <n v="0"/>
    <n v="177472"/>
    <n v="24420"/>
    <n v="153052"/>
    <x v="1"/>
    <x v="1"/>
    <n v="0.13759917057338622"/>
    <x v="4"/>
  </r>
  <r>
    <n v="1040"/>
    <s v="CGHS"/>
    <d v="2022-10-17T00:00:00"/>
    <x v="1"/>
    <d v="2022-10-19T00:00:00"/>
    <d v="2022-10-19T00:00:00"/>
    <n v="22027670"/>
    <n v="2236369"/>
    <n v="10013543435"/>
    <s v="PINKY"/>
    <x v="560"/>
    <n v="0"/>
    <n v="37156"/>
    <n v="37156"/>
    <n v="0"/>
    <x v="0"/>
    <x v="2"/>
    <n v="1"/>
    <x v="11"/>
  </r>
  <r>
    <n v="1041"/>
    <s v="GENERAL PATIENT"/>
    <d v="2022-10-28T00:00:00"/>
    <x v="1"/>
    <d v="2022-10-31T00:00:00"/>
    <d v="2022-10-31T00:00:00"/>
    <n v="22029305"/>
    <n v="2237892"/>
    <n v="10013544990"/>
    <s v="JAGMOHAN"/>
    <x v="561"/>
    <n v="10816"/>
    <n v="70479"/>
    <n v="70479"/>
    <n v="0"/>
    <x v="0"/>
    <x v="1"/>
    <n v="1"/>
    <x v="9"/>
  </r>
  <r>
    <n v="1042"/>
    <s v="GENERAL PATIENT"/>
    <d v="2022-10-12T00:00:00"/>
    <x v="1"/>
    <d v="2022-10-22T00:00:00"/>
    <d v="2022-10-22T00:00:00"/>
    <n v="22028194"/>
    <n v="2235725"/>
    <n v="1000896597"/>
    <s v="RAM DEVI"/>
    <x v="562"/>
    <n v="60799"/>
    <n v="246433"/>
    <n v="246433"/>
    <n v="0"/>
    <x v="0"/>
    <x v="1"/>
    <n v="1"/>
    <x v="0"/>
  </r>
  <r>
    <n v="1043"/>
    <s v="GENERAL PATIENT"/>
    <d v="2022-10-17T00:00:00"/>
    <x v="1"/>
    <d v="2022-10-17T00:00:00"/>
    <d v="2022-10-17T00:00:00"/>
    <n v="22027488"/>
    <n v="2236337"/>
    <n v="1001804844"/>
    <s v="BABY OF SOUMYA"/>
    <x v="563"/>
    <n v="2665"/>
    <n v="15496"/>
    <n v="15496"/>
    <n v="0"/>
    <x v="0"/>
    <x v="1"/>
    <n v="1"/>
    <x v="3"/>
  </r>
  <r>
    <n v="1044"/>
    <s v="GENERAL PATIENT"/>
    <d v="2022-10-03T00:00:00"/>
    <x v="1"/>
    <d v="2022-10-12T00:00:00"/>
    <d v="2022-10-12T00:00:00"/>
    <n v="22026760"/>
    <n v="2234471"/>
    <n v="10013541420"/>
    <s v="JAGVIR SINGH"/>
    <x v="564"/>
    <n v="0"/>
    <n v="250700"/>
    <n v="250700"/>
    <n v="0"/>
    <x v="0"/>
    <x v="1"/>
    <n v="1"/>
    <x v="10"/>
  </r>
  <r>
    <n v="1045"/>
    <s v="VIPUL MED CORP PVT LTD"/>
    <d v="2022-09-29T00:00:00"/>
    <x v="0"/>
    <d v="2022-10-04T00:00:00"/>
    <d v="2022-10-04T00:00:00"/>
    <n v="22025527"/>
    <n v="2233969"/>
    <n v="10013540876"/>
    <s v="ANIK JAIN"/>
    <x v="565"/>
    <n v="16893"/>
    <n v="113195"/>
    <n v="14609"/>
    <n v="98586"/>
    <x v="1"/>
    <x v="1"/>
    <n v="0.12906047086885464"/>
    <x v="0"/>
  </r>
  <r>
    <n v="1046"/>
    <s v="DGHS (DELHI GOVT.)"/>
    <d v="2022-10-05T00:00:00"/>
    <x v="1"/>
    <d v="2022-10-05T00:00:00"/>
    <d v="2022-10-05T00:00:00"/>
    <n v="22025691"/>
    <n v="2234701"/>
    <n v="1001802537"/>
    <s v="ANITA MALHOTRA"/>
    <x v="388"/>
    <n v="0"/>
    <n v="15209"/>
    <n v="15209"/>
    <n v="0"/>
    <x v="0"/>
    <x v="2"/>
    <n v="1"/>
    <x v="4"/>
  </r>
  <r>
    <n v="1047"/>
    <s v=" CGHS Cash"/>
    <d v="2022-10-11T00:00:00"/>
    <x v="1"/>
    <d v="2022-10-11T00:00:00"/>
    <d v="2022-10-11T00:00:00"/>
    <n v="22026634"/>
    <n v="2235559"/>
    <n v="1001755099"/>
    <s v="SUSHILA DEVI"/>
    <x v="137"/>
    <n v="0"/>
    <n v="2560"/>
    <n v="2560"/>
    <n v="0"/>
    <x v="0"/>
    <x v="6"/>
    <n v="1"/>
    <x v="13"/>
  </r>
  <r>
    <n v="1048"/>
    <s v="MD INDIA TPA PVT.LTD."/>
    <d v="2022-10-26T00:00:00"/>
    <x v="1"/>
    <d v="2022-10-27T00:00:00"/>
    <d v="2022-10-27T00:00:00"/>
    <n v="22028732"/>
    <n v="2237483"/>
    <n v="1001806306"/>
    <s v="DINESH SINGHAL"/>
    <x v="491"/>
    <n v="0"/>
    <n v="202335"/>
    <n v="3206"/>
    <n v="199129"/>
    <x v="1"/>
    <x v="4"/>
    <n v="1.5845009513924927E-2"/>
    <x v="4"/>
  </r>
  <r>
    <n v="1049"/>
    <s v="Medvantage Insurance TPA Private Limited"/>
    <d v="2022-10-11T00:00:00"/>
    <x v="1"/>
    <d v="2022-10-13T00:00:00"/>
    <d v="2022-10-13T00:00:00"/>
    <n v="22026914"/>
    <n v="2235530"/>
    <n v="1001803746"/>
    <s v="SOUMYA FEMALE BABY GOYAL"/>
    <x v="566"/>
    <n v="0"/>
    <n v="6950"/>
    <n v="6950"/>
    <n v="0"/>
    <x v="0"/>
    <x v="10"/>
    <n v="1"/>
    <x v="3"/>
  </r>
  <r>
    <n v="1050"/>
    <s v="STAR HEALTH CARE  (CREDIT)"/>
    <d v="2022-10-12T00:00:00"/>
    <x v="1"/>
    <d v="2022-10-19T00:00:00"/>
    <d v="2022-10-19T00:00:00"/>
    <n v="22027805"/>
    <n v="2235783"/>
    <n v="10013542769"/>
    <s v="DEVENDRA PALIWAL"/>
    <x v="567"/>
    <n v="0"/>
    <n v="1145732"/>
    <n v="745732"/>
    <n v="400000"/>
    <x v="1"/>
    <x v="1"/>
    <n v="0.65087821584803429"/>
    <x v="20"/>
  </r>
  <r>
    <n v="1051"/>
    <s v="HARAYANA GOVT."/>
    <d v="2022-10-04T00:00:00"/>
    <x v="1"/>
    <d v="2022-10-06T00:00:00"/>
    <d v="2022-10-06T00:00:00"/>
    <n v="22025875"/>
    <n v="2234627"/>
    <n v="10013541591"/>
    <s v="BIRMATI"/>
    <x v="568"/>
    <n v="0"/>
    <n v="73440"/>
    <n v="73440"/>
    <n v="0"/>
    <x v="0"/>
    <x v="1"/>
    <n v="1"/>
    <x v="17"/>
  </r>
  <r>
    <n v="1052"/>
    <s v="STAR HEALTH CARE  (CREDIT)"/>
    <d v="2022-10-20T00:00:00"/>
    <x v="1"/>
    <d v="2022-10-22T00:00:00"/>
    <d v="2022-10-22T00:00:00"/>
    <n v="22028177"/>
    <n v="2236777"/>
    <n v="10013543891"/>
    <s v="PRAVESH"/>
    <x v="569"/>
    <n v="5718"/>
    <n v="35226"/>
    <n v="6781"/>
    <n v="28445"/>
    <x v="1"/>
    <x v="0"/>
    <n v="0.19249985805938796"/>
    <x v="0"/>
  </r>
  <r>
    <n v="1053"/>
    <s v="GENERAL PATIENT"/>
    <d v="2022-10-26T00:00:00"/>
    <x v="1"/>
    <d v="2022-10-27T00:00:00"/>
    <d v="2022-10-27T00:00:00"/>
    <n v="22028767"/>
    <n v="2237427"/>
    <n v="10013544475"/>
    <s v="REENA YADAV"/>
    <x v="570"/>
    <n v="5297"/>
    <n v="36520"/>
    <n v="36520"/>
    <n v="0"/>
    <x v="0"/>
    <x v="0"/>
    <n v="1"/>
    <x v="0"/>
  </r>
  <r>
    <n v="1054"/>
    <s v="DGHS (DELHI GOVT.)"/>
    <d v="2022-10-25T00:00:00"/>
    <x v="1"/>
    <d v="2022-10-27T00:00:00"/>
    <d v="2022-10-27T00:00:00"/>
    <n v="22028779"/>
    <n v="2237285"/>
    <n v="10013543999"/>
    <s v="DEEPTI KUMARI"/>
    <x v="571"/>
    <n v="0"/>
    <n v="18170"/>
    <n v="18170"/>
    <n v="0"/>
    <x v="0"/>
    <x v="0"/>
    <n v="1"/>
    <x v="1"/>
  </r>
  <r>
    <n v="1055"/>
    <s v="GENERAL PATIENT"/>
    <d v="2022-09-27T00:00:00"/>
    <x v="0"/>
    <d v="2022-10-01T00:00:00"/>
    <d v="2022-10-01T00:00:00"/>
    <n v="22025133"/>
    <n v="2233676"/>
    <n v="10013520634"/>
    <s v="MEERA JAIN"/>
    <x v="572"/>
    <n v="24942"/>
    <n v="90334"/>
    <n v="90334"/>
    <n v="0"/>
    <x v="0"/>
    <x v="1"/>
    <n v="1"/>
    <x v="9"/>
  </r>
  <r>
    <n v="1056"/>
    <s v="GENERAL PATIENT"/>
    <d v="2022-10-03T00:00:00"/>
    <x v="1"/>
    <d v="2022-10-18T00:00:00"/>
    <d v="2022-10-18T00:00:00"/>
    <n v="22027633"/>
    <n v="2234451"/>
    <n v="10013541369"/>
    <s v="SHUBHAM"/>
    <x v="573"/>
    <n v="439055"/>
    <n v="448102"/>
    <n v="448102"/>
    <n v="0"/>
    <x v="1"/>
    <x v="13"/>
    <n v="1"/>
    <x v="9"/>
  </r>
  <r>
    <n v="1057"/>
    <s v=" RELIGARE HEALTH INSURANCE"/>
    <d v="2022-10-17T00:00:00"/>
    <x v="1"/>
    <d v="2022-10-21T00:00:00"/>
    <d v="2022-10-21T00:00:00"/>
    <n v="22028018"/>
    <n v="2236338"/>
    <n v="1001804689"/>
    <s v="TARA CHAND MORYA"/>
    <x v="574"/>
    <n v="8952"/>
    <n v="55348"/>
    <n v="1000"/>
    <n v="54348"/>
    <x v="1"/>
    <x v="2"/>
    <n v="1.8067500180675003E-2"/>
    <x v="0"/>
  </r>
  <r>
    <n v="1058"/>
    <s v="GENERAL PATIENT"/>
    <d v="2022-10-03T00:00:00"/>
    <x v="1"/>
    <d v="2022-10-05T00:00:00"/>
    <d v="2022-10-05T00:00:00"/>
    <n v="22025687"/>
    <n v="2234402"/>
    <n v="1001802191"/>
    <s v="KOMAL MALE BABY GARG"/>
    <x v="575"/>
    <n v="2059"/>
    <n v="14901"/>
    <n v="14901"/>
    <n v="0"/>
    <x v="0"/>
    <x v="2"/>
    <n v="1"/>
    <x v="3"/>
  </r>
  <r>
    <n v="1059"/>
    <s v="CARE HEALTH INSURANCE LIMITED"/>
    <d v="2022-10-12T00:00:00"/>
    <x v="1"/>
    <d v="2022-10-17T00:00:00"/>
    <d v="2022-10-17T00:00:00"/>
    <n v="22027368"/>
    <n v="2235663"/>
    <n v="10013542664"/>
    <s v="RESHU JAIN"/>
    <x v="576"/>
    <n v="0"/>
    <n v="179433"/>
    <n v="19379"/>
    <n v="160054"/>
    <x v="1"/>
    <x v="1"/>
    <n v="0.10800131525416172"/>
    <x v="0"/>
  </r>
  <r>
    <n v="1060"/>
    <s v="CGHS"/>
    <d v="2022-10-15T00:00:00"/>
    <x v="1"/>
    <d v="2022-10-15T00:00:00"/>
    <d v="2022-10-15T00:00:00"/>
    <n v="22027175"/>
    <n v="2236111"/>
    <n v="1001804504"/>
    <s v="SUDESH"/>
    <x v="261"/>
    <n v="0"/>
    <n v="11903"/>
    <n v="11903"/>
    <n v="0"/>
    <x v="0"/>
    <x v="1"/>
    <n v="1"/>
    <x v="4"/>
  </r>
  <r>
    <n v="1061"/>
    <s v="VIDAL HEALTH INSURANCE LIMITED"/>
    <d v="2022-10-16T00:00:00"/>
    <x v="1"/>
    <d v="2022-10-22T00:00:00"/>
    <d v="2022-10-22T00:00:00"/>
    <n v="22028188"/>
    <n v="2236238"/>
    <n v="1000921568"/>
    <s v="INDU DEVI"/>
    <x v="577"/>
    <n v="9456"/>
    <n v="61588"/>
    <n v="2062"/>
    <n v="59526"/>
    <x v="1"/>
    <x v="3"/>
    <n v="3.3480548158732221E-2"/>
    <x v="0"/>
  </r>
  <r>
    <n v="1062"/>
    <s v="GENERAL PATIENT"/>
    <d v="2022-10-20T00:00:00"/>
    <x v="1"/>
    <d v="2022-10-23T00:00:00"/>
    <d v="2022-10-23T00:00:00"/>
    <n v="22028351"/>
    <n v="2236832"/>
    <n v="1001805516"/>
    <s v="MOTIA RANI"/>
    <x v="578"/>
    <n v="15672"/>
    <n v="191237"/>
    <n v="191237"/>
    <n v="0"/>
    <x v="0"/>
    <x v="1"/>
    <n v="1"/>
    <x v="4"/>
  </r>
  <r>
    <n v="1063"/>
    <s v="MEDI ASSIST"/>
    <d v="2022-10-12T00:00:00"/>
    <x v="1"/>
    <d v="2022-10-15T00:00:00"/>
    <d v="2022-10-15T00:00:00"/>
    <n v="22027117"/>
    <n v="2235687"/>
    <n v="1001803945"/>
    <s v="URVASHI FEMALE BABY"/>
    <x v="579"/>
    <n v="0"/>
    <n v="6700"/>
    <n v="6700"/>
    <n v="0"/>
    <x v="0"/>
    <x v="3"/>
    <n v="1"/>
    <x v="3"/>
  </r>
  <r>
    <n v="1064"/>
    <s v="HARAYANA GOVT."/>
    <d v="2022-10-17T00:00:00"/>
    <x v="1"/>
    <d v="2022-10-19T00:00:00"/>
    <d v="2022-10-19T00:00:00"/>
    <n v="22027655"/>
    <n v="2236309"/>
    <n v="10013499738"/>
    <s v="SATWANTI"/>
    <x v="580"/>
    <n v="0"/>
    <n v="33740"/>
    <n v="33740"/>
    <n v="0"/>
    <x v="0"/>
    <x v="1"/>
    <n v="1"/>
    <x v="11"/>
  </r>
  <r>
    <n v="1065"/>
    <s v=" VIDAL HEALTH TPA"/>
    <d v="2022-10-15T00:00:00"/>
    <x v="1"/>
    <d v="2022-10-19T00:00:00"/>
    <d v="2022-10-19T00:00:00"/>
    <n v="22027703"/>
    <n v="2236213"/>
    <n v="1001804624"/>
    <s v="BRIJBALA TRIPATHI"/>
    <x v="581"/>
    <n v="0"/>
    <n v="59865"/>
    <n v="4008"/>
    <n v="55857"/>
    <x v="1"/>
    <x v="5"/>
    <n v="6.6950638937609622E-2"/>
    <x v="0"/>
  </r>
  <r>
    <n v="1066"/>
    <s v="CGHS"/>
    <d v="2022-10-27T00:00:00"/>
    <x v="1"/>
    <d v="2022-10-27T00:00:00"/>
    <d v="2022-10-27T00:00:00"/>
    <n v="22028793"/>
    <n v="2237628"/>
    <n v="1001806499"/>
    <s v="MEENAKSHI MANN"/>
    <x v="582"/>
    <n v="0"/>
    <n v="2570"/>
    <n v="2570"/>
    <n v="0"/>
    <x v="0"/>
    <x v="1"/>
    <n v="1"/>
    <x v="1"/>
  </r>
  <r>
    <n v="1067"/>
    <s v="NHA - CENTRAL ARMED POLICE FORCES (CGHS)"/>
    <d v="2022-10-21T00:00:00"/>
    <x v="1"/>
    <d v="2022-10-27T00:00:00"/>
    <d v="2022-10-27T00:00:00"/>
    <n v="22028810"/>
    <n v="2236950"/>
    <n v="10013544063"/>
    <s v="PRAKASH KUMAR PANDEY"/>
    <x v="583"/>
    <n v="0"/>
    <n v="27549"/>
    <n v="1099"/>
    <n v="26450"/>
    <x v="1"/>
    <x v="1"/>
    <n v="3.9892555083669096E-2"/>
    <x v="0"/>
  </r>
  <r>
    <n v="1068"/>
    <s v="GENERAL PATIENT"/>
    <d v="2022-10-01T00:00:00"/>
    <x v="1"/>
    <d v="2022-10-07T00:00:00"/>
    <d v="2022-10-07T00:00:00"/>
    <n v="22026068"/>
    <n v="2234268"/>
    <n v="1001801946"/>
    <s v="BANSHI LAL ARORA"/>
    <x v="584"/>
    <n v="15625"/>
    <n v="163619"/>
    <n v="163619"/>
    <n v="0"/>
    <x v="0"/>
    <x v="0"/>
    <n v="1"/>
    <x v="0"/>
  </r>
  <r>
    <n v="1069"/>
    <s v=" IFFCO-TOKIO GEN.INSC."/>
    <d v="2022-10-25T00:00:00"/>
    <x v="1"/>
    <d v="2022-10-29T00:00:00"/>
    <d v="2022-10-29T00:00:00"/>
    <n v="22029049"/>
    <n v="2237336"/>
    <n v="1001633040"/>
    <s v="MOHINI SHANKAR"/>
    <x v="585"/>
    <n v="7796"/>
    <n v="65887"/>
    <n v="30014"/>
    <n v="35873"/>
    <x v="1"/>
    <x v="3"/>
    <n v="0.45553751119340691"/>
    <x v="0"/>
  </r>
  <r>
    <n v="1070"/>
    <s v=" Paramount Health Services and Insurance TPA Pvt.Ltd."/>
    <d v="2022-10-29T00:00:00"/>
    <x v="1"/>
    <d v="2022-10-29T00:00:00"/>
    <d v="2022-10-29T00:00:00"/>
    <n v="22029150"/>
    <n v="2238017"/>
    <n v="1001658205"/>
    <s v="USHA SINGH"/>
    <x v="141"/>
    <n v="0"/>
    <n v="2950"/>
    <n v="295"/>
    <n v="2655"/>
    <x v="1"/>
    <x v="6"/>
    <n v="0.1"/>
    <x v="13"/>
  </r>
  <r>
    <n v="1071"/>
    <s v="CGHS ( CREDIT)"/>
    <d v="2022-10-15T00:00:00"/>
    <x v="1"/>
    <d v="2022-10-19T00:00:00"/>
    <d v="2022-10-19T00:00:00"/>
    <n v="22027776"/>
    <n v="2236129"/>
    <n v="10013540392"/>
    <s v="PRABHA SAXENA"/>
    <x v="586"/>
    <n v="0"/>
    <n v="60182"/>
    <n v="2362"/>
    <n v="57820"/>
    <x v="1"/>
    <x v="0"/>
    <n v="3.9247615566116112E-2"/>
    <x v="4"/>
  </r>
  <r>
    <n v="1072"/>
    <s v="GENERAL PATIENT"/>
    <d v="2022-10-21T00:00:00"/>
    <x v="1"/>
    <d v="2022-10-21T00:00:00"/>
    <d v="2022-10-21T00:00:00"/>
    <n v="22028059"/>
    <n v="2236906"/>
    <n v="1000890994"/>
    <s v="HIMANSHU KAPOOR"/>
    <x v="112"/>
    <n v="310"/>
    <n v="3178"/>
    <n v="3178"/>
    <n v="0"/>
    <x v="0"/>
    <x v="6"/>
    <n v="1"/>
    <x v="13"/>
  </r>
  <r>
    <n v="1073"/>
    <s v="CARE HEALTH INSURANCE LIMITED"/>
    <d v="2022-10-19T00:00:00"/>
    <x v="1"/>
    <d v="2022-10-23T00:00:00"/>
    <d v="2022-10-23T00:00:00"/>
    <n v="22028372"/>
    <n v="2236684"/>
    <n v="10013543228"/>
    <s v="DHARNA"/>
    <x v="587"/>
    <n v="8317"/>
    <n v="59282"/>
    <n v="1501"/>
    <n v="57781"/>
    <x v="1"/>
    <x v="1"/>
    <n v="2.5319658581019533E-2"/>
    <x v="0"/>
  </r>
  <r>
    <n v="1074"/>
    <s v="HARAYANA GOVT."/>
    <d v="2022-10-22T00:00:00"/>
    <x v="1"/>
    <d v="2022-10-22T00:00:00"/>
    <d v="2022-10-22T00:00:00"/>
    <n v="22028120"/>
    <n v="2236995"/>
    <n v="1000891454"/>
    <s v="PREM SINGH"/>
    <x v="588"/>
    <n v="0"/>
    <n v="2739"/>
    <n v="2739"/>
    <n v="0"/>
    <x v="0"/>
    <x v="6"/>
    <n v="1"/>
    <x v="13"/>
  </r>
  <r>
    <n v="1075"/>
    <s v="GENERAL PATIENT"/>
    <d v="2022-10-22T00:00:00"/>
    <x v="1"/>
    <d v="2022-10-22T00:00:00"/>
    <d v="2022-10-22T00:00:00"/>
    <n v="22028121"/>
    <n v="2237009"/>
    <n v="10013533576"/>
    <s v="G. CHANDER SHEKHAR"/>
    <x v="73"/>
    <n v="310"/>
    <n v="2534"/>
    <n v="2534"/>
    <n v="0"/>
    <x v="0"/>
    <x v="6"/>
    <n v="1"/>
    <x v="13"/>
  </r>
  <r>
    <n v="1076"/>
    <s v="MEDI ASSIST"/>
    <d v="2022-10-22T00:00:00"/>
    <x v="1"/>
    <d v="2022-10-22T00:00:00"/>
    <d v="2022-10-22T00:00:00"/>
    <n v="22028142"/>
    <n v="2237021"/>
    <n v="1001105051"/>
    <s v="KAMLA CHUGH"/>
    <x v="168"/>
    <n v="0"/>
    <n v="4840"/>
    <n v="242"/>
    <n v="4598"/>
    <x v="1"/>
    <x v="12"/>
    <n v="0.05"/>
    <x v="13"/>
  </r>
  <r>
    <n v="1077"/>
    <s v=" CGHS Cash"/>
    <d v="2022-10-22T00:00:00"/>
    <x v="1"/>
    <d v="2022-10-22T00:00:00"/>
    <d v="2022-10-22T00:00:00"/>
    <n v="22028206"/>
    <n v="2237047"/>
    <n v="1001755099"/>
    <s v="SUSHILA DEVI"/>
    <x v="43"/>
    <n v="0"/>
    <n v="1610"/>
    <n v="1610"/>
    <n v="0"/>
    <x v="0"/>
    <x v="6"/>
    <n v="1"/>
    <x v="13"/>
  </r>
  <r>
    <n v="1078"/>
    <s v="DGHS (DELHI GOVT.)"/>
    <d v="2022-10-11T00:00:00"/>
    <x v="1"/>
    <d v="2022-10-14T00:00:00"/>
    <d v="2022-10-14T00:00:00"/>
    <n v="22027008"/>
    <n v="2235599"/>
    <n v="10013541917"/>
    <s v="PAPPU LAL"/>
    <x v="589"/>
    <n v="0"/>
    <n v="48682"/>
    <n v="48682"/>
    <n v="0"/>
    <x v="0"/>
    <x v="1"/>
    <n v="1"/>
    <x v="16"/>
  </r>
  <r>
    <n v="1079"/>
    <s v="HARAYANA GOVT."/>
    <d v="2022-10-11T00:00:00"/>
    <x v="1"/>
    <d v="2022-10-17T00:00:00"/>
    <d v="2022-10-17T00:00:00"/>
    <n v="22027412"/>
    <n v="2235607"/>
    <n v="1000890226"/>
    <s v="ACHLA JETLY"/>
    <x v="590"/>
    <n v="0"/>
    <n v="65786"/>
    <n v="65786"/>
    <n v="0"/>
    <x v="0"/>
    <x v="1"/>
    <n v="1"/>
    <x v="4"/>
  </r>
  <r>
    <n v="1080"/>
    <s v="BSNL(Bharat Sanchar Nigam Ltd.)"/>
    <d v="2022-10-11T00:00:00"/>
    <x v="1"/>
    <d v="2022-10-12T00:00:00"/>
    <d v="2022-10-12T00:00:00"/>
    <n v="22026695"/>
    <n v="2235525"/>
    <n v="1001803727"/>
    <s v="RAJIV GUGLANI"/>
    <x v="591"/>
    <n v="0"/>
    <n v="333715"/>
    <n v="333715"/>
    <n v="0"/>
    <x v="0"/>
    <x v="1"/>
    <n v="1"/>
    <x v="4"/>
  </r>
  <r>
    <n v="1081"/>
    <s v="M.C.D"/>
    <d v="2022-10-26T00:00:00"/>
    <x v="1"/>
    <d v="2022-10-29T00:00:00"/>
    <d v="2022-10-29T00:00:00"/>
    <n v="22029063"/>
    <n v="2237581"/>
    <n v="10013544656"/>
    <s v="ANITA GUPTA"/>
    <x v="592"/>
    <n v="0"/>
    <n v="138552"/>
    <n v="138552"/>
    <n v="0"/>
    <x v="0"/>
    <x v="1"/>
    <n v="1"/>
    <x v="4"/>
  </r>
  <r>
    <n v="1082"/>
    <s v="GENERAL PATIENT"/>
    <d v="2022-10-29T00:00:00"/>
    <x v="1"/>
    <d v="2022-10-29T00:00:00"/>
    <d v="2022-10-29T00:00:00"/>
    <n v="22029064"/>
    <n v="2237953"/>
    <n v="10013460950"/>
    <s v="PREM CHAND"/>
    <x v="143"/>
    <n v="319"/>
    <n v="3410"/>
    <n v="3410"/>
    <n v="0"/>
    <x v="0"/>
    <x v="6"/>
    <n v="1"/>
    <x v="13"/>
  </r>
  <r>
    <n v="1083"/>
    <s v="GENERAL PATIENT"/>
    <d v="2022-10-30T00:00:00"/>
    <x v="1"/>
    <d v="2022-10-30T00:00:00"/>
    <d v="2022-10-30T00:00:00"/>
    <n v="22029179"/>
    <n v="2238063"/>
    <n v="10013545186"/>
    <s v="MANGE RAM"/>
    <x v="593"/>
    <n v="9143"/>
    <n v="37323"/>
    <n v="37323"/>
    <n v="0"/>
    <x v="0"/>
    <x v="1"/>
    <n v="1"/>
    <x v="4"/>
  </r>
  <r>
    <n v="1084"/>
    <s v="GENERAL PATIENT"/>
    <d v="2022-10-25T00:00:00"/>
    <x v="1"/>
    <d v="2022-10-25T00:00:00"/>
    <d v="2022-10-25T00:00:00"/>
    <n v="22028511"/>
    <n v="2237332"/>
    <n v="1001735249"/>
    <s v="SATISH TYAGI"/>
    <x v="127"/>
    <n v="500"/>
    <n v="2180"/>
    <n v="2180"/>
    <n v="0"/>
    <x v="0"/>
    <x v="6"/>
    <n v="1"/>
    <x v="13"/>
  </r>
  <r>
    <n v="1085"/>
    <s v="GENERAL PATIENT"/>
    <d v="2022-10-21T00:00:00"/>
    <x v="1"/>
    <d v="2022-10-25T00:00:00"/>
    <d v="2022-10-25T00:00:00"/>
    <n v="22028496"/>
    <n v="2236938"/>
    <n v="1001805650"/>
    <s v="PAPPI"/>
    <x v="594"/>
    <n v="81753"/>
    <n v="116500"/>
    <n v="116500"/>
    <n v="0"/>
    <x v="1"/>
    <x v="7"/>
    <n v="1"/>
    <x v="2"/>
  </r>
  <r>
    <n v="1086"/>
    <s v="Safeway Mediclaim Services Pvt. Ltd."/>
    <d v="2022-10-28T00:00:00"/>
    <x v="1"/>
    <d v="2022-10-31T00:00:00"/>
    <d v="2022-10-31T00:00:00"/>
    <n v="22029288"/>
    <n v="2237835"/>
    <n v="10013322137"/>
    <s v="RAM NARAIN SINGHAL"/>
    <x v="595"/>
    <n v="7968"/>
    <n v="53358"/>
    <n v="11405"/>
    <n v="41953"/>
    <x v="1"/>
    <x v="3"/>
    <n v="0.21374489298699351"/>
    <x v="0"/>
  </r>
  <r>
    <n v="1087"/>
    <s v="Safeway Mediclaim Services Pvt. Ltd."/>
    <d v="2022-10-28T00:00:00"/>
    <x v="1"/>
    <d v="2022-10-31T00:00:00"/>
    <d v="2022-10-31T00:00:00"/>
    <n v="22029315"/>
    <n v="2237873"/>
    <n v="1001255206"/>
    <s v="SUKHDARSHAN KAUR"/>
    <x v="596"/>
    <n v="5523"/>
    <n v="37728"/>
    <n v="1573"/>
    <n v="36155"/>
    <x v="1"/>
    <x v="3"/>
    <n v="4.1693172179813401E-2"/>
    <x v="0"/>
  </r>
  <r>
    <n v="1088"/>
    <s v="Paramount Health Services (TPA) Private Limited"/>
    <d v="2022-10-04T00:00:00"/>
    <x v="1"/>
    <d v="2022-10-04T00:00:00"/>
    <d v="2022-10-04T00:00:00"/>
    <n v="22025598"/>
    <n v="2234531"/>
    <n v="10013535154"/>
    <s v="SUNITHA"/>
    <x v="11"/>
    <n v="0"/>
    <n v="22500"/>
    <n v="1500"/>
    <n v="21000"/>
    <x v="1"/>
    <x v="12"/>
    <n v="6.6666666666666666E-2"/>
    <x v="1"/>
  </r>
  <r>
    <n v="1089"/>
    <s v="CGHS"/>
    <d v="2022-10-07T00:00:00"/>
    <x v="1"/>
    <d v="2022-10-15T00:00:00"/>
    <d v="2022-10-15T00:00:00"/>
    <n v="22027192"/>
    <n v="2235049"/>
    <n v="10013542032"/>
    <s v="ROSHNI"/>
    <x v="597"/>
    <n v="0"/>
    <n v="25888"/>
    <n v="25888"/>
    <n v="0"/>
    <x v="0"/>
    <x v="1"/>
    <n v="1"/>
    <x v="9"/>
  </r>
  <r>
    <n v="1090"/>
    <s v="GENERAL PATIENT"/>
    <d v="2022-10-07T00:00:00"/>
    <x v="1"/>
    <d v="2022-10-12T00:00:00"/>
    <d v="2022-10-12T00:00:00"/>
    <n v="22026743"/>
    <n v="2235054"/>
    <n v="1001003270"/>
    <s v="VIJAY MEHRA"/>
    <x v="598"/>
    <n v="57674"/>
    <n v="210303"/>
    <n v="210303"/>
    <n v="0"/>
    <x v="1"/>
    <x v="8"/>
    <n v="1"/>
    <x v="0"/>
  </r>
  <r>
    <n v="1091"/>
    <s v="Health Insurance TPA of India Ltd."/>
    <d v="2022-10-23T00:00:00"/>
    <x v="1"/>
    <d v="2022-10-23T00:00:00"/>
    <d v="2022-10-23T00:00:00"/>
    <n v="22028413"/>
    <n v="2237200"/>
    <n v="10013353354"/>
    <s v="NARENDER CHAWLA"/>
    <x v="75"/>
    <n v="0"/>
    <n v="2200"/>
    <n v="220"/>
    <n v="1980"/>
    <x v="1"/>
    <x v="12"/>
    <n v="0.1"/>
    <x v="13"/>
  </r>
  <r>
    <n v="1092"/>
    <s v="MEDI ASSIST"/>
    <d v="2022-10-29T00:00:00"/>
    <x v="1"/>
    <d v="2022-10-29T00:00:00"/>
    <d v="2022-10-29T00:00:00"/>
    <n v="22029004"/>
    <n v="2237923"/>
    <n v="1001105051"/>
    <s v="KAMLA CHUGH"/>
    <x v="168"/>
    <n v="0"/>
    <n v="4840"/>
    <n v="242"/>
    <n v="4598"/>
    <x v="1"/>
    <x v="12"/>
    <n v="0.05"/>
    <x v="13"/>
  </r>
  <r>
    <n v="1093"/>
    <s v="CGHS"/>
    <d v="2022-10-29T00:00:00"/>
    <x v="1"/>
    <d v="2022-10-29T00:00:00"/>
    <d v="2022-10-29T00:00:00"/>
    <n v="22029015"/>
    <n v="2237909"/>
    <n v="10013401198"/>
    <s v="RAM KUMAR"/>
    <x v="43"/>
    <n v="0"/>
    <n v="1610"/>
    <n v="1610"/>
    <n v="0"/>
    <x v="0"/>
    <x v="6"/>
    <n v="1"/>
    <x v="13"/>
  </r>
  <r>
    <n v="1094"/>
    <s v="HARAYANA GOVT."/>
    <d v="2022-10-29T00:00:00"/>
    <x v="1"/>
    <d v="2022-10-29T00:00:00"/>
    <d v="2022-10-29T00:00:00"/>
    <n v="22029176"/>
    <n v="2238035"/>
    <n v="1001439428"/>
    <s v="DR.S.P.SHARMA"/>
    <x v="99"/>
    <n v="0"/>
    <n v="2758"/>
    <n v="2758"/>
    <n v="0"/>
    <x v="0"/>
    <x v="6"/>
    <n v="1"/>
    <x v="13"/>
  </r>
  <r>
    <n v="1095"/>
    <s v="GENERAL PATIENT"/>
    <d v="2022-10-09T00:00:00"/>
    <x v="1"/>
    <d v="2022-10-09T00:00:00"/>
    <d v="2022-10-09T00:00:00"/>
    <n v="22026322"/>
    <n v="2235288"/>
    <n v="1001803420"/>
    <s v="BINIT"/>
    <x v="599"/>
    <n v="41280"/>
    <n v="20000"/>
    <n v="20000"/>
    <n v="0"/>
    <x v="0"/>
    <x v="1"/>
    <n v="1"/>
    <x v="0"/>
  </r>
  <r>
    <n v="1096"/>
    <s v="GENERAL PATIENT"/>
    <d v="2022-10-19T00:00:00"/>
    <x v="1"/>
    <d v="2022-10-26T00:00:00"/>
    <d v="2022-10-26T00:00:00"/>
    <n v="22028614"/>
    <n v="2236565"/>
    <n v="1000863880"/>
    <s v="MANJU"/>
    <x v="600"/>
    <n v="39329"/>
    <n v="200653"/>
    <n v="200653"/>
    <n v="0"/>
    <x v="0"/>
    <x v="1"/>
    <n v="1"/>
    <x v="0"/>
  </r>
  <r>
    <n v="1097"/>
    <s v="Paramount Health Services (TPA) Private Limited"/>
    <d v="2022-10-24T00:00:00"/>
    <x v="1"/>
    <d v="2022-10-28T00:00:00"/>
    <d v="2022-10-28T00:00:00"/>
    <n v="22028928"/>
    <n v="2237240"/>
    <n v="10013544307"/>
    <s v="NISHU"/>
    <x v="601"/>
    <n v="10789"/>
    <n v="66800"/>
    <n v="11517"/>
    <n v="55283"/>
    <x v="1"/>
    <x v="5"/>
    <n v="0.17241017964071856"/>
    <x v="0"/>
  </r>
  <r>
    <n v="1098"/>
    <s v="HDFC ERGO General Insurance Co. Ltd."/>
    <d v="2022-10-25T00:00:00"/>
    <x v="1"/>
    <d v="2022-10-28T00:00:00"/>
    <d v="2022-10-28T00:00:00"/>
    <n v="22028960"/>
    <n v="2237335"/>
    <n v="10013543931"/>
    <s v="PUNEET SHARMA"/>
    <x v="602"/>
    <n v="0"/>
    <n v="80420"/>
    <n v="4470"/>
    <n v="75950"/>
    <x v="1"/>
    <x v="2"/>
    <n v="5.5583188261626462E-2"/>
    <x v="5"/>
  </r>
  <r>
    <n v="1099"/>
    <s v="GENERAL PATIENT"/>
    <d v="2022-09-27T00:00:00"/>
    <x v="0"/>
    <d v="2022-10-01T00:00:00"/>
    <d v="2022-10-01T00:00:00"/>
    <n v="22025214"/>
    <n v="2233643"/>
    <n v="10013540512"/>
    <s v="MANISH GUPTA"/>
    <x v="603"/>
    <n v="33893"/>
    <n v="77116"/>
    <n v="77116"/>
    <n v="0"/>
    <x v="0"/>
    <x v="1"/>
    <n v="1"/>
    <x v="15"/>
  </r>
  <r>
    <n v="1100"/>
    <s v=" Reliance General Insurance Co. Ltd."/>
    <d v="2022-10-05T00:00:00"/>
    <x v="1"/>
    <d v="2022-10-08T00:00:00"/>
    <d v="2022-10-08T00:00:00"/>
    <n v="22026146"/>
    <n v="2234773"/>
    <n v="1001802579"/>
    <s v="PINKI MISHRA"/>
    <x v="604"/>
    <n v="2973"/>
    <n v="40648"/>
    <n v="2800"/>
    <n v="37848"/>
    <x v="1"/>
    <x v="5"/>
    <n v="6.8884077937413898E-2"/>
    <x v="11"/>
  </r>
  <r>
    <n v="1101"/>
    <s v="GENERAL PATIENT"/>
    <d v="2022-10-05T00:00:00"/>
    <x v="1"/>
    <d v="2022-10-11T00:00:00"/>
    <d v="2022-10-11T00:00:00"/>
    <n v="22026537"/>
    <n v="2234706"/>
    <n v="10013541627"/>
    <s v="VIKRAMJEET SINGH"/>
    <x v="605"/>
    <n v="26384"/>
    <n v="195176"/>
    <n v="195176"/>
    <n v="0"/>
    <x v="0"/>
    <x v="1"/>
    <n v="1"/>
    <x v="0"/>
  </r>
  <r>
    <n v="1102"/>
    <s v="CGHS"/>
    <d v="2022-10-05T00:00:00"/>
    <x v="1"/>
    <d v="2022-10-09T00:00:00"/>
    <d v="2022-10-09T00:00:00"/>
    <n v="22026300"/>
    <n v="2234806"/>
    <n v="10013517472"/>
    <s v="MAHESH CHAUHAN"/>
    <x v="606"/>
    <n v="0"/>
    <n v="42274"/>
    <n v="42274"/>
    <n v="0"/>
    <x v="0"/>
    <x v="1"/>
    <n v="1"/>
    <x v="12"/>
  </r>
  <r>
    <n v="1103"/>
    <s v="MEDI ASSIST"/>
    <d v="2022-10-13T00:00:00"/>
    <x v="1"/>
    <d v="2022-10-13T00:00:00"/>
    <d v="2022-10-13T00:00:00"/>
    <n v="22026906"/>
    <n v="2235838"/>
    <n v="1001206152"/>
    <s v="JITENDRA GARG"/>
    <x v="75"/>
    <n v="0"/>
    <n v="2200"/>
    <n v="440"/>
    <n v="1760"/>
    <x v="1"/>
    <x v="12"/>
    <n v="0.2"/>
    <x v="13"/>
  </r>
  <r>
    <n v="1104"/>
    <s v="GENERAL PATIENT"/>
    <d v="2022-10-27T00:00:00"/>
    <x v="1"/>
    <d v="2022-10-30T00:00:00"/>
    <d v="2022-10-30T00:00:00"/>
    <n v="22029181"/>
    <n v="2237594"/>
    <n v="10013408165"/>
    <s v="USHA GUPTA"/>
    <x v="607"/>
    <n v="34929"/>
    <n v="80775"/>
    <n v="80775"/>
    <n v="0"/>
    <x v="0"/>
    <x v="7"/>
    <n v="1"/>
    <x v="0"/>
  </r>
  <r>
    <n v="1105"/>
    <s v="GENERAL PATIENT"/>
    <d v="2022-10-31T00:00:00"/>
    <x v="1"/>
    <d v="2022-10-31T00:00:00"/>
    <d v="2022-10-31T00:00:00"/>
    <n v="22029378"/>
    <n v="2238240"/>
    <n v="10013533934"/>
    <s v="RAMESH AHUJA"/>
    <x v="45"/>
    <n v="414"/>
    <n v="4576"/>
    <n v="4576"/>
    <n v="0"/>
    <x v="0"/>
    <x v="6"/>
    <n v="1"/>
    <x v="13"/>
  </r>
  <r>
    <n v="1106"/>
    <s v="GENERAL PATIENT"/>
    <d v="2022-10-31T00:00:00"/>
    <x v="1"/>
    <d v="2022-10-31T00:00:00"/>
    <d v="2022-10-31T00:00:00"/>
    <n v="22029384"/>
    <n v="2238250"/>
    <n v="10013541901"/>
    <s v="PINKI DEVI"/>
    <x v="73"/>
    <n v="264"/>
    <n v="2580"/>
    <n v="2580"/>
    <n v="0"/>
    <x v="0"/>
    <x v="6"/>
    <n v="1"/>
    <x v="13"/>
  </r>
  <r>
    <n v="1107"/>
    <s v="STAR HEALTH CARE  (CREDIT)"/>
    <d v="2022-10-26T00:00:00"/>
    <x v="1"/>
    <d v="2022-10-30T00:00:00"/>
    <d v="2022-10-30T00:00:00"/>
    <n v="22029197"/>
    <n v="2237576"/>
    <n v="10013544653"/>
    <s v="SARIKA BANSAL"/>
    <x v="608"/>
    <n v="6222"/>
    <n v="51735"/>
    <n v="14787"/>
    <n v="36948"/>
    <x v="1"/>
    <x v="1"/>
    <n v="0.28582197738474918"/>
    <x v="0"/>
  </r>
  <r>
    <n v="1108"/>
    <s v="ICICI Lombard General Insurance"/>
    <d v="2022-09-28T00:00:00"/>
    <x v="0"/>
    <d v="2022-10-01T00:00:00"/>
    <d v="2022-10-01T00:00:00"/>
    <n v="22025171"/>
    <n v="2233762"/>
    <n v="10013340619"/>
    <s v="ANITA"/>
    <x v="609"/>
    <n v="2076"/>
    <n v="46080"/>
    <n v="3924"/>
    <n v="42156"/>
    <x v="1"/>
    <x v="1"/>
    <n v="8.5156250000000003E-2"/>
    <x v="0"/>
  </r>
  <r>
    <n v="1109"/>
    <s v="Heritage Health TPA Private Limited"/>
    <d v="2022-09-28T00:00:00"/>
    <x v="0"/>
    <d v="2022-10-03T00:00:00"/>
    <d v="2022-10-03T00:00:00"/>
    <n v="22025372"/>
    <n v="2233754"/>
    <n v="10013540615"/>
    <s v="MANRAJ SINGH CHOPRA"/>
    <x v="610"/>
    <n v="0"/>
    <n v="101659"/>
    <n v="9221"/>
    <n v="92438"/>
    <x v="1"/>
    <x v="2"/>
    <n v="9.0705200720054294E-2"/>
    <x v="3"/>
  </r>
  <r>
    <n v="1110"/>
    <s v="MEDI ASSIST"/>
    <d v="2022-10-31T00:00:00"/>
    <x v="1"/>
    <d v="2022-10-31T00:00:00"/>
    <d v="2022-10-31T00:00:00"/>
    <n v="22029365"/>
    <n v="2238140"/>
    <n v="1000922329"/>
    <s v="AJAY SHARMA"/>
    <x v="611"/>
    <n v="0"/>
    <n v="31525"/>
    <n v="1525"/>
    <n v="30000"/>
    <x v="1"/>
    <x v="12"/>
    <n v="4.8374306106264871E-2"/>
    <x v="22"/>
  </r>
  <r>
    <n v="1111"/>
    <s v="GENERAL PATIENT"/>
    <d v="2022-09-28T00:00:00"/>
    <x v="0"/>
    <d v="2022-10-02T00:00:00"/>
    <d v="2022-10-02T00:00:00"/>
    <n v="22025283"/>
    <n v="2233834"/>
    <n v="10013540713"/>
    <s v="SONAM PURI"/>
    <x v="612"/>
    <n v="13061"/>
    <n v="95002"/>
    <n v="95002"/>
    <n v="0"/>
    <x v="0"/>
    <x v="0"/>
    <n v="1"/>
    <x v="1"/>
  </r>
  <r>
    <n v="1112"/>
    <s v="GENERAL PATIENT"/>
    <d v="2022-10-08T00:00:00"/>
    <x v="1"/>
    <d v="2022-10-10T00:00:00"/>
    <d v="2022-10-10T00:00:00"/>
    <n v="22026333"/>
    <n v="2235203"/>
    <n v="1001803326"/>
    <s v="AJIT SINGH"/>
    <x v="166"/>
    <n v="0"/>
    <n v="184154"/>
    <n v="184154"/>
    <n v="0"/>
    <x v="0"/>
    <x v="1"/>
    <n v="1"/>
    <x v="4"/>
  </r>
  <r>
    <n v="1113"/>
    <s v="GENERAL PATIENT"/>
    <d v="2022-10-06T00:00:00"/>
    <x v="1"/>
    <d v="2022-10-14T00:00:00"/>
    <d v="2022-10-14T00:00:00"/>
    <n v="22027057"/>
    <n v="2234967"/>
    <n v="10013541901"/>
    <s v="PINKI"/>
    <x v="613"/>
    <n v="31063"/>
    <n v="233811"/>
    <n v="233811"/>
    <n v="0"/>
    <x v="0"/>
    <x v="1"/>
    <n v="1"/>
    <x v="0"/>
  </r>
  <r>
    <n v="1114"/>
    <s v="GENERAL PATIENT"/>
    <d v="2022-10-25T00:00:00"/>
    <x v="1"/>
    <d v="2022-10-31T00:00:00"/>
    <d v="2022-10-31T00:00:00"/>
    <n v="22029309"/>
    <n v="2237413"/>
    <n v="1001255798"/>
    <s v="BANPREET KAUR"/>
    <x v="614"/>
    <n v="27379"/>
    <n v="57935"/>
    <n v="57935"/>
    <n v="0"/>
    <x v="0"/>
    <x v="7"/>
    <n v="1"/>
    <x v="0"/>
  </r>
  <r>
    <n v="1115"/>
    <s v="AIRPORT AUTHORITY OF INDIA"/>
    <d v="2022-10-27T00:00:00"/>
    <x v="1"/>
    <d v="2022-10-31T00:00:00"/>
    <d v="2022-10-31T00:00:00"/>
    <n v="22029345"/>
    <n v="2237648"/>
    <n v="1001806555"/>
    <s v="SHIKHA MALE BABY DABAS"/>
    <x v="615"/>
    <n v="1488"/>
    <n v="14576"/>
    <n v="4329"/>
    <n v="10247"/>
    <x v="1"/>
    <x v="0"/>
    <n v="0.29699506037321627"/>
    <x v="3"/>
  </r>
  <r>
    <n v="1116"/>
    <s v="GENERAL PATIENT"/>
    <d v="2022-09-30T00:00:00"/>
    <x v="0"/>
    <d v="2022-10-06T00:00:00"/>
    <d v="2022-10-06T00:00:00"/>
    <n v="22025831"/>
    <n v="2234135"/>
    <n v="10013260899"/>
    <s v="HARI NARAYAN BAJAJ"/>
    <x v="616"/>
    <n v="46136"/>
    <n v="212597"/>
    <n v="212597"/>
    <n v="0"/>
    <x v="0"/>
    <x v="8"/>
    <n v="1"/>
    <x v="0"/>
  </r>
  <r>
    <n v="1117"/>
    <s v="HDFC ERGO General Insurance Co. Ltd."/>
    <d v="2022-10-15T00:00:00"/>
    <x v="1"/>
    <d v="2022-10-17T00:00:00"/>
    <d v="2022-10-17T00:00:00"/>
    <n v="22027467"/>
    <n v="2236161"/>
    <n v="10013543178"/>
    <s v="SUMAN"/>
    <x v="617"/>
    <n v="0"/>
    <n v="88267"/>
    <n v="9875"/>
    <n v="78392"/>
    <x v="1"/>
    <x v="1"/>
    <n v="0.11187646572331675"/>
    <x v="2"/>
  </r>
  <r>
    <n v="1118"/>
    <s v="GENERAL PATIENT"/>
    <d v="2022-10-29T00:00:00"/>
    <x v="1"/>
    <d v="2022-10-30T00:00:00"/>
    <d v="2022-10-30T00:00:00"/>
    <n v="22029220"/>
    <n v="2237951"/>
    <n v="10013545030"/>
    <s v="KOSHLAYA DEVI"/>
    <x v="618"/>
    <n v="3658"/>
    <n v="403660"/>
    <n v="403660"/>
    <n v="0"/>
    <x v="0"/>
    <x v="2"/>
    <n v="1"/>
    <x v="4"/>
  </r>
  <r>
    <n v="1119"/>
    <s v="UNITED HEALTH CARE"/>
    <d v="2022-10-25T00:00:00"/>
    <x v="1"/>
    <d v="2022-10-30T00:00:00"/>
    <d v="2022-10-30T00:00:00"/>
    <n v="22029202"/>
    <n v="2237385"/>
    <n v="10013544457"/>
    <s v="KUNAL NARULA"/>
    <x v="619"/>
    <n v="0"/>
    <n v="113704"/>
    <n v="1899"/>
    <n v="111805"/>
    <x v="1"/>
    <x v="2"/>
    <n v="1.670125941039893E-2"/>
    <x v="0"/>
  </r>
  <r>
    <n v="1120"/>
    <s v=" MEDI ASSIST INSURANCE TPA LTD"/>
    <d v="2022-10-03T00:00:00"/>
    <x v="1"/>
    <d v="2022-10-03T00:00:00"/>
    <d v="2022-10-03T00:00:00"/>
    <n v="22025340"/>
    <n v="2234362"/>
    <n v="1001561182"/>
    <s v="TAPATI CHATTERJEE"/>
    <x v="211"/>
    <n v="0"/>
    <n v="2000"/>
    <n v="300"/>
    <n v="1700"/>
    <x v="1"/>
    <x v="12"/>
    <n v="0.15"/>
    <x v="13"/>
  </r>
  <r>
    <n v="1121"/>
    <s v="CGHS ( CREDIT)"/>
    <d v="2022-10-05T00:00:00"/>
    <x v="1"/>
    <d v="2022-10-10T00:00:00"/>
    <d v="2022-10-10T00:00:00"/>
    <n v="22026400"/>
    <n v="2234671"/>
    <n v="10013541622"/>
    <s v="J.C KAPOOR"/>
    <x v="620"/>
    <n v="0"/>
    <n v="31968"/>
    <n v="478"/>
    <n v="31490"/>
    <x v="1"/>
    <x v="1"/>
    <n v="1.4952452452452452E-2"/>
    <x v="0"/>
  </r>
  <r>
    <n v="1122"/>
    <s v="GENERAL PATIENT"/>
    <d v="2022-10-10T00:00:00"/>
    <x v="1"/>
    <d v="2022-10-10T00:00:00"/>
    <d v="2022-10-10T00:00:00"/>
    <n v="22026447"/>
    <n v="2235346"/>
    <n v="1001803503"/>
    <s v="MTPB - 10.22.127"/>
    <x v="621"/>
    <n v="3381"/>
    <n v="22120"/>
    <n v="22120"/>
    <n v="0"/>
    <x v="0"/>
    <x v="6"/>
    <n v="1"/>
    <x v="1"/>
  </r>
  <r>
    <n v="1123"/>
    <s v="CGHS"/>
    <d v="2022-10-10T00:00:00"/>
    <x v="1"/>
    <d v="2022-10-10T00:00:00"/>
    <d v="2022-10-10T00:00:00"/>
    <n v="22026444"/>
    <n v="2235345"/>
    <n v="1001239278"/>
    <s v="KALU RAM"/>
    <x v="622"/>
    <n v="0"/>
    <n v="16670"/>
    <n v="16670"/>
    <n v="0"/>
    <x v="0"/>
    <x v="1"/>
    <n v="1"/>
    <x v="22"/>
  </r>
  <r>
    <n v="1124"/>
    <s v=" CGHS Cash"/>
    <d v="2022-10-10T00:00:00"/>
    <x v="1"/>
    <d v="2022-10-11T00:00:00"/>
    <d v="2022-10-11T00:00:00"/>
    <n v="22026573"/>
    <n v="2235353"/>
    <n v="10013541351"/>
    <s v="RISHAB"/>
    <x v="623"/>
    <n v="0"/>
    <n v="14996"/>
    <n v="14996"/>
    <n v="0"/>
    <x v="0"/>
    <x v="1"/>
    <n v="1"/>
    <x v="14"/>
  </r>
  <r>
    <n v="1125"/>
    <s v="GENERAL PATIENT"/>
    <d v="2022-10-10T00:00:00"/>
    <x v="1"/>
    <d v="2022-10-10T00:00:00"/>
    <d v="2022-10-10T00:00:00"/>
    <n v="22026475"/>
    <n v="2235362"/>
    <n v="1001803517"/>
    <s v="SAROJ  DEVI"/>
    <x v="624"/>
    <n v="2647"/>
    <n v="12249"/>
    <n v="12249"/>
    <n v="0"/>
    <x v="0"/>
    <x v="1"/>
    <n v="1"/>
    <x v="0"/>
  </r>
  <r>
    <n v="1126"/>
    <s v=" DGEHS (CASH)"/>
    <d v="2022-10-02T00:00:00"/>
    <x v="1"/>
    <d v="2022-10-15T00:00:00"/>
    <d v="2022-10-15T00:00:00"/>
    <n v="22027224"/>
    <n v="2234335"/>
    <n v="1001802046"/>
    <s v="SARASWATI DEVI"/>
    <x v="625"/>
    <n v="0"/>
    <n v="149152"/>
    <n v="149152"/>
    <n v="0"/>
    <x v="0"/>
    <x v="0"/>
    <n v="1"/>
    <x v="0"/>
  </r>
  <r>
    <n v="1127"/>
    <s v="GENERAL PATIENT"/>
    <d v="2022-10-07T00:00:00"/>
    <x v="1"/>
    <d v="2022-10-10T00:00:00"/>
    <d v="2022-10-10T00:00:00"/>
    <n v="22026386"/>
    <n v="2235080"/>
    <n v="1001803128"/>
    <s v="RAJESH SHARMA"/>
    <x v="626"/>
    <n v="38944"/>
    <n v="66769"/>
    <n v="66769"/>
    <n v="0"/>
    <x v="0"/>
    <x v="7"/>
    <n v="1"/>
    <x v="0"/>
  </r>
  <r>
    <n v="1128"/>
    <s v="MEDI ASSIST"/>
    <d v="2022-10-06T00:00:00"/>
    <x v="1"/>
    <d v="2022-10-17T00:00:00"/>
    <d v="2022-10-17T00:00:00"/>
    <n v="22027418"/>
    <n v="2234892"/>
    <n v="1001802845"/>
    <s v="EKTA MALE BABY  SHARMA-II"/>
    <x v="627"/>
    <n v="18200"/>
    <n v="124353"/>
    <n v="12056"/>
    <n v="112297"/>
    <x v="1"/>
    <x v="2"/>
    <n v="9.6949812228092611E-2"/>
    <x v="3"/>
  </r>
  <r>
    <n v="1129"/>
    <s v="STAR HEALTH CARE  (CREDIT)"/>
    <d v="2022-10-25T00:00:00"/>
    <x v="1"/>
    <d v="2022-10-30T00:00:00"/>
    <d v="2022-10-30T00:00:00"/>
    <n v="22029221"/>
    <n v="2237388"/>
    <n v="1001806168"/>
    <s v="RAJEEV ARORA"/>
    <x v="628"/>
    <n v="14425"/>
    <n v="120212"/>
    <n v="17095"/>
    <n v="103117"/>
    <x v="1"/>
    <x v="0"/>
    <n v="0.14220710078860679"/>
    <x v="0"/>
  </r>
  <r>
    <n v="1130"/>
    <s v="DGHS (DELHI GOVT.)"/>
    <d v="2022-10-05T00:00:00"/>
    <x v="1"/>
    <d v="2022-10-16T00:00:00"/>
    <d v="2022-10-16T00:00:00"/>
    <n v="22027341"/>
    <n v="2234763"/>
    <n v="10013503916"/>
    <s v="DARSHANA"/>
    <x v="629"/>
    <n v="0"/>
    <n v="197275"/>
    <n v="197275"/>
    <n v="0"/>
    <x v="0"/>
    <x v="2"/>
    <n v="1"/>
    <x v="0"/>
  </r>
  <r>
    <n v="1131"/>
    <s v="PARK MED CLAIM LTD"/>
    <d v="2022-10-28T00:00:00"/>
    <x v="1"/>
    <d v="2022-10-31T00:00:00"/>
    <d v="2022-10-31T00:00:00"/>
    <n v="22029285"/>
    <n v="2237894"/>
    <n v="1001254895"/>
    <s v="VRINDA BANSAL"/>
    <x v="630"/>
    <n v="10966"/>
    <n v="74080"/>
    <n v="23546"/>
    <n v="50534"/>
    <x v="1"/>
    <x v="5"/>
    <n v="0.31784557235421168"/>
    <x v="0"/>
  </r>
  <r>
    <n v="1132"/>
    <s v="MEDI ASSIST"/>
    <d v="2022-10-31T00:00:00"/>
    <x v="1"/>
    <d v="2022-10-31T00:00:00"/>
    <d v="2022-10-31T00:00:00"/>
    <n v="22029331"/>
    <n v="2238183"/>
    <n v="1001206152"/>
    <s v="JITENDRA GARG"/>
    <x v="75"/>
    <n v="0"/>
    <n v="2200"/>
    <n v="440"/>
    <n v="1760"/>
    <x v="1"/>
    <x v="12"/>
    <n v="0.2"/>
    <x v="13"/>
  </r>
  <r>
    <n v="1133"/>
    <s v="FHPL-KOTAK"/>
    <d v="2022-10-04T00:00:00"/>
    <x v="1"/>
    <d v="2022-10-05T00:00:00"/>
    <d v="2022-10-05T00:00:00"/>
    <n v="22025689"/>
    <n v="2234492"/>
    <n v="10013541439"/>
    <s v="RAJINDER KAPILA"/>
    <x v="631"/>
    <n v="3447"/>
    <n v="38114"/>
    <n v="4106"/>
    <n v="34008"/>
    <x v="1"/>
    <x v="2"/>
    <n v="0.10772944324919977"/>
    <x v="4"/>
  </r>
  <r>
    <n v="1134"/>
    <s v="GENERAL PATIENT"/>
    <d v="2022-10-06T00:00:00"/>
    <x v="1"/>
    <d v="2022-10-10T00:00:00"/>
    <d v="2022-10-10T00:00:00"/>
    <n v="22026453"/>
    <n v="2234935"/>
    <n v="10013540684"/>
    <s v="RAJEESH AGGARWAL"/>
    <x v="632"/>
    <n v="32316"/>
    <n v="111032"/>
    <n v="111032"/>
    <n v="0"/>
    <x v="0"/>
    <x v="1"/>
    <n v="1"/>
    <x v="4"/>
  </r>
  <r>
    <n v="1135"/>
    <s v="IFFCO TOKIO GENERAL INSURANCE COMPANY LIMITED"/>
    <d v="2022-10-07T00:00:00"/>
    <x v="1"/>
    <d v="2022-10-10T00:00:00"/>
    <d v="2022-10-10T00:00:00"/>
    <n v="22026395"/>
    <n v="2235048"/>
    <n v="1000964563"/>
    <s v="RASHMI AGGARWAL"/>
    <x v="633"/>
    <n v="0"/>
    <n v="127911"/>
    <n v="6088"/>
    <n v="121823"/>
    <x v="1"/>
    <x v="0"/>
    <n v="4.7595593811321932E-2"/>
    <x v="1"/>
  </r>
  <r>
    <n v="1136"/>
    <s v="GENERAL PATIENT"/>
    <d v="2022-10-10T00:00:00"/>
    <x v="1"/>
    <d v="2022-10-10T00:00:00"/>
    <d v="2022-10-10T00:00:00"/>
    <n v="22026456"/>
    <n v="2235440"/>
    <n v="10013533934"/>
    <s v="RAMESH AHUJA"/>
    <x v="45"/>
    <n v="413"/>
    <n v="4577"/>
    <n v="4577"/>
    <n v="0"/>
    <x v="0"/>
    <x v="6"/>
    <n v="1"/>
    <x v="13"/>
  </r>
  <r>
    <n v="1137"/>
    <s v="PARK MED CLAIM LTD"/>
    <d v="2022-10-15T00:00:00"/>
    <x v="1"/>
    <d v="2022-10-19T00:00:00"/>
    <d v="2022-10-19T00:00:00"/>
    <n v="22027693"/>
    <n v="2236205"/>
    <n v="1001001167"/>
    <s v="JAGDISH PARSAD JAIN"/>
    <x v="634"/>
    <n v="8626"/>
    <n v="55302"/>
    <n v="16441"/>
    <n v="38861"/>
    <x v="1"/>
    <x v="5"/>
    <n v="0.29729485371234315"/>
    <x v="0"/>
  </r>
  <r>
    <n v="1138"/>
    <s v="DGHS (DELHI GOVT.)"/>
    <d v="2022-10-18T00:00:00"/>
    <x v="1"/>
    <d v="2022-10-19T00:00:00"/>
    <d v="2022-10-19T00:00:00"/>
    <n v="22027755"/>
    <n v="2236536"/>
    <n v="10013430692"/>
    <s v="SHUBRA GUPTA"/>
    <x v="635"/>
    <n v="0"/>
    <n v="19412"/>
    <n v="1565"/>
    <n v="17847"/>
    <x v="1"/>
    <x v="2"/>
    <n v="8.0620234906243565E-2"/>
    <x v="0"/>
  </r>
  <r>
    <n v="1139"/>
    <s v="GENERAL PATIENT"/>
    <d v="2022-10-31T00:00:00"/>
    <x v="1"/>
    <d v="2022-10-31T00:00:00"/>
    <d v="2022-10-31T00:00:00"/>
    <n v="22029403"/>
    <n v="2238277"/>
    <n v="10013451851"/>
    <s v="SHASHI JAIN"/>
    <x v="636"/>
    <n v="259"/>
    <n v="3279"/>
    <n v="3279"/>
    <n v="0"/>
    <x v="0"/>
    <x v="6"/>
    <n v="1"/>
    <x v="13"/>
  </r>
  <r>
    <n v="1140"/>
    <s v="GENERAL PATIENT"/>
    <d v="2022-10-06T00:00:00"/>
    <x v="1"/>
    <d v="2022-10-06T00:00:00"/>
    <d v="2022-10-06T00:00:00"/>
    <n v="22025806"/>
    <n v="2234839"/>
    <n v="10013424453"/>
    <s v="ASHWANI KUMAR GUPTA"/>
    <x v="45"/>
    <n v="433"/>
    <n v="4557"/>
    <n v="4557"/>
    <n v="0"/>
    <x v="0"/>
    <x v="6"/>
    <n v="1"/>
    <x v="13"/>
  </r>
  <r>
    <n v="1141"/>
    <s v="GOVT. OF NCT OF DELHI"/>
    <d v="2022-10-06T00:00:00"/>
    <x v="1"/>
    <d v="2022-10-06T00:00:00"/>
    <d v="2022-10-06T00:00:00"/>
    <n v="22025808"/>
    <n v="2234817"/>
    <n v="10013386841"/>
    <s v="LEELA DEVI"/>
    <x v="43"/>
    <n v="0"/>
    <n v="1610"/>
    <n v="1610"/>
    <n v="0"/>
    <x v="0"/>
    <x v="6"/>
    <n v="1"/>
    <x v="13"/>
  </r>
  <r>
    <n v="1142"/>
    <s v="GENERAL PATIENT"/>
    <d v="2022-10-10T00:00:00"/>
    <x v="1"/>
    <d v="2022-10-11T00:00:00"/>
    <d v="2022-10-11T00:00:00"/>
    <n v="22026549"/>
    <n v="2235384"/>
    <n v="10013538758"/>
    <s v="NAZIR AHMED"/>
    <x v="637"/>
    <n v="9478"/>
    <n v="59965"/>
    <n v="59965"/>
    <n v="0"/>
    <x v="0"/>
    <x v="1"/>
    <n v="1"/>
    <x v="14"/>
  </r>
  <r>
    <n v="1143"/>
    <s v="M.C.D"/>
    <d v="2022-10-08T00:00:00"/>
    <x v="1"/>
    <d v="2022-10-10T00:00:00"/>
    <d v="2022-10-10T00:00:00"/>
    <n v="22026438"/>
    <n v="2235118"/>
    <n v="10013540863"/>
    <s v="PUSHPA DEVI"/>
    <x v="638"/>
    <n v="0"/>
    <n v="26121"/>
    <n v="26121"/>
    <n v="0"/>
    <x v="0"/>
    <x v="2"/>
    <n v="1"/>
    <x v="1"/>
  </r>
  <r>
    <n v="1144"/>
    <s v="VIDAL HEALTH INSURANCE LIMITED"/>
    <d v="2022-10-03T00:00:00"/>
    <x v="1"/>
    <d v="2022-10-04T00:00:00"/>
    <d v="2022-10-04T00:00:00"/>
    <n v="22025500"/>
    <n v="2234345"/>
    <n v="1001802065"/>
    <s v="GURPREET SINGH MAKAN"/>
    <x v="639"/>
    <n v="0"/>
    <n v="44740"/>
    <n v="5824"/>
    <n v="38916"/>
    <x v="1"/>
    <x v="3"/>
    <n v="0.13017434063477873"/>
    <x v="6"/>
  </r>
  <r>
    <n v="1145"/>
    <s v="GENERAL PATIENT"/>
    <d v="2022-10-01T00:00:00"/>
    <x v="1"/>
    <d v="2022-10-04T00:00:00"/>
    <d v="2022-10-04T00:00:00"/>
    <n v="22025572"/>
    <n v="2234265"/>
    <n v="10013541171"/>
    <s v="TARA CHAND"/>
    <x v="640"/>
    <n v="51735"/>
    <n v="320418"/>
    <n v="320418"/>
    <n v="0"/>
    <x v="0"/>
    <x v="1"/>
    <n v="1"/>
    <x v="2"/>
  </r>
  <r>
    <n v="1146"/>
    <s v="GENERAL PATIENT"/>
    <d v="2022-10-19T00:00:00"/>
    <x v="1"/>
    <d v="2022-10-19T00:00:00"/>
    <d v="2022-10-19T00:00:00"/>
    <n v="22027763"/>
    <n v="2236645"/>
    <n v="1001805277"/>
    <s v="DHARAMVEER SINGH"/>
    <x v="19"/>
    <n v="2350"/>
    <n v="11650"/>
    <n v="11650"/>
    <n v="0"/>
    <x v="0"/>
    <x v="7"/>
    <n v="1"/>
    <x v="4"/>
  </r>
  <r>
    <n v="1147"/>
    <s v="GENERAL PATIENT"/>
    <d v="2022-09-28T00:00:00"/>
    <x v="0"/>
    <d v="2022-10-03T00:00:00"/>
    <d v="2022-10-03T00:00:00"/>
    <n v="22025367"/>
    <n v="2233794"/>
    <n v="1000996161"/>
    <s v="KAIRA BODRA"/>
    <x v="641"/>
    <n v="69598"/>
    <n v="0"/>
    <n v="0"/>
    <n v="0"/>
    <x v="0"/>
    <x v="9"/>
    <e v="#DIV/0!"/>
    <x v="0"/>
  </r>
  <r>
    <n v="1148"/>
    <s v="NIVA BUPA"/>
    <d v="2022-10-11T00:00:00"/>
    <x v="1"/>
    <d v="2022-10-12T00:00:00"/>
    <d v="2022-10-12T00:00:00"/>
    <n v="22026722"/>
    <n v="2235518"/>
    <n v="10013542453"/>
    <s v="KUSUM LATA ANAND"/>
    <x v="642"/>
    <n v="6369"/>
    <n v="52761"/>
    <n v="2643"/>
    <n v="50118"/>
    <x v="1"/>
    <x v="2"/>
    <n v="5.0093819298345367E-2"/>
    <x v="11"/>
  </r>
  <r>
    <n v="1149"/>
    <s v="RAKSHA (TPA)"/>
    <d v="2022-10-03T00:00:00"/>
    <x v="1"/>
    <d v="2022-10-08T00:00:00"/>
    <d v="2022-10-08T00:00:00"/>
    <n v="22026160"/>
    <n v="2234462"/>
    <n v="1000921607"/>
    <s v="PRIYANKA AGGARWAL"/>
    <x v="643"/>
    <n v="9475"/>
    <n v="61930"/>
    <n v="15075"/>
    <n v="46855"/>
    <x v="1"/>
    <x v="5"/>
    <n v="0.24341999031164219"/>
    <x v="14"/>
  </r>
  <r>
    <n v="1150"/>
    <s v="CGHS"/>
    <d v="2022-10-19T00:00:00"/>
    <x v="1"/>
    <d v="2022-10-19T00:00:00"/>
    <d v="2022-10-19T00:00:00"/>
    <n v="22027764"/>
    <n v="2236593"/>
    <n v="10013538440"/>
    <s v="SUNITA"/>
    <x v="644"/>
    <n v="0"/>
    <n v="9318"/>
    <n v="9318"/>
    <n v="0"/>
    <x v="0"/>
    <x v="1"/>
    <n v="1"/>
    <x v="5"/>
  </r>
  <r>
    <n v="1151"/>
    <s v="ICICI Lombard General Insurance"/>
    <d v="2022-10-17T00:00:00"/>
    <x v="1"/>
    <d v="2022-10-19T00:00:00"/>
    <d v="2022-10-19T00:00:00"/>
    <n v="22027714"/>
    <n v="2236430"/>
    <n v="10013538332"/>
    <s v="MANISH"/>
    <x v="645"/>
    <n v="0"/>
    <n v="47372"/>
    <n v="6000"/>
    <n v="41372"/>
    <x v="1"/>
    <x v="4"/>
    <n v="0.12665709701933631"/>
    <x v="4"/>
  </r>
  <r>
    <n v="1152"/>
    <s v="HDFC ERGO General Insurance Co. Ltd."/>
    <d v="2022-10-18T00:00:00"/>
    <x v="1"/>
    <d v="2022-10-19T00:00:00"/>
    <d v="2022-10-19T00:00:00"/>
    <n v="22027704"/>
    <n v="2236476"/>
    <n v="1001805040"/>
    <s v="ROHIT NAGPAL"/>
    <x v="646"/>
    <n v="0"/>
    <n v="100959"/>
    <n v="100959"/>
    <n v="0"/>
    <x v="0"/>
    <x v="0"/>
    <n v="1"/>
    <x v="12"/>
  </r>
  <r>
    <n v="1153"/>
    <s v="HARAYANA GOVT."/>
    <d v="2022-10-15T00:00:00"/>
    <x v="1"/>
    <d v="2022-10-15T00:00:00"/>
    <d v="2022-10-15T00:00:00"/>
    <n v="22027129"/>
    <n v="2236076"/>
    <n v="1000891454"/>
    <s v="PREM SINGH"/>
    <x v="96"/>
    <n v="0"/>
    <n v="2064"/>
    <n v="2064"/>
    <n v="0"/>
    <x v="0"/>
    <x v="6"/>
    <n v="1"/>
    <x v="13"/>
  </r>
  <r>
    <n v="1154"/>
    <s v=" RAKSHA TPA PVT.LTD."/>
    <d v="2022-10-12T00:00:00"/>
    <x v="1"/>
    <d v="2022-10-12T00:00:00"/>
    <d v="2022-10-12T00:00:00"/>
    <n v="22026771"/>
    <n v="2235716"/>
    <n v="1001689981"/>
    <s v="RITIKA SINGH"/>
    <x v="141"/>
    <n v="0"/>
    <n v="2950"/>
    <n v="374"/>
    <n v="2576"/>
    <x v="1"/>
    <x v="6"/>
    <n v="0.12677966101694915"/>
    <x v="13"/>
  </r>
  <r>
    <n v="1155"/>
    <s v=" CGHS CREDIT"/>
    <d v="2022-10-09T00:00:00"/>
    <x v="1"/>
    <d v="2022-10-12T00:00:00"/>
    <d v="2022-10-12T00:00:00"/>
    <n v="22026670"/>
    <n v="2235309"/>
    <n v="1001493617"/>
    <s v="SHYAM SUNDER TRIKHA"/>
    <x v="647"/>
    <n v="0"/>
    <n v="20912"/>
    <n v="600"/>
    <n v="20312"/>
    <x v="1"/>
    <x v="2"/>
    <n v="2.8691660290742157E-2"/>
    <x v="0"/>
  </r>
  <r>
    <n v="1156"/>
    <s v=" STAR HEALTH TPA"/>
    <d v="2022-10-12T00:00:00"/>
    <x v="1"/>
    <d v="2022-10-17T00:00:00"/>
    <d v="2022-10-17T00:00:00"/>
    <n v="22027417"/>
    <n v="2235728"/>
    <n v="1001421991"/>
    <s v="ANIL SHARMA"/>
    <x v="648"/>
    <n v="8862"/>
    <n v="95516"/>
    <n v="6929"/>
    <n v="88587"/>
    <x v="1"/>
    <x v="0"/>
    <n v="7.2542820051090917E-2"/>
    <x v="0"/>
  </r>
  <r>
    <n v="1157"/>
    <s v="GENERAL PATIENT"/>
    <d v="2022-10-13T00:00:00"/>
    <x v="1"/>
    <d v="2022-10-13T00:00:00"/>
    <d v="2022-10-13T00:00:00"/>
    <n v="22026818"/>
    <n v="2235797"/>
    <n v="10013531598"/>
    <s v="OMWATI"/>
    <x v="73"/>
    <n v="310"/>
    <n v="2534"/>
    <n v="2534"/>
    <n v="0"/>
    <x v="0"/>
    <x v="6"/>
    <n v="1"/>
    <x v="13"/>
  </r>
  <r>
    <n v="1158"/>
    <s v="MEDI ASSIST"/>
    <d v="2022-10-16T00:00:00"/>
    <x v="1"/>
    <d v="2022-10-19T00:00:00"/>
    <d v="2022-10-19T00:00:00"/>
    <n v="22027697"/>
    <n v="2236230"/>
    <n v="10013498350"/>
    <s v="RUPALI"/>
    <x v="208"/>
    <n v="225"/>
    <n v="60095"/>
    <n v="10095"/>
    <n v="50000"/>
    <x v="1"/>
    <x v="5"/>
    <n v="0.16798402529328563"/>
    <x v="1"/>
  </r>
  <r>
    <n v="1159"/>
    <s v="CGHS ( CREDIT)"/>
    <d v="2022-10-13T00:00:00"/>
    <x v="1"/>
    <d v="2022-10-23T00:00:00"/>
    <d v="2022-10-23T00:00:00"/>
    <n v="22028331"/>
    <n v="2235791"/>
    <n v="10013534778"/>
    <s v="PARAMJEET KAUR"/>
    <x v="649"/>
    <n v="0"/>
    <n v="420102"/>
    <n v="18980"/>
    <n v="401122"/>
    <x v="1"/>
    <x v="0"/>
    <n v="4.5179504025212924E-2"/>
    <x v="2"/>
  </r>
  <r>
    <n v="1160"/>
    <s v="MANIPAL CIGNA HEALTH INSURANCE COMPANY LIMITED"/>
    <d v="2022-10-15T00:00:00"/>
    <x v="1"/>
    <d v="2022-10-19T00:00:00"/>
    <d v="2022-10-19T00:00:00"/>
    <n v="22027722"/>
    <n v="2236136"/>
    <n v="1000967517"/>
    <s v="AJIT KUMAR"/>
    <x v="650"/>
    <n v="4384"/>
    <n v="311544"/>
    <n v="4511"/>
    <n v="307033"/>
    <x v="1"/>
    <x v="4"/>
    <n v="1.4479495673163341E-2"/>
    <x v="4"/>
  </r>
  <r>
    <n v="1161"/>
    <s v="FHPL-TATA AIG"/>
    <d v="2022-10-09T00:00:00"/>
    <x v="1"/>
    <d v="2022-10-10T00:00:00"/>
    <d v="2022-10-10T00:00:00"/>
    <n v="22026476"/>
    <n v="2235274"/>
    <n v="1001043447"/>
    <s v="ZEENAT ALAM"/>
    <x v="651"/>
    <n v="7769"/>
    <n v="74917"/>
    <n v="74917"/>
    <n v="0"/>
    <x v="0"/>
    <x v="2"/>
    <n v="1"/>
    <x v="1"/>
  </r>
  <r>
    <n v="1162"/>
    <s v="GENERAL PATIENT"/>
    <d v="2022-10-20T00:00:00"/>
    <x v="1"/>
    <d v="2022-10-22T00:00:00"/>
    <d v="2022-10-22T00:00:00"/>
    <n v="22028202"/>
    <n v="2236722"/>
    <n v="1001301044"/>
    <s v="KOMAL ARORA"/>
    <x v="652"/>
    <n v="12565"/>
    <n v="85794"/>
    <n v="85794"/>
    <n v="0"/>
    <x v="0"/>
    <x v="10"/>
    <n v="1"/>
    <x v="1"/>
  </r>
  <r>
    <n v="1163"/>
    <s v="M.C.D"/>
    <d v="2022-10-20T00:00:00"/>
    <x v="1"/>
    <d v="2022-10-22T00:00:00"/>
    <d v="2022-10-22T00:00:00"/>
    <n v="22028234"/>
    <n v="2236826"/>
    <n v="10013543938"/>
    <s v="POONAM"/>
    <x v="653"/>
    <n v="0"/>
    <n v="15692"/>
    <n v="15692"/>
    <n v="0"/>
    <x v="0"/>
    <x v="1"/>
    <n v="1"/>
    <x v="0"/>
  </r>
  <r>
    <n v="1164"/>
    <s v="Safeway Mediclaim Services Pvt. Ltd."/>
    <d v="2022-09-20T00:00:00"/>
    <x v="0"/>
    <d v="2022-10-01T00:00:00"/>
    <d v="2022-10-01T00:00:00"/>
    <n v="22025203"/>
    <n v="2232664"/>
    <n v="10013539462"/>
    <s v="NEERU ARORA"/>
    <x v="654"/>
    <n v="53921"/>
    <n v="387977"/>
    <n v="54472"/>
    <n v="333505"/>
    <x v="1"/>
    <x v="3"/>
    <n v="0.14040007526219339"/>
    <x v="0"/>
  </r>
  <r>
    <n v="1165"/>
    <s v="GENERAL PATIENT"/>
    <d v="2022-10-14T00:00:00"/>
    <x v="1"/>
    <d v="2022-10-14T00:00:00"/>
    <d v="2022-10-14T00:00:00"/>
    <n v="22027046"/>
    <n v="2235970"/>
    <n v="1000891328"/>
    <s v="SOURAV SHARMA"/>
    <x v="190"/>
    <n v="3288"/>
    <n v="0"/>
    <n v="0"/>
    <n v="0"/>
    <x v="0"/>
    <x v="9"/>
    <e v="#DIV/0!"/>
    <x v="13"/>
  </r>
  <r>
    <n v="1166"/>
    <s v="GENERAL PATIENT"/>
    <d v="2022-10-26T00:00:00"/>
    <x v="1"/>
    <d v="2022-10-26T00:00:00"/>
    <d v="2022-10-26T00:00:00"/>
    <n v="22028578"/>
    <n v="2237440"/>
    <n v="1001575947"/>
    <s v="MANISH RAJPUT"/>
    <x v="73"/>
    <n v="271"/>
    <n v="2573"/>
    <n v="2573"/>
    <n v="0"/>
    <x v="0"/>
    <x v="6"/>
    <n v="1"/>
    <x v="13"/>
  </r>
  <r>
    <n v="1167"/>
    <s v="GENERAL PATIENT"/>
    <d v="2022-10-17T00:00:00"/>
    <x v="1"/>
    <d v="2022-10-17T00:00:00"/>
    <d v="2022-10-17T00:00:00"/>
    <n v="22027391"/>
    <n v="2236279"/>
    <n v="10013542801"/>
    <s v="SARIKA PANDEY"/>
    <x v="655"/>
    <n v="1178"/>
    <n v="6672"/>
    <n v="6672"/>
    <n v="0"/>
    <x v="0"/>
    <x v="1"/>
    <n v="1"/>
    <x v="11"/>
  </r>
  <r>
    <n v="1168"/>
    <s v="Paramount Health Services (TPA) Private Limited"/>
    <d v="2022-10-13T00:00:00"/>
    <x v="1"/>
    <d v="2022-10-17T00:00:00"/>
    <d v="2022-10-17T00:00:00"/>
    <n v="22027430"/>
    <n v="2235859"/>
    <n v="10013540363"/>
    <s v="MEHAK GOYAL"/>
    <x v="656"/>
    <n v="0"/>
    <n v="71400"/>
    <n v="7500"/>
    <n v="63900"/>
    <x v="1"/>
    <x v="2"/>
    <n v="0.10504201680672269"/>
    <x v="1"/>
  </r>
  <r>
    <n v="1169"/>
    <s v="Medvantage Insurance TPA Private Limited"/>
    <d v="2022-10-09T00:00:00"/>
    <x v="1"/>
    <d v="2022-10-11T00:00:00"/>
    <d v="2022-10-11T00:00:00"/>
    <n v="22026541"/>
    <n v="2235272"/>
    <n v="1001803401"/>
    <s v="AASTHA  MALE BABY VERMA"/>
    <x v="657"/>
    <n v="0"/>
    <n v="6897"/>
    <n v="6897"/>
    <n v="0"/>
    <x v="0"/>
    <x v="2"/>
    <n v="1"/>
    <x v="3"/>
  </r>
  <r>
    <n v="1170"/>
    <s v="GENERAL PATIENT"/>
    <d v="2022-10-11T00:00:00"/>
    <x v="1"/>
    <d v="2022-10-11T00:00:00"/>
    <d v="2022-10-11T00:00:00"/>
    <n v="22026608"/>
    <n v="2235562"/>
    <n v="1001803786"/>
    <s v="SUMAN"/>
    <x v="19"/>
    <n v="0"/>
    <n v="14000"/>
    <n v="14000"/>
    <n v="0"/>
    <x v="0"/>
    <x v="6"/>
    <n v="1"/>
    <x v="4"/>
  </r>
  <r>
    <n v="1171"/>
    <s v="STAR HEALTH CARE  (CREDIT)"/>
    <d v="2022-10-06T00:00:00"/>
    <x v="1"/>
    <d v="2022-10-07T00:00:00"/>
    <d v="2022-10-07T00:00:00"/>
    <n v="22026024"/>
    <n v="2234901"/>
    <n v="10013541812"/>
    <s v="RAKESH MAKHIJA"/>
    <x v="658"/>
    <n v="0"/>
    <n v="218605"/>
    <n v="1501"/>
    <n v="217104"/>
    <x v="1"/>
    <x v="1"/>
    <n v="6.8662656389378105E-3"/>
    <x v="4"/>
  </r>
  <r>
    <n v="1172"/>
    <s v="ICICI Lombard General Insurance"/>
    <d v="2022-10-22T00:00:00"/>
    <x v="1"/>
    <d v="2022-10-29T00:00:00"/>
    <d v="2022-10-29T00:00:00"/>
    <n v="22029053"/>
    <n v="2237110"/>
    <n v="10013377257"/>
    <s v="SANGEETA BANERJEE"/>
    <x v="659"/>
    <n v="3457"/>
    <n v="141645"/>
    <n v="3187"/>
    <n v="138458"/>
    <x v="1"/>
    <x v="0"/>
    <n v="2.2499911751209009E-2"/>
    <x v="0"/>
  </r>
  <r>
    <n v="1173"/>
    <s v="GENERAL PATIENT"/>
    <d v="2022-10-28T00:00:00"/>
    <x v="1"/>
    <d v="2022-10-29T00:00:00"/>
    <d v="2022-10-29T00:00:00"/>
    <n v="22029134"/>
    <n v="2237741"/>
    <n v="10013450796"/>
    <s v="PARUL GOYAL"/>
    <x v="660"/>
    <n v="4396"/>
    <n v="28518"/>
    <n v="28518"/>
    <n v="0"/>
    <x v="0"/>
    <x v="0"/>
    <n v="1"/>
    <x v="0"/>
  </r>
  <r>
    <n v="1174"/>
    <s v="GENERAL PATIENT(MAHSRC)"/>
    <d v="2022-09-29T00:00:00"/>
    <x v="0"/>
    <d v="2022-10-11T00:00:00"/>
    <d v="2022-10-12T00:00:00"/>
    <n v="22026703"/>
    <n v="2233990"/>
    <n v="10013461377"/>
    <s v="SALOCHANA DEVI GOYAL"/>
    <x v="661"/>
    <n v="0"/>
    <n v="94751"/>
    <n v="94751"/>
    <n v="0"/>
    <x v="0"/>
    <x v="2"/>
    <n v="1"/>
    <x v="0"/>
  </r>
  <r>
    <n v="1175"/>
    <s v="Safeway Mediclaim Services Pvt. Ltd."/>
    <d v="2022-10-07T00:00:00"/>
    <x v="1"/>
    <d v="2022-10-12T00:00:00"/>
    <d v="2022-10-12T00:00:00"/>
    <n v="22026690"/>
    <n v="2234999"/>
    <n v="1001240039"/>
    <s v="RAM KISHAN GUPTA"/>
    <x v="662"/>
    <n v="25498"/>
    <n v="176324"/>
    <n v="51357"/>
    <n v="124967"/>
    <x v="1"/>
    <x v="2"/>
    <n v="0.29126494408021597"/>
    <x v="0"/>
  </r>
  <r>
    <n v="1176"/>
    <s v="GENERAL PATIENT"/>
    <d v="2022-10-14T00:00:00"/>
    <x v="1"/>
    <d v="2022-10-16T00:00:00"/>
    <d v="2022-10-16T00:00:00"/>
    <n v="22027320"/>
    <n v="2236011"/>
    <n v="10013445688"/>
    <s v="BHAWANA"/>
    <x v="663"/>
    <n v="6629"/>
    <n v="42460"/>
    <n v="42460"/>
    <n v="0"/>
    <x v="0"/>
    <x v="0"/>
    <n v="1"/>
    <x v="1"/>
  </r>
  <r>
    <n v="1177"/>
    <s v=" CGHS Cash"/>
    <d v="2022-10-09T00:00:00"/>
    <x v="1"/>
    <d v="2022-10-18T00:00:00"/>
    <d v="2022-10-18T00:00:00"/>
    <n v="22027570"/>
    <n v="2235313"/>
    <n v="1001803458"/>
    <s v="PREM LATA"/>
    <x v="664"/>
    <n v="0"/>
    <n v="51674"/>
    <n v="51674"/>
    <n v="0"/>
    <x v="0"/>
    <x v="0"/>
    <n v="1"/>
    <x v="0"/>
  </r>
  <r>
    <n v="1178"/>
    <s v="STAR HEALTH CARE  (CREDIT)"/>
    <d v="2022-10-14T00:00:00"/>
    <x v="1"/>
    <d v="2022-10-14T00:00:00"/>
    <d v="2022-10-14T00:00:00"/>
    <n v="22027104"/>
    <n v="2236021"/>
    <n v="10013543055"/>
    <s v="PRATEEK DESWAL"/>
    <x v="16"/>
    <n v="0"/>
    <n v="0"/>
    <n v="0"/>
    <n v="0"/>
    <x v="0"/>
    <x v="0"/>
    <e v="#DIV/0!"/>
    <x v="0"/>
  </r>
  <r>
    <n v="1179"/>
    <s v="HDFC ERGO General Insurance Co. Ltd."/>
    <d v="2022-10-14T00:00:00"/>
    <x v="1"/>
    <d v="2022-10-15T00:00:00"/>
    <d v="2022-10-15T00:00:00"/>
    <n v="22027163"/>
    <n v="2235899"/>
    <n v="10013502468"/>
    <s v="SUBHASH JINDAL"/>
    <x v="665"/>
    <n v="0"/>
    <n v="42098"/>
    <n v="0"/>
    <n v="42098"/>
    <x v="1"/>
    <x v="2"/>
    <n v="0"/>
    <x v="16"/>
  </r>
  <r>
    <n v="1180"/>
    <s v="BAJAJ ALLIANZ INSURANCE"/>
    <d v="2022-10-02T00:00:00"/>
    <x v="1"/>
    <d v="2022-10-07T00:00:00"/>
    <d v="2022-10-07T00:00:00"/>
    <n v="22026023"/>
    <n v="2234310"/>
    <n v="10013502085"/>
    <s v="SONIKA CHAUDHARY"/>
    <x v="666"/>
    <n v="15318"/>
    <n v="139464"/>
    <n v="27041"/>
    <n v="112423"/>
    <x v="1"/>
    <x v="2"/>
    <n v="0.19389233063729708"/>
    <x v="0"/>
  </r>
  <r>
    <n v="1181"/>
    <s v="Good Health Plan Limited"/>
    <d v="2022-10-18T00:00:00"/>
    <x v="1"/>
    <d v="2022-10-18T00:00:00"/>
    <d v="2022-10-18T00:00:00"/>
    <n v="22027579"/>
    <n v="2236473"/>
    <n v="10013471499"/>
    <s v="MOHAN LAL KATARIA"/>
    <x v="75"/>
    <n v="0"/>
    <n v="2200"/>
    <n v="220"/>
    <n v="1980"/>
    <x v="1"/>
    <x v="12"/>
    <n v="0.1"/>
    <x v="13"/>
  </r>
  <r>
    <n v="1182"/>
    <s v="STAR HEALTH CARE  (CREDIT)"/>
    <d v="2022-10-02T00:00:00"/>
    <x v="1"/>
    <d v="2022-10-05T00:00:00"/>
    <d v="2022-10-05T00:00:00"/>
    <n v="22025681"/>
    <n v="2234326"/>
    <n v="1001802035"/>
    <s v="AMAYRA GIROTRA"/>
    <x v="667"/>
    <n v="10296"/>
    <n v="61887"/>
    <n v="6900"/>
    <n v="54987"/>
    <x v="1"/>
    <x v="1"/>
    <n v="0.11149352852780067"/>
    <x v="3"/>
  </r>
  <r>
    <n v="1183"/>
    <s v="International Patient"/>
    <d v="2022-09-29T00:00:00"/>
    <x v="0"/>
    <d v="2022-10-05T00:00:00"/>
    <d v="2022-10-05T00:00:00"/>
    <n v="22025746"/>
    <n v="2233989"/>
    <n v="10013540892"/>
    <s v="THAKOOR KEMOWTEE"/>
    <x v="668"/>
    <n v="0"/>
    <n v="274714"/>
    <n v="274714"/>
    <n v="0"/>
    <x v="0"/>
    <x v="2"/>
    <n v="1"/>
    <x v="0"/>
  </r>
  <r>
    <n v="1184"/>
    <s v="Paramount Health Services (TPA) Private Limited"/>
    <d v="2022-10-03T00:00:00"/>
    <x v="1"/>
    <d v="2022-10-05T00:00:00"/>
    <d v="2022-10-05T00:00:00"/>
    <n v="22025702"/>
    <n v="2234337"/>
    <n v="1001802053"/>
    <s v="BHOOMIKA SHARMA"/>
    <x v="669"/>
    <n v="0"/>
    <n v="51495"/>
    <n v="12975"/>
    <n v="38520"/>
    <x v="1"/>
    <x v="5"/>
    <n v="0.25196621031168076"/>
    <x v="1"/>
  </r>
  <r>
    <n v="1185"/>
    <s v="MD INDIA TPA PVT.LTD."/>
    <d v="2022-10-17T00:00:00"/>
    <x v="1"/>
    <d v="2022-10-29T00:00:00"/>
    <d v="2022-10-29T00:00:00"/>
    <n v="22029125"/>
    <n v="2236358"/>
    <n v="10013540206"/>
    <s v="DINDAYAL SINGH"/>
    <x v="670"/>
    <n v="28602"/>
    <n v="270344"/>
    <n v="14942"/>
    <n v="255402"/>
    <x v="1"/>
    <x v="3"/>
    <n v="5.5270322256088536E-2"/>
    <x v="17"/>
  </r>
  <r>
    <n v="1186"/>
    <s v=" MD INDIA TPA"/>
    <d v="2022-10-06T00:00:00"/>
    <x v="1"/>
    <d v="2022-10-10T00:00:00"/>
    <d v="2022-10-10T00:00:00"/>
    <n v="22026409"/>
    <n v="2234884"/>
    <n v="1001371351"/>
    <s v="SONAM"/>
    <x v="671"/>
    <n v="17888"/>
    <n v="73367"/>
    <n v="5345"/>
    <n v="68022"/>
    <x v="1"/>
    <x v="2"/>
    <n v="7.2852917524227512E-2"/>
    <x v="0"/>
  </r>
  <r>
    <n v="1187"/>
    <s v=" CGHS Cash"/>
    <d v="2022-10-15T00:00:00"/>
    <x v="1"/>
    <d v="2022-10-17T00:00:00"/>
    <d v="2022-10-17T00:00:00"/>
    <n v="22027424"/>
    <n v="2236115"/>
    <n v="1001804512"/>
    <s v="HARIHAR SINGH"/>
    <x v="672"/>
    <n v="0"/>
    <n v="128665"/>
    <n v="128665"/>
    <n v="0"/>
    <x v="0"/>
    <x v="1"/>
    <n v="1"/>
    <x v="4"/>
  </r>
  <r>
    <n v="1188"/>
    <s v="ERICSON INSURANCE TPA PVT LTD"/>
    <d v="2022-10-16T00:00:00"/>
    <x v="1"/>
    <d v="2022-10-23T00:00:00"/>
    <d v="2022-10-23T00:00:00"/>
    <n v="22028371"/>
    <n v="2236215"/>
    <n v="1001793070"/>
    <s v="USHA DEVI"/>
    <x v="673"/>
    <n v="0"/>
    <n v="158669"/>
    <n v="11000"/>
    <n v="147669"/>
    <x v="1"/>
    <x v="1"/>
    <n v="6.9326711581972539E-2"/>
    <x v="0"/>
  </r>
  <r>
    <n v="1189"/>
    <s v="GENERAL PATIENT"/>
    <d v="2022-10-16T00:00:00"/>
    <x v="1"/>
    <d v="2022-10-16T00:00:00"/>
    <d v="2022-10-16T00:00:00"/>
    <n v="22027297"/>
    <n v="2236224"/>
    <n v="1001804641"/>
    <s v="AJEET KUMAR"/>
    <x v="19"/>
    <n v="0"/>
    <n v="14000"/>
    <n v="14000"/>
    <n v="0"/>
    <x v="0"/>
    <x v="6"/>
    <n v="1"/>
    <x v="4"/>
  </r>
  <r>
    <n v="1190"/>
    <s v="GENERAL PATIENT"/>
    <d v="2022-09-29T00:00:00"/>
    <x v="0"/>
    <d v="2022-10-01T00:00:00"/>
    <d v="2022-10-01T00:00:00"/>
    <n v="22025216"/>
    <n v="2233998"/>
    <n v="10013539950"/>
    <s v="MAYA DEVI"/>
    <x v="674"/>
    <n v="2138"/>
    <n v="14605"/>
    <n v="14605"/>
    <n v="0"/>
    <x v="0"/>
    <x v="1"/>
    <n v="1"/>
    <x v="17"/>
  </r>
  <r>
    <n v="1191"/>
    <s v="NIVA BUPA"/>
    <d v="2022-09-29T00:00:00"/>
    <x v="0"/>
    <d v="2022-10-01T00:00:00"/>
    <d v="2022-10-01T00:00:00"/>
    <n v="22025113"/>
    <n v="2233937"/>
    <n v="10013484116"/>
    <s v="PRINCE GARG"/>
    <x v="675"/>
    <n v="3779"/>
    <n v="32629"/>
    <n v="3230"/>
    <n v="29399"/>
    <x v="1"/>
    <x v="10"/>
    <n v="9.8991694504888289E-2"/>
    <x v="3"/>
  </r>
  <r>
    <n v="1192"/>
    <s v="GENERAL PATIENT"/>
    <d v="2022-10-14T00:00:00"/>
    <x v="1"/>
    <d v="2022-10-15T00:00:00"/>
    <d v="2022-10-15T00:00:00"/>
    <n v="22027142"/>
    <n v="2235982"/>
    <n v="1001802809"/>
    <s v="YOGITA MALE BABY  ADHIKARY"/>
    <x v="676"/>
    <n v="1866"/>
    <n v="11863"/>
    <n v="11863"/>
    <n v="0"/>
    <x v="0"/>
    <x v="1"/>
    <n v="1"/>
    <x v="3"/>
  </r>
  <r>
    <n v="1193"/>
    <s v="FHPL-TATA AIG"/>
    <d v="2022-10-15T00:00:00"/>
    <x v="1"/>
    <d v="2022-10-15T00:00:00"/>
    <d v="2022-10-15T00:00:00"/>
    <n v="22027229"/>
    <n v="2236096"/>
    <n v="10013542753"/>
    <s v="SANTOOSHTI AGGARWAL"/>
    <x v="677"/>
    <n v="0"/>
    <n v="24153"/>
    <n v="2212"/>
    <n v="21941"/>
    <x v="1"/>
    <x v="6"/>
    <n v="9.1582826149960661E-2"/>
    <x v="1"/>
  </r>
  <r>
    <n v="1194"/>
    <s v="GOVT. OF NCT OF DELHI"/>
    <d v="2022-10-17T00:00:00"/>
    <x v="1"/>
    <d v="2022-10-17T00:00:00"/>
    <d v="2022-10-17T00:00:00"/>
    <n v="22027359"/>
    <n v="2236278"/>
    <n v="10013269857"/>
    <s v="JAI BHAGWAN"/>
    <x v="43"/>
    <n v="0"/>
    <n v="1610"/>
    <n v="1610"/>
    <n v="0"/>
    <x v="0"/>
    <x v="6"/>
    <n v="1"/>
    <x v="13"/>
  </r>
  <r>
    <n v="1195"/>
    <s v="GENERAL PATIENT"/>
    <d v="2022-10-17T00:00:00"/>
    <x v="1"/>
    <d v="2022-10-17T00:00:00"/>
    <d v="2022-10-17T00:00:00"/>
    <n v="22027371"/>
    <n v="2236293"/>
    <n v="10013424453"/>
    <s v="ASHWANI KUMAR GUPTA"/>
    <x v="45"/>
    <n v="413"/>
    <n v="4577"/>
    <n v="4577"/>
    <n v="0"/>
    <x v="0"/>
    <x v="6"/>
    <n v="1"/>
    <x v="13"/>
  </r>
  <r>
    <n v="1196"/>
    <s v="GENERAL PATIENT"/>
    <d v="2022-10-17T00:00:00"/>
    <x v="1"/>
    <d v="2022-10-17T00:00:00"/>
    <d v="2022-10-17T00:00:00"/>
    <n v="22027434"/>
    <n v="2236329"/>
    <n v="10013513064"/>
    <s v="JAGJEET KAUR"/>
    <x v="73"/>
    <n v="286"/>
    <n v="2558"/>
    <n v="2558"/>
    <n v="0"/>
    <x v="0"/>
    <x v="6"/>
    <n v="1"/>
    <x v="13"/>
  </r>
  <r>
    <n v="1197"/>
    <s v=" DGEHS (CASH)"/>
    <d v="2022-09-27T00:00:00"/>
    <x v="0"/>
    <d v="2022-10-07T00:00:00"/>
    <d v="2022-10-07T00:00:00"/>
    <n v="22026003"/>
    <n v="2233690"/>
    <n v="1001801120"/>
    <s v="SUMIT KUMAR YADAV"/>
    <x v="678"/>
    <n v="0"/>
    <n v="63315"/>
    <n v="63315"/>
    <n v="0"/>
    <x v="0"/>
    <x v="1"/>
    <n v="1"/>
    <x v="0"/>
  </r>
  <r>
    <n v="1198"/>
    <s v="Health Insurance TPA of India Ltd."/>
    <d v="2022-10-18T00:00:00"/>
    <x v="1"/>
    <d v="2022-10-22T00:00:00"/>
    <d v="2022-10-22T00:00:00"/>
    <n v="22028165"/>
    <n v="2236563"/>
    <n v="1001016029"/>
    <s v="MADHAV ARORA"/>
    <x v="679"/>
    <n v="0"/>
    <n v="118971"/>
    <n v="7784"/>
    <n v="111187"/>
    <x v="1"/>
    <x v="3"/>
    <n v="6.5427709273688545E-2"/>
    <x v="3"/>
  </r>
  <r>
    <n v="1199"/>
    <s v=" CGHS Cash"/>
    <d v="2022-10-25T00:00:00"/>
    <x v="1"/>
    <d v="2022-10-25T00:00:00"/>
    <d v="2022-10-25T00:00:00"/>
    <n v="22028544"/>
    <n v="2237376"/>
    <n v="1001783673"/>
    <s v="ANWAR MEHDI ZAIDI"/>
    <x v="43"/>
    <n v="0"/>
    <n v="1610"/>
    <n v="1610"/>
    <n v="0"/>
    <x v="0"/>
    <x v="6"/>
    <n v="1"/>
    <x v="13"/>
  </r>
  <r>
    <n v="1200"/>
    <s v=" CGHS Cash"/>
    <d v="2022-10-17T00:00:00"/>
    <x v="1"/>
    <d v="2022-10-17T00:00:00"/>
    <d v="2022-10-17T00:00:00"/>
    <n v="22027483"/>
    <n v="2236396"/>
    <n v="1001758739"/>
    <s v="HEMLATA"/>
    <x v="137"/>
    <n v="0"/>
    <n v="2560"/>
    <n v="2560"/>
    <n v="0"/>
    <x v="0"/>
    <x v="6"/>
    <n v="1"/>
    <x v="13"/>
  </r>
  <r>
    <n v="1201"/>
    <s v="GENERAL PATIENT"/>
    <d v="2022-10-20T00:00:00"/>
    <x v="1"/>
    <d v="2022-10-20T00:00:00"/>
    <d v="2022-10-20T00:00:00"/>
    <n v="22027897"/>
    <n v="2236776"/>
    <n v="1000919979"/>
    <s v="HEMA  BHAGAT"/>
    <x v="73"/>
    <n v="286"/>
    <n v="2558"/>
    <n v="2558"/>
    <n v="0"/>
    <x v="0"/>
    <x v="6"/>
    <n v="1"/>
    <x v="13"/>
  </r>
  <r>
    <n v="1202"/>
    <s v="GENERAL PATIENT"/>
    <d v="2022-10-18T00:00:00"/>
    <x v="1"/>
    <d v="2022-10-20T00:00:00"/>
    <d v="2022-10-20T00:00:00"/>
    <n v="22027862"/>
    <n v="2236477"/>
    <n v="1001805043"/>
    <s v="SUMIT MALE BABY"/>
    <x v="680"/>
    <n v="1483"/>
    <n v="10654"/>
    <n v="10654"/>
    <n v="0"/>
    <x v="0"/>
    <x v="1"/>
    <n v="1"/>
    <x v="3"/>
  </r>
  <r>
    <n v="1203"/>
    <s v="Paramount Health Services (TPA) Private Limited"/>
    <d v="2022-10-12T00:00:00"/>
    <x v="1"/>
    <d v="2022-10-15T00:00:00"/>
    <d v="2022-10-15T00:00:00"/>
    <n v="22027165"/>
    <n v="2235704"/>
    <n v="10013542545"/>
    <s v="SANDEEP"/>
    <x v="681"/>
    <n v="17808"/>
    <n v="115142"/>
    <n v="12680"/>
    <n v="102462"/>
    <x v="1"/>
    <x v="3"/>
    <n v="0.11012488926716577"/>
    <x v="12"/>
  </r>
  <r>
    <n v="1204"/>
    <s v="GENERAL PATIENT"/>
    <d v="2022-10-08T00:00:00"/>
    <x v="1"/>
    <d v="2022-10-08T00:00:00"/>
    <d v="2022-10-08T00:00:00"/>
    <n v="22026091"/>
    <n v="2235146"/>
    <n v="1000891450"/>
    <s v="MANOJ KUMAR SINHA"/>
    <x v="112"/>
    <n v="1510"/>
    <n v="1978"/>
    <n v="1978"/>
    <n v="0"/>
    <x v="0"/>
    <x v="6"/>
    <n v="1"/>
    <x v="13"/>
  </r>
  <r>
    <n v="1205"/>
    <s v=" STAR HEALTH TPA"/>
    <d v="2022-10-08T00:00:00"/>
    <x v="1"/>
    <d v="2022-10-12T00:00:00"/>
    <d v="2022-10-12T00:00:00"/>
    <n v="22026712"/>
    <n v="2235166"/>
    <n v="1001803251"/>
    <s v="VIDUSHI SHARMA"/>
    <x v="682"/>
    <n v="7055"/>
    <n v="36764"/>
    <n v="3300"/>
    <n v="33464"/>
    <x v="1"/>
    <x v="5"/>
    <n v="8.9761723425089757E-2"/>
    <x v="3"/>
  </r>
  <r>
    <n v="1206"/>
    <s v="GENERAL PATIENT"/>
    <d v="2022-09-30T00:00:00"/>
    <x v="0"/>
    <d v="2022-10-02T00:00:00"/>
    <d v="2022-10-02T00:00:00"/>
    <n v="22025285"/>
    <n v="2234097"/>
    <n v="10013541032"/>
    <s v="K.K. KAPOOR"/>
    <x v="683"/>
    <n v="16736"/>
    <n v="108498"/>
    <n v="108498"/>
    <n v="0"/>
    <x v="0"/>
    <x v="1"/>
    <n v="1"/>
    <x v="4"/>
  </r>
  <r>
    <n v="1207"/>
    <s v="GENERAL PATIENT"/>
    <d v="2022-10-06T00:00:00"/>
    <x v="1"/>
    <d v="2022-10-06T00:00:00"/>
    <d v="2022-10-06T00:00:00"/>
    <n v="22025909"/>
    <n v="2234923"/>
    <n v="10013440543"/>
    <s v="SHYAM"/>
    <x v="190"/>
    <n v="3288"/>
    <n v="0"/>
    <n v="0"/>
    <n v="0"/>
    <x v="0"/>
    <x v="9"/>
    <e v="#DIV/0!"/>
    <x v="13"/>
  </r>
  <r>
    <n v="1208"/>
    <s v="GENERAL PATIENT"/>
    <d v="2022-09-26T00:00:00"/>
    <x v="0"/>
    <d v="2022-10-07T00:00:00"/>
    <d v="2022-10-07T00:00:00"/>
    <n v="22025992"/>
    <n v="2233544"/>
    <n v="10013540355"/>
    <s v="PARO"/>
    <x v="684"/>
    <n v="211410"/>
    <n v="0"/>
    <n v="0"/>
    <n v="0"/>
    <x v="0"/>
    <x v="9"/>
    <e v="#DIV/0!"/>
    <x v="0"/>
  </r>
  <r>
    <n v="1209"/>
    <s v=" ERICSON INSURANCE TPA"/>
    <d v="2022-09-28T00:00:00"/>
    <x v="0"/>
    <d v="2022-10-01T00:00:00"/>
    <d v="2022-10-01T00:00:00"/>
    <n v="22025138"/>
    <n v="2233844"/>
    <n v="1001737348"/>
    <s v="AVDESH SINGH"/>
    <x v="685"/>
    <n v="2760"/>
    <n v="41997"/>
    <n v="2000"/>
    <n v="39997"/>
    <x v="1"/>
    <x v="1"/>
    <n v="4.7622449222563513E-2"/>
    <x v="11"/>
  </r>
  <r>
    <n v="1210"/>
    <s v="GENERAL PATIENT"/>
    <d v="2022-10-06T00:00:00"/>
    <x v="1"/>
    <d v="2022-10-07T00:00:00"/>
    <d v="2022-10-07T00:00:00"/>
    <n v="22026000"/>
    <n v="2234842"/>
    <n v="10013540775"/>
    <s v="PRITI RANI"/>
    <x v="686"/>
    <n v="44989"/>
    <n v="0"/>
    <n v="0"/>
    <n v="0"/>
    <x v="0"/>
    <x v="9"/>
    <e v="#DIV/0!"/>
    <x v="1"/>
  </r>
  <r>
    <n v="1211"/>
    <s v="GENERAL PATIENT"/>
    <d v="2022-10-14T00:00:00"/>
    <x v="1"/>
    <d v="2022-10-17T00:00:00"/>
    <d v="2022-10-17T00:00:00"/>
    <n v="22027376"/>
    <n v="2235976"/>
    <n v="10013543004"/>
    <s v="ASHEESH KUMAR MISHRA"/>
    <x v="687"/>
    <n v="20717"/>
    <n v="31745"/>
    <n v="31745"/>
    <n v="0"/>
    <x v="0"/>
    <x v="7"/>
    <n v="1"/>
    <x v="0"/>
  </r>
  <r>
    <n v="1212"/>
    <s v="GENERAL PATIENT"/>
    <d v="2022-10-21T00:00:00"/>
    <x v="1"/>
    <d v="2022-10-25T00:00:00"/>
    <d v="2022-10-25T00:00:00"/>
    <n v="22028491"/>
    <n v="2236856"/>
    <n v="10013543968"/>
    <s v="BARKHA CHAUDHARY"/>
    <x v="688"/>
    <n v="16691"/>
    <n v="117228"/>
    <n v="117228"/>
    <n v="0"/>
    <x v="0"/>
    <x v="2"/>
    <n v="1"/>
    <x v="0"/>
  </r>
  <r>
    <n v="1213"/>
    <s v="GENERAL PATIENT"/>
    <d v="2022-10-20T00:00:00"/>
    <x v="1"/>
    <d v="2022-10-21T00:00:00"/>
    <d v="2022-10-21T00:00:00"/>
    <n v="22028011"/>
    <n v="2236761"/>
    <n v="1001000368"/>
    <s v="MEENU"/>
    <x v="689"/>
    <n v="12141"/>
    <n v="25354"/>
    <n v="25354"/>
    <n v="0"/>
    <x v="0"/>
    <x v="7"/>
    <n v="1"/>
    <x v="1"/>
  </r>
  <r>
    <n v="1214"/>
    <s v="CGHS ( CREDIT)"/>
    <d v="2022-10-19T00:00:00"/>
    <x v="1"/>
    <d v="2022-10-21T00:00:00"/>
    <d v="2022-10-21T00:00:00"/>
    <n v="22028045"/>
    <n v="2236702"/>
    <n v="10013543791"/>
    <s v="PARAMJEET SINGH"/>
    <x v="690"/>
    <n v="0"/>
    <n v="89170"/>
    <n v="9261"/>
    <n v="79909"/>
    <x v="1"/>
    <x v="1"/>
    <n v="0.10385779970842211"/>
    <x v="0"/>
  </r>
  <r>
    <n v="1215"/>
    <s v="RCare Health"/>
    <d v="2022-10-21T00:00:00"/>
    <x v="1"/>
    <d v="2022-10-21T00:00:00"/>
    <d v="2022-10-21T00:00:00"/>
    <n v="22028046"/>
    <n v="2236890"/>
    <n v="10013511135"/>
    <s v="NEELAM"/>
    <x v="691"/>
    <n v="0"/>
    <n v="31277"/>
    <n v="2318"/>
    <n v="28959"/>
    <x v="1"/>
    <x v="6"/>
    <n v="7.4111967260287112E-2"/>
    <x v="1"/>
  </r>
  <r>
    <n v="1216"/>
    <s v="GENERAL PATIENT"/>
    <d v="2022-10-22T00:00:00"/>
    <x v="1"/>
    <d v="2022-10-22T00:00:00"/>
    <d v="2022-10-22T00:00:00"/>
    <n v="22028211"/>
    <n v="2237036"/>
    <n v="10013513064"/>
    <s v="JAGJEET KAUR"/>
    <x v="73"/>
    <n v="310"/>
    <n v="2534"/>
    <n v="2534"/>
    <n v="0"/>
    <x v="0"/>
    <x v="6"/>
    <n v="1"/>
    <x v="13"/>
  </r>
  <r>
    <n v="1217"/>
    <s v=" MEDI ASSIST INSURANCE TPA LTD"/>
    <d v="2022-10-03T00:00:00"/>
    <x v="1"/>
    <d v="2022-10-05T00:00:00"/>
    <d v="2022-10-05T00:00:00"/>
    <n v="22025680"/>
    <n v="2234429"/>
    <n v="1001624136"/>
    <s v="MALE BABY OF SWATI KUMARI"/>
    <x v="692"/>
    <n v="0"/>
    <n v="4370"/>
    <n v="4370"/>
    <n v="0"/>
    <x v="0"/>
    <x v="3"/>
    <n v="1"/>
    <x v="3"/>
  </r>
  <r>
    <n v="1218"/>
    <s v="DGHS (DELHI GOVT.)"/>
    <d v="2022-10-09T00:00:00"/>
    <x v="1"/>
    <d v="2022-10-11T00:00:00"/>
    <d v="2022-10-12T00:00:00"/>
    <n v="22026781"/>
    <n v="2235276"/>
    <n v="10013331213"/>
    <s v="KRISHNA SHARMA"/>
    <x v="464"/>
    <n v="0"/>
    <n v="166464"/>
    <n v="12210"/>
    <n v="154254"/>
    <x v="1"/>
    <x v="2"/>
    <n v="7.3349192618223757E-2"/>
    <x v="4"/>
  </r>
  <r>
    <n v="1219"/>
    <s v="STAR HEALTH CARE  (CREDIT)"/>
    <d v="2022-09-25T00:00:00"/>
    <x v="0"/>
    <d v="2022-10-02T00:00:00"/>
    <d v="2022-10-02T00:00:00"/>
    <n v="22025321"/>
    <n v="2233397"/>
    <n v="10013371780"/>
    <s v="SIMMI GIRDHAR"/>
    <x v="693"/>
    <n v="22280"/>
    <n v="142574"/>
    <n v="142574"/>
    <n v="0"/>
    <x v="0"/>
    <x v="2"/>
    <n v="1"/>
    <x v="0"/>
  </r>
  <r>
    <n v="1220"/>
    <s v="Universal Sompo Gen.Insu.Co.Ltd."/>
    <d v="2022-10-21T00:00:00"/>
    <x v="1"/>
    <d v="2022-10-24T00:00:00"/>
    <d v="2022-10-24T00:00:00"/>
    <n v="22028434"/>
    <n v="2236973"/>
    <n v="1001805684"/>
    <s v="DIVVAY SHARMA"/>
    <x v="694"/>
    <n v="4487"/>
    <n v="48595"/>
    <n v="3920"/>
    <n v="44675"/>
    <x v="1"/>
    <x v="1"/>
    <n v="8.0666735260829306E-2"/>
    <x v="3"/>
  </r>
  <r>
    <n v="1221"/>
    <s v="Paramount Health Services (TPA) Private Limited"/>
    <d v="2022-10-21T00:00:00"/>
    <x v="1"/>
    <d v="2022-10-26T00:00:00"/>
    <d v="2022-10-26T00:00:00"/>
    <n v="22028591"/>
    <n v="2236980"/>
    <n v="1001242347"/>
    <s v="NEHA"/>
    <x v="695"/>
    <n v="9513"/>
    <n v="62071"/>
    <n v="3477"/>
    <n v="58594"/>
    <x v="1"/>
    <x v="3"/>
    <n v="5.6016497237035008E-2"/>
    <x v="0"/>
  </r>
  <r>
    <n v="1222"/>
    <s v="CGHS"/>
    <d v="2022-10-21T00:00:00"/>
    <x v="1"/>
    <d v="2022-10-24T00:00:00"/>
    <d v="2022-10-24T00:00:00"/>
    <n v="22028431"/>
    <n v="2236982"/>
    <n v="10013543927"/>
    <s v="SUNIL KUMAR"/>
    <x v="696"/>
    <n v="0"/>
    <n v="16311"/>
    <n v="16311"/>
    <n v="0"/>
    <x v="0"/>
    <x v="1"/>
    <n v="1"/>
    <x v="0"/>
  </r>
  <r>
    <n v="1223"/>
    <s v="Safeway Mediclaim Services Pvt. Ltd."/>
    <d v="2022-10-22T00:00:00"/>
    <x v="1"/>
    <d v="2022-10-23T00:00:00"/>
    <d v="2022-10-23T00:00:00"/>
    <n v="22028339"/>
    <n v="2236989"/>
    <n v="10013544103"/>
    <s v="SUDESH SHARMA"/>
    <x v="697"/>
    <n v="8903"/>
    <n v="53307"/>
    <n v="24693"/>
    <n v="28614"/>
    <x v="1"/>
    <x v="4"/>
    <n v="0.46322246609263323"/>
    <x v="4"/>
  </r>
  <r>
    <n v="1224"/>
    <s v="BAJAJ ALLIANZ INSURANCE"/>
    <d v="2022-10-24T00:00:00"/>
    <x v="1"/>
    <d v="2022-10-28T00:00:00"/>
    <d v="2022-10-28T00:00:00"/>
    <n v="22028878"/>
    <n v="2237245"/>
    <n v="10013544313"/>
    <s v="MANOJ SAPRA"/>
    <x v="698"/>
    <n v="6499"/>
    <n v="68638"/>
    <n v="5141"/>
    <n v="63497"/>
    <x v="1"/>
    <x v="2"/>
    <n v="7.4900201054809296E-2"/>
    <x v="0"/>
  </r>
  <r>
    <n v="1225"/>
    <s v="GOVT. OF NCT OF DELHI"/>
    <d v="2022-10-15T00:00:00"/>
    <x v="1"/>
    <d v="2022-10-15T00:00:00"/>
    <d v="2022-10-15T00:00:00"/>
    <n v="22027199"/>
    <n v="2236127"/>
    <n v="10013362937"/>
    <s v="JAYAMANTI"/>
    <x v="43"/>
    <n v="0"/>
    <n v="1610"/>
    <n v="1610"/>
    <n v="0"/>
    <x v="0"/>
    <x v="6"/>
    <n v="1"/>
    <x v="13"/>
  </r>
  <r>
    <n v="1226"/>
    <s v="HDFC ERGO General Insurance Co. Ltd."/>
    <d v="2022-10-13T00:00:00"/>
    <x v="1"/>
    <d v="2022-10-15T00:00:00"/>
    <d v="2022-10-15T00:00:00"/>
    <n v="22027203"/>
    <n v="2235897"/>
    <n v="10013542900"/>
    <s v="NAMISH"/>
    <x v="699"/>
    <n v="7184"/>
    <n v="79552"/>
    <n v="4148"/>
    <n v="75404"/>
    <x v="1"/>
    <x v="1"/>
    <n v="5.2141995172968622E-2"/>
    <x v="16"/>
  </r>
  <r>
    <n v="1227"/>
    <s v="ICICI Lombard General Insurance"/>
    <d v="2022-10-07T00:00:00"/>
    <x v="1"/>
    <d v="2022-10-08T00:00:00"/>
    <d v="2022-10-08T00:00:00"/>
    <n v="22026140"/>
    <n v="2234980"/>
    <n v="10013540782"/>
    <s v="DRISHTA GROVER"/>
    <x v="700"/>
    <n v="6874"/>
    <n v="78919"/>
    <n v="2643"/>
    <n v="76276"/>
    <x v="1"/>
    <x v="0"/>
    <n v="3.3490034085581419E-2"/>
    <x v="11"/>
  </r>
  <r>
    <n v="1228"/>
    <s v="CARE HEALTH INSURANCE LIMITED"/>
    <d v="2022-10-25T00:00:00"/>
    <x v="1"/>
    <d v="2022-10-28T00:00:00"/>
    <d v="2022-10-28T00:00:00"/>
    <n v="22028885"/>
    <n v="2237400"/>
    <n v="10013544461"/>
    <s v="ANIL KATARIA"/>
    <x v="701"/>
    <n v="0"/>
    <n v="323552"/>
    <n v="2125"/>
    <n v="321427"/>
    <x v="1"/>
    <x v="4"/>
    <n v="6.5677232716843045E-3"/>
    <x v="4"/>
  </r>
  <r>
    <n v="1229"/>
    <s v="GENERAL PATIENT"/>
    <d v="2022-10-26T00:00:00"/>
    <x v="1"/>
    <d v="2022-10-29T00:00:00"/>
    <d v="2022-10-29T00:00:00"/>
    <n v="22029057"/>
    <n v="2237424"/>
    <n v="10013544487"/>
    <s v="ANIL MAGGO"/>
    <x v="702"/>
    <n v="31071"/>
    <n v="156163"/>
    <n v="156163"/>
    <n v="0"/>
    <x v="0"/>
    <x v="1"/>
    <n v="1"/>
    <x v="0"/>
  </r>
  <r>
    <n v="1230"/>
    <s v="GENERAL PATIENT"/>
    <d v="2022-10-15T00:00:00"/>
    <x v="1"/>
    <d v="2022-10-15T00:00:00"/>
    <d v="2022-10-15T00:00:00"/>
    <n v="22027234"/>
    <n v="2236152"/>
    <n v="10013542866"/>
    <s v="SAROJ MADAN"/>
    <x v="703"/>
    <n v="785"/>
    <n v="6685"/>
    <n v="6685"/>
    <n v="0"/>
    <x v="0"/>
    <x v="6"/>
    <n v="1"/>
    <x v="13"/>
  </r>
  <r>
    <n v="1231"/>
    <s v="Universal Sompo Gen.Insu.Co.Ltd."/>
    <d v="2022-10-19T00:00:00"/>
    <x v="1"/>
    <d v="2022-10-21T00:00:00"/>
    <d v="2022-10-21T00:00:00"/>
    <n v="22028073"/>
    <n v="2236606"/>
    <n v="10013513489"/>
    <s v="HARSH MISHRA"/>
    <x v="704"/>
    <n v="3759"/>
    <n v="39255"/>
    <n v="2055"/>
    <n v="37200"/>
    <x v="1"/>
    <x v="1"/>
    <n v="5.2350019105846392E-2"/>
    <x v="0"/>
  </r>
  <r>
    <n v="1232"/>
    <s v="PARK MED CLAIM LTD"/>
    <d v="2022-10-07T00:00:00"/>
    <x v="1"/>
    <d v="2022-10-07T00:00:00"/>
    <d v="2022-10-07T00:00:00"/>
    <n v="22025979"/>
    <n v="2235014"/>
    <n v="1001300227"/>
    <s v="BIMLA"/>
    <x v="75"/>
    <n v="0"/>
    <n v="2200"/>
    <n v="2200"/>
    <n v="0"/>
    <x v="0"/>
    <x v="12"/>
    <n v="1"/>
    <x v="13"/>
  </r>
  <r>
    <n v="1233"/>
    <s v="VIPUL MED CORP PVT LTD"/>
    <d v="2022-09-28T00:00:00"/>
    <x v="0"/>
    <d v="2022-10-08T00:00:00"/>
    <d v="2022-10-08T00:00:00"/>
    <n v="22026138"/>
    <n v="2233836"/>
    <n v="1001049869"/>
    <s v="MEENU YADAV"/>
    <x v="705"/>
    <n v="32137"/>
    <n v="271849"/>
    <n v="4380"/>
    <n v="267469"/>
    <x v="1"/>
    <x v="2"/>
    <n v="1.6111885642397065E-2"/>
    <x v="12"/>
  </r>
  <r>
    <n v="1234"/>
    <s v="HDFC ERGO General Insurance Co. Ltd."/>
    <d v="2022-10-13T00:00:00"/>
    <x v="1"/>
    <d v="2022-10-16T00:00:00"/>
    <d v="2022-10-16T00:00:00"/>
    <n v="22027281"/>
    <n v="2235785"/>
    <n v="1001122605"/>
    <s v="TAASHVI VERMA"/>
    <x v="706"/>
    <n v="4303"/>
    <n v="50516"/>
    <n v="2072"/>
    <n v="48444"/>
    <x v="1"/>
    <x v="2"/>
    <n v="4.1016707577797136E-2"/>
    <x v="3"/>
  </r>
  <r>
    <n v="1235"/>
    <s v="GENERAL PATIENT"/>
    <d v="2022-10-25T00:00:00"/>
    <x v="1"/>
    <d v="2022-10-25T00:00:00"/>
    <d v="2022-10-25T00:00:00"/>
    <n v="22028480"/>
    <n v="2237271"/>
    <n v="1001427466"/>
    <s v="DEVENDER GOYAL"/>
    <x v="127"/>
    <n v="2680"/>
    <n v="0"/>
    <n v="0"/>
    <n v="0"/>
    <x v="0"/>
    <x v="9"/>
    <e v="#DIV/0!"/>
    <x v="13"/>
  </r>
  <r>
    <n v="1236"/>
    <s v="DGHS (DELHI GOVT.)"/>
    <d v="2022-10-26T00:00:00"/>
    <x v="1"/>
    <d v="2022-10-28T00:00:00"/>
    <d v="2022-10-28T00:00:00"/>
    <n v="22028925"/>
    <n v="2237469"/>
    <n v="1001263523"/>
    <s v="DR. DAYAVATI"/>
    <x v="707"/>
    <n v="0"/>
    <n v="31644"/>
    <n v="1076"/>
    <n v="30568"/>
    <x v="1"/>
    <x v="1"/>
    <n v="3.4003286563013525E-2"/>
    <x v="4"/>
  </r>
  <r>
    <n v="1237"/>
    <s v="GENERAL PATIENT"/>
    <d v="2022-10-20T00:00:00"/>
    <x v="1"/>
    <d v="2022-10-20T00:00:00"/>
    <d v="2022-10-20T00:00:00"/>
    <n v="22027895"/>
    <n v="2236758"/>
    <n v="10013317709"/>
    <s v="MANJU"/>
    <x v="708"/>
    <n v="3235"/>
    <n v="21288"/>
    <n v="21288"/>
    <n v="0"/>
    <x v="0"/>
    <x v="6"/>
    <n v="1"/>
    <x v="1"/>
  </r>
  <r>
    <n v="1238"/>
    <s v="GENERAL PATIENT"/>
    <d v="2022-10-21T00:00:00"/>
    <x v="1"/>
    <d v="2022-10-21T00:00:00"/>
    <d v="2022-10-21T00:00:00"/>
    <n v="22027967"/>
    <n v="2236864"/>
    <n v="1000891305"/>
    <s v="MRIDULA SUNEJA"/>
    <x v="212"/>
    <n v="315"/>
    <n v="3275"/>
    <n v="3275"/>
    <n v="0"/>
    <x v="0"/>
    <x v="6"/>
    <n v="1"/>
    <x v="13"/>
  </r>
  <r>
    <n v="1239"/>
    <s v="Max Bhupa Health Insurance Co Ltd."/>
    <d v="2022-10-04T00:00:00"/>
    <x v="1"/>
    <d v="2022-10-10T00:00:00"/>
    <d v="2022-10-10T00:00:00"/>
    <n v="22026359"/>
    <n v="2234521"/>
    <n v="1001802296"/>
    <s v="KARTIK SAINI"/>
    <x v="709"/>
    <n v="12290"/>
    <n v="68090"/>
    <n v="2902"/>
    <n v="65188"/>
    <x v="1"/>
    <x v="1"/>
    <n v="4.2620061683066528E-2"/>
    <x v="0"/>
  </r>
  <r>
    <n v="1240"/>
    <s v="GENERAL PATIENT"/>
    <d v="2022-10-14T00:00:00"/>
    <x v="1"/>
    <d v="2022-10-14T00:00:00"/>
    <d v="2022-10-14T00:00:00"/>
    <n v="22027103"/>
    <n v="2236002"/>
    <n v="1001202559"/>
    <s v="SURINDER KUMAR CHAWLA"/>
    <x v="73"/>
    <n v="657"/>
    <n v="2187"/>
    <n v="2187"/>
    <n v="0"/>
    <x v="0"/>
    <x v="6"/>
    <n v="1"/>
    <x v="13"/>
  </r>
  <r>
    <n v="1241"/>
    <s v=" SSYAMA CASH"/>
    <d v="2022-10-22T00:00:00"/>
    <x v="1"/>
    <d v="2022-10-24T00:00:00"/>
    <d v="2022-10-24T00:00:00"/>
    <n v="22028430"/>
    <n v="2237012"/>
    <n v="1001790494"/>
    <s v="FEMALE BABY OF DOLLY"/>
    <x v="710"/>
    <n v="0"/>
    <n v="2034"/>
    <n v="2034"/>
    <n v="0"/>
    <x v="0"/>
    <x v="1"/>
    <n v="1"/>
    <x v="3"/>
  </r>
  <r>
    <n v="1242"/>
    <s v="DELHI VIDYUT BOARD"/>
    <d v="2022-10-01T00:00:00"/>
    <x v="1"/>
    <d v="2022-10-01T00:00:00"/>
    <d v="2022-10-01T00:00:00"/>
    <n v="22025237"/>
    <n v="2234253"/>
    <n v="10013372212"/>
    <s v="V. K.  SURI"/>
    <x v="43"/>
    <n v="0"/>
    <n v="1610"/>
    <n v="1610"/>
    <n v="0"/>
    <x v="0"/>
    <x v="6"/>
    <n v="1"/>
    <x v="13"/>
  </r>
  <r>
    <n v="1243"/>
    <s v="Health Insurance TPA of India Ltd."/>
    <d v="2022-10-29T00:00:00"/>
    <x v="1"/>
    <d v="2022-10-29T00:00:00"/>
    <d v="2022-10-29T00:00:00"/>
    <n v="22029152"/>
    <n v="2238007"/>
    <n v="1001547355"/>
    <s v="AJAY BAJAJ"/>
    <x v="75"/>
    <n v="0"/>
    <n v="2200"/>
    <n v="2200"/>
    <n v="0"/>
    <x v="0"/>
    <x v="12"/>
    <n v="1"/>
    <x v="13"/>
  </r>
  <r>
    <n v="1244"/>
    <s v=" CGHS CREDIT"/>
    <d v="2022-09-26T00:00:00"/>
    <x v="0"/>
    <d v="2022-10-01T00:00:00"/>
    <d v="2022-10-01T00:00:00"/>
    <n v="22025145"/>
    <n v="2233491"/>
    <n v="1001800837"/>
    <s v="MOHINI CHANDRA"/>
    <x v="711"/>
    <n v="0"/>
    <n v="56745"/>
    <n v="375"/>
    <n v="56370"/>
    <x v="1"/>
    <x v="0"/>
    <n v="6.6085117631509383E-3"/>
    <x v="0"/>
  </r>
  <r>
    <n v="1245"/>
    <s v="GENERAL PATIENT"/>
    <d v="2022-10-21T00:00:00"/>
    <x v="1"/>
    <d v="2022-10-24T00:00:00"/>
    <d v="2022-10-24T00:00:00"/>
    <n v="22028442"/>
    <n v="2236911"/>
    <n v="10013520630"/>
    <s v="SABA KHALDY"/>
    <x v="712"/>
    <n v="7067"/>
    <n v="43595"/>
    <n v="43595"/>
    <n v="0"/>
    <x v="0"/>
    <x v="2"/>
    <n v="1"/>
    <x v="1"/>
  </r>
  <r>
    <n v="1246"/>
    <s v="GENERAL PATIENT"/>
    <d v="2022-10-04T00:00:00"/>
    <x v="1"/>
    <d v="2022-10-04T00:00:00"/>
    <d v="2022-10-04T00:00:00"/>
    <n v="22025573"/>
    <n v="2234562"/>
    <n v="10013339576"/>
    <s v="RAKESH GUPTA"/>
    <x v="190"/>
    <n v="3288"/>
    <n v="0"/>
    <n v="0"/>
    <n v="0"/>
    <x v="0"/>
    <x v="9"/>
    <e v="#DIV/0!"/>
    <x v="13"/>
  </r>
  <r>
    <n v="1247"/>
    <s v="GENERAL PATIENT"/>
    <d v="2022-10-04T00:00:00"/>
    <x v="1"/>
    <d v="2022-10-04T00:00:00"/>
    <d v="2022-10-04T00:00:00"/>
    <n v="22025582"/>
    <n v="2234582"/>
    <n v="1000890994"/>
    <s v="HIMANSHU KAPOOR"/>
    <x v="112"/>
    <n v="310"/>
    <n v="3178"/>
    <n v="3178"/>
    <n v="0"/>
    <x v="0"/>
    <x v="6"/>
    <n v="1"/>
    <x v="13"/>
  </r>
  <r>
    <n v="1248"/>
    <s v="GENERAL PATIENT"/>
    <d v="2022-10-23T00:00:00"/>
    <x v="1"/>
    <d v="2022-10-26T00:00:00"/>
    <d v="2022-10-26T00:00:00"/>
    <n v="22028617"/>
    <n v="2237205"/>
    <n v="10013544263"/>
    <s v="SUDHA DUBEY"/>
    <x v="713"/>
    <n v="11627"/>
    <n v="42666"/>
    <n v="42666"/>
    <n v="0"/>
    <x v="0"/>
    <x v="0"/>
    <n v="1"/>
    <x v="0"/>
  </r>
  <r>
    <n v="1249"/>
    <s v="PARK MED CLAIM LTD"/>
    <d v="2022-10-01T00:00:00"/>
    <x v="1"/>
    <d v="2022-10-04T00:00:00"/>
    <d v="2022-10-04T00:00:00"/>
    <n v="22025509"/>
    <n v="2234168"/>
    <n v="1001801828"/>
    <s v="PRACHI GUPTA"/>
    <x v="714"/>
    <n v="0"/>
    <n v="75650"/>
    <n v="25650"/>
    <n v="50000"/>
    <x v="1"/>
    <x v="14"/>
    <n v="0.33906146728354264"/>
    <x v="1"/>
  </r>
  <r>
    <n v="1250"/>
    <s v=" CGHS Cash"/>
    <d v="2022-10-03T00:00:00"/>
    <x v="1"/>
    <d v="2022-10-03T00:00:00"/>
    <d v="2022-10-03T00:00:00"/>
    <n v="22025440"/>
    <n v="2234442"/>
    <n v="1001758739"/>
    <s v="HEMLATA"/>
    <x v="137"/>
    <n v="0"/>
    <n v="2560"/>
    <n v="2560"/>
    <n v="0"/>
    <x v="0"/>
    <x v="6"/>
    <n v="1"/>
    <x v="13"/>
  </r>
  <r>
    <n v="1251"/>
    <s v="CGHS"/>
    <d v="2022-10-21T00:00:00"/>
    <x v="1"/>
    <d v="2022-10-23T00:00:00"/>
    <d v="2022-10-23T00:00:00"/>
    <n v="22028334"/>
    <n v="2236929"/>
    <n v="1001805644"/>
    <s v="KIRAN FEMALE BABY"/>
    <x v="715"/>
    <n v="0"/>
    <n v="3647"/>
    <n v="3647"/>
    <n v="0"/>
    <x v="0"/>
    <x v="1"/>
    <n v="1"/>
    <x v="3"/>
  </r>
  <r>
    <n v="1252"/>
    <s v="GENERAL PATIENT"/>
    <d v="2022-10-01T00:00:00"/>
    <x v="1"/>
    <d v="2022-10-01T00:00:00"/>
    <d v="2022-10-01T00:00:00"/>
    <n v="22025208"/>
    <n v="2234215"/>
    <n v="10013339576"/>
    <s v="RAKESH GUPTA"/>
    <x v="41"/>
    <n v="2794"/>
    <n v="0"/>
    <n v="0"/>
    <n v="0"/>
    <x v="0"/>
    <x v="9"/>
    <e v="#DIV/0!"/>
    <x v="13"/>
  </r>
  <r>
    <n v="1253"/>
    <s v="MEDI ASSIST"/>
    <d v="2022-10-03T00:00:00"/>
    <x v="1"/>
    <d v="2022-10-03T00:00:00"/>
    <d v="2022-10-03T00:00:00"/>
    <n v="22025400"/>
    <n v="2234392"/>
    <n v="1001206152"/>
    <s v="JITENDRA GARG"/>
    <x v="75"/>
    <n v="0"/>
    <n v="2200"/>
    <n v="440"/>
    <n v="1760"/>
    <x v="1"/>
    <x v="12"/>
    <n v="0.2"/>
    <x v="13"/>
  </r>
  <r>
    <n v="1254"/>
    <s v="EAST-WEST ASSIST."/>
    <d v="2022-10-23T00:00:00"/>
    <x v="1"/>
    <d v="2022-10-26T00:00:00"/>
    <d v="2022-10-26T00:00:00"/>
    <n v="22028621"/>
    <n v="2237136"/>
    <n v="1001805861"/>
    <s v="PARUL BANSAL"/>
    <x v="716"/>
    <n v="2003"/>
    <n v="82500"/>
    <n v="34503"/>
    <n v="47997"/>
    <x v="1"/>
    <x v="14"/>
    <n v="0.41821818181818182"/>
    <x v="1"/>
  </r>
  <r>
    <n v="1255"/>
    <s v="CGHS"/>
    <d v="2022-10-26T00:00:00"/>
    <x v="1"/>
    <d v="2022-10-26T00:00:00"/>
    <d v="2022-10-26T00:00:00"/>
    <n v="22028635"/>
    <n v="2237489"/>
    <n v="1001644664"/>
    <s v="P C. BHATT"/>
    <x v="43"/>
    <n v="0"/>
    <n v="1610"/>
    <n v="1610"/>
    <n v="0"/>
    <x v="0"/>
    <x v="6"/>
    <n v="1"/>
    <x v="13"/>
  </r>
  <r>
    <n v="1256"/>
    <s v="DGHS (DELHI GOVT.)"/>
    <d v="2022-10-19T00:00:00"/>
    <x v="1"/>
    <d v="2022-10-26T00:00:00"/>
    <d v="2022-10-26T00:00:00"/>
    <n v="22028651"/>
    <n v="2236709"/>
    <n v="1001290264"/>
    <s v="DAMODAR SINGH"/>
    <x v="717"/>
    <n v="0"/>
    <n v="114805"/>
    <n v="2642"/>
    <n v="112163"/>
    <x v="1"/>
    <x v="1"/>
    <n v="2.3012934976699623E-2"/>
    <x v="0"/>
  </r>
  <r>
    <n v="1257"/>
    <s v="GENERAL PATIENT"/>
    <d v="2022-10-23T00:00:00"/>
    <x v="1"/>
    <d v="2022-10-31T00:00:00"/>
    <d v="2022-10-31T00:00:00"/>
    <n v="22029275"/>
    <n v="2237201"/>
    <n v="1001805913"/>
    <s v="SAMEENA FEMALE BABY"/>
    <x v="718"/>
    <n v="18025"/>
    <n v="133347"/>
    <n v="133347"/>
    <n v="0"/>
    <x v="0"/>
    <x v="1"/>
    <n v="1"/>
    <x v="3"/>
  </r>
  <r>
    <n v="1258"/>
    <s v="Staff DEPENDENT"/>
    <d v="2022-10-20T00:00:00"/>
    <x v="1"/>
    <d v="2022-10-20T00:00:00"/>
    <d v="2022-10-20T00:00:00"/>
    <n v="22027911"/>
    <n v="2236792"/>
    <n v="1000915528"/>
    <s v="SHABNAM"/>
    <x v="212"/>
    <n v="3590"/>
    <n v="0"/>
    <n v="0"/>
    <n v="0"/>
    <x v="0"/>
    <x v="6"/>
    <e v="#DIV/0!"/>
    <x v="13"/>
  </r>
  <r>
    <n v="1259"/>
    <s v="Heritage Health TPA Private Limited"/>
    <d v="2022-09-27T00:00:00"/>
    <x v="0"/>
    <d v="2022-10-03T00:00:00"/>
    <d v="2022-10-03T00:00:00"/>
    <n v="22025399"/>
    <n v="2233613"/>
    <n v="10013479633"/>
    <s v="VIJAY KUMAR GUPTA"/>
    <x v="719"/>
    <n v="0"/>
    <n v="266111"/>
    <n v="66824"/>
    <n v="199287"/>
    <x v="1"/>
    <x v="5"/>
    <n v="0.25111325724979427"/>
    <x v="12"/>
  </r>
  <r>
    <n v="1260"/>
    <s v="GOVT. OF NCT OF DELHI"/>
    <d v="2022-10-08T00:00:00"/>
    <x v="1"/>
    <d v="2022-10-08T00:00:00"/>
    <d v="2022-10-08T00:00:00"/>
    <n v="22026149"/>
    <n v="2235168"/>
    <n v="10013362937"/>
    <s v="JAYAMANTI"/>
    <x v="43"/>
    <n v="0"/>
    <n v="1610"/>
    <n v="1610"/>
    <n v="0"/>
    <x v="0"/>
    <x v="6"/>
    <n v="1"/>
    <x v="13"/>
  </r>
  <r>
    <n v="1261"/>
    <s v="CGHS"/>
    <d v="2022-10-08T00:00:00"/>
    <x v="1"/>
    <d v="2022-10-08T00:00:00"/>
    <d v="2022-10-08T00:00:00"/>
    <n v="22026155"/>
    <n v="2235163"/>
    <n v="1001644664"/>
    <s v="P C. BHATT"/>
    <x v="43"/>
    <n v="0"/>
    <n v="1610"/>
    <n v="1610"/>
    <n v="0"/>
    <x v="0"/>
    <x v="6"/>
    <n v="1"/>
    <x v="13"/>
  </r>
  <r>
    <n v="1262"/>
    <s v="GENERAL PATIENT"/>
    <d v="2022-10-08T00:00:00"/>
    <x v="1"/>
    <d v="2022-10-08T00:00:00"/>
    <d v="2022-10-08T00:00:00"/>
    <n v="22026158"/>
    <n v="2235167"/>
    <n v="10013460950"/>
    <s v="PREM CHAND"/>
    <x v="73"/>
    <n v="286"/>
    <n v="2558"/>
    <n v="2558"/>
    <n v="0"/>
    <x v="0"/>
    <x v="6"/>
    <n v="1"/>
    <x v="13"/>
  </r>
  <r>
    <n v="1263"/>
    <s v="GENERAL PATIENT"/>
    <d v="2022-09-28T00:00:00"/>
    <x v="0"/>
    <d v="2022-10-05T00:00:00"/>
    <d v="2022-10-05T00:00:00"/>
    <n v="22025690"/>
    <n v="2233856"/>
    <n v="10013540722"/>
    <s v="PRAKASH CHAND SHARMA"/>
    <x v="720"/>
    <n v="72721"/>
    <n v="326185"/>
    <n v="326185"/>
    <n v="0"/>
    <x v="0"/>
    <x v="8"/>
    <n v="1"/>
    <x v="0"/>
  </r>
  <r>
    <n v="1264"/>
    <s v="Paramount Health Services (TPA) Private Limited"/>
    <d v="2022-10-10T00:00:00"/>
    <x v="1"/>
    <d v="2022-10-13T00:00:00"/>
    <d v="2022-10-13T00:00:00"/>
    <n v="22026920"/>
    <n v="2235474"/>
    <n v="10013542482"/>
    <s v="AJAY WASUJA"/>
    <x v="721"/>
    <n v="0"/>
    <n v="75438"/>
    <n v="75438"/>
    <n v="0"/>
    <x v="0"/>
    <x v="1"/>
    <n v="1"/>
    <x v="0"/>
  </r>
  <r>
    <n v="1265"/>
    <s v="NIVA BUPA"/>
    <d v="2022-10-26T00:00:00"/>
    <x v="1"/>
    <d v="2022-10-26T00:00:00"/>
    <d v="2022-10-26T00:00:00"/>
    <n v="22028670"/>
    <n v="2237470"/>
    <n v="1001795866"/>
    <s v="RAKESH KUMAR"/>
    <x v="722"/>
    <n v="1950"/>
    <n v="18350"/>
    <n v="800"/>
    <n v="17550"/>
    <x v="1"/>
    <x v="6"/>
    <n v="4.3596730245231606E-2"/>
    <x v="5"/>
  </r>
  <r>
    <n v="1266"/>
    <s v="GENERAL PATIENT"/>
    <d v="2022-10-18T00:00:00"/>
    <x v="1"/>
    <d v="2022-10-21T00:00:00"/>
    <d v="2022-10-21T00:00:00"/>
    <n v="22028039"/>
    <n v="2236464"/>
    <n v="10013543545"/>
    <s v="SNEHLATA SUREKA"/>
    <x v="723"/>
    <n v="12127"/>
    <n v="44114"/>
    <n v="44114"/>
    <n v="0"/>
    <x v="0"/>
    <x v="2"/>
    <n v="1"/>
    <x v="0"/>
  </r>
  <r>
    <n v="1267"/>
    <s v="GENERAL PATIENT"/>
    <d v="2022-10-21T00:00:00"/>
    <x v="1"/>
    <d v="2022-10-21T00:00:00"/>
    <d v="2022-10-21T00:00:00"/>
    <n v="22028052"/>
    <n v="2236886"/>
    <n v="1001146321"/>
    <s v="SONAM AGGARWAL"/>
    <x v="724"/>
    <n v="2077"/>
    <n v="14441"/>
    <n v="14441"/>
    <n v="0"/>
    <x v="0"/>
    <x v="6"/>
    <n v="1"/>
    <x v="1"/>
  </r>
  <r>
    <n v="1268"/>
    <s v="DGHS (DELHI GOVT.)"/>
    <d v="2022-10-21T00:00:00"/>
    <x v="1"/>
    <d v="2022-10-21T00:00:00"/>
    <d v="2022-10-21T00:00:00"/>
    <n v="22028081"/>
    <n v="2236888"/>
    <n v="10013480859"/>
    <s v="MONIKA SHARMA"/>
    <x v="582"/>
    <n v="0"/>
    <n v="2570"/>
    <n v="2570"/>
    <n v="0"/>
    <x v="0"/>
    <x v="1"/>
    <n v="1"/>
    <x v="1"/>
  </r>
  <r>
    <n v="1269"/>
    <s v=" RELIGARE HEALTH INSURANCE"/>
    <d v="2022-10-06T00:00:00"/>
    <x v="1"/>
    <d v="2022-10-08T00:00:00"/>
    <d v="2022-10-08T00:00:00"/>
    <n v="22026189"/>
    <n v="2234961"/>
    <n v="1001780166"/>
    <s v="VINAMR ARYA"/>
    <x v="725"/>
    <n v="0"/>
    <n v="22803"/>
    <n v="1000"/>
    <n v="21803"/>
    <x v="1"/>
    <x v="3"/>
    <n v="4.3853878875586547E-2"/>
    <x v="3"/>
  </r>
  <r>
    <n v="1270"/>
    <s v="CGHS ( CREDIT)"/>
    <d v="2022-10-01T00:00:00"/>
    <x v="1"/>
    <d v="2022-10-09T00:00:00"/>
    <d v="2022-10-10T00:00:00"/>
    <n v="22026377"/>
    <n v="2234184"/>
    <n v="10013506091"/>
    <s v="BRIJ BHUSHAN BATIA"/>
    <x v="726"/>
    <n v="0"/>
    <n v="104609"/>
    <n v="2726"/>
    <n v="101883"/>
    <x v="1"/>
    <x v="0"/>
    <n v="2.6058943303157472E-2"/>
    <x v="11"/>
  </r>
  <r>
    <n v="1271"/>
    <s v="GENERAL PATIENT"/>
    <d v="2022-10-27T00:00:00"/>
    <x v="1"/>
    <d v="2022-10-28T00:00:00"/>
    <d v="2022-10-28T00:00:00"/>
    <n v="22028877"/>
    <n v="2237631"/>
    <n v="1001537289"/>
    <s v="MAHAK GARG"/>
    <x v="727"/>
    <n v="5680"/>
    <n v="40412"/>
    <n v="40412"/>
    <n v="0"/>
    <x v="0"/>
    <x v="2"/>
    <n v="1"/>
    <x v="1"/>
  </r>
  <r>
    <n v="1272"/>
    <s v=" DGEHS (CASH)"/>
    <d v="2022-09-30T00:00:00"/>
    <x v="0"/>
    <d v="2022-10-01T00:00:00"/>
    <d v="2022-10-01T00:00:00"/>
    <n v="22025165"/>
    <n v="2234070"/>
    <n v="1001793530"/>
    <s v="URMILA DEVI"/>
    <x v="728"/>
    <n v="0"/>
    <n v="12353"/>
    <n v="12353"/>
    <n v="0"/>
    <x v="0"/>
    <x v="1"/>
    <n v="1"/>
    <x v="4"/>
  </r>
  <r>
    <n v="1273"/>
    <s v="GENERAL PATIENT"/>
    <d v="2022-10-12T00:00:00"/>
    <x v="1"/>
    <d v="2022-10-12T00:00:00"/>
    <d v="2022-10-12T00:00:00"/>
    <n v="22026649"/>
    <n v="2235634"/>
    <n v="1001575947"/>
    <s v="MANISH RAJPUT"/>
    <x v="73"/>
    <n v="308"/>
    <n v="2536"/>
    <n v="2536"/>
    <n v="0"/>
    <x v="0"/>
    <x v="6"/>
    <n v="1"/>
    <x v="13"/>
  </r>
  <r>
    <n v="1274"/>
    <s v="GENERAL PATIENT"/>
    <d v="2022-10-12T00:00:00"/>
    <x v="1"/>
    <d v="2022-10-12T00:00:00"/>
    <d v="2022-10-12T00:00:00"/>
    <n v="22026667"/>
    <n v="2235654"/>
    <n v="10013518452"/>
    <s v="RAJESH WADHERA"/>
    <x v="45"/>
    <n v="413"/>
    <n v="4577"/>
    <n v="4577"/>
    <n v="0"/>
    <x v="0"/>
    <x v="6"/>
    <n v="1"/>
    <x v="13"/>
  </r>
  <r>
    <n v="1275"/>
    <s v="ICICI Lombard General Insurance"/>
    <d v="2022-10-04T00:00:00"/>
    <x v="1"/>
    <d v="2022-10-09T00:00:00"/>
    <d v="2022-10-09T00:00:00"/>
    <n v="22026291"/>
    <n v="2234654"/>
    <n v="10013541600"/>
    <s v="SHUBHANGI MIGLANI"/>
    <x v="729"/>
    <n v="1723"/>
    <n v="76767"/>
    <n v="7089"/>
    <n v="69678"/>
    <x v="1"/>
    <x v="1"/>
    <n v="9.2344366720075038E-2"/>
    <x v="0"/>
  </r>
  <r>
    <n v="1276"/>
    <s v="CGHS ( CREDIT)"/>
    <d v="2022-09-20T00:00:00"/>
    <x v="0"/>
    <d v="2022-10-12T00:00:00"/>
    <d v="2022-10-12T00:00:00"/>
    <n v="22026777"/>
    <n v="2232795"/>
    <n v="10013539639"/>
    <s v="SHAKUNTLA"/>
    <x v="730"/>
    <n v="0"/>
    <n v="422368"/>
    <n v="12244"/>
    <n v="410124"/>
    <x v="1"/>
    <x v="2"/>
    <n v="2.8988938555951207E-2"/>
    <x v="0"/>
  </r>
  <r>
    <n v="1277"/>
    <s v=" VIDAL HEALTH TPA"/>
    <d v="2022-10-11T00:00:00"/>
    <x v="1"/>
    <d v="2022-10-16T00:00:00"/>
    <d v="2022-10-16T00:00:00"/>
    <n v="22027350"/>
    <n v="2235550"/>
    <n v="1001803763"/>
    <s v="CHANDRANI BHATTACHERJEE"/>
    <x v="731"/>
    <n v="8135"/>
    <n v="59657"/>
    <n v="3925"/>
    <n v="55732"/>
    <x v="1"/>
    <x v="5"/>
    <n v="6.5792782070838288E-2"/>
    <x v="0"/>
  </r>
  <r>
    <n v="1278"/>
    <s v="STAR HEALTH CARE  (CREDIT)"/>
    <d v="2022-10-12T00:00:00"/>
    <x v="1"/>
    <d v="2022-10-16T00:00:00"/>
    <d v="2022-10-16T00:00:00"/>
    <n v="22027300"/>
    <n v="2235734"/>
    <n v="10013542749"/>
    <s v="DHARAMVIR SINGH"/>
    <x v="732"/>
    <n v="9017"/>
    <n v="58264"/>
    <n v="8381"/>
    <n v="49883"/>
    <x v="1"/>
    <x v="1"/>
    <n v="0.14384525607579293"/>
    <x v="2"/>
  </r>
  <r>
    <n v="1279"/>
    <s v="MEDI ASSIST"/>
    <d v="2022-10-27T00:00:00"/>
    <x v="1"/>
    <d v="2022-10-29T00:00:00"/>
    <d v="2022-10-29T00:00:00"/>
    <n v="22029115"/>
    <n v="2237660"/>
    <n v="1001806577"/>
    <s v="BABITA FEMALE BABY SINGH"/>
    <x v="733"/>
    <n v="0"/>
    <n v="36410"/>
    <n v="36410"/>
    <n v="0"/>
    <x v="0"/>
    <x v="3"/>
    <n v="1"/>
    <x v="3"/>
  </r>
  <r>
    <n v="1280"/>
    <s v="HDFC ERGO General Insurance Co. Ltd."/>
    <d v="2022-10-11T00:00:00"/>
    <x v="1"/>
    <d v="2022-10-12T00:00:00"/>
    <d v="2022-10-12T00:00:00"/>
    <n v="22026744"/>
    <n v="2235486"/>
    <n v="10013538984"/>
    <s v="TUSHMINDER KAUR"/>
    <x v="734"/>
    <n v="0"/>
    <n v="39137"/>
    <n v="1865"/>
    <n v="37272"/>
    <x v="1"/>
    <x v="2"/>
    <n v="4.7653115977208269E-2"/>
    <x v="11"/>
  </r>
  <r>
    <n v="1281"/>
    <s v="GENERAL PATIENT"/>
    <d v="2022-09-30T00:00:00"/>
    <x v="0"/>
    <d v="2022-10-09T00:00:00"/>
    <d v="2022-10-09T00:00:00"/>
    <n v="22026298"/>
    <n v="2234063"/>
    <n v="1001801697"/>
    <s v="SONAM MALE BABY  PURI"/>
    <x v="735"/>
    <n v="14944"/>
    <n v="105367"/>
    <n v="105367"/>
    <n v="0"/>
    <x v="0"/>
    <x v="0"/>
    <n v="1"/>
    <x v="3"/>
  </r>
  <r>
    <n v="1282"/>
    <s v=" CGHS Cash"/>
    <d v="2022-10-04T00:00:00"/>
    <x v="1"/>
    <d v="2022-10-04T00:00:00"/>
    <d v="2022-10-04T00:00:00"/>
    <n v="22025565"/>
    <n v="2234570"/>
    <n v="1001755099"/>
    <s v="SUSHILA DEVI"/>
    <x v="43"/>
    <n v="0"/>
    <n v="1610"/>
    <n v="1610"/>
    <n v="0"/>
    <x v="0"/>
    <x v="6"/>
    <n v="1"/>
    <x v="13"/>
  </r>
  <r>
    <n v="1283"/>
    <s v="Safeway Mediclaim Services Pvt. Ltd."/>
    <d v="2022-10-19T00:00:00"/>
    <x v="1"/>
    <d v="2022-10-19T00:00:00"/>
    <d v="2022-10-19T00:00:00"/>
    <n v="22027662"/>
    <n v="2236592"/>
    <n v="10013464572"/>
    <s v="NANAK CHAND JAIN"/>
    <x v="168"/>
    <n v="1062"/>
    <n v="3778"/>
    <n v="1578"/>
    <n v="2200"/>
    <x v="1"/>
    <x v="12"/>
    <n v="0.41768131286394916"/>
    <x v="13"/>
  </r>
  <r>
    <n v="1284"/>
    <s v="STAR HEALTH CARE  (CREDIT)"/>
    <d v="2022-10-03T00:00:00"/>
    <x v="1"/>
    <d v="2022-10-07T00:00:00"/>
    <d v="2022-10-07T00:00:00"/>
    <n v="22025985"/>
    <n v="2234404"/>
    <n v="10013363165"/>
    <s v="ANAMIKA KHANDELWAL"/>
    <x v="736"/>
    <n v="8585"/>
    <n v="56111"/>
    <n v="4442"/>
    <n v="51669"/>
    <x v="1"/>
    <x v="0"/>
    <n v="7.9164513197055836E-2"/>
    <x v="0"/>
  </r>
  <r>
    <n v="1285"/>
    <s v=" CGHS Cash"/>
    <d v="2022-10-11T00:00:00"/>
    <x v="1"/>
    <d v="2022-10-11T00:00:00"/>
    <d v="2022-10-11T00:00:00"/>
    <n v="22026618"/>
    <n v="2235545"/>
    <n v="1001735831"/>
    <s v="MOHAN KUMARI BHATIA"/>
    <x v="137"/>
    <n v="0"/>
    <n v="2560"/>
    <n v="2560"/>
    <n v="0"/>
    <x v="0"/>
    <x v="6"/>
    <n v="1"/>
    <x v="13"/>
  </r>
  <r>
    <n v="1286"/>
    <s v="GENERAL PATIENT"/>
    <d v="2022-10-04T00:00:00"/>
    <x v="1"/>
    <d v="2022-10-06T00:00:00"/>
    <d v="2022-10-06T00:00:00"/>
    <n v="22025839"/>
    <n v="2234642"/>
    <n v="1001802488"/>
    <s v="PRIYANKA"/>
    <x v="737"/>
    <n v="8891"/>
    <n v="30908"/>
    <n v="30908"/>
    <n v="0"/>
    <x v="0"/>
    <x v="1"/>
    <n v="1"/>
    <x v="1"/>
  </r>
  <r>
    <n v="1287"/>
    <s v="MEDI ASSIST"/>
    <d v="2022-10-05T00:00:00"/>
    <x v="1"/>
    <d v="2022-10-05T00:00:00"/>
    <d v="2022-10-05T00:00:00"/>
    <n v="22025709"/>
    <n v="2234708"/>
    <n v="1001564406"/>
    <s v="RAVI BATURA"/>
    <x v="75"/>
    <n v="0"/>
    <n v="2200"/>
    <n v="330"/>
    <n v="1870"/>
    <x v="1"/>
    <x v="12"/>
    <n v="0.15"/>
    <x v="13"/>
  </r>
  <r>
    <n v="1288"/>
    <s v="GENERAL PATIENT"/>
    <d v="2022-10-05T00:00:00"/>
    <x v="1"/>
    <d v="2022-10-05T00:00:00"/>
    <d v="2022-10-05T00:00:00"/>
    <n v="22025706"/>
    <n v="2234714"/>
    <n v="10013539422"/>
    <s v="NAVEEN KUMAR"/>
    <x v="73"/>
    <n v="308"/>
    <n v="2536"/>
    <n v="2536"/>
    <n v="0"/>
    <x v="0"/>
    <x v="6"/>
    <n v="1"/>
    <x v="13"/>
  </r>
  <r>
    <n v="1289"/>
    <s v="GENERAL PATIENT"/>
    <d v="2022-09-30T00:00:00"/>
    <x v="0"/>
    <d v="2022-10-04T00:00:00"/>
    <d v="2022-10-04T00:00:00"/>
    <n v="22025495"/>
    <n v="2234109"/>
    <n v="10013541039"/>
    <s v="BHIM SAIN JAIN"/>
    <x v="738"/>
    <n v="8910"/>
    <n v="59922"/>
    <n v="59922"/>
    <n v="0"/>
    <x v="0"/>
    <x v="1"/>
    <n v="1"/>
    <x v="0"/>
  </r>
  <r>
    <n v="1290"/>
    <s v="DGHS (DELHI GOVT.)"/>
    <d v="2022-10-07T00:00:00"/>
    <x v="1"/>
    <d v="2022-10-10T00:00:00"/>
    <d v="2022-10-10T00:00:00"/>
    <n v="22026376"/>
    <n v="2235099"/>
    <n v="10013539951"/>
    <s v="RENUKA"/>
    <x v="739"/>
    <n v="0"/>
    <n v="20442"/>
    <n v="20442"/>
    <n v="0"/>
    <x v="0"/>
    <x v="1"/>
    <n v="1"/>
    <x v="1"/>
  </r>
  <r>
    <n v="1291"/>
    <s v="CGHS ( CREDIT)"/>
    <d v="2022-10-09T00:00:00"/>
    <x v="1"/>
    <d v="2022-10-13T00:00:00"/>
    <d v="2022-10-13T00:00:00"/>
    <n v="22026881"/>
    <n v="2235271"/>
    <n v="10013538949"/>
    <s v="PREM WATI"/>
    <x v="740"/>
    <n v="0"/>
    <n v="31746"/>
    <n v="2184"/>
    <n v="29562"/>
    <x v="1"/>
    <x v="1"/>
    <n v="6.8796068796068796E-2"/>
    <x v="9"/>
  </r>
  <r>
    <n v="1292"/>
    <s v="CGHS"/>
    <d v="2022-10-06T00:00:00"/>
    <x v="1"/>
    <d v="2022-10-14T00:00:00"/>
    <d v="2022-10-14T00:00:00"/>
    <n v="22027038"/>
    <n v="2234852"/>
    <n v="10013528786"/>
    <s v="KASHMIRI"/>
    <x v="741"/>
    <n v="0"/>
    <n v="69223"/>
    <n v="69223"/>
    <n v="0"/>
    <x v="0"/>
    <x v="1"/>
    <n v="1"/>
    <x v="9"/>
  </r>
  <r>
    <n v="1293"/>
    <s v=" RELIGARE HEALTH INSURANCE"/>
    <d v="2022-10-11T00:00:00"/>
    <x v="1"/>
    <d v="2022-10-13T00:00:00"/>
    <d v="2022-10-13T00:00:00"/>
    <n v="22026863"/>
    <n v="2235585"/>
    <n v="1001803806"/>
    <s v="HRITIK KUMAR"/>
    <x v="742"/>
    <n v="14178"/>
    <n v="113159"/>
    <n v="2850"/>
    <n v="110309"/>
    <x v="1"/>
    <x v="1"/>
    <n v="2.518580051078571E-2"/>
    <x v="6"/>
  </r>
  <r>
    <n v="1294"/>
    <s v="GENERAL PATIENT"/>
    <d v="2022-10-13T00:00:00"/>
    <x v="1"/>
    <d v="2022-10-13T00:00:00"/>
    <d v="2022-10-13T00:00:00"/>
    <n v="22026947"/>
    <n v="2235870"/>
    <n v="10013440543"/>
    <s v="SHYAM"/>
    <x v="41"/>
    <n v="2794"/>
    <n v="0"/>
    <n v="0"/>
    <n v="0"/>
    <x v="0"/>
    <x v="9"/>
    <e v="#DIV/0!"/>
    <x v="13"/>
  </r>
  <r>
    <n v="1295"/>
    <s v="Health Insurance TPA of India Ltd."/>
    <d v="2022-10-13T00:00:00"/>
    <x v="1"/>
    <d v="2022-10-13T00:00:00"/>
    <d v="2022-10-13T00:00:00"/>
    <n v="22026941"/>
    <n v="2235863"/>
    <n v="10013353354"/>
    <s v="NARENDER CHAWLA"/>
    <x v="75"/>
    <n v="0"/>
    <n v="2200"/>
    <n v="220"/>
    <n v="1980"/>
    <x v="1"/>
    <x v="12"/>
    <n v="0.1"/>
    <x v="13"/>
  </r>
  <r>
    <n v="1296"/>
    <s v="HARAYANA GOVT."/>
    <d v="2022-10-25T00:00:00"/>
    <x v="1"/>
    <d v="2022-10-25T00:00:00"/>
    <d v="2022-10-25T00:00:00"/>
    <n v="22028539"/>
    <n v="2237294"/>
    <n v="10013544365"/>
    <s v="ANUP SINGH"/>
    <x v="743"/>
    <n v="0"/>
    <n v="11500"/>
    <n v="11500"/>
    <n v="0"/>
    <x v="0"/>
    <x v="1"/>
    <n v="1"/>
    <x v="4"/>
  </r>
  <r>
    <n v="1297"/>
    <s v="GENERAL PATIENT"/>
    <d v="2022-10-13T00:00:00"/>
    <x v="1"/>
    <d v="2022-10-15T00:00:00"/>
    <d v="2022-10-15T00:00:00"/>
    <n v="22027173"/>
    <n v="2235840"/>
    <n v="1001804152"/>
    <s v="SHALLU MALE BABY KANSAL"/>
    <x v="744"/>
    <n v="2386"/>
    <n v="16783"/>
    <n v="16783"/>
    <n v="0"/>
    <x v="0"/>
    <x v="0"/>
    <n v="1"/>
    <x v="3"/>
  </r>
  <r>
    <n v="1298"/>
    <s v="Health Insurance TPA of India Ltd."/>
    <d v="2022-09-28T00:00:00"/>
    <x v="0"/>
    <d v="2022-10-03T00:00:00"/>
    <d v="2022-10-03T00:00:00"/>
    <n v="22025356"/>
    <n v="2233837"/>
    <n v="10013540716"/>
    <s v="SUKRITI ANAND"/>
    <x v="745"/>
    <n v="11416"/>
    <n v="72673"/>
    <n v="4146"/>
    <n v="68527"/>
    <x v="1"/>
    <x v="2"/>
    <n v="5.7050073617437011E-2"/>
    <x v="0"/>
  </r>
  <r>
    <n v="1299"/>
    <s v="GENERAL PATIENT"/>
    <d v="2022-10-04T00:00:00"/>
    <x v="1"/>
    <d v="2022-10-04T00:00:00"/>
    <d v="2022-10-04T00:00:00"/>
    <n v="22025475"/>
    <n v="2234511"/>
    <n v="1000891305"/>
    <s v="MRIDULA SUNEJA"/>
    <x v="73"/>
    <n v="311"/>
    <n v="2533"/>
    <n v="2533"/>
    <n v="0"/>
    <x v="0"/>
    <x v="6"/>
    <n v="1"/>
    <x v="13"/>
  </r>
  <r>
    <n v="1300"/>
    <s v="GENERAL PATIENT"/>
    <d v="2022-10-04T00:00:00"/>
    <x v="1"/>
    <d v="2022-10-04T00:00:00"/>
    <d v="2022-10-04T00:00:00"/>
    <n v="22025476"/>
    <n v="2234518"/>
    <n v="10013541160"/>
    <s v="SARJIT SINGH CHANA"/>
    <x v="45"/>
    <n v="419"/>
    <n v="4571"/>
    <n v="4571"/>
    <n v="0"/>
    <x v="0"/>
    <x v="6"/>
    <n v="1"/>
    <x v="13"/>
  </r>
  <r>
    <n v="1301"/>
    <s v="GENERAL PATIENT"/>
    <d v="2022-10-25T00:00:00"/>
    <x v="1"/>
    <d v="2022-10-25T00:00:00"/>
    <d v="2022-10-25T00:00:00"/>
    <n v="22028564"/>
    <n v="2237404"/>
    <n v="1001327108"/>
    <s v="POOJA"/>
    <x v="41"/>
    <n v="2794"/>
    <n v="0"/>
    <n v="0"/>
    <n v="0"/>
    <x v="0"/>
    <x v="9"/>
    <e v="#DIV/0!"/>
    <x v="13"/>
  </r>
  <r>
    <n v="1302"/>
    <s v="GENERAL PATIENT"/>
    <d v="2022-10-10T00:00:00"/>
    <x v="1"/>
    <d v="2022-10-12T00:00:00"/>
    <d v="2022-10-12T00:00:00"/>
    <n v="22026729"/>
    <n v="2235409"/>
    <n v="10013540741"/>
    <s v="PAWAN KUMAR"/>
    <x v="746"/>
    <n v="16677"/>
    <n v="35581"/>
    <n v="35581"/>
    <n v="0"/>
    <x v="0"/>
    <x v="18"/>
    <n v="1"/>
    <x v="9"/>
  </r>
  <r>
    <n v="1303"/>
    <s v="GENERAL PATIENT SELF (MAHT)"/>
    <d v="2022-10-14T00:00:00"/>
    <x v="1"/>
    <d v="2022-10-14T00:00:00"/>
    <d v="2022-10-14T00:00:00"/>
    <n v="22027075"/>
    <n v="2235931"/>
    <n v="1001222346"/>
    <s v="RAMESH MITTAL"/>
    <x v="747"/>
    <n v="0"/>
    <n v="41083"/>
    <n v="41083"/>
    <n v="0"/>
    <x v="0"/>
    <x v="6"/>
    <n v="1"/>
    <x v="22"/>
  </r>
  <r>
    <n v="1304"/>
    <s v="GENERAL PATIENT"/>
    <d v="2022-10-12T00:00:00"/>
    <x v="1"/>
    <d v="2022-10-12T00:00:00"/>
    <d v="2022-10-12T00:00:00"/>
    <n v="22026726"/>
    <n v="2235677"/>
    <n v="10013539422"/>
    <s v="NAVEEN KUMAR"/>
    <x v="73"/>
    <n v="308"/>
    <n v="2536"/>
    <n v="2536"/>
    <n v="0"/>
    <x v="0"/>
    <x v="6"/>
    <n v="1"/>
    <x v="13"/>
  </r>
  <r>
    <n v="1305"/>
    <s v="MEDI ASSIST"/>
    <d v="2022-10-12T00:00:00"/>
    <x v="1"/>
    <d v="2022-10-12T00:00:00"/>
    <d v="2022-10-12T00:00:00"/>
    <n v="22026739"/>
    <n v="2235702"/>
    <n v="1001564406"/>
    <s v="RAVI BATURA"/>
    <x v="75"/>
    <n v="0"/>
    <n v="2200"/>
    <n v="330"/>
    <n v="1870"/>
    <x v="1"/>
    <x v="12"/>
    <n v="0.15"/>
    <x v="13"/>
  </r>
  <r>
    <n v="1306"/>
    <s v="GENERAL PATIENT"/>
    <d v="2022-10-17T00:00:00"/>
    <x v="1"/>
    <d v="2022-10-21T00:00:00"/>
    <d v="2022-10-21T00:00:00"/>
    <n v="22028001"/>
    <n v="2236271"/>
    <n v="10013543311"/>
    <s v="RAJ KUMAR"/>
    <x v="748"/>
    <n v="11021"/>
    <n v="73060"/>
    <n v="73060"/>
    <n v="0"/>
    <x v="0"/>
    <x v="2"/>
    <n v="1"/>
    <x v="0"/>
  </r>
  <r>
    <n v="1307"/>
    <s v="GENERAL PATIENT"/>
    <d v="2022-10-19T00:00:00"/>
    <x v="1"/>
    <d v="2022-10-21T00:00:00"/>
    <d v="2022-10-21T00:00:00"/>
    <n v="22027992"/>
    <n v="2236610"/>
    <n v="1001805239"/>
    <s v="SHARMILA FEMALE BABY"/>
    <x v="749"/>
    <n v="1483"/>
    <n v="11015"/>
    <n v="11015"/>
    <n v="0"/>
    <x v="0"/>
    <x v="1"/>
    <n v="1"/>
    <x v="3"/>
  </r>
  <r>
    <n v="1308"/>
    <s v="PARK MED CLAIM LTD"/>
    <d v="2022-10-04T00:00:00"/>
    <x v="1"/>
    <d v="2022-10-05T00:00:00"/>
    <d v="2022-10-05T00:00:00"/>
    <n v="22025745"/>
    <n v="2234524"/>
    <n v="10013527730"/>
    <s v="MITTER PAL BATRA"/>
    <x v="750"/>
    <n v="1490"/>
    <n v="40836"/>
    <n v="11980"/>
    <n v="28856"/>
    <x v="1"/>
    <x v="3"/>
    <n v="0.29336859633656576"/>
    <x v="11"/>
  </r>
  <r>
    <n v="1309"/>
    <s v="FHPL"/>
    <d v="2022-09-30T00:00:00"/>
    <x v="0"/>
    <d v="2022-10-05T00:00:00"/>
    <d v="2022-10-05T00:00:00"/>
    <n v="22025718"/>
    <n v="2234138"/>
    <n v="10013541054"/>
    <s v="SHRAVAN KUMAR SHARMA"/>
    <x v="751"/>
    <n v="8797"/>
    <n v="76377"/>
    <n v="3992"/>
    <n v="72385"/>
    <x v="1"/>
    <x v="3"/>
    <n v="5.2267043743535357E-2"/>
    <x v="0"/>
  </r>
  <r>
    <n v="1310"/>
    <s v="MEDI ASSIST"/>
    <d v="2022-10-10T00:00:00"/>
    <x v="1"/>
    <d v="2022-10-10T00:00:00"/>
    <d v="2022-10-10T00:00:00"/>
    <n v="22026403"/>
    <n v="2235374"/>
    <n v="1000983811"/>
    <s v="LUXMI TRIVEDI"/>
    <x v="75"/>
    <n v="0"/>
    <n v="2200"/>
    <n v="440"/>
    <n v="1760"/>
    <x v="1"/>
    <x v="12"/>
    <n v="0.2"/>
    <x v="13"/>
  </r>
  <r>
    <n v="1311"/>
    <s v="CARE HEALTH INSURANCE LIMITED"/>
    <d v="2022-10-16T00:00:00"/>
    <x v="1"/>
    <d v="2022-10-20T00:00:00"/>
    <d v="2022-10-20T00:00:00"/>
    <n v="22027909"/>
    <n v="2236240"/>
    <n v="10013543260"/>
    <s v="RAKESH SONDHI"/>
    <x v="752"/>
    <n v="13312"/>
    <n v="81629"/>
    <n v="2547"/>
    <n v="79082"/>
    <x v="1"/>
    <x v="2"/>
    <n v="3.120214629604675E-2"/>
    <x v="0"/>
  </r>
  <r>
    <n v="1312"/>
    <s v="GENERAL PATIENT"/>
    <d v="2022-10-20T00:00:00"/>
    <x v="1"/>
    <d v="2022-10-20T00:00:00"/>
    <d v="2022-10-20T00:00:00"/>
    <n v="22027880"/>
    <n v="2236747"/>
    <n v="10013543404"/>
    <s v="ABHIJEET SINGH"/>
    <x v="753"/>
    <n v="5481"/>
    <n v="33832"/>
    <n v="33832"/>
    <n v="0"/>
    <x v="0"/>
    <x v="6"/>
    <n v="1"/>
    <x v="6"/>
  </r>
  <r>
    <n v="1313"/>
    <s v="GENERAL PATIENT"/>
    <d v="2022-10-04T00:00:00"/>
    <x v="1"/>
    <d v="2022-10-04T00:00:00"/>
    <d v="2022-10-04T00:00:00"/>
    <n v="22025485"/>
    <n v="2234503"/>
    <n v="1001427466"/>
    <s v="DEVENDER GOYAL"/>
    <x v="127"/>
    <n v="2680"/>
    <n v="0"/>
    <n v="0"/>
    <n v="0"/>
    <x v="0"/>
    <x v="9"/>
    <e v="#DIV/0!"/>
    <x v="13"/>
  </r>
  <r>
    <n v="1314"/>
    <s v="GENERAL PATIENT"/>
    <d v="2022-10-05T00:00:00"/>
    <x v="1"/>
    <d v="2022-10-05T00:00:00"/>
    <d v="2022-10-05T00:00:00"/>
    <n v="22025768"/>
    <n v="2234751"/>
    <n v="10013509533"/>
    <s v="ANKIT BINDRA"/>
    <x v="73"/>
    <n v="308"/>
    <n v="2536"/>
    <n v="2536"/>
    <n v="0"/>
    <x v="0"/>
    <x v="6"/>
    <n v="1"/>
    <x v="13"/>
  </r>
  <r>
    <n v="1315"/>
    <s v="STAFF"/>
    <d v="2022-10-03T00:00:00"/>
    <x v="1"/>
    <d v="2022-10-08T00:00:00"/>
    <d v="2022-10-08T00:00:00"/>
    <n v="22026117"/>
    <n v="2234431"/>
    <n v="1001053829"/>
    <s v="DEEPAMOL M R"/>
    <x v="754"/>
    <n v="50945"/>
    <n v="0"/>
    <n v="0"/>
    <n v="0"/>
    <x v="0"/>
    <x v="9"/>
    <e v="#DIV/0!"/>
    <x v="0"/>
  </r>
  <r>
    <n v="1316"/>
    <s v="GENERAL PATIENT"/>
    <d v="2022-10-27T00:00:00"/>
    <x v="1"/>
    <d v="2022-10-27T00:00:00"/>
    <d v="2022-10-27T00:00:00"/>
    <n v="22028826"/>
    <n v="2237667"/>
    <n v="10013543604"/>
    <s v="PAPPU"/>
    <x v="755"/>
    <n v="7125"/>
    <n v="0"/>
    <n v="0"/>
    <n v="0"/>
    <x v="0"/>
    <x v="9"/>
    <e v="#DIV/0!"/>
    <x v="16"/>
  </r>
  <r>
    <n v="1317"/>
    <s v="CGHS ( CREDIT)"/>
    <d v="2022-10-18T00:00:00"/>
    <x v="1"/>
    <d v="2022-10-20T00:00:00"/>
    <d v="2022-10-20T00:00:00"/>
    <n v="22027832"/>
    <n v="2236543"/>
    <n v="1001435209"/>
    <s v="RAM KUMAR DABAS"/>
    <x v="756"/>
    <n v="0"/>
    <n v="25037"/>
    <n v="824"/>
    <n v="24213"/>
    <x v="1"/>
    <x v="1"/>
    <n v="3.291129128889244E-2"/>
    <x v="4"/>
  </r>
  <r>
    <n v="1318"/>
    <s v="GENERAL PATIENT"/>
    <d v="2022-10-19T00:00:00"/>
    <x v="1"/>
    <d v="2022-10-20T00:00:00"/>
    <d v="2022-10-20T00:00:00"/>
    <n v="22027878"/>
    <n v="2236701"/>
    <n v="1001805323"/>
    <s v="NEHA MALE BABY"/>
    <x v="757"/>
    <n v="2434"/>
    <n v="4076"/>
    <n v="4076"/>
    <n v="0"/>
    <x v="0"/>
    <x v="18"/>
    <n v="1"/>
    <x v="3"/>
  </r>
  <r>
    <n v="1319"/>
    <s v="GENERAL PATIENT"/>
    <d v="2022-09-25T00:00:00"/>
    <x v="0"/>
    <d v="2022-10-01T00:00:00"/>
    <d v="2022-10-01T00:00:00"/>
    <n v="22025141"/>
    <n v="2233410"/>
    <n v="1001263339"/>
    <s v="MURTI DEVI"/>
    <x v="758"/>
    <n v="31863"/>
    <n v="67915"/>
    <n v="67915"/>
    <n v="0"/>
    <x v="0"/>
    <x v="7"/>
    <n v="1"/>
    <x v="0"/>
  </r>
  <r>
    <n v="1320"/>
    <s v="GENERAL PATIENT"/>
    <d v="2022-10-10T00:00:00"/>
    <x v="1"/>
    <d v="2022-10-10T00:00:00"/>
    <d v="2022-10-10T00:00:00"/>
    <n v="22026323"/>
    <n v="2235325"/>
    <n v="10013484177"/>
    <s v="R.S DUBEY"/>
    <x v="73"/>
    <n v="285"/>
    <n v="2559"/>
    <n v="2559"/>
    <n v="0"/>
    <x v="0"/>
    <x v="6"/>
    <n v="1"/>
    <x v="13"/>
  </r>
  <r>
    <n v="1321"/>
    <s v="GOVT. OF NCT OF DELHI"/>
    <d v="2022-10-10T00:00:00"/>
    <x v="1"/>
    <d v="2022-10-10T00:00:00"/>
    <d v="2022-10-10T00:00:00"/>
    <n v="22026325"/>
    <n v="2235330"/>
    <n v="10013537888"/>
    <s v="RASHMI"/>
    <x v="43"/>
    <n v="0"/>
    <n v="1610"/>
    <n v="1610"/>
    <n v="0"/>
    <x v="0"/>
    <x v="6"/>
    <n v="1"/>
    <x v="13"/>
  </r>
  <r>
    <n v="1322"/>
    <s v=" CGHS CREDIT"/>
    <d v="2022-10-05T00:00:00"/>
    <x v="1"/>
    <d v="2022-10-20T00:00:00"/>
    <d v="2022-10-20T00:00:00"/>
    <n v="22027914"/>
    <n v="2234775"/>
    <n v="1001666095"/>
    <s v="VEATI NAGAR"/>
    <x v="759"/>
    <n v="0"/>
    <n v="284482"/>
    <n v="6702"/>
    <n v="277780"/>
    <x v="1"/>
    <x v="2"/>
    <n v="2.3558608277500861E-2"/>
    <x v="0"/>
  </r>
  <r>
    <n v="1323"/>
    <s v="GENERAL PATIENT"/>
    <d v="2022-10-20T00:00:00"/>
    <x v="1"/>
    <d v="2022-10-20T00:00:00"/>
    <d v="2022-10-20T00:00:00"/>
    <n v="22027924"/>
    <n v="2236730"/>
    <n v="1001561182"/>
    <s v="TAPATI CHATTERJEE"/>
    <x v="127"/>
    <n v="0"/>
    <n v="2680"/>
    <n v="2680"/>
    <n v="0"/>
    <x v="0"/>
    <x v="6"/>
    <n v="1"/>
    <x v="13"/>
  </r>
  <r>
    <n v="1324"/>
    <s v="STAR HEALTH CARE  (CREDIT)"/>
    <d v="2022-09-29T00:00:00"/>
    <x v="0"/>
    <d v="2022-10-01T00:00:00"/>
    <d v="2022-10-01T00:00:00"/>
    <n v="22025156"/>
    <n v="2233970"/>
    <n v="10013540873"/>
    <s v="PRIYA BANSAL"/>
    <x v="760"/>
    <n v="8831"/>
    <n v="53955"/>
    <n v="4233"/>
    <n v="49722"/>
    <x v="1"/>
    <x v="1"/>
    <n v="7.8454267445093137E-2"/>
    <x v="11"/>
  </r>
  <r>
    <n v="1325"/>
    <s v="STAR HEALTH CARE  (CREDIT)"/>
    <d v="2022-10-23T00:00:00"/>
    <x v="1"/>
    <d v="2022-10-26T00:00:00"/>
    <d v="2022-10-26T00:00:00"/>
    <n v="22028606"/>
    <n v="2237143"/>
    <n v="10013428214"/>
    <s v="TUSHAR MADAAN"/>
    <x v="761"/>
    <n v="8194"/>
    <n v="53087"/>
    <n v="3474"/>
    <n v="49613"/>
    <x v="1"/>
    <x v="0"/>
    <n v="6.5439749844594719E-2"/>
    <x v="0"/>
  </r>
  <r>
    <n v="1326"/>
    <s v="Good Health Plan Limited"/>
    <d v="2022-10-11T00:00:00"/>
    <x v="1"/>
    <d v="2022-10-11T00:00:00"/>
    <d v="2022-10-11T00:00:00"/>
    <n v="22026540"/>
    <n v="2235532"/>
    <n v="10013471499"/>
    <s v="MOHAN LAL KATARIA"/>
    <x v="75"/>
    <n v="0"/>
    <n v="2200"/>
    <n v="220"/>
    <n v="1980"/>
    <x v="1"/>
    <x v="12"/>
    <n v="0.1"/>
    <x v="13"/>
  </r>
  <r>
    <n v="1327"/>
    <s v="T.T.K"/>
    <d v="2022-10-11T00:00:00"/>
    <x v="1"/>
    <d v="2022-10-11T00:00:00"/>
    <d v="2022-10-11T00:00:00"/>
    <n v="22026545"/>
    <n v="2235536"/>
    <n v="10013376566"/>
    <s v="RAJEEV BHATIA"/>
    <x v="75"/>
    <n v="0"/>
    <n v="2200"/>
    <n v="440"/>
    <n v="1760"/>
    <x v="1"/>
    <x v="12"/>
    <n v="0.2"/>
    <x v="13"/>
  </r>
  <r>
    <n v="1328"/>
    <s v="PARK MED CLAIM LTD"/>
    <d v="2022-10-11T00:00:00"/>
    <x v="1"/>
    <d v="2022-10-11T00:00:00"/>
    <d v="2022-10-11T00:00:00"/>
    <n v="22026547"/>
    <n v="2235534"/>
    <n v="1001300227"/>
    <s v="BIMLA"/>
    <x v="75"/>
    <n v="0"/>
    <n v="2200"/>
    <n v="2200"/>
    <n v="0"/>
    <x v="0"/>
    <x v="12"/>
    <n v="1"/>
    <x v="13"/>
  </r>
  <r>
    <n v="1329"/>
    <s v="GENERAL PATIENT"/>
    <d v="2022-10-11T00:00:00"/>
    <x v="1"/>
    <d v="2022-10-11T00:00:00"/>
    <d v="2022-10-11T00:00:00"/>
    <n v="22026571"/>
    <n v="2235564"/>
    <n v="1000890994"/>
    <s v="HIMANSHU KAPOOR"/>
    <x v="636"/>
    <n v="318"/>
    <n v="3220"/>
    <n v="3220"/>
    <n v="0"/>
    <x v="0"/>
    <x v="6"/>
    <n v="1"/>
    <x v="13"/>
  </r>
  <r>
    <n v="1330"/>
    <s v="CGHS"/>
    <d v="2022-10-21T00:00:00"/>
    <x v="1"/>
    <d v="2022-10-21T00:00:00"/>
    <d v="2022-10-21T00:00:00"/>
    <n v="22028021"/>
    <n v="2236897"/>
    <n v="10013519440"/>
    <s v="RAJENDER KUMAR"/>
    <x v="43"/>
    <n v="0"/>
    <n v="1610"/>
    <n v="1610"/>
    <n v="0"/>
    <x v="0"/>
    <x v="6"/>
    <n v="1"/>
    <x v="13"/>
  </r>
  <r>
    <n v="1331"/>
    <s v="MEDI ASSIST"/>
    <d v="2022-10-23T00:00:00"/>
    <x v="1"/>
    <d v="2022-10-25T00:00:00"/>
    <d v="2022-10-25T00:00:00"/>
    <n v="22028502"/>
    <n v="2237164"/>
    <n v="1001805888"/>
    <s v="HIMANSHI MALE BABY"/>
    <x v="762"/>
    <n v="0"/>
    <n v="9308"/>
    <n v="9308"/>
    <n v="0"/>
    <x v="0"/>
    <x v="5"/>
    <n v="1"/>
    <x v="3"/>
  </r>
  <r>
    <n v="1332"/>
    <s v="GENERAL PATIENT"/>
    <d v="2022-10-23T00:00:00"/>
    <x v="1"/>
    <d v="2022-10-23T00:00:00"/>
    <d v="2022-10-23T00:00:00"/>
    <n v="22028382"/>
    <n v="2237154"/>
    <n v="1000919979"/>
    <s v="HEMA  BHAGAT"/>
    <x v="763"/>
    <n v="290"/>
    <n v="3851"/>
    <n v="3851"/>
    <n v="0"/>
    <x v="0"/>
    <x v="6"/>
    <n v="1"/>
    <x v="13"/>
  </r>
  <r>
    <n v="1333"/>
    <s v="GENERAL PATIENT"/>
    <d v="2022-10-27T00:00:00"/>
    <x v="1"/>
    <d v="2022-10-27T00:00:00"/>
    <d v="2022-10-27T00:00:00"/>
    <n v="22028788"/>
    <n v="2237634"/>
    <n v="1000919979"/>
    <s v="HEMA  BHAGAT"/>
    <x v="73"/>
    <n v="288"/>
    <n v="2556"/>
    <n v="2556"/>
    <n v="0"/>
    <x v="0"/>
    <x v="6"/>
    <n v="1"/>
    <x v="13"/>
  </r>
  <r>
    <n v="1334"/>
    <s v="STAR HEALTH CARE  (CREDIT)"/>
    <d v="2022-10-25T00:00:00"/>
    <x v="1"/>
    <d v="2022-10-29T00:00:00"/>
    <d v="2022-10-29T00:00:00"/>
    <n v="22029024"/>
    <n v="2237358"/>
    <n v="10013442347"/>
    <s v="DAKSHIT GOEL"/>
    <x v="764"/>
    <n v="12091"/>
    <n v="76264"/>
    <n v="3790"/>
    <n v="72474"/>
    <x v="1"/>
    <x v="2"/>
    <n v="4.9695793559215357E-2"/>
    <x v="0"/>
  </r>
  <r>
    <n v="1335"/>
    <s v=" CGHS CREDIT"/>
    <d v="2022-09-23T00:00:00"/>
    <x v="0"/>
    <d v="2022-10-01T00:00:00"/>
    <d v="2022-10-01T00:00:00"/>
    <n v="22025213"/>
    <n v="2233219"/>
    <n v="1001793811"/>
    <s v="MADHURI DEVI"/>
    <x v="765"/>
    <n v="0"/>
    <n v="55470"/>
    <n v="700"/>
    <n v="54770"/>
    <x v="1"/>
    <x v="1"/>
    <n v="1.2619433928249504E-2"/>
    <x v="0"/>
  </r>
  <r>
    <n v="1336"/>
    <s v="Health Insurance TPA of India Ltd."/>
    <d v="2022-10-23T00:00:00"/>
    <x v="1"/>
    <d v="2022-10-29T00:00:00"/>
    <d v="2022-10-29T00:00:00"/>
    <n v="22029033"/>
    <n v="2237204"/>
    <n v="10013544261"/>
    <s v="MUKESH KUMAR"/>
    <x v="766"/>
    <n v="0"/>
    <n v="91997"/>
    <n v="1500"/>
    <n v="90497"/>
    <x v="1"/>
    <x v="3"/>
    <n v="1.6304879506940442E-2"/>
    <x v="0"/>
  </r>
  <r>
    <n v="1337"/>
    <s v="GENERAL PATIENT"/>
    <d v="2022-10-25T00:00:00"/>
    <x v="1"/>
    <d v="2022-10-25T00:00:00"/>
    <d v="2022-10-25T00:00:00"/>
    <n v="22028466"/>
    <n v="2237262"/>
    <n v="1000891305"/>
    <s v="MRIDULA SUNEJA"/>
    <x v="73"/>
    <n v="310"/>
    <n v="2534"/>
    <n v="2534"/>
    <n v="0"/>
    <x v="0"/>
    <x v="6"/>
    <n v="1"/>
    <x v="13"/>
  </r>
  <r>
    <n v="1338"/>
    <s v="INDIAN OIL CORP. LTD"/>
    <d v="2022-10-10T00:00:00"/>
    <x v="1"/>
    <d v="2022-10-13T00:00:00"/>
    <d v="2022-10-13T00:00:00"/>
    <n v="22026929"/>
    <n v="2235442"/>
    <n v="10013533226"/>
    <s v="NISHA PAL"/>
    <x v="767"/>
    <n v="5090"/>
    <n v="61554"/>
    <n v="3124"/>
    <n v="58430"/>
    <x v="1"/>
    <x v="0"/>
    <n v="5.0752185073269E-2"/>
    <x v="1"/>
  </r>
  <r>
    <n v="1339"/>
    <s v="M.C.D"/>
    <d v="2022-09-29T00:00:00"/>
    <x v="0"/>
    <d v="2022-10-05T00:00:00"/>
    <d v="2022-10-05T00:00:00"/>
    <n v="22025757"/>
    <n v="2233976"/>
    <n v="10013453981"/>
    <s v="RAJ KUMAR"/>
    <x v="768"/>
    <n v="0"/>
    <n v="59240"/>
    <n v="59240"/>
    <n v="0"/>
    <x v="0"/>
    <x v="1"/>
    <n v="1"/>
    <x v="0"/>
  </r>
  <r>
    <n v="1340"/>
    <s v="GENERAL PATIENT"/>
    <d v="2022-10-07T00:00:00"/>
    <x v="1"/>
    <d v="2022-10-09T00:00:00"/>
    <d v="2022-10-09T00:00:00"/>
    <n v="22026276"/>
    <n v="2235077"/>
    <n v="10013541386"/>
    <s v="VISHAL"/>
    <x v="769"/>
    <n v="33026"/>
    <n v="0"/>
    <n v="0"/>
    <n v="0"/>
    <x v="0"/>
    <x v="9"/>
    <e v="#DIV/0!"/>
    <x v="3"/>
  </r>
  <r>
    <n v="1341"/>
    <s v="BSES Rajdhani Power Ltd."/>
    <d v="2022-10-21T00:00:00"/>
    <x v="1"/>
    <d v="2022-10-26T00:00:00"/>
    <d v="2022-10-26T00:00:00"/>
    <n v="22028629"/>
    <n v="2236978"/>
    <n v="10013543892"/>
    <s v="ANUSHKA KHERA"/>
    <x v="770"/>
    <n v="0"/>
    <n v="42752"/>
    <n v="520"/>
    <n v="42232"/>
    <x v="1"/>
    <x v="2"/>
    <n v="1.2163173652694611E-2"/>
    <x v="0"/>
  </r>
  <r>
    <n v="1342"/>
    <s v="Staff DEPENDENT"/>
    <d v="2022-10-26T00:00:00"/>
    <x v="1"/>
    <d v="2022-10-26T00:00:00"/>
    <d v="2022-10-26T00:00:00"/>
    <n v="22028668"/>
    <n v="2237508"/>
    <n v="1000915528"/>
    <s v="SHABNAM"/>
    <x v="73"/>
    <n v="2844"/>
    <n v="0"/>
    <n v="0"/>
    <n v="0"/>
    <x v="0"/>
    <x v="6"/>
    <e v="#DIV/0!"/>
    <x v="13"/>
  </r>
  <r>
    <n v="1343"/>
    <s v="GENERAL PATIENT"/>
    <d v="2022-10-27T00:00:00"/>
    <x v="1"/>
    <d v="2022-10-27T00:00:00"/>
    <d v="2022-10-27T00:00:00"/>
    <n v="22028712"/>
    <n v="2237604"/>
    <n v="10013484177"/>
    <s v="R.S DUBEY"/>
    <x v="73"/>
    <n v="289"/>
    <n v="2555"/>
    <n v="2555"/>
    <n v="0"/>
    <x v="0"/>
    <x v="6"/>
    <n v="1"/>
    <x v="13"/>
  </r>
  <r>
    <n v="1344"/>
    <s v="GENERAL PATIENT"/>
    <d v="2022-10-21T00:00:00"/>
    <x v="1"/>
    <d v="2022-10-21T00:00:00"/>
    <d v="2022-10-21T00:00:00"/>
    <n v="22027971"/>
    <n v="2236883"/>
    <n v="10013451851"/>
    <s v="SHASHI JAIN"/>
    <x v="45"/>
    <n v="434"/>
    <n v="4556"/>
    <n v="4556"/>
    <n v="0"/>
    <x v="0"/>
    <x v="6"/>
    <n v="1"/>
    <x v="13"/>
  </r>
  <r>
    <n v="1345"/>
    <s v="GENERAL PATIENT"/>
    <d v="2022-10-19T00:00:00"/>
    <x v="1"/>
    <d v="2022-10-21T00:00:00"/>
    <d v="2022-10-21T00:00:00"/>
    <n v="22028029"/>
    <n v="2236643"/>
    <n v="10013462403"/>
    <s v="SUNIL KUMAR RAWAT"/>
    <x v="771"/>
    <n v="95809"/>
    <n v="0"/>
    <n v="0"/>
    <n v="0"/>
    <x v="0"/>
    <x v="9"/>
    <e v="#DIV/0!"/>
    <x v="0"/>
  </r>
  <r>
    <n v="1346"/>
    <s v="STAR HEALTH CARE  (CREDIT)"/>
    <d v="2022-10-02T00:00:00"/>
    <x v="1"/>
    <d v="2022-10-05T00:00:00"/>
    <d v="2022-10-05T00:00:00"/>
    <n v="22025744"/>
    <n v="2234331"/>
    <n v="1000930771"/>
    <s v="RAM KUMAR BANSAL"/>
    <x v="772"/>
    <n v="0"/>
    <n v="75847"/>
    <n v="75847"/>
    <n v="0"/>
    <x v="0"/>
    <x v="2"/>
    <n v="1"/>
    <x v="9"/>
  </r>
  <r>
    <n v="1347"/>
    <s v="GENERAL PATIENT"/>
    <d v="2022-10-27T00:00:00"/>
    <x v="1"/>
    <d v="2022-10-28T00:00:00"/>
    <d v="2022-10-28T00:00:00"/>
    <n v="22028904"/>
    <n v="2237731"/>
    <n v="10013544210"/>
    <s v="BHARAT ARORA"/>
    <x v="773"/>
    <n v="13335"/>
    <n v="0"/>
    <n v="0"/>
    <n v="0"/>
    <x v="0"/>
    <x v="9"/>
    <e v="#DIV/0!"/>
    <x v="0"/>
  </r>
  <r>
    <n v="1348"/>
    <s v="STAR HEALTH CARE  (CREDIT)"/>
    <d v="2022-09-30T00:00:00"/>
    <x v="0"/>
    <d v="2022-10-07T00:00:00"/>
    <d v="2022-10-07T00:00:00"/>
    <n v="22025943"/>
    <n v="2234134"/>
    <n v="10013512543"/>
    <s v="BHAVYANSH"/>
    <x v="774"/>
    <n v="16926"/>
    <n v="109700"/>
    <n v="6877"/>
    <n v="102823"/>
    <x v="1"/>
    <x v="2"/>
    <n v="6.2689152233363715E-2"/>
    <x v="3"/>
  </r>
  <r>
    <n v="1349"/>
    <s v=" DGEHS (CASH)"/>
    <d v="2022-10-08T00:00:00"/>
    <x v="1"/>
    <d v="2022-10-08T00:00:00"/>
    <d v="2022-10-08T00:00:00"/>
    <n v="22026206"/>
    <n v="2235221"/>
    <n v="1001753780"/>
    <s v="DAU DAYAL VARSHNEY"/>
    <x v="137"/>
    <n v="0"/>
    <n v="2560"/>
    <n v="2560"/>
    <n v="0"/>
    <x v="0"/>
    <x v="6"/>
    <n v="1"/>
    <x v="13"/>
  </r>
  <r>
    <n v="1350"/>
    <s v="CGHS"/>
    <d v="2022-10-14T00:00:00"/>
    <x v="1"/>
    <d v="2022-10-16T00:00:00"/>
    <d v="2022-10-16T00:00:00"/>
    <n v="22027316"/>
    <n v="2236047"/>
    <n v="1001717737"/>
    <s v="SUDESH SABHARWAL"/>
    <x v="775"/>
    <n v="0"/>
    <n v="21621"/>
    <n v="21621"/>
    <n v="0"/>
    <x v="0"/>
    <x v="0"/>
    <n v="1"/>
    <x v="4"/>
  </r>
  <r>
    <n v="1351"/>
    <s v="NIVA BUPA"/>
    <d v="2022-09-29T00:00:00"/>
    <x v="0"/>
    <d v="2022-10-01T00:00:00"/>
    <d v="2022-10-01T00:00:00"/>
    <n v="22025155"/>
    <n v="2233943"/>
    <n v="1000932462"/>
    <s v="SHIWANI GOYAL"/>
    <x v="776"/>
    <n v="13419"/>
    <n v="91154"/>
    <n v="2405"/>
    <n v="88749"/>
    <x v="1"/>
    <x v="10"/>
    <n v="2.638392171490006E-2"/>
    <x v="6"/>
  </r>
  <r>
    <n v="1352"/>
    <s v="GENERAL PATIENT"/>
    <d v="2022-10-15T00:00:00"/>
    <x v="1"/>
    <d v="2022-10-16T00:00:00"/>
    <d v="2022-10-16T00:00:00"/>
    <n v="22027317"/>
    <n v="2236123"/>
    <n v="1001804545"/>
    <s v="ISHA MALE BABY  GOEL"/>
    <x v="777"/>
    <n v="1588"/>
    <n v="9163"/>
    <n v="9163"/>
    <n v="0"/>
    <x v="0"/>
    <x v="2"/>
    <n v="1"/>
    <x v="3"/>
  </r>
  <r>
    <n v="1353"/>
    <s v="Staff DEPENDENT"/>
    <d v="2022-10-04T00:00:00"/>
    <x v="1"/>
    <d v="2022-10-06T00:00:00"/>
    <d v="2022-10-06T00:00:00"/>
    <n v="22025884"/>
    <n v="2234597"/>
    <n v="1001802465"/>
    <s v="MAYA MALE BABY DEVI"/>
    <x v="778"/>
    <n v="19842"/>
    <n v="0"/>
    <n v="0"/>
    <n v="0"/>
    <x v="0"/>
    <x v="0"/>
    <e v="#DIV/0!"/>
    <x v="3"/>
  </r>
  <r>
    <n v="1354"/>
    <s v="CARE HEALTH INSURANCE LIMITED"/>
    <d v="2022-09-27T00:00:00"/>
    <x v="0"/>
    <d v="2022-10-01T00:00:00"/>
    <d v="2022-10-01T00:00:00"/>
    <n v="22025144"/>
    <n v="2233607"/>
    <n v="10013512284"/>
    <s v="RANJAN PALIWAL"/>
    <x v="779"/>
    <n v="0"/>
    <n v="304813"/>
    <n v="1500"/>
    <n v="303313"/>
    <x v="1"/>
    <x v="2"/>
    <n v="4.9210499552184454E-3"/>
    <x v="16"/>
  </r>
  <r>
    <n v="1355"/>
    <s v="GENERAL PATIENT"/>
    <d v="2022-10-01T00:00:00"/>
    <x v="1"/>
    <d v="2022-10-12T00:00:00"/>
    <d v="2022-10-12T00:00:00"/>
    <n v="22026713"/>
    <n v="2234294"/>
    <n v="10013541190"/>
    <s v="KAUSHAL KUMAR"/>
    <x v="780"/>
    <n v="315155"/>
    <n v="0"/>
    <n v="0"/>
    <n v="0"/>
    <x v="0"/>
    <x v="9"/>
    <e v="#DIV/0!"/>
    <x v="0"/>
  </r>
  <r>
    <n v="1356"/>
    <s v="GENERAL PATIENT"/>
    <d v="2022-10-16T00:00:00"/>
    <x v="1"/>
    <d v="2022-10-18T00:00:00"/>
    <d v="2022-10-18T00:00:00"/>
    <n v="22027602"/>
    <n v="2236220"/>
    <n v="1000892411"/>
    <s v="HARI OM GUPTA"/>
    <x v="781"/>
    <n v="99381"/>
    <n v="0"/>
    <n v="0"/>
    <n v="0"/>
    <x v="0"/>
    <x v="9"/>
    <e v="#DIV/0!"/>
    <x v="4"/>
  </r>
  <r>
    <n v="1357"/>
    <s v="GOVT. OF NCT OF DELHI"/>
    <d v="2022-10-22T00:00:00"/>
    <x v="1"/>
    <d v="2022-10-22T00:00:00"/>
    <d v="2022-10-22T00:00:00"/>
    <n v="22028232"/>
    <n v="2237033"/>
    <n v="10013362937"/>
    <s v="JAYAMANTI"/>
    <x v="43"/>
    <n v="0"/>
    <n v="1610"/>
    <n v="1610"/>
    <n v="0"/>
    <x v="0"/>
    <x v="6"/>
    <n v="1"/>
    <x v="13"/>
  </r>
  <r>
    <n v="1358"/>
    <s v=" SSYAMA CASH"/>
    <d v="2022-10-26T00:00:00"/>
    <x v="1"/>
    <d v="2022-10-26T00:00:00"/>
    <d v="2022-10-26T00:00:00"/>
    <n v="22028579"/>
    <n v="2237459"/>
    <n v="1001788579"/>
    <s v="JABBAR KHAN"/>
    <x v="49"/>
    <n v="0"/>
    <n v="2172"/>
    <n v="2172"/>
    <n v="0"/>
    <x v="0"/>
    <x v="6"/>
    <n v="1"/>
    <x v="13"/>
  </r>
  <r>
    <n v="1359"/>
    <s v="DGHS (DELHI GOVT.)"/>
    <d v="2022-10-03T00:00:00"/>
    <x v="1"/>
    <d v="2022-10-06T00:00:00"/>
    <d v="2022-10-06T00:00:00"/>
    <n v="22025826"/>
    <n v="2234347"/>
    <n v="10013501017"/>
    <s v="DHARAM BEER"/>
    <x v="782"/>
    <n v="0"/>
    <n v="28945"/>
    <n v="2191"/>
    <n v="26754"/>
    <x v="1"/>
    <x v="1"/>
    <n v="7.569528415961306E-2"/>
    <x v="0"/>
  </r>
  <r>
    <n v="1360"/>
    <s v="STAR HEALTH CARE  (CREDIT)"/>
    <d v="2022-10-18T00:00:00"/>
    <x v="1"/>
    <d v="2022-10-20T00:00:00"/>
    <d v="2022-10-20T00:00:00"/>
    <n v="22027873"/>
    <n v="2236558"/>
    <n v="10013543633"/>
    <s v="SANJAY KUMAR VATS"/>
    <x v="783"/>
    <n v="0"/>
    <n v="172853"/>
    <n v="5753"/>
    <n v="167100"/>
    <x v="1"/>
    <x v="2"/>
    <n v="3.3282615864347165E-2"/>
    <x v="16"/>
  </r>
  <r>
    <n v="1361"/>
    <s v="Safeway Mediclaim Services Pvt. Ltd."/>
    <d v="2022-10-27T00:00:00"/>
    <x v="1"/>
    <d v="2022-10-27T00:00:00"/>
    <d v="2022-10-27T00:00:00"/>
    <n v="22028825"/>
    <n v="2237682"/>
    <n v="10013544799"/>
    <s v="DARSHAN DEVI"/>
    <x v="16"/>
    <n v="0"/>
    <n v="0"/>
    <n v="0"/>
    <n v="0"/>
    <x v="0"/>
    <x v="5"/>
    <e v="#DIV/0!"/>
    <x v="16"/>
  </r>
  <r>
    <n v="1362"/>
    <s v="VIPUL MED CORP PVT LTD"/>
    <d v="2022-10-17T00:00:00"/>
    <x v="1"/>
    <d v="2022-10-27T00:00:00"/>
    <d v="2022-10-27T00:00:00"/>
    <n v="22028795"/>
    <n v="2236318"/>
    <n v="10013388922"/>
    <s v="INDER ARORA"/>
    <x v="784"/>
    <n v="20840"/>
    <n v="163535"/>
    <n v="12337"/>
    <n v="151198"/>
    <x v="1"/>
    <x v="3"/>
    <n v="7.5439508362124319E-2"/>
    <x v="0"/>
  </r>
  <r>
    <n v="1363"/>
    <s v="GENERAL PATIENT"/>
    <d v="2022-10-18T00:00:00"/>
    <x v="1"/>
    <d v="2022-10-18T00:00:00"/>
    <d v="2022-10-18T00:00:00"/>
    <n v="22027539"/>
    <n v="2236448"/>
    <n v="10013451851"/>
    <s v="SHASHI JAIN"/>
    <x v="45"/>
    <n v="432"/>
    <n v="4558"/>
    <n v="4558"/>
    <n v="0"/>
    <x v="0"/>
    <x v="6"/>
    <n v="1"/>
    <x v="13"/>
  </r>
  <r>
    <n v="1364"/>
    <s v="Aditya Birla Health Insurance Co. Limited"/>
    <d v="2022-10-15T00:00:00"/>
    <x v="1"/>
    <d v="2022-10-19T00:00:00"/>
    <d v="2022-10-19T00:00:00"/>
    <n v="22027709"/>
    <n v="2236206"/>
    <n v="10013543221"/>
    <s v="SHATRUGHAN PRASAD GOSWAMI"/>
    <x v="785"/>
    <n v="2719"/>
    <n v="51836"/>
    <n v="1500"/>
    <n v="50336"/>
    <x v="1"/>
    <x v="1"/>
    <n v="2.8937418010648971E-2"/>
    <x v="0"/>
  </r>
  <r>
    <n v="1365"/>
    <s v=" CGHS Cash"/>
    <d v="2022-10-18T00:00:00"/>
    <x v="1"/>
    <d v="2022-10-18T00:00:00"/>
    <d v="2022-10-18T00:00:00"/>
    <n v="22027586"/>
    <n v="2236498"/>
    <n v="1001797549"/>
    <s v="ASHOK KUMAR"/>
    <x v="137"/>
    <n v="0"/>
    <n v="2560"/>
    <n v="2560"/>
    <n v="0"/>
    <x v="0"/>
    <x v="6"/>
    <n v="1"/>
    <x v="13"/>
  </r>
  <r>
    <n v="1366"/>
    <s v=" ECHS CREDIT"/>
    <d v="2022-09-10T00:00:00"/>
    <x v="0"/>
    <d v="2022-10-03T00:00:00"/>
    <d v="2022-10-03T00:00:00"/>
    <n v="22025415"/>
    <n v="2231402"/>
    <n v="1001797753"/>
    <s v="GANESH SINGH"/>
    <x v="786"/>
    <n v="0"/>
    <n v="326154"/>
    <n v="600"/>
    <n v="325554"/>
    <x v="1"/>
    <x v="1"/>
    <n v="1.8396217737633143E-3"/>
    <x v="0"/>
  </r>
  <r>
    <n v="1367"/>
    <s v="GENERAL PATIENT"/>
    <d v="2022-10-20T00:00:00"/>
    <x v="1"/>
    <d v="2022-10-20T00:00:00"/>
    <d v="2022-10-20T00:00:00"/>
    <n v="22027829"/>
    <n v="2236746"/>
    <n v="10013541160"/>
    <s v="SARJIT SINGH CHANA"/>
    <x v="45"/>
    <n v="536"/>
    <n v="4454"/>
    <n v="4454"/>
    <n v="0"/>
    <x v="0"/>
    <x v="6"/>
    <n v="1"/>
    <x v="13"/>
  </r>
  <r>
    <n v="1368"/>
    <s v="GENERAL PATIENT"/>
    <d v="2022-10-10T00:00:00"/>
    <x v="1"/>
    <d v="2022-10-10T00:00:00"/>
    <d v="2022-10-10T00:00:00"/>
    <n v="22026429"/>
    <n v="2235411"/>
    <n v="1001803599"/>
    <s v="DEVENDER SHARMA"/>
    <x v="19"/>
    <n v="0"/>
    <n v="14000"/>
    <n v="14000"/>
    <n v="0"/>
    <x v="0"/>
    <x v="6"/>
    <n v="1"/>
    <x v="4"/>
  </r>
  <r>
    <n v="1369"/>
    <s v=" CGHS Cash"/>
    <d v="2022-10-27T00:00:00"/>
    <x v="1"/>
    <d v="2022-10-27T00:00:00"/>
    <d v="2022-10-27T00:00:00"/>
    <n v="22028780"/>
    <n v="2237659"/>
    <n v="1001797549"/>
    <s v="ASHOK KUMAR"/>
    <x v="43"/>
    <n v="0"/>
    <n v="1610"/>
    <n v="1610"/>
    <n v="0"/>
    <x v="0"/>
    <x v="6"/>
    <n v="1"/>
    <x v="13"/>
  </r>
  <r>
    <n v="1370"/>
    <s v="GENERAL PATIENT"/>
    <d v="2022-10-10T00:00:00"/>
    <x v="1"/>
    <d v="2022-10-10T00:00:00"/>
    <d v="2022-10-10T00:00:00"/>
    <n v="22026382"/>
    <n v="2235385"/>
    <n v="1001803576"/>
    <s v="PRIYANKA MALE BABY  BATRA"/>
    <x v="16"/>
    <n v="0"/>
    <n v="0"/>
    <n v="0"/>
    <n v="0"/>
    <x v="0"/>
    <x v="0"/>
    <e v="#DIV/0!"/>
    <x v="3"/>
  </r>
  <r>
    <n v="1371"/>
    <s v="GENERAL PATIENT"/>
    <d v="2022-10-18T00:00:00"/>
    <x v="1"/>
    <d v="2022-10-18T00:00:00"/>
    <d v="2022-10-18T00:00:00"/>
    <n v="22027637"/>
    <n v="2236552"/>
    <n v="1001110018"/>
    <s v="RUPENDER KAUR"/>
    <x v="41"/>
    <n v="2794"/>
    <n v="0"/>
    <n v="0"/>
    <n v="0"/>
    <x v="0"/>
    <x v="9"/>
    <e v="#DIV/0!"/>
    <x v="13"/>
  </r>
  <r>
    <n v="1372"/>
    <s v=" RELIGARE HEALTH INSURANCE"/>
    <d v="2022-10-28T00:00:00"/>
    <x v="1"/>
    <d v="2022-10-31T00:00:00"/>
    <d v="2022-10-31T00:00:00"/>
    <n v="22029276"/>
    <n v="2237874"/>
    <n v="1001806859"/>
    <s v="RAJU"/>
    <x v="787"/>
    <n v="6338"/>
    <n v="35552"/>
    <n v="1500"/>
    <n v="34052"/>
    <x v="1"/>
    <x v="5"/>
    <n v="4.2191719171917191E-2"/>
    <x v="11"/>
  </r>
  <r>
    <n v="1373"/>
    <s v="GENERAL PATIENT"/>
    <d v="2022-10-06T00:00:00"/>
    <x v="1"/>
    <d v="2022-10-08T00:00:00"/>
    <d v="2022-10-09T00:00:00"/>
    <n v="22026301"/>
    <n v="2234937"/>
    <n v="1000929939"/>
    <s v="BIMLA DEVI"/>
    <x v="788"/>
    <n v="30019"/>
    <n v="308709"/>
    <n v="308700"/>
    <n v="9"/>
    <x v="1"/>
    <x v="7"/>
    <n v="0.99997084633101074"/>
    <x v="4"/>
  </r>
  <r>
    <n v="1374"/>
    <s v="CGHS"/>
    <d v="2022-10-05T00:00:00"/>
    <x v="1"/>
    <d v="2022-10-11T00:00:00"/>
    <d v="2022-10-11T00:00:00"/>
    <n v="22026513"/>
    <n v="2234741"/>
    <n v="1001661474"/>
    <s v="AMBER"/>
    <x v="789"/>
    <n v="0"/>
    <n v="33165"/>
    <n v="33165"/>
    <n v="0"/>
    <x v="0"/>
    <x v="2"/>
    <n v="1"/>
    <x v="3"/>
  </r>
  <r>
    <n v="1375"/>
    <s v="GENERAL PATIENT"/>
    <d v="2022-10-20T00:00:00"/>
    <x v="1"/>
    <d v="2022-10-20T00:00:00"/>
    <d v="2022-10-20T00:00:00"/>
    <n v="22027808"/>
    <n v="2236729"/>
    <n v="1001314823"/>
    <s v="MUKESH KUMAR"/>
    <x v="64"/>
    <n v="342"/>
    <n v="3288"/>
    <n v="3288"/>
    <n v="0"/>
    <x v="0"/>
    <x v="6"/>
    <n v="1"/>
    <x v="13"/>
  </r>
  <r>
    <n v="1376"/>
    <s v="GENERAL PATIENT"/>
    <d v="2022-10-28T00:00:00"/>
    <x v="1"/>
    <d v="2022-10-28T00:00:00"/>
    <d v="2022-10-28T00:00:00"/>
    <n v="22028939"/>
    <n v="2237813"/>
    <n v="1000890994"/>
    <s v="HIMANSHU KAPOOR"/>
    <x v="112"/>
    <n v="287"/>
    <n v="3201"/>
    <n v="3201"/>
    <n v="0"/>
    <x v="0"/>
    <x v="6"/>
    <n v="1"/>
    <x v="13"/>
  </r>
  <r>
    <n v="1377"/>
    <s v="GENERAL PATIENT"/>
    <d v="2022-10-28T00:00:00"/>
    <x v="1"/>
    <d v="2022-10-28T00:00:00"/>
    <d v="2022-10-28T00:00:00"/>
    <n v="22028954"/>
    <n v="2237826"/>
    <n v="10013339576"/>
    <s v="RAKESH GUPTA"/>
    <x v="41"/>
    <n v="2794"/>
    <n v="0"/>
    <n v="0"/>
    <n v="0"/>
    <x v="0"/>
    <x v="9"/>
    <e v="#DIV/0!"/>
    <x v="13"/>
  </r>
  <r>
    <n v="1378"/>
    <s v="CGHS ( CREDIT)"/>
    <d v="2022-09-26T00:00:00"/>
    <x v="0"/>
    <d v="2022-10-02T00:00:00"/>
    <d v="2022-10-02T00:00:00"/>
    <n v="22025292"/>
    <n v="2233508"/>
    <n v="10013449955"/>
    <s v="SUNILA  DEVI"/>
    <x v="790"/>
    <n v="0"/>
    <n v="40340"/>
    <n v="1344"/>
    <n v="38996"/>
    <x v="1"/>
    <x v="1"/>
    <n v="3.3316807139315813E-2"/>
    <x v="4"/>
  </r>
  <r>
    <n v="1379"/>
    <s v="GENERAL PATIENT"/>
    <d v="2022-10-24T00:00:00"/>
    <x v="1"/>
    <d v="2022-10-26T00:00:00"/>
    <d v="2022-10-26T00:00:00"/>
    <n v="22028696"/>
    <n v="2237247"/>
    <n v="10013544321"/>
    <s v="VINOD KAUSHIK"/>
    <x v="791"/>
    <n v="18101"/>
    <n v="94588"/>
    <n v="94588"/>
    <n v="0"/>
    <x v="0"/>
    <x v="18"/>
    <n v="1"/>
    <x v="4"/>
  </r>
  <r>
    <n v="1380"/>
    <s v="CGHS ( CREDIT)"/>
    <d v="2022-10-21T00:00:00"/>
    <x v="1"/>
    <d v="2022-10-29T00:00:00"/>
    <d v="2022-10-29T00:00:00"/>
    <n v="22029066"/>
    <n v="2236972"/>
    <n v="10013527208"/>
    <s v="BIMAL KUMAR"/>
    <x v="593"/>
    <n v="0"/>
    <n v="46466"/>
    <n v="1553"/>
    <n v="44913"/>
    <x v="1"/>
    <x v="1"/>
    <n v="3.3422287263805792E-2"/>
    <x v="2"/>
  </r>
  <r>
    <n v="1381"/>
    <s v="MEDI ASSIST"/>
    <d v="2022-10-29T00:00:00"/>
    <x v="1"/>
    <d v="2022-10-29T00:00:00"/>
    <d v="2022-10-29T00:00:00"/>
    <n v="22029105"/>
    <n v="2237960"/>
    <n v="1001564406"/>
    <s v="RAVI BATURA"/>
    <x v="75"/>
    <n v="0"/>
    <n v="2200"/>
    <n v="330"/>
    <n v="1870"/>
    <x v="1"/>
    <x v="12"/>
    <n v="0.15"/>
    <x v="13"/>
  </r>
  <r>
    <n v="1382"/>
    <s v="DGHS (DELHI GOVT.)"/>
    <d v="2022-09-28T00:00:00"/>
    <x v="0"/>
    <d v="2022-10-01T00:00:00"/>
    <d v="2022-10-01T00:00:00"/>
    <n v="22025150"/>
    <n v="2233769"/>
    <n v="1001348102"/>
    <s v="NIRMLA"/>
    <x v="792"/>
    <n v="0"/>
    <n v="27554"/>
    <n v="1092"/>
    <n v="26462"/>
    <x v="1"/>
    <x v="0"/>
    <n v="3.9631269507149597E-2"/>
    <x v="0"/>
  </r>
  <r>
    <n v="1383"/>
    <s v="GENERAL PATIENT"/>
    <d v="2022-10-04T00:00:00"/>
    <x v="1"/>
    <d v="2022-10-08T00:00:00"/>
    <d v="2022-10-08T00:00:00"/>
    <n v="22026085"/>
    <n v="2234591"/>
    <n v="1001267104"/>
    <s v="BHAVYA VERMA"/>
    <x v="793"/>
    <n v="7538"/>
    <n v="48667"/>
    <n v="48667"/>
    <n v="0"/>
    <x v="0"/>
    <x v="0"/>
    <n v="1"/>
    <x v="0"/>
  </r>
  <r>
    <n v="1384"/>
    <s v="GOVT. OF NCT OF DELHI"/>
    <d v="2022-10-23T00:00:00"/>
    <x v="1"/>
    <d v="2022-10-23T00:00:00"/>
    <d v="2022-10-23T00:00:00"/>
    <n v="22028311"/>
    <n v="2237117"/>
    <n v="10013269857"/>
    <s v="JAI BHAGWAN"/>
    <x v="43"/>
    <n v="0"/>
    <n v="1610"/>
    <n v="1610"/>
    <n v="0"/>
    <x v="0"/>
    <x v="6"/>
    <n v="1"/>
    <x v="13"/>
  </r>
  <r>
    <n v="1385"/>
    <s v="GENERAL PATIENT"/>
    <d v="2022-10-25T00:00:00"/>
    <x v="1"/>
    <d v="2022-10-25T00:00:00"/>
    <d v="2022-10-25T00:00:00"/>
    <n v="22028509"/>
    <n v="2237297"/>
    <n v="10013513064"/>
    <s v="JAGJEET KAUR"/>
    <x v="73"/>
    <n v="287"/>
    <n v="2557"/>
    <n v="2557"/>
    <n v="0"/>
    <x v="0"/>
    <x v="6"/>
    <n v="1"/>
    <x v="13"/>
  </r>
  <r>
    <n v="1386"/>
    <s v="Heritage Health TPA Private Limited"/>
    <d v="2022-09-26T00:00:00"/>
    <x v="0"/>
    <d v="2022-10-02T00:00:00"/>
    <d v="2022-10-02T00:00:00"/>
    <n v="22025309"/>
    <n v="2233467"/>
    <n v="10013224398"/>
    <s v="SHIV NARAIN"/>
    <x v="794"/>
    <n v="0"/>
    <n v="269461"/>
    <n v="16384"/>
    <n v="253077"/>
    <x v="1"/>
    <x v="2"/>
    <n v="6.0802862009715693E-2"/>
    <x v="0"/>
  </r>
  <r>
    <n v="1387"/>
    <s v="DGHS (DELHI GOVT.)"/>
    <d v="2022-10-19T00:00:00"/>
    <x v="1"/>
    <d v="2022-10-26T00:00:00"/>
    <d v="2022-10-26T00:00:00"/>
    <n v="22028596"/>
    <n v="2236650"/>
    <n v="10013543745"/>
    <s v="PREM LATA MITTAL"/>
    <x v="795"/>
    <n v="0"/>
    <n v="209125"/>
    <n v="1550"/>
    <n v="207575"/>
    <x v="1"/>
    <x v="0"/>
    <n v="7.4118350268977881E-3"/>
    <x v="4"/>
  </r>
  <r>
    <n v="1388"/>
    <s v="GENERAL PATIENT"/>
    <d v="2022-10-14T00:00:00"/>
    <x v="1"/>
    <d v="2022-10-14T00:00:00"/>
    <d v="2022-10-14T00:00:00"/>
    <n v="22027031"/>
    <n v="2235965"/>
    <n v="10013527702"/>
    <s v="RAJENDER TAYAL"/>
    <x v="45"/>
    <n v="413"/>
    <n v="4577"/>
    <n v="4577"/>
    <n v="0"/>
    <x v="0"/>
    <x v="6"/>
    <n v="1"/>
    <x v="13"/>
  </r>
  <r>
    <n v="1389"/>
    <s v="GENERAL PATIENT"/>
    <d v="2022-10-17T00:00:00"/>
    <x v="1"/>
    <d v="2022-10-17T00:00:00"/>
    <d v="2022-10-17T00:00:00"/>
    <n v="22027436"/>
    <n v="2236330"/>
    <n v="1000919979"/>
    <s v="HEMA  BHAGAT"/>
    <x v="73"/>
    <n v="286"/>
    <n v="2558"/>
    <n v="2558"/>
    <n v="0"/>
    <x v="0"/>
    <x v="6"/>
    <n v="1"/>
    <x v="13"/>
  </r>
  <r>
    <n v="1390"/>
    <s v="Staff DEPENDENT"/>
    <d v="2022-10-17T00:00:00"/>
    <x v="1"/>
    <d v="2022-10-17T00:00:00"/>
    <d v="2022-10-17T00:00:00"/>
    <n v="22027461"/>
    <n v="2236333"/>
    <n v="1000915528"/>
    <s v="SHABNAM"/>
    <x v="112"/>
    <n v="3488"/>
    <n v="0"/>
    <n v="0"/>
    <n v="0"/>
    <x v="0"/>
    <x v="6"/>
    <e v="#DIV/0!"/>
    <x v="13"/>
  </r>
  <r>
    <n v="1391"/>
    <s v="HDFC ERGO General Insurance Co. Ltd."/>
    <d v="2022-10-12T00:00:00"/>
    <x v="1"/>
    <d v="2022-10-17T00:00:00"/>
    <d v="2022-10-17T00:00:00"/>
    <n v="22027377"/>
    <n v="2235668"/>
    <n v="1001138496"/>
    <s v="VIDHI BANSAL"/>
    <x v="796"/>
    <n v="0"/>
    <n v="80342"/>
    <n v="1500"/>
    <n v="78842"/>
    <x v="1"/>
    <x v="1"/>
    <n v="1.8670184959298997E-2"/>
    <x v="3"/>
  </r>
  <r>
    <n v="1392"/>
    <s v="DDA"/>
    <d v="2022-10-06T00:00:00"/>
    <x v="1"/>
    <d v="2022-10-06T00:00:00"/>
    <d v="2022-10-06T00:00:00"/>
    <n v="22025799"/>
    <n v="2234818"/>
    <n v="10013524248"/>
    <s v="KRISHNA DEVI"/>
    <x v="43"/>
    <n v="0"/>
    <n v="1610"/>
    <n v="1610"/>
    <n v="0"/>
    <x v="0"/>
    <x v="6"/>
    <n v="1"/>
    <x v="13"/>
  </r>
  <r>
    <n v="1393"/>
    <s v="GENERAL PATIENT"/>
    <d v="2022-10-18T00:00:00"/>
    <x v="1"/>
    <d v="2022-10-18T00:00:00"/>
    <d v="2022-10-18T00:00:00"/>
    <n v="22027625"/>
    <n v="2236534"/>
    <n v="10013352607"/>
    <s v="SHRIKANT"/>
    <x v="73"/>
    <n v="277"/>
    <n v="2567"/>
    <n v="2567"/>
    <n v="0"/>
    <x v="0"/>
    <x v="6"/>
    <n v="1"/>
    <x v="13"/>
  </r>
  <r>
    <n v="1394"/>
    <s v="GENERAL PATIENT"/>
    <d v="2022-10-23T00:00:00"/>
    <x v="1"/>
    <d v="2022-10-23T00:00:00"/>
    <d v="2022-10-23T00:00:00"/>
    <n v="22028343"/>
    <n v="2237151"/>
    <n v="1000983711"/>
    <s v="BABITA"/>
    <x v="16"/>
    <n v="0"/>
    <n v="0"/>
    <n v="0"/>
    <n v="0"/>
    <x v="0"/>
    <x v="12"/>
    <e v="#DIV/0!"/>
    <x v="13"/>
  </r>
  <r>
    <n v="1395"/>
    <s v="HEALTH INDIA"/>
    <d v="2022-10-14T00:00:00"/>
    <x v="1"/>
    <d v="2022-10-15T00:00:00"/>
    <d v="2022-10-15T00:00:00"/>
    <n v="22027177"/>
    <n v="2235942"/>
    <n v="10013528166"/>
    <s v="BHAGWATI"/>
    <x v="797"/>
    <n v="0"/>
    <n v="60920"/>
    <n v="23420"/>
    <n v="37500"/>
    <x v="1"/>
    <x v="3"/>
    <n v="0.38443860801050556"/>
    <x v="16"/>
  </r>
  <r>
    <n v="1396"/>
    <s v=" DAK DIALYSIS"/>
    <d v="2022-10-03T00:00:00"/>
    <x v="1"/>
    <d v="2022-10-03T00:00:00"/>
    <d v="2022-10-03T00:00:00"/>
    <n v="22025449"/>
    <n v="2234440"/>
    <n v="1001684202"/>
    <s v="RAM NIWAS"/>
    <x v="243"/>
    <n v="0"/>
    <n v="1274"/>
    <n v="0"/>
    <n v="1274"/>
    <x v="1"/>
    <x v="6"/>
    <n v="0"/>
    <x v="13"/>
  </r>
  <r>
    <n v="1397"/>
    <s v="Delhi Arogya kosh"/>
    <d v="2022-10-21T00:00:00"/>
    <x v="1"/>
    <d v="2022-10-21T00:00:00"/>
    <d v="2022-10-21T00:00:00"/>
    <n v="22028114"/>
    <n v="2236964"/>
    <n v="10013316109"/>
    <s v="GAURAV PAWAR"/>
    <x v="243"/>
    <n v="0"/>
    <n v="1274"/>
    <n v="0"/>
    <n v="1274"/>
    <x v="1"/>
    <x v="6"/>
    <n v="0"/>
    <x v="13"/>
  </r>
  <r>
    <n v="1398"/>
    <s v="Delhi Arogya kosh"/>
    <d v="2022-10-07T00:00:00"/>
    <x v="1"/>
    <d v="2022-10-07T00:00:00"/>
    <d v="2022-10-07T00:00:00"/>
    <n v="22026063"/>
    <n v="2235092"/>
    <n v="1000891355"/>
    <s v="PRAHLAD"/>
    <x v="243"/>
    <n v="0"/>
    <n v="1274"/>
    <n v="0"/>
    <n v="1274"/>
    <x v="1"/>
    <x v="6"/>
    <n v="0"/>
    <x v="13"/>
  </r>
  <r>
    <n v="1399"/>
    <s v="MEDI ASSIST"/>
    <d v="2022-10-28T00:00:00"/>
    <x v="1"/>
    <d v="2022-10-28T00:00:00"/>
    <d v="2022-10-28T00:00:00"/>
    <n v="22028944"/>
    <n v="2237785"/>
    <n v="10013511637"/>
    <s v="MANJU KOHLI"/>
    <x v="75"/>
    <n v="0"/>
    <n v="2200"/>
    <n v="0"/>
    <n v="2200"/>
    <x v="1"/>
    <x v="12"/>
    <n v="0"/>
    <x v="13"/>
  </r>
  <r>
    <n v="1400"/>
    <s v=" DAK DIALYSIS"/>
    <d v="2022-10-31T00:00:00"/>
    <x v="1"/>
    <d v="2022-10-31T00:00:00"/>
    <d v="2022-10-31T00:00:00"/>
    <n v="22029374"/>
    <n v="2238244"/>
    <n v="1001684202"/>
    <s v="RAM NIWAS"/>
    <x v="243"/>
    <n v="0"/>
    <n v="1274"/>
    <n v="0"/>
    <n v="1274"/>
    <x v="1"/>
    <x v="6"/>
    <n v="0"/>
    <x v="13"/>
  </r>
  <r>
    <n v="1401"/>
    <s v="CGHS ( CREDIT)"/>
    <d v="2022-10-28T00:00:00"/>
    <x v="1"/>
    <d v="2022-10-28T00:00:00"/>
    <d v="2022-10-28T00:00:00"/>
    <n v="22028929"/>
    <n v="2237781"/>
    <n v="1001300172"/>
    <s v="SWARN LATA KINDRA"/>
    <x v="43"/>
    <n v="0"/>
    <n v="1610"/>
    <n v="0"/>
    <n v="1610"/>
    <x v="1"/>
    <x v="6"/>
    <n v="0"/>
    <x v="13"/>
  </r>
  <r>
    <n v="1402"/>
    <s v="Safeway Mediclaim Services Pvt. Ltd."/>
    <d v="2022-10-07T00:00:00"/>
    <x v="1"/>
    <d v="2022-10-07T00:00:00"/>
    <d v="2022-10-07T00:00:00"/>
    <n v="22025934"/>
    <n v="2234977"/>
    <n v="1000992104"/>
    <s v="SARITA GOEL"/>
    <x v="75"/>
    <n v="0"/>
    <n v="2200"/>
    <n v="0"/>
    <n v="2200"/>
    <x v="1"/>
    <x v="12"/>
    <n v="0"/>
    <x v="13"/>
  </r>
  <r>
    <n v="1403"/>
    <s v="Safeway Mediclaim Services Pvt. Ltd."/>
    <d v="2022-10-18T00:00:00"/>
    <x v="1"/>
    <d v="2022-10-18T00:00:00"/>
    <d v="2022-10-18T00:00:00"/>
    <n v="22027523"/>
    <n v="2236437"/>
    <n v="1000992104"/>
    <s v="SARITA GOEL"/>
    <x v="75"/>
    <n v="0"/>
    <n v="2200"/>
    <n v="0"/>
    <n v="2200"/>
    <x v="1"/>
    <x v="12"/>
    <n v="0"/>
    <x v="13"/>
  </r>
  <r>
    <n v="1404"/>
    <s v=" MD INDIA TPA"/>
    <d v="2022-10-29T00:00:00"/>
    <x v="1"/>
    <d v="2022-10-29T00:00:00"/>
    <d v="2022-10-29T00:00:00"/>
    <n v="22029102"/>
    <n v="2237974"/>
    <n v="1001806533"/>
    <s v="LAL BABU MANJHI"/>
    <x v="141"/>
    <n v="0"/>
    <n v="2950"/>
    <n v="0"/>
    <n v="2950"/>
    <x v="1"/>
    <x v="6"/>
    <n v="0"/>
    <x v="13"/>
  </r>
  <r>
    <n v="1405"/>
    <s v="CGHS ( CREDIT)"/>
    <d v="2022-10-15T00:00:00"/>
    <x v="1"/>
    <d v="2022-10-15T00:00:00"/>
    <d v="2022-10-15T00:00:00"/>
    <n v="22027257"/>
    <n v="2236178"/>
    <n v="1001529079"/>
    <s v="PRITAM LAL BHATIA"/>
    <x v="43"/>
    <n v="0"/>
    <n v="1610"/>
    <n v="0"/>
    <n v="1610"/>
    <x v="1"/>
    <x v="6"/>
    <n v="0"/>
    <x v="13"/>
  </r>
  <r>
    <n v="1406"/>
    <s v=" ECHS CREDIT"/>
    <d v="2022-10-01T00:00:00"/>
    <x v="1"/>
    <d v="2022-10-03T00:00:00"/>
    <d v="2022-10-03T00:00:00"/>
    <n v="22025419"/>
    <n v="2234142"/>
    <n v="1001798231"/>
    <s v="HARBIR SINGH"/>
    <x v="798"/>
    <n v="0"/>
    <n v="10504"/>
    <n v="0"/>
    <n v="10504"/>
    <x v="1"/>
    <x v="1"/>
    <n v="0"/>
    <x v="0"/>
  </r>
  <r>
    <n v="1407"/>
    <s v=" DAK DIALYSIS"/>
    <d v="2022-10-25T00:00:00"/>
    <x v="1"/>
    <d v="2022-10-25T00:00:00"/>
    <d v="2022-10-25T00:00:00"/>
    <n v="22028516"/>
    <n v="2237314"/>
    <n v="1001712791"/>
    <s v="PAWAN SINGH"/>
    <x v="243"/>
    <n v="0"/>
    <n v="1274"/>
    <n v="0"/>
    <n v="1274"/>
    <x v="1"/>
    <x v="6"/>
    <n v="0"/>
    <x v="13"/>
  </r>
  <r>
    <n v="1408"/>
    <s v="Heritage Health TPA Private Limited"/>
    <d v="2022-10-25T00:00:00"/>
    <x v="1"/>
    <d v="2022-10-25T00:00:00"/>
    <d v="2022-10-25T00:00:00"/>
    <n v="22028471"/>
    <n v="2237261"/>
    <n v="1001183341"/>
    <s v="KAMLESH JAIN"/>
    <x v="75"/>
    <n v="0"/>
    <n v="2200"/>
    <n v="0"/>
    <n v="2200"/>
    <x v="1"/>
    <x v="12"/>
    <n v="0"/>
    <x v="13"/>
  </r>
  <r>
    <n v="1409"/>
    <s v=" CGHS CREDIT"/>
    <d v="2022-10-14T00:00:00"/>
    <x v="1"/>
    <d v="2022-10-19T00:00:00"/>
    <d v="2022-10-19T00:00:00"/>
    <n v="22027658"/>
    <n v="2236044"/>
    <n v="1001804408"/>
    <s v="TAUHID FATIMA"/>
    <x v="799"/>
    <n v="0"/>
    <n v="111292"/>
    <n v="0"/>
    <n v="111292"/>
    <x v="1"/>
    <x v="1"/>
    <n v="0"/>
    <x v="0"/>
  </r>
  <r>
    <n v="1410"/>
    <s v=" ECHS CREDIT"/>
    <d v="2022-10-22T00:00:00"/>
    <x v="1"/>
    <d v="2022-10-22T00:00:00"/>
    <d v="2022-10-22T00:00:00"/>
    <n v="22028139"/>
    <n v="2237017"/>
    <n v="1001781083"/>
    <s v="MITHILESH KUMAR SRIVASTAVA"/>
    <x v="43"/>
    <n v="0"/>
    <n v="1610"/>
    <n v="0"/>
    <n v="1610"/>
    <x v="1"/>
    <x v="6"/>
    <n v="0"/>
    <x v="13"/>
  </r>
  <r>
    <n v="1411"/>
    <s v="ECHS"/>
    <d v="2022-09-30T00:00:00"/>
    <x v="0"/>
    <d v="2022-10-07T00:00:00"/>
    <d v="2022-10-08T00:00:00"/>
    <n v="22026170"/>
    <n v="2234094"/>
    <n v="10013365697"/>
    <s v="KAMLA DEVI"/>
    <x v="800"/>
    <n v="0"/>
    <n v="39966"/>
    <n v="0"/>
    <n v="39966"/>
    <x v="1"/>
    <x v="1"/>
    <n v="0"/>
    <x v="0"/>
  </r>
  <r>
    <n v="1412"/>
    <s v="Delhi Arogya kosh"/>
    <d v="2022-10-10T00:00:00"/>
    <x v="1"/>
    <d v="2022-10-10T00:00:00"/>
    <d v="2022-10-10T00:00:00"/>
    <n v="22026483"/>
    <n v="2235454"/>
    <n v="10013413542"/>
    <s v="KAMLA DEVI"/>
    <x v="243"/>
    <n v="0"/>
    <n v="1274"/>
    <n v="0"/>
    <n v="1274"/>
    <x v="1"/>
    <x v="6"/>
    <n v="0"/>
    <x v="13"/>
  </r>
  <r>
    <n v="1413"/>
    <s v=" ECHS CREDIT"/>
    <d v="2022-10-10T00:00:00"/>
    <x v="1"/>
    <d v="2022-10-10T00:00:00"/>
    <d v="2022-10-10T00:00:00"/>
    <n v="22026462"/>
    <n v="2235432"/>
    <n v="1001797077"/>
    <s v="DURGA DEVI"/>
    <x v="43"/>
    <n v="0"/>
    <n v="1610"/>
    <n v="0"/>
    <n v="1610"/>
    <x v="1"/>
    <x v="6"/>
    <n v="0"/>
    <x v="13"/>
  </r>
  <r>
    <n v="1414"/>
    <s v="CGHS ( CREDIT)"/>
    <d v="2022-10-11T00:00:00"/>
    <x v="1"/>
    <d v="2022-10-11T00:00:00"/>
    <d v="2022-10-11T00:00:00"/>
    <n v="22026627"/>
    <n v="2235580"/>
    <n v="10013442733"/>
    <s v="SAVITRI GOHLAN"/>
    <x v="43"/>
    <n v="0"/>
    <n v="1610"/>
    <n v="0"/>
    <n v="1610"/>
    <x v="1"/>
    <x v="6"/>
    <n v="0"/>
    <x v="13"/>
  </r>
  <r>
    <n v="1415"/>
    <s v="MED SAVE"/>
    <d v="2022-10-10T00:00:00"/>
    <x v="1"/>
    <d v="2022-10-13T00:00:00"/>
    <d v="2022-10-13T00:00:00"/>
    <n v="22026924"/>
    <n v="2235415"/>
    <n v="1001000879"/>
    <s v="SANJAY BANSAL"/>
    <x v="801"/>
    <n v="7108"/>
    <n v="47611"/>
    <n v="0"/>
    <n v="47611"/>
    <x v="1"/>
    <x v="2"/>
    <n v="0"/>
    <x v="0"/>
  </r>
  <r>
    <n v="1416"/>
    <s v="Delhi Arogya kosh"/>
    <d v="2022-10-08T00:00:00"/>
    <x v="1"/>
    <d v="2022-10-08T00:00:00"/>
    <d v="2022-10-08T00:00:00"/>
    <n v="22026237"/>
    <n v="2235242"/>
    <n v="10013451090"/>
    <s v="MANJU SUNDRIYAL"/>
    <x v="243"/>
    <n v="0"/>
    <n v="1274"/>
    <n v="0"/>
    <n v="1274"/>
    <x v="1"/>
    <x v="6"/>
    <n v="0"/>
    <x v="13"/>
  </r>
  <r>
    <n v="1417"/>
    <s v="Health Insurance TPA of India Ltd."/>
    <d v="2022-10-14T00:00:00"/>
    <x v="1"/>
    <d v="2022-10-14T00:00:00"/>
    <d v="2022-10-14T00:00:00"/>
    <n v="22027093"/>
    <n v="2236006"/>
    <n v="1001547355"/>
    <s v="AJAY BAJAJ"/>
    <x v="75"/>
    <n v="0"/>
    <n v="2200"/>
    <n v="0"/>
    <n v="2200"/>
    <x v="1"/>
    <x v="12"/>
    <n v="0"/>
    <x v="13"/>
  </r>
  <r>
    <n v="1418"/>
    <s v="GOVT. OF NCT OF DELHI"/>
    <d v="2022-10-06T00:00:00"/>
    <x v="1"/>
    <d v="2022-10-06T00:00:00"/>
    <d v="2022-10-06T00:00:00"/>
    <n v="22025863"/>
    <n v="2234863"/>
    <n v="1000853411"/>
    <s v="SOMA"/>
    <x v="43"/>
    <n v="0"/>
    <n v="1610"/>
    <n v="0"/>
    <n v="1610"/>
    <x v="1"/>
    <x v="6"/>
    <n v="0"/>
    <x v="13"/>
  </r>
  <r>
    <n v="1419"/>
    <s v="Delhi Arogya kosh"/>
    <d v="2022-10-05T00:00:00"/>
    <x v="1"/>
    <d v="2022-10-07T00:00:00"/>
    <d v="2022-10-07T00:00:00"/>
    <n v="22025965"/>
    <n v="2234768"/>
    <n v="1001802534"/>
    <s v="SOM NATH"/>
    <x v="538"/>
    <n v="0"/>
    <n v="99394"/>
    <n v="0"/>
    <n v="99394"/>
    <x v="1"/>
    <x v="15"/>
    <n v="0"/>
    <x v="4"/>
  </r>
  <r>
    <n v="1420"/>
    <s v="PARK MED CLAIM LTD"/>
    <d v="2022-10-14T00:00:00"/>
    <x v="1"/>
    <d v="2022-10-14T00:00:00"/>
    <d v="2022-10-14T00:00:00"/>
    <n v="22027039"/>
    <n v="2235962"/>
    <n v="10013436915"/>
    <s v="USHA"/>
    <x v="75"/>
    <n v="0"/>
    <n v="2200"/>
    <n v="0"/>
    <n v="2200"/>
    <x v="1"/>
    <x v="12"/>
    <n v="0"/>
    <x v="13"/>
  </r>
  <r>
    <n v="1421"/>
    <s v="Delhi Arogya kosh"/>
    <d v="2022-10-14T00:00:00"/>
    <x v="1"/>
    <d v="2022-10-14T00:00:00"/>
    <d v="2022-10-14T00:00:00"/>
    <n v="22027111"/>
    <n v="2236036"/>
    <n v="10013516483"/>
    <s v="CHANCHAL RANI"/>
    <x v="243"/>
    <n v="0"/>
    <n v="1274"/>
    <n v="0"/>
    <n v="1274"/>
    <x v="1"/>
    <x v="6"/>
    <n v="0"/>
    <x v="13"/>
  </r>
  <r>
    <n v="1422"/>
    <s v="Delhi Arogya kosh"/>
    <d v="2022-10-10T00:00:00"/>
    <x v="1"/>
    <d v="2022-10-10T00:00:00"/>
    <d v="2022-10-10T00:00:00"/>
    <n v="22026487"/>
    <n v="2235458"/>
    <n v="10013521877"/>
    <s v="TUNTUN  MANDAL"/>
    <x v="243"/>
    <n v="0"/>
    <n v="1274"/>
    <n v="0"/>
    <n v="1274"/>
    <x v="1"/>
    <x v="6"/>
    <n v="0"/>
    <x v="13"/>
  </r>
  <r>
    <n v="1423"/>
    <s v="DGHS (DELHI GOVT.)"/>
    <d v="2022-10-10T00:00:00"/>
    <x v="1"/>
    <d v="2022-10-11T00:00:00"/>
    <d v="2022-10-13T00:00:00"/>
    <n v="22026861"/>
    <n v="2235359"/>
    <n v="1001803538"/>
    <s v="SHASTRI DEVI"/>
    <x v="802"/>
    <n v="0"/>
    <n v="122493"/>
    <n v="0"/>
    <n v="122493"/>
    <x v="1"/>
    <x v="0"/>
    <n v="0"/>
    <x v="4"/>
  </r>
  <r>
    <n v="1424"/>
    <s v="Delhi Arogya kosh"/>
    <d v="2022-10-05T00:00:00"/>
    <x v="1"/>
    <d v="2022-10-05T00:00:00"/>
    <d v="2022-10-05T00:00:00"/>
    <n v="22025648"/>
    <n v="2234691"/>
    <n v="10013436995"/>
    <s v="URVASHI"/>
    <x v="243"/>
    <n v="0"/>
    <n v="1274"/>
    <n v="0"/>
    <n v="1274"/>
    <x v="1"/>
    <x v="6"/>
    <n v="0"/>
    <x v="13"/>
  </r>
  <r>
    <n v="1425"/>
    <s v="Delhi Arogya kosh"/>
    <d v="2022-10-22T00:00:00"/>
    <x v="1"/>
    <d v="2022-10-22T00:00:00"/>
    <d v="2022-10-22T00:00:00"/>
    <n v="22028274"/>
    <n v="2237077"/>
    <n v="1001761745"/>
    <s v="SATYA PAL GOEL"/>
    <x v="243"/>
    <n v="0"/>
    <n v="1274"/>
    <n v="0"/>
    <n v="1274"/>
    <x v="1"/>
    <x v="6"/>
    <n v="0"/>
    <x v="13"/>
  </r>
  <r>
    <n v="1426"/>
    <s v="Delhi Arogya kosh"/>
    <d v="2022-10-19T00:00:00"/>
    <x v="1"/>
    <d v="2022-10-19T00:00:00"/>
    <d v="2022-10-19T00:00:00"/>
    <n v="22027789"/>
    <n v="2236679"/>
    <n v="1001542371"/>
    <s v="USHA GAMBHIR"/>
    <x v="243"/>
    <n v="0"/>
    <n v="1274"/>
    <n v="0"/>
    <n v="1274"/>
    <x v="1"/>
    <x v="6"/>
    <n v="0"/>
    <x v="13"/>
  </r>
  <r>
    <n v="1427"/>
    <s v="GOVT. OF NCT OF DELHI"/>
    <d v="2022-10-26T00:00:00"/>
    <x v="1"/>
    <d v="2022-10-26T00:00:00"/>
    <d v="2022-10-26T00:00:00"/>
    <n v="22028702"/>
    <n v="2237565"/>
    <n v="1000853411"/>
    <s v="SOMA"/>
    <x v="43"/>
    <n v="0"/>
    <n v="1610"/>
    <n v="0"/>
    <n v="1610"/>
    <x v="1"/>
    <x v="6"/>
    <n v="0"/>
    <x v="13"/>
  </r>
  <r>
    <n v="1428"/>
    <s v="CGHS ( CREDIT)"/>
    <d v="2022-10-10T00:00:00"/>
    <x v="1"/>
    <d v="2022-10-10T00:00:00"/>
    <d v="2022-10-10T00:00:00"/>
    <n v="22026458"/>
    <n v="2235428"/>
    <n v="1001300172"/>
    <s v="SWARN LATA KINDRA"/>
    <x v="43"/>
    <n v="0"/>
    <n v="1610"/>
    <n v="0"/>
    <n v="1610"/>
    <x v="1"/>
    <x v="6"/>
    <n v="0"/>
    <x v="13"/>
  </r>
  <r>
    <n v="1429"/>
    <s v=" DAK DIALYSIS"/>
    <d v="2022-10-07T00:00:00"/>
    <x v="1"/>
    <d v="2022-10-07T00:00:00"/>
    <d v="2022-10-07T00:00:00"/>
    <n v="22025933"/>
    <n v="2234985"/>
    <n v="1001367923"/>
    <s v="PRIYANKA KUMARI"/>
    <x v="243"/>
    <n v="0"/>
    <n v="1274"/>
    <n v="0"/>
    <n v="1274"/>
    <x v="1"/>
    <x v="6"/>
    <n v="0"/>
    <x v="13"/>
  </r>
  <r>
    <n v="1430"/>
    <s v="Delhi Arogya kosh"/>
    <d v="2022-10-29T00:00:00"/>
    <x v="1"/>
    <d v="2022-10-29T00:00:00"/>
    <d v="2022-10-29T00:00:00"/>
    <n v="22029112"/>
    <n v="2237963"/>
    <n v="10013347178"/>
    <s v="BABITA"/>
    <x v="243"/>
    <n v="0"/>
    <n v="1274"/>
    <n v="0"/>
    <n v="1274"/>
    <x v="1"/>
    <x v="6"/>
    <n v="0"/>
    <x v="13"/>
  </r>
  <r>
    <n v="1431"/>
    <s v=" CGHS CREDIT"/>
    <d v="2022-10-13T00:00:00"/>
    <x v="1"/>
    <d v="2022-10-13T00:00:00"/>
    <d v="2022-10-13T00:00:00"/>
    <n v="22026832"/>
    <n v="2235816"/>
    <n v="1001626180"/>
    <s v="KAMLA DEVI"/>
    <x v="43"/>
    <n v="0"/>
    <n v="1610"/>
    <n v="0"/>
    <n v="1610"/>
    <x v="1"/>
    <x v="6"/>
    <n v="0"/>
    <x v="13"/>
  </r>
  <r>
    <n v="1432"/>
    <s v=" DAK MLC"/>
    <d v="2022-10-06T00:00:00"/>
    <x v="1"/>
    <d v="2022-10-12T00:00:00"/>
    <d v="2022-10-12T00:00:00"/>
    <n v="22026724"/>
    <n v="2234913"/>
    <n v="1001802857"/>
    <s v="HARJEET SINGH"/>
    <x v="803"/>
    <n v="0"/>
    <n v="42077"/>
    <n v="0"/>
    <n v="42077"/>
    <x v="1"/>
    <x v="1"/>
    <n v="0"/>
    <x v="2"/>
  </r>
  <r>
    <n v="1433"/>
    <s v=" DAK DIALYSIS"/>
    <d v="2022-10-14T00:00:00"/>
    <x v="1"/>
    <d v="2022-10-14T00:00:00"/>
    <d v="2022-10-14T00:00:00"/>
    <n v="22027087"/>
    <n v="2236003"/>
    <n v="1001777331"/>
    <s v="RAVI KUMAR SINGH"/>
    <x v="243"/>
    <n v="0"/>
    <n v="1274"/>
    <n v="0"/>
    <n v="1274"/>
    <x v="1"/>
    <x v="6"/>
    <n v="0"/>
    <x v="13"/>
  </r>
  <r>
    <n v="1434"/>
    <s v=" DAK DIALYSIS"/>
    <d v="2022-10-19T00:00:00"/>
    <x v="1"/>
    <d v="2022-10-19T00:00:00"/>
    <d v="2022-10-19T00:00:00"/>
    <n v="22027651"/>
    <n v="2236576"/>
    <n v="1001678600"/>
    <s v="RAKESH THAKUR"/>
    <x v="243"/>
    <n v="0"/>
    <n v="1274"/>
    <n v="0"/>
    <n v="1274"/>
    <x v="1"/>
    <x v="6"/>
    <n v="0"/>
    <x v="13"/>
  </r>
  <r>
    <n v="1435"/>
    <s v="CGHS ( CREDIT)"/>
    <d v="2022-10-25T00:00:00"/>
    <x v="1"/>
    <d v="2022-10-27T00:00:00"/>
    <d v="2022-10-27T00:00:00"/>
    <n v="22028799"/>
    <n v="2237284"/>
    <n v="1001139222"/>
    <s v="VISHNU DUTT"/>
    <x v="804"/>
    <n v="0"/>
    <n v="33385"/>
    <n v="0"/>
    <n v="33385"/>
    <x v="1"/>
    <x v="2"/>
    <n v="0"/>
    <x v="5"/>
  </r>
  <r>
    <n v="1436"/>
    <s v=" ECHS CREDIT"/>
    <d v="2022-10-21T00:00:00"/>
    <x v="1"/>
    <d v="2022-10-21T00:00:00"/>
    <d v="2022-10-21T00:00:00"/>
    <n v="22028101"/>
    <n v="2236941"/>
    <n v="1001763340"/>
    <s v="ASHOK KUMAR"/>
    <x v="43"/>
    <n v="0"/>
    <n v="1610"/>
    <n v="0"/>
    <n v="1610"/>
    <x v="1"/>
    <x v="6"/>
    <n v="0"/>
    <x v="13"/>
  </r>
  <r>
    <n v="1437"/>
    <s v=" DAK DIALYSIS"/>
    <d v="2022-10-28T00:00:00"/>
    <x v="1"/>
    <d v="2022-10-28T00:00:00"/>
    <d v="2022-10-28T00:00:00"/>
    <n v="22028967"/>
    <n v="2237857"/>
    <n v="1001684202"/>
    <s v="RAM NIWAS"/>
    <x v="243"/>
    <n v="0"/>
    <n v="1274"/>
    <n v="0"/>
    <n v="1274"/>
    <x v="1"/>
    <x v="6"/>
    <n v="0"/>
    <x v="13"/>
  </r>
  <r>
    <n v="1438"/>
    <s v="MD INDIA TPA PVT.LTD."/>
    <d v="2022-10-31T00:00:00"/>
    <x v="1"/>
    <d v="2022-10-31T00:00:00"/>
    <d v="2022-10-31T00:00:00"/>
    <n v="22029325"/>
    <n v="2238175"/>
    <n v="1001468779"/>
    <s v="RAMESH KR BANSAL"/>
    <x v="75"/>
    <n v="0"/>
    <n v="2200"/>
    <n v="0"/>
    <n v="2200"/>
    <x v="1"/>
    <x v="12"/>
    <n v="0"/>
    <x v="13"/>
  </r>
  <r>
    <n v="1439"/>
    <s v="Delhi Arogya kosh"/>
    <d v="2022-10-04T00:00:00"/>
    <x v="1"/>
    <d v="2022-10-04T00:00:00"/>
    <d v="2022-10-04T00:00:00"/>
    <n v="22025626"/>
    <n v="2234641"/>
    <n v="1001581259"/>
    <s v="NARENDER SINGH"/>
    <x v="243"/>
    <n v="0"/>
    <n v="1274"/>
    <n v="0"/>
    <n v="1274"/>
    <x v="1"/>
    <x v="6"/>
    <n v="0"/>
    <x v="13"/>
  </r>
  <r>
    <n v="1440"/>
    <s v="Delhi Arogya kosh"/>
    <d v="2022-10-12T00:00:00"/>
    <x v="1"/>
    <d v="2022-10-12T00:00:00"/>
    <d v="2022-10-12T00:00:00"/>
    <n v="22026809"/>
    <n v="2235766"/>
    <n v="10013528076"/>
    <s v="MANENDER DESHWAL"/>
    <x v="243"/>
    <n v="0"/>
    <n v="1274"/>
    <n v="0"/>
    <n v="1274"/>
    <x v="1"/>
    <x v="6"/>
    <n v="0"/>
    <x v="13"/>
  </r>
  <r>
    <n v="1441"/>
    <s v=" DAK DIALYSIS"/>
    <d v="2022-10-22T00:00:00"/>
    <x v="1"/>
    <d v="2022-10-22T00:00:00"/>
    <d v="2022-10-22T00:00:00"/>
    <n v="22028207"/>
    <n v="2237038"/>
    <n v="1001711925"/>
    <s v="SANJAY KUMAR"/>
    <x v="243"/>
    <n v="0"/>
    <n v="1274"/>
    <n v="0"/>
    <n v="1274"/>
    <x v="1"/>
    <x v="6"/>
    <n v="0"/>
    <x v="13"/>
  </r>
  <r>
    <n v="1442"/>
    <s v=" CGHS CREDIT"/>
    <d v="2022-10-06T00:00:00"/>
    <x v="1"/>
    <d v="2022-10-06T00:00:00"/>
    <d v="2022-10-06T00:00:00"/>
    <n v="22025811"/>
    <n v="2234820"/>
    <n v="1001789044"/>
    <s v="JAGDISH PARCHA"/>
    <x v="43"/>
    <n v="0"/>
    <n v="1610"/>
    <n v="0"/>
    <n v="1610"/>
    <x v="1"/>
    <x v="6"/>
    <n v="0"/>
    <x v="13"/>
  </r>
  <r>
    <n v="1443"/>
    <s v="Delhi Arogya kosh"/>
    <d v="2022-10-20T00:00:00"/>
    <x v="1"/>
    <d v="2022-10-20T00:00:00"/>
    <d v="2022-10-20T00:00:00"/>
    <n v="22027939"/>
    <n v="2236812"/>
    <n v="10013513950"/>
    <s v="RAJENDRA PRASAD AGARWAL"/>
    <x v="243"/>
    <n v="0"/>
    <n v="1274"/>
    <n v="0"/>
    <n v="1274"/>
    <x v="1"/>
    <x v="6"/>
    <n v="0"/>
    <x v="13"/>
  </r>
  <r>
    <n v="1444"/>
    <s v="CGHS ( CREDIT)"/>
    <d v="2022-10-21T00:00:00"/>
    <x v="1"/>
    <d v="2022-10-29T00:00:00"/>
    <d v="2022-10-29T00:00:00"/>
    <n v="22029124"/>
    <n v="2236859"/>
    <n v="10013510193"/>
    <s v="KAMLESH"/>
    <x v="805"/>
    <n v="0"/>
    <n v="105950"/>
    <n v="0"/>
    <n v="105950"/>
    <x v="1"/>
    <x v="1"/>
    <n v="0"/>
    <x v="0"/>
  </r>
  <r>
    <n v="1445"/>
    <s v="GOVT. OF NCT OF DELHI"/>
    <d v="2022-10-23T00:00:00"/>
    <x v="1"/>
    <d v="2022-10-23T00:00:00"/>
    <d v="2022-10-23T00:00:00"/>
    <n v="22028390"/>
    <n v="2237153"/>
    <n v="10013502614"/>
    <s v="RAM SAHAI"/>
    <x v="43"/>
    <n v="0"/>
    <n v="1610"/>
    <n v="0"/>
    <n v="1610"/>
    <x v="1"/>
    <x v="6"/>
    <n v="0"/>
    <x v="13"/>
  </r>
  <r>
    <n v="1446"/>
    <s v=" DGEHS (CREDIT)"/>
    <d v="2022-10-03T00:00:00"/>
    <x v="1"/>
    <d v="2022-10-03T00:00:00"/>
    <d v="2022-10-03T00:00:00"/>
    <n v="22025337"/>
    <n v="2234364"/>
    <n v="1001778288"/>
    <s v="MANNU PANT"/>
    <x v="43"/>
    <n v="0"/>
    <n v="1610"/>
    <n v="0"/>
    <n v="1610"/>
    <x v="1"/>
    <x v="6"/>
    <n v="0"/>
    <x v="13"/>
  </r>
  <r>
    <n v="1447"/>
    <s v="Delhi Arogya kosh"/>
    <d v="2022-10-10T00:00:00"/>
    <x v="1"/>
    <d v="2022-10-10T00:00:00"/>
    <d v="2022-10-10T00:00:00"/>
    <n v="22026485"/>
    <n v="2235456"/>
    <n v="10013223537"/>
    <s v="GOVIND"/>
    <x v="243"/>
    <n v="0"/>
    <n v="1274"/>
    <n v="0"/>
    <n v="1274"/>
    <x v="1"/>
    <x v="6"/>
    <n v="0"/>
    <x v="13"/>
  </r>
  <r>
    <n v="1448"/>
    <s v="HDFC ERGO General Insurance Co. Ltd."/>
    <d v="2022-10-18T00:00:00"/>
    <x v="1"/>
    <d v="2022-10-22T00:00:00"/>
    <d v="2022-10-22T00:00:00"/>
    <n v="22028156"/>
    <n v="2236555"/>
    <n v="10013543635"/>
    <s v="KRISHNA DEVI"/>
    <x v="806"/>
    <n v="0"/>
    <n v="79080"/>
    <n v="0"/>
    <n v="79080"/>
    <x v="1"/>
    <x v="1"/>
    <n v="0"/>
    <x v="2"/>
  </r>
  <r>
    <n v="1449"/>
    <s v="DAK MLC"/>
    <d v="2022-10-17T00:00:00"/>
    <x v="1"/>
    <d v="2022-10-19T00:00:00"/>
    <d v="2022-10-23T00:00:00"/>
    <n v="22028318"/>
    <n v="2236270"/>
    <n v="10013543308"/>
    <s v="MANISH"/>
    <x v="807"/>
    <n v="0"/>
    <n v="18033"/>
    <n v="0"/>
    <n v="18033"/>
    <x v="1"/>
    <x v="1"/>
    <n v="0"/>
    <x v="2"/>
  </r>
  <r>
    <n v="1450"/>
    <s v="Safeway Mediclaim Services Pvt. Ltd."/>
    <d v="2022-10-18T00:00:00"/>
    <x v="1"/>
    <d v="2022-10-18T00:00:00"/>
    <d v="2022-10-18T00:00:00"/>
    <n v="22027588"/>
    <n v="2236479"/>
    <n v="1001684515"/>
    <s v="SHIV NARAYAN BANSAL"/>
    <x v="75"/>
    <n v="0"/>
    <n v="2200"/>
    <n v="0"/>
    <n v="2200"/>
    <x v="1"/>
    <x v="12"/>
    <n v="0"/>
    <x v="13"/>
  </r>
  <r>
    <n v="1451"/>
    <s v="CGHS"/>
    <d v="2022-10-12T00:00:00"/>
    <x v="1"/>
    <d v="2022-10-14T00:00:00"/>
    <d v="2022-10-14T00:00:00"/>
    <n v="22027066"/>
    <n v="2235676"/>
    <n v="10013542691"/>
    <s v="VIKRANT NAIN"/>
    <x v="808"/>
    <n v="0"/>
    <n v="32003"/>
    <n v="0"/>
    <n v="32003"/>
    <x v="1"/>
    <x v="1"/>
    <n v="0"/>
    <x v="0"/>
  </r>
  <r>
    <n v="1452"/>
    <s v="Delhi Arogya kosh"/>
    <d v="2022-10-17T00:00:00"/>
    <x v="1"/>
    <d v="2022-10-17T00:00:00"/>
    <d v="2022-10-17T00:00:00"/>
    <n v="22027511"/>
    <n v="2236417"/>
    <n v="10013521877"/>
    <s v="TUNTUN  MANDAL"/>
    <x v="243"/>
    <n v="0"/>
    <n v="1274"/>
    <n v="0"/>
    <n v="1274"/>
    <x v="1"/>
    <x v="6"/>
    <n v="0"/>
    <x v="13"/>
  </r>
  <r>
    <n v="1453"/>
    <s v="Delhi Arogya kosh"/>
    <d v="2022-10-07T00:00:00"/>
    <x v="1"/>
    <d v="2022-10-07T00:00:00"/>
    <d v="2022-10-07T00:00:00"/>
    <n v="22026039"/>
    <n v="2235060"/>
    <n v="1001074266"/>
    <s v="VINAY JAIN"/>
    <x v="243"/>
    <n v="0"/>
    <n v="1274"/>
    <n v="0"/>
    <n v="1274"/>
    <x v="1"/>
    <x v="6"/>
    <n v="0"/>
    <x v="13"/>
  </r>
  <r>
    <n v="1454"/>
    <s v="Health Insurance TPA of India Ltd."/>
    <d v="2022-10-18T00:00:00"/>
    <x v="1"/>
    <d v="2022-10-18T00:00:00"/>
    <d v="2022-10-18T00:00:00"/>
    <n v="22027590"/>
    <n v="2236474"/>
    <n v="1000947591"/>
    <s v="KULBHUSHAN AGGARWAL"/>
    <x v="75"/>
    <n v="0"/>
    <n v="2200"/>
    <n v="0"/>
    <n v="2200"/>
    <x v="1"/>
    <x v="12"/>
    <n v="0"/>
    <x v="13"/>
  </r>
  <r>
    <n v="1455"/>
    <s v="Delhi Arogya kosh"/>
    <d v="2022-10-31T00:00:00"/>
    <x v="1"/>
    <d v="2022-10-31T00:00:00"/>
    <d v="2022-10-31T00:00:00"/>
    <n v="22029397"/>
    <n v="2238271"/>
    <n v="10013437822"/>
    <s v="JOGINDER PAL"/>
    <x v="243"/>
    <n v="0"/>
    <n v="1274"/>
    <n v="0"/>
    <n v="1274"/>
    <x v="1"/>
    <x v="6"/>
    <n v="0"/>
    <x v="13"/>
  </r>
  <r>
    <n v="1456"/>
    <s v="CGHS ( CREDIT)"/>
    <d v="2022-10-04T00:00:00"/>
    <x v="1"/>
    <d v="2022-10-04T00:00:00"/>
    <d v="2022-10-04T00:00:00"/>
    <n v="22025613"/>
    <n v="2234613"/>
    <n v="10013442733"/>
    <s v="SAVITRI GOHLAN"/>
    <x v="43"/>
    <n v="0"/>
    <n v="1610"/>
    <n v="0"/>
    <n v="1610"/>
    <x v="1"/>
    <x v="6"/>
    <n v="0"/>
    <x v="13"/>
  </r>
  <r>
    <n v="1457"/>
    <s v="FHPL-TATA AIG"/>
    <d v="2022-10-28T00:00:00"/>
    <x v="1"/>
    <d v="2022-10-28T00:00:00"/>
    <d v="2022-10-28T00:00:00"/>
    <n v="22028963"/>
    <n v="2237803"/>
    <n v="1001018032"/>
    <s v="ANIL KUMAR KANSAL"/>
    <x v="809"/>
    <n v="0"/>
    <n v="17300"/>
    <n v="0"/>
    <n v="17300"/>
    <x v="1"/>
    <x v="4"/>
    <n v="0"/>
    <x v="4"/>
  </r>
  <r>
    <n v="1458"/>
    <s v="HEALTH INDIA"/>
    <d v="2022-10-10T00:00:00"/>
    <x v="1"/>
    <d v="2022-10-10T00:00:00"/>
    <d v="2022-10-10T00:00:00"/>
    <n v="22026489"/>
    <n v="2235464"/>
    <n v="1001456152"/>
    <s v="VIRENDER KUMAR ATRI"/>
    <x v="75"/>
    <n v="0"/>
    <n v="2200"/>
    <n v="0"/>
    <n v="2200"/>
    <x v="1"/>
    <x v="12"/>
    <n v="0"/>
    <x v="13"/>
  </r>
  <r>
    <n v="1459"/>
    <s v=" DAK DIALYSIS"/>
    <d v="2022-10-20T00:00:00"/>
    <x v="1"/>
    <d v="2022-10-20T00:00:00"/>
    <d v="2022-10-20T00:00:00"/>
    <n v="22027809"/>
    <n v="2236726"/>
    <n v="1001666089"/>
    <s v="PRADEEP BISHT"/>
    <x v="243"/>
    <n v="0"/>
    <n v="1274"/>
    <n v="0"/>
    <n v="1274"/>
    <x v="1"/>
    <x v="6"/>
    <n v="0"/>
    <x v="13"/>
  </r>
  <r>
    <n v="1460"/>
    <s v=" DGEHS (CREDIT)"/>
    <d v="2022-10-03T00:00:00"/>
    <x v="1"/>
    <d v="2022-10-03T00:00:00"/>
    <d v="2022-10-03T00:00:00"/>
    <n v="22025431"/>
    <n v="2234419"/>
    <n v="1001756832"/>
    <s v="VIJAY DEVI"/>
    <x v="43"/>
    <n v="0"/>
    <n v="1610"/>
    <n v="0"/>
    <n v="1610"/>
    <x v="1"/>
    <x v="6"/>
    <n v="0"/>
    <x v="13"/>
  </r>
  <r>
    <n v="1461"/>
    <s v="Delhi Arogya kosh"/>
    <d v="2022-10-20T00:00:00"/>
    <x v="1"/>
    <d v="2022-10-20T00:00:00"/>
    <d v="2022-10-20T00:00:00"/>
    <n v="22027953"/>
    <n v="2236835"/>
    <n v="1001237257"/>
    <s v="RAJPATI"/>
    <x v="243"/>
    <n v="0"/>
    <n v="1274"/>
    <n v="0"/>
    <n v="1274"/>
    <x v="1"/>
    <x v="6"/>
    <n v="0"/>
    <x v="13"/>
  </r>
  <r>
    <n v="1462"/>
    <s v="CGHS ( CREDIT)"/>
    <d v="2022-10-05T00:00:00"/>
    <x v="1"/>
    <d v="2022-10-05T00:00:00"/>
    <d v="2022-10-05T00:00:00"/>
    <n v="22025645"/>
    <n v="2234684"/>
    <n v="10013401847"/>
    <s v="TIRLOCHAN SINGH"/>
    <x v="43"/>
    <n v="0"/>
    <n v="1610"/>
    <n v="0"/>
    <n v="1610"/>
    <x v="1"/>
    <x v="6"/>
    <n v="0"/>
    <x v="13"/>
  </r>
  <r>
    <n v="1463"/>
    <s v=" CGHS CREDIT"/>
    <d v="2022-10-31T00:00:00"/>
    <x v="1"/>
    <d v="2022-10-31T00:00:00"/>
    <d v="2022-10-31T00:00:00"/>
    <n v="22029367"/>
    <n v="2238234"/>
    <n v="1001806801"/>
    <s v="DELAU DEVI"/>
    <x v="43"/>
    <n v="0"/>
    <n v="1610"/>
    <n v="0"/>
    <n v="1610"/>
    <x v="1"/>
    <x v="6"/>
    <n v="0"/>
    <x v="13"/>
  </r>
  <r>
    <n v="1464"/>
    <s v=" CGHS CREDIT"/>
    <d v="2022-10-26T00:00:00"/>
    <x v="1"/>
    <d v="2022-10-26T00:00:00"/>
    <d v="2022-10-26T00:00:00"/>
    <n v="22028592"/>
    <n v="2237456"/>
    <n v="1001801530"/>
    <s v="UMA BISHT"/>
    <x v="43"/>
    <n v="0"/>
    <n v="1610"/>
    <n v="0"/>
    <n v="1610"/>
    <x v="1"/>
    <x v="6"/>
    <n v="0"/>
    <x v="13"/>
  </r>
  <r>
    <n v="1465"/>
    <s v="Delhi Arogya kosh"/>
    <d v="2022-10-08T00:00:00"/>
    <x v="1"/>
    <d v="2022-10-08T00:00:00"/>
    <d v="2022-10-08T00:00:00"/>
    <n v="22026232"/>
    <n v="2235234"/>
    <n v="10013507516"/>
    <s v="AMIT NAGAR"/>
    <x v="243"/>
    <n v="0"/>
    <n v="1274"/>
    <n v="0"/>
    <n v="1274"/>
    <x v="1"/>
    <x v="6"/>
    <n v="0"/>
    <x v="13"/>
  </r>
  <r>
    <n v="1466"/>
    <s v="Delhi Arogya kosh"/>
    <d v="2022-10-25T00:00:00"/>
    <x v="1"/>
    <d v="2022-10-25T00:00:00"/>
    <d v="2022-10-25T00:00:00"/>
    <n v="22028571"/>
    <n v="2237397"/>
    <n v="1000891355"/>
    <s v="PRAHLAD"/>
    <x v="243"/>
    <n v="0"/>
    <n v="1274"/>
    <n v="0"/>
    <n v="1274"/>
    <x v="1"/>
    <x v="6"/>
    <n v="0"/>
    <x v="13"/>
  </r>
  <r>
    <n v="1467"/>
    <s v="Delhi Arogya kosh"/>
    <d v="2022-10-12T00:00:00"/>
    <x v="1"/>
    <d v="2022-10-12T00:00:00"/>
    <d v="2022-10-12T00:00:00"/>
    <n v="22026804"/>
    <n v="2235763"/>
    <n v="10013371548"/>
    <s v="AMRIK SINGH"/>
    <x v="243"/>
    <n v="0"/>
    <n v="1274"/>
    <n v="0"/>
    <n v="1274"/>
    <x v="1"/>
    <x v="6"/>
    <n v="0"/>
    <x v="13"/>
  </r>
  <r>
    <n v="1468"/>
    <s v="Delhi Arogya kosh"/>
    <d v="2022-10-19T00:00:00"/>
    <x v="1"/>
    <d v="2022-10-19T00:00:00"/>
    <d v="2022-10-19T00:00:00"/>
    <n v="22027726"/>
    <n v="2236638"/>
    <n v="10013347178"/>
    <s v="BABITA"/>
    <x v="243"/>
    <n v="0"/>
    <n v="1274"/>
    <n v="0"/>
    <n v="1274"/>
    <x v="1"/>
    <x v="6"/>
    <n v="0"/>
    <x v="13"/>
  </r>
  <r>
    <n v="1469"/>
    <s v="Delhi Arogya kosh"/>
    <d v="2022-10-22T00:00:00"/>
    <x v="1"/>
    <d v="2022-10-22T00:00:00"/>
    <d v="2022-10-22T00:00:00"/>
    <n v="22028152"/>
    <n v="2237015"/>
    <n v="10013436995"/>
    <s v="URVASHI"/>
    <x v="243"/>
    <n v="0"/>
    <n v="1274"/>
    <n v="0"/>
    <n v="1274"/>
    <x v="1"/>
    <x v="6"/>
    <n v="0"/>
    <x v="13"/>
  </r>
  <r>
    <n v="1470"/>
    <s v=" DAK DIALYSIS"/>
    <d v="2022-10-29T00:00:00"/>
    <x v="1"/>
    <d v="2022-10-29T00:00:00"/>
    <d v="2022-10-29T00:00:00"/>
    <n v="22029007"/>
    <n v="2237932"/>
    <n v="1001711925"/>
    <s v="SANJAY KUMAR"/>
    <x v="243"/>
    <n v="0"/>
    <n v="1274"/>
    <n v="0"/>
    <n v="1274"/>
    <x v="1"/>
    <x v="6"/>
    <n v="0"/>
    <x v="13"/>
  </r>
  <r>
    <n v="1471"/>
    <s v="Delhi Arogya kosh"/>
    <d v="2022-10-05T00:00:00"/>
    <x v="1"/>
    <d v="2022-10-05T00:00:00"/>
    <d v="2022-10-05T00:00:00"/>
    <n v="22025787"/>
    <n v="2234783"/>
    <n v="10013507516"/>
    <s v="AMIT NAGAR"/>
    <x v="243"/>
    <n v="0"/>
    <n v="1274"/>
    <n v="0"/>
    <n v="1274"/>
    <x v="1"/>
    <x v="6"/>
    <n v="0"/>
    <x v="13"/>
  </r>
  <r>
    <n v="1472"/>
    <s v="Delhi Arogya kosh"/>
    <d v="2022-10-23T00:00:00"/>
    <x v="1"/>
    <d v="2022-10-23T00:00:00"/>
    <d v="2022-10-23T00:00:00"/>
    <n v="22028407"/>
    <n v="2237194"/>
    <n v="10013413542"/>
    <s v="KAMLA DEVI"/>
    <x v="243"/>
    <n v="0"/>
    <n v="1274"/>
    <n v="0"/>
    <n v="1274"/>
    <x v="1"/>
    <x v="6"/>
    <n v="0"/>
    <x v="13"/>
  </r>
  <r>
    <n v="1473"/>
    <s v="Delhi Arogya kosh"/>
    <d v="2022-10-23T00:00:00"/>
    <x v="1"/>
    <d v="2022-10-23T00:00:00"/>
    <d v="2022-10-23T00:00:00"/>
    <n v="22028406"/>
    <n v="2237193"/>
    <n v="10013292990"/>
    <s v="SONU YADAV"/>
    <x v="243"/>
    <n v="0"/>
    <n v="1274"/>
    <n v="0"/>
    <n v="1274"/>
    <x v="1"/>
    <x v="6"/>
    <n v="0"/>
    <x v="13"/>
  </r>
  <r>
    <n v="1474"/>
    <s v="Delhi Arogya kosh"/>
    <d v="2022-10-21T00:00:00"/>
    <x v="1"/>
    <d v="2022-10-21T00:00:00"/>
    <d v="2022-10-21T00:00:00"/>
    <n v="22028095"/>
    <n v="2236954"/>
    <n v="10013449380"/>
    <s v="RAM NARAYAN MANDAL"/>
    <x v="243"/>
    <n v="0"/>
    <n v="1274"/>
    <n v="0"/>
    <n v="1274"/>
    <x v="1"/>
    <x v="6"/>
    <n v="0"/>
    <x v="13"/>
  </r>
  <r>
    <n v="1475"/>
    <s v="CGHS ( CREDIT)"/>
    <d v="2022-10-31T00:00:00"/>
    <x v="1"/>
    <d v="2022-10-31T00:00:00"/>
    <d v="2022-10-31T00:00:00"/>
    <n v="22029387"/>
    <n v="2238243"/>
    <n v="10013442733"/>
    <s v="SAVITRI GOHLAN"/>
    <x v="43"/>
    <n v="0"/>
    <n v="1610"/>
    <n v="0"/>
    <n v="1610"/>
    <x v="1"/>
    <x v="6"/>
    <n v="0"/>
    <x v="13"/>
  </r>
  <r>
    <n v="1476"/>
    <s v="Max Bhupa Health Insurance Co Ltd."/>
    <d v="2022-09-25T00:00:00"/>
    <x v="0"/>
    <d v="2022-10-01T00:00:00"/>
    <d v="2022-10-01T00:00:00"/>
    <n v="22025220"/>
    <n v="2233422"/>
    <n v="1001800804"/>
    <s v="PIYUSH KUMAR CHAUHAN"/>
    <x v="810"/>
    <n v="10938"/>
    <n v="58313"/>
    <n v="0"/>
    <n v="58313"/>
    <x v="1"/>
    <x v="1"/>
    <n v="0"/>
    <x v="0"/>
  </r>
  <r>
    <n v="1477"/>
    <s v="CGHS ( CREDIT)"/>
    <d v="2022-10-14T00:00:00"/>
    <x v="1"/>
    <d v="2022-10-14T00:00:00"/>
    <d v="2022-10-14T00:00:00"/>
    <n v="22027114"/>
    <n v="2236034"/>
    <n v="10013453991"/>
    <s v="RAJENDER"/>
    <x v="43"/>
    <n v="0"/>
    <n v="1610"/>
    <n v="0"/>
    <n v="1610"/>
    <x v="1"/>
    <x v="6"/>
    <n v="0"/>
    <x v="13"/>
  </r>
  <r>
    <n v="1478"/>
    <s v="Delhi Arogya kosh"/>
    <d v="2022-10-18T00:00:00"/>
    <x v="1"/>
    <d v="2022-10-18T00:00:00"/>
    <d v="2022-10-18T00:00:00"/>
    <n v="22027601"/>
    <n v="2236509"/>
    <n v="10013457170"/>
    <s v="MANOJ                   II"/>
    <x v="243"/>
    <n v="0"/>
    <n v="1274"/>
    <n v="0"/>
    <n v="1274"/>
    <x v="1"/>
    <x v="6"/>
    <n v="0"/>
    <x v="13"/>
  </r>
  <r>
    <n v="1479"/>
    <s v=" ECHS CREDIT"/>
    <d v="2022-10-25T00:00:00"/>
    <x v="1"/>
    <d v="2022-10-25T00:00:00"/>
    <d v="2022-10-25T00:00:00"/>
    <n v="22028482"/>
    <n v="2237275"/>
    <n v="1001763340"/>
    <s v="ASHOK KUMAR"/>
    <x v="43"/>
    <n v="0"/>
    <n v="1610"/>
    <n v="0"/>
    <n v="1610"/>
    <x v="1"/>
    <x v="6"/>
    <n v="0"/>
    <x v="13"/>
  </r>
  <r>
    <n v="1480"/>
    <s v="Delhi Arogya kosh"/>
    <d v="2022-10-14T00:00:00"/>
    <x v="1"/>
    <d v="2022-10-14T00:00:00"/>
    <d v="2022-10-14T00:00:00"/>
    <n v="22027094"/>
    <n v="2236004"/>
    <n v="10013449380"/>
    <s v="RAM NARAYAN MANDAL"/>
    <x v="243"/>
    <n v="0"/>
    <n v="1274"/>
    <n v="0"/>
    <n v="1274"/>
    <x v="1"/>
    <x v="6"/>
    <n v="0"/>
    <x v="13"/>
  </r>
  <r>
    <n v="1481"/>
    <s v="Delhi Arogya kosh"/>
    <d v="2022-10-06T00:00:00"/>
    <x v="1"/>
    <d v="2022-10-06T00:00:00"/>
    <d v="2022-10-06T00:00:00"/>
    <n v="22025905"/>
    <n v="2234918"/>
    <n v="10013513950"/>
    <s v="RAJENDRA PRASAD AGARWAL"/>
    <x v="243"/>
    <n v="0"/>
    <n v="1274"/>
    <n v="0"/>
    <n v="1274"/>
    <x v="1"/>
    <x v="6"/>
    <n v="0"/>
    <x v="13"/>
  </r>
  <r>
    <n v="1482"/>
    <s v="MD INDIA TPA PVT.LTD."/>
    <d v="2022-10-03T00:00:00"/>
    <x v="1"/>
    <d v="2022-10-03T00:00:00"/>
    <d v="2022-10-03T00:00:00"/>
    <n v="22025401"/>
    <n v="2234393"/>
    <n v="1001468779"/>
    <s v="RAMESH KR BANSAL"/>
    <x v="75"/>
    <n v="0"/>
    <n v="2200"/>
    <n v="0"/>
    <n v="2200"/>
    <x v="1"/>
    <x v="12"/>
    <n v="0"/>
    <x v="13"/>
  </r>
  <r>
    <n v="1483"/>
    <s v="ECHS"/>
    <d v="2022-10-15T00:00:00"/>
    <x v="1"/>
    <d v="2022-10-24T00:00:00"/>
    <d v="2022-10-24T00:00:00"/>
    <n v="22028457"/>
    <n v="2236120"/>
    <n v="1001156987"/>
    <s v="SUNDER DEVI"/>
    <x v="811"/>
    <n v="0"/>
    <n v="144722"/>
    <n v="0"/>
    <n v="144722"/>
    <x v="1"/>
    <x v="1"/>
    <n v="0"/>
    <x v="0"/>
  </r>
  <r>
    <n v="1484"/>
    <s v=" ECHS CREDIT"/>
    <d v="2022-10-03T00:00:00"/>
    <x v="1"/>
    <d v="2022-10-05T00:00:00"/>
    <d v="2022-10-05T00:00:00"/>
    <n v="22025697"/>
    <n v="2234407"/>
    <n v="1001776192"/>
    <s v="SAPNA"/>
    <x v="812"/>
    <n v="0"/>
    <n v="19297"/>
    <n v="0"/>
    <n v="19297"/>
    <x v="1"/>
    <x v="0"/>
    <n v="0"/>
    <x v="11"/>
  </r>
  <r>
    <n v="1485"/>
    <s v="RAKSHA (TPA)"/>
    <d v="2022-10-31T00:00:00"/>
    <x v="1"/>
    <d v="2022-10-31T00:00:00"/>
    <d v="2022-10-31T00:00:00"/>
    <n v="22029273"/>
    <n v="2238155"/>
    <n v="10013497993"/>
    <s v="KESHAV BIYANI"/>
    <x v="75"/>
    <n v="0"/>
    <n v="2200"/>
    <n v="0"/>
    <n v="2200"/>
    <x v="1"/>
    <x v="12"/>
    <n v="0"/>
    <x v="13"/>
  </r>
  <r>
    <n v="1486"/>
    <s v=" DAK DIALYSIS"/>
    <d v="2022-10-17T00:00:00"/>
    <x v="1"/>
    <d v="2022-10-17T00:00:00"/>
    <d v="2022-10-17T00:00:00"/>
    <n v="22027463"/>
    <n v="2236364"/>
    <n v="1001648223"/>
    <s v="BRIJ LAL KORI"/>
    <x v="243"/>
    <n v="0"/>
    <n v="1274"/>
    <n v="0"/>
    <n v="1274"/>
    <x v="1"/>
    <x v="6"/>
    <n v="0"/>
    <x v="13"/>
  </r>
  <r>
    <n v="1487"/>
    <s v="CARE HEALTH INSURANCE LIMITED"/>
    <d v="2022-10-20T00:00:00"/>
    <x v="1"/>
    <d v="2022-10-24T00:00:00"/>
    <d v="2022-10-24T00:00:00"/>
    <n v="22028439"/>
    <n v="2236823"/>
    <n v="1000914269"/>
    <s v="VIJAY TIWARI"/>
    <x v="813"/>
    <n v="6990"/>
    <n v="53057"/>
    <n v="0"/>
    <n v="53057"/>
    <x v="1"/>
    <x v="0"/>
    <n v="0"/>
    <x v="0"/>
  </r>
  <r>
    <n v="1488"/>
    <s v="GENERAL PATIENT"/>
    <d v="2022-10-08T00:00:00"/>
    <x v="1"/>
    <d v="2022-10-12T00:00:00"/>
    <d v="2022-10-12T00:00:00"/>
    <n v="22026685"/>
    <n v="2235116"/>
    <n v="10013542114"/>
    <s v="ISHA"/>
    <x v="814"/>
    <n v="8078"/>
    <n v="56837"/>
    <n v="0"/>
    <n v="56837"/>
    <x v="1"/>
    <x v="1"/>
    <n v="0"/>
    <x v="3"/>
  </r>
  <r>
    <n v="1489"/>
    <s v="Safeway Mediclaim Services Pvt. Ltd."/>
    <d v="2022-10-21T00:00:00"/>
    <x v="1"/>
    <d v="2022-10-21T00:00:00"/>
    <d v="2022-10-21T00:00:00"/>
    <n v="22028002"/>
    <n v="2236885"/>
    <n v="1001020879"/>
    <s v="KUSUM LATA"/>
    <x v="75"/>
    <n v="0"/>
    <n v="2200"/>
    <n v="0"/>
    <n v="2200"/>
    <x v="1"/>
    <x v="12"/>
    <n v="0"/>
    <x v="13"/>
  </r>
  <r>
    <n v="1490"/>
    <s v="Delhi Arogya kosh"/>
    <d v="2022-10-22T00:00:00"/>
    <x v="1"/>
    <d v="2022-10-22T00:00:00"/>
    <d v="2022-10-22T00:00:00"/>
    <n v="22028269"/>
    <n v="2237070"/>
    <n v="10013385641"/>
    <s v="KAMLESH MISHRA"/>
    <x v="243"/>
    <n v="0"/>
    <n v="1274"/>
    <n v="0"/>
    <n v="1274"/>
    <x v="1"/>
    <x v="6"/>
    <n v="0"/>
    <x v="13"/>
  </r>
  <r>
    <n v="1491"/>
    <s v="Delhi Arogya kosh"/>
    <d v="2022-10-12T00:00:00"/>
    <x v="1"/>
    <d v="2022-10-12T00:00:00"/>
    <d v="2022-10-12T00:00:00"/>
    <n v="22026789"/>
    <n v="2235747"/>
    <n v="1001761745"/>
    <s v="SATYA PAL GOEL"/>
    <x v="243"/>
    <n v="0"/>
    <n v="1274"/>
    <n v="0"/>
    <n v="1274"/>
    <x v="1"/>
    <x v="6"/>
    <n v="0"/>
    <x v="13"/>
  </r>
  <r>
    <n v="1492"/>
    <s v="Health Insurance TPA of India Ltd."/>
    <d v="2022-10-13T00:00:00"/>
    <x v="1"/>
    <d v="2022-10-13T00:00:00"/>
    <d v="2022-10-13T00:00:00"/>
    <n v="22026900"/>
    <n v="2235834"/>
    <n v="1000947591"/>
    <s v="KULBHUSHAN AGGARWAL"/>
    <x v="75"/>
    <n v="0"/>
    <n v="2200"/>
    <n v="0"/>
    <n v="2200"/>
    <x v="1"/>
    <x v="12"/>
    <n v="0"/>
    <x v="13"/>
  </r>
  <r>
    <n v="1493"/>
    <s v="GOVT. OF NCT OF DELHI"/>
    <d v="2022-10-26T00:00:00"/>
    <x v="1"/>
    <d v="2022-10-26T00:00:00"/>
    <d v="2022-10-26T00:00:00"/>
    <n v="22028633"/>
    <n v="2237485"/>
    <n v="1000979923"/>
    <s v="SAROJ"/>
    <x v="43"/>
    <n v="0"/>
    <n v="1610"/>
    <n v="0"/>
    <n v="1610"/>
    <x v="1"/>
    <x v="6"/>
    <n v="0"/>
    <x v="13"/>
  </r>
  <r>
    <n v="1494"/>
    <s v=" CGHS CREDIT"/>
    <d v="2022-10-01T00:00:00"/>
    <x v="1"/>
    <d v="2022-10-01T00:00:00"/>
    <d v="2022-10-01T00:00:00"/>
    <n v="22025121"/>
    <n v="2234177"/>
    <n v="1001626180"/>
    <s v="KAMLA DEVI"/>
    <x v="43"/>
    <n v="0"/>
    <n v="1610"/>
    <n v="0"/>
    <n v="1610"/>
    <x v="1"/>
    <x v="6"/>
    <n v="0"/>
    <x v="13"/>
  </r>
  <r>
    <n v="1495"/>
    <s v="CGHS ( CREDIT)"/>
    <d v="2022-10-13T00:00:00"/>
    <x v="1"/>
    <d v="2022-10-13T00:00:00"/>
    <d v="2022-10-13T00:00:00"/>
    <n v="22026831"/>
    <n v="2235814"/>
    <n v="1001531709"/>
    <s v="TASVIR SINGH"/>
    <x v="43"/>
    <n v="0"/>
    <n v="1610"/>
    <n v="0"/>
    <n v="1610"/>
    <x v="1"/>
    <x v="6"/>
    <n v="0"/>
    <x v="13"/>
  </r>
  <r>
    <n v="1496"/>
    <s v=" DAK DIALYSIS"/>
    <d v="2022-10-06T00:00:00"/>
    <x v="1"/>
    <d v="2022-10-06T00:00:00"/>
    <d v="2022-10-06T00:00:00"/>
    <n v="22025893"/>
    <n v="2234894"/>
    <n v="1001648223"/>
    <s v="BRIJ LAL KORI"/>
    <x v="243"/>
    <n v="0"/>
    <n v="1274"/>
    <n v="0"/>
    <n v="1274"/>
    <x v="1"/>
    <x v="6"/>
    <n v="0"/>
    <x v="13"/>
  </r>
  <r>
    <n v="1497"/>
    <s v="Delhi Arogya kosh"/>
    <d v="2022-10-26T00:00:00"/>
    <x v="1"/>
    <d v="2022-10-26T00:00:00"/>
    <d v="2022-10-26T00:00:00"/>
    <n v="22028603"/>
    <n v="2237466"/>
    <n v="10013475917"/>
    <s v="meena srivastav"/>
    <x v="243"/>
    <n v="0"/>
    <n v="1274"/>
    <n v="0"/>
    <n v="1274"/>
    <x v="1"/>
    <x v="6"/>
    <n v="0"/>
    <x v="13"/>
  </r>
  <r>
    <n v="1498"/>
    <s v="Delhi Arogya kosh"/>
    <d v="2022-10-06T00:00:00"/>
    <x v="1"/>
    <d v="2022-10-06T00:00:00"/>
    <d v="2022-10-06T00:00:00"/>
    <n v="22025918"/>
    <n v="2234950"/>
    <n v="1001004027"/>
    <s v="PARTAP SINGH"/>
    <x v="243"/>
    <n v="0"/>
    <n v="1274"/>
    <n v="0"/>
    <n v="1274"/>
    <x v="1"/>
    <x v="6"/>
    <n v="0"/>
    <x v="13"/>
  </r>
  <r>
    <n v="1499"/>
    <s v="Delhi Arogya kosh"/>
    <d v="2022-10-15T00:00:00"/>
    <x v="1"/>
    <d v="2022-10-15T00:00:00"/>
    <d v="2022-10-15T00:00:00"/>
    <n v="22027222"/>
    <n v="2236143"/>
    <n v="10013241267"/>
    <s v="MANOJ KOHLI"/>
    <x v="243"/>
    <n v="0"/>
    <n v="1274"/>
    <n v="0"/>
    <n v="1274"/>
    <x v="1"/>
    <x v="6"/>
    <n v="0"/>
    <x v="13"/>
  </r>
  <r>
    <n v="1500"/>
    <s v=" DAK DIALYSIS"/>
    <d v="2022-10-04T00:00:00"/>
    <x v="1"/>
    <d v="2022-10-04T00:00:00"/>
    <d v="2022-10-04T00:00:00"/>
    <n v="22025489"/>
    <n v="2234509"/>
    <n v="1001666089"/>
    <s v="PRADEEP BISHT"/>
    <x v="243"/>
    <n v="0"/>
    <n v="1274"/>
    <n v="0"/>
    <n v="1274"/>
    <x v="1"/>
    <x v="6"/>
    <n v="0"/>
    <x v="13"/>
  </r>
  <r>
    <n v="1501"/>
    <s v="CGHS ( CREDIT)"/>
    <d v="2022-10-07T00:00:00"/>
    <x v="1"/>
    <d v="2022-10-07T00:00:00"/>
    <d v="2022-10-07T00:00:00"/>
    <n v="22026060"/>
    <n v="2235094"/>
    <n v="10013453991"/>
    <s v="RAJENDER"/>
    <x v="43"/>
    <n v="0"/>
    <n v="1610"/>
    <n v="0"/>
    <n v="1610"/>
    <x v="1"/>
    <x v="6"/>
    <n v="0"/>
    <x v="13"/>
  </r>
  <r>
    <n v="1502"/>
    <s v="Delhi Arogya kosh"/>
    <d v="2022-10-05T00:00:00"/>
    <x v="1"/>
    <d v="2022-10-05T00:00:00"/>
    <d v="2022-10-05T00:00:00"/>
    <n v="22025784"/>
    <n v="2234787"/>
    <n v="10013371548"/>
    <s v="AMRIK SINGH"/>
    <x v="243"/>
    <n v="0"/>
    <n v="1274"/>
    <n v="0"/>
    <n v="1274"/>
    <x v="1"/>
    <x v="6"/>
    <n v="0"/>
    <x v="13"/>
  </r>
  <r>
    <n v="1503"/>
    <s v="Delhi Arogya kosh"/>
    <d v="2022-10-29T00:00:00"/>
    <x v="1"/>
    <d v="2022-10-29T00:00:00"/>
    <d v="2022-10-29T00:00:00"/>
    <n v="22029173"/>
    <n v="2238040"/>
    <n v="10013499172"/>
    <s v="TUSHAR GOEL"/>
    <x v="243"/>
    <n v="0"/>
    <n v="1274"/>
    <n v="0"/>
    <n v="1274"/>
    <x v="1"/>
    <x v="6"/>
    <n v="0"/>
    <x v="13"/>
  </r>
  <r>
    <n v="1504"/>
    <s v="Staff DEPENDENT"/>
    <d v="2022-10-02T00:00:00"/>
    <x v="1"/>
    <d v="2022-10-05T00:00:00"/>
    <d v="2022-10-05T00:00:00"/>
    <n v="22025751"/>
    <n v="2234330"/>
    <n v="1001033304"/>
    <s v="SUDHA"/>
    <x v="815"/>
    <n v="60911"/>
    <n v="0"/>
    <n v="0"/>
    <n v="0"/>
    <x v="1"/>
    <x v="1"/>
    <e v="#DIV/0!"/>
    <x v="0"/>
  </r>
  <r>
    <n v="1505"/>
    <s v=" CGHS CREDIT"/>
    <d v="2022-10-19T00:00:00"/>
    <x v="1"/>
    <d v="2022-10-19T00:00:00"/>
    <d v="2022-10-19T00:00:00"/>
    <n v="22027657"/>
    <n v="2236584"/>
    <n v="1001749543"/>
    <s v="DALEEP SINGH NEGI"/>
    <x v="43"/>
    <n v="0"/>
    <n v="1610"/>
    <n v="0"/>
    <n v="1610"/>
    <x v="1"/>
    <x v="6"/>
    <n v="0"/>
    <x v="13"/>
  </r>
  <r>
    <n v="1506"/>
    <s v="Delhi Arogya kosh"/>
    <d v="2022-10-05T00:00:00"/>
    <x v="1"/>
    <d v="2022-10-05T00:00:00"/>
    <d v="2022-10-05T00:00:00"/>
    <n v="22025791"/>
    <n v="2234792"/>
    <n v="10013516483"/>
    <s v="CHANCHAL RANI"/>
    <x v="243"/>
    <n v="0"/>
    <n v="1274"/>
    <n v="0"/>
    <n v="1274"/>
    <x v="1"/>
    <x v="6"/>
    <n v="0"/>
    <x v="13"/>
  </r>
  <r>
    <n v="1507"/>
    <s v=" DAK DIALYSIS"/>
    <d v="2022-10-31T00:00:00"/>
    <x v="1"/>
    <d v="2022-10-31T00:00:00"/>
    <d v="2022-10-31T00:00:00"/>
    <n v="22029241"/>
    <n v="2238134"/>
    <n v="1001678600"/>
    <s v="RAKESH THAKUR"/>
    <x v="243"/>
    <n v="0"/>
    <n v="1274"/>
    <n v="0"/>
    <n v="1274"/>
    <x v="1"/>
    <x v="6"/>
    <n v="0"/>
    <x v="13"/>
  </r>
  <r>
    <n v="1508"/>
    <s v="Delhi Arogya kosh"/>
    <d v="2022-10-21T00:00:00"/>
    <x v="1"/>
    <d v="2022-10-21T00:00:00"/>
    <d v="2022-10-21T00:00:00"/>
    <n v="22028066"/>
    <n v="2236907"/>
    <n v="10013457170"/>
    <s v="MANOJ                   II"/>
    <x v="243"/>
    <n v="0"/>
    <n v="1274"/>
    <n v="0"/>
    <n v="1274"/>
    <x v="1"/>
    <x v="6"/>
    <n v="0"/>
    <x v="13"/>
  </r>
  <r>
    <n v="1509"/>
    <s v="Health Insurance TPA of India Ltd."/>
    <d v="2022-10-11T00:00:00"/>
    <x v="1"/>
    <d v="2022-10-11T00:00:00"/>
    <d v="2022-10-11T00:00:00"/>
    <n v="22026539"/>
    <n v="2235538"/>
    <n v="1001199995"/>
    <s v="JITENDER NARULA"/>
    <x v="75"/>
    <n v="0"/>
    <n v="2200"/>
    <n v="0"/>
    <n v="2200"/>
    <x v="1"/>
    <x v="12"/>
    <n v="0"/>
    <x v="13"/>
  </r>
  <r>
    <n v="1510"/>
    <s v=" DAK DIALYSIS"/>
    <d v="2022-10-24T00:00:00"/>
    <x v="1"/>
    <d v="2022-10-24T00:00:00"/>
    <d v="2022-10-24T00:00:00"/>
    <n v="22028438"/>
    <n v="2237233"/>
    <n v="1001699417"/>
    <s v="T.THAMBAN"/>
    <x v="243"/>
    <n v="0"/>
    <n v="1274"/>
    <n v="0"/>
    <n v="1274"/>
    <x v="1"/>
    <x v="6"/>
    <n v="0"/>
    <x v="13"/>
  </r>
  <r>
    <n v="1511"/>
    <s v="Delhi Arogya kosh"/>
    <d v="2022-10-28T00:00:00"/>
    <x v="1"/>
    <d v="2022-10-28T00:00:00"/>
    <d v="2022-10-28T00:00:00"/>
    <n v="22028983"/>
    <n v="2237885"/>
    <n v="1000891068"/>
    <s v="SUSHIL SHARMA"/>
    <x v="243"/>
    <n v="0"/>
    <n v="1274"/>
    <n v="0"/>
    <n v="1274"/>
    <x v="1"/>
    <x v="6"/>
    <n v="0"/>
    <x v="13"/>
  </r>
  <r>
    <n v="1512"/>
    <s v=" CGHS CREDIT"/>
    <d v="2022-10-24T00:00:00"/>
    <x v="1"/>
    <d v="2022-10-24T00:00:00"/>
    <d v="2022-10-24T00:00:00"/>
    <n v="22028446"/>
    <n v="2237228"/>
    <n v="1001736024"/>
    <s v="RADHIKA"/>
    <x v="43"/>
    <n v="0"/>
    <n v="1610"/>
    <n v="0"/>
    <n v="1610"/>
    <x v="1"/>
    <x v="6"/>
    <n v="0"/>
    <x v="13"/>
  </r>
  <r>
    <n v="1513"/>
    <s v="Delhi Arogya kosh"/>
    <d v="2022-10-18T00:00:00"/>
    <x v="1"/>
    <d v="2022-10-18T00:00:00"/>
    <d v="2022-10-18T00:00:00"/>
    <n v="22027531"/>
    <n v="2236456"/>
    <n v="1000889533"/>
    <s v="MANJU AGGARWAL"/>
    <x v="243"/>
    <n v="0"/>
    <n v="1274"/>
    <n v="0"/>
    <n v="1274"/>
    <x v="1"/>
    <x v="6"/>
    <n v="0"/>
    <x v="13"/>
  </r>
  <r>
    <n v="1514"/>
    <s v=" DAK DIALYSIS"/>
    <d v="2022-10-22T00:00:00"/>
    <x v="1"/>
    <d v="2022-10-22T00:00:00"/>
    <d v="2022-10-22T00:00:00"/>
    <n v="22028200"/>
    <n v="2237039"/>
    <n v="1001657236"/>
    <s v="RAM KUMAR SINGH"/>
    <x v="243"/>
    <n v="0"/>
    <n v="1274"/>
    <n v="0"/>
    <n v="1274"/>
    <x v="1"/>
    <x v="6"/>
    <n v="0"/>
    <x v="13"/>
  </r>
  <r>
    <n v="1515"/>
    <s v="Delhi Arogya kosh"/>
    <d v="2022-10-06T00:00:00"/>
    <x v="1"/>
    <d v="2022-10-06T00:00:00"/>
    <d v="2022-10-06T00:00:00"/>
    <n v="22025819"/>
    <n v="2234835"/>
    <n v="10013435866"/>
    <s v="SUSHIL KUMAR AGGARWAL"/>
    <x v="243"/>
    <n v="0"/>
    <n v="1274"/>
    <n v="0"/>
    <n v="1274"/>
    <x v="1"/>
    <x v="6"/>
    <n v="0"/>
    <x v="13"/>
  </r>
  <r>
    <n v="1516"/>
    <s v=" ECHS CREDIT"/>
    <d v="2022-10-22T00:00:00"/>
    <x v="1"/>
    <d v="2022-10-22T00:00:00"/>
    <d v="2022-10-22T00:00:00"/>
    <n v="22028266"/>
    <n v="2237078"/>
    <n v="1001797077"/>
    <s v="DURGA DEVI"/>
    <x v="43"/>
    <n v="0"/>
    <n v="1610"/>
    <n v="0"/>
    <n v="1610"/>
    <x v="1"/>
    <x v="6"/>
    <n v="0"/>
    <x v="13"/>
  </r>
  <r>
    <n v="1517"/>
    <s v="Delhi Arogya kosh"/>
    <d v="2022-10-23T00:00:00"/>
    <x v="1"/>
    <d v="2022-10-23T00:00:00"/>
    <d v="2022-10-23T00:00:00"/>
    <n v="22028405"/>
    <n v="2237192"/>
    <n v="1001092597"/>
    <s v="RAVI"/>
    <x v="243"/>
    <n v="0"/>
    <n v="1274"/>
    <n v="0"/>
    <n v="1274"/>
    <x v="1"/>
    <x v="6"/>
    <n v="0"/>
    <x v="13"/>
  </r>
  <r>
    <n v="1518"/>
    <s v="MEDI ASSIST"/>
    <d v="2022-10-07T00:00:00"/>
    <x v="1"/>
    <d v="2022-10-07T00:00:00"/>
    <d v="2022-10-07T00:00:00"/>
    <n v="22025969"/>
    <n v="2235012"/>
    <n v="10013511637"/>
    <s v="MANJU KOHLI"/>
    <x v="75"/>
    <n v="0"/>
    <n v="2200"/>
    <n v="0"/>
    <n v="2200"/>
    <x v="1"/>
    <x v="12"/>
    <n v="0"/>
    <x v="13"/>
  </r>
  <r>
    <n v="1519"/>
    <s v="Delhi Arogya kosh"/>
    <d v="2022-10-03T00:00:00"/>
    <x v="1"/>
    <d v="2022-10-03T00:00:00"/>
    <d v="2022-10-03T00:00:00"/>
    <n v="22025443"/>
    <n v="2234445"/>
    <n v="1001208331"/>
    <s v="PREM"/>
    <x v="243"/>
    <n v="0"/>
    <n v="1274"/>
    <n v="0"/>
    <n v="1274"/>
    <x v="1"/>
    <x v="6"/>
    <n v="0"/>
    <x v="13"/>
  </r>
  <r>
    <n v="1520"/>
    <s v="Delhi Arogya kosh"/>
    <d v="2022-10-15T00:00:00"/>
    <x v="1"/>
    <d v="2022-10-15T00:00:00"/>
    <d v="2022-10-15T00:00:00"/>
    <n v="22027154"/>
    <n v="2236098"/>
    <n v="10013475917"/>
    <s v="meena srivastav"/>
    <x v="243"/>
    <n v="0"/>
    <n v="1274"/>
    <n v="0"/>
    <n v="1274"/>
    <x v="1"/>
    <x v="6"/>
    <n v="0"/>
    <x v="13"/>
  </r>
  <r>
    <n v="1521"/>
    <s v=" DAK DIALYSIS"/>
    <d v="2022-10-01T00:00:00"/>
    <x v="1"/>
    <d v="2022-10-01T00:00:00"/>
    <d v="2022-10-01T00:00:00"/>
    <n v="22025230"/>
    <n v="2234247"/>
    <n v="1001648223"/>
    <s v="BRIJ LAL KORI"/>
    <x v="243"/>
    <n v="0"/>
    <n v="1274"/>
    <n v="0"/>
    <n v="1274"/>
    <x v="1"/>
    <x v="6"/>
    <n v="0"/>
    <x v="13"/>
  </r>
  <r>
    <n v="1522"/>
    <s v="Delhi Arogya kosh"/>
    <d v="2022-10-23T00:00:00"/>
    <x v="1"/>
    <d v="2022-10-23T00:00:00"/>
    <d v="2022-10-23T00:00:00"/>
    <n v="22028393"/>
    <n v="2237180"/>
    <n v="1001208331"/>
    <s v="PREM"/>
    <x v="243"/>
    <n v="0"/>
    <n v="1274"/>
    <n v="0"/>
    <n v="1274"/>
    <x v="1"/>
    <x v="6"/>
    <n v="0"/>
    <x v="13"/>
  </r>
  <r>
    <n v="1523"/>
    <s v="Delhi Arogya kosh"/>
    <d v="2022-10-31T00:00:00"/>
    <x v="1"/>
    <d v="2022-10-31T00:00:00"/>
    <d v="2022-10-31T00:00:00"/>
    <n v="22029398"/>
    <n v="2238270"/>
    <n v="10013413542"/>
    <s v="KAMLA DEVI"/>
    <x v="243"/>
    <n v="0"/>
    <n v="1274"/>
    <n v="0"/>
    <n v="1274"/>
    <x v="1"/>
    <x v="6"/>
    <n v="0"/>
    <x v="13"/>
  </r>
  <r>
    <n v="1524"/>
    <s v=" DAK DIALYSIS"/>
    <d v="2022-10-10T00:00:00"/>
    <x v="1"/>
    <d v="2022-10-10T00:00:00"/>
    <d v="2022-10-10T00:00:00"/>
    <n v="22026465"/>
    <n v="2235429"/>
    <n v="1001657236"/>
    <s v="RAM KUMAR SINGH"/>
    <x v="243"/>
    <n v="0"/>
    <n v="1274"/>
    <n v="0"/>
    <n v="1274"/>
    <x v="1"/>
    <x v="6"/>
    <n v="0"/>
    <x v="13"/>
  </r>
  <r>
    <n v="1525"/>
    <s v="Delhi Arogya kosh"/>
    <d v="2022-10-14T00:00:00"/>
    <x v="1"/>
    <d v="2022-10-14T00:00:00"/>
    <d v="2022-10-14T00:00:00"/>
    <n v="22027098"/>
    <n v="2236014"/>
    <n v="10013371134"/>
    <s v="RADHA GOEL"/>
    <x v="243"/>
    <n v="0"/>
    <n v="1274"/>
    <n v="0"/>
    <n v="1274"/>
    <x v="1"/>
    <x v="6"/>
    <n v="0"/>
    <x v="13"/>
  </r>
  <r>
    <n v="1526"/>
    <s v="DGHS (DELHI GOVT.)"/>
    <d v="2022-09-20T00:00:00"/>
    <x v="0"/>
    <d v="2022-10-03T00:00:00"/>
    <d v="2022-10-03T00:00:00"/>
    <n v="22025417"/>
    <n v="2232712"/>
    <n v="1000959511"/>
    <s v="SOURABH MEENA"/>
    <x v="816"/>
    <n v="0"/>
    <n v="152181"/>
    <n v="0"/>
    <n v="152181"/>
    <x v="1"/>
    <x v="2"/>
    <n v="0"/>
    <x v="0"/>
  </r>
  <r>
    <n v="1527"/>
    <s v="Delhi Arogya kosh"/>
    <d v="2022-10-18T00:00:00"/>
    <x v="1"/>
    <d v="2022-10-18T00:00:00"/>
    <d v="2022-10-18T00:00:00"/>
    <n v="22027629"/>
    <n v="2236528"/>
    <n v="1001082290"/>
    <s v="SUSHMA"/>
    <x v="243"/>
    <n v="0"/>
    <n v="1274"/>
    <n v="0"/>
    <n v="1274"/>
    <x v="1"/>
    <x v="6"/>
    <n v="0"/>
    <x v="13"/>
  </r>
  <r>
    <n v="1528"/>
    <s v="Delhi Arogya kosh"/>
    <d v="2022-10-17T00:00:00"/>
    <x v="1"/>
    <d v="2022-10-17T00:00:00"/>
    <d v="2022-10-17T00:00:00"/>
    <n v="22027507"/>
    <n v="2236415"/>
    <n v="10013371548"/>
    <s v="AMRIK SINGH"/>
    <x v="243"/>
    <n v="0"/>
    <n v="1274"/>
    <n v="0"/>
    <n v="1274"/>
    <x v="1"/>
    <x v="6"/>
    <n v="0"/>
    <x v="13"/>
  </r>
  <r>
    <n v="1529"/>
    <s v="GOVT. OF NCT OF DELHI"/>
    <d v="2022-10-26T00:00:00"/>
    <x v="1"/>
    <d v="2022-10-26T00:00:00"/>
    <d v="2022-10-26T00:00:00"/>
    <n v="22028649"/>
    <n v="2237500"/>
    <n v="10013502614"/>
    <s v="RAM SAHAI"/>
    <x v="43"/>
    <n v="0"/>
    <n v="1610"/>
    <n v="0"/>
    <n v="1610"/>
    <x v="1"/>
    <x v="6"/>
    <n v="0"/>
    <x v="13"/>
  </r>
  <r>
    <n v="1530"/>
    <s v=" DAK DIALYSIS"/>
    <d v="2022-10-14T00:00:00"/>
    <x v="1"/>
    <d v="2022-10-14T00:00:00"/>
    <d v="2022-10-14T00:00:00"/>
    <n v="22026972"/>
    <n v="2235926"/>
    <n v="1001367923"/>
    <s v="PRIYANKA KUMARI"/>
    <x v="243"/>
    <n v="0"/>
    <n v="1274"/>
    <n v="0"/>
    <n v="1274"/>
    <x v="1"/>
    <x v="6"/>
    <n v="0"/>
    <x v="13"/>
  </r>
  <r>
    <n v="1531"/>
    <s v="Delhi Arogya kosh"/>
    <d v="2022-10-05T00:00:00"/>
    <x v="1"/>
    <d v="2022-10-05T00:00:00"/>
    <d v="2022-10-05T00:00:00"/>
    <n v="22025716"/>
    <n v="2234719"/>
    <n v="10013422914"/>
    <s v="ANJUM"/>
    <x v="243"/>
    <n v="0"/>
    <n v="1274"/>
    <n v="0"/>
    <n v="1274"/>
    <x v="1"/>
    <x v="6"/>
    <n v="0"/>
    <x v="13"/>
  </r>
  <r>
    <n v="1532"/>
    <s v=" CGHS CREDIT"/>
    <d v="2022-10-14T00:00:00"/>
    <x v="1"/>
    <d v="2022-10-14T00:00:00"/>
    <d v="2022-10-14T00:00:00"/>
    <n v="22027049"/>
    <n v="2235972"/>
    <n v="1001736024"/>
    <s v="RADHIKA"/>
    <x v="43"/>
    <n v="0"/>
    <n v="1610"/>
    <n v="0"/>
    <n v="1610"/>
    <x v="1"/>
    <x v="6"/>
    <n v="0"/>
    <x v="13"/>
  </r>
  <r>
    <n v="1533"/>
    <s v="CGHS ( CREDIT)"/>
    <d v="2022-10-22T00:00:00"/>
    <x v="1"/>
    <d v="2022-10-22T00:00:00"/>
    <d v="2022-10-22T00:00:00"/>
    <n v="22028237"/>
    <n v="2237037"/>
    <n v="10013514225"/>
    <s v="PUSHPA ARORA"/>
    <x v="43"/>
    <n v="0"/>
    <n v="1610"/>
    <n v="0"/>
    <n v="1610"/>
    <x v="1"/>
    <x v="6"/>
    <n v="0"/>
    <x v="13"/>
  </r>
  <r>
    <n v="1534"/>
    <s v="Delhi Arogya kosh"/>
    <d v="2022-10-06T00:00:00"/>
    <x v="1"/>
    <d v="2022-10-06T00:00:00"/>
    <d v="2022-10-06T00:00:00"/>
    <n v="22025912"/>
    <n v="2234943"/>
    <n v="10013437822"/>
    <s v="JOGINDER PAL"/>
    <x v="243"/>
    <n v="0"/>
    <n v="1274"/>
    <n v="0"/>
    <n v="1274"/>
    <x v="1"/>
    <x v="6"/>
    <n v="0"/>
    <x v="13"/>
  </r>
  <r>
    <n v="1535"/>
    <s v="Delhi Arogya kosh"/>
    <d v="2022-10-08T00:00:00"/>
    <x v="1"/>
    <d v="2022-10-08T00:00:00"/>
    <d v="2022-10-08T00:00:00"/>
    <n v="22026217"/>
    <n v="2235206"/>
    <n v="1001542371"/>
    <s v="USHA GAMBHIR"/>
    <x v="243"/>
    <n v="0"/>
    <n v="1274"/>
    <n v="0"/>
    <n v="1274"/>
    <x v="1"/>
    <x v="6"/>
    <n v="0"/>
    <x v="13"/>
  </r>
  <r>
    <n v="1536"/>
    <s v="Delhi Arogya kosh"/>
    <d v="2022-10-13T00:00:00"/>
    <x v="1"/>
    <d v="2022-10-13T00:00:00"/>
    <d v="2022-10-13T00:00:00"/>
    <n v="22026955"/>
    <n v="2235882"/>
    <n v="1001092597"/>
    <s v="RAVI"/>
    <x v="243"/>
    <n v="0"/>
    <n v="1274"/>
    <n v="0"/>
    <n v="1274"/>
    <x v="1"/>
    <x v="6"/>
    <n v="0"/>
    <x v="13"/>
  </r>
  <r>
    <n v="1537"/>
    <s v="Delhi Arogya kosh"/>
    <d v="2022-10-12T00:00:00"/>
    <x v="1"/>
    <d v="2022-10-14T00:00:00"/>
    <d v="2022-10-14T00:00:00"/>
    <n v="22027023"/>
    <n v="2235781"/>
    <n v="10013320773"/>
    <s v="TARA SINGH"/>
    <x v="817"/>
    <n v="0"/>
    <n v="162594"/>
    <n v="0"/>
    <n v="162594"/>
    <x v="1"/>
    <x v="1"/>
    <n v="0"/>
    <x v="4"/>
  </r>
  <r>
    <n v="1538"/>
    <s v=" DAK DIALYSIS"/>
    <d v="2022-10-11T00:00:00"/>
    <x v="1"/>
    <d v="2022-10-11T00:00:00"/>
    <d v="2022-10-11T00:00:00"/>
    <n v="22026624"/>
    <n v="2235597"/>
    <n v="1001527101"/>
    <s v="SURENDER SHARMA"/>
    <x v="243"/>
    <n v="0"/>
    <n v="1274"/>
    <n v="0"/>
    <n v="1274"/>
    <x v="1"/>
    <x v="6"/>
    <n v="0"/>
    <x v="13"/>
  </r>
  <r>
    <n v="1539"/>
    <s v=" DGEHS (CREDIT)"/>
    <d v="2022-10-06T00:00:00"/>
    <x v="1"/>
    <d v="2022-10-06T00:00:00"/>
    <d v="2022-10-06T00:00:00"/>
    <n v="22025890"/>
    <n v="2234897"/>
    <n v="1001756832"/>
    <s v="VIJAY DEVI"/>
    <x v="43"/>
    <n v="0"/>
    <n v="1610"/>
    <n v="0"/>
    <n v="1610"/>
    <x v="1"/>
    <x v="6"/>
    <n v="0"/>
    <x v="13"/>
  </r>
  <r>
    <n v="1540"/>
    <s v="Delhi Arogya kosh"/>
    <d v="2022-10-13T00:00:00"/>
    <x v="1"/>
    <d v="2022-10-13T00:00:00"/>
    <d v="2022-10-13T00:00:00"/>
    <n v="22026943"/>
    <n v="2235865"/>
    <n v="10013299539"/>
    <s v="SATISH MALIK"/>
    <x v="243"/>
    <n v="0"/>
    <n v="1274"/>
    <n v="0"/>
    <n v="1274"/>
    <x v="1"/>
    <x v="6"/>
    <n v="0"/>
    <x v="13"/>
  </r>
  <r>
    <n v="1541"/>
    <s v="Delhi Arogya kosh"/>
    <d v="2022-10-05T00:00:00"/>
    <x v="1"/>
    <d v="2022-10-05T00:00:00"/>
    <d v="2022-10-05T00:00:00"/>
    <n v="22025773"/>
    <n v="2234757"/>
    <n v="1001590721"/>
    <s v="MAMTA"/>
    <x v="243"/>
    <n v="0"/>
    <n v="1274"/>
    <n v="0"/>
    <n v="1274"/>
    <x v="1"/>
    <x v="6"/>
    <n v="0"/>
    <x v="13"/>
  </r>
  <r>
    <n v="1542"/>
    <s v="Delhi Arogya kosh"/>
    <d v="2022-10-03T00:00:00"/>
    <x v="1"/>
    <d v="2022-10-03T00:00:00"/>
    <d v="2022-10-03T00:00:00"/>
    <n v="22025409"/>
    <n v="2234411"/>
    <n v="1001033406"/>
    <s v="SURENDER GOEL"/>
    <x v="243"/>
    <n v="0"/>
    <n v="1274"/>
    <n v="0"/>
    <n v="1274"/>
    <x v="1"/>
    <x v="6"/>
    <n v="0"/>
    <x v="13"/>
  </r>
  <r>
    <n v="1543"/>
    <s v="Delhi Arogya kosh"/>
    <d v="2022-10-03T00:00:00"/>
    <x v="1"/>
    <d v="2022-10-03T00:00:00"/>
    <d v="2022-10-03T00:00:00"/>
    <n v="22025464"/>
    <n v="2234480"/>
    <n v="10013371548"/>
    <s v="AMRIK SINGH"/>
    <x v="243"/>
    <n v="0"/>
    <n v="1274"/>
    <n v="0"/>
    <n v="1274"/>
    <x v="1"/>
    <x v="6"/>
    <n v="0"/>
    <x v="13"/>
  </r>
  <r>
    <n v="1544"/>
    <s v="Delhi Arogya kosh"/>
    <d v="2022-10-01T00:00:00"/>
    <x v="1"/>
    <d v="2022-10-01T00:00:00"/>
    <d v="2022-10-01T00:00:00"/>
    <n v="22025256"/>
    <n v="2234280"/>
    <n v="10013506167"/>
    <s v="KETAN GOEL"/>
    <x v="243"/>
    <n v="0"/>
    <n v="1274"/>
    <n v="0"/>
    <n v="1274"/>
    <x v="1"/>
    <x v="6"/>
    <n v="0"/>
    <x v="13"/>
  </r>
  <r>
    <n v="1545"/>
    <s v="Delhi Arogya kosh"/>
    <d v="2022-10-20T00:00:00"/>
    <x v="1"/>
    <d v="2022-10-20T00:00:00"/>
    <d v="2022-10-20T00:00:00"/>
    <n v="22027955"/>
    <n v="2236841"/>
    <n v="10013223537"/>
    <s v="GOVIND"/>
    <x v="243"/>
    <n v="0"/>
    <n v="1274"/>
    <n v="0"/>
    <n v="1274"/>
    <x v="1"/>
    <x v="6"/>
    <n v="0"/>
    <x v="13"/>
  </r>
  <r>
    <n v="1546"/>
    <s v=" DAK DIALYSIS"/>
    <d v="2022-10-31T00:00:00"/>
    <x v="1"/>
    <d v="2022-10-31T00:00:00"/>
    <d v="2022-10-31T00:00:00"/>
    <n v="22029372"/>
    <n v="2238245"/>
    <n v="1001677731"/>
    <s v="HIMANSHU GOYAL"/>
    <x v="243"/>
    <n v="0"/>
    <n v="1274"/>
    <n v="0"/>
    <n v="1274"/>
    <x v="1"/>
    <x v="6"/>
    <n v="0"/>
    <x v="13"/>
  </r>
  <r>
    <n v="1547"/>
    <s v=" DAK DIALYSIS"/>
    <d v="2022-10-03T00:00:00"/>
    <x v="1"/>
    <d v="2022-10-03T00:00:00"/>
    <d v="2022-10-03T00:00:00"/>
    <n v="22025433"/>
    <n v="2234425"/>
    <n v="1001648223"/>
    <s v="BRIJ LAL KORI"/>
    <x v="243"/>
    <n v="0"/>
    <n v="1274"/>
    <n v="0"/>
    <n v="1274"/>
    <x v="1"/>
    <x v="6"/>
    <n v="0"/>
    <x v="13"/>
  </r>
  <r>
    <n v="1548"/>
    <s v="Delhi Arogya kosh"/>
    <d v="2022-10-04T00:00:00"/>
    <x v="1"/>
    <d v="2022-10-04T00:00:00"/>
    <d v="2022-10-04T00:00:00"/>
    <n v="22025625"/>
    <n v="2234644"/>
    <n v="10013451090"/>
    <s v="MANJU SUNDRIYAL"/>
    <x v="243"/>
    <n v="0"/>
    <n v="1274"/>
    <n v="0"/>
    <n v="1274"/>
    <x v="1"/>
    <x v="6"/>
    <n v="0"/>
    <x v="13"/>
  </r>
  <r>
    <n v="1549"/>
    <s v="SMILE TRAIN"/>
    <d v="2022-10-11T00:00:00"/>
    <x v="1"/>
    <d v="2022-10-13T00:00:00"/>
    <d v="2022-10-13T00:00:00"/>
    <n v="22026843"/>
    <n v="2235579"/>
    <n v="10013510546"/>
    <s v="DHRUV"/>
    <x v="818"/>
    <n v="27764"/>
    <n v="30000"/>
    <n v="0"/>
    <n v="30000"/>
    <x v="1"/>
    <x v="1"/>
    <n v="0"/>
    <x v="6"/>
  </r>
  <r>
    <n v="1550"/>
    <s v="FHPL-TATA AIG"/>
    <d v="2022-10-06T00:00:00"/>
    <x v="1"/>
    <d v="2022-10-10T00:00:00"/>
    <d v="2022-10-10T00:00:00"/>
    <n v="22026354"/>
    <n v="2234928"/>
    <n v="10013458836"/>
    <s v="PARMOD GOEL"/>
    <x v="819"/>
    <n v="0"/>
    <n v="107448"/>
    <n v="0"/>
    <n v="107448"/>
    <x v="1"/>
    <x v="10"/>
    <n v="0"/>
    <x v="0"/>
  </r>
  <r>
    <n v="1551"/>
    <s v="Safeway Mediclaim Services Pvt. Ltd."/>
    <d v="2022-10-25T00:00:00"/>
    <x v="1"/>
    <d v="2022-10-25T00:00:00"/>
    <d v="2022-10-25T00:00:00"/>
    <n v="22028504"/>
    <n v="2237315"/>
    <n v="1001684515"/>
    <s v="SHIV NARAYAN BANSAL"/>
    <x v="75"/>
    <n v="0"/>
    <n v="2200"/>
    <n v="0"/>
    <n v="2200"/>
    <x v="1"/>
    <x v="12"/>
    <n v="0"/>
    <x v="13"/>
  </r>
  <r>
    <n v="1552"/>
    <s v="Heritage Health TPA Private Limited"/>
    <d v="2022-10-07T00:00:00"/>
    <x v="1"/>
    <d v="2022-10-07T00:00:00"/>
    <d v="2022-10-07T00:00:00"/>
    <n v="22025928"/>
    <n v="2234979"/>
    <n v="1001183341"/>
    <s v="KAMLESH JAIN"/>
    <x v="75"/>
    <n v="0"/>
    <n v="2200"/>
    <n v="0"/>
    <n v="2200"/>
    <x v="1"/>
    <x v="12"/>
    <n v="0"/>
    <x v="13"/>
  </r>
  <r>
    <n v="1553"/>
    <s v="NIVA BUPA"/>
    <d v="2022-10-25T00:00:00"/>
    <x v="1"/>
    <d v="2022-10-25T00:00:00"/>
    <d v="2022-10-25T00:00:00"/>
    <n v="22028523"/>
    <n v="2237269"/>
    <n v="10013484190"/>
    <s v="JULI SINGH"/>
    <x v="254"/>
    <n v="0"/>
    <n v="2240"/>
    <n v="0"/>
    <n v="2240"/>
    <x v="1"/>
    <x v="6"/>
    <n v="0"/>
    <x v="13"/>
  </r>
  <r>
    <n v="1554"/>
    <s v="Delhi Arogya kosh"/>
    <d v="2022-10-29T00:00:00"/>
    <x v="1"/>
    <d v="2022-10-29T00:00:00"/>
    <d v="2022-10-29T00:00:00"/>
    <n v="22029172"/>
    <n v="2238036"/>
    <n v="10013371548"/>
    <s v="AMRIK SINGH"/>
    <x v="243"/>
    <n v="0"/>
    <n v="1274"/>
    <n v="0"/>
    <n v="1274"/>
    <x v="1"/>
    <x v="6"/>
    <n v="0"/>
    <x v="13"/>
  </r>
  <r>
    <n v="1555"/>
    <s v="PARK MED CLAIM LTD"/>
    <d v="2022-10-07T00:00:00"/>
    <x v="1"/>
    <d v="2022-10-07T00:00:00"/>
    <d v="2022-10-07T00:00:00"/>
    <n v="22025972"/>
    <n v="2235011"/>
    <n v="10013436915"/>
    <s v="USHA"/>
    <x v="75"/>
    <n v="0"/>
    <n v="2200"/>
    <n v="0"/>
    <n v="2200"/>
    <x v="1"/>
    <x v="12"/>
    <n v="0"/>
    <x v="13"/>
  </r>
  <r>
    <n v="1556"/>
    <s v="Delhi Arogya kosh"/>
    <d v="2022-10-17T00:00:00"/>
    <x v="1"/>
    <d v="2022-10-19T00:00:00"/>
    <d v="2022-10-19T00:00:00"/>
    <n v="22027676"/>
    <n v="2236377"/>
    <n v="10013317365"/>
    <s v="AJIT  JAIN"/>
    <x v="820"/>
    <n v="0"/>
    <n v="46754"/>
    <n v="0"/>
    <n v="46754"/>
    <x v="1"/>
    <x v="15"/>
    <n v="0"/>
    <x v="5"/>
  </r>
  <r>
    <n v="1557"/>
    <s v=" CGHS CREDIT"/>
    <d v="2022-10-19T00:00:00"/>
    <x v="1"/>
    <d v="2022-10-19T00:00:00"/>
    <d v="2022-10-19T00:00:00"/>
    <n v="22027767"/>
    <n v="2236646"/>
    <n v="1001722362"/>
    <s v="PAWANA DEVI"/>
    <x v="43"/>
    <n v="0"/>
    <n v="1610"/>
    <n v="0"/>
    <n v="1610"/>
    <x v="1"/>
    <x v="6"/>
    <n v="0"/>
    <x v="13"/>
  </r>
  <r>
    <n v="1558"/>
    <s v=" DAK DIALYSIS"/>
    <d v="2022-10-14T00:00:00"/>
    <x v="1"/>
    <d v="2022-10-14T00:00:00"/>
    <d v="2022-10-14T00:00:00"/>
    <n v="22027086"/>
    <n v="2235999"/>
    <n v="1001657236"/>
    <s v="RAM KUMAR SINGH"/>
    <x v="243"/>
    <n v="0"/>
    <n v="1274"/>
    <n v="0"/>
    <n v="1274"/>
    <x v="1"/>
    <x v="6"/>
    <n v="0"/>
    <x v="13"/>
  </r>
  <r>
    <n v="1559"/>
    <s v="Delhi Arogya kosh"/>
    <d v="2022-10-13T00:00:00"/>
    <x v="1"/>
    <d v="2022-10-13T00:00:00"/>
    <d v="2022-10-13T00:00:00"/>
    <n v="22026833"/>
    <n v="2235807"/>
    <n v="1000899251"/>
    <s v="SURESH KUMAR"/>
    <x v="243"/>
    <n v="0"/>
    <n v="1274"/>
    <n v="0"/>
    <n v="1274"/>
    <x v="1"/>
    <x v="6"/>
    <n v="0"/>
    <x v="13"/>
  </r>
  <r>
    <n v="1560"/>
    <s v="Delhi Arogya kosh"/>
    <d v="2022-10-04T00:00:00"/>
    <x v="1"/>
    <d v="2022-10-06T00:00:00"/>
    <d v="2022-10-06T00:00:00"/>
    <n v="22025835"/>
    <n v="2234629"/>
    <n v="1001802390"/>
    <s v="MUKESH KUMAR"/>
    <x v="821"/>
    <n v="0"/>
    <n v="130994"/>
    <n v="0"/>
    <n v="130994"/>
    <x v="1"/>
    <x v="15"/>
    <n v="0"/>
    <x v="4"/>
  </r>
  <r>
    <n v="1561"/>
    <s v=" HDFC ERGO General Insurance Company Limited"/>
    <d v="2022-10-03T00:00:00"/>
    <x v="1"/>
    <d v="2022-10-04T00:00:00"/>
    <d v="2022-10-04T00:00:00"/>
    <n v="22025548"/>
    <n v="2234422"/>
    <n v="1001802159"/>
    <s v="RONAK SOLANKI"/>
    <x v="822"/>
    <n v="1048"/>
    <n v="35356"/>
    <n v="0"/>
    <n v="35356"/>
    <x v="1"/>
    <x v="2"/>
    <n v="0"/>
    <x v="11"/>
  </r>
  <r>
    <n v="1562"/>
    <s v="Delhi Arogya kosh"/>
    <d v="2022-10-12T00:00:00"/>
    <x v="1"/>
    <d v="2022-10-12T00:00:00"/>
    <d v="2022-10-12T00:00:00"/>
    <n v="22026802"/>
    <n v="2235760"/>
    <n v="10013453025"/>
    <s v="VIRENDER SINGH"/>
    <x v="243"/>
    <n v="0"/>
    <n v="1274"/>
    <n v="0"/>
    <n v="1274"/>
    <x v="1"/>
    <x v="6"/>
    <n v="0"/>
    <x v="13"/>
  </r>
  <r>
    <n v="1563"/>
    <s v="Delhi Arogya kosh"/>
    <d v="2022-10-23T00:00:00"/>
    <x v="1"/>
    <d v="2022-10-23T00:00:00"/>
    <d v="2022-10-23T00:00:00"/>
    <n v="22028350"/>
    <n v="2237135"/>
    <n v="1000899251"/>
    <s v="SURESH KUMAR"/>
    <x v="243"/>
    <n v="0"/>
    <n v="1274"/>
    <n v="0"/>
    <n v="1274"/>
    <x v="1"/>
    <x v="6"/>
    <n v="0"/>
    <x v="13"/>
  </r>
  <r>
    <n v="1564"/>
    <s v="MD INDIA TPA PVT.LTD."/>
    <d v="2022-10-28T00:00:00"/>
    <x v="1"/>
    <d v="2022-10-28T00:00:00"/>
    <d v="2022-10-28T00:00:00"/>
    <n v="22028927"/>
    <n v="2237810"/>
    <n v="1001468779"/>
    <s v="RAMESH KR BANSAL"/>
    <x v="75"/>
    <n v="0"/>
    <n v="2200"/>
    <n v="0"/>
    <n v="2200"/>
    <x v="1"/>
    <x v="12"/>
    <n v="0"/>
    <x v="13"/>
  </r>
  <r>
    <n v="1565"/>
    <s v="Delhi Arogya kosh"/>
    <d v="2022-10-08T00:00:00"/>
    <x v="1"/>
    <d v="2022-10-08T00:00:00"/>
    <d v="2022-10-08T00:00:00"/>
    <n v="22026233"/>
    <n v="2235238"/>
    <n v="10013453025"/>
    <s v="VIRENDER SINGH"/>
    <x v="243"/>
    <n v="0"/>
    <n v="1274"/>
    <n v="0"/>
    <n v="1274"/>
    <x v="1"/>
    <x v="6"/>
    <n v="0"/>
    <x v="13"/>
  </r>
  <r>
    <n v="1566"/>
    <s v="Delhi Arogya kosh"/>
    <d v="2022-10-29T00:00:00"/>
    <x v="1"/>
    <d v="2022-10-29T00:00:00"/>
    <d v="2022-10-29T00:00:00"/>
    <n v="22029160"/>
    <n v="2238018"/>
    <n v="1001761745"/>
    <s v="SATYA PAL GOEL"/>
    <x v="243"/>
    <n v="0"/>
    <n v="1274"/>
    <n v="0"/>
    <n v="1274"/>
    <x v="1"/>
    <x v="6"/>
    <n v="0"/>
    <x v="13"/>
  </r>
  <r>
    <n v="1567"/>
    <s v="RAKSHA (TPA)"/>
    <d v="2022-10-06T00:00:00"/>
    <x v="1"/>
    <d v="2022-10-06T00:00:00"/>
    <d v="2022-10-06T00:00:00"/>
    <n v="22025804"/>
    <n v="2234826"/>
    <n v="10013497993"/>
    <s v="KESHAV BIYANI"/>
    <x v="75"/>
    <n v="0"/>
    <n v="2200"/>
    <n v="0"/>
    <n v="2200"/>
    <x v="1"/>
    <x v="12"/>
    <n v="0"/>
    <x v="13"/>
  </r>
  <r>
    <n v="1568"/>
    <s v="Max Bhupa Health Insurance Co Ltd."/>
    <d v="2022-10-15T00:00:00"/>
    <x v="1"/>
    <d v="2022-10-16T00:00:00"/>
    <d v="2022-10-16T00:00:00"/>
    <n v="22027349"/>
    <n v="2236072"/>
    <n v="1001804445"/>
    <s v="KULDEEP SINGH"/>
    <x v="823"/>
    <n v="14539"/>
    <n v="107960"/>
    <n v="0"/>
    <n v="107960"/>
    <x v="1"/>
    <x v="2"/>
    <n v="0"/>
    <x v="14"/>
  </r>
  <r>
    <n v="1569"/>
    <s v=" CGHS CREDIT"/>
    <d v="2022-10-20T00:00:00"/>
    <x v="1"/>
    <d v="2022-10-20T00:00:00"/>
    <d v="2022-10-20T00:00:00"/>
    <n v="22027932"/>
    <n v="2236771"/>
    <n v="1001772963"/>
    <s v="RAVINDER VERMA"/>
    <x v="43"/>
    <n v="0"/>
    <n v="1610"/>
    <n v="0"/>
    <n v="1610"/>
    <x v="1"/>
    <x v="6"/>
    <n v="0"/>
    <x v="13"/>
  </r>
  <r>
    <n v="1570"/>
    <s v="Delhi Arogya kosh"/>
    <d v="2022-10-21T00:00:00"/>
    <x v="1"/>
    <d v="2022-10-21T00:00:00"/>
    <d v="2022-10-21T00:00:00"/>
    <n v="22027984"/>
    <n v="2236880"/>
    <n v="1001307852"/>
    <s v="MEERA DEVI"/>
    <x v="243"/>
    <n v="0"/>
    <n v="1274"/>
    <n v="0"/>
    <n v="1274"/>
    <x v="1"/>
    <x v="6"/>
    <n v="0"/>
    <x v="13"/>
  </r>
  <r>
    <n v="1571"/>
    <s v="Health Insurance TPA of India Ltd."/>
    <d v="2022-10-06T00:00:00"/>
    <x v="1"/>
    <d v="2022-10-06T00:00:00"/>
    <d v="2022-10-06T00:00:00"/>
    <n v="22025858"/>
    <n v="2234859"/>
    <n v="1001199995"/>
    <s v="JITENDER NARULA"/>
    <x v="75"/>
    <n v="0"/>
    <n v="2200"/>
    <n v="0"/>
    <n v="2200"/>
    <x v="1"/>
    <x v="12"/>
    <n v="0"/>
    <x v="13"/>
  </r>
  <r>
    <n v="1572"/>
    <s v="Delhi Arogya kosh"/>
    <d v="2022-10-26T00:00:00"/>
    <x v="1"/>
    <d v="2022-10-26T00:00:00"/>
    <d v="2022-10-26T00:00:00"/>
    <n v="22028666"/>
    <n v="2237507"/>
    <n v="10013347178"/>
    <s v="BABITA"/>
    <x v="243"/>
    <n v="0"/>
    <n v="1274"/>
    <n v="0"/>
    <n v="1274"/>
    <x v="1"/>
    <x v="6"/>
    <n v="0"/>
    <x v="13"/>
  </r>
  <r>
    <n v="1573"/>
    <s v=" MD INDIA TPA"/>
    <d v="2022-10-25T00:00:00"/>
    <x v="1"/>
    <d v="2022-10-27T00:00:00"/>
    <d v="2022-10-27T00:00:00"/>
    <n v="22028803"/>
    <n v="2237360"/>
    <n v="1001029140"/>
    <s v="AYUSH GOEL"/>
    <x v="824"/>
    <n v="5975"/>
    <n v="33363"/>
    <n v="0"/>
    <n v="33363"/>
    <x v="1"/>
    <x v="2"/>
    <n v="0"/>
    <x v="0"/>
  </r>
  <r>
    <n v="1574"/>
    <s v="Delhi Arogya kosh"/>
    <d v="2022-10-27T00:00:00"/>
    <x v="1"/>
    <d v="2022-10-27T00:00:00"/>
    <d v="2022-10-27T00:00:00"/>
    <n v="22028834"/>
    <n v="2237709"/>
    <n v="10013413542"/>
    <s v="KAMLA DEVI"/>
    <x v="243"/>
    <n v="0"/>
    <n v="1274"/>
    <n v="0"/>
    <n v="1274"/>
    <x v="1"/>
    <x v="6"/>
    <n v="0"/>
    <x v="13"/>
  </r>
  <r>
    <n v="1575"/>
    <s v="Delhi Arogya kosh"/>
    <d v="2022-10-12T00:00:00"/>
    <x v="1"/>
    <d v="2022-10-12T00:00:00"/>
    <d v="2022-10-12T00:00:00"/>
    <n v="22026663"/>
    <n v="2235653"/>
    <n v="10013436995"/>
    <s v="URVASHI"/>
    <x v="243"/>
    <n v="0"/>
    <n v="1274"/>
    <n v="0"/>
    <n v="1274"/>
    <x v="1"/>
    <x v="6"/>
    <n v="0"/>
    <x v="13"/>
  </r>
  <r>
    <n v="1576"/>
    <s v="Delhi Arogya kosh"/>
    <d v="2022-10-26T00:00:00"/>
    <x v="1"/>
    <d v="2022-10-28T00:00:00"/>
    <d v="2022-10-28T00:00:00"/>
    <n v="22028903"/>
    <n v="2237557"/>
    <n v="10013544473"/>
    <s v="PANNA LAL"/>
    <x v="821"/>
    <n v="0"/>
    <n v="130994"/>
    <n v="0"/>
    <n v="130994"/>
    <x v="1"/>
    <x v="15"/>
    <n v="0"/>
    <x v="4"/>
  </r>
  <r>
    <n v="1577"/>
    <s v="Delhi Arogya kosh"/>
    <d v="2022-10-23T00:00:00"/>
    <x v="1"/>
    <d v="2022-10-23T00:00:00"/>
    <d v="2022-10-23T00:00:00"/>
    <n v="22028394"/>
    <n v="2237179"/>
    <n v="1000891592"/>
    <s v="MANOJ"/>
    <x v="243"/>
    <n v="0"/>
    <n v="1274"/>
    <n v="0"/>
    <n v="1274"/>
    <x v="1"/>
    <x v="6"/>
    <n v="0"/>
    <x v="13"/>
  </r>
  <r>
    <n v="1578"/>
    <s v="GOVT. OF NCT OF DELHI"/>
    <d v="2022-10-22T00:00:00"/>
    <x v="1"/>
    <d v="2022-10-22T00:00:00"/>
    <d v="2022-10-22T00:00:00"/>
    <n v="22028244"/>
    <n v="2237031"/>
    <n v="1000979923"/>
    <s v="SAROJ"/>
    <x v="43"/>
    <n v="0"/>
    <n v="1610"/>
    <n v="0"/>
    <n v="1610"/>
    <x v="1"/>
    <x v="6"/>
    <n v="0"/>
    <x v="13"/>
  </r>
  <r>
    <n v="1579"/>
    <s v="Delhi Arogya kosh"/>
    <d v="2022-10-03T00:00:00"/>
    <x v="1"/>
    <d v="2022-10-03T00:00:00"/>
    <d v="2022-10-03T00:00:00"/>
    <n v="22025355"/>
    <n v="2234370"/>
    <n v="10013435866"/>
    <s v="SUSHIL KUMAR AGGARWAL"/>
    <x v="243"/>
    <n v="0"/>
    <n v="1274"/>
    <n v="0"/>
    <n v="1274"/>
    <x v="1"/>
    <x v="6"/>
    <n v="0"/>
    <x v="13"/>
  </r>
  <r>
    <n v="1580"/>
    <s v="CARE HEALTH INSURANCE LIMITED"/>
    <d v="2022-10-09T00:00:00"/>
    <x v="1"/>
    <d v="2022-10-13T00:00:00"/>
    <d v="2022-10-13T00:00:00"/>
    <n v="22026889"/>
    <n v="2235258"/>
    <n v="10013542256"/>
    <s v="ASHWINI GUPTA"/>
    <x v="825"/>
    <n v="14801"/>
    <n v="123529"/>
    <n v="0"/>
    <n v="123529"/>
    <x v="1"/>
    <x v="10"/>
    <n v="0"/>
    <x v="0"/>
  </r>
  <r>
    <n v="1581"/>
    <s v=" DAK DIALYSIS"/>
    <d v="2022-10-22T00:00:00"/>
    <x v="1"/>
    <d v="2022-10-22T00:00:00"/>
    <d v="2022-10-22T00:00:00"/>
    <n v="22028272"/>
    <n v="2237065"/>
    <n v="1001777331"/>
    <s v="RAVI KUMAR SINGH"/>
    <x v="243"/>
    <n v="0"/>
    <n v="1274"/>
    <n v="0"/>
    <n v="1274"/>
    <x v="1"/>
    <x v="6"/>
    <n v="0"/>
    <x v="13"/>
  </r>
  <r>
    <n v="1582"/>
    <s v="Delhi Arogya kosh"/>
    <d v="2022-10-13T00:00:00"/>
    <x v="1"/>
    <d v="2022-10-13T00:00:00"/>
    <d v="2022-10-13T00:00:00"/>
    <n v="22026956"/>
    <n v="2235883"/>
    <n v="10013413542"/>
    <s v="KAMLA DEVI"/>
    <x v="243"/>
    <n v="0"/>
    <n v="1274"/>
    <n v="0"/>
    <n v="1274"/>
    <x v="1"/>
    <x v="6"/>
    <n v="0"/>
    <x v="13"/>
  </r>
  <r>
    <n v="1583"/>
    <s v=" CGHS CREDIT"/>
    <d v="2022-10-10T00:00:00"/>
    <x v="1"/>
    <d v="2022-10-10T00:00:00"/>
    <d v="2022-10-10T00:00:00"/>
    <n v="22026435"/>
    <n v="2235397"/>
    <n v="1001729640"/>
    <s v="BRIJ MOHAN"/>
    <x v="43"/>
    <n v="0"/>
    <n v="1610"/>
    <n v="0"/>
    <n v="1610"/>
    <x v="1"/>
    <x v="6"/>
    <n v="0"/>
    <x v="13"/>
  </r>
  <r>
    <n v="1584"/>
    <s v="DGHS (DELHI GOVT.)"/>
    <d v="2022-10-04T00:00:00"/>
    <x v="1"/>
    <d v="2022-10-05T00:00:00"/>
    <d v="2022-10-05T00:00:00"/>
    <n v="22025727"/>
    <n v="2234605"/>
    <n v="1001802470"/>
    <s v="RUBY FEMALE BABY RATHEE"/>
    <x v="826"/>
    <n v="0"/>
    <n v="2320"/>
    <n v="2320"/>
    <n v="0"/>
    <x v="0"/>
    <x v="1"/>
    <n v="1"/>
    <x v="3"/>
  </r>
  <r>
    <n v="1585"/>
    <s v="CARE HEALTH INSURANCE LIMITED"/>
    <d v="2022-10-04T00:00:00"/>
    <x v="1"/>
    <d v="2022-10-10T00:00:00"/>
    <d v="2022-10-10T00:00:00"/>
    <n v="22026357"/>
    <n v="2234625"/>
    <n v="10013481419"/>
    <s v="ANUP"/>
    <x v="827"/>
    <n v="22826"/>
    <n v="150631"/>
    <n v="70"/>
    <n v="150561"/>
    <x v="1"/>
    <x v="2"/>
    <n v="4.6471177911585265E-4"/>
    <x v="12"/>
  </r>
  <r>
    <n v="1586"/>
    <s v="MEDI ASSIST"/>
    <d v="2022-10-04T00:00:00"/>
    <x v="1"/>
    <d v="2022-10-06T00:00:00"/>
    <d v="2022-10-06T00:00:00"/>
    <n v="22025861"/>
    <n v="2234551"/>
    <n v="1001802387"/>
    <s v="SWATI FEMALE BABY JAIN"/>
    <x v="828"/>
    <n v="0"/>
    <n v="7580"/>
    <n v="7580"/>
    <n v="0"/>
    <x v="0"/>
    <x v="2"/>
    <n v="1"/>
    <x v="3"/>
  </r>
  <r>
    <n v="1587"/>
    <s v="Heritage Health TPA Private Limited"/>
    <d v="2022-10-10T00:00:00"/>
    <x v="1"/>
    <d v="2022-10-12T00:00:00"/>
    <d v="2022-10-12T00:00:00"/>
    <n v="22026753"/>
    <n v="2235460"/>
    <n v="10013237014"/>
    <s v="AKASH GOEL"/>
    <x v="829"/>
    <n v="4942"/>
    <n v="31858"/>
    <n v="17601"/>
    <n v="14257"/>
    <x v="1"/>
    <x v="2"/>
    <n v="0.55248289283696406"/>
    <x v="0"/>
  </r>
  <r>
    <n v="1588"/>
    <s v="GENERAL PATIENT"/>
    <d v="2022-10-29T00:00:00"/>
    <x v="1"/>
    <d v="2022-10-31T00:00:00"/>
    <d v="2022-10-31T00:00:00"/>
    <n v="22029281"/>
    <n v="2238053"/>
    <n v="1001805516"/>
    <s v="MOTIA RANI"/>
    <x v="830"/>
    <n v="14977"/>
    <n v="56680"/>
    <n v="56680"/>
    <n v="0"/>
    <x v="0"/>
    <x v="1"/>
    <n v="1"/>
    <x v="4"/>
  </r>
  <r>
    <n v="1589"/>
    <s v="Aditya Birla Health Insurance Co. Limited"/>
    <d v="2022-10-10T00:00:00"/>
    <x v="1"/>
    <d v="2022-10-15T00:00:00"/>
    <d v="2022-10-15T00:00:00"/>
    <n v="22027236"/>
    <n v="2235389"/>
    <n v="10013500129"/>
    <s v="NARENDER KUMAR"/>
    <x v="831"/>
    <n v="4857"/>
    <n v="298294"/>
    <n v="5509"/>
    <n v="292785"/>
    <x v="1"/>
    <x v="1"/>
    <n v="1.8468356721891826E-2"/>
    <x v="2"/>
  </r>
  <r>
    <n v="1590"/>
    <s v="GENERAL PATIENT"/>
    <d v="2022-09-23T00:00:00"/>
    <x v="0"/>
    <d v="2022-10-04T00:00:00"/>
    <d v="2022-10-04T00:00:00"/>
    <n v="22025530"/>
    <n v="2233146"/>
    <n v="10013539985"/>
    <s v="VINAY KUMAR  GUPTA"/>
    <x v="832"/>
    <n v="106325"/>
    <n v="555927"/>
    <n v="555927"/>
    <n v="0"/>
    <x v="0"/>
    <x v="13"/>
    <n v="1"/>
    <x v="0"/>
  </r>
  <r>
    <n v="1591"/>
    <s v=" CGHS Cash"/>
    <d v="2022-10-20T00:00:00"/>
    <x v="1"/>
    <d v="2022-10-20T00:00:00"/>
    <d v="2022-10-20T00:00:00"/>
    <n v="22027935"/>
    <n v="2236774"/>
    <n v="1001797549"/>
    <s v="ASHOK KUMAR"/>
    <x v="43"/>
    <n v="0"/>
    <n v="1610"/>
    <n v="1610"/>
    <n v="0"/>
    <x v="0"/>
    <x v="6"/>
    <n v="1"/>
    <x v="13"/>
  </r>
  <r>
    <n v="1592"/>
    <s v="RAKSHA (TPA)"/>
    <d v="2022-10-07T00:00:00"/>
    <x v="1"/>
    <d v="2022-10-11T00:00:00"/>
    <d v="2022-10-11T00:00:00"/>
    <n v="22026502"/>
    <n v="2235088"/>
    <n v="10013336973"/>
    <s v="SHYAM MOHAN SHARMA"/>
    <x v="833"/>
    <n v="8742"/>
    <n v="86877"/>
    <n v="2764"/>
    <n v="84113"/>
    <x v="1"/>
    <x v="5"/>
    <n v="3.1815094904289971E-2"/>
    <x v="0"/>
  </r>
  <r>
    <n v="1593"/>
    <s v="Heritage Health TPA Private Limited"/>
    <d v="2022-10-14T00:00:00"/>
    <x v="1"/>
    <d v="2022-10-16T00:00:00"/>
    <d v="2022-10-16T00:00:00"/>
    <n v="22027339"/>
    <n v="2236016"/>
    <n v="1001804396"/>
    <s v="SUJATA FEMALE BABY"/>
    <x v="834"/>
    <n v="0"/>
    <n v="6056"/>
    <n v="6056"/>
    <n v="0"/>
    <x v="0"/>
    <x v="2"/>
    <n v="1"/>
    <x v="3"/>
  </r>
  <r>
    <n v="1594"/>
    <s v="STAR HEALTH CARE  (CREDIT)"/>
    <d v="2022-10-12T00:00:00"/>
    <x v="1"/>
    <d v="2022-10-16T00:00:00"/>
    <d v="2022-10-16T00:00:00"/>
    <n v="22027313"/>
    <n v="2235778"/>
    <n v="10013542759"/>
    <s v="LAKHI CHAND"/>
    <x v="835"/>
    <n v="12226"/>
    <n v="332144"/>
    <n v="10562"/>
    <n v="321582"/>
    <x v="1"/>
    <x v="1"/>
    <n v="3.1799460474974707E-2"/>
    <x v="4"/>
  </r>
  <r>
    <n v="1595"/>
    <s v="RAKSHA (TPA)"/>
    <d v="2022-10-03T00:00:00"/>
    <x v="1"/>
    <d v="2022-10-04T00:00:00"/>
    <d v="2022-10-04T00:00:00"/>
    <n v="22025574"/>
    <n v="2234421"/>
    <n v="10013541381"/>
    <s v="RAJ KUMAR JAIN"/>
    <x v="836"/>
    <n v="5564"/>
    <n v="33664"/>
    <n v="6085"/>
    <n v="27579"/>
    <x v="1"/>
    <x v="4"/>
    <n v="0.18075689163498099"/>
    <x v="4"/>
  </r>
  <r>
    <n v="1596"/>
    <s v="GENERAL PATIENT"/>
    <d v="2022-10-17T00:00:00"/>
    <x v="1"/>
    <d v="2022-10-20T00:00:00"/>
    <d v="2022-10-20T00:00:00"/>
    <n v="22027834"/>
    <n v="2236366"/>
    <n v="1001000708"/>
    <s v="RANBIR SINGH"/>
    <x v="837"/>
    <n v="118672"/>
    <n v="0"/>
    <n v="0"/>
    <n v="0"/>
    <x v="0"/>
    <x v="9"/>
    <e v="#DIV/0!"/>
    <x v="16"/>
  </r>
  <r>
    <n v="1597"/>
    <s v="GENERAL PATIENT"/>
    <d v="2022-10-22T00:00:00"/>
    <x v="1"/>
    <d v="2022-10-22T00:00:00"/>
    <d v="2022-10-22T00:00:00"/>
    <n v="22028221"/>
    <n v="2237043"/>
    <n v="10013542866"/>
    <s v="SAROJ MADAN"/>
    <x v="45"/>
    <n v="415"/>
    <n v="4575"/>
    <n v="4575"/>
    <n v="0"/>
    <x v="0"/>
    <x v="6"/>
    <n v="1"/>
    <x v="13"/>
  </r>
  <r>
    <n v="1598"/>
    <s v="GENERAL PATIENT"/>
    <d v="2022-10-08T00:00:00"/>
    <x v="1"/>
    <d v="2022-10-16T00:00:00"/>
    <d v="2022-10-16T00:00:00"/>
    <n v="22027327"/>
    <n v="2235113"/>
    <n v="1001801946"/>
    <s v="BANSHI LAL ARORA"/>
    <x v="312"/>
    <n v="109481"/>
    <n v="0"/>
    <n v="0"/>
    <n v="0"/>
    <x v="0"/>
    <x v="9"/>
    <e v="#DIV/0!"/>
    <x v="0"/>
  </r>
  <r>
    <n v="1599"/>
    <s v="Aditya Birla Health Insurance Co. Limited"/>
    <d v="2022-10-08T00:00:00"/>
    <x v="1"/>
    <d v="2022-10-14T00:00:00"/>
    <d v="2022-10-14T00:00:00"/>
    <n v="22026961"/>
    <n v="2235194"/>
    <n v="10013539614"/>
    <s v="PREMLATA MISHRA"/>
    <x v="838"/>
    <n v="0"/>
    <n v="197694"/>
    <n v="197694"/>
    <n v="0"/>
    <x v="0"/>
    <x v="0"/>
    <n v="1"/>
    <x v="12"/>
  </r>
  <r>
    <n v="1600"/>
    <s v="CARE HEALTH INSURANCE LIMITED"/>
    <d v="2022-10-06T00:00:00"/>
    <x v="1"/>
    <d v="2022-10-08T00:00:00"/>
    <d v="2022-10-08T00:00:00"/>
    <n v="22026104"/>
    <n v="2234933"/>
    <n v="10013541875"/>
    <s v="RAJESH BHANDARI"/>
    <x v="839"/>
    <n v="3892"/>
    <n v="47534"/>
    <n v="16231"/>
    <n v="31303"/>
    <x v="1"/>
    <x v="4"/>
    <n v="0.34146084907645052"/>
    <x v="4"/>
  </r>
  <r>
    <n v="1601"/>
    <s v="CGHS"/>
    <d v="2022-10-18T00:00:00"/>
    <x v="1"/>
    <d v="2022-10-21T00:00:00"/>
    <d v="2022-10-21T00:00:00"/>
    <n v="22028009"/>
    <n v="2236557"/>
    <n v="10013498645"/>
    <s v="C SANJU"/>
    <x v="840"/>
    <n v="0"/>
    <n v="58095"/>
    <n v="58095"/>
    <n v="0"/>
    <x v="0"/>
    <x v="1"/>
    <n v="1"/>
    <x v="0"/>
  </r>
  <r>
    <n v="1602"/>
    <s v="GENERAL PATIENT"/>
    <d v="2022-10-21T00:00:00"/>
    <x v="1"/>
    <d v="2022-10-21T00:00:00"/>
    <d v="2022-10-21T00:00:00"/>
    <n v="22028108"/>
    <n v="2236970"/>
    <n v="1001110018"/>
    <s v="RUPENDER KAUR"/>
    <x v="41"/>
    <n v="2794"/>
    <n v="0"/>
    <n v="0"/>
    <n v="0"/>
    <x v="0"/>
    <x v="9"/>
    <e v="#DIV/0!"/>
    <x v="13"/>
  </r>
  <r>
    <n v="1603"/>
    <s v="GENERAL PATIENT"/>
    <d v="2022-10-21T00:00:00"/>
    <x v="1"/>
    <d v="2022-10-21T00:00:00"/>
    <d v="2022-10-21T00:00:00"/>
    <n v="22028107"/>
    <n v="2236971"/>
    <n v="1001012376"/>
    <s v="SHOBHA"/>
    <x v="41"/>
    <n v="2794"/>
    <n v="0"/>
    <n v="0"/>
    <n v="0"/>
    <x v="0"/>
    <x v="9"/>
    <e v="#DIV/0!"/>
    <x v="13"/>
  </r>
  <r>
    <n v="1604"/>
    <s v="EAST-WEST ASSIST."/>
    <d v="2022-10-14T00:00:00"/>
    <x v="1"/>
    <d v="2022-10-16T00:00:00"/>
    <d v="2022-10-16T00:00:00"/>
    <n v="22027305"/>
    <n v="2235986"/>
    <n v="1001804313"/>
    <s v="SUDESH MADAN"/>
    <x v="841"/>
    <n v="1711"/>
    <n v="252368"/>
    <n v="79830"/>
    <n v="172538"/>
    <x v="1"/>
    <x v="4"/>
    <n v="0.3163237811449946"/>
    <x v="4"/>
  </r>
  <r>
    <n v="1605"/>
    <s v="GENERAL PATIENT"/>
    <d v="2022-10-17T00:00:00"/>
    <x v="1"/>
    <d v="2022-10-19T00:00:00"/>
    <d v="2022-10-19T00:00:00"/>
    <n v="22027669"/>
    <n v="2236357"/>
    <n v="10013543422"/>
    <s v="NAVEEN KUMAR BALI"/>
    <x v="842"/>
    <n v="16448"/>
    <n v="103070"/>
    <n v="103070"/>
    <n v="0"/>
    <x v="0"/>
    <x v="1"/>
    <n v="1"/>
    <x v="4"/>
  </r>
  <r>
    <n v="1606"/>
    <s v="MEDI ASSIST"/>
    <d v="2022-10-18T00:00:00"/>
    <x v="1"/>
    <d v="2022-10-20T00:00:00"/>
    <d v="2022-10-20T00:00:00"/>
    <n v="22027822"/>
    <n v="2236471"/>
    <n v="1001805025"/>
    <s v="ARCHANA FEMALE BABY  VERMA"/>
    <x v="843"/>
    <n v="0"/>
    <n v="10328"/>
    <n v="10328"/>
    <n v="0"/>
    <x v="0"/>
    <x v="2"/>
    <n v="1"/>
    <x v="3"/>
  </r>
  <r>
    <n v="1607"/>
    <s v="Paramount Health Services (TPA) Private Limited"/>
    <d v="2022-10-18T00:00:00"/>
    <x v="1"/>
    <d v="2022-10-19T00:00:00"/>
    <d v="2022-10-19T00:00:00"/>
    <n v="22027683"/>
    <n v="2236472"/>
    <n v="1001042263"/>
    <s v="GAGANDEEP SINGH"/>
    <x v="392"/>
    <n v="0"/>
    <n v="58790"/>
    <n v="7229"/>
    <n v="51561"/>
    <x v="1"/>
    <x v="5"/>
    <n v="0.12296308896070761"/>
    <x v="11"/>
  </r>
  <r>
    <n v="1608"/>
    <s v="Paramount Health Services (TPA) Private Limited"/>
    <d v="2022-10-18T00:00:00"/>
    <x v="1"/>
    <d v="2022-10-22T00:00:00"/>
    <d v="2022-10-22T00:00:00"/>
    <n v="22028245"/>
    <n v="2236539"/>
    <n v="10013543625"/>
    <s v="UMA SHANKAR SINGH"/>
    <x v="844"/>
    <n v="20308"/>
    <n v="142804"/>
    <n v="18297"/>
    <n v="124507"/>
    <x v="1"/>
    <x v="3"/>
    <n v="0.12812666311868015"/>
    <x v="0"/>
  </r>
  <r>
    <n v="1609"/>
    <s v="GENERAL PATIENT"/>
    <d v="2022-10-14T00:00:00"/>
    <x v="1"/>
    <d v="2022-10-22T00:00:00"/>
    <d v="2022-10-22T00:00:00"/>
    <n v="22028280"/>
    <n v="2236026"/>
    <n v="10013543054"/>
    <s v="ASHISH MISHRA"/>
    <x v="845"/>
    <n v="151396"/>
    <n v="0"/>
    <n v="0"/>
    <n v="0"/>
    <x v="0"/>
    <x v="9"/>
    <e v="#DIV/0!"/>
    <x v="0"/>
  </r>
  <r>
    <n v="1610"/>
    <s v="Paramount Health Services (TPA) Private Limited"/>
    <d v="2022-10-12T00:00:00"/>
    <x v="1"/>
    <d v="2022-10-14T00:00:00"/>
    <d v="2022-10-14T00:00:00"/>
    <n v="22026983"/>
    <n v="2235667"/>
    <n v="1001803921"/>
    <s v="NEHA MALE BABY  CHAUHAN"/>
    <x v="846"/>
    <n v="0"/>
    <n v="6160"/>
    <n v="6159"/>
    <n v="1"/>
    <x v="1"/>
    <x v="3"/>
    <n v="0.99983766233766236"/>
    <x v="3"/>
  </r>
  <r>
    <n v="1611"/>
    <s v="DGHS (DELHI GOVT.)"/>
    <d v="2022-10-12T00:00:00"/>
    <x v="1"/>
    <d v="2022-10-14T00:00:00"/>
    <d v="2022-10-14T00:00:00"/>
    <n v="22026986"/>
    <n v="2235700"/>
    <n v="1001803964"/>
    <s v="SONIA MALE BABY"/>
    <x v="847"/>
    <n v="0"/>
    <n v="3964"/>
    <n v="3964"/>
    <n v="0"/>
    <x v="0"/>
    <x v="1"/>
    <n v="1"/>
    <x v="3"/>
  </r>
  <r>
    <n v="1612"/>
    <s v="CGHS"/>
    <d v="2022-10-16T00:00:00"/>
    <x v="1"/>
    <d v="2022-10-17T00:00:00"/>
    <d v="2022-10-17T00:00:00"/>
    <n v="22027498"/>
    <n v="2236237"/>
    <n v="10013543193"/>
    <s v="BHUVI"/>
    <x v="848"/>
    <n v="0"/>
    <n v="19789"/>
    <n v="19789"/>
    <n v="0"/>
    <x v="0"/>
    <x v="1"/>
    <n v="1"/>
    <x v="14"/>
  </r>
  <r>
    <n v="1613"/>
    <s v="CGHS"/>
    <d v="2022-10-19T00:00:00"/>
    <x v="1"/>
    <d v="2022-10-21T00:00:00"/>
    <d v="2022-10-21T00:00:00"/>
    <n v="22027987"/>
    <n v="2236712"/>
    <n v="1001057384"/>
    <s v="RAMA DEVI"/>
    <x v="849"/>
    <n v="0"/>
    <n v="150789"/>
    <n v="150789"/>
    <n v="0"/>
    <x v="0"/>
    <x v="1"/>
    <n v="1"/>
    <x v="4"/>
  </r>
  <r>
    <n v="1614"/>
    <s v="RAKSHA (TPA)"/>
    <d v="2022-10-10T00:00:00"/>
    <x v="1"/>
    <d v="2022-10-11T00:00:00"/>
    <d v="2022-10-11T00:00:00"/>
    <n v="22026543"/>
    <n v="2235369"/>
    <n v="1001244914"/>
    <s v="SUBHASH SHARMA"/>
    <x v="55"/>
    <n v="225"/>
    <n v="237944"/>
    <n v="48789"/>
    <n v="189155"/>
    <x v="1"/>
    <x v="4"/>
    <n v="0.20504404397673401"/>
    <x v="4"/>
  </r>
  <r>
    <n v="1615"/>
    <s v="STAR HEALTH CARE  (CREDIT)"/>
    <d v="2022-10-21T00:00:00"/>
    <x v="1"/>
    <d v="2022-10-27T00:00:00"/>
    <d v="2022-10-27T00:00:00"/>
    <n v="22028742"/>
    <n v="2236932"/>
    <n v="10013544054"/>
    <s v="MRIGNAYANI"/>
    <x v="850"/>
    <n v="20323"/>
    <n v="124934"/>
    <n v="31121"/>
    <n v="93813"/>
    <x v="1"/>
    <x v="1"/>
    <n v="0.24909952454896186"/>
    <x v="3"/>
  </r>
  <r>
    <n v="1616"/>
    <s v="RCare Health"/>
    <d v="2022-10-22T00:00:00"/>
    <x v="1"/>
    <d v="2022-10-27T00:00:00"/>
    <d v="2022-10-27T00:00:00"/>
    <n v="22028736"/>
    <n v="2237061"/>
    <n v="1001805810"/>
    <s v="BABY OF SHIVA"/>
    <x v="851"/>
    <n v="0"/>
    <n v="105046"/>
    <n v="6434"/>
    <n v="98612"/>
    <x v="1"/>
    <x v="1"/>
    <n v="6.124935742436647E-2"/>
    <x v="3"/>
  </r>
  <r>
    <n v="1617"/>
    <s v="HDFC ERGO General Insurance Co. Ltd."/>
    <d v="2022-10-19T00:00:00"/>
    <x v="1"/>
    <d v="2022-10-20T00:00:00"/>
    <d v="2022-10-20T00:00:00"/>
    <n v="22027901"/>
    <n v="2236651"/>
    <n v="10013543739"/>
    <s v="TEJ BHAN MEHTA"/>
    <x v="852"/>
    <n v="0"/>
    <n v="241724"/>
    <n v="241723"/>
    <n v="1"/>
    <x v="1"/>
    <x v="4"/>
    <n v="0.9999958630504211"/>
    <x v="4"/>
  </r>
  <r>
    <n v="1618"/>
    <s v="GENERAL PATIENT"/>
    <d v="2022-10-21T00:00:00"/>
    <x v="1"/>
    <d v="2022-10-28T00:00:00"/>
    <d v="2022-10-28T00:00:00"/>
    <n v="22028893"/>
    <n v="2236939"/>
    <n v="10013440820"/>
    <s v="BHAJAN LAL"/>
    <x v="853"/>
    <n v="12453"/>
    <n v="115121"/>
    <n v="115121"/>
    <n v="0"/>
    <x v="0"/>
    <x v="1"/>
    <n v="1"/>
    <x v="0"/>
  </r>
  <r>
    <n v="1619"/>
    <s v="GENERAL PATIENT"/>
    <d v="2022-10-19T00:00:00"/>
    <x v="1"/>
    <d v="2022-10-22T00:00:00"/>
    <d v="2022-10-22T00:00:00"/>
    <n v="22028135"/>
    <n v="2236628"/>
    <n v="1001805245"/>
    <s v="REETIKA MALE BABY BANSAL"/>
    <x v="854"/>
    <n v="2874"/>
    <n v="19586"/>
    <n v="19586"/>
    <n v="0"/>
    <x v="0"/>
    <x v="2"/>
    <n v="1"/>
    <x v="3"/>
  </r>
  <r>
    <n v="1620"/>
    <s v="STAR HEALTH CARE  (CREDIT)"/>
    <d v="2022-10-02T00:00:00"/>
    <x v="1"/>
    <d v="2022-10-04T00:00:00"/>
    <d v="2022-10-04T00:00:00"/>
    <n v="22025533"/>
    <n v="2234300"/>
    <n v="10013541158"/>
    <s v="NITESH SAPRA"/>
    <x v="855"/>
    <n v="7156"/>
    <n v="51002"/>
    <n v="51002"/>
    <n v="0"/>
    <x v="0"/>
    <x v="2"/>
    <n v="1"/>
    <x v="0"/>
  </r>
  <r>
    <n v="1621"/>
    <s v="HARAYANA GOVT."/>
    <d v="2022-10-01T00:00:00"/>
    <x v="1"/>
    <d v="2022-10-07T00:00:00"/>
    <d v="2022-10-07T00:00:00"/>
    <n v="22025980"/>
    <n v="2234171"/>
    <n v="1001801845"/>
    <s v="REKHA MALE BABY"/>
    <x v="856"/>
    <n v="0"/>
    <n v="69492"/>
    <n v="69492"/>
    <n v="0"/>
    <x v="0"/>
    <x v="0"/>
    <n v="1"/>
    <x v="3"/>
  </r>
  <r>
    <n v="1622"/>
    <s v="CARE HEALTH INSURANCE LIMITED"/>
    <d v="2022-09-28T00:00:00"/>
    <x v="0"/>
    <d v="2022-10-04T00:00:00"/>
    <d v="2022-10-04T00:00:00"/>
    <n v="22025536"/>
    <n v="2233862"/>
    <n v="10013540730"/>
    <s v="RAJEEV KUMAR"/>
    <x v="857"/>
    <n v="0"/>
    <n v="249529"/>
    <n v="1500"/>
    <n v="248029"/>
    <x v="1"/>
    <x v="1"/>
    <n v="6.0113253369347853E-3"/>
    <x v="9"/>
  </r>
  <r>
    <n v="1623"/>
    <s v="BAJAJ ALLIANZ INSURANCE"/>
    <d v="2022-10-04T00:00:00"/>
    <x v="1"/>
    <d v="2022-10-04T00:00:00"/>
    <d v="2022-10-04T00:00:00"/>
    <n v="22025570"/>
    <n v="2234547"/>
    <n v="10013480896"/>
    <s v="MADHU BALA"/>
    <x v="858"/>
    <n v="0"/>
    <n v="25420"/>
    <n v="1680"/>
    <n v="23740"/>
    <x v="1"/>
    <x v="4"/>
    <n v="6.6089693154996063E-2"/>
    <x v="4"/>
  </r>
  <r>
    <n v="1624"/>
    <s v="CGHS ( CREDIT)"/>
    <d v="2022-10-20T00:00:00"/>
    <x v="1"/>
    <d v="2022-10-23T00:00:00"/>
    <d v="2022-10-23T00:00:00"/>
    <n v="22028404"/>
    <n v="2236763"/>
    <n v="10013335004"/>
    <s v="GIRDHARA SINGH"/>
    <x v="859"/>
    <n v="0"/>
    <n v="50509"/>
    <n v="252"/>
    <n v="50257"/>
    <x v="1"/>
    <x v="1"/>
    <n v="4.9892098437902153E-3"/>
    <x v="4"/>
  </r>
  <r>
    <n v="1625"/>
    <s v="VIPUL MED CORP PVT LTD"/>
    <d v="2022-10-20T00:00:00"/>
    <x v="1"/>
    <d v="2022-10-21T00:00:00"/>
    <d v="2022-10-21T00:00:00"/>
    <n v="22027991"/>
    <n v="2236721"/>
    <n v="10013543817"/>
    <s v="SURINDER SINGLA"/>
    <x v="55"/>
    <n v="225"/>
    <n v="237944"/>
    <n v="62067"/>
    <n v="175877"/>
    <x v="1"/>
    <x v="4"/>
    <n v="0.2608470900716135"/>
    <x v="4"/>
  </r>
  <r>
    <n v="1626"/>
    <s v="Safeway Mediclaim Services Pvt. Ltd."/>
    <d v="2022-10-22T00:00:00"/>
    <x v="1"/>
    <d v="2022-10-22T00:00:00"/>
    <d v="2022-10-22T00:00:00"/>
    <n v="22028128"/>
    <n v="2237022"/>
    <n v="10013464572"/>
    <s v="NANAK CHAND JAIN"/>
    <x v="168"/>
    <n v="1008"/>
    <n v="3832"/>
    <n v="1632"/>
    <n v="2200"/>
    <x v="1"/>
    <x v="12"/>
    <n v="0.42588726513569936"/>
    <x v="13"/>
  </r>
  <r>
    <n v="1627"/>
    <s v="GENERAL PATIENT"/>
    <d v="2022-10-22T00:00:00"/>
    <x v="1"/>
    <d v="2022-10-22T00:00:00"/>
    <d v="2022-10-22T00:00:00"/>
    <n v="22028131"/>
    <n v="2237016"/>
    <n v="1000891450"/>
    <s v="MANOJ KUMAR SINHA"/>
    <x v="59"/>
    <n v="1508"/>
    <n v="2011"/>
    <n v="2011"/>
    <n v="0"/>
    <x v="0"/>
    <x v="6"/>
    <n v="1"/>
    <x v="13"/>
  </r>
  <r>
    <n v="1628"/>
    <s v="CGHS"/>
    <d v="2022-10-08T00:00:00"/>
    <x v="1"/>
    <d v="2022-10-11T00:00:00"/>
    <d v="2022-10-11T00:00:00"/>
    <n v="22026517"/>
    <n v="2235110"/>
    <n v="10013359141"/>
    <s v="NEELAM"/>
    <x v="860"/>
    <n v="0"/>
    <n v="13896"/>
    <n v="13896"/>
    <n v="0"/>
    <x v="0"/>
    <x v="1"/>
    <n v="1"/>
    <x v="11"/>
  </r>
  <r>
    <n v="1629"/>
    <s v="HEALTH INDIA"/>
    <d v="2022-10-25T00:00:00"/>
    <x v="1"/>
    <d v="2022-10-27T00:00:00"/>
    <d v="2022-10-27T00:00:00"/>
    <n v="22028771"/>
    <n v="2237352"/>
    <n v="10013544121"/>
    <s v="RAJESH KUMAR SHARMA"/>
    <x v="861"/>
    <n v="7558"/>
    <n v="45266"/>
    <n v="6328"/>
    <n v="38938"/>
    <x v="1"/>
    <x v="3"/>
    <n v="0.1397958732823753"/>
    <x v="11"/>
  </r>
  <r>
    <n v="1630"/>
    <s v="Staff DEPENDENT"/>
    <d v="2022-10-29T00:00:00"/>
    <x v="1"/>
    <d v="2022-10-29T00:00:00"/>
    <d v="2022-10-29T00:00:00"/>
    <n v="22029129"/>
    <n v="2237961"/>
    <n v="1000915528"/>
    <s v="SHABNAM"/>
    <x v="112"/>
    <n v="3488"/>
    <n v="0"/>
    <n v="0"/>
    <n v="0"/>
    <x v="0"/>
    <x v="6"/>
    <e v="#DIV/0!"/>
    <x v="13"/>
  </r>
  <r>
    <n v="1631"/>
    <s v="GENERAL PATIENT"/>
    <d v="2022-10-28T00:00:00"/>
    <x v="1"/>
    <d v="2022-10-28T00:00:00"/>
    <d v="2022-10-28T00:00:00"/>
    <n v="22028981"/>
    <n v="2237839"/>
    <n v="1001806830"/>
    <s v="KANTI LAL GUPTA"/>
    <x v="19"/>
    <n v="0"/>
    <n v="14000"/>
    <n v="14000"/>
    <n v="0"/>
    <x v="0"/>
    <x v="6"/>
    <n v="1"/>
    <x v="4"/>
  </r>
  <r>
    <n v="1632"/>
    <s v="GENERAL PATIENT"/>
    <d v="2022-10-28T00:00:00"/>
    <x v="1"/>
    <d v="2022-10-31T00:00:00"/>
    <d v="2022-10-31T00:00:00"/>
    <n v="22029297"/>
    <n v="2237841"/>
    <n v="1001806844"/>
    <s v="MADHU MALE BABY MANISHA"/>
    <x v="862"/>
    <n v="2527"/>
    <n v="17543"/>
    <n v="17543"/>
    <n v="0"/>
    <x v="0"/>
    <x v="0"/>
    <n v="1"/>
    <x v="3"/>
  </r>
  <r>
    <n v="1633"/>
    <s v="GENERAL PATIENT"/>
    <d v="2022-10-10T00:00:00"/>
    <x v="1"/>
    <d v="2022-10-15T00:00:00"/>
    <d v="2022-10-15T00:00:00"/>
    <n v="22027161"/>
    <n v="2235461"/>
    <n v="10013542467"/>
    <s v="NIPUN GUPTA"/>
    <x v="863"/>
    <n v="10948"/>
    <n v="67058"/>
    <n v="67058"/>
    <n v="0"/>
    <x v="0"/>
    <x v="2"/>
    <n v="1"/>
    <x v="0"/>
  </r>
  <r>
    <n v="1634"/>
    <s v="ERICSON INSURANCE TPA PVT LTD"/>
    <d v="2022-10-27T00:00:00"/>
    <x v="1"/>
    <d v="2022-10-29T00:00:00"/>
    <d v="2022-10-29T00:00:00"/>
    <n v="22029045"/>
    <n v="2237727"/>
    <n v="10013544822"/>
    <s v="SHAAN KUNWAR"/>
    <x v="864"/>
    <n v="0"/>
    <n v="237884"/>
    <n v="84754"/>
    <n v="153130"/>
    <x v="1"/>
    <x v="4"/>
    <n v="0.35628289418371978"/>
    <x v="4"/>
  </r>
  <r>
    <n v="1635"/>
    <s v="GENERAL PATIENT"/>
    <d v="2022-09-28T00:00:00"/>
    <x v="0"/>
    <d v="2022-10-01T00:00:00"/>
    <d v="2022-10-01T00:00:00"/>
    <n v="22025176"/>
    <n v="2233748"/>
    <n v="1001801226"/>
    <s v="MEHAK GUPTA"/>
    <x v="865"/>
    <n v="12989"/>
    <n v="92484"/>
    <n v="92484"/>
    <n v="0"/>
    <x v="0"/>
    <x v="2"/>
    <n v="1"/>
    <x v="1"/>
  </r>
  <r>
    <n v="1636"/>
    <s v="CGHS ( CREDIT)"/>
    <d v="2022-09-29T00:00:00"/>
    <x v="0"/>
    <d v="2022-10-01T00:00:00"/>
    <d v="2022-10-01T00:00:00"/>
    <n v="22025135"/>
    <n v="2233868"/>
    <n v="10013540747"/>
    <s v="HUKAM SINGH VERMA"/>
    <x v="866"/>
    <n v="0"/>
    <n v="283141"/>
    <n v="154600"/>
    <n v="128541"/>
    <x v="1"/>
    <x v="1"/>
    <n v="0.54601770849152897"/>
    <x v="4"/>
  </r>
  <r>
    <n v="1637"/>
    <s v="CGHS ( CREDIT)"/>
    <d v="2022-10-16T00:00:00"/>
    <x v="1"/>
    <d v="2022-10-22T00:00:00"/>
    <d v="2022-10-22T00:00:00"/>
    <n v="22028301"/>
    <n v="2236263"/>
    <n v="10013543300"/>
    <s v="SHAKUNTLA DEVI"/>
    <x v="867"/>
    <n v="0"/>
    <n v="173633"/>
    <n v="7318"/>
    <n v="166315"/>
    <x v="1"/>
    <x v="1"/>
    <n v="4.2146366186151252E-2"/>
    <x v="0"/>
  </r>
  <r>
    <n v="1638"/>
    <s v="EAST-WEST ASSIST."/>
    <d v="2022-10-25T00:00:00"/>
    <x v="1"/>
    <d v="2022-10-27T00:00:00"/>
    <d v="2022-10-27T00:00:00"/>
    <n v="22028758"/>
    <n v="2237295"/>
    <n v="10013543439"/>
    <s v="REKHA GOEL"/>
    <x v="868"/>
    <n v="18564"/>
    <n v="125690"/>
    <n v="43281"/>
    <n v="82409"/>
    <x v="1"/>
    <x v="5"/>
    <n v="0.34434720343702763"/>
    <x v="12"/>
  </r>
  <r>
    <n v="1639"/>
    <s v="MD INDIA TPA PVT.LTD."/>
    <d v="2022-10-25T00:00:00"/>
    <x v="1"/>
    <d v="2022-10-27T00:00:00"/>
    <d v="2022-10-27T00:00:00"/>
    <n v="22028751"/>
    <n v="2237346"/>
    <n v="10013486605"/>
    <s v="BABITA GUPTA"/>
    <x v="869"/>
    <n v="11621"/>
    <n v="69412"/>
    <n v="4629"/>
    <n v="64783"/>
    <x v="1"/>
    <x v="5"/>
    <n v="6.6688756987264453E-2"/>
    <x v="12"/>
  </r>
  <r>
    <n v="1640"/>
    <s v=" CGHS Cash"/>
    <d v="2022-10-05T00:00:00"/>
    <x v="1"/>
    <d v="2022-10-05T00:00:00"/>
    <d v="2022-10-05T00:00:00"/>
    <n v="22025764"/>
    <n v="2234767"/>
    <n v="1001758739"/>
    <s v="HEMLATA"/>
    <x v="137"/>
    <n v="0"/>
    <n v="2560"/>
    <n v="2560"/>
    <n v="0"/>
    <x v="0"/>
    <x v="6"/>
    <n v="1"/>
    <x v="13"/>
  </r>
  <r>
    <n v="1641"/>
    <s v="GENERAL PATIENT"/>
    <d v="2022-10-01T00:00:00"/>
    <x v="1"/>
    <d v="2022-10-09T00:00:00"/>
    <d v="2022-10-09T00:00:00"/>
    <n v="22026313"/>
    <n v="2234237"/>
    <n v="10013504859"/>
    <s v="TEK CHAND ARORA"/>
    <x v="870"/>
    <n v="109592"/>
    <n v="274803"/>
    <n v="274803"/>
    <n v="0"/>
    <x v="0"/>
    <x v="13"/>
    <n v="1"/>
    <x v="11"/>
  </r>
  <r>
    <n v="1642"/>
    <s v="GENERAL PATIENT"/>
    <d v="2022-10-13T00:00:00"/>
    <x v="1"/>
    <d v="2022-10-14T00:00:00"/>
    <d v="2022-10-14T00:00:00"/>
    <n v="22027012"/>
    <n v="2235789"/>
    <n v="10013523849"/>
    <s v="PUSHPA DEVI"/>
    <x v="871"/>
    <n v="16766"/>
    <n v="325132"/>
    <n v="325132"/>
    <n v="0"/>
    <x v="0"/>
    <x v="1"/>
    <n v="1"/>
    <x v="4"/>
  </r>
  <r>
    <n v="1643"/>
    <s v="FHPL"/>
    <d v="2022-10-29T00:00:00"/>
    <x v="1"/>
    <d v="2022-10-29T00:00:00"/>
    <d v="2022-10-29T00:00:00"/>
    <n v="22029143"/>
    <n v="2237945"/>
    <n v="10013544609"/>
    <s v="NEHA GUPTA"/>
    <x v="872"/>
    <n v="0"/>
    <n v="30571"/>
    <n v="30569"/>
    <n v="2"/>
    <x v="1"/>
    <x v="6"/>
    <n v="0.99993457852212886"/>
    <x v="1"/>
  </r>
  <r>
    <n v="1644"/>
    <s v=" CGHS Cash"/>
    <d v="2022-10-29T00:00:00"/>
    <x v="1"/>
    <d v="2022-10-29T00:00:00"/>
    <d v="2022-10-29T00:00:00"/>
    <n v="22029095"/>
    <n v="2237978"/>
    <n v="1001755099"/>
    <s v="SUSHILA DEVI"/>
    <x v="137"/>
    <n v="0"/>
    <n v="2560"/>
    <n v="2560"/>
    <n v="0"/>
    <x v="0"/>
    <x v="6"/>
    <n v="1"/>
    <x v="13"/>
  </r>
  <r>
    <n v="1645"/>
    <s v=" CGHS Cash"/>
    <d v="2022-10-29T00:00:00"/>
    <x v="1"/>
    <d v="2022-10-29T00:00:00"/>
    <d v="2022-10-29T00:00:00"/>
    <n v="22029103"/>
    <n v="2237981"/>
    <n v="1001735831"/>
    <s v="MOHAN KUMARI BHATIA"/>
    <x v="137"/>
    <n v="0"/>
    <n v="2560"/>
    <n v="2560"/>
    <n v="0"/>
    <x v="0"/>
    <x v="6"/>
    <n v="1"/>
    <x v="13"/>
  </r>
  <r>
    <n v="1646"/>
    <s v="GENERAL PATIENT"/>
    <d v="2022-10-31T00:00:00"/>
    <x v="1"/>
    <d v="2022-10-31T00:00:00"/>
    <d v="2022-10-31T00:00:00"/>
    <n v="22029377"/>
    <n v="2238242"/>
    <n v="10013518452"/>
    <s v="RAJESH WADHERA"/>
    <x v="45"/>
    <n v="414"/>
    <n v="4576"/>
    <n v="4576"/>
    <n v="0"/>
    <x v="0"/>
    <x v="6"/>
    <n v="1"/>
    <x v="13"/>
  </r>
  <r>
    <n v="1647"/>
    <s v="GENERAL PATIENT"/>
    <d v="2022-10-28T00:00:00"/>
    <x v="1"/>
    <d v="2022-10-28T00:00:00"/>
    <d v="2022-10-28T00:00:00"/>
    <n v="22028847"/>
    <n v="2237768"/>
    <n v="10013451851"/>
    <s v="SHASHI JAIN"/>
    <x v="45"/>
    <n v="433"/>
    <n v="4557"/>
    <n v="4557"/>
    <n v="0"/>
    <x v="0"/>
    <x v="6"/>
    <n v="1"/>
    <x v="13"/>
  </r>
  <r>
    <n v="1648"/>
    <s v="GENERAL PATIENT"/>
    <d v="2022-10-26T00:00:00"/>
    <x v="1"/>
    <d v="2022-10-28T00:00:00"/>
    <d v="2022-10-28T00:00:00"/>
    <n v="22028882"/>
    <n v="2237484"/>
    <n v="1001806312"/>
    <s v="MANU MALE BABY BHARAJ"/>
    <x v="873"/>
    <n v="2032"/>
    <n v="12825"/>
    <n v="12825"/>
    <n v="0"/>
    <x v="0"/>
    <x v="2"/>
    <n v="1"/>
    <x v="3"/>
  </r>
  <r>
    <n v="1649"/>
    <s v=" MUNICIPAL CORPORATION OF DELHI"/>
    <d v="2022-10-28T00:00:00"/>
    <x v="1"/>
    <d v="2022-10-31T00:00:00"/>
    <d v="2022-10-31T00:00:00"/>
    <n v="22029250"/>
    <n v="2237829"/>
    <n v="1001806795"/>
    <s v="ANJALI"/>
    <x v="874"/>
    <n v="0"/>
    <n v="20864"/>
    <n v="20864"/>
    <n v="0"/>
    <x v="0"/>
    <x v="2"/>
    <n v="1"/>
    <x v="1"/>
  </r>
  <r>
    <n v="1650"/>
    <s v="GENERAL PATIENT"/>
    <d v="2022-10-17T00:00:00"/>
    <x v="1"/>
    <d v="2022-10-30T00:00:00"/>
    <d v="2022-10-30T00:00:00"/>
    <n v="22029177"/>
    <n v="2236426"/>
    <n v="10013543495"/>
    <s v="SWAMI OMKARANAND BHARTI GIRI JI MAHARAJ"/>
    <x v="875"/>
    <n v="601587"/>
    <n v="0"/>
    <n v="0"/>
    <n v="0"/>
    <x v="0"/>
    <x v="9"/>
    <e v="#DIV/0!"/>
    <x v="0"/>
  </r>
  <r>
    <n v="1651"/>
    <s v="GENERAL PATIENT"/>
    <d v="2022-10-17T00:00:00"/>
    <x v="1"/>
    <d v="2022-10-17T00:00:00"/>
    <d v="2022-10-17T00:00:00"/>
    <n v="22027501"/>
    <n v="2236371"/>
    <n v="10013440543"/>
    <s v="SHYAM"/>
    <x v="876"/>
    <n v="6104"/>
    <n v="0"/>
    <n v="0"/>
    <n v="0"/>
    <x v="0"/>
    <x v="9"/>
    <e v="#DIV/0!"/>
    <x v="13"/>
  </r>
  <r>
    <n v="1652"/>
    <s v="GENERAL PATIENT"/>
    <d v="2022-10-17T00:00:00"/>
    <x v="1"/>
    <d v="2022-10-17T00:00:00"/>
    <d v="2022-10-17T00:00:00"/>
    <n v="22027433"/>
    <n v="2236327"/>
    <n v="10013541891"/>
    <s v="MANPREET KAUR"/>
    <x v="212"/>
    <n v="286"/>
    <n v="3304"/>
    <n v="3304"/>
    <n v="0"/>
    <x v="0"/>
    <x v="6"/>
    <n v="1"/>
    <x v="13"/>
  </r>
  <r>
    <n v="1653"/>
    <s v="Staff DEPENDENT"/>
    <d v="2022-10-28T00:00:00"/>
    <x v="1"/>
    <d v="2022-10-30T00:00:00"/>
    <d v="2022-10-30T00:00:00"/>
    <n v="22029226"/>
    <n v="2237830"/>
    <n v="1001806829"/>
    <s v="JYOTI FEMALE BABY"/>
    <x v="877"/>
    <n v="15750"/>
    <n v="0"/>
    <n v="0"/>
    <n v="0"/>
    <x v="0"/>
    <x v="1"/>
    <e v="#DIV/0!"/>
    <x v="3"/>
  </r>
  <r>
    <n v="1654"/>
    <s v="GENERAL PATIENT"/>
    <d v="2022-10-25T00:00:00"/>
    <x v="1"/>
    <d v="2022-10-30T00:00:00"/>
    <d v="2022-10-30T00:00:00"/>
    <n v="22029194"/>
    <n v="2237390"/>
    <n v="10013544458"/>
    <s v="GEETA"/>
    <x v="878"/>
    <n v="24109"/>
    <n v="150054"/>
    <n v="150054"/>
    <n v="0"/>
    <x v="0"/>
    <x v="1"/>
    <n v="1"/>
    <x v="17"/>
  </r>
  <r>
    <n v="1655"/>
    <s v=" CGHS Cash"/>
    <d v="2022-10-29T00:00:00"/>
    <x v="1"/>
    <d v="2022-10-29T00:00:00"/>
    <d v="2022-10-29T00:00:00"/>
    <n v="22029098"/>
    <n v="2237968"/>
    <n v="1001797549"/>
    <s v="ASHOK KUMAR"/>
    <x v="43"/>
    <n v="0"/>
    <n v="1610"/>
    <n v="1610"/>
    <n v="0"/>
    <x v="0"/>
    <x v="6"/>
    <n v="1"/>
    <x v="13"/>
  </r>
  <r>
    <n v="1656"/>
    <s v="CGHS ( CREDIT)"/>
    <d v="2022-10-03T00:00:00"/>
    <x v="1"/>
    <d v="2022-10-10T00:00:00"/>
    <d v="2022-10-10T00:00:00"/>
    <n v="22026380"/>
    <n v="2234485"/>
    <n v="10013541425"/>
    <s v="NEELAM CHAWLA"/>
    <x v="879"/>
    <n v="0"/>
    <n v="38611"/>
    <n v="2660"/>
    <n v="35951"/>
    <x v="1"/>
    <x v="1"/>
    <n v="6.8892284582113911E-2"/>
    <x v="0"/>
  </r>
  <r>
    <n v="1657"/>
    <s v="DGHS (DELHI GOVT.)"/>
    <d v="2022-10-06T00:00:00"/>
    <x v="1"/>
    <d v="2022-10-10T00:00:00"/>
    <d v="2022-10-10T00:00:00"/>
    <n v="22026397"/>
    <n v="2234886"/>
    <n v="10013541647"/>
    <s v="RYAN ZIA ARSLAAN"/>
    <x v="880"/>
    <n v="0"/>
    <n v="27894"/>
    <n v="1040"/>
    <n v="26854"/>
    <x v="1"/>
    <x v="2"/>
    <n v="3.7284003728400371E-2"/>
    <x v="0"/>
  </r>
  <r>
    <n v="1658"/>
    <s v="RCare Health"/>
    <d v="2022-10-28T00:00:00"/>
    <x v="1"/>
    <d v="2022-10-31T00:00:00"/>
    <d v="2022-10-31T00:00:00"/>
    <n v="22029304"/>
    <n v="2237788"/>
    <n v="10013544836"/>
    <s v="PULKIT DEEPANSHU SHARMA"/>
    <x v="881"/>
    <n v="0"/>
    <n v="34249"/>
    <n v="3732"/>
    <n v="30517"/>
    <x v="1"/>
    <x v="1"/>
    <n v="0.10896668515869076"/>
    <x v="3"/>
  </r>
  <r>
    <n v="1659"/>
    <s v="AIRPORT AUTHORITY OF INDIA"/>
    <d v="2022-10-27T00:00:00"/>
    <x v="1"/>
    <d v="2022-10-31T00:00:00"/>
    <d v="2022-10-31T00:00:00"/>
    <n v="22029340"/>
    <n v="2237596"/>
    <n v="1001806464"/>
    <s v="SHIKHA DABAS"/>
    <x v="882"/>
    <n v="9313"/>
    <n v="98425"/>
    <n v="28606"/>
    <n v="69819"/>
    <x v="1"/>
    <x v="0"/>
    <n v="0.29063754127508257"/>
    <x v="1"/>
  </r>
  <r>
    <n v="1660"/>
    <s v="GENERAL PATIENT"/>
    <d v="2022-10-16T00:00:00"/>
    <x v="1"/>
    <d v="2022-10-21T00:00:00"/>
    <d v="2022-10-21T00:00:00"/>
    <n v="22028054"/>
    <n v="2236250"/>
    <n v="10013543280"/>
    <s v="DEEPAK SINGH"/>
    <x v="883"/>
    <n v="13664"/>
    <n v="114927"/>
    <n v="114927"/>
    <n v="0"/>
    <x v="0"/>
    <x v="1"/>
    <n v="1"/>
    <x v="0"/>
  </r>
  <r>
    <n v="1661"/>
    <s v="GENERAL PATIENT"/>
    <d v="2022-10-09T00:00:00"/>
    <x v="1"/>
    <d v="2022-10-10T00:00:00"/>
    <d v="2022-10-10T00:00:00"/>
    <n v="22026402"/>
    <n v="2235261"/>
    <n v="10013542262"/>
    <s v="NIDHI GILL"/>
    <x v="884"/>
    <n v="5623"/>
    <n v="42178"/>
    <n v="42178"/>
    <n v="0"/>
    <x v="0"/>
    <x v="0"/>
    <n v="1"/>
    <x v="1"/>
  </r>
  <r>
    <n v="1662"/>
    <s v="GENERAL PATIENT"/>
    <d v="2022-10-07T00:00:00"/>
    <x v="1"/>
    <d v="2022-10-15T00:00:00"/>
    <d v="2022-10-15T00:00:00"/>
    <n v="22027169"/>
    <n v="2235102"/>
    <n v="10013541417"/>
    <s v="ANAR KALI"/>
    <x v="885"/>
    <n v="79582"/>
    <n v="215727"/>
    <n v="215727"/>
    <n v="0"/>
    <x v="0"/>
    <x v="7"/>
    <n v="1"/>
    <x v="0"/>
  </r>
  <r>
    <n v="1663"/>
    <s v="Safeway Mediclaim Services Pvt. Ltd."/>
    <d v="2022-10-09T00:00:00"/>
    <x v="1"/>
    <d v="2022-10-10T00:00:00"/>
    <d v="2022-10-10T00:00:00"/>
    <n v="22026371"/>
    <n v="2235280"/>
    <n v="10013360256"/>
    <s v="VIPAN KUMAR"/>
    <x v="886"/>
    <n v="0"/>
    <n v="28470"/>
    <n v="7470"/>
    <n v="21000"/>
    <x v="1"/>
    <x v="4"/>
    <n v="0.2623814541622761"/>
    <x v="4"/>
  </r>
  <r>
    <n v="1664"/>
    <s v="HDFC ERGO General Insurance Co. Ltd."/>
    <d v="2022-10-27T00:00:00"/>
    <x v="1"/>
    <d v="2022-10-31T00:00:00"/>
    <d v="2022-10-31T00:00:00"/>
    <n v="22029271"/>
    <n v="2237678"/>
    <n v="1001806621"/>
    <s v="NARESH KUMAR"/>
    <x v="887"/>
    <n v="0"/>
    <n v="38401"/>
    <n v="1500"/>
    <n v="36901"/>
    <x v="1"/>
    <x v="1"/>
    <n v="3.9061482773886096E-2"/>
    <x v="0"/>
  </r>
  <r>
    <n v="1665"/>
    <s v="STAR HEALTH CARE  (CREDIT)"/>
    <d v="2022-10-27T00:00:00"/>
    <x v="1"/>
    <d v="2022-10-31T00:00:00"/>
    <d v="2022-10-31T00:00:00"/>
    <n v="22029321"/>
    <n v="2237680"/>
    <n v="10013463100"/>
    <s v="TARUN CHUGH"/>
    <x v="888"/>
    <n v="7357"/>
    <n v="54139"/>
    <n v="3907"/>
    <n v="50232"/>
    <x v="1"/>
    <x v="2"/>
    <n v="7.2166090988012341E-2"/>
    <x v="0"/>
  </r>
  <r>
    <n v="1666"/>
    <s v="NIVA BUPA"/>
    <d v="2022-10-18T00:00:00"/>
    <x v="1"/>
    <d v="2022-10-18T00:00:00"/>
    <d v="2022-10-18T00:00:00"/>
    <n v="22027612"/>
    <n v="2236462"/>
    <n v="1001805005"/>
    <s v="SAVITA KAPOOR"/>
    <x v="11"/>
    <n v="2100"/>
    <n v="20400"/>
    <n v="1500"/>
    <n v="18900"/>
    <x v="1"/>
    <x v="6"/>
    <n v="7.3529411764705885E-2"/>
    <x v="1"/>
  </r>
  <r>
    <n v="1667"/>
    <s v="Cholamandlam General Insurance Co. Ltd."/>
    <d v="2022-10-26T00:00:00"/>
    <x v="1"/>
    <d v="2022-10-30T00:00:00"/>
    <d v="2022-10-30T00:00:00"/>
    <n v="22029213"/>
    <n v="2237551"/>
    <n v="1001806414"/>
    <s v="LAKSHAY GUPTA"/>
    <x v="889"/>
    <n v="16132"/>
    <n v="159066"/>
    <n v="3587"/>
    <n v="155479"/>
    <x v="1"/>
    <x v="2"/>
    <n v="2.2550387889303809E-2"/>
    <x v="11"/>
  </r>
  <r>
    <n v="1668"/>
    <s v="GENERAL PATIENT"/>
    <d v="2022-10-08T00:00:00"/>
    <x v="1"/>
    <d v="2022-10-08T00:00:00"/>
    <d v="2022-10-08T00:00:00"/>
    <n v="22026159"/>
    <n v="2235161"/>
    <n v="10013507561"/>
    <s v="PUSHPA"/>
    <x v="73"/>
    <n v="286"/>
    <n v="2558"/>
    <n v="2558"/>
    <n v="0"/>
    <x v="0"/>
    <x v="6"/>
    <n v="1"/>
    <x v="13"/>
  </r>
  <r>
    <n v="1669"/>
    <s v="EAST-WEST ASSIST."/>
    <d v="2022-10-29T00:00:00"/>
    <x v="1"/>
    <d v="2022-10-31T00:00:00"/>
    <d v="2022-10-31T00:00:00"/>
    <n v="22029324"/>
    <n v="2237904"/>
    <n v="1001806887"/>
    <s v="BHAWNA"/>
    <x v="890"/>
    <n v="0"/>
    <n v="59980"/>
    <n v="9980"/>
    <n v="50000"/>
    <x v="1"/>
    <x v="5"/>
    <n v="0.1663887962654218"/>
    <x v="1"/>
  </r>
  <r>
    <n v="1670"/>
    <s v="HEALTH INDIA"/>
    <d v="2022-10-13T00:00:00"/>
    <x v="1"/>
    <d v="2022-10-18T00:00:00"/>
    <d v="2022-10-18T00:00:00"/>
    <n v="22027559"/>
    <n v="2235889"/>
    <n v="10013542898"/>
    <s v="AMIT PAL SINGH NAYYAR"/>
    <x v="891"/>
    <n v="16875"/>
    <n v="104361"/>
    <n v="5353"/>
    <n v="99008"/>
    <x v="1"/>
    <x v="2"/>
    <n v="5.129310757850155E-2"/>
    <x v="0"/>
  </r>
  <r>
    <n v="1671"/>
    <s v="MEDI ASSIST"/>
    <d v="2022-10-15T00:00:00"/>
    <x v="1"/>
    <d v="2022-10-16T00:00:00"/>
    <d v="2022-10-16T00:00:00"/>
    <n v="22027315"/>
    <n v="2236103"/>
    <n v="10013541150"/>
    <s v="RAHUL SHARMA"/>
    <x v="892"/>
    <n v="394"/>
    <n v="75148"/>
    <n v="15265"/>
    <n v="59883"/>
    <x v="1"/>
    <x v="5"/>
    <n v="0.20313248522914781"/>
    <x v="11"/>
  </r>
  <r>
    <n v="1672"/>
    <s v="MEDI ASSIST"/>
    <d v="2022-10-31T00:00:00"/>
    <x v="1"/>
    <d v="2022-10-31T00:00:00"/>
    <d v="2022-10-31T00:00:00"/>
    <n v="22029329"/>
    <n v="2238182"/>
    <n v="1000983811"/>
    <s v="LUXMI TRIVEDI"/>
    <x v="75"/>
    <n v="0"/>
    <n v="2200"/>
    <n v="440"/>
    <n v="1760"/>
    <x v="1"/>
    <x v="12"/>
    <n v="0.2"/>
    <x v="13"/>
  </r>
  <r>
    <n v="1673"/>
    <s v="GENERAL PATIENT"/>
    <d v="2022-10-31T00:00:00"/>
    <x v="1"/>
    <d v="2022-10-31T00:00:00"/>
    <d v="2022-10-31T00:00:00"/>
    <n v="22029344"/>
    <n v="2238196"/>
    <n v="1000891310"/>
    <s v="MUKESH"/>
    <x v="447"/>
    <n v="3319"/>
    <n v="0"/>
    <n v="0"/>
    <n v="0"/>
    <x v="0"/>
    <x v="9"/>
    <e v="#DIV/0!"/>
    <x v="13"/>
  </r>
  <r>
    <n v="1674"/>
    <s v="GENERAL PATIENT"/>
    <d v="2022-10-31T00:00:00"/>
    <x v="1"/>
    <d v="2022-10-31T00:00:00"/>
    <d v="2022-10-31T00:00:00"/>
    <n v="22029339"/>
    <n v="2238195"/>
    <n v="1000890994"/>
    <s v="HIMANSHU KAPOOR"/>
    <x v="112"/>
    <n v="327"/>
    <n v="3161"/>
    <n v="3161"/>
    <n v="0"/>
    <x v="0"/>
    <x v="6"/>
    <n v="1"/>
    <x v="13"/>
  </r>
  <r>
    <n v="1675"/>
    <s v="GENERAL PATIENT"/>
    <d v="2022-09-24T00:00:00"/>
    <x v="0"/>
    <d v="2022-10-02T00:00:00"/>
    <d v="2022-10-02T00:00:00"/>
    <n v="22025298"/>
    <n v="2233317"/>
    <n v="10013540205"/>
    <s v="RESHMA"/>
    <x v="893"/>
    <n v="10956"/>
    <n v="73693"/>
    <n v="73693"/>
    <n v="0"/>
    <x v="0"/>
    <x v="1"/>
    <n v="1"/>
    <x v="0"/>
  </r>
  <r>
    <n v="1676"/>
    <s v="GENERAL PATIENT"/>
    <d v="2022-10-25T00:00:00"/>
    <x v="1"/>
    <d v="2022-10-26T00:00:00"/>
    <d v="2022-10-26T00:00:00"/>
    <n v="22028626"/>
    <n v="2237353"/>
    <n v="1000946072"/>
    <s v="GAUTAM AGGARWAL"/>
    <x v="894"/>
    <n v="6199"/>
    <n v="37939"/>
    <n v="37939"/>
    <n v="0"/>
    <x v="0"/>
    <x v="1"/>
    <n v="1"/>
    <x v="4"/>
  </r>
  <r>
    <n v="1677"/>
    <s v="CGHS"/>
    <d v="2022-10-19T00:00:00"/>
    <x v="1"/>
    <d v="2022-10-19T00:00:00"/>
    <d v="2022-10-19T00:00:00"/>
    <n v="22027739"/>
    <n v="2236619"/>
    <n v="10013468645"/>
    <s v="MAYA RAM BHATT"/>
    <x v="66"/>
    <n v="0"/>
    <n v="13225"/>
    <n v="13225"/>
    <n v="0"/>
    <x v="0"/>
    <x v="0"/>
    <n v="1"/>
    <x v="4"/>
  </r>
  <r>
    <n v="1678"/>
    <s v="GENERAL PATIENT"/>
    <d v="2022-10-14T00:00:00"/>
    <x v="1"/>
    <d v="2022-10-19T00:00:00"/>
    <d v="2022-10-19T00:00:00"/>
    <n v="22027713"/>
    <n v="2235984"/>
    <n v="10013542838"/>
    <s v="SANTOSH KUMARI MEHTA"/>
    <x v="895"/>
    <n v="21936"/>
    <n v="95459"/>
    <n v="95459"/>
    <n v="0"/>
    <x v="0"/>
    <x v="1"/>
    <n v="1"/>
    <x v="0"/>
  </r>
  <r>
    <n v="1679"/>
    <s v="GENERAL PATIENT"/>
    <d v="2022-10-31T00:00:00"/>
    <x v="1"/>
    <d v="2022-10-31T00:00:00"/>
    <d v="2022-10-31T00:00:00"/>
    <n v="22029385"/>
    <n v="2238255"/>
    <n v="10013440543"/>
    <s v="SHYAM"/>
    <x v="41"/>
    <n v="2794"/>
    <n v="0"/>
    <n v="0"/>
    <n v="0"/>
    <x v="0"/>
    <x v="9"/>
    <e v="#DIV/0!"/>
    <x v="13"/>
  </r>
  <r>
    <n v="1680"/>
    <s v="HARAYANA GOVT."/>
    <d v="2022-10-04T00:00:00"/>
    <x v="1"/>
    <d v="2022-10-05T00:00:00"/>
    <d v="2022-10-05T00:00:00"/>
    <n v="22025779"/>
    <n v="2234501"/>
    <n v="10013540343"/>
    <s v="RAJE SINGH"/>
    <x v="896"/>
    <n v="0"/>
    <n v="69770"/>
    <n v="69770"/>
    <n v="0"/>
    <x v="0"/>
    <x v="1"/>
    <n v="1"/>
    <x v="5"/>
  </r>
  <r>
    <n v="1681"/>
    <s v="GOVT. OF NCT OF DELHI"/>
    <d v="2022-10-06T00:00:00"/>
    <x v="1"/>
    <d v="2022-10-06T00:00:00"/>
    <d v="2022-10-06T00:00:00"/>
    <n v="22025798"/>
    <n v="2234819"/>
    <n v="10013269857"/>
    <s v="JAI BHAGWAN"/>
    <x v="43"/>
    <n v="0"/>
    <n v="1610"/>
    <n v="1610"/>
    <n v="0"/>
    <x v="0"/>
    <x v="6"/>
    <n v="1"/>
    <x v="13"/>
  </r>
  <r>
    <n v="1682"/>
    <s v="GOVT. OF NCT OF DELHI"/>
    <d v="2022-10-06T00:00:00"/>
    <x v="1"/>
    <d v="2022-10-06T00:00:00"/>
    <d v="2022-10-06T00:00:00"/>
    <n v="22025800"/>
    <n v="2234821"/>
    <n v="10013537888"/>
    <s v="RASHMI"/>
    <x v="43"/>
    <n v="0"/>
    <n v="1610"/>
    <n v="1610"/>
    <n v="0"/>
    <x v="0"/>
    <x v="6"/>
    <n v="1"/>
    <x v="13"/>
  </r>
  <r>
    <n v="1683"/>
    <s v="CGHS"/>
    <d v="2022-10-12T00:00:00"/>
    <x v="1"/>
    <d v="2022-10-22T00:00:00"/>
    <d v="2022-10-22T00:00:00"/>
    <n v="22028216"/>
    <n v="2235715"/>
    <n v="10013497442"/>
    <s v="AMANPREET KAUR"/>
    <x v="897"/>
    <n v="0"/>
    <n v="111922"/>
    <n v="111922"/>
    <n v="0"/>
    <x v="0"/>
    <x v="0"/>
    <n v="1"/>
    <x v="1"/>
  </r>
  <r>
    <n v="1684"/>
    <s v="GENERAL PATIENT"/>
    <d v="2022-10-05T00:00:00"/>
    <x v="1"/>
    <d v="2022-10-08T00:00:00"/>
    <d v="2022-10-08T00:00:00"/>
    <n v="22026166"/>
    <n v="2234793"/>
    <n v="10013540109"/>
    <s v="LAVEENA BANSAL"/>
    <x v="898"/>
    <n v="14609"/>
    <n v="101868"/>
    <n v="101868"/>
    <n v="0"/>
    <x v="0"/>
    <x v="10"/>
    <n v="1"/>
    <x v="1"/>
  </r>
  <r>
    <n v="1685"/>
    <s v="GENERAL PATIENT"/>
    <d v="2022-10-07T00:00:00"/>
    <x v="1"/>
    <d v="2022-10-08T00:00:00"/>
    <d v="2022-10-08T00:00:00"/>
    <n v="22026133"/>
    <n v="2235005"/>
    <n v="10013464602"/>
    <s v="PAYAL GUPTA"/>
    <x v="899"/>
    <n v="1471"/>
    <n v="8334"/>
    <n v="8334"/>
    <n v="0"/>
    <x v="0"/>
    <x v="1"/>
    <n v="1"/>
    <x v="1"/>
  </r>
  <r>
    <n v="1686"/>
    <s v="Health Insurance TPA of India Ltd."/>
    <d v="2022-10-10T00:00:00"/>
    <x v="1"/>
    <d v="2022-10-10T00:00:00"/>
    <d v="2022-10-10T00:00:00"/>
    <n v="22026463"/>
    <n v="2235419"/>
    <n v="10013353354"/>
    <s v="NARENDER CHAWLA"/>
    <x v="75"/>
    <n v="0"/>
    <n v="2200"/>
    <n v="220"/>
    <n v="1980"/>
    <x v="1"/>
    <x v="12"/>
    <n v="0.1"/>
    <x v="13"/>
  </r>
  <r>
    <n v="1687"/>
    <s v="GENERAL PATIENT (MAH)"/>
    <d v="2022-10-10T00:00:00"/>
    <x v="1"/>
    <d v="2022-10-10T00:00:00"/>
    <d v="2022-10-10T00:00:00"/>
    <n v="22026472"/>
    <n v="2235434"/>
    <n v="1001087967"/>
    <s v="SUKH NAND KUMAR JAIN"/>
    <x v="59"/>
    <n v="3519"/>
    <n v="0"/>
    <n v="0"/>
    <n v="0"/>
    <x v="0"/>
    <x v="6"/>
    <e v="#DIV/0!"/>
    <x v="13"/>
  </r>
  <r>
    <n v="1688"/>
    <s v="GENERAL PATIENT"/>
    <d v="2022-10-10T00:00:00"/>
    <x v="1"/>
    <d v="2022-10-10T00:00:00"/>
    <d v="2022-10-10T00:00:00"/>
    <n v="22026471"/>
    <n v="2235433"/>
    <n v="1001130529"/>
    <s v="SANJAY KUMAR"/>
    <x v="41"/>
    <n v="2794"/>
    <n v="0"/>
    <n v="0"/>
    <n v="0"/>
    <x v="0"/>
    <x v="9"/>
    <e v="#DIV/0!"/>
    <x v="13"/>
  </r>
  <r>
    <n v="1689"/>
    <s v="GENERAL PATIENT"/>
    <d v="2022-10-09T00:00:00"/>
    <x v="1"/>
    <d v="2022-10-14T00:00:00"/>
    <d v="2022-10-14T00:00:00"/>
    <n v="22027022"/>
    <n v="2235295"/>
    <n v="10013542302"/>
    <s v="HARBANS KUMAR"/>
    <x v="900"/>
    <n v="56624"/>
    <n v="179365"/>
    <n v="179365"/>
    <n v="0"/>
    <x v="0"/>
    <x v="7"/>
    <n v="1"/>
    <x v="9"/>
  </r>
  <r>
    <n v="1690"/>
    <s v="PARK MED CLAIM LTD"/>
    <d v="2022-10-19T00:00:00"/>
    <x v="1"/>
    <d v="2022-10-31T00:00:00"/>
    <d v="2022-10-31T00:00:00"/>
    <n v="22029338"/>
    <n v="2236664"/>
    <n v="10013543768"/>
    <s v="HAMESH KUMAR BHASIN"/>
    <x v="901"/>
    <n v="49032"/>
    <n v="442172"/>
    <n v="118141"/>
    <n v="324031"/>
    <x v="1"/>
    <x v="14"/>
    <n v="0.2671833585120722"/>
    <x v="12"/>
  </r>
  <r>
    <n v="1691"/>
    <s v="Delhi Metro Rail Corporation Limited (DMRC)"/>
    <d v="2022-10-14T00:00:00"/>
    <x v="1"/>
    <d v="2022-10-19T00:00:00"/>
    <d v="2022-10-19T00:00:00"/>
    <n v="22027746"/>
    <n v="2235934"/>
    <n v="10013542931"/>
    <s v="LALITA"/>
    <x v="902"/>
    <n v="0"/>
    <n v="29819"/>
    <n v="29819"/>
    <n v="0"/>
    <x v="0"/>
    <x v="1"/>
    <n v="1"/>
    <x v="0"/>
  </r>
  <r>
    <n v="1692"/>
    <s v="CARE HEALTH INSURANCE LIMITED"/>
    <d v="2022-10-19T00:00:00"/>
    <x v="1"/>
    <d v="2022-10-22T00:00:00"/>
    <d v="2022-10-22T00:00:00"/>
    <n v="22028225"/>
    <n v="2236567"/>
    <n v="1001559796"/>
    <s v="NARESH GUPTA"/>
    <x v="903"/>
    <n v="10064"/>
    <n v="71290"/>
    <n v="3385"/>
    <n v="67905"/>
    <x v="1"/>
    <x v="1"/>
    <n v="4.7482115303689156E-2"/>
    <x v="0"/>
  </r>
  <r>
    <n v="1693"/>
    <s v="NIVA BUPA"/>
    <d v="2022-09-23T00:00:00"/>
    <x v="0"/>
    <d v="2022-10-01T00:00:00"/>
    <d v="2022-10-01T00:00:00"/>
    <n v="22025151"/>
    <n v="2233159"/>
    <n v="10013540049"/>
    <s v="TULIKA BANSAL"/>
    <x v="904"/>
    <n v="17385"/>
    <n v="148635"/>
    <n v="7050"/>
    <n v="141585"/>
    <x v="1"/>
    <x v="2"/>
    <n v="4.7431627813099203E-2"/>
    <x v="0"/>
  </r>
  <r>
    <n v="1694"/>
    <s v="CGHS ( CREDIT)"/>
    <d v="2022-09-20T00:00:00"/>
    <x v="0"/>
    <d v="2022-10-03T00:00:00"/>
    <d v="2022-10-03T00:00:00"/>
    <n v="22025412"/>
    <n v="2232777"/>
    <n v="1001332150"/>
    <s v="MANGESH"/>
    <x v="905"/>
    <n v="0"/>
    <n v="141492"/>
    <n v="2782"/>
    <n v="138710"/>
    <x v="1"/>
    <x v="1"/>
    <n v="1.9661889011392871E-2"/>
    <x v="0"/>
  </r>
  <r>
    <n v="1695"/>
    <s v="GENERAL PATIENT"/>
    <d v="2022-10-11T00:00:00"/>
    <x v="1"/>
    <d v="2022-10-12T00:00:00"/>
    <d v="2022-10-12T00:00:00"/>
    <n v="22026679"/>
    <n v="2235476"/>
    <n v="1001803131"/>
    <s v="POOJA  FEMALE BABY GUPTA"/>
    <x v="906"/>
    <n v="3188"/>
    <n v="20123"/>
    <n v="20123"/>
    <n v="0"/>
    <x v="0"/>
    <x v="1"/>
    <n v="1"/>
    <x v="3"/>
  </r>
  <r>
    <n v="1696"/>
    <s v="ICICI Lombard General Insurance"/>
    <d v="2022-10-03T00:00:00"/>
    <x v="1"/>
    <d v="2022-10-09T00:00:00"/>
    <d v="2022-10-09T00:00:00"/>
    <n v="22026274"/>
    <n v="2234457"/>
    <n v="10013541408"/>
    <s v="YUVAAN MUTHARIA"/>
    <x v="907"/>
    <n v="4228"/>
    <n v="68125"/>
    <n v="34500"/>
    <n v="33625"/>
    <x v="1"/>
    <x v="1"/>
    <n v="0.50642201834862388"/>
    <x v="3"/>
  </r>
  <r>
    <n v="1697"/>
    <s v="ERICSON INSURANCE TPA PVT LTD"/>
    <d v="2022-10-05T00:00:00"/>
    <x v="1"/>
    <d v="2022-10-10T00:00:00"/>
    <d v="2022-10-10T00:00:00"/>
    <n v="22026437"/>
    <n v="2234800"/>
    <n v="10013541675"/>
    <s v="K.S VARGHESE"/>
    <x v="908"/>
    <n v="0"/>
    <n v="104467"/>
    <n v="29165"/>
    <n v="75302"/>
    <x v="1"/>
    <x v="0"/>
    <n v="0.27917907090277311"/>
    <x v="9"/>
  </r>
  <r>
    <n v="1698"/>
    <s v="Good Health Plan Limited"/>
    <d v="2022-10-18T00:00:00"/>
    <x v="1"/>
    <d v="2022-10-19T00:00:00"/>
    <d v="2022-10-19T00:00:00"/>
    <n v="22027749"/>
    <n v="2236518"/>
    <n v="1001805083"/>
    <s v="MANOJ GROVER"/>
    <x v="909"/>
    <n v="0"/>
    <n v="290644"/>
    <n v="1500"/>
    <n v="289144"/>
    <x v="1"/>
    <x v="4"/>
    <n v="5.1609529183468438E-3"/>
    <x v="4"/>
  </r>
  <r>
    <n v="1699"/>
    <s v="GENERAL PATIENT"/>
    <d v="2022-10-09T00:00:00"/>
    <x v="1"/>
    <d v="2022-10-11T00:00:00"/>
    <d v="2022-10-11T00:00:00"/>
    <n v="22026523"/>
    <n v="2235292"/>
    <n v="10013542183"/>
    <s v="HARI OM"/>
    <x v="910"/>
    <n v="20178"/>
    <n v="70000"/>
    <n v="70000"/>
    <n v="0"/>
    <x v="0"/>
    <x v="7"/>
    <n v="1"/>
    <x v="16"/>
  </r>
  <r>
    <n v="1700"/>
    <s v=" RELIGARE HEALTH INSURANCE"/>
    <d v="2022-10-15T00:00:00"/>
    <x v="1"/>
    <d v="2022-10-21T00:00:00"/>
    <d v="2022-10-21T00:00:00"/>
    <n v="22028083"/>
    <n v="2236105"/>
    <n v="1001804446"/>
    <s v="SANJEET KUMAR"/>
    <x v="911"/>
    <n v="12207"/>
    <n v="71686"/>
    <n v="1000"/>
    <n v="70686"/>
    <x v="1"/>
    <x v="2"/>
    <n v="1.3949725190413749E-2"/>
    <x v="0"/>
  </r>
  <r>
    <n v="1701"/>
    <s v="GENERAL PATIENT"/>
    <d v="2022-10-15T00:00:00"/>
    <x v="1"/>
    <d v="2022-10-15T00:00:00"/>
    <d v="2022-10-15T00:00:00"/>
    <n v="22027118"/>
    <n v="2236081"/>
    <n v="10013533576"/>
    <s v="G. CHANDER SHEKHAR"/>
    <x v="73"/>
    <n v="308"/>
    <n v="2536"/>
    <n v="2536"/>
    <n v="0"/>
    <x v="0"/>
    <x v="6"/>
    <n v="1"/>
    <x v="13"/>
  </r>
  <r>
    <n v="1702"/>
    <s v="Safeway Mediclaim Services Pvt. Ltd."/>
    <d v="2022-10-15T00:00:00"/>
    <x v="1"/>
    <d v="2022-10-15T00:00:00"/>
    <d v="2022-10-15T00:00:00"/>
    <n v="22027141"/>
    <n v="2236104"/>
    <n v="10013464572"/>
    <s v="NANAK CHAND JAIN"/>
    <x v="168"/>
    <n v="1128"/>
    <n v="3712"/>
    <n v="1512"/>
    <n v="2200"/>
    <x v="1"/>
    <x v="12"/>
    <n v="0.40732758620689657"/>
    <x v="13"/>
  </r>
  <r>
    <n v="1703"/>
    <s v="GENERAL PATIENT"/>
    <d v="2022-10-15T00:00:00"/>
    <x v="1"/>
    <d v="2022-10-15T00:00:00"/>
    <d v="2022-10-15T00:00:00"/>
    <n v="22027146"/>
    <n v="2236097"/>
    <n v="1000891450"/>
    <s v="MANOJ KUMAR SINHA"/>
    <x v="59"/>
    <n v="1591"/>
    <n v="1928"/>
    <n v="1928"/>
    <n v="0"/>
    <x v="0"/>
    <x v="6"/>
    <n v="1"/>
    <x v="13"/>
  </r>
  <r>
    <n v="1704"/>
    <s v=" MEDI ASSIST INSURANCE TPA LTD"/>
    <d v="2022-10-08T00:00:00"/>
    <x v="1"/>
    <d v="2022-10-12T00:00:00"/>
    <d v="2022-10-12T00:00:00"/>
    <n v="22026684"/>
    <n v="2235254"/>
    <n v="1001391611"/>
    <s v="SHWETA BHATIA"/>
    <x v="912"/>
    <n v="7695"/>
    <n v="40768"/>
    <n v="5077"/>
    <n v="35691"/>
    <x v="1"/>
    <x v="5"/>
    <n v="0.12453394819466249"/>
    <x v="0"/>
  </r>
  <r>
    <n v="1705"/>
    <s v="GOVT. OF NCT OF DELHI"/>
    <d v="2022-10-13T00:00:00"/>
    <x v="1"/>
    <d v="2022-10-13T00:00:00"/>
    <d v="2022-10-13T00:00:00"/>
    <n v="22026816"/>
    <n v="2235804"/>
    <n v="10013386841"/>
    <s v="LEELA DEVI"/>
    <x v="43"/>
    <n v="0"/>
    <n v="1610"/>
    <n v="1610"/>
    <n v="0"/>
    <x v="0"/>
    <x v="6"/>
    <n v="1"/>
    <x v="13"/>
  </r>
  <r>
    <n v="1706"/>
    <s v="MEDI ASSIST"/>
    <d v="2022-10-17T00:00:00"/>
    <x v="1"/>
    <d v="2022-10-19T00:00:00"/>
    <d v="2022-10-19T00:00:00"/>
    <n v="22027699"/>
    <n v="2236305"/>
    <n v="1001804776"/>
    <s v="RUPALI MALE BABY"/>
    <x v="913"/>
    <n v="0"/>
    <n v="6956"/>
    <n v="6956"/>
    <n v="0"/>
    <x v="0"/>
    <x v="5"/>
    <n v="1"/>
    <x v="3"/>
  </r>
  <r>
    <n v="1707"/>
    <s v="CGHS"/>
    <d v="2022-09-30T00:00:00"/>
    <x v="0"/>
    <d v="2022-10-02T00:00:00"/>
    <d v="2022-10-02T00:00:00"/>
    <n v="22025300"/>
    <n v="2234045"/>
    <n v="1001801665"/>
    <s v="PUSHPA JAIN"/>
    <x v="914"/>
    <n v="0"/>
    <n v="148007"/>
    <n v="1422"/>
    <n v="146585"/>
    <x v="1"/>
    <x v="2"/>
    <n v="9.6076536920551049E-3"/>
    <x v="4"/>
  </r>
  <r>
    <n v="1708"/>
    <s v="GENERAL PATIENT"/>
    <d v="2022-10-01T00:00:00"/>
    <x v="1"/>
    <d v="2022-10-04T00:00:00"/>
    <d v="2022-10-04T00:00:00"/>
    <n v="22025580"/>
    <n v="2234287"/>
    <n v="10013541181"/>
    <s v="SUDARSHAN  KAUR"/>
    <x v="915"/>
    <n v="26032"/>
    <n v="96755"/>
    <n v="96755"/>
    <n v="0"/>
    <x v="0"/>
    <x v="1"/>
    <n v="1"/>
    <x v="4"/>
  </r>
  <r>
    <n v="1709"/>
    <s v="Good Health Plan Limited"/>
    <d v="2022-10-14T00:00:00"/>
    <x v="1"/>
    <d v="2022-10-14T00:00:00"/>
    <d v="2022-10-14T00:00:00"/>
    <n v="22027027"/>
    <n v="2235953"/>
    <n v="10013471499"/>
    <s v="MOHAN LAL KATARIA"/>
    <x v="75"/>
    <n v="0"/>
    <n v="2200"/>
    <n v="220"/>
    <n v="1980"/>
    <x v="1"/>
    <x v="12"/>
    <n v="0.1"/>
    <x v="13"/>
  </r>
  <r>
    <n v="1710"/>
    <s v="PARK MED CLAIM LTD"/>
    <d v="2022-10-14T00:00:00"/>
    <x v="1"/>
    <d v="2022-10-14T00:00:00"/>
    <d v="2022-10-14T00:00:00"/>
    <n v="22027032"/>
    <n v="2235961"/>
    <n v="1001300227"/>
    <s v="BIMLA"/>
    <x v="75"/>
    <n v="0"/>
    <n v="2200"/>
    <n v="2200"/>
    <n v="0"/>
    <x v="0"/>
    <x v="12"/>
    <n v="1"/>
    <x v="13"/>
  </r>
  <r>
    <n v="1711"/>
    <s v="Good Health Plan Limited"/>
    <d v="2022-10-14T00:00:00"/>
    <x v="1"/>
    <d v="2022-10-14T00:00:00"/>
    <d v="2022-10-14T00:00:00"/>
    <n v="22027071"/>
    <n v="2235948"/>
    <n v="1001804309"/>
    <s v="JASWANT RAI"/>
    <x v="11"/>
    <n v="0"/>
    <n v="22500"/>
    <n v="1500"/>
    <n v="21000"/>
    <x v="1"/>
    <x v="4"/>
    <n v="6.6666666666666666E-2"/>
    <x v="4"/>
  </r>
  <r>
    <n v="1712"/>
    <s v="GENERAL PATIENT"/>
    <d v="2022-10-27T00:00:00"/>
    <x v="1"/>
    <d v="2022-10-29T00:00:00"/>
    <d v="2022-10-29T00:00:00"/>
    <n v="22029048"/>
    <n v="2237623"/>
    <n v="10013358365"/>
    <s v="RAJ MONA  DEVI"/>
    <x v="916"/>
    <n v="26752"/>
    <n v="225032"/>
    <n v="225032"/>
    <n v="0"/>
    <x v="0"/>
    <x v="1"/>
    <n v="1"/>
    <x v="4"/>
  </r>
  <r>
    <n v="1713"/>
    <s v="GENERAL PATIENT"/>
    <d v="2022-10-13T00:00:00"/>
    <x v="1"/>
    <d v="2022-10-15T00:00:00"/>
    <d v="2022-10-15T00:00:00"/>
    <n v="22027170"/>
    <n v="2235826"/>
    <n v="1001167002"/>
    <s v="SHALLU KANSAL"/>
    <x v="917"/>
    <n v="9512"/>
    <n v="70970"/>
    <n v="70970"/>
    <n v="0"/>
    <x v="0"/>
    <x v="0"/>
    <n v="1"/>
    <x v="1"/>
  </r>
  <r>
    <n v="1714"/>
    <s v="MEDI ASSIST"/>
    <d v="2022-10-11T00:00:00"/>
    <x v="1"/>
    <d v="2022-10-17T00:00:00"/>
    <d v="2022-10-17T00:00:00"/>
    <n v="22027396"/>
    <n v="2235577"/>
    <n v="1001287654"/>
    <s v="BALBIR SINGH"/>
    <x v="918"/>
    <n v="11046"/>
    <n v="67462"/>
    <n v="0"/>
    <n v="67462"/>
    <x v="1"/>
    <x v="3"/>
    <n v="0"/>
    <x v="0"/>
  </r>
  <r>
    <n v="1715"/>
    <s v="GENERAL PATIENT"/>
    <d v="2022-10-17T00:00:00"/>
    <x v="1"/>
    <d v="2022-10-19T00:00:00"/>
    <d v="2022-10-19T00:00:00"/>
    <n v="22027659"/>
    <n v="2236374"/>
    <n v="1001804894"/>
    <s v="SHRESHTH"/>
    <x v="919"/>
    <n v="5476"/>
    <n v="32040"/>
    <n v="32040"/>
    <n v="0"/>
    <x v="0"/>
    <x v="7"/>
    <n v="1"/>
    <x v="3"/>
  </r>
  <r>
    <n v="1716"/>
    <s v="PARK MED CLAIM LTD"/>
    <d v="2022-10-11T00:00:00"/>
    <x v="1"/>
    <d v="2022-10-16T00:00:00"/>
    <d v="2022-10-16T00:00:00"/>
    <n v="22027354"/>
    <n v="2235595"/>
    <n v="1001734866"/>
    <s v="MANMOHAN GUPTA"/>
    <x v="920"/>
    <n v="43171"/>
    <n v="363264"/>
    <n v="35000"/>
    <n v="328264"/>
    <x v="1"/>
    <x v="3"/>
    <n v="9.6348661028893584E-2"/>
    <x v="0"/>
  </r>
  <r>
    <n v="1717"/>
    <s v="VIDAL HEALTH INSURANCE LIMITED"/>
    <d v="2022-10-05T00:00:00"/>
    <x v="1"/>
    <d v="2022-10-11T00:00:00"/>
    <d v="2022-10-11T00:00:00"/>
    <n v="22026525"/>
    <n v="2234769"/>
    <n v="1001802574"/>
    <s v="BHUSHAN"/>
    <x v="921"/>
    <n v="28679"/>
    <n v="195459"/>
    <n v="40255"/>
    <n v="155204"/>
    <x v="1"/>
    <x v="3"/>
    <n v="0.20595112018377257"/>
    <x v="11"/>
  </r>
  <r>
    <n v="1718"/>
    <s v="Heritage Health TPA Private Limited"/>
    <d v="2022-10-04T00:00:00"/>
    <x v="1"/>
    <d v="2022-10-07T00:00:00"/>
    <d v="2022-10-07T00:00:00"/>
    <n v="22025982"/>
    <n v="2234563"/>
    <n v="1001802404"/>
    <s v="MANJEET KAUR"/>
    <x v="922"/>
    <n v="11672"/>
    <n v="72765"/>
    <n v="39038"/>
    <n v="33727"/>
    <x v="1"/>
    <x v="4"/>
    <n v="0.53649419363705075"/>
    <x v="4"/>
  </r>
  <r>
    <n v="1719"/>
    <s v="GENERAL PATIENT"/>
    <d v="2022-09-28T00:00:00"/>
    <x v="0"/>
    <d v="2022-10-03T00:00:00"/>
    <d v="2022-10-03T00:00:00"/>
    <n v="22025407"/>
    <n v="2233853"/>
    <n v="10013278406"/>
    <s v="INDER PAL SHARMA"/>
    <x v="923"/>
    <n v="39811"/>
    <n v="192930"/>
    <n v="192930"/>
    <n v="0"/>
    <x v="0"/>
    <x v="2"/>
    <n v="1"/>
    <x v="0"/>
  </r>
  <r>
    <n v="1720"/>
    <s v="M.C.D"/>
    <d v="2022-10-02T00:00:00"/>
    <x v="1"/>
    <d v="2022-10-04T00:00:00"/>
    <d v="2022-10-04T00:00:00"/>
    <n v="22025540"/>
    <n v="2234318"/>
    <n v="10013524476"/>
    <s v="VIDYA  VERMA"/>
    <x v="924"/>
    <n v="0"/>
    <n v="12186"/>
    <n v="12186"/>
    <n v="0"/>
    <x v="0"/>
    <x v="0"/>
    <n v="1"/>
    <x v="9"/>
  </r>
  <r>
    <n v="1721"/>
    <s v="RAKSHA (TPA)"/>
    <d v="2022-10-02T00:00:00"/>
    <x v="1"/>
    <d v="2022-10-06T00:00:00"/>
    <d v="2022-10-06T00:00:00"/>
    <n v="22025879"/>
    <n v="2234322"/>
    <n v="1001026544"/>
    <s v="JASVINDER SINGH SETHI"/>
    <x v="925"/>
    <n v="6306"/>
    <n v="97178"/>
    <n v="25299"/>
    <n v="71879"/>
    <x v="1"/>
    <x v="3"/>
    <n v="0.26033670172261214"/>
    <x v="11"/>
  </r>
  <r>
    <n v="1722"/>
    <s v="GENERAL PATIENT"/>
    <d v="2022-10-26T00:00:00"/>
    <x v="1"/>
    <d v="2022-10-29T00:00:00"/>
    <d v="2022-10-29T00:00:00"/>
    <n v="22029027"/>
    <n v="2237520"/>
    <n v="10013544583"/>
    <s v="KAMLA DEVI"/>
    <x v="926"/>
    <n v="12193"/>
    <n v="45579"/>
    <n v="45579"/>
    <n v="0"/>
    <x v="0"/>
    <x v="1"/>
    <n v="1"/>
    <x v="9"/>
  </r>
  <r>
    <n v="1723"/>
    <s v="PARK MED CLAIM LTD"/>
    <d v="2022-10-13T00:00:00"/>
    <x v="1"/>
    <d v="2022-10-16T00:00:00"/>
    <d v="2022-10-16T00:00:00"/>
    <n v="22027332"/>
    <n v="2235809"/>
    <n v="10013542796"/>
    <s v="ISHU GOYAL"/>
    <x v="927"/>
    <n v="9927"/>
    <n v="57995"/>
    <n v="5872"/>
    <n v="52123"/>
    <x v="1"/>
    <x v="3"/>
    <n v="0.10125010776791103"/>
    <x v="3"/>
  </r>
  <r>
    <n v="1724"/>
    <s v="MEDI ASSIST"/>
    <d v="2022-10-13T00:00:00"/>
    <x v="1"/>
    <d v="2022-10-14T00:00:00"/>
    <d v="2022-10-14T00:00:00"/>
    <n v="22026998"/>
    <n v="2235827"/>
    <n v="10013531493"/>
    <s v="DINESH KUMAR GOEL"/>
    <x v="928"/>
    <n v="11647"/>
    <n v="71921"/>
    <n v="10612"/>
    <n v="61309"/>
    <x v="1"/>
    <x v="2"/>
    <n v="0.14755078488897541"/>
    <x v="23"/>
  </r>
  <r>
    <n v="1725"/>
    <s v="HDFC ERGO General Insurance Co. Ltd."/>
    <d v="2022-09-27T00:00:00"/>
    <x v="0"/>
    <d v="2022-10-06T00:00:00"/>
    <d v="2022-10-06T00:00:00"/>
    <n v="22025845"/>
    <n v="2233653"/>
    <n v="10013540537"/>
    <s v="VANSH VERMA"/>
    <x v="929"/>
    <n v="0"/>
    <n v="117175"/>
    <n v="0"/>
    <n v="117175"/>
    <x v="1"/>
    <x v="0"/>
    <n v="0"/>
    <x v="0"/>
  </r>
  <r>
    <n v="1726"/>
    <s v=" MEDI ASSIST INSURANCE TPA LTD"/>
    <d v="2022-10-03T00:00:00"/>
    <x v="1"/>
    <d v="2022-10-05T00:00:00"/>
    <d v="2022-10-05T00:00:00"/>
    <n v="22025677"/>
    <n v="2234348"/>
    <n v="1001624136"/>
    <s v="SWATI KUMARI"/>
    <x v="930"/>
    <n v="236"/>
    <n v="33614"/>
    <n v="1175"/>
    <n v="32439"/>
    <x v="1"/>
    <x v="3"/>
    <n v="3.4955673231391683E-2"/>
    <x v="1"/>
  </r>
  <r>
    <n v="1727"/>
    <s v="GENERAL PATIENT"/>
    <d v="2022-10-11T00:00:00"/>
    <x v="1"/>
    <d v="2022-10-11T00:00:00"/>
    <d v="2022-10-11T00:00:00"/>
    <n v="22026643"/>
    <n v="2235604"/>
    <n v="1001327108"/>
    <s v="POOJA"/>
    <x v="41"/>
    <n v="2794"/>
    <n v="0"/>
    <n v="0"/>
    <n v="0"/>
    <x v="0"/>
    <x v="9"/>
    <e v="#DIV/0!"/>
    <x v="13"/>
  </r>
  <r>
    <n v="1728"/>
    <s v="GENERAL PATIENT"/>
    <d v="2022-10-17T00:00:00"/>
    <x v="1"/>
    <d v="2022-10-17T00:00:00"/>
    <d v="2022-10-17T00:00:00"/>
    <n v="22027415"/>
    <n v="2236311"/>
    <n v="10013543360"/>
    <s v="SUNITA BHUTANI"/>
    <x v="19"/>
    <n v="0"/>
    <n v="14000"/>
    <n v="14000"/>
    <n v="0"/>
    <x v="0"/>
    <x v="6"/>
    <n v="1"/>
    <x v="4"/>
  </r>
  <r>
    <n v="1729"/>
    <s v="GENERAL PATIENT"/>
    <d v="2022-10-17T00:00:00"/>
    <x v="1"/>
    <d v="2022-10-17T00:00:00"/>
    <d v="2022-10-17T00:00:00"/>
    <n v="22027428"/>
    <n v="2236312"/>
    <n v="1001804807"/>
    <s v="JAI BHAGWAN AGGARWAL"/>
    <x v="19"/>
    <n v="0"/>
    <n v="14000"/>
    <n v="14000"/>
    <n v="0"/>
    <x v="0"/>
    <x v="6"/>
    <n v="1"/>
    <x v="4"/>
  </r>
  <r>
    <n v="1730"/>
    <s v="HDFC ERGO General Insurance Co. Ltd."/>
    <d v="2022-10-06T00:00:00"/>
    <x v="1"/>
    <d v="2022-10-07T00:00:00"/>
    <d v="2022-10-07T00:00:00"/>
    <n v="22026026"/>
    <n v="2234899"/>
    <n v="10013541841"/>
    <s v="ANGELINA JOSEPH"/>
    <x v="931"/>
    <n v="0"/>
    <n v="28241"/>
    <n v="25000"/>
    <n v="3241"/>
    <x v="1"/>
    <x v="1"/>
    <n v="0.88523777486632904"/>
    <x v="0"/>
  </r>
  <r>
    <n v="1731"/>
    <s v="HDFC ERGO General Insurance Co. Ltd."/>
    <d v="2022-09-30T00:00:00"/>
    <x v="0"/>
    <d v="2022-10-05T00:00:00"/>
    <d v="2022-10-05T00:00:00"/>
    <n v="22025684"/>
    <n v="2234060"/>
    <n v="1001328801"/>
    <s v="NARESH GOEL"/>
    <x v="932"/>
    <n v="10524"/>
    <n v="125438"/>
    <n v="2452"/>
    <n v="122986"/>
    <x v="1"/>
    <x v="4"/>
    <n v="1.9547505540585788E-2"/>
    <x v="4"/>
  </r>
  <r>
    <n v="1732"/>
    <s v="IFFCO TOKIO GENERAL INSURANCE COMPANY LIMITED"/>
    <d v="2022-10-26T00:00:00"/>
    <x v="1"/>
    <d v="2022-10-29T00:00:00"/>
    <d v="2022-10-29T00:00:00"/>
    <n v="22029099"/>
    <n v="2237552"/>
    <n v="10013541658"/>
    <s v="SAKSHI JAIN"/>
    <x v="933"/>
    <n v="0"/>
    <n v="92625"/>
    <n v="32625"/>
    <n v="60000"/>
    <x v="1"/>
    <x v="2"/>
    <n v="0.35222672064777327"/>
    <x v="1"/>
  </r>
  <r>
    <n v="1733"/>
    <s v="GOVT OF NCT OF DELHI CREDIT"/>
    <d v="2022-10-21T00:00:00"/>
    <x v="1"/>
    <d v="2022-10-21T00:00:00"/>
    <d v="2022-10-21T00:00:00"/>
    <n v="22028050"/>
    <n v="2236894"/>
    <n v="10013487696"/>
    <s v="SANTOSH GROVER"/>
    <x v="43"/>
    <n v="0"/>
    <n v="1610"/>
    <n v="1610"/>
    <n v="0"/>
    <x v="0"/>
    <x v="6"/>
    <n v="1"/>
    <x v="13"/>
  </r>
  <r>
    <n v="1734"/>
    <s v="GENERAL PATIENT"/>
    <d v="2022-10-27T00:00:00"/>
    <x v="1"/>
    <d v="2022-10-27T00:00:00"/>
    <d v="2022-10-27T00:00:00"/>
    <n v="22028841"/>
    <n v="2237706"/>
    <n v="1001491648"/>
    <s v="SURESH"/>
    <x v="41"/>
    <n v="2794"/>
    <n v="0"/>
    <n v="0"/>
    <n v="0"/>
    <x v="0"/>
    <x v="9"/>
    <e v="#DIV/0!"/>
    <x v="13"/>
  </r>
  <r>
    <n v="1735"/>
    <s v="GENERAL PATIENT"/>
    <d v="2022-09-28T00:00:00"/>
    <x v="0"/>
    <d v="2022-10-03T00:00:00"/>
    <d v="2022-10-03T00:00:00"/>
    <n v="22025387"/>
    <n v="2233704"/>
    <n v="10013540567"/>
    <s v="SHANTI DEVI"/>
    <x v="934"/>
    <n v="40524"/>
    <n v="82481"/>
    <n v="82481"/>
    <n v="0"/>
    <x v="0"/>
    <x v="7"/>
    <n v="1"/>
    <x v="9"/>
  </r>
  <r>
    <n v="1736"/>
    <s v=" ADITYA BIRLA HEALTH INSURANCE CO. LIMITED"/>
    <d v="2022-10-15T00:00:00"/>
    <x v="1"/>
    <d v="2022-10-29T00:00:00"/>
    <d v="2022-10-29T00:00:00"/>
    <n v="22029111"/>
    <n v="2236140"/>
    <n v="1001804477"/>
    <s v="KUNAL KUMAR"/>
    <x v="935"/>
    <n v="10436"/>
    <n v="580135"/>
    <n v="2500"/>
    <n v="577635"/>
    <x v="1"/>
    <x v="1"/>
    <n v="4.3093417911348221E-3"/>
    <x v="0"/>
  </r>
  <r>
    <n v="1737"/>
    <s v="Health Insurance TPA of India Ltd."/>
    <d v="2022-10-14T00:00:00"/>
    <x v="1"/>
    <d v="2022-10-15T00:00:00"/>
    <d v="2022-10-15T00:00:00"/>
    <n v="22027143"/>
    <n v="2235904"/>
    <n v="10013542510"/>
    <s v="VAIBHAV GUSIA"/>
    <x v="936"/>
    <n v="0"/>
    <n v="87619"/>
    <n v="3000"/>
    <n v="84619"/>
    <x v="1"/>
    <x v="14"/>
    <n v="3.4239149043015782E-2"/>
    <x v="11"/>
  </r>
  <r>
    <n v="1738"/>
    <s v="STAR HEALTH CARE  (CREDIT)"/>
    <d v="2022-10-07T00:00:00"/>
    <x v="1"/>
    <d v="2022-10-15T00:00:00"/>
    <d v="2022-10-15T00:00:00"/>
    <n v="22027134"/>
    <n v="2235003"/>
    <n v="1001803008"/>
    <s v="AMIT TULI"/>
    <x v="937"/>
    <n v="23170"/>
    <n v="206464"/>
    <n v="9496"/>
    <n v="196968"/>
    <x v="1"/>
    <x v="1"/>
    <n v="4.5993490390576562E-2"/>
    <x v="0"/>
  </r>
  <r>
    <n v="1739"/>
    <s v="GOVT. OF NCT OF DELHI"/>
    <d v="2022-10-17T00:00:00"/>
    <x v="1"/>
    <d v="2022-10-17T00:00:00"/>
    <d v="2022-10-17T00:00:00"/>
    <n v="22027361"/>
    <n v="2236276"/>
    <n v="10013537888"/>
    <s v="RASHMI"/>
    <x v="43"/>
    <n v="0"/>
    <n v="1610"/>
    <n v="1610"/>
    <n v="0"/>
    <x v="0"/>
    <x v="6"/>
    <n v="1"/>
    <x v="13"/>
  </r>
  <r>
    <n v="1740"/>
    <s v="GENERAL PATIENT"/>
    <d v="2022-10-17T00:00:00"/>
    <x v="1"/>
    <d v="2022-10-17T00:00:00"/>
    <d v="2022-10-17T00:00:00"/>
    <n v="22027369"/>
    <n v="2236292"/>
    <n v="1001542684"/>
    <s v="RAJEEV KUMAR GOEL"/>
    <x v="45"/>
    <n v="413"/>
    <n v="4577"/>
    <n v="4577"/>
    <n v="0"/>
    <x v="0"/>
    <x v="6"/>
    <n v="1"/>
    <x v="13"/>
  </r>
  <r>
    <n v="1741"/>
    <s v="GENERAL PATIENT"/>
    <d v="2022-10-06T00:00:00"/>
    <x v="1"/>
    <d v="2022-10-08T00:00:00"/>
    <d v="2022-10-08T00:00:00"/>
    <n v="22026176"/>
    <n v="2234836"/>
    <n v="10013504361"/>
    <s v="KUMARI PRIYANKA"/>
    <x v="938"/>
    <n v="9539"/>
    <n v="72666"/>
    <n v="72666"/>
    <n v="0"/>
    <x v="0"/>
    <x v="0"/>
    <n v="1"/>
    <x v="1"/>
  </r>
  <r>
    <n v="1742"/>
    <s v="CGHS"/>
    <d v="2022-10-08T00:00:00"/>
    <x v="1"/>
    <d v="2022-10-08T00:00:00"/>
    <d v="2022-10-08T00:00:00"/>
    <n v="22026078"/>
    <n v="2235136"/>
    <n v="10013530699"/>
    <s v="SONIKA BAGGA"/>
    <x v="43"/>
    <n v="0"/>
    <n v="1610"/>
    <n v="1610"/>
    <n v="0"/>
    <x v="0"/>
    <x v="6"/>
    <n v="1"/>
    <x v="13"/>
  </r>
  <r>
    <n v="1743"/>
    <s v="GENERAL PATIENT"/>
    <d v="2022-10-08T00:00:00"/>
    <x v="1"/>
    <d v="2022-10-08T00:00:00"/>
    <d v="2022-10-08T00:00:00"/>
    <n v="22026081"/>
    <n v="2235132"/>
    <n v="10013407139"/>
    <s v="SITO DEVI"/>
    <x v="73"/>
    <n v="286"/>
    <n v="2558"/>
    <n v="2558"/>
    <n v="0"/>
    <x v="0"/>
    <x v="6"/>
    <n v="1"/>
    <x v="13"/>
  </r>
  <r>
    <n v="1744"/>
    <s v="STAR HEALTH CARE  (CREDIT)"/>
    <d v="2022-10-19T00:00:00"/>
    <x v="1"/>
    <d v="2022-10-23T00:00:00"/>
    <d v="2022-10-23T00:00:00"/>
    <n v="22028366"/>
    <n v="2236685"/>
    <n v="1000850707"/>
    <s v="AJENDER NARAYAN DUTT"/>
    <x v="939"/>
    <n v="10609"/>
    <n v="92343"/>
    <n v="3551"/>
    <n v="88792"/>
    <x v="1"/>
    <x v="1"/>
    <n v="3.8454457836544186E-2"/>
    <x v="0"/>
  </r>
  <r>
    <n v="1745"/>
    <s v="MEDI ASSIST"/>
    <d v="2022-10-20T00:00:00"/>
    <x v="1"/>
    <d v="2022-10-20T00:00:00"/>
    <d v="2022-10-20T00:00:00"/>
    <n v="22027893"/>
    <n v="2236782"/>
    <n v="1000983811"/>
    <s v="LUXMI TRIVEDI"/>
    <x v="75"/>
    <n v="0"/>
    <n v="2200"/>
    <n v="440"/>
    <n v="1760"/>
    <x v="1"/>
    <x v="12"/>
    <n v="0.2"/>
    <x v="13"/>
  </r>
  <r>
    <n v="1746"/>
    <s v="DELHI TRANSPORT CORPORATION"/>
    <d v="2022-10-19T00:00:00"/>
    <x v="1"/>
    <d v="2022-10-20T00:00:00"/>
    <d v="2022-10-20T00:00:00"/>
    <n v="22027900"/>
    <n v="2236601"/>
    <n v="1001659755"/>
    <s v="MAMAN SINGH"/>
    <x v="940"/>
    <n v="0"/>
    <n v="231206"/>
    <n v="231206"/>
    <n v="0"/>
    <x v="0"/>
    <x v="4"/>
    <n v="1"/>
    <x v="4"/>
  </r>
  <r>
    <n v="1747"/>
    <s v="CGHS ( CREDIT)"/>
    <d v="2022-10-12T00:00:00"/>
    <x v="1"/>
    <d v="2022-10-17T00:00:00"/>
    <d v="2022-10-17T00:00:00"/>
    <n v="22027431"/>
    <n v="2235727"/>
    <n v="1001611207"/>
    <s v="CHANDRAWATI DEVI"/>
    <x v="941"/>
    <n v="0"/>
    <n v="85259"/>
    <n v="1344"/>
    <n v="83915"/>
    <x v="1"/>
    <x v="1"/>
    <n v="1.5763731688150224E-2"/>
    <x v="0"/>
  </r>
  <r>
    <n v="1748"/>
    <s v="GENERAL PATIENT"/>
    <d v="2022-10-30T00:00:00"/>
    <x v="1"/>
    <d v="2022-10-31T00:00:00"/>
    <d v="2022-10-31T00:00:00"/>
    <n v="22029380"/>
    <n v="2238101"/>
    <n v="10013545217"/>
    <s v="GAURAV MAHAMNA"/>
    <x v="942"/>
    <n v="34099"/>
    <n v="74549"/>
    <n v="74549"/>
    <n v="0"/>
    <x v="0"/>
    <x v="13"/>
    <n v="1"/>
    <x v="2"/>
  </r>
  <r>
    <n v="1749"/>
    <s v="GENERAL PATIENT"/>
    <d v="2022-10-17T00:00:00"/>
    <x v="1"/>
    <d v="2022-10-17T00:00:00"/>
    <d v="2022-10-17T00:00:00"/>
    <n v="22027398"/>
    <n v="2236299"/>
    <n v="1001666089"/>
    <s v="PRADEEP BISHT"/>
    <x v="127"/>
    <n v="500"/>
    <n v="2180"/>
    <n v="2180"/>
    <n v="0"/>
    <x v="0"/>
    <x v="6"/>
    <n v="1"/>
    <x v="13"/>
  </r>
  <r>
    <n v="1750"/>
    <s v="Heritage Health TPA Private Limited"/>
    <d v="2022-10-09T00:00:00"/>
    <x v="1"/>
    <d v="2022-10-11T00:00:00"/>
    <d v="2022-10-11T00:00:00"/>
    <n v="22026559"/>
    <n v="2235275"/>
    <n v="1001803407"/>
    <s v="PRIYANKA FEMALE BABY  JAIN"/>
    <x v="943"/>
    <n v="0"/>
    <n v="8108"/>
    <n v="8108"/>
    <n v="0"/>
    <x v="0"/>
    <x v="2"/>
    <n v="1"/>
    <x v="3"/>
  </r>
  <r>
    <n v="1751"/>
    <s v="Safeway Mediclaim Services Pvt. Ltd."/>
    <d v="2022-10-09T00:00:00"/>
    <x v="1"/>
    <d v="2022-10-11T00:00:00"/>
    <d v="2022-10-11T00:00:00"/>
    <n v="22026505"/>
    <n v="2235305"/>
    <n v="10013435347"/>
    <s v="SUKHDEV SINGH"/>
    <x v="944"/>
    <n v="7349"/>
    <n v="52648"/>
    <n v="5909"/>
    <n v="46739"/>
    <x v="1"/>
    <x v="3"/>
    <n v="0.11223598237349947"/>
    <x v="0"/>
  </r>
  <r>
    <n v="1752"/>
    <s v="GENERAL PATIENT"/>
    <d v="2022-10-06T00:00:00"/>
    <x v="1"/>
    <d v="2022-10-06T00:00:00"/>
    <d v="2022-10-06T00:00:00"/>
    <n v="22025921"/>
    <n v="2234955"/>
    <n v="1001130529"/>
    <s v="SANJAY KUMAR"/>
    <x v="41"/>
    <n v="2794"/>
    <n v="0"/>
    <n v="0"/>
    <n v="0"/>
    <x v="0"/>
    <x v="9"/>
    <e v="#DIV/0!"/>
    <x v="13"/>
  </r>
  <r>
    <n v="1753"/>
    <s v="MEDI ASSIST"/>
    <d v="2022-10-03T00:00:00"/>
    <x v="1"/>
    <d v="2022-10-06T00:00:00"/>
    <d v="2022-10-06T00:00:00"/>
    <n v="22025874"/>
    <n v="2234461"/>
    <n v="10013457023"/>
    <s v="SHUBHA CHHABRA"/>
    <x v="208"/>
    <n v="0"/>
    <n v="60320"/>
    <n v="2520"/>
    <n v="57800"/>
    <x v="1"/>
    <x v="5"/>
    <n v="4.1777188328912467E-2"/>
    <x v="1"/>
  </r>
  <r>
    <n v="1754"/>
    <s v="CGHS ( CREDIT)"/>
    <d v="2022-10-03T00:00:00"/>
    <x v="1"/>
    <d v="2022-10-07T00:00:00"/>
    <d v="2022-10-07T00:00:00"/>
    <n v="22025950"/>
    <n v="2234401"/>
    <n v="10013537562"/>
    <s v="MUKESH DEVI"/>
    <x v="945"/>
    <n v="0"/>
    <n v="24794"/>
    <n v="300"/>
    <n v="24494"/>
    <x v="1"/>
    <x v="1"/>
    <n v="1.209970154069533E-2"/>
    <x v="1"/>
  </r>
  <r>
    <n v="1755"/>
    <s v=" CGHS Cash"/>
    <d v="2022-10-20T00:00:00"/>
    <x v="1"/>
    <d v="2022-10-20T00:00:00"/>
    <d v="2022-10-20T00:00:00"/>
    <n v="22027931"/>
    <n v="2236769"/>
    <n v="1001755099"/>
    <s v="SUSHILA DEVI"/>
    <x v="137"/>
    <n v="0"/>
    <n v="2560"/>
    <n v="2560"/>
    <n v="0"/>
    <x v="0"/>
    <x v="6"/>
    <n v="1"/>
    <x v="13"/>
  </r>
  <r>
    <n v="1756"/>
    <s v="GENERAL PATIENT"/>
    <d v="2022-10-21T00:00:00"/>
    <x v="1"/>
    <d v="2022-10-22T00:00:00"/>
    <d v="2022-10-22T00:00:00"/>
    <n v="22028163"/>
    <n v="2236928"/>
    <n v="1001188262"/>
    <s v="ASHA DEVI"/>
    <x v="946"/>
    <n v="7582"/>
    <n v="37605"/>
    <n v="37605"/>
    <n v="0"/>
    <x v="0"/>
    <x v="1"/>
    <n v="1"/>
    <x v="4"/>
  </r>
  <r>
    <n v="1757"/>
    <s v="GENERAL PATIENT"/>
    <d v="2022-10-20T00:00:00"/>
    <x v="1"/>
    <d v="2022-10-22T00:00:00"/>
    <d v="2022-10-22T00:00:00"/>
    <n v="22028189"/>
    <n v="2236828"/>
    <n v="1001805513"/>
    <s v="JAGDISH  K BABLANI"/>
    <x v="947"/>
    <n v="10402"/>
    <n v="37077"/>
    <n v="37077"/>
    <n v="0"/>
    <x v="0"/>
    <x v="0"/>
    <n v="1"/>
    <x v="0"/>
  </r>
  <r>
    <n v="1758"/>
    <s v="HDFC ERGO General Insurance Co. Ltd."/>
    <d v="2022-10-12T00:00:00"/>
    <x v="1"/>
    <d v="2022-10-14T00:00:00"/>
    <d v="2022-10-14T00:00:00"/>
    <n v="22026997"/>
    <n v="2235731"/>
    <n v="1001803998"/>
    <s v="HARJIT KAUR"/>
    <x v="948"/>
    <n v="0"/>
    <n v="205108"/>
    <n v="1500"/>
    <n v="203608"/>
    <x v="1"/>
    <x v="4"/>
    <n v="7.3132203522046921E-3"/>
    <x v="4"/>
  </r>
  <r>
    <n v="1759"/>
    <s v="GENERAL PATIENT"/>
    <d v="2022-10-12T00:00:00"/>
    <x v="1"/>
    <d v="2022-10-13T00:00:00"/>
    <d v="2022-10-13T00:00:00"/>
    <n v="22026850"/>
    <n v="2235712"/>
    <n v="1001803960"/>
    <s v="TULSI"/>
    <x v="949"/>
    <n v="1250"/>
    <n v="13064"/>
    <n v="13064"/>
    <n v="0"/>
    <x v="0"/>
    <x v="1"/>
    <n v="1"/>
    <x v="2"/>
  </r>
  <r>
    <n v="1760"/>
    <s v="CGHS ( CREDIT)"/>
    <d v="2022-10-10T00:00:00"/>
    <x v="1"/>
    <d v="2022-10-13T00:00:00"/>
    <d v="2022-10-13T00:00:00"/>
    <n v="22026930"/>
    <n v="2235383"/>
    <n v="10013474403"/>
    <s v="SHAKUNTLA DEVI"/>
    <x v="950"/>
    <n v="0"/>
    <n v="32549"/>
    <n v="50"/>
    <n v="32499"/>
    <x v="1"/>
    <x v="0"/>
    <n v="1.5361455037021107E-3"/>
    <x v="4"/>
  </r>
  <r>
    <n v="1761"/>
    <s v="GENERAL PATIENT"/>
    <d v="2022-10-12T00:00:00"/>
    <x v="1"/>
    <d v="2022-10-13T00:00:00"/>
    <d v="2022-10-13T00:00:00"/>
    <n v="22026849"/>
    <n v="2235726"/>
    <n v="10013542734"/>
    <s v="ABDUL QAYYOOM"/>
    <x v="166"/>
    <n v="9680"/>
    <n v="174474"/>
    <n v="174474"/>
    <n v="0"/>
    <x v="0"/>
    <x v="1"/>
    <n v="1"/>
    <x v="4"/>
  </r>
  <r>
    <n v="1762"/>
    <s v="STAR HEALTH CARE  (CREDIT)"/>
    <d v="2022-09-29T00:00:00"/>
    <x v="0"/>
    <d v="2022-10-02T00:00:00"/>
    <d v="2022-10-02T00:00:00"/>
    <n v="22025295"/>
    <n v="2233992"/>
    <n v="10013539033"/>
    <s v="SEEMA MAHESHWARI"/>
    <x v="951"/>
    <n v="11262"/>
    <n v="75473"/>
    <n v="75473"/>
    <n v="0"/>
    <x v="0"/>
    <x v="0"/>
    <n v="1"/>
    <x v="0"/>
  </r>
  <r>
    <n v="1763"/>
    <s v="ICICI PRUDENTIAL LIFE INSURANCE CO. LIMITED"/>
    <d v="2022-10-03T00:00:00"/>
    <x v="1"/>
    <d v="2022-10-08T00:00:00"/>
    <d v="2022-10-08T00:00:00"/>
    <n v="22026135"/>
    <n v="2234403"/>
    <n v="10013541352"/>
    <s v="ADITYA SHARMA"/>
    <x v="952"/>
    <n v="0"/>
    <n v="126668"/>
    <n v="4812"/>
    <n v="121856"/>
    <x v="1"/>
    <x v="1"/>
    <n v="3.7989073799223165E-2"/>
    <x v="9"/>
  </r>
  <r>
    <n v="1764"/>
    <s v="NIVA BUPA"/>
    <d v="2022-10-06T00:00:00"/>
    <x v="1"/>
    <d v="2022-10-08T00:00:00"/>
    <d v="2022-10-08T00:00:00"/>
    <n v="22026111"/>
    <n v="2234812"/>
    <n v="10013541390"/>
    <s v="YOUGITA SALWAN"/>
    <x v="953"/>
    <n v="17600"/>
    <n v="160626"/>
    <n v="1573"/>
    <n v="159053"/>
    <x v="1"/>
    <x v="2"/>
    <n v="9.7929351412598207E-3"/>
    <x v="1"/>
  </r>
  <r>
    <n v="1765"/>
    <s v="Health Insurance TPA of India Ltd."/>
    <d v="2022-10-06T00:00:00"/>
    <x v="1"/>
    <d v="2022-10-08T00:00:00"/>
    <d v="2022-10-08T00:00:00"/>
    <n v="22026102"/>
    <n v="2234880"/>
    <n v="1001802826"/>
    <s v="SHALLU RANI"/>
    <x v="954"/>
    <n v="0"/>
    <n v="91619"/>
    <n v="19756"/>
    <n v="71863"/>
    <x v="1"/>
    <x v="5"/>
    <n v="0.21563212870692761"/>
    <x v="7"/>
  </r>
  <r>
    <n v="1766"/>
    <s v=" RAKSHA TPA PVT.LTD."/>
    <d v="2022-10-28T00:00:00"/>
    <x v="1"/>
    <d v="2022-10-31T00:00:00"/>
    <d v="2022-10-31T00:00:00"/>
    <n v="22029319"/>
    <n v="2237895"/>
    <n v="1001806875"/>
    <s v="LALITA"/>
    <x v="955"/>
    <n v="5745"/>
    <n v="30959"/>
    <n v="2459"/>
    <n v="28500"/>
    <x v="1"/>
    <x v="0"/>
    <n v="7.9427630091411225E-2"/>
    <x v="0"/>
  </r>
  <r>
    <n v="1767"/>
    <s v="GENERAL PATIENT"/>
    <d v="2022-10-01T00:00:00"/>
    <x v="1"/>
    <d v="2022-10-02T00:00:00"/>
    <d v="2022-10-02T00:00:00"/>
    <n v="22025324"/>
    <n v="2234263"/>
    <n v="1001801938"/>
    <s v="ISHANT YADAV"/>
    <x v="956"/>
    <n v="19222"/>
    <n v="29000"/>
    <n v="29000"/>
    <n v="0"/>
    <x v="0"/>
    <x v="7"/>
    <n v="1"/>
    <x v="2"/>
  </r>
  <r>
    <n v="1768"/>
    <s v="MEDI ASSIST"/>
    <d v="2022-10-22T00:00:00"/>
    <x v="1"/>
    <d v="2022-10-23T00:00:00"/>
    <d v="2022-10-23T00:00:00"/>
    <n v="22028323"/>
    <n v="2236993"/>
    <n v="1001805718"/>
    <s v="BAVNEET FEMALE BABY KAUR"/>
    <x v="957"/>
    <n v="0"/>
    <n v="3036"/>
    <n v="3036"/>
    <n v="0"/>
    <x v="0"/>
    <x v="2"/>
    <n v="1"/>
    <x v="3"/>
  </r>
  <r>
    <n v="1769"/>
    <s v="GENERAL PATIENT"/>
    <d v="2022-10-23T00:00:00"/>
    <x v="1"/>
    <d v="2022-10-23T00:00:00"/>
    <d v="2022-10-23T00:00:00"/>
    <n v="22028315"/>
    <n v="2237133"/>
    <n v="10013424453"/>
    <s v="ASHWANI KUMAR GUPTA"/>
    <x v="45"/>
    <n v="413"/>
    <n v="4577"/>
    <n v="4577"/>
    <n v="0"/>
    <x v="0"/>
    <x v="6"/>
    <n v="1"/>
    <x v="13"/>
  </r>
  <r>
    <n v="1770"/>
    <s v="GENERAL PATIENT"/>
    <d v="2022-10-01T00:00:00"/>
    <x v="1"/>
    <d v="2022-10-04T00:00:00"/>
    <d v="2022-10-04T00:00:00"/>
    <n v="22025506"/>
    <n v="2234220"/>
    <n v="10013230808"/>
    <s v="HARISH CHANDER GUPTA"/>
    <x v="958"/>
    <n v="11780"/>
    <n v="43569"/>
    <n v="43569"/>
    <n v="0"/>
    <x v="0"/>
    <x v="1"/>
    <n v="1"/>
    <x v="0"/>
  </r>
  <r>
    <n v="1771"/>
    <s v="ICICI Lombard General Insurance"/>
    <d v="2022-10-25T00:00:00"/>
    <x v="1"/>
    <d v="2022-10-26T00:00:00"/>
    <d v="2022-10-26T00:00:00"/>
    <n v="22028630"/>
    <n v="2237256"/>
    <n v="1001806005"/>
    <s v="DALMEET SINGH"/>
    <x v="959"/>
    <n v="18338"/>
    <n v="231719"/>
    <n v="23969"/>
    <n v="207750"/>
    <x v="1"/>
    <x v="2"/>
    <n v="0.10343994234395971"/>
    <x v="6"/>
  </r>
  <r>
    <n v="1772"/>
    <s v="GENERAL PATIENT"/>
    <d v="2022-10-25T00:00:00"/>
    <x v="1"/>
    <d v="2022-10-25T00:00:00"/>
    <d v="2022-10-25T00:00:00"/>
    <n v="22028492"/>
    <n v="2237259"/>
    <n v="1001002708"/>
    <s v="SAKSHI GUPTA"/>
    <x v="960"/>
    <n v="24699"/>
    <n v="9500"/>
    <n v="9500"/>
    <n v="0"/>
    <x v="1"/>
    <x v="1"/>
    <n v="1"/>
    <x v="0"/>
  </r>
  <r>
    <n v="1773"/>
    <s v=" RELIGARE HEALTH INSURANCE"/>
    <d v="2022-10-18T00:00:00"/>
    <x v="1"/>
    <d v="2022-10-20T00:00:00"/>
    <d v="2022-10-20T00:00:00"/>
    <n v="22027883"/>
    <n v="2236495"/>
    <n v="1001804753"/>
    <s v="TUSHAR MORYA"/>
    <x v="961"/>
    <n v="0"/>
    <n v="60076"/>
    <n v="2350"/>
    <n v="57726"/>
    <x v="1"/>
    <x v="2"/>
    <n v="3.9117118316798719E-2"/>
    <x v="11"/>
  </r>
  <r>
    <n v="1774"/>
    <s v="GENERAL PATIENT"/>
    <d v="2022-10-07T00:00:00"/>
    <x v="1"/>
    <d v="2022-10-07T00:00:00"/>
    <d v="2022-10-07T00:00:00"/>
    <n v="22025984"/>
    <n v="2235024"/>
    <n v="10013527702"/>
    <s v="RAJENDER TAYAL"/>
    <x v="45"/>
    <n v="419"/>
    <n v="4571"/>
    <n v="4571"/>
    <n v="0"/>
    <x v="0"/>
    <x v="6"/>
    <n v="1"/>
    <x v="13"/>
  </r>
  <r>
    <n v="1775"/>
    <s v="STAR HEALTH CARE  (CREDIT)"/>
    <d v="2022-10-02T00:00:00"/>
    <x v="1"/>
    <d v="2022-10-08T00:00:00"/>
    <d v="2022-10-08T00:00:00"/>
    <n v="22026106"/>
    <n v="2234328"/>
    <n v="10013505295"/>
    <s v="PAWAN KUMAR"/>
    <x v="962"/>
    <n v="17704"/>
    <n v="109997"/>
    <n v="30717"/>
    <n v="79280"/>
    <x v="1"/>
    <x v="2"/>
    <n v="0.27925307053828741"/>
    <x v="0"/>
  </r>
  <r>
    <n v="1776"/>
    <s v="GENERAL PATIENT"/>
    <d v="2022-10-06T00:00:00"/>
    <x v="1"/>
    <d v="2022-10-11T00:00:00"/>
    <d v="2022-10-11T00:00:00"/>
    <n v="22026591"/>
    <n v="2234940"/>
    <n v="1001802888"/>
    <s v="ROBERT"/>
    <x v="963"/>
    <n v="9942"/>
    <n v="60069"/>
    <n v="60069"/>
    <n v="0"/>
    <x v="0"/>
    <x v="1"/>
    <n v="1"/>
    <x v="0"/>
  </r>
  <r>
    <n v="1777"/>
    <s v="VIDAL HEALTH INSURANCE LIMITED"/>
    <d v="2022-10-14T00:00:00"/>
    <x v="1"/>
    <d v="2022-10-22T00:00:00"/>
    <d v="2022-10-22T00:00:00"/>
    <n v="22028196"/>
    <n v="2235991"/>
    <n v="1001004077"/>
    <s v="PRAMOD KUMAR"/>
    <x v="964"/>
    <n v="45000"/>
    <n v="365847"/>
    <n v="53906"/>
    <n v="311941"/>
    <x v="1"/>
    <x v="3"/>
    <n v="0.14734574835928679"/>
    <x v="0"/>
  </r>
  <r>
    <n v="1778"/>
    <s v="Delhi Tourism &amp; Transportation Development Corp.Ltd."/>
    <d v="2022-09-29T00:00:00"/>
    <x v="0"/>
    <d v="2022-10-01T00:00:00"/>
    <d v="2022-10-01T00:00:00"/>
    <n v="22025109"/>
    <n v="2233882"/>
    <n v="10013538729"/>
    <s v="SAROJ BALA"/>
    <x v="965"/>
    <n v="0"/>
    <n v="15592"/>
    <n v="15592"/>
    <n v="0"/>
    <x v="0"/>
    <x v="1"/>
    <n v="1"/>
    <x v="5"/>
  </r>
  <r>
    <n v="1779"/>
    <s v="GENERAL PATIENT"/>
    <d v="2022-10-25T00:00:00"/>
    <x v="1"/>
    <d v="2022-10-28T00:00:00"/>
    <d v="2022-10-28T00:00:00"/>
    <n v="22028897"/>
    <n v="2237283"/>
    <n v="10013544246"/>
    <s v="ROHIT GOEL"/>
    <x v="966"/>
    <n v="9442"/>
    <n v="68993"/>
    <n v="68993"/>
    <n v="0"/>
    <x v="0"/>
    <x v="0"/>
    <n v="1"/>
    <x v="0"/>
  </r>
  <r>
    <n v="1780"/>
    <s v="GENERAL PATIENT"/>
    <d v="2022-10-20T00:00:00"/>
    <x v="1"/>
    <d v="2022-10-21T00:00:00"/>
    <d v="2022-10-21T00:00:00"/>
    <n v="22027997"/>
    <n v="2236762"/>
    <n v="1001292178"/>
    <s v="DIKSHA GUPTA"/>
    <x v="967"/>
    <n v="3739"/>
    <n v="27733"/>
    <n v="27733"/>
    <n v="0"/>
    <x v="0"/>
    <x v="1"/>
    <n v="1"/>
    <x v="1"/>
  </r>
  <r>
    <n v="1781"/>
    <s v="GENERAL PATIENT"/>
    <d v="2022-10-14T00:00:00"/>
    <x v="1"/>
    <d v="2022-10-14T00:00:00"/>
    <d v="2022-10-14T00:00:00"/>
    <n v="22027106"/>
    <n v="2236041"/>
    <n v="1001327108"/>
    <s v="POOJA"/>
    <x v="41"/>
    <n v="2794"/>
    <n v="0"/>
    <n v="0"/>
    <n v="0"/>
    <x v="0"/>
    <x v="9"/>
    <e v="#DIV/0!"/>
    <x v="13"/>
  </r>
  <r>
    <n v="1782"/>
    <s v="GENERAL PATIENT"/>
    <d v="2022-10-14T00:00:00"/>
    <x v="1"/>
    <d v="2022-10-14T00:00:00"/>
    <d v="2022-10-14T00:00:00"/>
    <n v="22027105"/>
    <n v="2236040"/>
    <n v="1001012376"/>
    <s v="SHOBHA"/>
    <x v="41"/>
    <n v="2794"/>
    <n v="0"/>
    <n v="0"/>
    <n v="0"/>
    <x v="0"/>
    <x v="9"/>
    <e v="#DIV/0!"/>
    <x v="13"/>
  </r>
  <r>
    <n v="1783"/>
    <s v="GENERAL PATIENT"/>
    <d v="2022-10-29T00:00:00"/>
    <x v="1"/>
    <d v="2022-10-31T00:00:00"/>
    <d v="2022-10-31T00:00:00"/>
    <n v="22029282"/>
    <n v="2238023"/>
    <n v="1001807077"/>
    <s v="MEHAK HARJANI"/>
    <x v="968"/>
    <n v="2621"/>
    <n v="18533"/>
    <n v="18533"/>
    <n v="0"/>
    <x v="0"/>
    <x v="1"/>
    <n v="1"/>
    <x v="1"/>
  </r>
  <r>
    <n v="1784"/>
    <s v="VIDAL HEALTH INSURANCE LIMITED"/>
    <d v="2022-09-29T00:00:00"/>
    <x v="0"/>
    <d v="2022-10-03T00:00:00"/>
    <d v="2022-10-03T00:00:00"/>
    <n v="22025362"/>
    <n v="2233936"/>
    <n v="1001672404"/>
    <s v="O.P.GUPTA"/>
    <x v="969"/>
    <n v="16066"/>
    <n v="98012"/>
    <n v="3777"/>
    <n v="94235"/>
    <x v="1"/>
    <x v="2"/>
    <n v="3.8536097620699504E-2"/>
    <x v="9"/>
  </r>
  <r>
    <n v="1785"/>
    <s v="ICICI Lombard General Insurance"/>
    <d v="2022-10-24T00:00:00"/>
    <x v="1"/>
    <d v="2022-10-28T00:00:00"/>
    <d v="2022-10-28T00:00:00"/>
    <n v="22028855"/>
    <n v="2237208"/>
    <n v="10013478103"/>
    <s v="SEEMA RANI"/>
    <x v="970"/>
    <n v="966"/>
    <n v="69363"/>
    <n v="5749"/>
    <n v="63614"/>
    <x v="1"/>
    <x v="0"/>
    <n v="8.2882804953649636E-2"/>
    <x v="0"/>
  </r>
  <r>
    <n v="1786"/>
    <s v=" CGHS Cash"/>
    <d v="2022-10-22T00:00:00"/>
    <x v="1"/>
    <d v="2022-10-22T00:00:00"/>
    <d v="2022-10-22T00:00:00"/>
    <n v="22028138"/>
    <n v="2237018"/>
    <n v="1001758739"/>
    <s v="HEMLATA"/>
    <x v="137"/>
    <n v="0"/>
    <n v="2560"/>
    <n v="2560"/>
    <n v="0"/>
    <x v="0"/>
    <x v="6"/>
    <n v="1"/>
    <x v="13"/>
  </r>
  <r>
    <n v="1787"/>
    <s v="GENERAL PATIENT"/>
    <d v="2022-10-22T00:00:00"/>
    <x v="1"/>
    <d v="2022-10-22T00:00:00"/>
    <d v="2022-10-22T00:00:00"/>
    <n v="22028172"/>
    <n v="2236988"/>
    <n v="1001805711"/>
    <s v="KUSUM"/>
    <x v="971"/>
    <n v="1250"/>
    <n v="21541"/>
    <n v="21541"/>
    <n v="0"/>
    <x v="0"/>
    <x v="1"/>
    <n v="1"/>
    <x v="0"/>
  </r>
  <r>
    <n v="1788"/>
    <s v=" CGHS CREDIT"/>
    <d v="2022-10-11T00:00:00"/>
    <x v="1"/>
    <d v="2022-10-16T00:00:00"/>
    <d v="2022-10-16T00:00:00"/>
    <n v="22027304"/>
    <n v="2235523"/>
    <n v="1001803714"/>
    <s v="USHA JINDAL"/>
    <x v="972"/>
    <n v="0"/>
    <n v="52728"/>
    <n v="2579"/>
    <n v="50149"/>
    <x v="1"/>
    <x v="0"/>
    <n v="4.8911394325595506E-2"/>
    <x v="0"/>
  </r>
  <r>
    <n v="1789"/>
    <s v="ECHS"/>
    <d v="2022-10-27T00:00:00"/>
    <x v="1"/>
    <d v="2022-10-31T00:00:00"/>
    <d v="2022-10-31T00:00:00"/>
    <n v="22029317"/>
    <n v="2237733"/>
    <n v="10013544831"/>
    <s v="KRISHNA DEVI"/>
    <x v="973"/>
    <n v="0"/>
    <n v="52885"/>
    <n v="0"/>
    <n v="52885"/>
    <x v="1"/>
    <x v="1"/>
    <n v="0"/>
    <x v="16"/>
  </r>
  <r>
    <n v="1790"/>
    <s v="GENERAL PATIENT"/>
    <d v="2022-10-09T00:00:00"/>
    <x v="1"/>
    <d v="2022-10-12T00:00:00"/>
    <d v="2022-10-12T00:00:00"/>
    <n v="22026749"/>
    <n v="2235287"/>
    <n v="10013541538"/>
    <s v="MAKSUD AHMAD"/>
    <x v="974"/>
    <n v="25791"/>
    <n v="165314"/>
    <n v="165314"/>
    <n v="0"/>
    <x v="0"/>
    <x v="1"/>
    <n v="1"/>
    <x v="16"/>
  </r>
  <r>
    <n v="1791"/>
    <s v="GENERAL PATIENT"/>
    <d v="2022-10-04T00:00:00"/>
    <x v="1"/>
    <d v="2022-10-04T00:00:00"/>
    <d v="2022-10-04T00:00:00"/>
    <n v="22025578"/>
    <n v="2234579"/>
    <n v="10013526375"/>
    <s v="BIRBHAN GARG"/>
    <x v="45"/>
    <n v="417"/>
    <n v="4573"/>
    <n v="4573"/>
    <n v="0"/>
    <x v="0"/>
    <x v="6"/>
    <n v="1"/>
    <x v="13"/>
  </r>
  <r>
    <n v="1792"/>
    <s v="Max Bhupa Health Insurance Co Ltd."/>
    <d v="2022-10-01T00:00:00"/>
    <x v="1"/>
    <d v="2022-10-02T00:00:00"/>
    <d v="2022-10-02T00:00:00"/>
    <n v="22025316"/>
    <n v="2234157"/>
    <n v="1001801789"/>
    <s v="RINKU KUMAR"/>
    <x v="975"/>
    <n v="11433"/>
    <n v="64298"/>
    <n v="1000"/>
    <n v="63298"/>
    <x v="1"/>
    <x v="2"/>
    <n v="1.5552583284083486E-2"/>
    <x v="11"/>
  </r>
  <r>
    <n v="1793"/>
    <s v=" STAR HEALTH TPA"/>
    <d v="2022-10-01T00:00:00"/>
    <x v="1"/>
    <d v="2022-10-02T00:00:00"/>
    <d v="2022-10-02T00:00:00"/>
    <n v="22025302"/>
    <n v="2234170"/>
    <n v="1001801835"/>
    <s v="SUNIL ARORA"/>
    <x v="976"/>
    <n v="11534"/>
    <n v="112045"/>
    <n v="1000"/>
    <n v="111045"/>
    <x v="1"/>
    <x v="0"/>
    <n v="8.9249854968985673E-3"/>
    <x v="11"/>
  </r>
  <r>
    <n v="1794"/>
    <s v="EAST-WEST ASSIST."/>
    <d v="2022-10-26T00:00:00"/>
    <x v="1"/>
    <d v="2022-10-27T00:00:00"/>
    <d v="2022-10-27T00:00:00"/>
    <n v="22028818"/>
    <n v="2237510"/>
    <n v="10013544587"/>
    <s v="JAGDISH BHOLA"/>
    <x v="977"/>
    <n v="0"/>
    <n v="61746"/>
    <n v="27289"/>
    <n v="34457"/>
    <x v="1"/>
    <x v="4"/>
    <n v="0.44195575421889677"/>
    <x v="4"/>
  </r>
  <r>
    <n v="1795"/>
    <s v="GOVT. OF NCT OF DELHI"/>
    <d v="2022-10-26T00:00:00"/>
    <x v="1"/>
    <d v="2022-10-26T00:00:00"/>
    <d v="2022-10-26T00:00:00"/>
    <n v="22028637"/>
    <n v="2237492"/>
    <n v="10013362937"/>
    <s v="JAYAMANTI"/>
    <x v="43"/>
    <n v="0"/>
    <n v="1610"/>
    <n v="1610"/>
    <n v="0"/>
    <x v="0"/>
    <x v="6"/>
    <n v="1"/>
    <x v="13"/>
  </r>
  <r>
    <n v="1796"/>
    <s v="VIDAL HEALTH INSURANCE LIMITED"/>
    <d v="2022-10-05T00:00:00"/>
    <x v="1"/>
    <d v="2022-10-09T00:00:00"/>
    <d v="2022-10-09T00:00:00"/>
    <n v="22026280"/>
    <n v="2234784"/>
    <n v="10013541660"/>
    <s v="INDIRA RAI"/>
    <x v="978"/>
    <n v="9268"/>
    <n v="84253"/>
    <n v="6041"/>
    <n v="78212"/>
    <x v="1"/>
    <x v="3"/>
    <n v="7.1700710953912616E-2"/>
    <x v="0"/>
  </r>
  <r>
    <n v="1797"/>
    <s v="Staff DEPENDENT"/>
    <d v="2022-10-14T00:00:00"/>
    <x v="1"/>
    <d v="2022-10-18T00:00:00"/>
    <d v="2022-10-18T00:00:00"/>
    <n v="22027554"/>
    <n v="2235898"/>
    <n v="1001776690"/>
    <s v="DIYAAN"/>
    <x v="979"/>
    <n v="93219"/>
    <n v="0"/>
    <n v="0"/>
    <n v="0"/>
    <x v="0"/>
    <x v="9"/>
    <e v="#DIV/0!"/>
    <x v="3"/>
  </r>
  <r>
    <n v="1798"/>
    <s v="Staff DEPENDENT"/>
    <d v="2022-10-16T00:00:00"/>
    <x v="1"/>
    <d v="2022-10-18T00:00:00"/>
    <d v="2022-10-18T00:00:00"/>
    <n v="22027541"/>
    <n v="2236227"/>
    <n v="1001804647"/>
    <s v="POONAM MALE BABY SHOKEEN"/>
    <x v="980"/>
    <n v="21232"/>
    <n v="0"/>
    <n v="0"/>
    <n v="0"/>
    <x v="0"/>
    <x v="9"/>
    <e v="#DIV/0!"/>
    <x v="3"/>
  </r>
  <r>
    <n v="1799"/>
    <s v="STAR HEALTH CARE  (CREDIT)"/>
    <d v="2022-10-01T00:00:00"/>
    <x v="1"/>
    <d v="2022-10-02T00:00:00"/>
    <d v="2022-10-02T00:00:00"/>
    <n v="22025284"/>
    <n v="2234167"/>
    <n v="1001801825"/>
    <s v="JAGU NANDAN"/>
    <x v="981"/>
    <n v="0"/>
    <n v="268224"/>
    <n v="54844"/>
    <n v="213380"/>
    <x v="1"/>
    <x v="1"/>
    <n v="0.20447089000238605"/>
    <x v="4"/>
  </r>
  <r>
    <n v="1800"/>
    <s v="Health Insurance TPA of India Ltd."/>
    <d v="2022-10-01T00:00:00"/>
    <x v="1"/>
    <d v="2022-10-02T00:00:00"/>
    <d v="2022-10-02T00:00:00"/>
    <n v="22025266"/>
    <n v="2234270"/>
    <n v="10013541180"/>
    <s v="RAMNA RANI PALTA"/>
    <x v="982"/>
    <n v="0"/>
    <n v="85872"/>
    <n v="16709"/>
    <n v="69163"/>
    <x v="1"/>
    <x v="3"/>
    <n v="0.19458030557108255"/>
    <x v="0"/>
  </r>
  <r>
    <n v="1801"/>
    <s v="CGHS"/>
    <d v="2022-10-05T00:00:00"/>
    <x v="1"/>
    <d v="2022-10-07T00:00:00"/>
    <d v="2022-10-07T00:00:00"/>
    <n v="22025953"/>
    <n v="2234735"/>
    <n v="10013394103"/>
    <s v="RATNI"/>
    <x v="983"/>
    <n v="0"/>
    <n v="19939"/>
    <n v="19939"/>
    <n v="0"/>
    <x v="0"/>
    <x v="1"/>
    <n v="1"/>
    <x v="11"/>
  </r>
  <r>
    <n v="1802"/>
    <s v="GOVT. OF NCT OF DELHI"/>
    <d v="2022-10-05T00:00:00"/>
    <x v="1"/>
    <d v="2022-10-05T00:00:00"/>
    <d v="2022-10-05T00:00:00"/>
    <n v="22025789"/>
    <n v="2234798"/>
    <n v="1000915662"/>
    <s v="RAJ KUMAR"/>
    <x v="43"/>
    <n v="0"/>
    <n v="1610"/>
    <n v="1610"/>
    <n v="0"/>
    <x v="0"/>
    <x v="6"/>
    <n v="1"/>
    <x v="13"/>
  </r>
  <r>
    <n v="1803"/>
    <s v="MEDSAVE HEALTH CARE"/>
    <d v="2022-10-01T00:00:00"/>
    <x v="1"/>
    <d v="2022-10-06T00:00:00"/>
    <d v="2022-10-06T00:00:00"/>
    <n v="22025841"/>
    <n v="2234169"/>
    <n v="10013450863"/>
    <s v="NIRMAL SINGH RAJORA"/>
    <x v="984"/>
    <n v="20906"/>
    <n v="153073"/>
    <n v="42369"/>
    <n v="110704"/>
    <x v="1"/>
    <x v="5"/>
    <n v="0.27678950566069782"/>
    <x v="0"/>
  </r>
  <r>
    <n v="1804"/>
    <s v="GENERAL PATIENT"/>
    <d v="2022-09-27T00:00:00"/>
    <x v="0"/>
    <d v="2022-10-01T00:00:00"/>
    <d v="2022-10-01T00:00:00"/>
    <n v="22025148"/>
    <n v="2233673"/>
    <n v="10013540528"/>
    <s v="LALLAN"/>
    <x v="985"/>
    <n v="61782"/>
    <n v="0"/>
    <n v="0"/>
    <n v="0"/>
    <x v="0"/>
    <x v="9"/>
    <e v="#DIV/0!"/>
    <x v="0"/>
  </r>
  <r>
    <n v="1805"/>
    <s v="GENERAL PATIENT"/>
    <d v="2022-10-27T00:00:00"/>
    <x v="1"/>
    <d v="2022-10-29T00:00:00"/>
    <d v="2022-10-29T00:00:00"/>
    <n v="22029093"/>
    <n v="2237735"/>
    <n v="10013317611"/>
    <s v="ARVINDER SINGH"/>
    <x v="986"/>
    <n v="7413"/>
    <n v="35139"/>
    <n v="35139"/>
    <n v="0"/>
    <x v="0"/>
    <x v="1"/>
    <n v="1"/>
    <x v="0"/>
  </r>
  <r>
    <n v="1806"/>
    <s v="CGHS"/>
    <d v="2022-10-12T00:00:00"/>
    <x v="1"/>
    <d v="2022-10-12T00:00:00"/>
    <d v="2022-10-12T00:00:00"/>
    <n v="22026654"/>
    <n v="2235638"/>
    <n v="10013480632"/>
    <s v="MANJU GUPTA"/>
    <x v="43"/>
    <n v="0"/>
    <n v="1610"/>
    <n v="1610"/>
    <n v="0"/>
    <x v="0"/>
    <x v="6"/>
    <n v="1"/>
    <x v="13"/>
  </r>
  <r>
    <n v="1807"/>
    <s v="VIDAL HEALTH INSURANCE LIMITED"/>
    <d v="2022-10-07T00:00:00"/>
    <x v="1"/>
    <d v="2022-10-09T00:00:00"/>
    <d v="2022-10-09T00:00:00"/>
    <n v="22026265"/>
    <n v="2234975"/>
    <n v="10013430203"/>
    <s v="MEENU CHHABRA"/>
    <x v="987"/>
    <n v="2716"/>
    <n v="96339"/>
    <n v="1418"/>
    <n v="94921"/>
    <x v="1"/>
    <x v="2"/>
    <n v="1.4718857368251695E-2"/>
    <x v="1"/>
  </r>
  <r>
    <n v="1808"/>
    <s v="STAR HEALTH CARE  (CREDIT)"/>
    <d v="2022-10-06T00:00:00"/>
    <x v="1"/>
    <d v="2022-10-09T00:00:00"/>
    <d v="2022-10-09T00:00:00"/>
    <n v="22026299"/>
    <n v="2234964"/>
    <n v="1001802912"/>
    <s v="RAKESH KUMAR"/>
    <x v="988"/>
    <n v="0"/>
    <n v="96425"/>
    <n v="2925"/>
    <n v="93500"/>
    <x v="1"/>
    <x v="2"/>
    <n v="3.033445683173451E-2"/>
    <x v="11"/>
  </r>
  <r>
    <n v="1809"/>
    <s v="GENERAL PATIENT SELF (MAHT)"/>
    <d v="2022-10-28T00:00:00"/>
    <x v="1"/>
    <d v="2022-10-29T00:00:00"/>
    <d v="2022-10-29T00:00:00"/>
    <n v="22029082"/>
    <n v="2237870"/>
    <n v="10013361345"/>
    <s v="MANOJ KUMAR GUPTA"/>
    <x v="989"/>
    <n v="0"/>
    <n v="19211"/>
    <n v="19211"/>
    <n v="0"/>
    <x v="0"/>
    <x v="2"/>
    <n v="1"/>
    <x v="4"/>
  </r>
  <r>
    <n v="1810"/>
    <s v="DELHI TRANSPORT CORPORATION"/>
    <d v="2022-10-25T00:00:00"/>
    <x v="1"/>
    <d v="2022-10-29T00:00:00"/>
    <d v="2022-10-29T00:00:00"/>
    <n v="22029036"/>
    <n v="2237345"/>
    <n v="10013544394"/>
    <s v="UJJWAL"/>
    <x v="990"/>
    <n v="0"/>
    <n v="20436"/>
    <n v="20436"/>
    <n v="0"/>
    <x v="0"/>
    <x v="1"/>
    <n v="1"/>
    <x v="0"/>
  </r>
  <r>
    <n v="1811"/>
    <s v="STAFF"/>
    <d v="2022-10-01T00:00:00"/>
    <x v="1"/>
    <d v="2022-10-09T00:00:00"/>
    <d v="2022-10-09T00:00:00"/>
    <n v="22026307"/>
    <n v="2234143"/>
    <n v="1001188433"/>
    <s v="POOJA RANI"/>
    <x v="991"/>
    <n v="145813"/>
    <n v="0"/>
    <n v="0"/>
    <n v="0"/>
    <x v="0"/>
    <x v="9"/>
    <e v="#DIV/0!"/>
    <x v="0"/>
  </r>
  <r>
    <n v="1812"/>
    <s v="Paramount Health Services (TPA) Private Limited"/>
    <d v="2022-10-10T00:00:00"/>
    <x v="1"/>
    <d v="2022-10-12T00:00:00"/>
    <d v="2022-10-12T00:00:00"/>
    <n v="22026696"/>
    <n v="2235410"/>
    <n v="1001803598"/>
    <s v="SHEETAL FEMALE BABY VERMA"/>
    <x v="992"/>
    <n v="0"/>
    <n v="7925"/>
    <n v="7925"/>
    <n v="0"/>
    <x v="0"/>
    <x v="2"/>
    <n v="1"/>
    <x v="3"/>
  </r>
  <r>
    <n v="1813"/>
    <s v="VIDAL HEALTH INSURANCE LIMITED"/>
    <d v="2022-10-08T00:00:00"/>
    <x v="1"/>
    <d v="2022-10-11T00:00:00"/>
    <d v="2022-10-11T00:00:00"/>
    <n v="22026524"/>
    <n v="2235256"/>
    <n v="10013542255"/>
    <s v="YOGITA MALE BABY BHATIA"/>
    <x v="993"/>
    <n v="0"/>
    <n v="92263"/>
    <n v="92263"/>
    <n v="0"/>
    <x v="0"/>
    <x v="2"/>
    <n v="1"/>
    <x v="3"/>
  </r>
  <r>
    <n v="1814"/>
    <s v="GENERAL PATIENT (MAH)"/>
    <d v="2022-10-28T00:00:00"/>
    <x v="1"/>
    <d v="2022-10-29T00:00:00"/>
    <d v="2022-10-29T00:00:00"/>
    <n v="22029116"/>
    <n v="2237828"/>
    <n v="1000950490"/>
    <s v="RAM DEO AGGARWAL"/>
    <x v="994"/>
    <n v="19794"/>
    <n v="0"/>
    <n v="0"/>
    <n v="0"/>
    <x v="0"/>
    <x v="9"/>
    <e v="#DIV/0!"/>
    <x v="15"/>
  </r>
  <r>
    <n v="1815"/>
    <s v="GENERAL PATIENT"/>
    <d v="2022-10-03T00:00:00"/>
    <x v="1"/>
    <d v="2022-10-03T00:00:00"/>
    <d v="2022-10-03T00:00:00"/>
    <n v="22025347"/>
    <n v="2234357"/>
    <n v="1001542684"/>
    <s v="RAJEEV KUMAR GOEL"/>
    <x v="415"/>
    <n v="311"/>
    <n v="3355"/>
    <n v="3355"/>
    <n v="0"/>
    <x v="0"/>
    <x v="6"/>
    <n v="1"/>
    <x v="13"/>
  </r>
  <r>
    <n v="1816"/>
    <s v="CGHS"/>
    <d v="2022-09-30T00:00:00"/>
    <x v="0"/>
    <d v="2022-10-01T00:00:00"/>
    <d v="2022-10-01T00:00:00"/>
    <n v="22025111"/>
    <n v="2234086"/>
    <n v="1001801732"/>
    <s v="RENU FEMALE BABY SINHMAR"/>
    <x v="995"/>
    <n v="0"/>
    <n v="2466"/>
    <n v="2466"/>
    <n v="0"/>
    <x v="0"/>
    <x v="0"/>
    <n v="1"/>
    <x v="3"/>
  </r>
  <r>
    <n v="1817"/>
    <s v=" CGHS Cash"/>
    <d v="2022-10-10T00:00:00"/>
    <x v="1"/>
    <d v="2022-10-10T00:00:00"/>
    <d v="2022-10-10T00:00:00"/>
    <n v="22026464"/>
    <n v="2235435"/>
    <n v="1001758739"/>
    <s v="HEMLATA"/>
    <x v="137"/>
    <n v="0"/>
    <n v="2560"/>
    <n v="2560"/>
    <n v="0"/>
    <x v="0"/>
    <x v="6"/>
    <n v="1"/>
    <x v="13"/>
  </r>
  <r>
    <n v="1818"/>
    <s v="GENERAL PATIENT"/>
    <d v="2022-10-19T00:00:00"/>
    <x v="1"/>
    <d v="2022-10-19T00:00:00"/>
    <d v="2022-10-19T00:00:00"/>
    <n v="22027661"/>
    <n v="2236594"/>
    <n v="1000891450"/>
    <s v="MANOJ KUMAR SINHA"/>
    <x v="59"/>
    <n v="1508"/>
    <n v="2011"/>
    <n v="2011"/>
    <n v="0"/>
    <x v="0"/>
    <x v="6"/>
    <n v="1"/>
    <x v="13"/>
  </r>
  <r>
    <n v="1819"/>
    <s v="Paramount Health Services (TPA) Private Limited"/>
    <d v="2022-10-08T00:00:00"/>
    <x v="1"/>
    <d v="2022-10-12T00:00:00"/>
    <d v="2022-10-12T00:00:00"/>
    <n v="22026705"/>
    <n v="2235154"/>
    <n v="1001078378"/>
    <s v="SAVITRI"/>
    <x v="996"/>
    <n v="7777"/>
    <n v="66321"/>
    <n v="4305"/>
    <n v="62016"/>
    <x v="1"/>
    <x v="3"/>
    <n v="6.4911566472158136E-2"/>
    <x v="0"/>
  </r>
  <r>
    <n v="1820"/>
    <s v="GENERAL PATIENT"/>
    <d v="2022-10-16T00:00:00"/>
    <x v="1"/>
    <d v="2022-10-18T00:00:00"/>
    <d v="2022-10-18T00:00:00"/>
    <n v="22027546"/>
    <n v="2236218"/>
    <n v="1001804639"/>
    <s v="KANIKA DHAWAN"/>
    <x v="997"/>
    <n v="12588"/>
    <n v="86852"/>
    <n v="86852"/>
    <n v="0"/>
    <x v="0"/>
    <x v="2"/>
    <n v="1"/>
    <x v="1"/>
  </r>
  <r>
    <n v="1821"/>
    <s v="GOVT. OF NCT OF DELHI"/>
    <d v="2022-10-05T00:00:00"/>
    <x v="1"/>
    <d v="2022-10-05T00:00:00"/>
    <d v="2022-10-05T00:00:00"/>
    <n v="22025723"/>
    <n v="2234712"/>
    <n v="10013362937"/>
    <s v="JAYAMANTI"/>
    <x v="43"/>
    <n v="0"/>
    <n v="1610"/>
    <n v="1610"/>
    <n v="0"/>
    <x v="0"/>
    <x v="6"/>
    <n v="1"/>
    <x v="13"/>
  </r>
  <r>
    <n v="1822"/>
    <s v="GENERAL PATIENT"/>
    <d v="2022-10-03T00:00:00"/>
    <x v="1"/>
    <d v="2022-10-03T00:00:00"/>
    <d v="2022-10-03T00:00:00"/>
    <n v="22025392"/>
    <n v="2234399"/>
    <n v="10013541337"/>
    <s v="AMARJEET KAUR"/>
    <x v="16"/>
    <n v="0"/>
    <n v="0"/>
    <n v="0"/>
    <n v="0"/>
    <x v="0"/>
    <x v="19"/>
    <e v="#DIV/0!"/>
    <x v="0"/>
  </r>
  <r>
    <n v="1823"/>
    <s v="VIDAL HEALTH INSURANCE LIMITED"/>
    <d v="2022-10-21T00:00:00"/>
    <x v="1"/>
    <d v="2022-10-23T00:00:00"/>
    <d v="2022-10-23T00:00:00"/>
    <n v="22028320"/>
    <n v="2236934"/>
    <n v="10013391840"/>
    <s v="BAVNEET KAUR"/>
    <x v="998"/>
    <n v="0"/>
    <n v="52450"/>
    <n v="9950"/>
    <n v="42500"/>
    <x v="1"/>
    <x v="2"/>
    <n v="0.18970448045757865"/>
    <x v="1"/>
  </r>
  <r>
    <n v="1824"/>
    <s v="HDFC ERGO General Insurance Co. Ltd."/>
    <d v="2022-10-19T00:00:00"/>
    <x v="1"/>
    <d v="2022-10-22T00:00:00"/>
    <d v="2022-10-22T00:00:00"/>
    <n v="22028162"/>
    <n v="2236654"/>
    <n v="1001114920"/>
    <s v="SUSHILA  AGARWAL"/>
    <x v="999"/>
    <n v="0"/>
    <n v="58405"/>
    <n v="1500"/>
    <n v="56905"/>
    <x v="0"/>
    <x v="2"/>
    <n v="2.5682732642753187E-2"/>
    <x v="0"/>
  </r>
  <r>
    <n v="1825"/>
    <s v="GENERAL PATIENT"/>
    <d v="2022-09-29T00:00:00"/>
    <x v="0"/>
    <d v="2022-10-01T00:00:00"/>
    <d v="2022-10-01T00:00:00"/>
    <n v="22025153"/>
    <n v="2233959"/>
    <n v="10013540845"/>
    <s v="SUMIT"/>
    <x v="1000"/>
    <n v="39128"/>
    <n v="75177"/>
    <n v="75177"/>
    <n v="0"/>
    <x v="0"/>
    <x v="13"/>
    <n v="1"/>
    <x v="0"/>
  </r>
  <r>
    <n v="1826"/>
    <s v="HARAYANA GOVT."/>
    <d v="2022-10-09T00:00:00"/>
    <x v="1"/>
    <d v="2022-10-13T00:00:00"/>
    <d v="2022-10-13T00:00:00"/>
    <n v="22026869"/>
    <n v="2235294"/>
    <n v="10013525967"/>
    <s v="RAJNI DEVI"/>
    <x v="1001"/>
    <n v="0"/>
    <n v="49430"/>
    <n v="49430"/>
    <n v="0"/>
    <x v="0"/>
    <x v="1"/>
    <n v="1"/>
    <x v="1"/>
  </r>
  <r>
    <n v="1827"/>
    <s v="Staff DEPENDENT"/>
    <d v="2022-10-08T00:00:00"/>
    <x v="1"/>
    <d v="2022-10-10T00:00:00"/>
    <d v="2022-10-10T00:00:00"/>
    <n v="22026390"/>
    <n v="2235175"/>
    <n v="1001803276"/>
    <s v="KIRAN MALE BABY"/>
    <x v="1002"/>
    <n v="11855"/>
    <n v="0"/>
    <n v="0"/>
    <n v="0"/>
    <x v="0"/>
    <x v="1"/>
    <e v="#DIV/0!"/>
    <x v="3"/>
  </r>
  <r>
    <n v="1828"/>
    <s v="GENERAL PATIENT"/>
    <d v="2022-10-23T00:00:00"/>
    <x v="1"/>
    <d v="2022-10-24T00:00:00"/>
    <d v="2022-10-24T00:00:00"/>
    <n v="22028433"/>
    <n v="2237121"/>
    <n v="10013544212"/>
    <s v="RAJENDER KUMAR GOYAL"/>
    <x v="1003"/>
    <n v="3547"/>
    <n v="22947"/>
    <n v="22947"/>
    <n v="0"/>
    <x v="0"/>
    <x v="0"/>
    <n v="1"/>
    <x v="0"/>
  </r>
  <r>
    <n v="1829"/>
    <s v="STAR HEALTH CARE  (CREDIT)"/>
    <d v="2022-10-20T00:00:00"/>
    <x v="1"/>
    <d v="2022-10-24T00:00:00"/>
    <d v="2022-10-24T00:00:00"/>
    <n v="22028436"/>
    <n v="2236820"/>
    <n v="1001805498"/>
    <s v="YANA"/>
    <x v="1004"/>
    <n v="15752"/>
    <n v="92037"/>
    <n v="3729"/>
    <n v="88308"/>
    <x v="1"/>
    <x v="0"/>
    <n v="4.0516314091072071E-2"/>
    <x v="3"/>
  </r>
  <r>
    <n v="1830"/>
    <s v="Paramount Health Services (TPA) Private Limited"/>
    <d v="2022-10-12T00:00:00"/>
    <x v="1"/>
    <d v="2022-10-14T00:00:00"/>
    <d v="2022-10-14T00:00:00"/>
    <n v="22026981"/>
    <n v="2235627"/>
    <n v="10013460059"/>
    <s v="NEHA CHAUHAN"/>
    <x v="1005"/>
    <n v="0"/>
    <n v="52500"/>
    <n v="14785"/>
    <n v="37715"/>
    <x v="1"/>
    <x v="3"/>
    <n v="0.2816190476190476"/>
    <x v="1"/>
  </r>
  <r>
    <n v="1831"/>
    <s v="GENERAL PATIENT"/>
    <d v="2022-10-07T00:00:00"/>
    <x v="1"/>
    <d v="2022-10-07T00:00:00"/>
    <d v="2022-10-07T00:00:00"/>
    <n v="22026066"/>
    <n v="2235089"/>
    <n v="1001074324"/>
    <s v="RAMESH CHAND NIGAM"/>
    <x v="73"/>
    <n v="277"/>
    <n v="2567"/>
    <n v="2567"/>
    <n v="0"/>
    <x v="0"/>
    <x v="6"/>
    <n v="1"/>
    <x v="13"/>
  </r>
  <r>
    <n v="1832"/>
    <s v="RAKSHA (TPA)"/>
    <d v="2022-09-24T00:00:00"/>
    <x v="0"/>
    <d v="2022-10-01T00:00:00"/>
    <d v="2022-10-01T00:00:00"/>
    <n v="22025140"/>
    <n v="2233327"/>
    <n v="10013540218"/>
    <s v="HIMANK MITTAL"/>
    <x v="1006"/>
    <n v="23141"/>
    <n v="140479"/>
    <n v="50232"/>
    <n v="90247"/>
    <x v="1"/>
    <x v="2"/>
    <n v="0.3575765772820137"/>
    <x v="3"/>
  </r>
  <r>
    <n v="1833"/>
    <s v="GENERAL PATIENT"/>
    <d v="2022-10-23T00:00:00"/>
    <x v="1"/>
    <d v="2022-10-29T00:00:00"/>
    <d v="2022-10-29T00:00:00"/>
    <n v="22029029"/>
    <n v="2237112"/>
    <n v="10013458312"/>
    <s v="SACHIN YADAV"/>
    <x v="1007"/>
    <n v="29194"/>
    <n v="242892"/>
    <n v="242892"/>
    <n v="0"/>
    <x v="0"/>
    <x v="8"/>
    <n v="1"/>
    <x v="0"/>
  </r>
  <r>
    <n v="1834"/>
    <s v="GENERAL PATIENT"/>
    <d v="2022-10-12T00:00:00"/>
    <x v="1"/>
    <d v="2022-10-14T00:00:00"/>
    <d v="2022-10-14T00:00:00"/>
    <n v="22027005"/>
    <n v="2235625"/>
    <n v="1001803849"/>
    <s v="SWARNDEEP MALE BABY GUPTA"/>
    <x v="1008"/>
    <n v="2165"/>
    <n v="15072"/>
    <n v="15072"/>
    <n v="0"/>
    <x v="0"/>
    <x v="2"/>
    <n v="1"/>
    <x v="3"/>
  </r>
  <r>
    <n v="1835"/>
    <s v="GENERAL PATIENT"/>
    <d v="2022-10-12T00:00:00"/>
    <x v="1"/>
    <d v="2022-10-12T00:00:00"/>
    <d v="2022-10-12T00:00:00"/>
    <n v="22026725"/>
    <n v="2235675"/>
    <n v="10013533576"/>
    <s v="G. CHANDER SHEKHAR"/>
    <x v="143"/>
    <n v="290"/>
    <n v="3439"/>
    <n v="3439"/>
    <n v="0"/>
    <x v="0"/>
    <x v="6"/>
    <n v="1"/>
    <x v="13"/>
  </r>
  <r>
    <n v="1836"/>
    <s v="CGHS"/>
    <d v="2022-10-12T00:00:00"/>
    <x v="1"/>
    <d v="2022-10-12T00:00:00"/>
    <d v="2022-10-12T00:00:00"/>
    <n v="22026721"/>
    <n v="2235678"/>
    <n v="1001644664"/>
    <s v="P C. BHATT"/>
    <x v="43"/>
    <n v="0"/>
    <n v="1610"/>
    <n v="1610"/>
    <n v="0"/>
    <x v="0"/>
    <x v="6"/>
    <n v="1"/>
    <x v="13"/>
  </r>
  <r>
    <n v="1837"/>
    <s v="GENERAL PATIENT"/>
    <d v="2022-10-12T00:00:00"/>
    <x v="1"/>
    <d v="2022-10-12T00:00:00"/>
    <d v="2022-10-12T00:00:00"/>
    <n v="22026723"/>
    <n v="2235674"/>
    <n v="10013460950"/>
    <s v="PREM CHAND"/>
    <x v="73"/>
    <n v="308"/>
    <n v="2536"/>
    <n v="2536"/>
    <n v="0"/>
    <x v="0"/>
    <x v="6"/>
    <n v="1"/>
    <x v="13"/>
  </r>
  <r>
    <n v="1838"/>
    <s v="HARAYANA GOVT."/>
    <d v="2022-10-19T00:00:00"/>
    <x v="1"/>
    <d v="2022-10-19T00:00:00"/>
    <d v="2022-10-19T00:00:00"/>
    <n v="22027644"/>
    <n v="2236583"/>
    <n v="1000891454"/>
    <s v="PREM SINGH"/>
    <x v="96"/>
    <n v="0"/>
    <n v="2064"/>
    <n v="2064"/>
    <n v="0"/>
    <x v="0"/>
    <x v="6"/>
    <n v="1"/>
    <x v="13"/>
  </r>
  <r>
    <n v="1839"/>
    <s v="SMILE TRAIN"/>
    <d v="2022-10-09T00:00:00"/>
    <x v="1"/>
    <d v="2022-10-10T00:00:00"/>
    <d v="2022-10-10T00:00:00"/>
    <n v="22026337"/>
    <n v="2235291"/>
    <n v="10013507882"/>
    <s v="SHIVANSH SINGH"/>
    <x v="1009"/>
    <n v="12957"/>
    <n v="0"/>
    <n v="0"/>
    <n v="0"/>
    <x v="0"/>
    <x v="1"/>
    <e v="#DIV/0!"/>
    <x v="6"/>
  </r>
  <r>
    <n v="1840"/>
    <s v="GENERAL PATIENT"/>
    <d v="2022-09-28T00:00:00"/>
    <x v="0"/>
    <d v="2022-10-04T00:00:00"/>
    <d v="2022-10-04T00:00:00"/>
    <n v="22025588"/>
    <n v="2233789"/>
    <n v="10013540474"/>
    <s v="ANKIT SINGHAL"/>
    <x v="1010"/>
    <n v="138722"/>
    <n v="0"/>
    <n v="0"/>
    <n v="0"/>
    <x v="0"/>
    <x v="9"/>
    <e v="#DIV/0!"/>
    <x v="0"/>
  </r>
  <r>
    <n v="1841"/>
    <s v="GENERAL PATIENT"/>
    <d v="2022-10-20T00:00:00"/>
    <x v="1"/>
    <d v="2022-10-22T00:00:00"/>
    <d v="2022-10-22T00:00:00"/>
    <n v="22028133"/>
    <n v="2236736"/>
    <n v="10013543819"/>
    <s v="VINOD KUMAR"/>
    <x v="1011"/>
    <n v="11880"/>
    <n v="175730"/>
    <n v="175730"/>
    <n v="0"/>
    <x v="0"/>
    <x v="1"/>
    <n v="1"/>
    <x v="4"/>
  </r>
  <r>
    <n v="1842"/>
    <s v="CGHS ( CREDIT)"/>
    <d v="2022-10-23T00:00:00"/>
    <x v="1"/>
    <d v="2022-10-28T00:00:00"/>
    <d v="2022-10-28T00:00:00"/>
    <n v="22028945"/>
    <n v="2237144"/>
    <n v="10013544219"/>
    <s v="KELA DEVI"/>
    <x v="1012"/>
    <n v="0"/>
    <n v="99895"/>
    <n v="3772"/>
    <n v="96123"/>
    <x v="1"/>
    <x v="1"/>
    <n v="3.7759647630011516E-2"/>
    <x v="0"/>
  </r>
  <r>
    <n v="1843"/>
    <s v="GOVT. OF NCT OF DELHI"/>
    <d v="2022-10-29T00:00:00"/>
    <x v="1"/>
    <d v="2022-10-29T00:00:00"/>
    <d v="2022-10-29T00:00:00"/>
    <n v="22029030"/>
    <n v="2237916"/>
    <n v="10013386841"/>
    <s v="LEELA DEVI"/>
    <x v="43"/>
    <n v="0"/>
    <n v="1610"/>
    <n v="1610"/>
    <n v="0"/>
    <x v="0"/>
    <x v="6"/>
    <n v="1"/>
    <x v="13"/>
  </r>
  <r>
    <n v="1844"/>
    <s v="GENERAL PATIENT"/>
    <d v="2022-10-08T00:00:00"/>
    <x v="1"/>
    <d v="2022-10-11T00:00:00"/>
    <d v="2022-10-11T00:00:00"/>
    <n v="22026594"/>
    <n v="2235204"/>
    <n v="10013399054"/>
    <s v="ASHOK KUMAR MALHOTRA"/>
    <x v="1013"/>
    <n v="60822"/>
    <n v="0"/>
    <n v="0"/>
    <n v="0"/>
    <x v="0"/>
    <x v="9"/>
    <e v="#DIV/0!"/>
    <x v="0"/>
  </r>
  <r>
    <n v="1845"/>
    <s v="GENERAL PATIENT"/>
    <d v="2022-10-09T00:00:00"/>
    <x v="1"/>
    <d v="2022-10-11T00:00:00"/>
    <d v="2022-10-11T00:00:00"/>
    <n v="22026585"/>
    <n v="2235285"/>
    <n v="10013495944"/>
    <s v="SEEMA"/>
    <x v="1014"/>
    <n v="44123"/>
    <n v="0"/>
    <n v="0"/>
    <n v="0"/>
    <x v="0"/>
    <x v="9"/>
    <e v="#DIV/0!"/>
    <x v="1"/>
  </r>
  <r>
    <n v="1846"/>
    <s v=" STAR HEALTH TPA"/>
    <d v="2022-10-20T00:00:00"/>
    <x v="1"/>
    <d v="2022-10-21T00:00:00"/>
    <d v="2022-10-21T00:00:00"/>
    <n v="22028076"/>
    <n v="2236765"/>
    <n v="1001805445"/>
    <s v="DIVYANSH"/>
    <x v="1015"/>
    <n v="1359"/>
    <n v="28701"/>
    <n v="500"/>
    <n v="28201"/>
    <x v="1"/>
    <x v="1"/>
    <n v="1.7420995784119021E-2"/>
    <x v="11"/>
  </r>
  <r>
    <n v="1847"/>
    <s v="Paramount Health Services (TPA) Private Limited"/>
    <d v="2022-10-10T00:00:00"/>
    <x v="1"/>
    <d v="2022-10-11T00:00:00"/>
    <d v="2022-10-11T00:00:00"/>
    <n v="22026557"/>
    <n v="2235365"/>
    <n v="10013448698"/>
    <s v="PRAVEEN KUMAR"/>
    <x v="1016"/>
    <n v="4310"/>
    <n v="30554"/>
    <n v="2255"/>
    <n v="28299"/>
    <x v="1"/>
    <x v="3"/>
    <n v="7.3803757282188909E-2"/>
    <x v="9"/>
  </r>
  <r>
    <n v="1848"/>
    <s v="DGHS (DELHI GOVT.)"/>
    <d v="2022-09-29T00:00:00"/>
    <x v="0"/>
    <d v="2022-10-01T00:00:00"/>
    <d v="2022-10-01T00:00:00"/>
    <n v="22025162"/>
    <n v="2233968"/>
    <n v="1001485294"/>
    <s v="PAWAN KUMAR BHARAJ"/>
    <x v="1017"/>
    <n v="0"/>
    <n v="24779"/>
    <n v="900"/>
    <n v="23879"/>
    <x v="1"/>
    <x v="2"/>
    <n v="3.6321078332458935E-2"/>
    <x v="5"/>
  </r>
  <r>
    <n v="1849"/>
    <s v="GENERAL PATIENT"/>
    <d v="2022-10-22T00:00:00"/>
    <x v="1"/>
    <d v="2022-10-26T00:00:00"/>
    <d v="2022-10-26T00:00:00"/>
    <n v="22028609"/>
    <n v="2237092"/>
    <n v="1001045938"/>
    <s v="MANVI AGARWAL"/>
    <x v="1018"/>
    <n v="14440"/>
    <n v="103051"/>
    <n v="50000"/>
    <n v="53051"/>
    <x v="1"/>
    <x v="2"/>
    <n v="0.485196650202327"/>
    <x v="1"/>
  </r>
  <r>
    <n v="1850"/>
    <s v="GENERAL PATIENT"/>
    <d v="2022-10-22T00:00:00"/>
    <x v="1"/>
    <d v="2022-10-26T00:00:00"/>
    <d v="2022-10-26T00:00:00"/>
    <n v="22028625"/>
    <n v="2237104"/>
    <n v="1001805831"/>
    <s v="MANVI FEMALE BABY AGARWAL"/>
    <x v="1019"/>
    <n v="3007"/>
    <n v="20161"/>
    <n v="20000"/>
    <n v="161"/>
    <x v="1"/>
    <x v="2"/>
    <n v="0.9920142850057041"/>
    <x v="3"/>
  </r>
  <r>
    <n v="1851"/>
    <s v="GENERAL PATIENT"/>
    <d v="2022-10-23T00:00:00"/>
    <x v="1"/>
    <d v="2022-10-23T00:00:00"/>
    <d v="2022-10-23T00:00:00"/>
    <n v="22028379"/>
    <n v="2237115"/>
    <n v="10013529861"/>
    <s v="NEHA GUPTA"/>
    <x v="1020"/>
    <n v="1444"/>
    <n v="8510"/>
    <n v="8510"/>
    <n v="0"/>
    <x v="0"/>
    <x v="1"/>
    <n v="1"/>
    <x v="12"/>
  </r>
  <r>
    <n v="1852"/>
    <s v="GENERAL PATIENT"/>
    <d v="2022-10-06T00:00:00"/>
    <x v="1"/>
    <d v="2022-10-09T00:00:00"/>
    <d v="2022-10-09T00:00:00"/>
    <n v="22026273"/>
    <n v="2234904"/>
    <n v="1000897111"/>
    <s v="SANTOSH JAIN"/>
    <x v="1021"/>
    <n v="10909"/>
    <n v="207268"/>
    <n v="207268"/>
    <n v="0"/>
    <x v="0"/>
    <x v="1"/>
    <n v="1"/>
    <x v="4"/>
  </r>
  <r>
    <n v="1853"/>
    <s v="GENERAL PATIENT"/>
    <d v="2022-10-10T00:00:00"/>
    <x v="1"/>
    <d v="2022-10-10T00:00:00"/>
    <d v="2022-10-10T00:00:00"/>
    <n v="22026328"/>
    <n v="2235328"/>
    <n v="1001542684"/>
    <s v="RAJEEV KUMAR GOEL"/>
    <x v="45"/>
    <n v="413"/>
    <n v="4577"/>
    <n v="4577"/>
    <n v="0"/>
    <x v="0"/>
    <x v="6"/>
    <n v="1"/>
    <x v="13"/>
  </r>
  <r>
    <n v="1854"/>
    <s v=" CGHS CREDIT"/>
    <d v="2022-10-03T00:00:00"/>
    <x v="1"/>
    <d v="2022-10-06T00:00:00"/>
    <d v="2022-10-06T00:00:00"/>
    <n v="22025882"/>
    <n v="2234408"/>
    <n v="1001802190"/>
    <s v="MOHIT"/>
    <x v="1022"/>
    <n v="0"/>
    <n v="16766"/>
    <n v="823"/>
    <n v="15943"/>
    <x v="1"/>
    <x v="1"/>
    <n v="4.9087438864368366E-2"/>
    <x v="0"/>
  </r>
  <r>
    <n v="1855"/>
    <s v="GENERAL PATIENT"/>
    <d v="2022-10-20T00:00:00"/>
    <x v="1"/>
    <d v="2022-10-21T00:00:00"/>
    <d v="2022-10-21T00:00:00"/>
    <n v="22028026"/>
    <n v="2236831"/>
    <n v="1001805514"/>
    <s v="JAI BHAGWAN SARWARA"/>
    <x v="1023"/>
    <n v="10876"/>
    <n v="11000"/>
    <n v="11000"/>
    <n v="0"/>
    <x v="1"/>
    <x v="7"/>
    <n v="1"/>
    <x v="0"/>
  </r>
  <r>
    <n v="1856"/>
    <s v=" CGHS CREDIT"/>
    <d v="2022-10-15T00:00:00"/>
    <x v="1"/>
    <d v="2022-10-21T00:00:00"/>
    <d v="2022-10-21T00:00:00"/>
    <n v="22027983"/>
    <n v="2236212"/>
    <n v="1001801510"/>
    <s v="SHAKUNTLA SHARMA"/>
    <x v="1024"/>
    <n v="0"/>
    <n v="102479"/>
    <n v="6233"/>
    <n v="96246"/>
    <x v="1"/>
    <x v="1"/>
    <n v="6.0822217234750536E-2"/>
    <x v="0"/>
  </r>
  <r>
    <n v="1857"/>
    <s v="DGHS (DELHI GOVT.)"/>
    <d v="2022-09-30T00:00:00"/>
    <x v="0"/>
    <d v="2022-10-01T00:00:00"/>
    <d v="2022-10-01T00:00:00"/>
    <n v="22025209"/>
    <n v="2234074"/>
    <n v="10013533000"/>
    <s v="POONAM"/>
    <x v="1025"/>
    <n v="0"/>
    <n v="14558"/>
    <n v="14558"/>
    <n v="0"/>
    <x v="0"/>
    <x v="1"/>
    <n v="1"/>
    <x v="15"/>
  </r>
  <r>
    <n v="1858"/>
    <s v="STAR HEALTH CARE  (CREDIT)"/>
    <d v="2022-09-28T00:00:00"/>
    <x v="0"/>
    <d v="2022-10-01T00:00:00"/>
    <d v="2022-10-01T00:00:00"/>
    <n v="22025154"/>
    <n v="2233812"/>
    <n v="10013540700"/>
    <s v="SAROJ"/>
    <x v="1026"/>
    <n v="3289"/>
    <n v="279802"/>
    <n v="2870"/>
    <n v="276932"/>
    <x v="1"/>
    <x v="2"/>
    <n v="1.0257253343435715E-2"/>
    <x v="4"/>
  </r>
  <r>
    <n v="1859"/>
    <s v="GENERAL PATIENT"/>
    <d v="2022-10-23T00:00:00"/>
    <x v="1"/>
    <d v="2022-10-26T00:00:00"/>
    <d v="2022-10-26T00:00:00"/>
    <n v="22028620"/>
    <n v="2237146"/>
    <n v="1001805869"/>
    <s v="ANUBHA MALE BABY GUPTA"/>
    <x v="1027"/>
    <n v="2953"/>
    <n v="20144"/>
    <n v="20144"/>
    <n v="0"/>
    <x v="0"/>
    <x v="2"/>
    <n v="1"/>
    <x v="3"/>
  </r>
  <r>
    <n v="1860"/>
    <s v="CGHS"/>
    <d v="2022-10-23T00:00:00"/>
    <x v="1"/>
    <d v="2022-10-25T00:00:00"/>
    <d v="2022-10-25T00:00:00"/>
    <n v="22028493"/>
    <n v="2237147"/>
    <n v="1001805870"/>
    <s v="DEVYANI CHHABRA"/>
    <x v="1028"/>
    <n v="0"/>
    <n v="12894"/>
    <n v="12894"/>
    <n v="0"/>
    <x v="0"/>
    <x v="2"/>
    <n v="1"/>
    <x v="1"/>
  </r>
  <r>
    <n v="1861"/>
    <s v="CGHS"/>
    <d v="2022-10-11T00:00:00"/>
    <x v="1"/>
    <d v="2022-10-11T00:00:00"/>
    <d v="2022-10-11T00:00:00"/>
    <n v="22026548"/>
    <n v="2235520"/>
    <n v="10013487696"/>
    <s v="SANTOSH GROVER"/>
    <x v="43"/>
    <n v="0"/>
    <n v="1610"/>
    <n v="1610"/>
    <n v="0"/>
    <x v="0"/>
    <x v="6"/>
    <n v="1"/>
    <x v="13"/>
  </r>
  <r>
    <n v="1862"/>
    <s v="GENERAL PATIENT"/>
    <d v="2022-10-11T00:00:00"/>
    <x v="1"/>
    <d v="2022-10-11T00:00:00"/>
    <d v="2022-10-11T00:00:00"/>
    <n v="22026580"/>
    <n v="2235505"/>
    <n v="1001307852"/>
    <s v="MEERA DEVI"/>
    <x v="447"/>
    <n v="3319"/>
    <n v="0"/>
    <n v="0"/>
    <n v="0"/>
    <x v="0"/>
    <x v="9"/>
    <e v="#DIV/0!"/>
    <x v="13"/>
  </r>
  <r>
    <n v="1863"/>
    <s v="GENERAL PATIENT"/>
    <d v="2022-10-11T00:00:00"/>
    <x v="1"/>
    <d v="2022-10-11T00:00:00"/>
    <d v="2022-10-11T00:00:00"/>
    <n v="22026582"/>
    <n v="2235566"/>
    <n v="1000891328"/>
    <s v="SOURAV SHARMA"/>
    <x v="447"/>
    <n v="3319"/>
    <n v="0"/>
    <n v="0"/>
    <n v="0"/>
    <x v="0"/>
    <x v="9"/>
    <e v="#DIV/0!"/>
    <x v="13"/>
  </r>
  <r>
    <n v="1864"/>
    <s v="HARAYANA GOVT."/>
    <d v="2022-10-11T00:00:00"/>
    <x v="1"/>
    <d v="2022-10-11T00:00:00"/>
    <d v="2022-10-11T00:00:00"/>
    <n v="22026592"/>
    <n v="2235489"/>
    <n v="10013461113"/>
    <s v="DHARMVEER SINGH"/>
    <x v="96"/>
    <n v="0"/>
    <n v="2064"/>
    <n v="2064"/>
    <n v="0"/>
    <x v="0"/>
    <x v="6"/>
    <n v="1"/>
    <x v="13"/>
  </r>
  <r>
    <n v="1865"/>
    <s v="DGHS (DELHI GOVT.)"/>
    <d v="2022-10-03T00:00:00"/>
    <x v="1"/>
    <d v="2022-10-03T00:00:00"/>
    <d v="2022-10-03T00:00:00"/>
    <n v="22025411"/>
    <n v="2234377"/>
    <n v="10013540016"/>
    <s v="RAJPAL SINGH"/>
    <x v="1029"/>
    <n v="0"/>
    <n v="22183"/>
    <n v="22183"/>
    <n v="0"/>
    <x v="0"/>
    <x v="1"/>
    <n v="1"/>
    <x v="22"/>
  </r>
  <r>
    <n v="1866"/>
    <s v=" MD INDIA TPA"/>
    <d v="2022-10-06T00:00:00"/>
    <x v="1"/>
    <d v="2022-10-11T00:00:00"/>
    <d v="2022-10-11T00:00:00"/>
    <n v="22026514"/>
    <n v="2234877"/>
    <n v="1001802778"/>
    <s v="SATISH KUMAR"/>
    <x v="1030"/>
    <n v="16686"/>
    <n v="82903"/>
    <n v="1000"/>
    <n v="81903"/>
    <x v="1"/>
    <x v="0"/>
    <n v="1.2062289663823987E-2"/>
    <x v="0"/>
  </r>
  <r>
    <n v="1867"/>
    <s v="GENERAL PATIENT"/>
    <d v="2022-10-10T00:00:00"/>
    <x v="1"/>
    <d v="2022-10-13T00:00:00"/>
    <d v="2022-10-13T00:00:00"/>
    <n v="22026821"/>
    <n v="2235446"/>
    <n v="1001803630"/>
    <s v="SUMAN BUDHIRAJA"/>
    <x v="1031"/>
    <n v="25321"/>
    <n v="211831"/>
    <n v="211831"/>
    <n v="0"/>
    <x v="0"/>
    <x v="2"/>
    <n v="1"/>
    <x v="16"/>
  </r>
  <r>
    <n v="1868"/>
    <s v="CGHS"/>
    <d v="2022-10-14T00:00:00"/>
    <x v="1"/>
    <d v="2022-10-22T00:00:00"/>
    <d v="2022-10-22T00:00:00"/>
    <n v="22028248"/>
    <n v="2236042"/>
    <n v="10013337508"/>
    <s v="A.P MANGLA"/>
    <x v="1032"/>
    <n v="0"/>
    <n v="120043"/>
    <n v="120043"/>
    <n v="0"/>
    <x v="0"/>
    <x v="2"/>
    <n v="1"/>
    <x v="0"/>
  </r>
  <r>
    <n v="1869"/>
    <s v="NIVA BUPA"/>
    <d v="2022-10-10T00:00:00"/>
    <x v="1"/>
    <d v="2022-10-12T00:00:00"/>
    <d v="2022-10-12T00:00:00"/>
    <n v="22026734"/>
    <n v="2235392"/>
    <n v="1001795866"/>
    <s v="RAKESH KUMAR"/>
    <x v="1033"/>
    <n v="8519"/>
    <n v="78161"/>
    <n v="1500"/>
    <n v="76661"/>
    <x v="1"/>
    <x v="0"/>
    <n v="1.9191156714985735E-2"/>
    <x v="11"/>
  </r>
  <r>
    <n v="1870"/>
    <s v="LIBERTY GENERAL INSURANCE"/>
    <d v="2022-10-19T00:00:00"/>
    <x v="1"/>
    <d v="2022-10-20T00:00:00"/>
    <d v="2022-10-20T00:00:00"/>
    <n v="22027876"/>
    <n v="2236598"/>
    <n v="1001805191"/>
    <s v="MEENU"/>
    <x v="1034"/>
    <n v="0"/>
    <n v="112929"/>
    <n v="5175"/>
    <n v="107754"/>
    <x v="1"/>
    <x v="0"/>
    <n v="4.5825253035092849E-2"/>
    <x v="17"/>
  </r>
  <r>
    <n v="1871"/>
    <s v="SBI GENERAL INSURANCE"/>
    <d v="2022-09-25T00:00:00"/>
    <x v="0"/>
    <d v="2022-10-02T00:00:00"/>
    <d v="2022-10-02T00:00:00"/>
    <n v="22025320"/>
    <n v="2233415"/>
    <n v="1001116185"/>
    <s v="MUSKAN"/>
    <x v="1035"/>
    <n v="0"/>
    <n v="115995"/>
    <n v="2400"/>
    <n v="113595"/>
    <x v="1"/>
    <x v="1"/>
    <n v="2.069054700633648E-2"/>
    <x v="0"/>
  </r>
  <r>
    <n v="1872"/>
    <s v="STAFF"/>
    <d v="2022-10-10T00:00:00"/>
    <x v="1"/>
    <d v="2022-10-13T00:00:00"/>
    <d v="2022-10-13T00:00:00"/>
    <n v="22026938"/>
    <n v="2235467"/>
    <n v="10013456333"/>
    <s v="RAJNI"/>
    <x v="1036"/>
    <n v="37865"/>
    <n v="0"/>
    <n v="0"/>
    <n v="0"/>
    <x v="0"/>
    <x v="9"/>
    <e v="#DIV/0!"/>
    <x v="0"/>
  </r>
  <r>
    <n v="1873"/>
    <s v="BAJAJ ALLIANZ INSURANCE"/>
    <d v="2022-10-08T00:00:00"/>
    <x v="1"/>
    <d v="2022-10-09T00:00:00"/>
    <d v="2022-10-09T00:00:00"/>
    <n v="22026259"/>
    <n v="2235119"/>
    <n v="1001339775"/>
    <s v="KANCHAN YADAV"/>
    <x v="1037"/>
    <n v="0"/>
    <n v="86775"/>
    <n v="1975"/>
    <n v="84800"/>
    <x v="1"/>
    <x v="2"/>
    <n v="2.2760011524056468E-2"/>
    <x v="11"/>
  </r>
  <r>
    <n v="1874"/>
    <s v="MEDI ASSIST"/>
    <d v="2022-10-26T00:00:00"/>
    <x v="1"/>
    <d v="2022-10-26T00:00:00"/>
    <d v="2022-10-26T00:00:00"/>
    <n v="22028682"/>
    <n v="2237529"/>
    <n v="10013538474"/>
    <s v="RAM  VINAY MISHRA"/>
    <x v="75"/>
    <n v="0"/>
    <n v="2200"/>
    <n v="440"/>
    <n v="1760"/>
    <x v="1"/>
    <x v="12"/>
    <n v="0.2"/>
    <x v="13"/>
  </r>
  <r>
    <n v="1875"/>
    <s v="GENERAL PATIENT"/>
    <d v="2022-10-27T00:00:00"/>
    <x v="1"/>
    <d v="2022-10-27T00:00:00"/>
    <d v="2022-10-27T00:00:00"/>
    <n v="22028710"/>
    <n v="2237602"/>
    <n v="10013531598"/>
    <s v="OMWATI"/>
    <x v="112"/>
    <n v="271"/>
    <n v="3217"/>
    <n v="3217"/>
    <n v="0"/>
    <x v="0"/>
    <x v="6"/>
    <n v="1"/>
    <x v="13"/>
  </r>
  <r>
    <n v="1876"/>
    <s v="M.C.D"/>
    <d v="2022-10-14T00:00:00"/>
    <x v="1"/>
    <d v="2022-10-14T00:00:00"/>
    <d v="2022-10-14T00:00:00"/>
    <n v="22027055"/>
    <n v="2235940"/>
    <n v="10013454831"/>
    <s v="SURESH KUMAR"/>
    <x v="1038"/>
    <n v="0"/>
    <n v="14315"/>
    <n v="14315"/>
    <n v="0"/>
    <x v="0"/>
    <x v="1"/>
    <n v="1"/>
    <x v="15"/>
  </r>
  <r>
    <n v="1877"/>
    <s v="GENERAL PATIENT"/>
    <d v="2022-10-27T00:00:00"/>
    <x v="1"/>
    <d v="2022-10-29T00:00:00"/>
    <d v="2022-10-29T00:00:00"/>
    <n v="22029065"/>
    <n v="2237681"/>
    <n v="1001806625"/>
    <s v="RIMPY MALE BABY GARG"/>
    <x v="1039"/>
    <n v="1735"/>
    <n v="11058"/>
    <n v="11058"/>
    <n v="0"/>
    <x v="0"/>
    <x v="1"/>
    <n v="1"/>
    <x v="3"/>
  </r>
  <r>
    <n v="1878"/>
    <s v="CARE HEALTH INSURANCE LIMITED"/>
    <d v="2022-10-17T00:00:00"/>
    <x v="1"/>
    <d v="2022-10-21T00:00:00"/>
    <d v="2022-10-21T00:00:00"/>
    <n v="22027980"/>
    <n v="2236428"/>
    <n v="10013543497"/>
    <s v="KRISHNA SINGH BISHT"/>
    <x v="1040"/>
    <n v="0"/>
    <n v="83810"/>
    <n v="5875"/>
    <n v="77935"/>
    <x v="1"/>
    <x v="1"/>
    <n v="7.0099033528218585E-2"/>
    <x v="3"/>
  </r>
  <r>
    <n v="1879"/>
    <s v="Future General India Insurance Co. Ltd."/>
    <d v="2022-10-20T00:00:00"/>
    <x v="1"/>
    <d v="2022-10-21T00:00:00"/>
    <d v="2022-10-21T00:00:00"/>
    <n v="22028075"/>
    <n v="2236772"/>
    <n v="10013398311"/>
    <s v="ASHOK KUMAR GOEL"/>
    <x v="1041"/>
    <n v="3783"/>
    <n v="40782"/>
    <n v="6684"/>
    <n v="34098"/>
    <x v="1"/>
    <x v="4"/>
    <n v="0.16389583639841107"/>
    <x v="4"/>
  </r>
  <r>
    <n v="1880"/>
    <s v="VIDAL HEALTH INSURANCE LIMITED"/>
    <d v="2022-10-13T00:00:00"/>
    <x v="1"/>
    <d v="2022-10-14T00:00:00"/>
    <d v="2022-10-14T00:00:00"/>
    <n v="22027081"/>
    <n v="2235861"/>
    <n v="10013542883"/>
    <s v="KURESHIYA SULTANA"/>
    <x v="1042"/>
    <n v="0"/>
    <n v="78495"/>
    <n v="78490"/>
    <n v="5"/>
    <x v="1"/>
    <x v="3"/>
    <n v="0.99993630167526593"/>
    <x v="2"/>
  </r>
  <r>
    <n v="1881"/>
    <s v=" SSYAMA CASH"/>
    <d v="2022-10-07T00:00:00"/>
    <x v="1"/>
    <d v="2022-10-08T00:00:00"/>
    <d v="2022-10-08T00:00:00"/>
    <n v="22026225"/>
    <n v="2235103"/>
    <n v="1001790494"/>
    <s v="DOLLY"/>
    <x v="1043"/>
    <n v="0"/>
    <n v="13591"/>
    <n v="13591"/>
    <n v="0"/>
    <x v="0"/>
    <x v="1"/>
    <n v="1"/>
    <x v="1"/>
  </r>
  <r>
    <n v="1882"/>
    <s v="DGHS (DELHI GOVT.)"/>
    <d v="2022-10-17T00:00:00"/>
    <x v="1"/>
    <d v="2022-10-21T00:00:00"/>
    <d v="2022-10-21T00:00:00"/>
    <n v="22028071"/>
    <n v="2236402"/>
    <n v="1000932742"/>
    <s v="UMA MAHESH"/>
    <x v="1044"/>
    <n v="0"/>
    <n v="98951"/>
    <n v="2714"/>
    <n v="96237"/>
    <x v="1"/>
    <x v="2"/>
    <n v="2.7427716748693799E-2"/>
    <x v="0"/>
  </r>
  <r>
    <n v="1883"/>
    <s v="GENERAL PATIENT"/>
    <d v="2022-10-28T00:00:00"/>
    <x v="1"/>
    <d v="2022-10-28T00:00:00"/>
    <d v="2022-10-28T00:00:00"/>
    <n v="22028985"/>
    <n v="2237883"/>
    <n v="1001074324"/>
    <s v="RAMESH CHAND NIGAM"/>
    <x v="212"/>
    <n v="267"/>
    <n v="3323"/>
    <n v="3323"/>
    <n v="0"/>
    <x v="0"/>
    <x v="6"/>
    <n v="1"/>
    <x v="13"/>
  </r>
  <r>
    <n v="1884"/>
    <s v="CGHS ( CREDIT)"/>
    <d v="2022-09-07T00:00:00"/>
    <x v="0"/>
    <d v="2022-10-01T00:00:00"/>
    <d v="2022-10-01T00:00:00"/>
    <n v="22025250"/>
    <n v="2230931"/>
    <n v="10013537376"/>
    <s v="RAVINDER PRASAD"/>
    <x v="1045"/>
    <n v="0"/>
    <n v="828958"/>
    <n v="43781"/>
    <n v="785177"/>
    <x v="1"/>
    <x v="1"/>
    <n v="5.2814497236289414E-2"/>
    <x v="0"/>
  </r>
  <r>
    <n v="1885"/>
    <s v="GENERAL PATIENT"/>
    <d v="2022-10-10T00:00:00"/>
    <x v="1"/>
    <d v="2022-10-12T00:00:00"/>
    <d v="2022-10-12T00:00:00"/>
    <n v="22026701"/>
    <n v="2235439"/>
    <n v="10013539488"/>
    <s v="GUDDI"/>
    <x v="1046"/>
    <n v="94527"/>
    <n v="0"/>
    <n v="0"/>
    <n v="0"/>
    <x v="0"/>
    <x v="9"/>
    <e v="#DIV/0!"/>
    <x v="11"/>
  </r>
  <r>
    <n v="1886"/>
    <s v="CGHS"/>
    <d v="2022-10-12T00:00:00"/>
    <x v="1"/>
    <d v="2022-10-12T00:00:00"/>
    <d v="2022-10-12T00:00:00"/>
    <n v="22026762"/>
    <n v="2235641"/>
    <n v="10013407477"/>
    <s v="REYA BHASIN"/>
    <x v="1047"/>
    <n v="0"/>
    <n v="4404"/>
    <n v="4404"/>
    <n v="0"/>
    <x v="0"/>
    <x v="1"/>
    <n v="1"/>
    <x v="19"/>
  </r>
  <r>
    <n v="1887"/>
    <s v=" FAMILY HEALTH PLAN INSURANCE TPA LTD"/>
    <d v="2022-10-01T00:00:00"/>
    <x v="1"/>
    <d v="2022-10-02T00:00:00"/>
    <d v="2022-10-02T00:00:00"/>
    <n v="22025311"/>
    <n v="2234187"/>
    <n v="1001801867"/>
    <s v="MANISH KUMAR"/>
    <x v="1048"/>
    <n v="2254"/>
    <n v="119336"/>
    <n v="1000"/>
    <n v="118336"/>
    <x v="1"/>
    <x v="2"/>
    <n v="8.3797010122678827E-3"/>
    <x v="11"/>
  </r>
  <r>
    <n v="1888"/>
    <s v="STAR HEALTH CARE  (CREDIT)"/>
    <d v="2022-10-05T00:00:00"/>
    <x v="1"/>
    <d v="2022-10-10T00:00:00"/>
    <d v="2022-10-10T00:00:00"/>
    <n v="22026399"/>
    <n v="2234662"/>
    <n v="1001148867"/>
    <s v="YASHIKA MALHOTRA"/>
    <x v="1049"/>
    <n v="16490"/>
    <n v="132842"/>
    <n v="13497"/>
    <n v="119345"/>
    <x v="1"/>
    <x v="2"/>
    <n v="0.10160190301260144"/>
    <x v="0"/>
  </r>
  <r>
    <n v="1889"/>
    <s v="GENERAL PATIENT"/>
    <d v="2022-09-24T00:00:00"/>
    <x v="0"/>
    <d v="2022-10-02T00:00:00"/>
    <d v="2022-10-02T00:00:00"/>
    <n v="22025314"/>
    <n v="2233358"/>
    <n v="10013540129"/>
    <s v="RAM BHAJAN"/>
    <x v="1050"/>
    <n v="10482"/>
    <n v="73450"/>
    <n v="73450"/>
    <n v="0"/>
    <x v="0"/>
    <x v="1"/>
    <n v="1"/>
    <x v="0"/>
  </r>
  <r>
    <n v="1890"/>
    <s v="CGHS"/>
    <d v="2022-10-26T00:00:00"/>
    <x v="1"/>
    <d v="2022-10-26T00:00:00"/>
    <d v="2022-10-26T00:00:00"/>
    <n v="22028576"/>
    <n v="2237441"/>
    <n v="10013514103"/>
    <s v="GOVIND KUMAR"/>
    <x v="43"/>
    <n v="0"/>
    <n v="1610"/>
    <n v="1610"/>
    <n v="0"/>
    <x v="0"/>
    <x v="6"/>
    <n v="1"/>
    <x v="13"/>
  </r>
  <r>
    <n v="1891"/>
    <s v="GENERAL PATIENT"/>
    <d v="2022-10-06T00:00:00"/>
    <x v="1"/>
    <d v="2022-10-06T00:00:00"/>
    <d v="2022-10-06T00:00:00"/>
    <n v="22025818"/>
    <n v="2234827"/>
    <n v="1001314823"/>
    <s v="MUKESH KUMAR"/>
    <x v="64"/>
    <n v="338"/>
    <n v="3292"/>
    <n v="3292"/>
    <n v="0"/>
    <x v="0"/>
    <x v="6"/>
    <n v="1"/>
    <x v="13"/>
  </r>
  <r>
    <n v="1892"/>
    <s v=" ECHS CASH"/>
    <d v="2022-10-25T00:00:00"/>
    <x v="1"/>
    <d v="2022-10-26T00:00:00"/>
    <d v="2022-10-26T00:00:00"/>
    <n v="22028575"/>
    <n v="2237329"/>
    <n v="1001528358"/>
    <s v="PRIYA"/>
    <x v="1051"/>
    <n v="0"/>
    <n v="5752"/>
    <n v="5752"/>
    <n v="0"/>
    <x v="0"/>
    <x v="0"/>
    <n v="1"/>
    <x v="0"/>
  </r>
  <r>
    <n v="1893"/>
    <s v="GENERAL PATIENT"/>
    <d v="2022-10-20T00:00:00"/>
    <x v="1"/>
    <d v="2022-10-20T00:00:00"/>
    <d v="2022-10-20T00:00:00"/>
    <n v="22027807"/>
    <n v="2236734"/>
    <n v="10013531598"/>
    <s v="OMWATI"/>
    <x v="73"/>
    <n v="285"/>
    <n v="2559"/>
    <n v="2559"/>
    <n v="0"/>
    <x v="0"/>
    <x v="6"/>
    <n v="1"/>
    <x v="13"/>
  </r>
  <r>
    <n v="1894"/>
    <s v="GENERAL PATIENT"/>
    <d v="2022-10-20T00:00:00"/>
    <x v="1"/>
    <d v="2022-10-20T00:00:00"/>
    <d v="2022-10-20T00:00:00"/>
    <n v="22027824"/>
    <n v="2236745"/>
    <n v="10013424453"/>
    <s v="ASHWANI KUMAR GUPTA"/>
    <x v="45"/>
    <n v="413"/>
    <n v="4577"/>
    <n v="4577"/>
    <n v="0"/>
    <x v="0"/>
    <x v="6"/>
    <n v="1"/>
    <x v="13"/>
  </r>
  <r>
    <n v="1895"/>
    <s v="GENERAL PATIENT"/>
    <d v="2022-10-01T00:00:00"/>
    <x v="1"/>
    <d v="2022-10-01T00:00:00"/>
    <d v="2022-10-01T00:00:00"/>
    <n v="22025099"/>
    <n v="2234150"/>
    <n v="1001575947"/>
    <s v="MANISH RAJPUT"/>
    <x v="143"/>
    <n v="316"/>
    <n v="3413"/>
    <n v="3413"/>
    <n v="0"/>
    <x v="0"/>
    <x v="6"/>
    <n v="1"/>
    <x v="13"/>
  </r>
  <r>
    <n v="1896"/>
    <s v="GENERAL PATIENT"/>
    <d v="2022-10-03T00:00:00"/>
    <x v="1"/>
    <d v="2022-10-03T00:00:00"/>
    <d v="2022-10-03T00:00:00"/>
    <n v="22025455"/>
    <n v="2234458"/>
    <n v="1001130529"/>
    <s v="SANJAY KUMAR"/>
    <x v="41"/>
    <n v="2794"/>
    <n v="0"/>
    <n v="0"/>
    <n v="0"/>
    <x v="0"/>
    <x v="9"/>
    <e v="#DIV/0!"/>
    <x v="13"/>
  </r>
  <r>
    <n v="1897"/>
    <s v="GENERAL PATIENT"/>
    <d v="2022-10-03T00:00:00"/>
    <x v="1"/>
    <d v="2022-10-03T00:00:00"/>
    <d v="2022-10-03T00:00:00"/>
    <n v="22025454"/>
    <n v="2234456"/>
    <n v="10013440543"/>
    <s v="SHYAM"/>
    <x v="41"/>
    <n v="2794"/>
    <n v="0"/>
    <n v="0"/>
    <n v="0"/>
    <x v="0"/>
    <x v="9"/>
    <e v="#DIV/0!"/>
    <x v="13"/>
  </r>
  <r>
    <n v="1898"/>
    <s v="CGHS ( CREDIT)"/>
    <d v="2022-09-23T00:00:00"/>
    <x v="0"/>
    <d v="2022-10-20T00:00:00"/>
    <d v="2022-10-20T00:00:00"/>
    <n v="22027906"/>
    <n v="2233145"/>
    <n v="10013534967"/>
    <s v="PARKASH KAUR"/>
    <x v="1052"/>
    <n v="0"/>
    <n v="939926"/>
    <n v="47220"/>
    <n v="892706"/>
    <x v="1"/>
    <x v="1"/>
    <n v="5.0237997459374462E-2"/>
    <x v="0"/>
  </r>
  <r>
    <n v="1899"/>
    <s v=" CGHS CREDIT"/>
    <d v="2022-10-06T00:00:00"/>
    <x v="1"/>
    <d v="2022-10-18T00:00:00"/>
    <d v="2022-10-18T00:00:00"/>
    <n v="22027597"/>
    <n v="2234925"/>
    <n v="1001719990"/>
    <s v="RAJMATI DEVI"/>
    <x v="1053"/>
    <n v="0"/>
    <n v="99029"/>
    <n v="1311"/>
    <n v="97718"/>
    <x v="1"/>
    <x v="0"/>
    <n v="1.3238546284421735E-2"/>
    <x v="0"/>
  </r>
  <r>
    <n v="1900"/>
    <s v=" STAR HEALTH TPA"/>
    <d v="2022-09-30T00:00:00"/>
    <x v="0"/>
    <d v="2022-10-10T00:00:00"/>
    <d v="2022-10-10T00:00:00"/>
    <n v="22026442"/>
    <n v="2234001"/>
    <n v="1001801585"/>
    <s v="MAHESH KUMAR"/>
    <x v="1054"/>
    <n v="18153"/>
    <n v="166636"/>
    <n v="1500"/>
    <n v="165136"/>
    <x v="1"/>
    <x v="0"/>
    <n v="9.0016563047600751E-3"/>
    <x v="0"/>
  </r>
  <r>
    <n v="1901"/>
    <s v=" CGHS CREDIT"/>
    <d v="2022-09-30T00:00:00"/>
    <x v="0"/>
    <d v="2022-10-06T00:00:00"/>
    <d v="2022-10-06T00:00:00"/>
    <n v="22025873"/>
    <n v="2234133"/>
    <n v="1001392623"/>
    <s v="RADHEY SHYAM"/>
    <x v="1055"/>
    <n v="0"/>
    <n v="28204"/>
    <n v="823"/>
    <n v="27381"/>
    <x v="1"/>
    <x v="1"/>
    <n v="2.9180258119415686E-2"/>
    <x v="0"/>
  </r>
  <r>
    <n v="1902"/>
    <s v=" STAR HEALTH TPA"/>
    <d v="2022-10-07T00:00:00"/>
    <x v="1"/>
    <d v="2022-10-09T00:00:00"/>
    <d v="2022-10-09T00:00:00"/>
    <n v="22026310"/>
    <n v="2234976"/>
    <n v="1001802931"/>
    <s v="SAESHA"/>
    <x v="1056"/>
    <n v="3399"/>
    <n v="16126"/>
    <n v="500"/>
    <n v="15626"/>
    <x v="1"/>
    <x v="0"/>
    <n v="3.1005829095870022E-2"/>
    <x v="3"/>
  </r>
  <r>
    <n v="1903"/>
    <s v="DGHS (DELHI GOVT.)"/>
    <d v="2022-10-04T00:00:00"/>
    <x v="1"/>
    <d v="2022-10-09T00:00:00"/>
    <d v="2022-10-09T00:00:00"/>
    <n v="22026269"/>
    <n v="2234636"/>
    <n v="1001312059"/>
    <s v="SUKHBIR SINGH"/>
    <x v="1057"/>
    <n v="0"/>
    <n v="77914"/>
    <n v="5787"/>
    <n v="72127"/>
    <x v="1"/>
    <x v="2"/>
    <n v="7.4274199758708317E-2"/>
    <x v="2"/>
  </r>
  <r>
    <n v="1904"/>
    <s v="GENERAL PATIENT"/>
    <d v="2022-10-06T00:00:00"/>
    <x v="1"/>
    <d v="2022-10-09T00:00:00"/>
    <d v="2022-10-09T00:00:00"/>
    <n v="22026266"/>
    <n v="2234958"/>
    <n v="10013541887"/>
    <s v="RAVI KUMAR GOYAL"/>
    <x v="1058"/>
    <n v="14362"/>
    <n v="199893"/>
    <n v="199893"/>
    <n v="0"/>
    <x v="0"/>
    <x v="1"/>
    <n v="1"/>
    <x v="4"/>
  </r>
  <r>
    <n v="1905"/>
    <s v="GENERAL PATIENT"/>
    <d v="2022-10-31T00:00:00"/>
    <x v="1"/>
    <d v="2022-10-31T00:00:00"/>
    <d v="2022-10-31T00:00:00"/>
    <n v="22029252"/>
    <n v="2238136"/>
    <n v="1001561182"/>
    <s v="TAPATI CHATTERJEE"/>
    <x v="64"/>
    <n v="0"/>
    <n v="3630"/>
    <n v="3630"/>
    <n v="0"/>
    <x v="0"/>
    <x v="6"/>
    <n v="1"/>
    <x v="13"/>
  </r>
  <r>
    <n v="1906"/>
    <s v="GENERAL PATIENT"/>
    <d v="2022-10-27T00:00:00"/>
    <x v="1"/>
    <d v="2022-10-27T00:00:00"/>
    <d v="2022-10-27T00:00:00"/>
    <n v="22028822"/>
    <n v="2237690"/>
    <n v="10013533934"/>
    <s v="RAMESH AHUJA"/>
    <x v="45"/>
    <n v="415"/>
    <n v="4575"/>
    <n v="4575"/>
    <n v="0"/>
    <x v="0"/>
    <x v="6"/>
    <n v="1"/>
    <x v="13"/>
  </r>
  <r>
    <n v="1907"/>
    <s v="MED SAVE"/>
    <d v="2022-10-14T00:00:00"/>
    <x v="1"/>
    <d v="2022-10-18T00:00:00"/>
    <d v="2022-10-18T00:00:00"/>
    <n v="22027516"/>
    <n v="2235902"/>
    <n v="10013542901"/>
    <s v="SUDHA SHARMA"/>
    <x v="1059"/>
    <n v="29322"/>
    <n v="224688"/>
    <n v="38526"/>
    <n v="186162"/>
    <x v="1"/>
    <x v="5"/>
    <n v="0.17146443067720574"/>
    <x v="0"/>
  </r>
  <r>
    <n v="1908"/>
    <s v="GENERAL PATIENT"/>
    <d v="2022-09-30T00:00:00"/>
    <x v="0"/>
    <d v="2022-10-02T00:00:00"/>
    <d v="2022-10-02T00:00:00"/>
    <n v="22025299"/>
    <n v="2234003"/>
    <n v="10013540910"/>
    <s v="DARSHNA DEVI"/>
    <x v="1060"/>
    <n v="12743"/>
    <n v="49218"/>
    <n v="49218"/>
    <n v="0"/>
    <x v="0"/>
    <x v="2"/>
    <n v="1"/>
    <x v="0"/>
  </r>
  <r>
    <n v="1909"/>
    <s v="HDFC ERGO General Insurance Co. Ltd."/>
    <d v="2022-10-04T00:00:00"/>
    <x v="1"/>
    <d v="2022-10-09T00:00:00"/>
    <d v="2022-10-09T00:00:00"/>
    <n v="22026252"/>
    <n v="2234656"/>
    <n v="10013541602"/>
    <s v="AMAR NARULA"/>
    <x v="1061"/>
    <n v="0"/>
    <n v="61203"/>
    <n v="1500"/>
    <n v="59703"/>
    <x v="1"/>
    <x v="0"/>
    <n v="2.4508602519484338E-2"/>
    <x v="0"/>
  </r>
  <r>
    <n v="1910"/>
    <s v="GENERAL PATIENT"/>
    <d v="2022-10-21T00:00:00"/>
    <x v="1"/>
    <d v="2022-10-21T00:00:00"/>
    <d v="2022-10-21T00:00:00"/>
    <n v="22027978"/>
    <n v="2236884"/>
    <n v="10013527702"/>
    <s v="RAJENDER TAYAL"/>
    <x v="45"/>
    <n v="414"/>
    <n v="4576"/>
    <n v="4576"/>
    <n v="0"/>
    <x v="0"/>
    <x v="6"/>
    <n v="1"/>
    <x v="13"/>
  </r>
  <r>
    <n v="1911"/>
    <s v="T.T.K"/>
    <d v="2022-10-19T00:00:00"/>
    <x v="1"/>
    <d v="2022-10-19T00:00:00"/>
    <d v="2022-10-19T00:00:00"/>
    <n v="22027719"/>
    <n v="2236613"/>
    <n v="10013376566"/>
    <s v="RAJEEV BHATIA"/>
    <x v="75"/>
    <n v="0"/>
    <n v="2200"/>
    <n v="440"/>
    <n v="1760"/>
    <x v="1"/>
    <x v="12"/>
    <n v="0.2"/>
    <x v="13"/>
  </r>
  <r>
    <n v="1912"/>
    <s v="GENERAL PATIENT"/>
    <d v="2022-10-19T00:00:00"/>
    <x v="1"/>
    <d v="2022-10-19T00:00:00"/>
    <d v="2022-10-19T00:00:00"/>
    <n v="22027717"/>
    <n v="2236624"/>
    <n v="10013230754"/>
    <s v="SANTOSH AGGARWAL"/>
    <x v="45"/>
    <n v="1647"/>
    <n v="3343"/>
    <n v="3343"/>
    <n v="0"/>
    <x v="0"/>
    <x v="6"/>
    <n v="1"/>
    <x v="13"/>
  </r>
  <r>
    <n v="1913"/>
    <s v="Health Insurance TPA of India Ltd."/>
    <d v="2022-10-04T00:00:00"/>
    <x v="1"/>
    <d v="2022-10-08T00:00:00"/>
    <d v="2022-10-08T00:00:00"/>
    <n v="22026103"/>
    <n v="2234651"/>
    <n v="1001802495"/>
    <s v="RAM MURTI"/>
    <x v="1062"/>
    <n v="11821"/>
    <n v="97138"/>
    <n v="54073"/>
    <n v="43065"/>
    <x v="1"/>
    <x v="4"/>
    <n v="0.55666165661224243"/>
    <x v="4"/>
  </r>
  <r>
    <n v="1914"/>
    <s v="MEDI ASSIST"/>
    <d v="2022-10-18T00:00:00"/>
    <x v="1"/>
    <d v="2022-10-26T00:00:00"/>
    <d v="2022-10-26T00:00:00"/>
    <n v="22028623"/>
    <n v="2236486"/>
    <n v="10013543560"/>
    <s v="BABITA BOTHRA"/>
    <x v="1063"/>
    <n v="15172"/>
    <n v="112400"/>
    <n v="3219"/>
    <n v="109181"/>
    <x v="1"/>
    <x v="3"/>
    <n v="2.863879003558719E-2"/>
    <x v="0"/>
  </r>
  <r>
    <n v="1915"/>
    <s v="Good Health Plan Limited"/>
    <d v="2022-10-28T00:00:00"/>
    <x v="1"/>
    <d v="2022-10-28T00:00:00"/>
    <d v="2022-10-28T00:00:00"/>
    <n v="22028953"/>
    <n v="2237806"/>
    <n v="10013471499"/>
    <s v="MOHAN LAL KATARIA"/>
    <x v="75"/>
    <n v="0"/>
    <n v="2200"/>
    <n v="220"/>
    <n v="1980"/>
    <x v="1"/>
    <x v="12"/>
    <n v="0.1"/>
    <x v="13"/>
  </r>
  <r>
    <n v="1916"/>
    <s v="HDFC ERGO General Insurance Co. Ltd."/>
    <d v="2022-10-04T00:00:00"/>
    <x v="1"/>
    <d v="2022-10-05T00:00:00"/>
    <d v="2022-10-05T00:00:00"/>
    <n v="22025762"/>
    <n v="2234598"/>
    <n v="10013541575"/>
    <s v="SUJAL BINDAL"/>
    <x v="1064"/>
    <n v="0"/>
    <n v="80034"/>
    <n v="3956"/>
    <n v="76078"/>
    <x v="1"/>
    <x v="0"/>
    <n v="4.9428992678111801E-2"/>
    <x v="6"/>
  </r>
  <r>
    <n v="1917"/>
    <s v=" MEDI ASSIST INSURANCE TPA LTD"/>
    <d v="2022-10-08T00:00:00"/>
    <x v="1"/>
    <d v="2022-10-08T00:00:00"/>
    <d v="2022-10-08T00:00:00"/>
    <n v="22026070"/>
    <n v="2235127"/>
    <n v="1001561182"/>
    <s v="TAPATI CHATTERJEE"/>
    <x v="211"/>
    <n v="0"/>
    <n v="2000"/>
    <n v="300"/>
    <n v="1700"/>
    <x v="1"/>
    <x v="6"/>
    <n v="0.15"/>
    <x v="13"/>
  </r>
  <r>
    <n v="1918"/>
    <s v="DGHS (DELHI GOVT.)"/>
    <d v="2022-10-07T00:00:00"/>
    <x v="1"/>
    <d v="2022-10-08T00:00:00"/>
    <d v="2022-10-08T00:00:00"/>
    <n v="22026122"/>
    <n v="2235020"/>
    <n v="1001803071"/>
    <s v="RAM NIWAS"/>
    <x v="1065"/>
    <n v="0"/>
    <n v="169257"/>
    <n v="24420"/>
    <n v="144837"/>
    <x v="1"/>
    <x v="1"/>
    <n v="0.14427763696627022"/>
    <x v="4"/>
  </r>
  <r>
    <n v="1919"/>
    <s v="GENERAL PATIENT"/>
    <d v="2022-10-25T00:00:00"/>
    <x v="1"/>
    <d v="2022-10-25T00:00:00"/>
    <d v="2022-10-25T00:00:00"/>
    <n v="22028525"/>
    <n v="2237337"/>
    <n v="10013372212"/>
    <s v="V. K.  SURI"/>
    <x v="45"/>
    <n v="416"/>
    <n v="4574"/>
    <n v="4574"/>
    <n v="0"/>
    <x v="0"/>
    <x v="6"/>
    <n v="1"/>
    <x v="13"/>
  </r>
  <r>
    <n v="1920"/>
    <s v=" CGHS Cash"/>
    <d v="2022-10-19T00:00:00"/>
    <x v="1"/>
    <d v="2022-10-19T00:00:00"/>
    <d v="2022-10-19T00:00:00"/>
    <n v="22027779"/>
    <n v="2236671"/>
    <n v="1001758739"/>
    <s v="HEMLATA"/>
    <x v="137"/>
    <n v="0"/>
    <n v="2560"/>
    <n v="2560"/>
    <n v="0"/>
    <x v="0"/>
    <x v="6"/>
    <n v="1"/>
    <x v="13"/>
  </r>
  <r>
    <n v="1921"/>
    <s v="GENERAL PATIENT"/>
    <d v="2022-10-20T00:00:00"/>
    <x v="1"/>
    <d v="2022-10-20T00:00:00"/>
    <d v="2022-10-20T00:00:00"/>
    <n v="22027943"/>
    <n v="2236807"/>
    <n v="10013541901"/>
    <s v="PINKI DEVI"/>
    <x v="73"/>
    <n v="286"/>
    <n v="2558"/>
    <n v="2558"/>
    <n v="0"/>
    <x v="0"/>
    <x v="6"/>
    <n v="1"/>
    <x v="13"/>
  </r>
  <r>
    <n v="1922"/>
    <s v="T.T.K"/>
    <d v="2022-10-17T00:00:00"/>
    <x v="1"/>
    <d v="2022-10-17T00:00:00"/>
    <d v="2022-10-17T00:00:00"/>
    <n v="22027445"/>
    <n v="2236325"/>
    <n v="10013376566"/>
    <s v="RAJEEV BHATIA"/>
    <x v="75"/>
    <n v="0"/>
    <n v="2200"/>
    <n v="440"/>
    <n v="1760"/>
    <x v="1"/>
    <x v="12"/>
    <n v="0.2"/>
    <x v="13"/>
  </r>
  <r>
    <n v="1923"/>
    <s v="CARE HEALTH INSURANCE LIMITED"/>
    <d v="2022-09-30T00:00:00"/>
    <x v="0"/>
    <d v="2022-10-01T00:00:00"/>
    <d v="2022-10-01T00:00:00"/>
    <n v="22025219"/>
    <n v="2234010"/>
    <n v="10013537777"/>
    <s v="DEEPIKA SHARMA"/>
    <x v="1066"/>
    <n v="0"/>
    <n v="77025"/>
    <n v="1500"/>
    <n v="75525"/>
    <x v="1"/>
    <x v="1"/>
    <n v="1.9474196689386564E-2"/>
    <x v="14"/>
  </r>
  <r>
    <n v="1924"/>
    <s v="SMILE TRAIN"/>
    <d v="2022-10-19T00:00:00"/>
    <x v="1"/>
    <d v="2022-10-20T00:00:00"/>
    <d v="2022-10-20T00:00:00"/>
    <n v="22027872"/>
    <n v="2236641"/>
    <n v="10013527371"/>
    <s v="ROSHAN PASWAN"/>
    <x v="1067"/>
    <n v="8767"/>
    <n v="0"/>
    <n v="0"/>
    <n v="0"/>
    <x v="0"/>
    <x v="1"/>
    <e v="#DIV/0!"/>
    <x v="6"/>
  </r>
  <r>
    <n v="1925"/>
    <s v="Staff DEPENDENT"/>
    <d v="2022-10-23T00:00:00"/>
    <x v="1"/>
    <d v="2022-10-23T00:00:00"/>
    <d v="2022-10-23T00:00:00"/>
    <n v="22028387"/>
    <n v="2237158"/>
    <n v="1000915528"/>
    <s v="SHABNAM"/>
    <x v="112"/>
    <n v="3488"/>
    <n v="0"/>
    <n v="0"/>
    <n v="0"/>
    <x v="0"/>
    <x v="6"/>
    <e v="#DIV/0!"/>
    <x v="13"/>
  </r>
  <r>
    <n v="1926"/>
    <s v="CGHS ( CREDIT)"/>
    <d v="2022-10-16T00:00:00"/>
    <x v="1"/>
    <d v="2022-10-19T00:00:00"/>
    <d v="2022-10-19T00:00:00"/>
    <n v="22027675"/>
    <n v="2236261"/>
    <n v="10013472917"/>
    <s v="BALDEV RAJ"/>
    <x v="1068"/>
    <n v="0"/>
    <n v="70830"/>
    <n v="5828"/>
    <n v="65002"/>
    <x v="1"/>
    <x v="1"/>
    <n v="8.2281519130312009E-2"/>
    <x v="0"/>
  </r>
  <r>
    <n v="1927"/>
    <s v="NIVA BUPA"/>
    <d v="2022-10-01T00:00:00"/>
    <x v="1"/>
    <d v="2022-10-02T00:00:00"/>
    <d v="2022-10-02T00:00:00"/>
    <n v="22025293"/>
    <n v="2234146"/>
    <n v="1001801780"/>
    <s v="SUSHIL KUMAR JAIN"/>
    <x v="1069"/>
    <n v="11537"/>
    <n v="106401"/>
    <n v="1937"/>
    <n v="104464"/>
    <x v="1"/>
    <x v="2"/>
    <n v="1.8204716121089086E-2"/>
    <x v="16"/>
  </r>
  <r>
    <n v="1928"/>
    <s v="CGHS ( CREDIT)"/>
    <d v="2022-09-21T00:00:00"/>
    <x v="0"/>
    <d v="2022-10-02T00:00:00"/>
    <d v="2022-10-02T00:00:00"/>
    <n v="22025303"/>
    <n v="2232822"/>
    <n v="10013539657"/>
    <s v="SUDESH SAH"/>
    <x v="1070"/>
    <n v="0"/>
    <n v="165155"/>
    <n v="4224"/>
    <n v="160931"/>
    <x v="1"/>
    <x v="0"/>
    <n v="2.5575974084950499E-2"/>
    <x v="0"/>
  </r>
  <r>
    <n v="1929"/>
    <s v="STAFF"/>
    <d v="2022-10-12T00:00:00"/>
    <x v="1"/>
    <d v="2022-10-17T00:00:00"/>
    <d v="2022-10-17T00:00:00"/>
    <n v="22027435"/>
    <n v="2235723"/>
    <n v="10013409586"/>
    <s v="GAURAV TANWAR"/>
    <x v="1071"/>
    <n v="169939"/>
    <n v="0"/>
    <n v="0"/>
    <n v="0"/>
    <x v="0"/>
    <x v="1"/>
    <e v="#DIV/0!"/>
    <x v="0"/>
  </r>
  <r>
    <n v="1930"/>
    <s v="Delhi Arogya kosh"/>
    <d v="2022-10-22T00:00:00"/>
    <x v="1"/>
    <d v="2022-10-22T00:00:00"/>
    <d v="2022-10-22T00:00:00"/>
    <n v="22028288"/>
    <n v="2237096"/>
    <n v="1001188488"/>
    <s v="PARVEEN"/>
    <x v="243"/>
    <n v="0"/>
    <n v="1274"/>
    <n v="0"/>
    <n v="1274"/>
    <x v="1"/>
    <x v="6"/>
    <n v="0"/>
    <x v="13"/>
  </r>
  <r>
    <n v="1931"/>
    <s v=" DAK DIALYSIS"/>
    <d v="2022-10-03T00:00:00"/>
    <x v="1"/>
    <d v="2022-10-03T00:00:00"/>
    <d v="2022-10-03T00:00:00"/>
    <n v="22025430"/>
    <n v="2234423"/>
    <n v="1001647517"/>
    <s v="RAJENDER PANDAY"/>
    <x v="243"/>
    <n v="0"/>
    <n v="1274"/>
    <n v="0"/>
    <n v="1274"/>
    <x v="1"/>
    <x v="6"/>
    <n v="0"/>
    <x v="13"/>
  </r>
  <r>
    <n v="1932"/>
    <s v=" DAK DIALYSIS"/>
    <d v="2022-10-21T00:00:00"/>
    <x v="1"/>
    <d v="2022-10-21T00:00:00"/>
    <d v="2022-10-21T00:00:00"/>
    <n v="22027972"/>
    <n v="2236872"/>
    <n v="1001751950"/>
    <s v="GITANJALI MOHAPATRA"/>
    <x v="243"/>
    <n v="0"/>
    <n v="1274"/>
    <n v="0"/>
    <n v="1274"/>
    <x v="1"/>
    <x v="6"/>
    <n v="0"/>
    <x v="13"/>
  </r>
  <r>
    <n v="1933"/>
    <s v="VIPUL MED CORP PVT LTD"/>
    <d v="2022-10-08T00:00:00"/>
    <x v="1"/>
    <d v="2022-10-08T00:00:00"/>
    <d v="2022-10-08T00:00:00"/>
    <n v="22026221"/>
    <n v="2235215"/>
    <n v="10013519562"/>
    <s v="KAMLA SATI"/>
    <x v="75"/>
    <n v="0"/>
    <n v="2200"/>
    <n v="0"/>
    <n v="2200"/>
    <x v="1"/>
    <x v="12"/>
    <n v="0"/>
    <x v="13"/>
  </r>
  <r>
    <n v="1934"/>
    <s v=" CGHS CREDIT"/>
    <d v="2022-10-05T00:00:00"/>
    <x v="1"/>
    <d v="2022-10-05T00:00:00"/>
    <d v="2022-10-05T00:00:00"/>
    <n v="22025652"/>
    <n v="2234695"/>
    <n v="1001749543"/>
    <s v="DALEEP SINGH NEGI"/>
    <x v="43"/>
    <n v="0"/>
    <n v="1610"/>
    <n v="0"/>
    <n v="1610"/>
    <x v="1"/>
    <x v="6"/>
    <n v="0"/>
    <x v="13"/>
  </r>
  <r>
    <n v="1935"/>
    <s v=" CGHS CREDIT"/>
    <d v="2022-10-24T00:00:00"/>
    <x v="1"/>
    <d v="2022-10-24T00:00:00"/>
    <d v="2022-10-24T00:00:00"/>
    <n v="22028445"/>
    <n v="2237230"/>
    <n v="1001772963"/>
    <s v="RAVINDER VERMA"/>
    <x v="43"/>
    <n v="0"/>
    <n v="1610"/>
    <n v="0"/>
    <n v="1610"/>
    <x v="1"/>
    <x v="6"/>
    <n v="0"/>
    <x v="13"/>
  </r>
  <r>
    <n v="1936"/>
    <s v="Delhi Arogya kosh"/>
    <d v="2022-10-22T00:00:00"/>
    <x v="1"/>
    <d v="2022-10-22T00:00:00"/>
    <d v="2022-10-22T00:00:00"/>
    <n v="22028290"/>
    <n v="2237087"/>
    <n v="10013371548"/>
    <s v="AMRIK SINGH"/>
    <x v="243"/>
    <n v="0"/>
    <n v="1274"/>
    <n v="0"/>
    <n v="1274"/>
    <x v="1"/>
    <x v="6"/>
    <n v="0"/>
    <x v="13"/>
  </r>
  <r>
    <n v="1937"/>
    <s v="STAR HEALTH CARE  (CREDIT)"/>
    <d v="2022-10-25T00:00:00"/>
    <x v="1"/>
    <d v="2022-10-26T00:00:00"/>
    <d v="2022-10-26T00:00:00"/>
    <n v="22028613"/>
    <n v="2237303"/>
    <n v="1001806077"/>
    <s v="MANI RAM"/>
    <x v="1072"/>
    <n v="2594"/>
    <n v="41196"/>
    <n v="0"/>
    <n v="41196"/>
    <x v="1"/>
    <x v="1"/>
    <n v="0"/>
    <x v="4"/>
  </r>
  <r>
    <n v="1938"/>
    <s v="ECHS"/>
    <d v="2022-10-23T00:00:00"/>
    <x v="1"/>
    <d v="2022-10-29T00:00:00"/>
    <d v="2022-10-29T00:00:00"/>
    <n v="22029110"/>
    <n v="2237191"/>
    <n v="1001027632"/>
    <s v="KAUSHALYA DEVI"/>
    <x v="1073"/>
    <n v="0"/>
    <n v="72680"/>
    <n v="0"/>
    <n v="72680"/>
    <x v="1"/>
    <x v="1"/>
    <n v="0"/>
    <x v="4"/>
  </r>
  <r>
    <n v="1939"/>
    <s v=" CGHS CREDIT"/>
    <d v="2022-10-21T00:00:00"/>
    <x v="1"/>
    <d v="2022-10-21T00:00:00"/>
    <d v="2022-10-21T00:00:00"/>
    <n v="22028068"/>
    <n v="2236919"/>
    <n v="1001681903"/>
    <s v="OM PRAKASH"/>
    <x v="43"/>
    <n v="0"/>
    <n v="1610"/>
    <n v="0"/>
    <n v="1610"/>
    <x v="1"/>
    <x v="6"/>
    <n v="0"/>
    <x v="13"/>
  </r>
  <r>
    <n v="1940"/>
    <s v="VIPUL MED CORP PVT LTD"/>
    <d v="2022-10-12T00:00:00"/>
    <x v="1"/>
    <d v="2022-10-12T00:00:00"/>
    <d v="2022-10-12T00:00:00"/>
    <n v="22026757"/>
    <n v="2235681"/>
    <n v="10013469159"/>
    <s v="ANITA NANGIA"/>
    <x v="75"/>
    <n v="0"/>
    <n v="2200"/>
    <n v="0"/>
    <n v="2200"/>
    <x v="1"/>
    <x v="12"/>
    <n v="0"/>
    <x v="13"/>
  </r>
  <r>
    <n v="1941"/>
    <s v="Delhi Arogya kosh"/>
    <d v="2022-10-27T00:00:00"/>
    <x v="1"/>
    <d v="2022-10-27T00:00:00"/>
    <d v="2022-10-27T00:00:00"/>
    <n v="22028837"/>
    <n v="2237711"/>
    <n v="10013292990"/>
    <s v="SONU YADAV"/>
    <x v="243"/>
    <n v="0"/>
    <n v="1274"/>
    <n v="0"/>
    <n v="1274"/>
    <x v="1"/>
    <x v="6"/>
    <n v="0"/>
    <x v="13"/>
  </r>
  <r>
    <n v="1942"/>
    <s v=" CGHS CREDIT"/>
    <d v="2022-10-07T00:00:00"/>
    <x v="1"/>
    <d v="2022-10-07T00:00:00"/>
    <d v="2022-10-07T00:00:00"/>
    <n v="22025937"/>
    <n v="2234989"/>
    <n v="10013503569"/>
    <s v="SURENDER KUMAR"/>
    <x v="43"/>
    <n v="0"/>
    <n v="1610"/>
    <n v="0"/>
    <n v="1610"/>
    <x v="1"/>
    <x v="6"/>
    <n v="0"/>
    <x v="13"/>
  </r>
  <r>
    <n v="1943"/>
    <s v="HDFC ERGO General Insurance Co. Ltd."/>
    <d v="2022-10-28T00:00:00"/>
    <x v="1"/>
    <d v="2022-10-29T00:00:00"/>
    <d v="2022-10-29T00:00:00"/>
    <n v="22029046"/>
    <n v="2237743"/>
    <n v="10013366928"/>
    <s v="SAWAN YADAV"/>
    <x v="1074"/>
    <n v="0"/>
    <n v="55013"/>
    <n v="0"/>
    <n v="55013"/>
    <x v="1"/>
    <x v="1"/>
    <n v="0"/>
    <x v="11"/>
  </r>
  <r>
    <n v="1944"/>
    <s v=" VIDAL HEALTH TPA"/>
    <d v="2022-10-12T00:00:00"/>
    <x v="1"/>
    <d v="2022-10-12T00:00:00"/>
    <d v="2022-10-12T00:00:00"/>
    <n v="22026795"/>
    <n v="2235746"/>
    <n v="1001753780"/>
    <s v="DAU DAYAL VARSHNEY"/>
    <x v="141"/>
    <n v="0"/>
    <n v="2950"/>
    <n v="0"/>
    <n v="2950"/>
    <x v="1"/>
    <x v="6"/>
    <n v="0"/>
    <x v="13"/>
  </r>
  <r>
    <n v="1945"/>
    <s v="ECHS"/>
    <d v="2022-10-14T00:00:00"/>
    <x v="1"/>
    <d v="2022-10-29T00:00:00"/>
    <d v="2022-10-29T00:00:00"/>
    <n v="22029137"/>
    <n v="2235901"/>
    <n v="10013542922"/>
    <s v="OM SINGH"/>
    <x v="1075"/>
    <n v="0"/>
    <n v="156067"/>
    <n v="0"/>
    <n v="156067"/>
    <x v="1"/>
    <x v="0"/>
    <n v="0"/>
    <x v="0"/>
  </r>
  <r>
    <n v="1946"/>
    <s v=" DAK DIALYSIS"/>
    <d v="2022-10-14T00:00:00"/>
    <x v="1"/>
    <d v="2022-10-14T00:00:00"/>
    <d v="2022-10-14T00:00:00"/>
    <n v="22027091"/>
    <n v="2235996"/>
    <n v="1001699417"/>
    <s v="T.THAMBAN"/>
    <x v="243"/>
    <n v="0"/>
    <n v="1274"/>
    <n v="0"/>
    <n v="1274"/>
    <x v="1"/>
    <x v="6"/>
    <n v="0"/>
    <x v="13"/>
  </r>
  <r>
    <n v="1947"/>
    <s v=" Council of Scientific and Industrial Research (CSIR)"/>
    <d v="2022-10-03T00:00:00"/>
    <x v="1"/>
    <d v="2022-10-03T00:00:00"/>
    <d v="2022-10-03T00:00:00"/>
    <n v="22025424"/>
    <n v="2234426"/>
    <n v="1001729640"/>
    <s v="BRIJ MOHAN"/>
    <x v="43"/>
    <n v="0"/>
    <n v="1610"/>
    <n v="0"/>
    <n v="1610"/>
    <x v="1"/>
    <x v="6"/>
    <n v="0"/>
    <x v="13"/>
  </r>
  <r>
    <n v="1948"/>
    <s v="Delhi Arogya kosh"/>
    <d v="2022-10-01T00:00:00"/>
    <x v="1"/>
    <d v="2022-10-01T00:00:00"/>
    <d v="2022-10-01T00:00:00"/>
    <n v="22025243"/>
    <n v="2234256"/>
    <n v="10013387247"/>
    <s v="JANAKI PRASAD"/>
    <x v="243"/>
    <n v="0"/>
    <n v="1274"/>
    <n v="0"/>
    <n v="1274"/>
    <x v="1"/>
    <x v="6"/>
    <n v="0"/>
    <x v="13"/>
  </r>
  <r>
    <n v="1949"/>
    <s v="Delhi Arogya kosh"/>
    <d v="2022-10-13T00:00:00"/>
    <x v="1"/>
    <d v="2022-10-13T00:00:00"/>
    <d v="2022-10-13T00:00:00"/>
    <n v="22026957"/>
    <n v="2235885"/>
    <n v="10013223537"/>
    <s v="GOVIND"/>
    <x v="243"/>
    <n v="0"/>
    <n v="1274"/>
    <n v="0"/>
    <n v="1274"/>
    <x v="1"/>
    <x v="6"/>
    <n v="0"/>
    <x v="13"/>
  </r>
  <r>
    <n v="1950"/>
    <s v="CGHS ( CREDIT)"/>
    <d v="2022-10-31T00:00:00"/>
    <x v="1"/>
    <d v="2022-10-31T00:00:00"/>
    <d v="2022-10-31T00:00:00"/>
    <n v="22029326"/>
    <n v="2238176"/>
    <n v="1001300172"/>
    <s v="SWARN LATA KINDRA"/>
    <x v="43"/>
    <n v="0"/>
    <n v="1610"/>
    <n v="0"/>
    <n v="1610"/>
    <x v="1"/>
    <x v="6"/>
    <n v="0"/>
    <x v="13"/>
  </r>
  <r>
    <n v="1951"/>
    <s v=" DAK DIALYSIS"/>
    <d v="2022-10-26T00:00:00"/>
    <x v="1"/>
    <d v="2022-10-26T00:00:00"/>
    <d v="2022-10-26T00:00:00"/>
    <n v="22028588"/>
    <n v="2237460"/>
    <n v="1001367923"/>
    <s v="PRIYANKA KUMARI"/>
    <x v="243"/>
    <n v="0"/>
    <n v="1274"/>
    <n v="0"/>
    <n v="1274"/>
    <x v="1"/>
    <x v="6"/>
    <n v="0"/>
    <x v="13"/>
  </r>
  <r>
    <n v="1952"/>
    <s v="VIPUL MED CORP PVT LTD"/>
    <d v="2022-10-10T00:00:00"/>
    <x v="1"/>
    <d v="2022-10-10T00:00:00"/>
    <d v="2022-10-10T00:00:00"/>
    <n v="22026466"/>
    <n v="2235420"/>
    <n v="10013332282"/>
    <s v="SANGEETA"/>
    <x v="75"/>
    <n v="0"/>
    <n v="2200"/>
    <n v="0"/>
    <n v="2200"/>
    <x v="1"/>
    <x v="12"/>
    <n v="0"/>
    <x v="13"/>
  </r>
  <r>
    <n v="1953"/>
    <s v=" DAK DIALYSIS"/>
    <d v="2022-10-19T00:00:00"/>
    <x v="1"/>
    <d v="2022-10-19T00:00:00"/>
    <d v="2022-10-19T00:00:00"/>
    <n v="22027765"/>
    <n v="2236659"/>
    <n v="1001684202"/>
    <s v="RAM NIWAS"/>
    <x v="243"/>
    <n v="0"/>
    <n v="1274"/>
    <n v="0"/>
    <n v="1274"/>
    <x v="1"/>
    <x v="6"/>
    <n v="0"/>
    <x v="13"/>
  </r>
  <r>
    <n v="1954"/>
    <s v="RAKSHA (TPA)"/>
    <d v="2022-10-17T00:00:00"/>
    <x v="1"/>
    <d v="2022-10-17T00:00:00"/>
    <d v="2022-10-17T00:00:00"/>
    <n v="22027365"/>
    <n v="2236285"/>
    <n v="10013497993"/>
    <s v="KESHAV BIYANI"/>
    <x v="75"/>
    <n v="0"/>
    <n v="2200"/>
    <n v="0"/>
    <n v="2200"/>
    <x v="1"/>
    <x v="12"/>
    <n v="0"/>
    <x v="13"/>
  </r>
  <r>
    <n v="1955"/>
    <s v="Delhi Arogya kosh"/>
    <d v="2022-10-25T00:00:00"/>
    <x v="1"/>
    <d v="2022-10-25T00:00:00"/>
    <d v="2022-10-25T00:00:00"/>
    <n v="22028532"/>
    <n v="2237301"/>
    <n v="1001307852"/>
    <s v="MEERA DEVI"/>
    <x v="243"/>
    <n v="0"/>
    <n v="1274"/>
    <n v="0"/>
    <n v="1274"/>
    <x v="1"/>
    <x v="6"/>
    <n v="0"/>
    <x v="13"/>
  </r>
  <r>
    <n v="1956"/>
    <s v="Delhi Arogya kosh"/>
    <d v="2022-10-11T00:00:00"/>
    <x v="1"/>
    <d v="2022-10-11T00:00:00"/>
    <d v="2022-10-11T00:00:00"/>
    <n v="22026638"/>
    <n v="2235613"/>
    <n v="10013521329"/>
    <s v="KANTI"/>
    <x v="243"/>
    <n v="0"/>
    <n v="1274"/>
    <n v="0"/>
    <n v="1274"/>
    <x v="1"/>
    <x v="6"/>
    <n v="0"/>
    <x v="13"/>
  </r>
  <r>
    <n v="1957"/>
    <s v=" ECHS CREDIT"/>
    <d v="2022-10-20T00:00:00"/>
    <x v="1"/>
    <d v="2022-10-20T00:00:00"/>
    <d v="2022-10-20T00:00:00"/>
    <n v="22027929"/>
    <n v="2236773"/>
    <n v="1001797077"/>
    <s v="DURGA DEVI"/>
    <x v="43"/>
    <n v="0"/>
    <n v="1610"/>
    <n v="0"/>
    <n v="1610"/>
    <x v="1"/>
    <x v="6"/>
    <n v="0"/>
    <x v="13"/>
  </r>
  <r>
    <n v="1958"/>
    <s v="GENERAL PATIENT"/>
    <d v="2022-10-14T00:00:00"/>
    <x v="1"/>
    <d v="2022-10-19T00:00:00"/>
    <d v="2022-10-19T00:00:00"/>
    <n v="22027751"/>
    <n v="2236025"/>
    <n v="10013543062"/>
    <s v="JITENDER SHARMA"/>
    <x v="1076"/>
    <n v="173407"/>
    <n v="1800"/>
    <n v="0"/>
    <n v="1800"/>
    <x v="1"/>
    <x v="9"/>
    <n v="0"/>
    <x v="0"/>
  </r>
  <r>
    <n v="1959"/>
    <s v="CGHS ( CREDIT)"/>
    <d v="2022-10-01T00:00:00"/>
    <x v="1"/>
    <d v="2022-10-01T00:00:00"/>
    <d v="2022-10-01T00:00:00"/>
    <n v="22025101"/>
    <n v="2234164"/>
    <n v="10013373132"/>
    <s v="DEVI RANI"/>
    <x v="43"/>
    <n v="0"/>
    <n v="1610"/>
    <n v="0"/>
    <n v="1610"/>
    <x v="1"/>
    <x v="6"/>
    <n v="0"/>
    <x v="13"/>
  </r>
  <r>
    <n v="1960"/>
    <s v="Delhi Arogya kosh"/>
    <d v="2022-10-03T00:00:00"/>
    <x v="1"/>
    <d v="2022-10-03T00:00:00"/>
    <d v="2022-10-03T00:00:00"/>
    <n v="22025465"/>
    <n v="2234479"/>
    <n v="10013413542"/>
    <s v="KAMLA DEVI"/>
    <x v="243"/>
    <n v="0"/>
    <n v="1274"/>
    <n v="0"/>
    <n v="1274"/>
    <x v="1"/>
    <x v="6"/>
    <n v="0"/>
    <x v="13"/>
  </r>
  <r>
    <n v="1961"/>
    <s v="CGHS ( CREDIT)"/>
    <d v="2022-09-30T00:00:00"/>
    <x v="0"/>
    <d v="2022-10-02T00:00:00"/>
    <d v="2022-10-02T00:00:00"/>
    <n v="22025270"/>
    <n v="2234043"/>
    <n v="10013540945"/>
    <s v="SUNITA"/>
    <x v="1077"/>
    <n v="0"/>
    <n v="24882"/>
    <n v="0"/>
    <n v="24882"/>
    <x v="1"/>
    <x v="0"/>
    <n v="0"/>
    <x v="4"/>
  </r>
  <r>
    <n v="1962"/>
    <s v="GOVT. OF NCT OF DELHI"/>
    <d v="2022-10-10T00:00:00"/>
    <x v="1"/>
    <d v="2022-10-10T00:00:00"/>
    <d v="2022-10-10T00:00:00"/>
    <n v="22026404"/>
    <n v="2235377"/>
    <n v="1000853411"/>
    <s v="SOMA"/>
    <x v="43"/>
    <n v="0"/>
    <n v="1610"/>
    <n v="0"/>
    <n v="1610"/>
    <x v="1"/>
    <x v="6"/>
    <n v="0"/>
    <x v="13"/>
  </r>
  <r>
    <n v="1963"/>
    <s v="GENERAL PATIENT (MAH)"/>
    <d v="2022-10-27T00:00:00"/>
    <x v="1"/>
    <d v="2022-10-28T00:00:00"/>
    <d v="2022-10-28T00:00:00"/>
    <n v="22028947"/>
    <n v="2237630"/>
    <n v="1000907127"/>
    <s v="RAJINDER LAL"/>
    <x v="1078"/>
    <n v="131029"/>
    <n v="0"/>
    <n v="0"/>
    <n v="0"/>
    <x v="1"/>
    <x v="9"/>
    <e v="#DIV/0!"/>
    <x v="4"/>
  </r>
  <r>
    <n v="1964"/>
    <s v="Delhi Arogya kosh"/>
    <d v="2022-10-19T00:00:00"/>
    <x v="1"/>
    <d v="2022-10-19T00:00:00"/>
    <d v="2022-10-19T00:00:00"/>
    <n v="22027799"/>
    <n v="2236690"/>
    <n v="1001188488"/>
    <s v="PARVEEN"/>
    <x v="243"/>
    <n v="0"/>
    <n v="1274"/>
    <n v="0"/>
    <n v="1274"/>
    <x v="1"/>
    <x v="6"/>
    <n v="0"/>
    <x v="13"/>
  </r>
  <r>
    <n v="1965"/>
    <s v="Safeway Mediclaim Services Pvt. Ltd."/>
    <d v="2022-10-28T00:00:00"/>
    <x v="1"/>
    <d v="2022-10-28T00:00:00"/>
    <d v="2022-10-28T00:00:00"/>
    <n v="22028851"/>
    <n v="2237759"/>
    <n v="1000992104"/>
    <s v="SARITA GOEL"/>
    <x v="75"/>
    <n v="0"/>
    <n v="2200"/>
    <n v="0"/>
    <n v="2200"/>
    <x v="1"/>
    <x v="12"/>
    <n v="0"/>
    <x v="13"/>
  </r>
  <r>
    <n v="1966"/>
    <s v="Delhi Arogya kosh"/>
    <d v="2022-10-13T00:00:00"/>
    <x v="1"/>
    <d v="2022-10-13T00:00:00"/>
    <d v="2022-10-13T00:00:00"/>
    <n v="22026942"/>
    <n v="2235864"/>
    <n v="1000891592"/>
    <s v="MANOJ"/>
    <x v="243"/>
    <n v="0"/>
    <n v="1274"/>
    <n v="0"/>
    <n v="1274"/>
    <x v="1"/>
    <x v="6"/>
    <n v="0"/>
    <x v="13"/>
  </r>
  <r>
    <n v="1967"/>
    <s v=" DAK DIALYSIS"/>
    <d v="2022-10-29T00:00:00"/>
    <x v="1"/>
    <d v="2022-10-29T00:00:00"/>
    <d v="2022-10-29T00:00:00"/>
    <n v="22029013"/>
    <n v="2237922"/>
    <n v="1001666089"/>
    <s v="PRADEEP BISHT"/>
    <x v="243"/>
    <n v="0"/>
    <n v="1274"/>
    <n v="0"/>
    <n v="1274"/>
    <x v="1"/>
    <x v="6"/>
    <n v="0"/>
    <x v="13"/>
  </r>
  <r>
    <n v="1968"/>
    <s v="CGHS ( CREDIT)"/>
    <d v="2022-10-10T00:00:00"/>
    <x v="1"/>
    <d v="2022-10-10T00:00:00"/>
    <d v="2022-10-10T00:00:00"/>
    <n v="22026335"/>
    <n v="2235337"/>
    <n v="10013401847"/>
    <s v="TIRLOCHAN SINGH"/>
    <x v="43"/>
    <n v="0"/>
    <n v="1610"/>
    <n v="0"/>
    <n v="1610"/>
    <x v="1"/>
    <x v="6"/>
    <n v="0"/>
    <x v="13"/>
  </r>
  <r>
    <n v="1969"/>
    <s v="GOVT. OF NCT OF DELHI"/>
    <d v="2022-10-23T00:00:00"/>
    <x v="1"/>
    <d v="2022-10-23T00:00:00"/>
    <d v="2022-10-23T00:00:00"/>
    <n v="22028370"/>
    <n v="2237155"/>
    <n v="1000853411"/>
    <s v="SOMA"/>
    <x v="43"/>
    <n v="0"/>
    <n v="1610"/>
    <n v="0"/>
    <n v="1610"/>
    <x v="1"/>
    <x v="6"/>
    <n v="0"/>
    <x v="13"/>
  </r>
  <r>
    <n v="1970"/>
    <s v=" ECHS CREDIT"/>
    <d v="2022-10-02T00:00:00"/>
    <x v="1"/>
    <d v="2022-10-12T00:00:00"/>
    <d v="2022-10-12T00:00:00"/>
    <n v="22026752"/>
    <n v="2234305"/>
    <n v="1001801989"/>
    <s v="YASHPAL SINGH"/>
    <x v="1079"/>
    <n v="0"/>
    <n v="73176"/>
    <n v="0"/>
    <n v="73176"/>
    <x v="1"/>
    <x v="1"/>
    <n v="0"/>
    <x v="0"/>
  </r>
  <r>
    <n v="1971"/>
    <s v="Delhi Arogya kosh"/>
    <d v="2022-10-28T00:00:00"/>
    <x v="1"/>
    <d v="2022-10-28T00:00:00"/>
    <d v="2022-10-28T00:00:00"/>
    <n v="22028984"/>
    <n v="2237884"/>
    <n v="1000891355"/>
    <s v="PRAHLAD"/>
    <x v="243"/>
    <n v="0"/>
    <n v="1274"/>
    <n v="0"/>
    <n v="1274"/>
    <x v="1"/>
    <x v="6"/>
    <n v="0"/>
    <x v="13"/>
  </r>
  <r>
    <n v="1972"/>
    <s v="Safeway Mediclaim Services Pvt. Ltd."/>
    <d v="2022-10-28T00:00:00"/>
    <x v="1"/>
    <d v="2022-10-28T00:00:00"/>
    <d v="2022-10-28T00:00:00"/>
    <n v="22028932"/>
    <n v="2237784"/>
    <n v="1001684515"/>
    <s v="SHIV NARAYAN BANSAL"/>
    <x v="75"/>
    <n v="0"/>
    <n v="2200"/>
    <n v="0"/>
    <n v="2200"/>
    <x v="1"/>
    <x v="12"/>
    <n v="0"/>
    <x v="13"/>
  </r>
  <r>
    <n v="1973"/>
    <s v=" CGHS CREDIT"/>
    <d v="2022-10-12T00:00:00"/>
    <x v="1"/>
    <d v="2022-10-13T00:00:00"/>
    <d v="2022-10-14T00:00:00"/>
    <n v="22027070"/>
    <n v="2235724"/>
    <n v="1001803988"/>
    <s v="KISHAN KUMAR"/>
    <x v="1080"/>
    <n v="0"/>
    <n v="144868"/>
    <n v="0"/>
    <n v="144868"/>
    <x v="1"/>
    <x v="1"/>
    <n v="0"/>
    <x v="4"/>
  </r>
  <r>
    <n v="1974"/>
    <s v=" HEALTH INSURANCE TPA OF INDIA LTD"/>
    <d v="2022-10-08T00:00:00"/>
    <x v="1"/>
    <d v="2022-10-08T00:00:00"/>
    <d v="2022-10-08T00:00:00"/>
    <n v="22026207"/>
    <n v="2235224"/>
    <n v="1001445916"/>
    <s v="NAGENDER PATHAK"/>
    <x v="211"/>
    <n v="0"/>
    <n v="2000"/>
    <n v="0"/>
    <n v="2000"/>
    <x v="1"/>
    <x v="6"/>
    <n v="0"/>
    <x v="13"/>
  </r>
  <r>
    <n v="1975"/>
    <s v="HDFC ERGO General Insurance Co. Ltd."/>
    <d v="2022-09-30T00:00:00"/>
    <x v="0"/>
    <d v="2022-10-01T00:00:00"/>
    <d v="2022-10-01T00:00:00"/>
    <n v="22025117"/>
    <n v="2234044"/>
    <n v="10013540889"/>
    <s v="NARESH KUMAR"/>
    <x v="1081"/>
    <n v="0"/>
    <n v="166802"/>
    <n v="0"/>
    <n v="166802"/>
    <x v="1"/>
    <x v="2"/>
    <n v="0"/>
    <x v="11"/>
  </r>
  <r>
    <n v="1976"/>
    <s v="GOVT. OF NCT OF DELHI"/>
    <d v="2022-10-19T00:00:00"/>
    <x v="1"/>
    <d v="2022-10-19T00:00:00"/>
    <d v="2022-10-19T00:00:00"/>
    <n v="22027729"/>
    <n v="2236618"/>
    <n v="1000979923"/>
    <s v="SAROJ"/>
    <x v="43"/>
    <n v="0"/>
    <n v="1610"/>
    <n v="0"/>
    <n v="1610"/>
    <x v="1"/>
    <x v="6"/>
    <n v="0"/>
    <x v="13"/>
  </r>
  <r>
    <n v="1977"/>
    <s v="HEALTH INDIA"/>
    <d v="2022-10-22T00:00:00"/>
    <x v="1"/>
    <d v="2022-10-22T00:00:00"/>
    <d v="2022-10-22T00:00:00"/>
    <n v="22028297"/>
    <n v="2237100"/>
    <n v="1001456152"/>
    <s v="VIRENDER KUMAR ATRI"/>
    <x v="75"/>
    <n v="0"/>
    <n v="2200"/>
    <n v="0"/>
    <n v="2200"/>
    <x v="1"/>
    <x v="12"/>
    <n v="0"/>
    <x v="13"/>
  </r>
  <r>
    <n v="1978"/>
    <s v=" DAK DIALYSIS"/>
    <d v="2022-10-26T00:00:00"/>
    <x v="1"/>
    <d v="2022-10-26T00:00:00"/>
    <d v="2022-10-26T00:00:00"/>
    <n v="22028681"/>
    <n v="2237540"/>
    <n v="1001684202"/>
    <s v="RAM NIWAS"/>
    <x v="243"/>
    <n v="0"/>
    <n v="1274"/>
    <n v="0"/>
    <n v="1274"/>
    <x v="1"/>
    <x v="6"/>
    <n v="0"/>
    <x v="13"/>
  </r>
  <r>
    <n v="1979"/>
    <s v="Delhi Arogya kosh"/>
    <d v="2022-10-26T00:00:00"/>
    <x v="1"/>
    <d v="2022-10-26T00:00:00"/>
    <d v="2022-10-26T00:00:00"/>
    <n v="22028700"/>
    <n v="2237568"/>
    <n v="10013371548"/>
    <s v="AMRIK SINGH"/>
    <x v="243"/>
    <n v="0"/>
    <n v="1274"/>
    <n v="0"/>
    <n v="1274"/>
    <x v="1"/>
    <x v="6"/>
    <n v="0"/>
    <x v="13"/>
  </r>
  <r>
    <n v="1980"/>
    <s v="ECHS"/>
    <d v="2022-10-13T00:00:00"/>
    <x v="1"/>
    <d v="2022-10-17T00:00:00"/>
    <d v="2022-10-22T00:00:00"/>
    <n v="22028239"/>
    <n v="2235896"/>
    <n v="1001005990"/>
    <s v="KRISHNA DEVI GUPTA"/>
    <x v="1082"/>
    <n v="0"/>
    <n v="151642"/>
    <n v="0"/>
    <n v="151642"/>
    <x v="1"/>
    <x v="0"/>
    <n v="0"/>
    <x v="4"/>
  </r>
  <r>
    <n v="1981"/>
    <s v="Delhi Arogya kosh"/>
    <d v="2022-10-11T00:00:00"/>
    <x v="1"/>
    <d v="2022-10-11T00:00:00"/>
    <d v="2022-10-11T00:00:00"/>
    <n v="22026640"/>
    <n v="2235610"/>
    <n v="1000891068"/>
    <s v="SUSHIL SHARMA"/>
    <x v="243"/>
    <n v="0"/>
    <n v="1274"/>
    <n v="0"/>
    <n v="1274"/>
    <x v="1"/>
    <x v="6"/>
    <n v="0"/>
    <x v="13"/>
  </r>
  <r>
    <n v="1982"/>
    <s v="Delhi Arogya kosh"/>
    <d v="2022-10-22T00:00:00"/>
    <x v="1"/>
    <d v="2022-10-22T00:00:00"/>
    <d v="2022-10-22T00:00:00"/>
    <n v="22028292"/>
    <n v="2237089"/>
    <n v="1000857532"/>
    <s v="HARI BABU"/>
    <x v="243"/>
    <n v="0"/>
    <n v="1274"/>
    <n v="0"/>
    <n v="1274"/>
    <x v="1"/>
    <x v="6"/>
    <n v="0"/>
    <x v="13"/>
  </r>
  <r>
    <n v="1983"/>
    <s v="GOVT. OF NCT OF DELHI"/>
    <d v="2022-10-15T00:00:00"/>
    <x v="1"/>
    <d v="2022-10-15T00:00:00"/>
    <d v="2022-10-15T00:00:00"/>
    <n v="22027256"/>
    <n v="2236167"/>
    <n v="1000979923"/>
    <s v="SAROJ"/>
    <x v="43"/>
    <n v="0"/>
    <n v="1610"/>
    <n v="0"/>
    <n v="1610"/>
    <x v="1"/>
    <x v="6"/>
    <n v="0"/>
    <x v="13"/>
  </r>
  <r>
    <n v="1984"/>
    <s v=" DAK DIALYSIS"/>
    <d v="2022-10-25T00:00:00"/>
    <x v="1"/>
    <d v="2022-10-25T00:00:00"/>
    <d v="2022-10-25T00:00:00"/>
    <n v="22028541"/>
    <n v="2237379"/>
    <n v="1001777331"/>
    <s v="RAVI KUMAR SINGH"/>
    <x v="243"/>
    <n v="0"/>
    <n v="1274"/>
    <n v="0"/>
    <n v="1274"/>
    <x v="1"/>
    <x v="6"/>
    <n v="0"/>
    <x v="13"/>
  </r>
  <r>
    <n v="1985"/>
    <s v="Delhi Arogya kosh"/>
    <d v="2022-10-08T00:00:00"/>
    <x v="1"/>
    <d v="2022-10-08T00:00:00"/>
    <d v="2022-10-08T00:00:00"/>
    <n v="22026229"/>
    <n v="2235237"/>
    <n v="10013516483"/>
    <s v="CHANCHAL RANI"/>
    <x v="243"/>
    <n v="0"/>
    <n v="1274"/>
    <n v="0"/>
    <n v="1274"/>
    <x v="1"/>
    <x v="6"/>
    <n v="0"/>
    <x v="13"/>
  </r>
  <r>
    <n v="1986"/>
    <s v="CGHS ( CREDIT)"/>
    <d v="2022-10-27T00:00:00"/>
    <x v="1"/>
    <d v="2022-10-27T00:00:00"/>
    <d v="2022-10-27T00:00:00"/>
    <n v="22028781"/>
    <n v="2237637"/>
    <n v="10013335004"/>
    <s v="GIRDHARA SINGH"/>
    <x v="43"/>
    <n v="0"/>
    <n v="1610"/>
    <n v="0"/>
    <n v="1610"/>
    <x v="1"/>
    <x v="6"/>
    <n v="0"/>
    <x v="13"/>
  </r>
  <r>
    <n v="1987"/>
    <s v="CGHS ( CREDIT)"/>
    <d v="2022-10-29T00:00:00"/>
    <x v="1"/>
    <d v="2022-10-29T00:00:00"/>
    <d v="2022-10-29T00:00:00"/>
    <n v="22029017"/>
    <n v="2237925"/>
    <n v="10013480632"/>
    <s v="MANJU GUPTA"/>
    <x v="43"/>
    <n v="0"/>
    <n v="1610"/>
    <n v="0"/>
    <n v="1610"/>
    <x v="1"/>
    <x v="6"/>
    <n v="0"/>
    <x v="13"/>
  </r>
  <r>
    <n v="1988"/>
    <s v="Delhi Arogya kosh"/>
    <d v="2022-10-04T00:00:00"/>
    <x v="1"/>
    <d v="2022-10-04T00:00:00"/>
    <d v="2022-10-04T00:00:00"/>
    <n v="22025618"/>
    <n v="2234621"/>
    <n v="1001397167"/>
    <s v="SUNIL KUMAR AGGARWAL"/>
    <x v="243"/>
    <n v="0"/>
    <n v="1274"/>
    <n v="0"/>
    <n v="1274"/>
    <x v="1"/>
    <x v="6"/>
    <n v="0"/>
    <x v="13"/>
  </r>
  <r>
    <n v="1989"/>
    <s v="SMILE TRAIN"/>
    <d v="2022-10-06T00:00:00"/>
    <x v="1"/>
    <d v="2022-10-08T00:00:00"/>
    <d v="2022-10-08T00:00:00"/>
    <n v="22026175"/>
    <n v="2234934"/>
    <n v="10013540506"/>
    <s v="PIYUSH"/>
    <x v="1083"/>
    <n v="29719"/>
    <n v="30000"/>
    <n v="0"/>
    <n v="30000"/>
    <x v="1"/>
    <x v="1"/>
    <n v="0"/>
    <x v="6"/>
  </r>
  <r>
    <n v="1990"/>
    <s v="Delhi Arogya kosh"/>
    <d v="2022-10-25T00:00:00"/>
    <x v="1"/>
    <d v="2022-10-25T00:00:00"/>
    <d v="2022-10-25T00:00:00"/>
    <n v="22028534"/>
    <n v="2237292"/>
    <n v="10013457170"/>
    <s v="MANOJ                   II"/>
    <x v="243"/>
    <n v="0"/>
    <n v="1274"/>
    <n v="0"/>
    <n v="1274"/>
    <x v="1"/>
    <x v="6"/>
    <n v="0"/>
    <x v="13"/>
  </r>
  <r>
    <n v="1991"/>
    <s v="GENERAL PATIENT"/>
    <d v="2022-10-25T00:00:00"/>
    <x v="1"/>
    <d v="2022-10-29T00:00:00"/>
    <d v="2022-10-29T00:00:00"/>
    <n v="22028995"/>
    <n v="2237350"/>
    <n v="1001106724"/>
    <s v="RAM NIWAS"/>
    <x v="1084"/>
    <n v="43205"/>
    <n v="99357"/>
    <n v="0"/>
    <n v="99357"/>
    <x v="1"/>
    <x v="13"/>
    <n v="0"/>
    <x v="12"/>
  </r>
  <r>
    <n v="1992"/>
    <s v="Delhi Arogya kosh"/>
    <d v="2022-10-15T00:00:00"/>
    <x v="1"/>
    <d v="2022-10-15T00:00:00"/>
    <d v="2022-10-15T00:00:00"/>
    <n v="22027155"/>
    <n v="2236099"/>
    <n v="10013436995"/>
    <s v="URVASHI"/>
    <x v="243"/>
    <n v="0"/>
    <n v="1274"/>
    <n v="0"/>
    <n v="1274"/>
    <x v="1"/>
    <x v="6"/>
    <n v="0"/>
    <x v="13"/>
  </r>
  <r>
    <n v="1993"/>
    <s v=" ECHS CREDIT"/>
    <d v="2022-10-29T00:00:00"/>
    <x v="1"/>
    <d v="2022-10-29T00:00:00"/>
    <d v="2022-10-29T00:00:00"/>
    <n v="22029101"/>
    <n v="2237980"/>
    <n v="1001765693"/>
    <s v="SHRI PRAKASH PRAJAPATI"/>
    <x v="43"/>
    <n v="0"/>
    <n v="1610"/>
    <n v="0"/>
    <n v="1610"/>
    <x v="1"/>
    <x v="6"/>
    <n v="0"/>
    <x v="13"/>
  </r>
  <r>
    <n v="1994"/>
    <s v=" CGHS CREDIT"/>
    <d v="2022-10-31T00:00:00"/>
    <x v="1"/>
    <d v="2022-10-31T00:00:00"/>
    <d v="2022-10-31T00:00:00"/>
    <n v="22029243"/>
    <n v="2238135"/>
    <n v="1001777526"/>
    <s v="PRADEEP KUMAR MALIK"/>
    <x v="43"/>
    <n v="0"/>
    <n v="1610"/>
    <n v="0"/>
    <n v="1610"/>
    <x v="1"/>
    <x v="6"/>
    <n v="0"/>
    <x v="13"/>
  </r>
  <r>
    <n v="1995"/>
    <s v=" DAK DIALYSIS"/>
    <d v="2022-10-25T00:00:00"/>
    <x v="1"/>
    <d v="2022-10-25T00:00:00"/>
    <d v="2022-10-25T00:00:00"/>
    <n v="22028479"/>
    <n v="2237280"/>
    <n v="1001449196"/>
    <s v="RAKESH JAIN"/>
    <x v="243"/>
    <n v="0"/>
    <n v="1274"/>
    <n v="0"/>
    <n v="1274"/>
    <x v="1"/>
    <x v="6"/>
    <n v="0"/>
    <x v="13"/>
  </r>
  <r>
    <n v="1996"/>
    <s v="DGHS (DELHI GOVT.)"/>
    <d v="2022-09-29T00:00:00"/>
    <x v="0"/>
    <d v="2022-10-01T00:00:00"/>
    <d v="2022-10-01T00:00:00"/>
    <n v="22025193"/>
    <n v="2233965"/>
    <n v="10013540878"/>
    <s v="BALA KHATRI"/>
    <x v="1085"/>
    <n v="0"/>
    <n v="23435"/>
    <n v="0"/>
    <n v="23435"/>
    <x v="1"/>
    <x v="1"/>
    <n v="0"/>
    <x v="4"/>
  </r>
  <r>
    <n v="1997"/>
    <s v="GOVT. OF NCT OF DELHI"/>
    <d v="2022-10-15T00:00:00"/>
    <x v="1"/>
    <d v="2022-10-15T00:00:00"/>
    <d v="2022-10-15T00:00:00"/>
    <n v="22027210"/>
    <n v="2236135"/>
    <n v="10013502614"/>
    <s v="RAM SAHAI"/>
    <x v="43"/>
    <n v="0"/>
    <n v="1610"/>
    <n v="0"/>
    <n v="1610"/>
    <x v="1"/>
    <x v="6"/>
    <n v="0"/>
    <x v="13"/>
  </r>
  <r>
    <n v="1998"/>
    <s v="Delhi Arogya kosh"/>
    <d v="2022-10-19T00:00:00"/>
    <x v="1"/>
    <d v="2022-10-19T00:00:00"/>
    <d v="2022-10-19T00:00:00"/>
    <n v="22027782"/>
    <n v="2236667"/>
    <n v="1001761745"/>
    <s v="SATYA PAL GOEL"/>
    <x v="243"/>
    <n v="0"/>
    <n v="1274"/>
    <n v="0"/>
    <n v="1274"/>
    <x v="1"/>
    <x v="6"/>
    <n v="0"/>
    <x v="13"/>
  </r>
  <r>
    <n v="1999"/>
    <s v="Health Insurance TPA of India Ltd."/>
    <d v="2022-10-15T00:00:00"/>
    <x v="1"/>
    <d v="2022-10-15T00:00:00"/>
    <d v="2022-10-15T00:00:00"/>
    <n v="22027261"/>
    <n v="2236171"/>
    <n v="1001590721"/>
    <s v="MAMTA"/>
    <x v="75"/>
    <n v="0"/>
    <n v="2200"/>
    <n v="0"/>
    <n v="2200"/>
    <x v="1"/>
    <x v="12"/>
    <n v="0"/>
    <x v="13"/>
  </r>
  <r>
    <n v="2000"/>
    <s v="Delhi Arogya kosh"/>
    <d v="2022-10-12T00:00:00"/>
    <x v="1"/>
    <d v="2022-10-12T00:00:00"/>
    <d v="2022-10-12T00:00:00"/>
    <n v="22026786"/>
    <n v="2235743"/>
    <n v="10013422914"/>
    <s v="ANJUM"/>
    <x v="243"/>
    <n v="0"/>
    <n v="1274"/>
    <n v="0"/>
    <n v="1274"/>
    <x v="1"/>
    <x v="6"/>
    <n v="0"/>
    <x v="13"/>
  </r>
  <r>
    <n v="2001"/>
    <s v="Delhi Arogya kosh"/>
    <d v="2022-10-04T00:00:00"/>
    <x v="1"/>
    <d v="2022-10-04T00:00:00"/>
    <d v="2022-10-04T00:00:00"/>
    <n v="22025624"/>
    <n v="2234645"/>
    <n v="10013521329"/>
    <s v="KANTI"/>
    <x v="243"/>
    <n v="0"/>
    <n v="1274"/>
    <n v="0"/>
    <n v="1274"/>
    <x v="1"/>
    <x v="6"/>
    <n v="0"/>
    <x v="13"/>
  </r>
  <r>
    <n v="2002"/>
    <s v="CGHS ( CREDIT)"/>
    <d v="2022-10-05T00:00:00"/>
    <x v="1"/>
    <d v="2022-10-05T00:00:00"/>
    <d v="2022-10-05T00:00:00"/>
    <n v="22025720"/>
    <n v="2234720"/>
    <n v="1001300172"/>
    <s v="SWARN LATA KINDRA"/>
    <x v="43"/>
    <n v="0"/>
    <n v="1610"/>
    <n v="0"/>
    <n v="1610"/>
    <x v="1"/>
    <x v="6"/>
    <n v="0"/>
    <x v="13"/>
  </r>
  <r>
    <n v="2003"/>
    <s v=" CGHS CREDIT"/>
    <d v="2022-10-07T00:00:00"/>
    <x v="1"/>
    <d v="2022-10-07T00:00:00"/>
    <d v="2022-10-07T00:00:00"/>
    <n v="22026014"/>
    <n v="2235036"/>
    <n v="1001729640"/>
    <s v="BRIJ MOHAN"/>
    <x v="43"/>
    <n v="0"/>
    <n v="1610"/>
    <n v="0"/>
    <n v="1610"/>
    <x v="1"/>
    <x v="6"/>
    <n v="0"/>
    <x v="13"/>
  </r>
  <r>
    <n v="2004"/>
    <s v="CGHS ( CREDIT)"/>
    <d v="2022-10-22T00:00:00"/>
    <x v="1"/>
    <d v="2022-10-22T00:00:00"/>
    <d v="2022-10-22T00:00:00"/>
    <n v="22028242"/>
    <n v="2237026"/>
    <n v="1001300172"/>
    <s v="SWARN LATA KINDRA"/>
    <x v="43"/>
    <n v="0"/>
    <n v="1610"/>
    <n v="0"/>
    <n v="1610"/>
    <x v="1"/>
    <x v="6"/>
    <n v="0"/>
    <x v="13"/>
  </r>
  <r>
    <n v="2005"/>
    <s v="MD INDIA TPA PVT.LTD."/>
    <d v="2022-10-03T00:00:00"/>
    <x v="1"/>
    <d v="2022-10-03T00:00:00"/>
    <d v="2022-10-03T00:00:00"/>
    <n v="22025402"/>
    <n v="2234394"/>
    <n v="10013359873"/>
    <s v="ANAND KUMAR SINGHAL"/>
    <x v="75"/>
    <n v="0"/>
    <n v="2200"/>
    <n v="0"/>
    <n v="2200"/>
    <x v="1"/>
    <x v="12"/>
    <n v="0"/>
    <x v="13"/>
  </r>
  <r>
    <n v="2006"/>
    <s v="DGHS (DELHI GOVT.)"/>
    <d v="2022-09-28T00:00:00"/>
    <x v="0"/>
    <d v="2022-10-05T00:00:00"/>
    <d v="2022-10-05T00:00:00"/>
    <n v="22025671"/>
    <n v="2233743"/>
    <n v="1000871344"/>
    <s v="G.D. GOEL"/>
    <x v="1086"/>
    <n v="0"/>
    <n v="69845"/>
    <n v="0"/>
    <n v="69845"/>
    <x v="1"/>
    <x v="10"/>
    <n v="0"/>
    <x v="14"/>
  </r>
  <r>
    <n v="2007"/>
    <s v=" CGHS CREDIT"/>
    <d v="2022-10-01T00:00:00"/>
    <x v="1"/>
    <d v="2022-10-01T00:00:00"/>
    <d v="2022-10-01T00:00:00"/>
    <n v="22025118"/>
    <n v="2234178"/>
    <n v="1001749543"/>
    <s v="DALEEP SINGH NEGI"/>
    <x v="43"/>
    <n v="0"/>
    <n v="1610"/>
    <n v="0"/>
    <n v="1610"/>
    <x v="1"/>
    <x v="6"/>
    <n v="0"/>
    <x v="13"/>
  </r>
  <r>
    <n v="2008"/>
    <s v="Delhi Arogya kosh"/>
    <d v="2022-10-21T00:00:00"/>
    <x v="1"/>
    <d v="2022-10-21T00:00:00"/>
    <d v="2022-10-21T00:00:00"/>
    <n v="22028097"/>
    <n v="2236949"/>
    <n v="1001581259"/>
    <s v="NARENDER SINGH"/>
    <x v="243"/>
    <n v="0"/>
    <n v="1274"/>
    <n v="0"/>
    <n v="1274"/>
    <x v="1"/>
    <x v="6"/>
    <n v="0"/>
    <x v="13"/>
  </r>
  <r>
    <n v="2009"/>
    <s v="VIPUL MED CORP PVT LTD"/>
    <d v="2022-10-03T00:00:00"/>
    <x v="1"/>
    <d v="2022-10-03T00:00:00"/>
    <d v="2022-10-03T00:00:00"/>
    <n v="22025452"/>
    <n v="2234453"/>
    <n v="10013332282"/>
    <s v="SANGEETA"/>
    <x v="75"/>
    <n v="0"/>
    <n v="2200"/>
    <n v="0"/>
    <n v="2200"/>
    <x v="1"/>
    <x v="12"/>
    <n v="0"/>
    <x v="13"/>
  </r>
  <r>
    <n v="2010"/>
    <s v=" DAK DIALYSIS"/>
    <d v="2022-10-28T00:00:00"/>
    <x v="1"/>
    <d v="2022-10-28T00:00:00"/>
    <d v="2022-10-28T00:00:00"/>
    <n v="22028968"/>
    <n v="2237845"/>
    <n v="1001699417"/>
    <s v="T.THAMBAN"/>
    <x v="243"/>
    <n v="0"/>
    <n v="1274"/>
    <n v="0"/>
    <n v="1274"/>
    <x v="1"/>
    <x v="6"/>
    <n v="0"/>
    <x v="13"/>
  </r>
  <r>
    <n v="2011"/>
    <s v=" DAK DIALYSIS"/>
    <d v="2022-10-04T00:00:00"/>
    <x v="1"/>
    <d v="2022-10-04T00:00:00"/>
    <d v="2022-10-04T00:00:00"/>
    <n v="22025564"/>
    <n v="2234568"/>
    <n v="1001712791"/>
    <s v="PAWAN SINGH"/>
    <x v="243"/>
    <n v="0"/>
    <n v="1274"/>
    <n v="0"/>
    <n v="1274"/>
    <x v="1"/>
    <x v="6"/>
    <n v="0"/>
    <x v="13"/>
  </r>
  <r>
    <n v="2012"/>
    <s v="Delhi Arogya kosh"/>
    <d v="2022-10-26T00:00:00"/>
    <x v="1"/>
    <d v="2022-10-26T00:00:00"/>
    <d v="2022-10-26T00:00:00"/>
    <n v="22028686"/>
    <n v="2237532"/>
    <n v="10013370253"/>
    <s v="USHA RANI"/>
    <x v="243"/>
    <n v="0"/>
    <n v="1274"/>
    <n v="0"/>
    <n v="1274"/>
    <x v="1"/>
    <x v="6"/>
    <n v="0"/>
    <x v="13"/>
  </r>
  <r>
    <n v="2013"/>
    <s v="NIVA BUPA"/>
    <d v="2022-10-08T00:00:00"/>
    <x v="1"/>
    <d v="2022-10-08T00:00:00"/>
    <d v="2022-10-08T00:00:00"/>
    <n v="22026097"/>
    <n v="2235142"/>
    <n v="10013484190"/>
    <s v="JULI SINGH"/>
    <x v="254"/>
    <n v="0"/>
    <n v="2240"/>
    <n v="0"/>
    <n v="2240"/>
    <x v="1"/>
    <x v="6"/>
    <n v="0"/>
    <x v="13"/>
  </r>
  <r>
    <n v="2014"/>
    <s v="Delhi Arogya kosh"/>
    <d v="2022-10-18T00:00:00"/>
    <x v="1"/>
    <d v="2022-10-18T00:00:00"/>
    <d v="2022-10-18T00:00:00"/>
    <n v="22027622"/>
    <n v="2236535"/>
    <n v="10013449380"/>
    <s v="RAM NARAYAN MANDAL"/>
    <x v="243"/>
    <n v="0"/>
    <n v="1274"/>
    <n v="0"/>
    <n v="1274"/>
    <x v="1"/>
    <x v="6"/>
    <n v="0"/>
    <x v="13"/>
  </r>
  <r>
    <n v="2015"/>
    <s v="Delhi Arogya kosh"/>
    <d v="2022-10-05T00:00:00"/>
    <x v="1"/>
    <d v="2022-10-05T00:00:00"/>
    <d v="2022-10-05T00:00:00"/>
    <n v="22025783"/>
    <n v="2234788"/>
    <n v="10013453025"/>
    <s v="VIRENDER SINGH"/>
    <x v="243"/>
    <n v="0"/>
    <n v="1274"/>
    <n v="0"/>
    <n v="1274"/>
    <x v="1"/>
    <x v="6"/>
    <n v="0"/>
    <x v="13"/>
  </r>
  <r>
    <n v="2016"/>
    <s v=" DAK DIALYSIS"/>
    <d v="2022-10-27T00:00:00"/>
    <x v="1"/>
    <d v="2022-10-27T00:00:00"/>
    <d v="2022-10-27T00:00:00"/>
    <n v="22028729"/>
    <n v="2237614"/>
    <n v="1001711925"/>
    <s v="SANJAY KUMAR"/>
    <x v="243"/>
    <n v="0"/>
    <n v="1274"/>
    <n v="0"/>
    <n v="1274"/>
    <x v="1"/>
    <x v="6"/>
    <n v="0"/>
    <x v="13"/>
  </r>
  <r>
    <n v="2017"/>
    <s v="Delhi Arogya kosh"/>
    <d v="2022-10-01T00:00:00"/>
    <x v="1"/>
    <d v="2022-10-01T00:00:00"/>
    <d v="2022-10-01T00:00:00"/>
    <n v="22025252"/>
    <n v="2234276"/>
    <n v="1001188488"/>
    <s v="PARVEEN"/>
    <x v="243"/>
    <n v="0"/>
    <n v="1274"/>
    <n v="0"/>
    <n v="1274"/>
    <x v="1"/>
    <x v="6"/>
    <n v="0"/>
    <x v="13"/>
  </r>
  <r>
    <n v="2018"/>
    <s v="Delhi Arogya kosh"/>
    <d v="2022-10-14T00:00:00"/>
    <x v="1"/>
    <d v="2022-10-14T00:00:00"/>
    <d v="2022-10-14T00:00:00"/>
    <n v="22027110"/>
    <n v="2236037"/>
    <n v="1000891068"/>
    <s v="SUSHIL SHARMA"/>
    <x v="243"/>
    <n v="0"/>
    <n v="1274"/>
    <n v="0"/>
    <n v="1274"/>
    <x v="1"/>
    <x v="6"/>
    <n v="0"/>
    <x v="13"/>
  </r>
  <r>
    <n v="2019"/>
    <s v=" Council of Scientific and Industrial Research (CSIR)"/>
    <d v="2022-10-28T00:00:00"/>
    <x v="1"/>
    <d v="2022-10-28T00:00:00"/>
    <d v="2022-10-28T00:00:00"/>
    <n v="22028923"/>
    <n v="2237822"/>
    <n v="1001729640"/>
    <s v="BRIJ MOHAN"/>
    <x v="43"/>
    <n v="0"/>
    <n v="1610"/>
    <n v="0"/>
    <n v="1610"/>
    <x v="1"/>
    <x v="6"/>
    <n v="0"/>
    <x v="13"/>
  </r>
  <r>
    <n v="2020"/>
    <s v="Safeway Mediclaim Services Pvt. Ltd."/>
    <d v="2022-10-25T00:00:00"/>
    <x v="1"/>
    <d v="2022-10-25T00:00:00"/>
    <d v="2022-10-25T00:00:00"/>
    <n v="22028472"/>
    <n v="2237274"/>
    <n v="1000992104"/>
    <s v="SARITA GOEL"/>
    <x v="75"/>
    <n v="0"/>
    <n v="2200"/>
    <n v="0"/>
    <n v="2200"/>
    <x v="1"/>
    <x v="12"/>
    <n v="0"/>
    <x v="13"/>
  </r>
  <r>
    <n v="2021"/>
    <s v="Delhi Arogya kosh"/>
    <d v="2022-10-10T00:00:00"/>
    <x v="1"/>
    <d v="2022-10-10T00:00:00"/>
    <d v="2022-10-10T00:00:00"/>
    <n v="22026408"/>
    <n v="2235393"/>
    <n v="1001033406"/>
    <s v="SURENDER GOEL"/>
    <x v="243"/>
    <n v="0"/>
    <n v="1274"/>
    <n v="0"/>
    <n v="1274"/>
    <x v="1"/>
    <x v="6"/>
    <n v="0"/>
    <x v="13"/>
  </r>
  <r>
    <n v="2022"/>
    <s v="GOVT. OF NCT OF DELHI"/>
    <d v="2022-10-12T00:00:00"/>
    <x v="1"/>
    <d v="2022-10-12T00:00:00"/>
    <d v="2022-10-12T00:00:00"/>
    <n v="22026790"/>
    <n v="2235749"/>
    <n v="1000979923"/>
    <s v="SAROJ"/>
    <x v="43"/>
    <n v="0"/>
    <n v="1610"/>
    <n v="0"/>
    <n v="1610"/>
    <x v="1"/>
    <x v="6"/>
    <n v="0"/>
    <x v="13"/>
  </r>
  <r>
    <n v="2023"/>
    <s v="Delhi Arogya kosh"/>
    <d v="2022-10-21T00:00:00"/>
    <x v="1"/>
    <d v="2022-10-21T00:00:00"/>
    <d v="2022-10-21T00:00:00"/>
    <n v="22028096"/>
    <n v="2236952"/>
    <n v="10013371134"/>
    <s v="RADHA GOEL"/>
    <x v="243"/>
    <n v="0"/>
    <n v="1274"/>
    <n v="0"/>
    <n v="1274"/>
    <x v="1"/>
    <x v="6"/>
    <n v="0"/>
    <x v="13"/>
  </r>
  <r>
    <n v="2024"/>
    <s v="CGHS ( CREDIT)"/>
    <d v="2022-10-31T00:00:00"/>
    <x v="1"/>
    <d v="2022-10-31T00:00:00"/>
    <d v="2022-10-31T00:00:00"/>
    <n v="22029267"/>
    <n v="2238156"/>
    <n v="10013401847"/>
    <s v="TIRLOCHAN SINGH"/>
    <x v="43"/>
    <n v="0"/>
    <n v="1610"/>
    <n v="0"/>
    <n v="1610"/>
    <x v="1"/>
    <x v="6"/>
    <n v="0"/>
    <x v="13"/>
  </r>
  <r>
    <n v="2025"/>
    <s v="ECHS"/>
    <d v="2022-10-16T00:00:00"/>
    <x v="1"/>
    <d v="2022-10-23T00:00:00"/>
    <d v="2022-10-23T00:00:00"/>
    <n v="22028353"/>
    <n v="2236249"/>
    <n v="10013488344"/>
    <s v="SATY NARAYNE SHARMA"/>
    <x v="1087"/>
    <n v="0"/>
    <n v="95340"/>
    <n v="0"/>
    <n v="95340"/>
    <x v="1"/>
    <x v="1"/>
    <n v="0"/>
    <x v="0"/>
  </r>
  <r>
    <n v="2026"/>
    <s v="Delhi Arogya kosh"/>
    <d v="2022-10-22T00:00:00"/>
    <x v="1"/>
    <d v="2022-10-22T00:00:00"/>
    <d v="2022-10-22T00:00:00"/>
    <n v="22028268"/>
    <n v="2237066"/>
    <n v="10013387247"/>
    <s v="JANAKI PRASAD"/>
    <x v="243"/>
    <n v="0"/>
    <n v="1274"/>
    <n v="0"/>
    <n v="1274"/>
    <x v="1"/>
    <x v="6"/>
    <n v="0"/>
    <x v="13"/>
  </r>
  <r>
    <n v="2027"/>
    <s v="NHA - CENTRAL ARMED POLICE FORCES (CGHS)"/>
    <d v="2022-10-21T00:00:00"/>
    <x v="1"/>
    <d v="2022-10-22T00:00:00"/>
    <d v="2022-10-22T00:00:00"/>
    <n v="22028171"/>
    <n v="2236875"/>
    <n v="10013543711"/>
    <s v="SATISH KUMAR"/>
    <x v="1088"/>
    <n v="0"/>
    <n v="27615"/>
    <n v="0"/>
    <n v="27615"/>
    <x v="1"/>
    <x v="1"/>
    <n v="0"/>
    <x v="5"/>
  </r>
  <r>
    <n v="2028"/>
    <s v="GOVT. OF NCT OF DELHI"/>
    <d v="2022-10-01T00:00:00"/>
    <x v="1"/>
    <d v="2022-10-01T00:00:00"/>
    <d v="2022-10-01T00:00:00"/>
    <n v="22025200"/>
    <n v="2234223"/>
    <n v="1000979923"/>
    <s v="SAROJ"/>
    <x v="43"/>
    <n v="0"/>
    <n v="1610"/>
    <n v="0"/>
    <n v="1610"/>
    <x v="1"/>
    <x v="6"/>
    <n v="0"/>
    <x v="13"/>
  </r>
  <r>
    <n v="2029"/>
    <s v="Delhi Arogya kosh"/>
    <d v="2022-10-20T00:00:00"/>
    <x v="1"/>
    <d v="2022-10-20T00:00:00"/>
    <d v="2022-10-20T00:00:00"/>
    <n v="22027941"/>
    <n v="2236809"/>
    <n v="1001208331"/>
    <s v="PREM"/>
    <x v="243"/>
    <n v="0"/>
    <n v="1274"/>
    <n v="0"/>
    <n v="1274"/>
    <x v="1"/>
    <x v="6"/>
    <n v="0"/>
    <x v="13"/>
  </r>
  <r>
    <n v="2030"/>
    <s v="EAST-WEST ASSIST."/>
    <d v="2022-10-10T00:00:00"/>
    <x v="1"/>
    <d v="2022-10-13T00:00:00"/>
    <d v="2022-10-13T00:00:00"/>
    <n v="22026859"/>
    <n v="2235399"/>
    <n v="10013533857"/>
    <s v="MOHIT GARG"/>
    <x v="1089"/>
    <n v="0"/>
    <n v="190343"/>
    <n v="0"/>
    <n v="190343"/>
    <x v="1"/>
    <x v="14"/>
    <n v="0"/>
    <x v="16"/>
  </r>
  <r>
    <n v="2031"/>
    <s v="Delhi Arogya kosh"/>
    <d v="2022-10-15T00:00:00"/>
    <x v="1"/>
    <d v="2022-10-15T00:00:00"/>
    <d v="2022-10-15T00:00:00"/>
    <n v="22027248"/>
    <n v="2236176"/>
    <n v="10013276269"/>
    <s v="DAYA SHANKAR"/>
    <x v="243"/>
    <n v="0"/>
    <n v="1274"/>
    <n v="0"/>
    <n v="1274"/>
    <x v="1"/>
    <x v="6"/>
    <n v="0"/>
    <x v="13"/>
  </r>
  <r>
    <n v="2032"/>
    <s v="Delhi Arogya kosh"/>
    <d v="2022-10-15T00:00:00"/>
    <x v="1"/>
    <d v="2022-10-15T00:00:00"/>
    <d v="2022-10-15T00:00:00"/>
    <n v="22027249"/>
    <n v="2236177"/>
    <n v="10013422914"/>
    <s v="ANJUM"/>
    <x v="243"/>
    <n v="0"/>
    <n v="1274"/>
    <n v="0"/>
    <n v="1274"/>
    <x v="1"/>
    <x v="6"/>
    <n v="0"/>
    <x v="13"/>
  </r>
  <r>
    <n v="2033"/>
    <s v="Delhi Arogya kosh"/>
    <d v="2022-10-29T00:00:00"/>
    <x v="1"/>
    <d v="2022-10-29T00:00:00"/>
    <d v="2022-10-29T00:00:00"/>
    <n v="22029165"/>
    <n v="2238042"/>
    <n v="10013528076"/>
    <s v="MANENDER DESHWAL"/>
    <x v="243"/>
    <n v="0"/>
    <n v="1274"/>
    <n v="0"/>
    <n v="1274"/>
    <x v="1"/>
    <x v="6"/>
    <n v="0"/>
    <x v="13"/>
  </r>
  <r>
    <n v="2034"/>
    <s v="Delhi Arogya kosh"/>
    <d v="2022-10-07T00:00:00"/>
    <x v="1"/>
    <d v="2022-10-07T00:00:00"/>
    <d v="2022-10-07T00:00:00"/>
    <n v="22026064"/>
    <n v="2235091"/>
    <n v="1001581259"/>
    <s v="NARENDER SINGH"/>
    <x v="243"/>
    <n v="0"/>
    <n v="1274"/>
    <n v="0"/>
    <n v="1274"/>
    <x v="1"/>
    <x v="6"/>
    <n v="0"/>
    <x v="13"/>
  </r>
  <r>
    <n v="2035"/>
    <s v=" DAK DIALYSIS"/>
    <d v="2022-10-14T00:00:00"/>
    <x v="1"/>
    <d v="2022-10-14T00:00:00"/>
    <d v="2022-10-14T00:00:00"/>
    <n v="22027067"/>
    <n v="2235983"/>
    <n v="1001527101"/>
    <s v="SURENDER SHARMA"/>
    <x v="243"/>
    <n v="0"/>
    <n v="1274"/>
    <n v="0"/>
    <n v="1274"/>
    <x v="1"/>
    <x v="6"/>
    <n v="0"/>
    <x v="13"/>
  </r>
  <r>
    <n v="2036"/>
    <s v="Delhi Arogya kosh"/>
    <d v="2022-10-19T00:00:00"/>
    <x v="1"/>
    <d v="2022-10-19T00:00:00"/>
    <d v="2022-10-19T00:00:00"/>
    <n v="22027798"/>
    <n v="2236697"/>
    <n v="1000857532"/>
    <s v="HARI BABU"/>
    <x v="243"/>
    <n v="0"/>
    <n v="1274"/>
    <n v="0"/>
    <n v="1274"/>
    <x v="1"/>
    <x v="6"/>
    <n v="0"/>
    <x v="13"/>
  </r>
  <r>
    <n v="2037"/>
    <s v="GENERAL PATIENT"/>
    <d v="2022-10-10T00:00:00"/>
    <x v="1"/>
    <d v="2022-10-11T00:00:00"/>
    <d v="2022-10-11T00:00:00"/>
    <n v="22026590"/>
    <n v="2235368"/>
    <n v="1001803557"/>
    <s v="SEEMA FEMALE BABY"/>
    <x v="1090"/>
    <n v="6930"/>
    <n v="0"/>
    <n v="0"/>
    <n v="0"/>
    <x v="1"/>
    <x v="9"/>
    <e v="#DIV/0!"/>
    <x v="3"/>
  </r>
  <r>
    <n v="2038"/>
    <s v="CGHS ( CREDIT)"/>
    <d v="2022-10-19T00:00:00"/>
    <x v="1"/>
    <d v="2022-10-19T00:00:00"/>
    <d v="2022-10-19T00:00:00"/>
    <n v="22027736"/>
    <n v="2236620"/>
    <n v="10013514225"/>
    <s v="PUSHPA ARORA"/>
    <x v="43"/>
    <n v="0"/>
    <n v="1610"/>
    <n v="0"/>
    <n v="1610"/>
    <x v="1"/>
    <x v="6"/>
    <n v="0"/>
    <x v="13"/>
  </r>
  <r>
    <n v="2039"/>
    <s v=" DAK DIALYSIS"/>
    <d v="2022-10-13T00:00:00"/>
    <x v="1"/>
    <d v="2022-10-13T00:00:00"/>
    <d v="2022-10-13T00:00:00"/>
    <n v="22026838"/>
    <n v="2235823"/>
    <n v="1001712791"/>
    <s v="PAWAN SINGH"/>
    <x v="243"/>
    <n v="0"/>
    <n v="1274"/>
    <n v="0"/>
    <n v="1274"/>
    <x v="1"/>
    <x v="6"/>
    <n v="0"/>
    <x v="13"/>
  </r>
  <r>
    <n v="2040"/>
    <s v="VIPUL MED CORP PVT LTD"/>
    <d v="2022-10-26T00:00:00"/>
    <x v="1"/>
    <d v="2022-10-26T00:00:00"/>
    <d v="2022-10-26T00:00:00"/>
    <n v="22028683"/>
    <n v="2237530"/>
    <n v="10013519562"/>
    <s v="KAMLA SATI"/>
    <x v="75"/>
    <n v="0"/>
    <n v="2200"/>
    <n v="0"/>
    <n v="2200"/>
    <x v="1"/>
    <x v="12"/>
    <n v="0"/>
    <x v="13"/>
  </r>
  <r>
    <n v="2041"/>
    <s v=" DAK DIALYSIS"/>
    <d v="2022-10-21T00:00:00"/>
    <x v="1"/>
    <d v="2022-10-21T00:00:00"/>
    <d v="2022-10-21T00:00:00"/>
    <n v="22028061"/>
    <n v="2236924"/>
    <n v="1001647517"/>
    <s v="RAJENDER PANDAY"/>
    <x v="243"/>
    <n v="0"/>
    <n v="1274"/>
    <n v="0"/>
    <n v="1274"/>
    <x v="1"/>
    <x v="6"/>
    <n v="0"/>
    <x v="13"/>
  </r>
  <r>
    <n v="2042"/>
    <s v=" CGHS CREDIT"/>
    <d v="2022-10-22T00:00:00"/>
    <x v="1"/>
    <d v="2022-10-22T00:00:00"/>
    <d v="2022-10-22T00:00:00"/>
    <n v="22028140"/>
    <n v="2236999"/>
    <n v="1001749543"/>
    <s v="DALEEP SINGH NEGI"/>
    <x v="43"/>
    <n v="0"/>
    <n v="1610"/>
    <n v="0"/>
    <n v="1610"/>
    <x v="1"/>
    <x v="6"/>
    <n v="0"/>
    <x v="13"/>
  </r>
  <r>
    <n v="2043"/>
    <s v="Delhi Arogya kosh"/>
    <d v="2022-10-17T00:00:00"/>
    <x v="1"/>
    <d v="2022-10-17T00:00:00"/>
    <d v="2022-10-17T00:00:00"/>
    <n v="22027489"/>
    <n v="2236386"/>
    <n v="1000891592"/>
    <s v="MANOJ"/>
    <x v="243"/>
    <n v="0"/>
    <n v="1274"/>
    <n v="0"/>
    <n v="1274"/>
    <x v="1"/>
    <x v="6"/>
    <n v="0"/>
    <x v="13"/>
  </r>
  <r>
    <n v="2044"/>
    <s v="VIPUL MED CORP PVT LTD"/>
    <d v="2022-10-15T00:00:00"/>
    <x v="1"/>
    <d v="2022-10-15T00:00:00"/>
    <d v="2022-10-15T00:00:00"/>
    <n v="22027260"/>
    <n v="2236173"/>
    <n v="10013519562"/>
    <s v="KAMLA SATI"/>
    <x v="75"/>
    <n v="0"/>
    <n v="2200"/>
    <n v="0"/>
    <n v="2200"/>
    <x v="1"/>
    <x v="12"/>
    <n v="0"/>
    <x v="13"/>
  </r>
  <r>
    <n v="2045"/>
    <s v="Delhi Arogya kosh"/>
    <d v="2022-10-08T00:00:00"/>
    <x v="1"/>
    <d v="2022-10-08T00:00:00"/>
    <d v="2022-10-08T00:00:00"/>
    <n v="22026234"/>
    <n v="2235239"/>
    <n v="10013370253"/>
    <s v="USHA RANI"/>
    <x v="243"/>
    <n v="0"/>
    <n v="1274"/>
    <n v="0"/>
    <n v="1274"/>
    <x v="1"/>
    <x v="6"/>
    <n v="0"/>
    <x v="13"/>
  </r>
  <r>
    <n v="2046"/>
    <s v="Delhi Arogya kosh"/>
    <d v="2022-10-06T00:00:00"/>
    <x v="1"/>
    <d v="2022-10-06T00:00:00"/>
    <d v="2022-10-06T00:00:00"/>
    <n v="22025866"/>
    <n v="2234866"/>
    <n v="1001033406"/>
    <s v="SURENDER GOEL"/>
    <x v="243"/>
    <n v="0"/>
    <n v="1274"/>
    <n v="0"/>
    <n v="1274"/>
    <x v="1"/>
    <x v="6"/>
    <n v="0"/>
    <x v="13"/>
  </r>
  <r>
    <n v="2047"/>
    <s v="Delhi Arogya kosh"/>
    <d v="2022-10-25T00:00:00"/>
    <x v="1"/>
    <d v="2022-10-25T00:00:00"/>
    <d v="2022-10-25T00:00:00"/>
    <n v="22028554"/>
    <n v="2237373"/>
    <n v="10013449380"/>
    <s v="RAM NARAYAN MANDAL"/>
    <x v="243"/>
    <n v="0"/>
    <n v="1274"/>
    <n v="0"/>
    <n v="1274"/>
    <x v="1"/>
    <x v="6"/>
    <n v="0"/>
    <x v="13"/>
  </r>
  <r>
    <n v="2048"/>
    <s v=" ECHS CREDIT"/>
    <d v="2022-10-25T00:00:00"/>
    <x v="1"/>
    <d v="2022-10-25T00:00:00"/>
    <d v="2022-10-25T00:00:00"/>
    <n v="22028520"/>
    <n v="2237316"/>
    <n v="1001765693"/>
    <s v="SHRI PRAKASH PRAJAPATI"/>
    <x v="43"/>
    <n v="0"/>
    <n v="1610"/>
    <n v="0"/>
    <n v="1610"/>
    <x v="1"/>
    <x v="6"/>
    <n v="0"/>
    <x v="13"/>
  </r>
  <r>
    <n v="2049"/>
    <s v="Delhi Arogya kosh"/>
    <d v="2022-10-11T00:00:00"/>
    <x v="1"/>
    <d v="2022-10-11T00:00:00"/>
    <d v="2022-10-11T00:00:00"/>
    <n v="22026630"/>
    <n v="2235582"/>
    <n v="10013516483"/>
    <s v="CHANCHAL RANI"/>
    <x v="243"/>
    <n v="0"/>
    <n v="1274"/>
    <n v="0"/>
    <n v="1274"/>
    <x v="1"/>
    <x v="6"/>
    <n v="0"/>
    <x v="13"/>
  </r>
  <r>
    <n v="2050"/>
    <s v=" CGHS CREDIT"/>
    <d v="2022-10-14T00:00:00"/>
    <x v="1"/>
    <d v="2022-10-14T00:00:00"/>
    <d v="2022-10-14T00:00:00"/>
    <n v="22027065"/>
    <n v="2235975"/>
    <n v="1001803044"/>
    <s v="GOVIND SINGH"/>
    <x v="43"/>
    <n v="0"/>
    <n v="1610"/>
    <n v="0"/>
    <n v="1610"/>
    <x v="1"/>
    <x v="6"/>
    <n v="0"/>
    <x v="13"/>
  </r>
  <r>
    <n v="2051"/>
    <s v="Delhi Arogya kosh"/>
    <d v="2022-10-04T00:00:00"/>
    <x v="1"/>
    <d v="2022-10-04T00:00:00"/>
    <d v="2022-10-04T00:00:00"/>
    <n v="22025615"/>
    <n v="2234615"/>
    <n v="10013299539"/>
    <s v="SATISH MALIK"/>
    <x v="243"/>
    <n v="0"/>
    <n v="1274"/>
    <n v="0"/>
    <n v="1274"/>
    <x v="1"/>
    <x v="6"/>
    <n v="0"/>
    <x v="13"/>
  </r>
  <r>
    <n v="2052"/>
    <s v=" RELIGARE HEALTH INSURANCE"/>
    <d v="2022-10-26T00:00:00"/>
    <x v="1"/>
    <d v="2022-10-28T00:00:00"/>
    <d v="2022-10-28T00:00:00"/>
    <n v="22028931"/>
    <n v="2237522"/>
    <n v="1001806366"/>
    <s v="SURENDER SINGH"/>
    <x v="1091"/>
    <n v="0"/>
    <n v="33844"/>
    <n v="0"/>
    <n v="33844"/>
    <x v="1"/>
    <x v="1"/>
    <n v="0"/>
    <x v="16"/>
  </r>
  <r>
    <n v="2053"/>
    <s v="Delhi Arogya kosh"/>
    <d v="2022-10-18T00:00:00"/>
    <x v="1"/>
    <d v="2022-10-18T00:00:00"/>
    <d v="2022-10-18T00:00:00"/>
    <n v="22027642"/>
    <n v="2236553"/>
    <n v="10013521329"/>
    <s v="KANTI"/>
    <x v="243"/>
    <n v="0"/>
    <n v="1274"/>
    <n v="0"/>
    <n v="1274"/>
    <x v="1"/>
    <x v="6"/>
    <n v="0"/>
    <x v="13"/>
  </r>
  <r>
    <n v="2054"/>
    <s v="Delhi Arogya kosh"/>
    <d v="2022-10-26T00:00:00"/>
    <x v="1"/>
    <d v="2022-10-26T00:00:00"/>
    <d v="2022-10-26T00:00:00"/>
    <n v="22028691"/>
    <n v="2237536"/>
    <n v="1001761745"/>
    <s v="SATYA PAL GOEL"/>
    <x v="243"/>
    <n v="0"/>
    <n v="1274"/>
    <n v="0"/>
    <n v="1274"/>
    <x v="1"/>
    <x v="6"/>
    <n v="0"/>
    <x v="13"/>
  </r>
  <r>
    <n v="2055"/>
    <s v="ECHS"/>
    <d v="2022-09-22T00:00:00"/>
    <x v="0"/>
    <d v="2022-10-08T00:00:00"/>
    <d v="2022-10-08T00:00:00"/>
    <n v="22026204"/>
    <n v="2233080"/>
    <n v="10013539954"/>
    <s v="SUNIL KUMAR"/>
    <x v="1092"/>
    <n v="0"/>
    <n v="238540"/>
    <n v="0"/>
    <n v="238540"/>
    <x v="1"/>
    <x v="1"/>
    <n v="0"/>
    <x v="14"/>
  </r>
  <r>
    <n v="2056"/>
    <s v="Delhi Arogya kosh"/>
    <d v="2022-10-31T00:00:00"/>
    <x v="1"/>
    <d v="2022-10-31T00:00:00"/>
    <d v="2022-10-31T00:00:00"/>
    <n v="22029396"/>
    <n v="2238273"/>
    <n v="1001004027"/>
    <s v="PARTAP SINGH"/>
    <x v="243"/>
    <n v="0"/>
    <n v="1274"/>
    <n v="0"/>
    <n v="1274"/>
    <x v="1"/>
    <x v="6"/>
    <n v="0"/>
    <x v="13"/>
  </r>
  <r>
    <n v="2057"/>
    <s v=" ECHS CREDIT"/>
    <d v="2022-10-11T00:00:00"/>
    <x v="1"/>
    <d v="2022-10-12T00:00:00"/>
    <d v="2022-10-12T00:00:00"/>
    <n v="22026769"/>
    <n v="2235551"/>
    <n v="1001646107"/>
    <s v="MADAN LAL"/>
    <x v="1093"/>
    <n v="0"/>
    <n v="13908"/>
    <n v="0"/>
    <n v="13908"/>
    <x v="1"/>
    <x v="1"/>
    <n v="0"/>
    <x v="4"/>
  </r>
  <r>
    <n v="2058"/>
    <s v="Delhi Arogya kosh"/>
    <d v="2022-10-19T00:00:00"/>
    <x v="1"/>
    <d v="2022-10-19T00:00:00"/>
    <d v="2022-10-19T00:00:00"/>
    <n v="22027790"/>
    <n v="2236680"/>
    <n v="10013422914"/>
    <s v="ANJUM"/>
    <x v="243"/>
    <n v="0"/>
    <n v="1274"/>
    <n v="0"/>
    <n v="1274"/>
    <x v="1"/>
    <x v="6"/>
    <n v="0"/>
    <x v="13"/>
  </r>
  <r>
    <n v="2059"/>
    <s v=" DAK DIALYSIS"/>
    <d v="2022-10-29T00:00:00"/>
    <x v="1"/>
    <d v="2022-10-29T00:00:00"/>
    <d v="2022-10-29T00:00:00"/>
    <n v="22029107"/>
    <n v="2237987"/>
    <n v="1001686545"/>
    <s v="RAKESH KUMAR"/>
    <x v="243"/>
    <n v="0"/>
    <n v="1274"/>
    <n v="0"/>
    <n v="1274"/>
    <x v="1"/>
    <x v="6"/>
    <n v="0"/>
    <x v="13"/>
  </r>
  <r>
    <n v="2060"/>
    <s v="CGHS ( CREDIT)"/>
    <d v="2022-10-03T00:00:00"/>
    <x v="1"/>
    <d v="2022-10-03T00:00:00"/>
    <d v="2022-10-03T00:00:00"/>
    <n v="22025336"/>
    <n v="2234359"/>
    <n v="1001531709"/>
    <s v="TASVIR SINGH"/>
    <x v="43"/>
    <n v="0"/>
    <n v="1610"/>
    <n v="0"/>
    <n v="1610"/>
    <x v="1"/>
    <x v="6"/>
    <n v="0"/>
    <x v="13"/>
  </r>
  <r>
    <n v="2061"/>
    <s v="Delhi Arogya kosh"/>
    <d v="2022-10-11T00:00:00"/>
    <x v="1"/>
    <d v="2022-10-11T00:00:00"/>
    <d v="2022-10-11T00:00:00"/>
    <n v="22026577"/>
    <n v="2235503"/>
    <n v="1000889533"/>
    <s v="MANJU AGGARWAL"/>
    <x v="243"/>
    <n v="0"/>
    <n v="1274"/>
    <n v="0"/>
    <n v="1274"/>
    <x v="1"/>
    <x v="6"/>
    <n v="0"/>
    <x v="13"/>
  </r>
  <r>
    <n v="2062"/>
    <s v=" DAK DIALYSIS"/>
    <d v="2022-10-15T00:00:00"/>
    <x v="1"/>
    <d v="2022-10-15T00:00:00"/>
    <d v="2022-10-15T00:00:00"/>
    <n v="22027122"/>
    <n v="2236089"/>
    <n v="1001712791"/>
    <s v="PAWAN SINGH"/>
    <x v="243"/>
    <n v="0"/>
    <n v="1274"/>
    <n v="0"/>
    <n v="1274"/>
    <x v="1"/>
    <x v="6"/>
    <n v="0"/>
    <x v="13"/>
  </r>
  <r>
    <n v="2063"/>
    <s v="Delhi Arogya kosh"/>
    <d v="2022-10-08T00:00:00"/>
    <x v="1"/>
    <d v="2022-10-08T00:00:00"/>
    <d v="2022-10-08T00:00:00"/>
    <n v="22026214"/>
    <n v="2235207"/>
    <n v="10013422914"/>
    <s v="ANJUM"/>
    <x v="243"/>
    <n v="0"/>
    <n v="1274"/>
    <n v="0"/>
    <n v="1274"/>
    <x v="1"/>
    <x v="6"/>
    <n v="0"/>
    <x v="13"/>
  </r>
  <r>
    <n v="2064"/>
    <s v=" DAK DIALYSIS"/>
    <d v="2022-10-14T00:00:00"/>
    <x v="1"/>
    <d v="2022-10-14T00:00:00"/>
    <d v="2022-10-14T00:00:00"/>
    <n v="22027054"/>
    <n v="2235973"/>
    <n v="1001647517"/>
    <s v="RAJENDER PANDAY"/>
    <x v="243"/>
    <n v="0"/>
    <n v="1274"/>
    <n v="0"/>
    <n v="1274"/>
    <x v="1"/>
    <x v="6"/>
    <n v="0"/>
    <x v="13"/>
  </r>
  <r>
    <n v="2065"/>
    <s v="Delhi Arogya kosh"/>
    <d v="2022-10-07T00:00:00"/>
    <x v="1"/>
    <d v="2022-10-07T00:00:00"/>
    <d v="2022-10-07T00:00:00"/>
    <n v="22026001"/>
    <n v="2235028"/>
    <n v="1001082290"/>
    <s v="SUSHMA"/>
    <x v="243"/>
    <n v="0"/>
    <n v="1274"/>
    <n v="0"/>
    <n v="1274"/>
    <x v="1"/>
    <x v="6"/>
    <n v="0"/>
    <x v="13"/>
  </r>
  <r>
    <n v="2066"/>
    <s v=" DAK DIALYSIS"/>
    <d v="2022-10-21T00:00:00"/>
    <x v="1"/>
    <d v="2022-10-21T00:00:00"/>
    <d v="2022-10-21T00:00:00"/>
    <n v="22028060"/>
    <n v="2236918"/>
    <n v="1001767553"/>
    <s v="VIJAY SINGH NEGI"/>
    <x v="243"/>
    <n v="0"/>
    <n v="1274"/>
    <n v="0"/>
    <n v="1274"/>
    <x v="1"/>
    <x v="6"/>
    <n v="0"/>
    <x v="13"/>
  </r>
  <r>
    <n v="2067"/>
    <s v=" STAR HEALTH TPA"/>
    <d v="2022-10-09T00:00:00"/>
    <x v="1"/>
    <d v="2022-10-13T00:00:00"/>
    <d v="2022-10-13T00:00:00"/>
    <n v="22026846"/>
    <n v="2235268"/>
    <n v="10013368246"/>
    <s v="SANJAY KUMAR"/>
    <x v="1094"/>
    <n v="10123"/>
    <n v="34501"/>
    <n v="0"/>
    <n v="34501"/>
    <x v="1"/>
    <x v="1"/>
    <n v="0"/>
    <x v="0"/>
  </r>
  <r>
    <n v="2068"/>
    <s v="Delhi Arogya kosh"/>
    <d v="2022-10-31T00:00:00"/>
    <x v="1"/>
    <d v="2022-10-31T00:00:00"/>
    <d v="2022-10-31T00:00:00"/>
    <n v="22029335"/>
    <n v="2238198"/>
    <n v="1000891592"/>
    <s v="MANOJ"/>
    <x v="243"/>
    <n v="0"/>
    <n v="1274"/>
    <n v="0"/>
    <n v="1274"/>
    <x v="1"/>
    <x v="6"/>
    <n v="0"/>
    <x v="13"/>
  </r>
  <r>
    <n v="2069"/>
    <s v="Delhi Arogya kosh"/>
    <d v="2022-10-18T00:00:00"/>
    <x v="1"/>
    <d v="2022-10-18T00:00:00"/>
    <d v="2022-10-18T00:00:00"/>
    <n v="22027628"/>
    <n v="2236529"/>
    <n v="1001397167"/>
    <s v="SUNIL KUMAR AGGARWAL"/>
    <x v="243"/>
    <n v="0"/>
    <n v="1274"/>
    <n v="0"/>
    <n v="1274"/>
    <x v="1"/>
    <x v="6"/>
    <n v="0"/>
    <x v="13"/>
  </r>
  <r>
    <n v="2070"/>
    <s v=" CGHS CREDIT"/>
    <d v="2022-10-25T00:00:00"/>
    <x v="1"/>
    <d v="2022-10-25T00:00:00"/>
    <d v="2022-10-25T00:00:00"/>
    <n v="22028513"/>
    <n v="2237318"/>
    <n v="1001681903"/>
    <s v="OM PRAKASH"/>
    <x v="43"/>
    <n v="0"/>
    <n v="1610"/>
    <n v="0"/>
    <n v="1610"/>
    <x v="1"/>
    <x v="6"/>
    <n v="0"/>
    <x v="13"/>
  </r>
  <r>
    <n v="2071"/>
    <s v=" DAK DIALYSIS"/>
    <d v="2022-10-24T00:00:00"/>
    <x v="1"/>
    <d v="2022-10-24T00:00:00"/>
    <d v="2022-10-24T00:00:00"/>
    <n v="22028418"/>
    <n v="2237213"/>
    <n v="1001767553"/>
    <s v="VIJAY SINGH NEGI"/>
    <x v="243"/>
    <n v="0"/>
    <n v="1274"/>
    <n v="0"/>
    <n v="1274"/>
    <x v="1"/>
    <x v="6"/>
    <n v="0"/>
    <x v="13"/>
  </r>
  <r>
    <n v="2072"/>
    <s v=" DAK DIALYSIS"/>
    <d v="2022-10-15T00:00:00"/>
    <x v="1"/>
    <d v="2022-10-15T00:00:00"/>
    <d v="2022-10-15T00:00:00"/>
    <n v="22027240"/>
    <n v="2236160"/>
    <n v="1001686545"/>
    <s v="RAKESH KUMAR"/>
    <x v="243"/>
    <n v="0"/>
    <n v="1274"/>
    <n v="0"/>
    <n v="1274"/>
    <x v="1"/>
    <x v="6"/>
    <n v="0"/>
    <x v="13"/>
  </r>
  <r>
    <n v="2073"/>
    <s v="PARK MED CLAIM LTD"/>
    <d v="2022-10-04T00:00:00"/>
    <x v="1"/>
    <d v="2022-10-04T00:00:00"/>
    <d v="2022-10-04T00:00:00"/>
    <n v="22025619"/>
    <n v="2234620"/>
    <n v="10013436915"/>
    <s v="USHA"/>
    <x v="75"/>
    <n v="0"/>
    <n v="2200"/>
    <n v="0"/>
    <n v="2200"/>
    <x v="1"/>
    <x v="12"/>
    <n v="0"/>
    <x v="13"/>
  </r>
  <r>
    <n v="2074"/>
    <s v="Delhi Arogya kosh"/>
    <d v="2022-10-28T00:00:00"/>
    <x v="1"/>
    <d v="2022-10-28T00:00:00"/>
    <d v="2022-10-28T00:00:00"/>
    <n v="22028978"/>
    <n v="2237854"/>
    <n v="10013371134"/>
    <s v="RADHA GOEL"/>
    <x v="243"/>
    <n v="0"/>
    <n v="1274"/>
    <n v="0"/>
    <n v="1274"/>
    <x v="1"/>
    <x v="6"/>
    <n v="0"/>
    <x v="13"/>
  </r>
  <r>
    <n v="2075"/>
    <s v="MD INDIA TPA PVT.LTD."/>
    <d v="2022-10-10T00:00:00"/>
    <x v="1"/>
    <d v="2022-10-10T00:00:00"/>
    <d v="2022-10-10T00:00:00"/>
    <n v="22026401"/>
    <n v="2235376"/>
    <n v="1001468779"/>
    <s v="RAMESH KR BANSAL"/>
    <x v="75"/>
    <n v="0"/>
    <n v="2200"/>
    <n v="0"/>
    <n v="2200"/>
    <x v="1"/>
    <x v="12"/>
    <n v="0"/>
    <x v="13"/>
  </r>
  <r>
    <n v="2076"/>
    <s v=" RAKSHA TPA PVT.LTD."/>
    <d v="2022-10-20T00:00:00"/>
    <x v="1"/>
    <d v="2022-10-20T00:00:00"/>
    <d v="2022-10-20T00:00:00"/>
    <n v="22027930"/>
    <n v="2236775"/>
    <n v="1001689981"/>
    <s v="RITIKA SINGH"/>
    <x v="141"/>
    <n v="0"/>
    <n v="2950"/>
    <n v="0"/>
    <n v="2950"/>
    <x v="1"/>
    <x v="6"/>
    <n v="0"/>
    <x v="13"/>
  </r>
  <r>
    <n v="2077"/>
    <s v="ECHS"/>
    <d v="2022-10-24T00:00:00"/>
    <x v="1"/>
    <d v="2022-10-28T00:00:00"/>
    <d v="2022-10-28T00:00:00"/>
    <n v="22028906"/>
    <n v="2237235"/>
    <n v="10013544299"/>
    <s v="SANTOSH"/>
    <x v="1095"/>
    <n v="0"/>
    <n v="123180"/>
    <n v="0"/>
    <n v="123180"/>
    <x v="1"/>
    <x v="1"/>
    <n v="0"/>
    <x v="0"/>
  </r>
  <r>
    <n v="2078"/>
    <s v="Delhi Arogya kosh"/>
    <d v="2022-10-12T00:00:00"/>
    <x v="1"/>
    <d v="2022-10-12T00:00:00"/>
    <d v="2022-10-12T00:00:00"/>
    <n v="22026805"/>
    <n v="2235764"/>
    <n v="10013507516"/>
    <s v="AMIT NAGAR"/>
    <x v="243"/>
    <n v="0"/>
    <n v="1274"/>
    <n v="0"/>
    <n v="1274"/>
    <x v="1"/>
    <x v="6"/>
    <n v="0"/>
    <x v="13"/>
  </r>
  <r>
    <n v="2079"/>
    <s v="VIPUL MED CORP PVT LTD"/>
    <d v="2022-10-22T00:00:00"/>
    <x v="1"/>
    <d v="2022-10-22T00:00:00"/>
    <d v="2022-10-22T00:00:00"/>
    <n v="22028249"/>
    <n v="2237035"/>
    <n v="10013469159"/>
    <s v="ANITA NANGIA"/>
    <x v="75"/>
    <n v="0"/>
    <n v="2200"/>
    <n v="0"/>
    <n v="2200"/>
    <x v="1"/>
    <x v="12"/>
    <n v="0"/>
    <x v="13"/>
  </r>
  <r>
    <n v="2080"/>
    <s v="Delhi Arogya kosh"/>
    <d v="2022-10-11T00:00:00"/>
    <x v="1"/>
    <d v="2022-10-11T00:00:00"/>
    <d v="2022-10-11T00:00:00"/>
    <n v="22026562"/>
    <n v="2235542"/>
    <n v="10013449380"/>
    <s v="RAM NARAYAN MANDAL"/>
    <x v="243"/>
    <n v="0"/>
    <n v="1274"/>
    <n v="0"/>
    <n v="1274"/>
    <x v="1"/>
    <x v="6"/>
    <n v="0"/>
    <x v="13"/>
  </r>
  <r>
    <n v="2081"/>
    <s v="STAR HEALTH CARE  (CREDIT)"/>
    <d v="2022-10-21T00:00:00"/>
    <x v="1"/>
    <d v="2022-10-22T00:00:00"/>
    <d v="2022-10-22T00:00:00"/>
    <n v="22028176"/>
    <n v="2236877"/>
    <n v="10013484190"/>
    <s v="JULI SINGH"/>
    <x v="1096"/>
    <n v="13049"/>
    <n v="58179"/>
    <n v="0"/>
    <n v="58179"/>
    <x v="1"/>
    <x v="1"/>
    <n v="0"/>
    <x v="11"/>
  </r>
  <r>
    <n v="2082"/>
    <s v=" DAK DIALYSIS"/>
    <d v="2022-10-21T00:00:00"/>
    <x v="1"/>
    <d v="2022-10-21T00:00:00"/>
    <d v="2022-10-21T00:00:00"/>
    <n v="22028105"/>
    <n v="2236942"/>
    <n v="1001684202"/>
    <s v="RAM NIWAS"/>
    <x v="243"/>
    <n v="0"/>
    <n v="1274"/>
    <n v="0"/>
    <n v="1274"/>
    <x v="1"/>
    <x v="6"/>
    <n v="0"/>
    <x v="13"/>
  </r>
  <r>
    <n v="2083"/>
    <s v="Delhi Arogya kosh"/>
    <d v="2022-10-26T00:00:00"/>
    <x v="1"/>
    <d v="2022-10-26T00:00:00"/>
    <d v="2022-10-26T00:00:00"/>
    <n v="22028690"/>
    <n v="2237535"/>
    <n v="10013506167"/>
    <s v="KETAN GOEL"/>
    <x v="243"/>
    <n v="0"/>
    <n v="1274"/>
    <n v="0"/>
    <n v="1274"/>
    <x v="1"/>
    <x v="6"/>
    <n v="0"/>
    <x v="13"/>
  </r>
  <r>
    <n v="2084"/>
    <s v=" DAK DIALYSIS"/>
    <d v="2022-10-24T00:00:00"/>
    <x v="1"/>
    <d v="2022-10-24T00:00:00"/>
    <d v="2022-10-24T00:00:00"/>
    <n v="22028423"/>
    <n v="2237214"/>
    <n v="1001647517"/>
    <s v="RAJENDER PANDAY"/>
    <x v="243"/>
    <n v="0"/>
    <n v="1274"/>
    <n v="0"/>
    <n v="1274"/>
    <x v="1"/>
    <x v="6"/>
    <n v="0"/>
    <x v="13"/>
  </r>
  <r>
    <n v="2085"/>
    <s v="CGHS ( CREDIT)"/>
    <d v="2022-10-19T00:00:00"/>
    <x v="1"/>
    <d v="2022-10-19T00:00:00"/>
    <d v="2022-10-19T00:00:00"/>
    <n v="22027666"/>
    <n v="2236590"/>
    <n v="10013401847"/>
    <s v="TIRLOCHAN SINGH"/>
    <x v="43"/>
    <n v="0"/>
    <n v="1610"/>
    <n v="0"/>
    <n v="1610"/>
    <x v="1"/>
    <x v="6"/>
    <n v="0"/>
    <x v="13"/>
  </r>
  <r>
    <n v="2086"/>
    <s v=" ECHS CREDIT"/>
    <d v="2022-10-11T00:00:00"/>
    <x v="1"/>
    <d v="2022-10-18T00:00:00"/>
    <d v="2022-10-18T00:00:00"/>
    <n v="22027569"/>
    <n v="2235531"/>
    <n v="1001803740"/>
    <s v="RESHMA DEVI"/>
    <x v="1097"/>
    <n v="0"/>
    <n v="40565"/>
    <n v="0"/>
    <n v="40565"/>
    <x v="1"/>
    <x v="1"/>
    <n v="0"/>
    <x v="0"/>
  </r>
  <r>
    <n v="2087"/>
    <s v="Delhi Arogya kosh"/>
    <d v="2022-10-27T00:00:00"/>
    <x v="1"/>
    <d v="2022-10-27T00:00:00"/>
    <d v="2022-10-27T00:00:00"/>
    <n v="22028838"/>
    <n v="2237712"/>
    <n v="10013437822"/>
    <s v="JOGINDER PAL"/>
    <x v="243"/>
    <n v="0"/>
    <n v="1274"/>
    <n v="0"/>
    <n v="1274"/>
    <x v="1"/>
    <x v="6"/>
    <n v="0"/>
    <x v="13"/>
  </r>
  <r>
    <n v="2088"/>
    <s v=" DAK DIALYSIS"/>
    <d v="2022-10-17T00:00:00"/>
    <x v="1"/>
    <d v="2022-10-17T00:00:00"/>
    <d v="2022-10-17T00:00:00"/>
    <n v="22027454"/>
    <n v="2236345"/>
    <n v="1001767553"/>
    <s v="VIJAY SINGH NEGI"/>
    <x v="243"/>
    <n v="0"/>
    <n v="1274"/>
    <n v="0"/>
    <n v="1274"/>
    <x v="1"/>
    <x v="6"/>
    <n v="0"/>
    <x v="13"/>
  </r>
  <r>
    <n v="2089"/>
    <s v=" DAK DIALYSIS"/>
    <d v="2022-10-19T00:00:00"/>
    <x v="1"/>
    <d v="2022-10-19T00:00:00"/>
    <d v="2022-10-19T00:00:00"/>
    <n v="22027652"/>
    <n v="2236578"/>
    <n v="1001647517"/>
    <s v="RAJENDER PANDAY"/>
    <x v="243"/>
    <n v="0"/>
    <n v="1274"/>
    <n v="0"/>
    <n v="1274"/>
    <x v="1"/>
    <x v="6"/>
    <n v="0"/>
    <x v="13"/>
  </r>
  <r>
    <n v="2090"/>
    <s v="GENERAL PATIENT (MAH)"/>
    <d v="2022-10-03T00:00:00"/>
    <x v="1"/>
    <d v="2022-10-05T00:00:00"/>
    <d v="2022-10-05T00:00:00"/>
    <n v="22025760"/>
    <n v="2234400"/>
    <n v="1000956837"/>
    <s v="LEELAWATI GOEL"/>
    <x v="3"/>
    <n v="62748"/>
    <n v="2500"/>
    <n v="0"/>
    <n v="2500"/>
    <x v="1"/>
    <x v="9"/>
    <n v="0"/>
    <x v="0"/>
  </r>
  <r>
    <n v="2091"/>
    <s v="Safeway Mediclaim Services Pvt. Ltd."/>
    <d v="2022-10-28T00:00:00"/>
    <x v="1"/>
    <d v="2022-10-28T00:00:00"/>
    <d v="2022-10-28T00:00:00"/>
    <n v="22028865"/>
    <n v="2237763"/>
    <n v="1001020879"/>
    <s v="KUSUM LATA"/>
    <x v="75"/>
    <n v="0"/>
    <n v="2200"/>
    <n v="0"/>
    <n v="2200"/>
    <x v="1"/>
    <x v="12"/>
    <n v="0"/>
    <x v="13"/>
  </r>
  <r>
    <n v="2092"/>
    <s v=" DAK DIALYSIS"/>
    <d v="2022-10-08T00:00:00"/>
    <x v="1"/>
    <d v="2022-10-08T00:00:00"/>
    <d v="2022-10-08T00:00:00"/>
    <n v="22026183"/>
    <n v="2235190"/>
    <n v="1001711925"/>
    <s v="SANJAY KUMAR"/>
    <x v="243"/>
    <n v="0"/>
    <n v="1274"/>
    <n v="0"/>
    <n v="1274"/>
    <x v="1"/>
    <x v="6"/>
    <n v="0"/>
    <x v="13"/>
  </r>
  <r>
    <n v="2093"/>
    <s v=" DAK DIALYSIS"/>
    <d v="2022-10-17T00:00:00"/>
    <x v="1"/>
    <d v="2022-10-17T00:00:00"/>
    <d v="2022-10-17T00:00:00"/>
    <n v="22027385"/>
    <n v="2236301"/>
    <n v="1001367923"/>
    <s v="PRIYANKA KUMARI"/>
    <x v="243"/>
    <n v="0"/>
    <n v="1274"/>
    <n v="0"/>
    <n v="1274"/>
    <x v="1"/>
    <x v="6"/>
    <n v="0"/>
    <x v="13"/>
  </r>
  <r>
    <n v="2094"/>
    <s v="HDFC ERGO General Insurance Co. Ltd."/>
    <d v="2022-10-25T00:00:00"/>
    <x v="1"/>
    <d v="2022-10-25T00:00:00"/>
    <d v="2022-10-25T00:00:00"/>
    <n v="22028474"/>
    <n v="2237281"/>
    <n v="10013477952"/>
    <s v="NEEMA GOEL"/>
    <x v="254"/>
    <n v="0"/>
    <n v="2240"/>
    <n v="0"/>
    <n v="2240"/>
    <x v="1"/>
    <x v="6"/>
    <n v="0"/>
    <x v="13"/>
  </r>
  <r>
    <n v="2095"/>
    <s v=" CGHS CREDIT"/>
    <d v="2022-10-10T00:00:00"/>
    <x v="1"/>
    <d v="2022-10-10T00:00:00"/>
    <d v="2022-10-10T00:00:00"/>
    <n v="22026432"/>
    <n v="2235390"/>
    <n v="1001772963"/>
    <s v="RAVINDER VERMA"/>
    <x v="43"/>
    <n v="0"/>
    <n v="1610"/>
    <n v="0"/>
    <n v="1610"/>
    <x v="1"/>
    <x v="6"/>
    <n v="0"/>
    <x v="13"/>
  </r>
  <r>
    <n v="2096"/>
    <s v="Delhi Arogya kosh"/>
    <d v="2022-10-11T00:00:00"/>
    <x v="1"/>
    <d v="2022-10-11T00:00:00"/>
    <d v="2022-10-11T00:00:00"/>
    <n v="22026564"/>
    <n v="2235539"/>
    <n v="1001397167"/>
    <s v="SUNIL KUMAR AGGARWAL"/>
    <x v="243"/>
    <n v="0"/>
    <n v="1274"/>
    <n v="0"/>
    <n v="1274"/>
    <x v="1"/>
    <x v="6"/>
    <n v="0"/>
    <x v="13"/>
  </r>
  <r>
    <n v="2097"/>
    <s v=" DAK DIALYSIS"/>
    <d v="2022-10-12T00:00:00"/>
    <x v="1"/>
    <d v="2022-10-12T00:00:00"/>
    <d v="2022-10-12T00:00:00"/>
    <n v="22026661"/>
    <n v="2235648"/>
    <n v="1001678600"/>
    <s v="RAKESH THAKUR"/>
    <x v="243"/>
    <n v="0"/>
    <n v="1274"/>
    <n v="0"/>
    <n v="1274"/>
    <x v="1"/>
    <x v="6"/>
    <n v="0"/>
    <x v="13"/>
  </r>
  <r>
    <n v="2098"/>
    <s v="RAKSHA (TPA)"/>
    <d v="2022-09-15T00:00:00"/>
    <x v="0"/>
    <d v="2022-10-01T00:00:00"/>
    <d v="2022-10-01T00:00:00"/>
    <n v="22025143"/>
    <n v="2232083"/>
    <n v="1001798828"/>
    <s v="JYOTI KUMARI"/>
    <x v="1098"/>
    <n v="22202"/>
    <n v="495047"/>
    <n v="20139"/>
    <n v="474908"/>
    <x v="1"/>
    <x v="4"/>
    <n v="4.068098584578838E-2"/>
    <x v="10"/>
  </r>
  <r>
    <n v="2099"/>
    <s v="GENERAL PATIENT"/>
    <d v="2022-10-04T00:00:00"/>
    <x v="1"/>
    <d v="2022-10-05T00:00:00"/>
    <d v="2022-10-05T00:00:00"/>
    <n v="22025704"/>
    <n v="2234630"/>
    <n v="1001802481"/>
    <s v="RITU MALE BABY JUNEJA"/>
    <x v="1099"/>
    <n v="809"/>
    <n v="6379"/>
    <n v="6379"/>
    <n v="0"/>
    <x v="0"/>
    <x v="0"/>
    <n v="1"/>
    <x v="3"/>
  </r>
  <r>
    <n v="2100"/>
    <s v="GENERAL PATIENT"/>
    <d v="2022-10-04T00:00:00"/>
    <x v="1"/>
    <d v="2022-10-06T00:00:00"/>
    <d v="2022-10-06T00:00:00"/>
    <n v="22025849"/>
    <n v="2234535"/>
    <n v="1001802353"/>
    <s v="SONA KUMARI"/>
    <x v="1100"/>
    <n v="8568"/>
    <n v="57900"/>
    <n v="57900"/>
    <n v="0"/>
    <x v="0"/>
    <x v="1"/>
    <n v="1"/>
    <x v="1"/>
  </r>
  <r>
    <n v="2101"/>
    <s v="GENERAL PATIENT"/>
    <d v="2022-10-04T00:00:00"/>
    <x v="1"/>
    <d v="2022-10-06T00:00:00"/>
    <d v="2022-10-06T00:00:00"/>
    <n v="22025865"/>
    <n v="2234559"/>
    <n v="1001802392"/>
    <s v="SHILPI FEMALE BABY JAISWAL"/>
    <x v="1101"/>
    <n v="2032"/>
    <n v="14530"/>
    <n v="14530"/>
    <n v="0"/>
    <x v="0"/>
    <x v="2"/>
    <n v="1"/>
    <x v="3"/>
  </r>
  <r>
    <n v="2102"/>
    <s v="GENERAL PATIENT"/>
    <d v="2022-10-17T00:00:00"/>
    <x v="1"/>
    <d v="2022-10-17T00:00:00"/>
    <d v="2022-10-17T00:00:00"/>
    <n v="22027478"/>
    <n v="2236378"/>
    <n v="10013518452"/>
    <s v="RAJESH WADHERA"/>
    <x v="45"/>
    <n v="413"/>
    <n v="4577"/>
    <n v="4577"/>
    <n v="0"/>
    <x v="0"/>
    <x v="6"/>
    <n v="1"/>
    <x v="13"/>
  </r>
  <r>
    <n v="2103"/>
    <s v="MARUTI UDYOG LTD"/>
    <d v="2022-10-18T00:00:00"/>
    <x v="1"/>
    <d v="2022-10-19T00:00:00"/>
    <d v="2022-10-19T00:00:00"/>
    <n v="22027685"/>
    <n v="2236463"/>
    <n v="1001805007"/>
    <s v="TRIBHWAN NATH BHAT"/>
    <x v="1102"/>
    <n v="0"/>
    <n v="72901"/>
    <n v="72901"/>
    <n v="0"/>
    <x v="0"/>
    <x v="10"/>
    <n v="1"/>
    <x v="11"/>
  </r>
  <r>
    <n v="2104"/>
    <s v="GENERAL PATIENT"/>
    <d v="2022-10-14T00:00:00"/>
    <x v="1"/>
    <d v="2022-10-28T00:00:00"/>
    <d v="2022-10-28T00:00:00"/>
    <n v="22028895"/>
    <n v="2235903"/>
    <n v="10013542928"/>
    <s v="RAJINDER KAUR"/>
    <x v="1103"/>
    <n v="40688"/>
    <n v="203100"/>
    <n v="203100"/>
    <n v="0"/>
    <x v="0"/>
    <x v="1"/>
    <n v="1"/>
    <x v="0"/>
  </r>
  <r>
    <n v="2105"/>
    <s v="GENERAL PATIENT"/>
    <d v="2022-10-29T00:00:00"/>
    <x v="1"/>
    <d v="2022-10-31T00:00:00"/>
    <d v="2022-10-31T00:00:00"/>
    <n v="22029298"/>
    <n v="2238001"/>
    <n v="1001202559"/>
    <s v="SURINDER KUMAR CHAWLA"/>
    <x v="1104"/>
    <n v="20176"/>
    <n v="97489"/>
    <n v="97489"/>
    <n v="0"/>
    <x v="0"/>
    <x v="16"/>
    <n v="1"/>
    <x v="0"/>
  </r>
  <r>
    <n v="2106"/>
    <s v="GENERAL PATIENT"/>
    <d v="2022-10-17T00:00:00"/>
    <x v="1"/>
    <d v="2022-10-17T00:00:00"/>
    <d v="2022-10-17T00:00:00"/>
    <n v="22027487"/>
    <n v="2236350"/>
    <n v="1001579196"/>
    <s v="CHANDER BHAN"/>
    <x v="19"/>
    <n v="780"/>
    <n v="13220"/>
    <n v="13220"/>
    <n v="0"/>
    <x v="0"/>
    <x v="6"/>
    <n v="1"/>
    <x v="4"/>
  </r>
  <r>
    <n v="2107"/>
    <s v="GENERAL PATIENT"/>
    <d v="2022-10-06T00:00:00"/>
    <x v="1"/>
    <d v="2022-10-06T00:00:00"/>
    <d v="2022-10-06T00:00:00"/>
    <n v="22025885"/>
    <n v="2234830"/>
    <n v="10013491169"/>
    <s v="ENAM"/>
    <x v="1105"/>
    <n v="5995"/>
    <n v="38367"/>
    <n v="38367"/>
    <n v="0"/>
    <x v="0"/>
    <x v="6"/>
    <n v="1"/>
    <x v="6"/>
  </r>
  <r>
    <n v="2108"/>
    <s v="GENERAL PATIENT"/>
    <d v="2022-10-27T00:00:00"/>
    <x v="1"/>
    <d v="2022-10-28T00:00:00"/>
    <d v="2022-10-28T00:00:00"/>
    <n v="22028964"/>
    <n v="2237629"/>
    <n v="10013544703"/>
    <s v="NANKI KAUR"/>
    <x v="1106"/>
    <n v="29100"/>
    <n v="153128"/>
    <n v="153128"/>
    <n v="0"/>
    <x v="0"/>
    <x v="7"/>
    <n v="1"/>
    <x v="4"/>
  </r>
  <r>
    <n v="2109"/>
    <s v="GENERAL PATIENT"/>
    <d v="2022-10-12T00:00:00"/>
    <x v="1"/>
    <d v="2022-10-20T00:00:00"/>
    <d v="2022-10-20T00:00:00"/>
    <n v="22027843"/>
    <n v="2235708"/>
    <n v="10013542709"/>
    <s v="JORAWAR SINGH"/>
    <x v="1107"/>
    <n v="15182"/>
    <n v="237018"/>
    <n v="237017"/>
    <n v="1"/>
    <x v="1"/>
    <x v="1"/>
    <n v="0.99999578091115437"/>
    <x v="10"/>
  </r>
  <r>
    <n v="2110"/>
    <s v="GENERAL PATIENT"/>
    <d v="2022-10-26T00:00:00"/>
    <x v="1"/>
    <d v="2022-10-30T00:00:00"/>
    <d v="2022-10-30T00:00:00"/>
    <n v="22029201"/>
    <n v="2237474"/>
    <n v="10013544514"/>
    <s v="BEENA JAIN"/>
    <x v="1108"/>
    <n v="6584"/>
    <n v="41149"/>
    <n v="41149"/>
    <n v="0"/>
    <x v="0"/>
    <x v="1"/>
    <n v="1"/>
    <x v="0"/>
  </r>
  <r>
    <n v="2111"/>
    <s v="GENERAL PATIENT"/>
    <d v="2022-09-21T00:00:00"/>
    <x v="0"/>
    <d v="2022-10-13T00:00:00"/>
    <d v="2022-10-13T00:00:00"/>
    <n v="22026934"/>
    <n v="2232806"/>
    <n v="10013539646"/>
    <s v="RAJ KUMAR"/>
    <x v="1109"/>
    <n v="277647"/>
    <n v="754979"/>
    <n v="754979"/>
    <n v="0"/>
    <x v="0"/>
    <x v="13"/>
    <n v="1"/>
    <x v="2"/>
  </r>
  <r>
    <n v="2112"/>
    <s v="Heritage Health TPA Private Limited"/>
    <d v="2022-10-13T00:00:00"/>
    <x v="1"/>
    <d v="2022-10-16T00:00:00"/>
    <d v="2022-10-16T00:00:00"/>
    <n v="22027342"/>
    <n v="2235891"/>
    <n v="10013540556"/>
    <s v="SUJATA"/>
    <x v="1110"/>
    <n v="0"/>
    <n v="77121"/>
    <n v="27121"/>
    <n v="50000"/>
    <x v="1"/>
    <x v="2"/>
    <n v="0.35166815782990368"/>
    <x v="1"/>
  </r>
  <r>
    <n v="2113"/>
    <s v="HARAYANA GOVT."/>
    <d v="2022-10-02T00:00:00"/>
    <x v="1"/>
    <d v="2022-10-19T00:00:00"/>
    <d v="2022-10-19T00:00:00"/>
    <n v="22027762"/>
    <n v="2234317"/>
    <n v="1001221279"/>
    <s v="SURESH KUMAR"/>
    <x v="1111"/>
    <n v="0"/>
    <n v="877696"/>
    <n v="877696"/>
    <n v="0"/>
    <x v="0"/>
    <x v="1"/>
    <n v="1"/>
    <x v="0"/>
  </r>
  <r>
    <n v="2114"/>
    <s v="HARAYANA GOVT."/>
    <d v="2022-10-19T00:00:00"/>
    <x v="1"/>
    <d v="2022-10-20T00:00:00"/>
    <d v="2022-10-20T00:00:00"/>
    <n v="22027867"/>
    <n v="2236603"/>
    <n v="10013543606"/>
    <s v="MUKTA DEVI"/>
    <x v="1112"/>
    <n v="0"/>
    <n v="51720"/>
    <n v="51720"/>
    <n v="0"/>
    <x v="0"/>
    <x v="1"/>
    <n v="1"/>
    <x v="14"/>
  </r>
  <r>
    <n v="2115"/>
    <s v="GENERAL PATIENT"/>
    <d v="2022-10-21T00:00:00"/>
    <x v="1"/>
    <d v="2022-10-21T00:00:00"/>
    <d v="2022-10-21T00:00:00"/>
    <n v="22028085"/>
    <n v="2236896"/>
    <n v="10013542963"/>
    <s v="PRABHLEEN KAUR"/>
    <x v="1113"/>
    <n v="2560"/>
    <n v="16817"/>
    <n v="16817"/>
    <n v="0"/>
    <x v="0"/>
    <x v="6"/>
    <n v="1"/>
    <x v="1"/>
  </r>
  <r>
    <n v="2116"/>
    <s v="GENERAL PATIENT"/>
    <d v="2022-10-22T00:00:00"/>
    <x v="1"/>
    <d v="2022-10-22T00:00:00"/>
    <d v="2022-10-22T00:00:00"/>
    <n v="22028240"/>
    <n v="2237032"/>
    <n v="10013507561"/>
    <s v="PUSHPA"/>
    <x v="73"/>
    <n v="310"/>
    <n v="2534"/>
    <n v="2534"/>
    <n v="0"/>
    <x v="0"/>
    <x v="6"/>
    <n v="1"/>
    <x v="13"/>
  </r>
  <r>
    <n v="2117"/>
    <s v="MEDI ASSIST"/>
    <d v="2022-10-18T00:00:00"/>
    <x v="1"/>
    <d v="2022-10-22T00:00:00"/>
    <d v="2022-10-22T00:00:00"/>
    <n v="22028222"/>
    <n v="2236502"/>
    <n v="10013484362"/>
    <s v="SWARA DEVI"/>
    <x v="1114"/>
    <n v="15550"/>
    <n v="99762"/>
    <n v="19372"/>
    <n v="80390"/>
    <x v="1"/>
    <x v="3"/>
    <n v="0.19418215352539042"/>
    <x v="12"/>
  </r>
  <r>
    <n v="2118"/>
    <s v="GENERAL PATIENT"/>
    <d v="2022-10-12T00:00:00"/>
    <x v="1"/>
    <d v="2022-10-14T00:00:00"/>
    <d v="2022-10-14T00:00:00"/>
    <n v="22027010"/>
    <n v="2235659"/>
    <n v="10013336168"/>
    <s v="POOJA"/>
    <x v="1115"/>
    <n v="9492"/>
    <n v="60014"/>
    <n v="60014"/>
    <n v="0"/>
    <x v="0"/>
    <x v="1"/>
    <n v="1"/>
    <x v="1"/>
  </r>
  <r>
    <n v="2119"/>
    <s v="HDFC ERGO General Insurance Co. Ltd."/>
    <d v="2022-10-13T00:00:00"/>
    <x v="1"/>
    <d v="2022-10-20T00:00:00"/>
    <d v="2022-10-20T00:00:00"/>
    <n v="22027858"/>
    <n v="2235860"/>
    <n v="1001119664"/>
    <s v="ROSHAN LAL"/>
    <x v="1116"/>
    <n v="0"/>
    <n v="165763"/>
    <n v="0"/>
    <n v="165763"/>
    <x v="1"/>
    <x v="1"/>
    <n v="0"/>
    <x v="5"/>
  </r>
  <r>
    <n v="2120"/>
    <s v="HDFC ERGO General Insurance Co. Ltd."/>
    <d v="2022-10-14T00:00:00"/>
    <x v="1"/>
    <d v="2022-10-17T00:00:00"/>
    <d v="2022-10-17T00:00:00"/>
    <n v="22027420"/>
    <n v="2236050"/>
    <n v="10013417785"/>
    <s v="ASHISH GUPTA"/>
    <x v="1117"/>
    <n v="0"/>
    <n v="179391"/>
    <n v="0"/>
    <n v="179391"/>
    <x v="1"/>
    <x v="2"/>
    <n v="0"/>
    <x v="16"/>
  </r>
  <r>
    <n v="2121"/>
    <s v="GENERAL PATIENT"/>
    <d v="2022-10-07T00:00:00"/>
    <x v="1"/>
    <d v="2022-10-08T00:00:00"/>
    <d v="2022-10-08T00:00:00"/>
    <n v="22026118"/>
    <n v="2235043"/>
    <n v="10013540512"/>
    <s v="MANISH GUPTA"/>
    <x v="1118"/>
    <n v="25612"/>
    <n v="60000"/>
    <n v="60000"/>
    <n v="0"/>
    <x v="0"/>
    <x v="7"/>
    <n v="1"/>
    <x v="5"/>
  </r>
  <r>
    <n v="2122"/>
    <s v="GENERAL PATIENT"/>
    <d v="2022-10-25T00:00:00"/>
    <x v="1"/>
    <d v="2022-10-28T00:00:00"/>
    <d v="2022-10-28T00:00:00"/>
    <n v="22028901"/>
    <n v="2237290"/>
    <n v="10013544345"/>
    <s v="PRIYA CHADHA"/>
    <x v="1119"/>
    <n v="17908"/>
    <n v="134486"/>
    <n v="134486"/>
    <n v="0"/>
    <x v="0"/>
    <x v="1"/>
    <n v="1"/>
    <x v="9"/>
  </r>
  <r>
    <n v="2123"/>
    <s v="DGHS (DELHI GOVT.)"/>
    <d v="2022-10-25T00:00:00"/>
    <x v="1"/>
    <d v="2022-10-27T00:00:00"/>
    <d v="2022-10-27T00:00:00"/>
    <n v="22028768"/>
    <n v="2237317"/>
    <n v="1001806091"/>
    <s v="DEEPTI FEMALE BABY KUMARI-2"/>
    <x v="1120"/>
    <n v="0"/>
    <n v="4665"/>
    <n v="4665"/>
    <n v="0"/>
    <x v="0"/>
    <x v="0"/>
    <n v="1"/>
    <x v="3"/>
  </r>
  <r>
    <n v="2124"/>
    <s v="DGHS (DELHI GOVT.)"/>
    <d v="2022-10-25T00:00:00"/>
    <x v="1"/>
    <d v="2022-10-27T00:00:00"/>
    <d v="2022-10-27T00:00:00"/>
    <n v="22028759"/>
    <n v="2237323"/>
    <n v="1001806094"/>
    <s v="DEEPTI MALE BABY KUMARI-1"/>
    <x v="1121"/>
    <n v="0"/>
    <n v="5512"/>
    <n v="5512"/>
    <n v="0"/>
    <x v="0"/>
    <x v="0"/>
    <n v="1"/>
    <x v="3"/>
  </r>
  <r>
    <n v="2125"/>
    <s v="GENERAL PATIENT"/>
    <d v="2022-10-21T00:00:00"/>
    <x v="1"/>
    <d v="2022-10-21T00:00:00"/>
    <d v="2022-10-21T00:00:00"/>
    <n v="22028103"/>
    <n v="2236956"/>
    <n v="1001202559"/>
    <s v="SURINDER KUMAR CHAWLA"/>
    <x v="212"/>
    <n v="619"/>
    <n v="2971"/>
    <n v="2971"/>
    <n v="0"/>
    <x v="0"/>
    <x v="6"/>
    <n v="1"/>
    <x v="13"/>
  </r>
  <r>
    <n v="2126"/>
    <s v="GENERAL PATIENT"/>
    <d v="2022-10-21T00:00:00"/>
    <x v="1"/>
    <d v="2022-10-21T00:00:00"/>
    <d v="2022-10-21T00:00:00"/>
    <n v="22028109"/>
    <n v="2236969"/>
    <n v="1001327108"/>
    <s v="POOJA"/>
    <x v="41"/>
    <n v="2794"/>
    <n v="0"/>
    <n v="0"/>
    <n v="0"/>
    <x v="0"/>
    <x v="9"/>
    <e v="#DIV/0!"/>
    <x v="13"/>
  </r>
  <r>
    <n v="2127"/>
    <s v="Safeway Mediclaim Services Pvt. Ltd."/>
    <d v="2022-10-14T00:00:00"/>
    <x v="1"/>
    <d v="2022-10-16T00:00:00"/>
    <d v="2022-10-16T00:00:00"/>
    <n v="22027343"/>
    <n v="2235941"/>
    <n v="10013542137"/>
    <s v="CHANDU LAL OSTWAL"/>
    <x v="1122"/>
    <n v="0"/>
    <n v="84339"/>
    <n v="20589"/>
    <n v="63750"/>
    <x v="1"/>
    <x v="5"/>
    <n v="0.24412193647067193"/>
    <x v="11"/>
  </r>
  <r>
    <n v="2128"/>
    <s v="STAR HEALTH CARE  (CREDIT)"/>
    <d v="2022-10-08T00:00:00"/>
    <x v="1"/>
    <d v="2022-10-16T00:00:00"/>
    <d v="2022-10-16T00:00:00"/>
    <n v="22027335"/>
    <n v="2235165"/>
    <n v="10013542013"/>
    <s v="CHANDRA PRAKASH SAXENA"/>
    <x v="1123"/>
    <n v="0"/>
    <n v="941009"/>
    <n v="525424"/>
    <n v="415585"/>
    <x v="1"/>
    <x v="1"/>
    <n v="0.55836235360129394"/>
    <x v="4"/>
  </r>
  <r>
    <n v="2129"/>
    <s v="GENERAL PATIENT"/>
    <d v="2022-10-04T00:00:00"/>
    <x v="1"/>
    <d v="2022-10-18T00:00:00"/>
    <d v="2022-10-18T00:00:00"/>
    <n v="22027515"/>
    <n v="2234655"/>
    <n v="10013535695"/>
    <s v="SATISH"/>
    <x v="1124"/>
    <n v="653925"/>
    <n v="0"/>
    <n v="0"/>
    <n v="0"/>
    <x v="0"/>
    <x v="9"/>
    <e v="#DIV/0!"/>
    <x v="0"/>
  </r>
  <r>
    <n v="2130"/>
    <s v="GENERAL PATIENT"/>
    <d v="2022-10-18T00:00:00"/>
    <x v="1"/>
    <d v="2022-10-20T00:00:00"/>
    <d v="2022-10-20T00:00:00"/>
    <n v="22027861"/>
    <n v="2236487"/>
    <n v="1001805053"/>
    <s v="RITIKA FEMALE BABY"/>
    <x v="1125"/>
    <n v="2032"/>
    <n v="13948"/>
    <n v="13948"/>
    <n v="0"/>
    <x v="0"/>
    <x v="2"/>
    <n v="1"/>
    <x v="3"/>
  </r>
  <r>
    <n v="2131"/>
    <s v="GENERAL PATIENT"/>
    <d v="2022-10-03T00:00:00"/>
    <x v="1"/>
    <d v="2022-10-05T00:00:00"/>
    <d v="2022-10-05T00:00:00"/>
    <n v="22025683"/>
    <n v="2234382"/>
    <n v="10013514662"/>
    <s v="KOMAL GARG"/>
    <x v="1126"/>
    <n v="11617"/>
    <n v="84925"/>
    <n v="84925"/>
    <n v="0"/>
    <x v="0"/>
    <x v="2"/>
    <n v="1"/>
    <x v="1"/>
  </r>
  <r>
    <n v="2132"/>
    <s v="BAJAJ ALLIANZ INSURANCE"/>
    <d v="2022-10-12T00:00:00"/>
    <x v="1"/>
    <d v="2022-10-14T00:00:00"/>
    <d v="2022-10-14T00:00:00"/>
    <n v="22027017"/>
    <n v="2235699"/>
    <n v="10013542704"/>
    <s v="MANOJ KALRA"/>
    <x v="1127"/>
    <n v="4019"/>
    <n v="39256"/>
    <n v="6435"/>
    <n v="32821"/>
    <x v="1"/>
    <x v="2"/>
    <n v="0.16392398614224576"/>
    <x v="0"/>
  </r>
  <r>
    <n v="2133"/>
    <s v="Paramount Health Services (TPA) Private Limited"/>
    <d v="2022-10-18T00:00:00"/>
    <x v="1"/>
    <d v="2022-10-20T00:00:00"/>
    <d v="2022-10-20T00:00:00"/>
    <n v="22027864"/>
    <n v="2236490"/>
    <n v="10013439361"/>
    <s v="SUNITA KARDAM"/>
    <x v="1128"/>
    <n v="10017"/>
    <n v="67004"/>
    <n v="12295"/>
    <n v="54709"/>
    <x v="1"/>
    <x v="4"/>
    <n v="0.18349650767118381"/>
    <x v="4"/>
  </r>
  <r>
    <n v="2134"/>
    <s v="MEDI ASSIST"/>
    <d v="2022-10-12T00:00:00"/>
    <x v="1"/>
    <d v="2022-10-15T00:00:00"/>
    <d v="2022-10-15T00:00:00"/>
    <n v="22027179"/>
    <n v="2235692"/>
    <n v="1001803951"/>
    <s v="URVASHI FEMALE BABY JAIN"/>
    <x v="1129"/>
    <n v="0"/>
    <n v="33441"/>
    <n v="33441"/>
    <n v="0"/>
    <x v="0"/>
    <x v="2"/>
    <n v="1"/>
    <x v="3"/>
  </r>
  <r>
    <n v="2135"/>
    <s v="GENERAL PATIENT"/>
    <d v="2022-10-17T00:00:00"/>
    <x v="1"/>
    <d v="2022-10-20T00:00:00"/>
    <d v="2022-10-20T00:00:00"/>
    <n v="22027921"/>
    <n v="2236321"/>
    <n v="1001203841"/>
    <s v="RAVI SETH"/>
    <x v="1130"/>
    <n v="22828"/>
    <n v="79807"/>
    <n v="79807"/>
    <n v="0"/>
    <x v="0"/>
    <x v="1"/>
    <n v="1"/>
    <x v="0"/>
  </r>
  <r>
    <n v="2136"/>
    <s v="Cholamandlam General Insurance Co. Ltd."/>
    <d v="2022-10-19T00:00:00"/>
    <x v="1"/>
    <d v="2022-10-24T00:00:00"/>
    <d v="2022-10-24T00:00:00"/>
    <n v="22028425"/>
    <n v="2236711"/>
    <n v="10013543797"/>
    <s v="SUMIT GUPTA"/>
    <x v="1131"/>
    <n v="10834"/>
    <n v="114212"/>
    <n v="4728"/>
    <n v="109484"/>
    <x v="1"/>
    <x v="0"/>
    <n v="4.1396700872062479E-2"/>
    <x v="0"/>
  </r>
  <r>
    <n v="2137"/>
    <s v="NIVA BUPA"/>
    <d v="2022-10-10T00:00:00"/>
    <x v="1"/>
    <d v="2022-10-11T00:00:00"/>
    <d v="2022-10-11T00:00:00"/>
    <n v="22026581"/>
    <n v="2235357"/>
    <n v="1001803530"/>
    <s v="KRISHNA KUMAR"/>
    <x v="1132"/>
    <n v="0"/>
    <n v="233624"/>
    <n v="1500"/>
    <n v="232124"/>
    <x v="1"/>
    <x v="4"/>
    <n v="6.4205732287778653E-3"/>
    <x v="4"/>
  </r>
  <r>
    <n v="2138"/>
    <s v="HDFC ERGO General Insurance Co. Ltd."/>
    <d v="2022-10-20T00:00:00"/>
    <x v="1"/>
    <d v="2022-10-27T00:00:00"/>
    <d v="2022-10-27T00:00:00"/>
    <n v="22028754"/>
    <n v="2236848"/>
    <n v="10013543952"/>
    <s v="NEELAM"/>
    <x v="1133"/>
    <n v="0"/>
    <n v="105297"/>
    <n v="3140"/>
    <n v="102157"/>
    <x v="1"/>
    <x v="1"/>
    <n v="2.9820412737304958E-2"/>
    <x v="0"/>
  </r>
  <r>
    <n v="2139"/>
    <s v="STAR HEALTH CARE  (CREDIT)"/>
    <d v="2022-10-21T00:00:00"/>
    <x v="1"/>
    <d v="2022-10-27T00:00:00"/>
    <d v="2022-10-27T00:00:00"/>
    <n v="22028757"/>
    <n v="2236909"/>
    <n v="10013534870"/>
    <s v="MEHREEN"/>
    <x v="1134"/>
    <n v="7739"/>
    <n v="49558"/>
    <n v="3707"/>
    <n v="45851"/>
    <x v="1"/>
    <x v="1"/>
    <n v="7.4801242988014049E-2"/>
    <x v="3"/>
  </r>
  <r>
    <n v="2140"/>
    <s v="GENERAL PATIENT"/>
    <d v="2022-10-11T00:00:00"/>
    <x v="1"/>
    <d v="2022-10-13T00:00:00"/>
    <d v="2022-10-13T00:00:00"/>
    <n v="22026888"/>
    <n v="2235481"/>
    <n v="1001790303"/>
    <s v="SURESH SOLANKI"/>
    <x v="1135"/>
    <n v="3750"/>
    <n v="76525"/>
    <n v="76525"/>
    <n v="0"/>
    <x v="0"/>
    <x v="1"/>
    <n v="1"/>
    <x v="0"/>
  </r>
  <r>
    <n v="2141"/>
    <s v="MEDI ASSIST"/>
    <d v="2022-10-26T00:00:00"/>
    <x v="1"/>
    <d v="2022-10-26T00:00:00"/>
    <d v="2022-10-26T00:00:00"/>
    <n v="22028598"/>
    <n v="2237453"/>
    <n v="1001105051"/>
    <s v="KAMLA CHUGH"/>
    <x v="168"/>
    <n v="0"/>
    <n v="4840"/>
    <n v="242"/>
    <n v="4598"/>
    <x v="1"/>
    <x v="12"/>
    <n v="0.05"/>
    <x v="13"/>
  </r>
  <r>
    <n v="2142"/>
    <s v="GENERAL PATIENT"/>
    <d v="2022-10-04T00:00:00"/>
    <x v="1"/>
    <d v="2022-10-04T00:00:00"/>
    <d v="2022-10-04T00:00:00"/>
    <n v="22025579"/>
    <n v="2234527"/>
    <n v="1001454285"/>
    <s v="K L SEHGAL"/>
    <x v="1136"/>
    <n v="3950"/>
    <n v="14148"/>
    <n v="14148"/>
    <n v="0"/>
    <x v="0"/>
    <x v="6"/>
    <n v="1"/>
    <x v="5"/>
  </r>
  <r>
    <n v="2143"/>
    <s v="MEDI ASSIST"/>
    <d v="2022-09-30T00:00:00"/>
    <x v="0"/>
    <d v="2022-10-04T00:00:00"/>
    <d v="2022-10-04T00:00:00"/>
    <n v="22025511"/>
    <n v="2234002"/>
    <n v="10013540904"/>
    <s v="DIKSHA SACHDEVA"/>
    <x v="1137"/>
    <n v="8472"/>
    <n v="62815"/>
    <n v="1634"/>
    <n v="61181"/>
    <x v="1"/>
    <x v="3"/>
    <n v="2.6012895009153863E-2"/>
    <x v="0"/>
  </r>
  <r>
    <n v="2144"/>
    <s v="IFFCO TOKIO GENERAL INSURANCE COMPANY LIMITED"/>
    <d v="2022-10-03T00:00:00"/>
    <x v="1"/>
    <d v="2022-10-04T00:00:00"/>
    <d v="2022-10-04T00:00:00"/>
    <n v="22025525"/>
    <n v="2234339"/>
    <n v="1001802056"/>
    <s v="TANMAY KHANEJA"/>
    <x v="1138"/>
    <n v="2810"/>
    <n v="65098"/>
    <n v="9177"/>
    <n v="55921"/>
    <x v="1"/>
    <x v="1"/>
    <n v="0.1409720728747427"/>
    <x v="6"/>
  </r>
  <r>
    <n v="2145"/>
    <s v="GENERAL PATIENT"/>
    <d v="2022-10-03T00:00:00"/>
    <x v="1"/>
    <d v="2022-10-08T00:00:00"/>
    <d v="2022-10-08T00:00:00"/>
    <n v="22026186"/>
    <n v="2234378"/>
    <n v="10013513495"/>
    <s v="RICHA NARULA"/>
    <x v="1139"/>
    <n v="46207"/>
    <n v="206804"/>
    <n v="206804"/>
    <n v="0"/>
    <x v="0"/>
    <x v="7"/>
    <n v="1"/>
    <x v="1"/>
  </r>
  <r>
    <n v="2146"/>
    <s v="GENERAL PATIENT (MAH)"/>
    <d v="2022-10-23T00:00:00"/>
    <x v="1"/>
    <d v="2022-10-23T00:00:00"/>
    <d v="2022-10-23T00:00:00"/>
    <n v="22028400"/>
    <n v="2237185"/>
    <n v="1001087967"/>
    <s v="SUKH NAND KUMAR JAIN"/>
    <x v="59"/>
    <n v="3519"/>
    <n v="0"/>
    <n v="0"/>
    <n v="0"/>
    <x v="0"/>
    <x v="6"/>
    <e v="#DIV/0!"/>
    <x v="13"/>
  </r>
  <r>
    <n v="2147"/>
    <s v="ICICI Lombard General Insurance"/>
    <d v="2022-10-23T00:00:00"/>
    <x v="1"/>
    <d v="2022-10-23T00:00:00"/>
    <d v="2022-10-23T00:00:00"/>
    <n v="22028403"/>
    <n v="2237187"/>
    <n v="10013478103"/>
    <s v="SEEMA RANI"/>
    <x v="16"/>
    <n v="0"/>
    <n v="0"/>
    <n v="0"/>
    <n v="0"/>
    <x v="0"/>
    <x v="0"/>
    <e v="#DIV/0!"/>
    <x v="0"/>
  </r>
  <r>
    <n v="2148"/>
    <s v="GENERAL PATIENT"/>
    <d v="2022-09-28T00:00:00"/>
    <x v="0"/>
    <d v="2022-10-04T00:00:00"/>
    <d v="2022-10-04T00:00:00"/>
    <n v="22025472"/>
    <n v="2233739"/>
    <n v="10013530549"/>
    <s v="ASHOK GARG"/>
    <x v="1140"/>
    <n v="26107"/>
    <n v="172169"/>
    <n v="172169"/>
    <n v="0"/>
    <x v="0"/>
    <x v="1"/>
    <n v="1"/>
    <x v="5"/>
  </r>
  <r>
    <n v="2149"/>
    <s v="GENERAL PATIENT"/>
    <d v="2022-10-20T00:00:00"/>
    <x v="1"/>
    <d v="2022-10-21T00:00:00"/>
    <d v="2022-10-21T00:00:00"/>
    <n v="22027986"/>
    <n v="2236720"/>
    <n v="10013536298"/>
    <s v="SANGITA DEVI"/>
    <x v="1141"/>
    <n v="92408"/>
    <n v="160367"/>
    <n v="160367"/>
    <n v="0"/>
    <x v="0"/>
    <x v="7"/>
    <n v="1"/>
    <x v="7"/>
  </r>
  <r>
    <n v="2150"/>
    <s v="CGHS"/>
    <d v="2022-10-22T00:00:00"/>
    <x v="1"/>
    <d v="2022-10-22T00:00:00"/>
    <d v="2022-10-22T00:00:00"/>
    <n v="22028127"/>
    <n v="2237008"/>
    <n v="10013514103"/>
    <s v="GOVIND KUMAR"/>
    <x v="43"/>
    <n v="0"/>
    <n v="1610"/>
    <n v="1610"/>
    <n v="0"/>
    <x v="0"/>
    <x v="6"/>
    <n v="1"/>
    <x v="13"/>
  </r>
  <r>
    <n v="2151"/>
    <s v="GENERAL PATIENT"/>
    <d v="2022-10-22T00:00:00"/>
    <x v="1"/>
    <d v="2022-10-22T00:00:00"/>
    <d v="2022-10-22T00:00:00"/>
    <n v="22028122"/>
    <n v="2237000"/>
    <n v="1001575947"/>
    <s v="MANISH RAJPUT"/>
    <x v="73"/>
    <n v="310"/>
    <n v="2534"/>
    <n v="2534"/>
    <n v="0"/>
    <x v="0"/>
    <x v="6"/>
    <n v="1"/>
    <x v="13"/>
  </r>
  <r>
    <n v="2152"/>
    <s v="CGHS"/>
    <d v="2022-10-22T00:00:00"/>
    <x v="1"/>
    <d v="2022-10-22T00:00:00"/>
    <d v="2022-10-22T00:00:00"/>
    <n v="22028126"/>
    <n v="2237003"/>
    <n v="10013401198"/>
    <s v="RAM KUMAR"/>
    <x v="43"/>
    <n v="0"/>
    <n v="1610"/>
    <n v="1610"/>
    <n v="0"/>
    <x v="0"/>
    <x v="6"/>
    <n v="1"/>
    <x v="13"/>
  </r>
  <r>
    <n v="2153"/>
    <s v="Delhi University"/>
    <d v="2022-10-11T00:00:00"/>
    <x v="1"/>
    <d v="2022-10-11T00:00:00"/>
    <d v="2022-10-11T00:00:00"/>
    <n v="22026611"/>
    <n v="2235513"/>
    <n v="1001456362"/>
    <s v="BUTA RAM"/>
    <x v="1142"/>
    <n v="0"/>
    <n v="25858"/>
    <n v="25858"/>
    <n v="0"/>
    <x v="0"/>
    <x v="1"/>
    <n v="1"/>
    <x v="22"/>
  </r>
  <r>
    <n v="2154"/>
    <s v="MD INDIA TPA PVT.LTD."/>
    <d v="2022-09-30T00:00:00"/>
    <x v="0"/>
    <d v="2022-10-11T00:00:00"/>
    <d v="2022-10-11T00:00:00"/>
    <n v="22026550"/>
    <n v="2234073"/>
    <n v="10013540695"/>
    <s v="NITIN GARG"/>
    <x v="1143"/>
    <n v="29359"/>
    <n v="208371"/>
    <n v="25190"/>
    <n v="183181"/>
    <x v="1"/>
    <x v="5"/>
    <n v="0.12089014306213437"/>
    <x v="0"/>
  </r>
  <r>
    <n v="2155"/>
    <s v="GENERAL PATIENT"/>
    <d v="2022-10-24T00:00:00"/>
    <x v="1"/>
    <d v="2022-10-28T00:00:00"/>
    <d v="2022-10-28T00:00:00"/>
    <n v="22028911"/>
    <n v="2237225"/>
    <n v="10013544292"/>
    <s v="RACHNA"/>
    <x v="1144"/>
    <n v="20389"/>
    <n v="124234"/>
    <n v="124234"/>
    <n v="0"/>
    <x v="0"/>
    <x v="7"/>
    <n v="1"/>
    <x v="9"/>
  </r>
  <r>
    <n v="2156"/>
    <s v="PARK MED CLAIM LTD"/>
    <d v="2022-10-25T00:00:00"/>
    <x v="1"/>
    <d v="2022-10-25T00:00:00"/>
    <d v="2022-10-25T00:00:00"/>
    <n v="22028508"/>
    <n v="2237309"/>
    <n v="1001300227"/>
    <s v="BIMLA"/>
    <x v="75"/>
    <n v="0"/>
    <n v="2200"/>
    <n v="2200"/>
    <n v="0"/>
    <x v="0"/>
    <x v="12"/>
    <n v="1"/>
    <x v="13"/>
  </r>
  <r>
    <n v="2157"/>
    <s v="T.T.K"/>
    <d v="2022-10-25T00:00:00"/>
    <x v="1"/>
    <d v="2022-10-25T00:00:00"/>
    <d v="2022-10-25T00:00:00"/>
    <n v="22028522"/>
    <n v="2237305"/>
    <n v="10013376566"/>
    <s v="RAJEEV BHATIA"/>
    <x v="75"/>
    <n v="0"/>
    <n v="2200"/>
    <n v="440"/>
    <n v="1760"/>
    <x v="1"/>
    <x v="12"/>
    <n v="0.2"/>
    <x v="13"/>
  </r>
  <r>
    <n v="2158"/>
    <s v="GENERAL PATIENT"/>
    <d v="2022-10-28T00:00:00"/>
    <x v="1"/>
    <d v="2022-10-30T00:00:00"/>
    <d v="2022-10-30T00:00:00"/>
    <n v="22029186"/>
    <n v="2237842"/>
    <n v="1001806845"/>
    <s v="SUZANA FEMALE BABY BAJRACHARYA"/>
    <x v="1145"/>
    <n v="2632"/>
    <n v="17969"/>
    <n v="17969"/>
    <n v="0"/>
    <x v="0"/>
    <x v="2"/>
    <n v="1"/>
    <x v="3"/>
  </r>
  <r>
    <n v="2159"/>
    <s v="CARE HEALTH INSURANCE LIMITED"/>
    <d v="2022-09-30T00:00:00"/>
    <x v="0"/>
    <d v="2022-10-04T00:00:00"/>
    <d v="2022-10-04T00:00:00"/>
    <n v="22025515"/>
    <n v="2234007"/>
    <n v="10013540920"/>
    <s v="VARUN GARG"/>
    <x v="1146"/>
    <n v="0"/>
    <n v="140307"/>
    <n v="29261"/>
    <n v="111046"/>
    <x v="1"/>
    <x v="2"/>
    <n v="0.20854982288838048"/>
    <x v="0"/>
  </r>
  <r>
    <n v="2160"/>
    <s v="Reliance General Insurance Co. Ltd."/>
    <d v="2022-10-07T00:00:00"/>
    <x v="1"/>
    <d v="2022-10-11T00:00:00"/>
    <d v="2022-10-11T00:00:00"/>
    <n v="22026509"/>
    <n v="2235065"/>
    <n v="10013541609"/>
    <s v="RAGHAV KUMAR JHA"/>
    <x v="1147"/>
    <n v="0"/>
    <n v="73638"/>
    <n v="3325"/>
    <n v="70313"/>
    <x v="1"/>
    <x v="2"/>
    <n v="4.5153317580596972E-2"/>
    <x v="3"/>
  </r>
  <r>
    <n v="2161"/>
    <s v="GENERAL PATIENT"/>
    <d v="2022-10-03T00:00:00"/>
    <x v="1"/>
    <d v="2022-10-05T00:00:00"/>
    <d v="2022-10-05T00:00:00"/>
    <n v="22025722"/>
    <n v="2234343"/>
    <n v="10013502797"/>
    <s v="SAKSHI WATWANI"/>
    <x v="1148"/>
    <n v="17495"/>
    <n v="120064"/>
    <n v="120064"/>
    <n v="0"/>
    <x v="0"/>
    <x v="2"/>
    <n v="1"/>
    <x v="1"/>
  </r>
  <r>
    <n v="2162"/>
    <s v="GENERAL PATIENT"/>
    <d v="2022-10-25T00:00:00"/>
    <x v="1"/>
    <d v="2022-10-25T00:00:00"/>
    <d v="2022-10-25T00:00:00"/>
    <n v="22028537"/>
    <n v="2237341"/>
    <n v="1000891328"/>
    <s v="SOURAV SHARMA"/>
    <x v="447"/>
    <n v="3319"/>
    <n v="0"/>
    <n v="0"/>
    <n v="0"/>
    <x v="0"/>
    <x v="9"/>
    <e v="#DIV/0!"/>
    <x v="13"/>
  </r>
  <r>
    <n v="2163"/>
    <s v="GENERAL PATIENT"/>
    <d v="2022-10-25T00:00:00"/>
    <x v="1"/>
    <d v="2022-10-25T00:00:00"/>
    <d v="2022-10-25T00:00:00"/>
    <n v="22028536"/>
    <n v="2237310"/>
    <n v="10013339576"/>
    <s v="RAKESH GUPTA"/>
    <x v="41"/>
    <n v="2794"/>
    <n v="0"/>
    <n v="0"/>
    <n v="0"/>
    <x v="0"/>
    <x v="9"/>
    <e v="#DIV/0!"/>
    <x v="13"/>
  </r>
  <r>
    <n v="2164"/>
    <s v="GENERAL PATIENT"/>
    <d v="2022-09-03T00:00:00"/>
    <x v="0"/>
    <d v="2022-10-25T00:00:00"/>
    <d v="2022-10-25T00:00:00"/>
    <n v="22028560"/>
    <n v="2230512"/>
    <n v="10013429306"/>
    <s v="SAVITA  ABBEY"/>
    <x v="1149"/>
    <n v="2089307"/>
    <n v="0"/>
    <n v="0"/>
    <n v="0"/>
    <x v="0"/>
    <x v="9"/>
    <e v="#DIV/0!"/>
    <x v="2"/>
  </r>
  <r>
    <n v="2165"/>
    <s v="Paramount Health Services (TPA) Private Limited"/>
    <d v="2022-10-22T00:00:00"/>
    <x v="1"/>
    <d v="2022-10-31T00:00:00"/>
    <d v="2022-10-31T00:00:00"/>
    <n v="22029246"/>
    <n v="2237085"/>
    <n v="1001805821"/>
    <s v="RINKI FEMALE BABY"/>
    <x v="1150"/>
    <n v="0"/>
    <n v="152302"/>
    <n v="152302"/>
    <n v="0"/>
    <x v="0"/>
    <x v="3"/>
    <n v="1"/>
    <x v="3"/>
  </r>
  <r>
    <n v="2166"/>
    <s v="GOVT. OF NCT OF DELHI"/>
    <d v="2022-10-29T00:00:00"/>
    <x v="1"/>
    <d v="2022-10-29T00:00:00"/>
    <d v="2022-10-29T00:00:00"/>
    <n v="22029170"/>
    <n v="2238048"/>
    <n v="1000915662"/>
    <s v="RAJ KUMAR"/>
    <x v="43"/>
    <n v="0"/>
    <n v="1610"/>
    <n v="1610"/>
    <n v="0"/>
    <x v="0"/>
    <x v="6"/>
    <n v="1"/>
    <x v="13"/>
  </r>
  <r>
    <n v="2167"/>
    <s v="FHPL"/>
    <d v="2022-10-11T00:00:00"/>
    <x v="1"/>
    <d v="2022-10-28T00:00:00"/>
    <d v="2022-10-28T00:00:00"/>
    <n v="22028905"/>
    <n v="2235480"/>
    <n v="10013542479"/>
    <s v="SATISH KUMAR SINGH"/>
    <x v="1151"/>
    <n v="0"/>
    <n v="610936"/>
    <n v="110936"/>
    <n v="500000"/>
    <x v="1"/>
    <x v="5"/>
    <n v="0.18158366833841844"/>
    <x v="11"/>
  </r>
  <r>
    <n v="2168"/>
    <s v="HEALTH INDIA"/>
    <d v="2022-10-28T00:00:00"/>
    <x v="1"/>
    <d v="2022-10-29T00:00:00"/>
    <d v="2022-10-29T00:00:00"/>
    <n v="22029080"/>
    <n v="2237750"/>
    <n v="1001121625"/>
    <s v="MAHESH KUMAR ROY"/>
    <x v="1152"/>
    <n v="7607"/>
    <n v="46600"/>
    <n v="6487"/>
    <n v="40113"/>
    <x v="1"/>
    <x v="3"/>
    <n v="0.13920600858369098"/>
    <x v="0"/>
  </r>
  <r>
    <n v="2169"/>
    <s v="MEDI ASSIST"/>
    <d v="2022-10-12T00:00:00"/>
    <x v="1"/>
    <d v="2022-10-14T00:00:00"/>
    <d v="2022-10-14T00:00:00"/>
    <n v="22026995"/>
    <n v="2235711"/>
    <n v="10013542699"/>
    <s v="MANJU SHARMA"/>
    <x v="491"/>
    <n v="225"/>
    <n v="202110"/>
    <n v="41622"/>
    <n v="160488"/>
    <x v="1"/>
    <x v="4"/>
    <n v="0.20593736084310524"/>
    <x v="4"/>
  </r>
  <r>
    <n v="2170"/>
    <s v="Safeway Mediclaim Services Pvt. Ltd."/>
    <d v="2022-10-29T00:00:00"/>
    <x v="1"/>
    <d v="2022-10-29T00:00:00"/>
    <d v="2022-10-29T00:00:00"/>
    <n v="22029130"/>
    <n v="2237920"/>
    <n v="1001176103"/>
    <s v="RENU JAIN"/>
    <x v="1153"/>
    <n v="0"/>
    <n v="82000"/>
    <n v="3075"/>
    <n v="78925"/>
    <x v="1"/>
    <x v="12"/>
    <n v="3.7499999999999999E-2"/>
    <x v="1"/>
  </r>
  <r>
    <n v="2171"/>
    <s v="STAR HEALTH CARE  (CREDIT)"/>
    <d v="2022-10-29T00:00:00"/>
    <x v="1"/>
    <d v="2022-10-29T00:00:00"/>
    <d v="2022-10-29T00:00:00"/>
    <n v="22029139"/>
    <n v="2237935"/>
    <n v="10013542693"/>
    <s v="ARCHANA KUMARI"/>
    <x v="1154"/>
    <n v="0"/>
    <n v="29500"/>
    <n v="20157"/>
    <n v="9343"/>
    <x v="1"/>
    <x v="6"/>
    <n v="0.68328813559322032"/>
    <x v="1"/>
  </r>
  <r>
    <n v="2172"/>
    <s v="MEDI ASSIST"/>
    <d v="2022-10-28T00:00:00"/>
    <x v="1"/>
    <d v="2022-10-28T00:00:00"/>
    <d v="2022-10-28T00:00:00"/>
    <n v="22028850"/>
    <n v="2237760"/>
    <n v="1000891498"/>
    <s v="GULSAN JAMWAL"/>
    <x v="75"/>
    <n v="0"/>
    <n v="2200"/>
    <n v="440"/>
    <n v="1760"/>
    <x v="1"/>
    <x v="12"/>
    <n v="0.2"/>
    <x v="13"/>
  </r>
  <r>
    <n v="2173"/>
    <s v=" RELIGARE HEALTH INSURANCE"/>
    <d v="2022-10-28T00:00:00"/>
    <x v="1"/>
    <d v="2022-10-29T00:00:00"/>
    <d v="2022-10-29T00:00:00"/>
    <n v="22029128"/>
    <n v="2237808"/>
    <n v="1001806793"/>
    <s v="NIKHIL SHARMA"/>
    <x v="1155"/>
    <n v="0"/>
    <n v="67263"/>
    <n v="1000"/>
    <n v="66263"/>
    <x v="1"/>
    <x v="2"/>
    <n v="1.4867014554807248E-2"/>
    <x v="11"/>
  </r>
  <r>
    <n v="2174"/>
    <s v="GENERAL PATIENT"/>
    <d v="2022-10-17T00:00:00"/>
    <x v="1"/>
    <d v="2022-10-18T00:00:00"/>
    <d v="2022-10-18T00:00:00"/>
    <n v="22027557"/>
    <n v="2236266"/>
    <n v="10013350001"/>
    <s v="NETRA KUMAR GUPTA"/>
    <x v="1156"/>
    <n v="8380"/>
    <n v="64250"/>
    <n v="64250"/>
    <n v="0"/>
    <x v="0"/>
    <x v="1"/>
    <n v="1"/>
    <x v="4"/>
  </r>
  <r>
    <n v="2175"/>
    <s v="DGHS (DELHI GOVT.)"/>
    <d v="2022-09-28T00:00:00"/>
    <x v="0"/>
    <d v="2022-10-02T00:00:00"/>
    <d v="2022-10-02T00:00:00"/>
    <n v="22025280"/>
    <n v="2233775"/>
    <n v="10013458099"/>
    <s v="RAM PARI DEVI"/>
    <x v="1157"/>
    <n v="0"/>
    <n v="18739"/>
    <n v="18739"/>
    <n v="0"/>
    <x v="0"/>
    <x v="1"/>
    <n v="1"/>
    <x v="0"/>
  </r>
  <r>
    <n v="2176"/>
    <s v="FHPL-TATA AIG"/>
    <d v="2022-10-26T00:00:00"/>
    <x v="1"/>
    <d v="2022-10-31T00:00:00"/>
    <d v="2022-10-31T00:00:00"/>
    <n v="22029278"/>
    <n v="2237435"/>
    <n v="10013526975"/>
    <s v="AMINA BEGUM"/>
    <x v="1158"/>
    <n v="0"/>
    <n v="189257"/>
    <n v="189257"/>
    <n v="0"/>
    <x v="0"/>
    <x v="2"/>
    <n v="1"/>
    <x v="0"/>
  </r>
  <r>
    <n v="2177"/>
    <s v="HDFC ERGO General Insurance Co. Ltd."/>
    <d v="2022-10-27T00:00:00"/>
    <x v="1"/>
    <d v="2022-10-28T00:00:00"/>
    <d v="2022-10-28T00:00:00"/>
    <n v="22028909"/>
    <n v="2237652"/>
    <n v="10013544744"/>
    <s v="SUSHIL KUMAR GOEL"/>
    <x v="1159"/>
    <n v="0"/>
    <n v="41389"/>
    <n v="41389"/>
    <n v="0"/>
    <x v="0"/>
    <x v="2"/>
    <n v="1"/>
    <x v="2"/>
  </r>
  <r>
    <n v="2178"/>
    <s v="GENERAL PATIENT"/>
    <d v="2022-10-27T00:00:00"/>
    <x v="1"/>
    <d v="2022-10-30T00:00:00"/>
    <d v="2022-10-30T00:00:00"/>
    <n v="22029185"/>
    <n v="2237679"/>
    <n v="10013514304"/>
    <s v="SUZANA BAJRACHARYA"/>
    <x v="1160"/>
    <n v="13753"/>
    <n v="95555"/>
    <n v="95555"/>
    <n v="0"/>
    <x v="0"/>
    <x v="2"/>
    <n v="1"/>
    <x v="1"/>
  </r>
  <r>
    <n v="2179"/>
    <s v="MD INDIA TPA PVT.LTD."/>
    <d v="2022-10-28T00:00:00"/>
    <x v="1"/>
    <d v="2022-10-30T00:00:00"/>
    <d v="2022-10-30T00:00:00"/>
    <n v="22029189"/>
    <n v="2237748"/>
    <n v="10013544613"/>
    <s v="NEETA GUPTA"/>
    <x v="1161"/>
    <n v="0"/>
    <n v="73155"/>
    <n v="19155"/>
    <n v="54000"/>
    <x v="1"/>
    <x v="3"/>
    <n v="0.26184129587861388"/>
    <x v="1"/>
  </r>
  <r>
    <n v="2180"/>
    <s v="GENERAL PATIENT"/>
    <d v="2022-10-03T00:00:00"/>
    <x v="1"/>
    <d v="2022-10-03T00:00:00"/>
    <d v="2022-10-03T00:00:00"/>
    <n v="22025342"/>
    <n v="2234368"/>
    <n v="1001314823"/>
    <s v="MUKESH KUMAR"/>
    <x v="64"/>
    <n v="311"/>
    <n v="3319"/>
    <n v="3319"/>
    <n v="0"/>
    <x v="0"/>
    <x v="6"/>
    <n v="1"/>
    <x v="13"/>
  </r>
  <r>
    <n v="2181"/>
    <s v="ICICI Lombard General Insurance"/>
    <d v="2022-10-06T00:00:00"/>
    <x v="1"/>
    <d v="2022-10-10T00:00:00"/>
    <d v="2022-10-10T00:00:00"/>
    <n v="22026378"/>
    <n v="2234807"/>
    <n v="10013541693"/>
    <s v="RAJESH GUPTA"/>
    <x v="1162"/>
    <n v="10492"/>
    <n v="115561"/>
    <n v="4874"/>
    <n v="110687"/>
    <x v="1"/>
    <x v="4"/>
    <n v="4.2176858974913682E-2"/>
    <x v="4"/>
  </r>
  <r>
    <n v="2182"/>
    <s v="CARE HEALTH INSURANCE LIMITED"/>
    <d v="2022-10-27T00:00:00"/>
    <x v="1"/>
    <d v="2022-10-31T00:00:00"/>
    <d v="2022-10-31T00:00:00"/>
    <n v="22029277"/>
    <n v="2237589"/>
    <n v="10013544668"/>
    <s v="SIMRAN CHHABRA"/>
    <x v="1163"/>
    <n v="0"/>
    <n v="89158"/>
    <n v="2151"/>
    <n v="87007"/>
    <x v="1"/>
    <x v="2"/>
    <n v="2.4125709414746854E-2"/>
    <x v="0"/>
  </r>
  <r>
    <n v="2183"/>
    <s v=" SSYAMA CASH"/>
    <d v="2022-10-10T00:00:00"/>
    <x v="1"/>
    <d v="2022-10-10T00:00:00"/>
    <d v="2022-10-10T00:00:00"/>
    <n v="22026350"/>
    <n v="2235331"/>
    <n v="1001788579"/>
    <s v="JABBAR KHAN"/>
    <x v="49"/>
    <n v="0"/>
    <n v="2172"/>
    <n v="2172"/>
    <n v="0"/>
    <x v="0"/>
    <x v="6"/>
    <n v="1"/>
    <x v="13"/>
  </r>
  <r>
    <n v="2184"/>
    <s v="Health Insurance TPA of India Ltd."/>
    <d v="2022-10-27T00:00:00"/>
    <x v="1"/>
    <d v="2022-10-30T00:00:00"/>
    <d v="2022-10-30T00:00:00"/>
    <n v="22029204"/>
    <n v="2237730"/>
    <n v="1000947591"/>
    <s v="KULBHUSHAN AGGARWAL"/>
    <x v="1164"/>
    <n v="0"/>
    <n v="439530"/>
    <n v="224730"/>
    <n v="214800"/>
    <x v="1"/>
    <x v="4"/>
    <n v="0.51129615725889022"/>
    <x v="4"/>
  </r>
  <r>
    <n v="2185"/>
    <s v="M.C.D"/>
    <d v="2022-10-26T00:00:00"/>
    <x v="1"/>
    <d v="2022-10-30T00:00:00"/>
    <d v="2022-10-30T00:00:00"/>
    <n v="22029233"/>
    <n v="2237563"/>
    <n v="1000993495"/>
    <s v="BALA DEVI"/>
    <x v="1165"/>
    <n v="0"/>
    <n v="72129"/>
    <n v="72129"/>
    <n v="0"/>
    <x v="0"/>
    <x v="1"/>
    <n v="1"/>
    <x v="0"/>
  </r>
  <r>
    <n v="2186"/>
    <s v="GENERAL PATIENT"/>
    <d v="2022-10-08T00:00:00"/>
    <x v="1"/>
    <d v="2022-10-08T00:00:00"/>
    <d v="2022-10-08T00:00:00"/>
    <n v="22026157"/>
    <n v="2235160"/>
    <n v="10013539422"/>
    <s v="NAVEEN KUMAR"/>
    <x v="73"/>
    <n v="291"/>
    <n v="2553"/>
    <n v="2553"/>
    <n v="0"/>
    <x v="0"/>
    <x v="6"/>
    <n v="1"/>
    <x v="13"/>
  </r>
  <r>
    <n v="2187"/>
    <s v="GENERAL PATIENT"/>
    <d v="2022-10-06T00:00:00"/>
    <x v="1"/>
    <d v="2022-10-10T00:00:00"/>
    <d v="2022-10-10T00:00:00"/>
    <n v="22026421"/>
    <n v="2234959"/>
    <n v="10013541891"/>
    <s v="MANPREET KAUR TALWAR"/>
    <x v="1166"/>
    <n v="20246"/>
    <n v="147307"/>
    <n v="147307"/>
    <n v="0"/>
    <x v="0"/>
    <x v="1"/>
    <n v="1"/>
    <x v="4"/>
  </r>
  <r>
    <n v="2188"/>
    <s v="RAKSHA (TPA)"/>
    <d v="2022-10-05T00:00:00"/>
    <x v="1"/>
    <d v="2022-10-10T00:00:00"/>
    <d v="2022-10-10T00:00:00"/>
    <n v="22026366"/>
    <n v="2234774"/>
    <n v="10013471616"/>
    <s v="ASHOK KUMAR"/>
    <x v="1167"/>
    <n v="13382"/>
    <n v="120409"/>
    <n v="14704"/>
    <n v="105705"/>
    <x v="1"/>
    <x v="2"/>
    <n v="0.12211711749121744"/>
    <x v="0"/>
  </r>
  <r>
    <n v="2189"/>
    <s v="HDFC ERGO General Insurance Co. Ltd."/>
    <d v="2022-10-06T00:00:00"/>
    <x v="1"/>
    <d v="2022-10-10T00:00:00"/>
    <d v="2022-10-10T00:00:00"/>
    <n v="22026385"/>
    <n v="2234910"/>
    <n v="10013541524"/>
    <s v="S MOHIT"/>
    <x v="1168"/>
    <n v="0"/>
    <n v="43858"/>
    <n v="1500"/>
    <n v="42358"/>
    <x v="1"/>
    <x v="0"/>
    <n v="3.420128596835241E-2"/>
    <x v="0"/>
  </r>
  <r>
    <n v="2190"/>
    <s v="CGHS"/>
    <d v="2022-10-31T00:00:00"/>
    <x v="1"/>
    <d v="2022-10-31T00:00:00"/>
    <d v="2022-10-31T00:00:00"/>
    <n v="22029362"/>
    <n v="2238154"/>
    <n v="10013544002"/>
    <s v="SUKHBIR SINGH"/>
    <x v="1169"/>
    <n v="0"/>
    <n v="29533"/>
    <n v="29533"/>
    <n v="0"/>
    <x v="0"/>
    <x v="1"/>
    <n v="1"/>
    <x v="22"/>
  </r>
  <r>
    <n v="2191"/>
    <s v="CGHS ( CREDIT)"/>
    <d v="2022-10-23T00:00:00"/>
    <x v="1"/>
    <d v="2022-10-29T00:00:00"/>
    <d v="2022-10-29T00:00:00"/>
    <n v="22029123"/>
    <n v="2237203"/>
    <n v="10013544259"/>
    <s v="PRAMILA YADAV"/>
    <x v="1170"/>
    <n v="0"/>
    <n v="126358"/>
    <n v="31992"/>
    <n v="94366"/>
    <x v="1"/>
    <x v="2"/>
    <n v="0.25318539388087813"/>
    <x v="0"/>
  </r>
  <r>
    <n v="2192"/>
    <s v="EAST-WEST ASSIST."/>
    <d v="2022-10-29T00:00:00"/>
    <x v="1"/>
    <d v="2022-10-31T00:00:00"/>
    <d v="2022-10-31T00:00:00"/>
    <n v="22029328"/>
    <n v="2237915"/>
    <n v="1001806901"/>
    <s v="BHAWNA FEMALE BABY"/>
    <x v="1171"/>
    <n v="0"/>
    <n v="7565"/>
    <n v="7565"/>
    <n v="0"/>
    <x v="0"/>
    <x v="5"/>
    <n v="1"/>
    <x v="3"/>
  </r>
  <r>
    <n v="2193"/>
    <s v="GENERAL PATIENT"/>
    <d v="2022-10-17T00:00:00"/>
    <x v="1"/>
    <d v="2022-10-22T00:00:00"/>
    <d v="2022-10-22T00:00:00"/>
    <n v="22028218"/>
    <n v="2236424"/>
    <n v="10013511255"/>
    <s v="SURESH JAIN"/>
    <x v="1172"/>
    <n v="21124"/>
    <n v="117124"/>
    <n v="117124"/>
    <n v="0"/>
    <x v="0"/>
    <x v="1"/>
    <n v="1"/>
    <x v="0"/>
  </r>
  <r>
    <n v="2194"/>
    <s v="MEDI ASSIST"/>
    <d v="2022-10-14T00:00:00"/>
    <x v="1"/>
    <d v="2022-10-18T00:00:00"/>
    <d v="2022-10-18T00:00:00"/>
    <n v="22027561"/>
    <n v="2235990"/>
    <n v="1001804380"/>
    <s v="MONIKA"/>
    <x v="1173"/>
    <n v="0"/>
    <n v="86245"/>
    <n v="3116"/>
    <n v="83129"/>
    <x v="1"/>
    <x v="2"/>
    <n v="3.6129630703229172E-2"/>
    <x v="9"/>
  </r>
  <r>
    <n v="2195"/>
    <s v="CARE HEALTH INSURANCE LIMITED"/>
    <d v="2022-10-14T00:00:00"/>
    <x v="1"/>
    <d v="2022-10-18T00:00:00"/>
    <d v="2022-10-18T00:00:00"/>
    <n v="22027576"/>
    <n v="2235900"/>
    <n v="10013536887"/>
    <s v="PRIYANKA GUPTA"/>
    <x v="1174"/>
    <n v="9545"/>
    <n v="69780"/>
    <n v="2125"/>
    <n v="67655"/>
    <x v="1"/>
    <x v="1"/>
    <n v="3.0452851820005733E-2"/>
    <x v="0"/>
  </r>
  <r>
    <n v="2196"/>
    <s v="GENERAL PATIENT"/>
    <d v="2022-10-29T00:00:00"/>
    <x v="1"/>
    <d v="2022-10-30T00:00:00"/>
    <d v="2022-10-30T00:00:00"/>
    <n v="22029234"/>
    <n v="2237997"/>
    <n v="10013433199"/>
    <s v="NEELAM KALRA"/>
    <x v="166"/>
    <n v="0"/>
    <n v="184154"/>
    <n v="184154"/>
    <n v="0"/>
    <x v="0"/>
    <x v="1"/>
    <n v="1"/>
    <x v="4"/>
  </r>
  <r>
    <n v="2197"/>
    <s v="Health Insurance TPA of India Ltd."/>
    <d v="2022-10-31T00:00:00"/>
    <x v="1"/>
    <d v="2022-10-31T00:00:00"/>
    <d v="2022-10-31T00:00:00"/>
    <n v="22029386"/>
    <n v="2238248"/>
    <n v="10013353354"/>
    <s v="NARENDER CHAWLA"/>
    <x v="75"/>
    <n v="0"/>
    <n v="2200"/>
    <n v="220"/>
    <n v="1980"/>
    <x v="1"/>
    <x v="12"/>
    <n v="0.1"/>
    <x v="13"/>
  </r>
  <r>
    <n v="2198"/>
    <s v="CARE HEALTH INSURANCE LIMITED"/>
    <d v="2022-10-04T00:00:00"/>
    <x v="1"/>
    <d v="2022-10-07T00:00:00"/>
    <d v="2022-10-07T00:00:00"/>
    <n v="22025947"/>
    <n v="2234497"/>
    <n v="1001802015"/>
    <s v="AMARWATI"/>
    <x v="1175"/>
    <n v="607"/>
    <n v="100643"/>
    <n v="1500"/>
    <n v="99143"/>
    <x v="1"/>
    <x v="1"/>
    <n v="1.4904166211261588E-2"/>
    <x v="1"/>
  </r>
  <r>
    <n v="2199"/>
    <s v="GENERAL PATIENT"/>
    <d v="2022-10-04T00:00:00"/>
    <x v="1"/>
    <d v="2022-10-04T00:00:00"/>
    <d v="2022-10-04T00:00:00"/>
    <n v="22025585"/>
    <n v="2234502"/>
    <n v="10013540761"/>
    <s v="BEENA"/>
    <x v="1176"/>
    <n v="2077"/>
    <n v="14632"/>
    <n v="14632"/>
    <n v="0"/>
    <x v="0"/>
    <x v="6"/>
    <n v="1"/>
    <x v="1"/>
  </r>
  <r>
    <n v="2200"/>
    <s v="PARK MED CLAIM LTD"/>
    <d v="2022-10-01T00:00:00"/>
    <x v="1"/>
    <d v="2022-10-10T00:00:00"/>
    <d v="2022-10-10T00:00:00"/>
    <n v="22026387"/>
    <n v="2234233"/>
    <n v="10013508141"/>
    <s v="HUKAM CHAND JAIN"/>
    <x v="1177"/>
    <n v="13802"/>
    <n v="153576"/>
    <n v="54385"/>
    <n v="99191"/>
    <x v="1"/>
    <x v="3"/>
    <n v="0.35412434234515811"/>
    <x v="0"/>
  </r>
  <r>
    <n v="2201"/>
    <s v="HDFC ERGO General Insurance Co. Ltd."/>
    <d v="2022-10-18T00:00:00"/>
    <x v="1"/>
    <d v="2022-10-19T00:00:00"/>
    <d v="2022-10-19T00:00:00"/>
    <n v="22027687"/>
    <n v="2236431"/>
    <n v="1000928664"/>
    <s v="SUMIT GUPTA"/>
    <x v="1178"/>
    <n v="135"/>
    <n v="226308"/>
    <n v="1500"/>
    <n v="224808"/>
    <x v="1"/>
    <x v="4"/>
    <n v="6.6281351079060394E-3"/>
    <x v="4"/>
  </r>
  <r>
    <n v="2202"/>
    <s v="GENERAL PATIENT"/>
    <d v="2022-10-19T00:00:00"/>
    <x v="1"/>
    <d v="2022-10-19T00:00:00"/>
    <d v="2022-10-19T00:00:00"/>
    <n v="22027738"/>
    <n v="2236572"/>
    <n v="10013488602"/>
    <s v="MEENAKSHI"/>
    <x v="1179"/>
    <n v="2077"/>
    <n v="20936"/>
    <n v="20936"/>
    <n v="0"/>
    <x v="0"/>
    <x v="6"/>
    <n v="1"/>
    <x v="1"/>
  </r>
  <r>
    <n v="2203"/>
    <s v="STAR HEALTH CARE  (CREDIT)"/>
    <d v="2022-10-16T00:00:00"/>
    <x v="1"/>
    <d v="2022-10-19T00:00:00"/>
    <d v="2022-10-19T00:00:00"/>
    <n v="22027698"/>
    <n v="2236225"/>
    <n v="10013543241"/>
    <s v="PARUL ARORA"/>
    <x v="1180"/>
    <n v="8275"/>
    <n v="50185"/>
    <n v="3673"/>
    <n v="46512"/>
    <x v="1"/>
    <x v="2"/>
    <n v="7.3189199960147458E-2"/>
    <x v="0"/>
  </r>
  <r>
    <n v="2204"/>
    <s v="GENERAL PATIENT (MAH)"/>
    <d v="2022-10-31T00:00:00"/>
    <x v="1"/>
    <d v="2022-10-31T00:00:00"/>
    <d v="2022-10-31T00:00:00"/>
    <n v="22029392"/>
    <n v="2238256"/>
    <n v="1001087967"/>
    <s v="SUKH NAND KUMAR JAIN"/>
    <x v="59"/>
    <n v="3519"/>
    <n v="0"/>
    <n v="0"/>
    <n v="0"/>
    <x v="0"/>
    <x v="6"/>
    <e v="#DIV/0!"/>
    <x v="13"/>
  </r>
  <r>
    <n v="2205"/>
    <s v="GENERAL PATIENT"/>
    <d v="2022-10-06T00:00:00"/>
    <x v="1"/>
    <d v="2022-10-06T00:00:00"/>
    <d v="2022-10-06T00:00:00"/>
    <n v="22025805"/>
    <n v="2234838"/>
    <n v="1001542684"/>
    <s v="RAJEEV KUMAR GOEL"/>
    <x v="45"/>
    <n v="433"/>
    <n v="4557"/>
    <n v="4557"/>
    <n v="0"/>
    <x v="0"/>
    <x v="6"/>
    <n v="1"/>
    <x v="13"/>
  </r>
  <r>
    <n v="2206"/>
    <s v="GENERAL PATIENT"/>
    <d v="2022-10-08T00:00:00"/>
    <x v="1"/>
    <d v="2022-10-11T00:00:00"/>
    <d v="2022-10-11T00:00:00"/>
    <n v="22026609"/>
    <n v="2235193"/>
    <n v="10013542101"/>
    <s v="KAMANI"/>
    <x v="1181"/>
    <n v="8510"/>
    <n v="65175"/>
    <n v="65175"/>
    <n v="0"/>
    <x v="0"/>
    <x v="1"/>
    <n v="1"/>
    <x v="1"/>
  </r>
  <r>
    <n v="2207"/>
    <s v="VIDAL HEALTH INSURANCE LIMITED"/>
    <d v="2022-10-05T00:00:00"/>
    <x v="1"/>
    <d v="2022-10-08T00:00:00"/>
    <d v="2022-10-08T00:00:00"/>
    <n v="22026105"/>
    <n v="2234661"/>
    <n v="1001802508"/>
    <s v="KIANSH TANEJA"/>
    <x v="1182"/>
    <n v="0"/>
    <n v="80186"/>
    <n v="11926"/>
    <n v="68260"/>
    <x v="1"/>
    <x v="3"/>
    <n v="0.14872920459930661"/>
    <x v="3"/>
  </r>
  <r>
    <n v="2208"/>
    <s v="MD INDIA TPA PVT.LTD."/>
    <d v="2022-10-08T00:00:00"/>
    <x v="1"/>
    <d v="2022-10-10T00:00:00"/>
    <d v="2022-10-10T00:00:00"/>
    <n v="22026369"/>
    <n v="2235115"/>
    <n v="10013542115"/>
    <s v="ARJUN KUMAR"/>
    <x v="1183"/>
    <n v="0"/>
    <n v="315654"/>
    <n v="35651"/>
    <n v="280003"/>
    <x v="1"/>
    <x v="4"/>
    <n v="0.11294328600302864"/>
    <x v="4"/>
  </r>
  <r>
    <n v="2209"/>
    <s v="GENERAL PATIENT"/>
    <d v="2022-10-07T00:00:00"/>
    <x v="1"/>
    <d v="2022-10-12T00:00:00"/>
    <d v="2022-10-12T00:00:00"/>
    <n v="22026751"/>
    <n v="2235104"/>
    <n v="10013393748"/>
    <s v="SUSHIL KUMARI  NAGPAL"/>
    <x v="1184"/>
    <n v="38752"/>
    <n v="182078"/>
    <n v="182078"/>
    <n v="0"/>
    <x v="0"/>
    <x v="1"/>
    <n v="1"/>
    <x v="0"/>
  </r>
  <r>
    <n v="2210"/>
    <s v="CGHS"/>
    <d v="2022-10-28T00:00:00"/>
    <x v="1"/>
    <d v="2022-10-31T00:00:00"/>
    <d v="2022-10-31T00:00:00"/>
    <n v="22029364"/>
    <n v="2237742"/>
    <n v="10013544851"/>
    <s v="RAJJO DEVI"/>
    <x v="1185"/>
    <n v="0"/>
    <n v="21815"/>
    <n v="21815"/>
    <n v="0"/>
    <x v="0"/>
    <x v="1"/>
    <n v="1"/>
    <x v="0"/>
  </r>
  <r>
    <n v="2211"/>
    <s v="FHPL-TATA AIG"/>
    <d v="2022-10-16T00:00:00"/>
    <x v="1"/>
    <d v="2022-10-19T00:00:00"/>
    <d v="2022-10-19T00:00:00"/>
    <n v="22027695"/>
    <n v="2236239"/>
    <n v="10013543261"/>
    <s v="GURLEEN KAUR CHAWLA"/>
    <x v="1186"/>
    <n v="5106"/>
    <n v="50490"/>
    <n v="1276"/>
    <n v="49214"/>
    <x v="1"/>
    <x v="2"/>
    <n v="2.5272331154684097E-2"/>
    <x v="0"/>
  </r>
  <r>
    <n v="2212"/>
    <s v="HDFC ERGO General Insurance Co. Ltd."/>
    <d v="2022-10-15T00:00:00"/>
    <x v="1"/>
    <d v="2022-10-19T00:00:00"/>
    <d v="2022-10-19T00:00:00"/>
    <n v="22027711"/>
    <n v="2236116"/>
    <n v="1001803998"/>
    <s v="HARJIT KAUR"/>
    <x v="1187"/>
    <n v="8245"/>
    <n v="91420"/>
    <n v="1500"/>
    <n v="89920"/>
    <x v="1"/>
    <x v="4"/>
    <n v="1.6407788230146575E-2"/>
    <x v="4"/>
  </r>
  <r>
    <n v="2213"/>
    <s v="GENERAL PATIENT"/>
    <d v="2022-09-30T00:00:00"/>
    <x v="0"/>
    <d v="2022-10-03T00:00:00"/>
    <d v="2022-10-03T00:00:00"/>
    <n v="22025385"/>
    <n v="2234065"/>
    <n v="10013540880"/>
    <s v="PREETI"/>
    <x v="1188"/>
    <n v="82138"/>
    <n v="0"/>
    <n v="0"/>
    <n v="0"/>
    <x v="0"/>
    <x v="9"/>
    <e v="#DIV/0!"/>
    <x v="14"/>
  </r>
  <r>
    <n v="2214"/>
    <s v="NHA - CENTRAL ARMED POLICE FORCES (CGHS)"/>
    <d v="2022-09-29T00:00:00"/>
    <x v="0"/>
    <d v="2022-10-03T00:00:00"/>
    <d v="2022-10-03T00:00:00"/>
    <n v="22025405"/>
    <n v="2233972"/>
    <n v="1000854199"/>
    <s v="SAVITRI DEVI"/>
    <x v="1189"/>
    <n v="0"/>
    <n v="54775"/>
    <n v="6557"/>
    <n v="48218"/>
    <x v="1"/>
    <x v="0"/>
    <n v="0.11970789593792788"/>
    <x v="12"/>
  </r>
  <r>
    <n v="2215"/>
    <s v="NIVA BUPA"/>
    <d v="2022-10-10T00:00:00"/>
    <x v="1"/>
    <d v="2022-10-11T00:00:00"/>
    <d v="2022-10-11T00:00:00"/>
    <n v="22026599"/>
    <n v="2235463"/>
    <n v="10013542470"/>
    <s v="SURINA DEWAN"/>
    <x v="1190"/>
    <n v="0"/>
    <n v="31751"/>
    <n v="31751"/>
    <n v="0"/>
    <x v="0"/>
    <x v="4"/>
    <n v="1"/>
    <x v="4"/>
  </r>
  <r>
    <n v="2216"/>
    <s v="CGHS"/>
    <d v="2022-10-11T00:00:00"/>
    <x v="1"/>
    <d v="2022-10-12T00:00:00"/>
    <d v="2022-10-12T00:00:00"/>
    <n v="22026717"/>
    <n v="2235485"/>
    <n v="10013433615"/>
    <s v="SUMAN DEVI YADAV"/>
    <x v="1191"/>
    <n v="0"/>
    <n v="23806"/>
    <n v="23806"/>
    <n v="0"/>
    <x v="0"/>
    <x v="1"/>
    <n v="1"/>
    <x v="14"/>
  </r>
  <r>
    <n v="2217"/>
    <s v="NIVA BUPA"/>
    <d v="2022-10-13T00:00:00"/>
    <x v="1"/>
    <d v="2022-10-19T00:00:00"/>
    <d v="2022-10-19T00:00:00"/>
    <n v="22027715"/>
    <n v="2235895"/>
    <n v="10013470784"/>
    <s v="ROBIN MAURYA"/>
    <x v="1192"/>
    <n v="0"/>
    <n v="112247"/>
    <n v="112247"/>
    <n v="0"/>
    <x v="0"/>
    <x v="2"/>
    <n v="1"/>
    <x v="0"/>
  </r>
  <r>
    <n v="2218"/>
    <s v="GENERAL PATIENT"/>
    <d v="2022-10-15T00:00:00"/>
    <x v="1"/>
    <d v="2022-10-15T00:00:00"/>
    <d v="2022-10-15T00:00:00"/>
    <n v="22027121"/>
    <n v="2236077"/>
    <n v="1001575947"/>
    <s v="MANISH RAJPUT"/>
    <x v="143"/>
    <n v="290"/>
    <n v="3439"/>
    <n v="3439"/>
    <n v="0"/>
    <x v="0"/>
    <x v="6"/>
    <n v="1"/>
    <x v="13"/>
  </r>
  <r>
    <n v="2219"/>
    <s v="GENERAL PATIENT"/>
    <d v="2022-10-15T00:00:00"/>
    <x v="1"/>
    <d v="2022-10-15T00:00:00"/>
    <d v="2022-10-15T00:00:00"/>
    <n v="22027124"/>
    <n v="2236082"/>
    <n v="10013407139"/>
    <s v="SITO DEVI"/>
    <x v="73"/>
    <n v="308"/>
    <n v="2536"/>
    <n v="2536"/>
    <n v="0"/>
    <x v="0"/>
    <x v="6"/>
    <n v="1"/>
    <x v="13"/>
  </r>
  <r>
    <n v="2220"/>
    <s v="MEDI ASSIST"/>
    <d v="2022-10-15T00:00:00"/>
    <x v="1"/>
    <d v="2022-10-15T00:00:00"/>
    <d v="2022-10-15T00:00:00"/>
    <n v="22027137"/>
    <n v="2236102"/>
    <n v="1001105051"/>
    <s v="KAMLA CHUGH"/>
    <x v="168"/>
    <n v="0"/>
    <n v="4840"/>
    <n v="242"/>
    <n v="4598"/>
    <x v="1"/>
    <x v="12"/>
    <n v="0.05"/>
    <x v="13"/>
  </r>
  <r>
    <n v="2221"/>
    <s v="GENERAL PATIENT"/>
    <d v="2022-10-12T00:00:00"/>
    <x v="1"/>
    <d v="2022-10-12T00:00:00"/>
    <d v="2022-10-12T00:00:00"/>
    <n v="22026750"/>
    <n v="2235643"/>
    <n v="10013541512"/>
    <s v="SNEH LATA"/>
    <x v="1193"/>
    <n v="2395"/>
    <n v="16544"/>
    <n v="16544"/>
    <n v="0"/>
    <x v="0"/>
    <x v="6"/>
    <n v="1"/>
    <x v="1"/>
  </r>
  <r>
    <n v="2222"/>
    <s v="GENERAL PATIENT"/>
    <d v="2022-10-17T00:00:00"/>
    <x v="1"/>
    <d v="2022-10-20T00:00:00"/>
    <d v="2022-10-20T00:00:00"/>
    <n v="22027871"/>
    <n v="2236316"/>
    <n v="10013543363"/>
    <s v="VANTIKA DEVI"/>
    <x v="1194"/>
    <n v="9247"/>
    <n v="66696"/>
    <n v="66696"/>
    <n v="0"/>
    <x v="0"/>
    <x v="1"/>
    <n v="1"/>
    <x v="0"/>
  </r>
  <r>
    <n v="2223"/>
    <s v="GENERAL PATIENT"/>
    <d v="2022-10-06T00:00:00"/>
    <x v="1"/>
    <d v="2022-10-11T00:00:00"/>
    <d v="2022-10-11T00:00:00"/>
    <n v="22026574"/>
    <n v="2234908"/>
    <n v="10013541856"/>
    <s v="SARGUN KAUR"/>
    <x v="1195"/>
    <n v="22553"/>
    <n v="217918"/>
    <n v="217918"/>
    <n v="0"/>
    <x v="0"/>
    <x v="1"/>
    <n v="1"/>
    <x v="4"/>
  </r>
  <r>
    <n v="2224"/>
    <s v="GENERAL PATIENT"/>
    <d v="2022-10-14T00:00:00"/>
    <x v="1"/>
    <d v="2022-10-14T00:00:00"/>
    <d v="2022-10-14T00:00:00"/>
    <n v="22027030"/>
    <n v="2235967"/>
    <n v="10013372212"/>
    <s v="V. K.  SURI"/>
    <x v="45"/>
    <n v="413"/>
    <n v="4577"/>
    <n v="4577"/>
    <n v="0"/>
    <x v="0"/>
    <x v="6"/>
    <n v="1"/>
    <x v="13"/>
  </r>
  <r>
    <n v="2225"/>
    <s v="STAR HEALTH CARE  (CREDIT)"/>
    <d v="2022-10-14T00:00:00"/>
    <x v="1"/>
    <d v="2022-10-20T00:00:00"/>
    <d v="2022-10-20T00:00:00"/>
    <n v="22027894"/>
    <n v="2236000"/>
    <n v="10013543044"/>
    <s v="BHAGIRATH MANGU"/>
    <x v="1196"/>
    <n v="14890"/>
    <n v="147078"/>
    <n v="61912"/>
    <n v="85166"/>
    <x v="1"/>
    <x v="1"/>
    <n v="0.42094670854920518"/>
    <x v="0"/>
  </r>
  <r>
    <n v="2226"/>
    <s v="HARAYANA GOVT."/>
    <d v="2022-10-13T00:00:00"/>
    <x v="1"/>
    <d v="2022-10-14T00:00:00"/>
    <d v="2022-10-14T00:00:00"/>
    <n v="22026993"/>
    <n v="2235841"/>
    <n v="1001804156"/>
    <s v="KAMLESH"/>
    <x v="1197"/>
    <n v="0"/>
    <n v="161615"/>
    <n v="161615"/>
    <n v="0"/>
    <x v="0"/>
    <x v="1"/>
    <n v="1"/>
    <x v="4"/>
  </r>
  <r>
    <n v="2227"/>
    <s v="GENERAL PATIENT"/>
    <d v="2022-10-08T00:00:00"/>
    <x v="1"/>
    <d v="2022-10-15T00:00:00"/>
    <d v="2022-10-15T00:00:00"/>
    <n v="22027279"/>
    <n v="2235232"/>
    <n v="10013538841"/>
    <s v="RAJENDER KUMAR AGARWAL"/>
    <x v="1198"/>
    <n v="340762"/>
    <n v="0"/>
    <n v="0"/>
    <n v="0"/>
    <x v="0"/>
    <x v="9"/>
    <e v="#DIV/0!"/>
    <x v="12"/>
  </r>
  <r>
    <n v="2228"/>
    <s v="Paramount Health Services (TPA) Private Limited"/>
    <d v="2022-10-13T00:00:00"/>
    <x v="1"/>
    <d v="2022-10-14T00:00:00"/>
    <d v="2022-10-14T00:00:00"/>
    <n v="22027001"/>
    <n v="2235828"/>
    <n v="10013541863"/>
    <s v="RAJ KUMAR BHARAJ"/>
    <x v="1199"/>
    <n v="3133"/>
    <n v="47029"/>
    <n v="23588"/>
    <n v="23441"/>
    <x v="1"/>
    <x v="3"/>
    <n v="0.50156286546598905"/>
    <x v="5"/>
  </r>
  <r>
    <n v="2229"/>
    <s v="HDFC ERGO General Insurance Co. Ltd."/>
    <d v="2022-10-24T00:00:00"/>
    <x v="1"/>
    <d v="2022-10-29T00:00:00"/>
    <d v="2022-10-29T00:00:00"/>
    <n v="22029106"/>
    <n v="2237227"/>
    <n v="10013544296"/>
    <s v="PURANCHAND"/>
    <x v="1200"/>
    <n v="0"/>
    <n v="87493"/>
    <n v="2802"/>
    <n v="84691"/>
    <x v="1"/>
    <x v="1"/>
    <n v="3.2025419176391255E-2"/>
    <x v="0"/>
  </r>
  <r>
    <n v="2230"/>
    <s v="Medvantage Insurance TPA Private Limited"/>
    <d v="2022-10-08T00:00:00"/>
    <x v="1"/>
    <d v="2022-10-11T00:00:00"/>
    <d v="2022-10-11T00:00:00"/>
    <n v="22026536"/>
    <n v="2235251"/>
    <n v="1001803359"/>
    <s v="AASTHA VERMA"/>
    <x v="194"/>
    <n v="0"/>
    <n v="70925"/>
    <n v="1939"/>
    <n v="68986"/>
    <x v="1"/>
    <x v="2"/>
    <n v="2.7338738103630595E-2"/>
    <x v="1"/>
  </r>
  <r>
    <n v="2231"/>
    <s v="HARAYANA GOVT."/>
    <d v="2022-10-07T00:00:00"/>
    <x v="1"/>
    <d v="2022-10-07T00:00:00"/>
    <d v="2022-10-07T00:00:00"/>
    <n v="22026047"/>
    <n v="2234994"/>
    <n v="1001773920"/>
    <s v="MUKUL SINGH"/>
    <x v="1201"/>
    <n v="0"/>
    <n v="9220"/>
    <n v="9220"/>
    <n v="0"/>
    <x v="0"/>
    <x v="1"/>
    <n v="1"/>
    <x v="5"/>
  </r>
  <r>
    <n v="2232"/>
    <s v="GENERAL PATIENT"/>
    <d v="2022-09-24T00:00:00"/>
    <x v="0"/>
    <d v="2022-10-01T00:00:00"/>
    <d v="2022-10-01T00:00:00"/>
    <n v="22025197"/>
    <n v="2233382"/>
    <n v="10013540253"/>
    <s v="KULVINDER SINGH"/>
    <x v="1202"/>
    <n v="25303"/>
    <n v="225701"/>
    <n v="225701"/>
    <n v="0"/>
    <x v="0"/>
    <x v="1"/>
    <n v="1"/>
    <x v="0"/>
  </r>
  <r>
    <n v="2233"/>
    <s v="GENERAL PATIENT"/>
    <d v="2022-10-11T00:00:00"/>
    <x v="1"/>
    <d v="2022-10-11T00:00:00"/>
    <d v="2022-10-11T00:00:00"/>
    <n v="22026642"/>
    <n v="2235611"/>
    <n v="1001074324"/>
    <s v="RAMESH CHAND NIGAM"/>
    <x v="73"/>
    <n v="308"/>
    <n v="2536"/>
    <n v="2536"/>
    <n v="0"/>
    <x v="0"/>
    <x v="6"/>
    <n v="1"/>
    <x v="13"/>
  </r>
  <r>
    <n v="2234"/>
    <s v=" CGHS Cash"/>
    <d v="2022-10-15T00:00:00"/>
    <x v="1"/>
    <d v="2022-10-15T00:00:00"/>
    <d v="2022-10-15T00:00:00"/>
    <n v="22027127"/>
    <n v="2236088"/>
    <n v="1001755099"/>
    <s v="SUSHILA DEVI"/>
    <x v="43"/>
    <n v="0"/>
    <n v="1610"/>
    <n v="1610"/>
    <n v="0"/>
    <x v="0"/>
    <x v="6"/>
    <n v="1"/>
    <x v="13"/>
  </r>
  <r>
    <n v="2235"/>
    <s v="HARAYANA GOVT."/>
    <d v="2022-10-12T00:00:00"/>
    <x v="1"/>
    <d v="2022-10-12T00:00:00"/>
    <d v="2022-10-12T00:00:00"/>
    <n v="22026811"/>
    <n v="2235767"/>
    <n v="1001439428"/>
    <s v="DR.S.P.SHARMA"/>
    <x v="99"/>
    <n v="0"/>
    <n v="2758"/>
    <n v="2758"/>
    <n v="0"/>
    <x v="0"/>
    <x v="6"/>
    <n v="1"/>
    <x v="13"/>
  </r>
  <r>
    <n v="2236"/>
    <s v="STAR HEALTH CARE  (CREDIT)"/>
    <d v="2022-10-07T00:00:00"/>
    <x v="1"/>
    <d v="2022-10-07T00:00:00"/>
    <d v="2022-10-07T00:00:00"/>
    <n v="22026029"/>
    <n v="2234973"/>
    <n v="1001802932"/>
    <s v="NEETU MADAAN"/>
    <x v="1154"/>
    <n v="0"/>
    <n v="29500"/>
    <n v="1500"/>
    <n v="28000"/>
    <x v="1"/>
    <x v="6"/>
    <n v="5.0847457627118647E-2"/>
    <x v="1"/>
  </r>
  <r>
    <n v="2237"/>
    <s v="STAR HEALTH CARE  (CREDIT)"/>
    <d v="2022-10-07T00:00:00"/>
    <x v="1"/>
    <d v="2022-10-07T00:00:00"/>
    <d v="2022-10-07T00:00:00"/>
    <n v="22026030"/>
    <n v="2234983"/>
    <n v="1001473400"/>
    <s v="KHUSHBOO KUMARI"/>
    <x v="1154"/>
    <n v="0"/>
    <n v="29500"/>
    <n v="1500"/>
    <n v="28000"/>
    <x v="1"/>
    <x v="6"/>
    <n v="5.0847457627118647E-2"/>
    <x v="1"/>
  </r>
  <r>
    <n v="2238"/>
    <s v="GENERAL PATIENT"/>
    <d v="2022-10-18T00:00:00"/>
    <x v="1"/>
    <d v="2022-10-18T00:00:00"/>
    <d v="2022-10-18T00:00:00"/>
    <n v="22027600"/>
    <n v="2236507"/>
    <n v="10013372212"/>
    <s v="V. K.  SURI"/>
    <x v="45"/>
    <n v="413"/>
    <n v="4577"/>
    <n v="4577"/>
    <n v="0"/>
    <x v="0"/>
    <x v="6"/>
    <n v="1"/>
    <x v="13"/>
  </r>
  <r>
    <n v="2239"/>
    <s v="IFFCO TOKIO GENERAL INSURANCE COMPANY LIMITED"/>
    <d v="2022-10-27T00:00:00"/>
    <x v="1"/>
    <d v="2022-10-29T00:00:00"/>
    <d v="2022-10-29T00:00:00"/>
    <n v="22029108"/>
    <n v="2237653"/>
    <n v="1001806565"/>
    <s v="SAKSHI FEMALE BABY JAIN"/>
    <x v="1203"/>
    <n v="0"/>
    <n v="7579"/>
    <n v="7579"/>
    <n v="0"/>
    <x v="0"/>
    <x v="2"/>
    <n v="1"/>
    <x v="3"/>
  </r>
  <r>
    <n v="2240"/>
    <s v="ICICI PRUDENTIAL LIFE INSURANCE CO. LIMITED"/>
    <d v="2022-09-28T00:00:00"/>
    <x v="0"/>
    <d v="2022-10-03T00:00:00"/>
    <d v="2022-10-03T00:00:00"/>
    <n v="22025448"/>
    <n v="2233708"/>
    <n v="10013540577"/>
    <s v="NEENA GOYAL"/>
    <x v="1204"/>
    <n v="0"/>
    <n v="158827"/>
    <n v="2125"/>
    <n v="156702"/>
    <x v="1"/>
    <x v="0"/>
    <n v="1.3379337266333809E-2"/>
    <x v="0"/>
  </r>
  <r>
    <n v="2241"/>
    <s v="HDFC ERGO General Insurance Co. Ltd."/>
    <d v="2022-10-15T00:00:00"/>
    <x v="1"/>
    <d v="2022-10-15T00:00:00"/>
    <d v="2022-10-15T00:00:00"/>
    <n v="22027214"/>
    <n v="2236154"/>
    <n v="10013543178"/>
    <s v="SUMAN"/>
    <x v="16"/>
    <n v="0"/>
    <n v="0"/>
    <n v="0"/>
    <n v="0"/>
    <x v="0"/>
    <x v="1"/>
    <e v="#DIV/0!"/>
    <x v="2"/>
  </r>
  <r>
    <n v="2242"/>
    <s v="HDFC ERGO General Insurance Co. Ltd."/>
    <d v="2022-10-21T00:00:00"/>
    <x v="1"/>
    <d v="2022-10-27T00:00:00"/>
    <d v="2022-10-27T00:00:00"/>
    <n v="22028816"/>
    <n v="2236940"/>
    <n v="10013544058"/>
    <s v="GEETISH CHADHA"/>
    <x v="1205"/>
    <n v="0"/>
    <n v="81262"/>
    <n v="0"/>
    <n v="81262"/>
    <x v="1"/>
    <x v="1"/>
    <n v="0"/>
    <x v="0"/>
  </r>
  <r>
    <n v="2243"/>
    <s v="GENERAL PATIENT"/>
    <d v="2022-10-22T00:00:00"/>
    <x v="1"/>
    <d v="2022-10-22T00:00:00"/>
    <d v="2022-10-22T00:00:00"/>
    <n v="22028148"/>
    <n v="2237020"/>
    <n v="10013541160"/>
    <s v="SARJIT SINGH CHANA"/>
    <x v="45"/>
    <n v="538"/>
    <n v="4452"/>
    <n v="4452"/>
    <n v="0"/>
    <x v="0"/>
    <x v="6"/>
    <n v="1"/>
    <x v="13"/>
  </r>
  <r>
    <n v="2244"/>
    <s v="MD INDIA TPA PVT.LTD."/>
    <d v="2022-10-11T00:00:00"/>
    <x v="1"/>
    <d v="2022-10-15T00:00:00"/>
    <d v="2022-10-15T00:00:00"/>
    <n v="22027211"/>
    <n v="2235519"/>
    <n v="10013542509"/>
    <s v="SHOURYA GARG"/>
    <x v="1206"/>
    <n v="5668"/>
    <n v="39102"/>
    <n v="2125"/>
    <n v="36977"/>
    <x v="1"/>
    <x v="3"/>
    <n v="5.4345046289192366E-2"/>
    <x v="3"/>
  </r>
  <r>
    <n v="2245"/>
    <s v="ICICI Lombard General Insurance"/>
    <d v="2022-10-01T00:00:00"/>
    <x v="1"/>
    <d v="2022-10-01T00:00:00"/>
    <d v="2022-10-01T00:00:00"/>
    <n v="22025104"/>
    <n v="2234165"/>
    <n v="1001801813"/>
    <s v="SHAMA TANEJA"/>
    <x v="16"/>
    <n v="0"/>
    <n v="0"/>
    <n v="0"/>
    <n v="0"/>
    <x v="0"/>
    <x v="6"/>
    <e v="#DIV/0!"/>
    <x v="1"/>
  </r>
  <r>
    <n v="2246"/>
    <s v="GENERAL PATIENT"/>
    <d v="2022-10-15T00:00:00"/>
    <x v="1"/>
    <d v="2022-10-16T00:00:00"/>
    <d v="2022-10-16T00:00:00"/>
    <n v="22027345"/>
    <n v="2236070"/>
    <n v="1001804440"/>
    <s v="RASHIKA SAINI"/>
    <x v="1207"/>
    <n v="0"/>
    <n v="58859"/>
    <n v="58859"/>
    <n v="0"/>
    <x v="0"/>
    <x v="1"/>
    <n v="1"/>
    <x v="14"/>
  </r>
  <r>
    <n v="2247"/>
    <s v="MEDI ASSIST"/>
    <d v="2022-10-06T00:00:00"/>
    <x v="1"/>
    <d v="2022-10-09T00:00:00"/>
    <d v="2022-10-09T00:00:00"/>
    <n v="22026261"/>
    <n v="2234843"/>
    <n v="10013515236"/>
    <s v="EKTA SHARMA"/>
    <x v="194"/>
    <n v="0"/>
    <n v="70925"/>
    <n v="3364"/>
    <n v="67561"/>
    <x v="1"/>
    <x v="2"/>
    <n v="4.7430384208671128E-2"/>
    <x v="1"/>
  </r>
  <r>
    <n v="2248"/>
    <s v="GENERAL PATIENT"/>
    <d v="2022-10-04T00:00:00"/>
    <x v="1"/>
    <d v="2022-10-06T00:00:00"/>
    <d v="2022-10-06T00:00:00"/>
    <n v="22025856"/>
    <n v="2234596"/>
    <n v="10013398486"/>
    <s v="AMARJEET SINGH"/>
    <x v="1208"/>
    <n v="7710"/>
    <n v="20000"/>
    <n v="20000"/>
    <n v="0"/>
    <x v="0"/>
    <x v="7"/>
    <n v="1"/>
    <x v="9"/>
  </r>
  <r>
    <n v="2249"/>
    <s v="GENERAL PATIENT"/>
    <d v="2022-10-01T00:00:00"/>
    <x v="1"/>
    <d v="2022-10-08T00:00:00"/>
    <d v="2022-10-08T00:00:00"/>
    <n v="22026168"/>
    <n v="2234232"/>
    <n v="1001791695"/>
    <s v="RADHA AGGARWAL"/>
    <x v="1209"/>
    <n v="43768"/>
    <n v="217615"/>
    <n v="217615"/>
    <n v="0"/>
    <x v="0"/>
    <x v="2"/>
    <n v="1"/>
    <x v="0"/>
  </r>
  <r>
    <n v="2250"/>
    <s v="GENERAL PATIENT"/>
    <d v="2022-09-23T00:00:00"/>
    <x v="0"/>
    <d v="2022-10-09T00:00:00"/>
    <d v="2022-10-09T00:00:00"/>
    <n v="22026318"/>
    <n v="2233193"/>
    <n v="10013539018"/>
    <s v="SUKH DEVI"/>
    <x v="1210"/>
    <n v="62397"/>
    <n v="334286"/>
    <n v="334286"/>
    <n v="0"/>
    <x v="0"/>
    <x v="1"/>
    <n v="1"/>
    <x v="0"/>
  </r>
  <r>
    <n v="2251"/>
    <s v=" SSYAMA CASH"/>
    <d v="2022-10-19T00:00:00"/>
    <x v="1"/>
    <d v="2022-10-19T00:00:00"/>
    <d v="2022-10-19T00:00:00"/>
    <n v="22027653"/>
    <n v="2236580"/>
    <n v="1001788579"/>
    <s v="JABBAR KHAN"/>
    <x v="49"/>
    <n v="0"/>
    <n v="2172"/>
    <n v="2172"/>
    <n v="0"/>
    <x v="0"/>
    <x v="6"/>
    <n v="1"/>
    <x v="13"/>
  </r>
  <r>
    <n v="2252"/>
    <s v="MD INDIA TPA PVT.LTD."/>
    <d v="2022-10-19T00:00:00"/>
    <x v="1"/>
    <d v="2022-10-27T00:00:00"/>
    <d v="2022-10-27T00:00:00"/>
    <n v="22028770"/>
    <n v="2236683"/>
    <n v="10013252808"/>
    <s v="HARSH KUMAR AGGARWAL"/>
    <x v="1211"/>
    <n v="19581"/>
    <n v="268016"/>
    <n v="20000"/>
    <n v="248016"/>
    <x v="1"/>
    <x v="5"/>
    <n v="7.4622410602352099E-2"/>
    <x v="0"/>
  </r>
  <r>
    <n v="2253"/>
    <s v="DGHS (DELHI GOVT.)"/>
    <d v="2022-10-19T00:00:00"/>
    <x v="1"/>
    <d v="2022-10-23T00:00:00"/>
    <d v="2022-10-23T00:00:00"/>
    <n v="22028364"/>
    <n v="2236687"/>
    <n v="10013341294"/>
    <s v="SANTOSH"/>
    <x v="1212"/>
    <n v="0"/>
    <n v="38290"/>
    <n v="38290"/>
    <n v="0"/>
    <x v="0"/>
    <x v="1"/>
    <n v="1"/>
    <x v="0"/>
  </r>
  <r>
    <n v="2254"/>
    <s v="GENERAL PATIENT"/>
    <d v="2022-10-03T00:00:00"/>
    <x v="1"/>
    <d v="2022-10-03T00:00:00"/>
    <d v="2022-10-03T00:00:00"/>
    <n v="22025388"/>
    <n v="2234396"/>
    <n v="1001725585"/>
    <s v="JAGJIT SINGH"/>
    <x v="19"/>
    <n v="0"/>
    <n v="14000"/>
    <n v="14000"/>
    <n v="0"/>
    <x v="0"/>
    <x v="6"/>
    <n v="1"/>
    <x v="4"/>
  </r>
  <r>
    <n v="2255"/>
    <s v=" CIGNA TTK"/>
    <d v="2022-10-08T00:00:00"/>
    <x v="1"/>
    <d v="2022-10-11T00:00:00"/>
    <d v="2022-10-11T00:00:00"/>
    <n v="22026544"/>
    <n v="2235177"/>
    <n v="1001800617"/>
    <s v="SUMITRA"/>
    <x v="1213"/>
    <n v="3690"/>
    <n v="24688"/>
    <n v="500"/>
    <n v="24188"/>
    <x v="1"/>
    <x v="1"/>
    <n v="2.0252754374594947E-2"/>
    <x v="11"/>
  </r>
  <r>
    <n v="2256"/>
    <s v="CGHS ( CREDIT)"/>
    <d v="2022-10-09T00:00:00"/>
    <x v="1"/>
    <d v="2022-10-11T00:00:00"/>
    <d v="2022-10-11T00:00:00"/>
    <n v="22026563"/>
    <n v="2235306"/>
    <n v="10013506091"/>
    <s v="BRIJ BHUSHAN BATIA"/>
    <x v="1214"/>
    <n v="0"/>
    <n v="30152"/>
    <n v="226"/>
    <n v="29926"/>
    <x v="1"/>
    <x v="0"/>
    <n v="7.4953568585831784E-3"/>
    <x v="0"/>
  </r>
  <r>
    <n v="2257"/>
    <s v="CARE HEALTH INSURANCE LIMITED"/>
    <d v="2022-10-10T00:00:00"/>
    <x v="1"/>
    <d v="2022-10-11T00:00:00"/>
    <d v="2022-10-11T00:00:00"/>
    <n v="22026587"/>
    <n v="2235318"/>
    <n v="10013542343"/>
    <s v="AARUSH SHARMA"/>
    <x v="1215"/>
    <n v="0"/>
    <n v="36781"/>
    <n v="3375"/>
    <n v="33406"/>
    <x v="1"/>
    <x v="2"/>
    <n v="9.1759332263940618E-2"/>
    <x v="3"/>
  </r>
  <r>
    <n v="2258"/>
    <s v="GENERAL PATIENT"/>
    <d v="2022-10-06T00:00:00"/>
    <x v="1"/>
    <d v="2022-10-06T00:00:00"/>
    <d v="2022-10-06T00:00:00"/>
    <n v="22025848"/>
    <n v="2234855"/>
    <n v="1000919979"/>
    <s v="HEMA  BHAGAT"/>
    <x v="73"/>
    <n v="268"/>
    <n v="2576"/>
    <n v="2576"/>
    <n v="0"/>
    <x v="0"/>
    <x v="6"/>
    <n v="1"/>
    <x v="13"/>
  </r>
  <r>
    <n v="2259"/>
    <s v="MEDI ASSIST"/>
    <d v="2022-10-06T00:00:00"/>
    <x v="1"/>
    <d v="2022-10-06T00:00:00"/>
    <d v="2022-10-06T00:00:00"/>
    <n v="22025860"/>
    <n v="2234861"/>
    <n v="1000983811"/>
    <s v="LUXMI TRIVEDI"/>
    <x v="75"/>
    <n v="0"/>
    <n v="2200"/>
    <n v="440"/>
    <n v="1760"/>
    <x v="1"/>
    <x v="12"/>
    <n v="0.2"/>
    <x v="13"/>
  </r>
  <r>
    <n v="2260"/>
    <s v="GENERAL PATIENT"/>
    <d v="2022-10-06T00:00:00"/>
    <x v="1"/>
    <d v="2022-10-06T00:00:00"/>
    <d v="2022-10-06T00:00:00"/>
    <n v="22025902"/>
    <n v="2234915"/>
    <n v="10013533934"/>
    <s v="RAMESH AHUJA"/>
    <x v="45"/>
    <n v="464"/>
    <n v="4526"/>
    <n v="4526"/>
    <n v="0"/>
    <x v="0"/>
    <x v="6"/>
    <n v="1"/>
    <x v="13"/>
  </r>
  <r>
    <n v="2261"/>
    <s v="GENERAL PATIENT"/>
    <d v="2022-10-27T00:00:00"/>
    <x v="1"/>
    <d v="2022-10-27T00:00:00"/>
    <d v="2022-10-27T00:00:00"/>
    <n v="22028730"/>
    <n v="2237619"/>
    <n v="1001314823"/>
    <s v="MUKESH KUMAR"/>
    <x v="64"/>
    <n v="290"/>
    <n v="3340"/>
    <n v="3340"/>
    <n v="0"/>
    <x v="0"/>
    <x v="6"/>
    <n v="1"/>
    <x v="13"/>
  </r>
  <r>
    <n v="2262"/>
    <s v=" STAR HEALTH TPA"/>
    <d v="2022-10-27T00:00:00"/>
    <x v="1"/>
    <d v="2022-10-27T00:00:00"/>
    <d v="2022-10-27T00:00:00"/>
    <n v="22028808"/>
    <n v="2237644"/>
    <n v="1001806538"/>
    <s v="ADITYA RAJ"/>
    <x v="1216"/>
    <n v="0"/>
    <n v="9909"/>
    <n v="9909"/>
    <n v="0"/>
    <x v="0"/>
    <x v="1"/>
    <n v="1"/>
    <x v="0"/>
  </r>
  <r>
    <n v="2263"/>
    <s v="STAFF"/>
    <d v="2022-10-01T00:00:00"/>
    <x v="1"/>
    <d v="2022-10-07T00:00:00"/>
    <d v="2022-10-07T00:00:00"/>
    <n v="22025987"/>
    <n v="2234295"/>
    <n v="10013469513"/>
    <s v="BITTU MARIAM SAJI"/>
    <x v="1217"/>
    <n v="71365"/>
    <n v="0"/>
    <n v="0"/>
    <n v="0"/>
    <x v="0"/>
    <x v="1"/>
    <e v="#DIV/0!"/>
    <x v="0"/>
  </r>
  <r>
    <n v="2264"/>
    <s v="MD INDIA TPA PVT.LTD."/>
    <d v="2022-10-14T00:00:00"/>
    <x v="1"/>
    <d v="2022-10-15T00:00:00"/>
    <d v="2022-10-15T00:00:00"/>
    <n v="22027172"/>
    <n v="2235947"/>
    <n v="10013542954"/>
    <s v="NARINDER KUMAR BAWA"/>
    <x v="55"/>
    <n v="0"/>
    <n v="238169"/>
    <n v="44456"/>
    <n v="193713"/>
    <x v="1"/>
    <x v="4"/>
    <n v="0.18665737354567555"/>
    <x v="4"/>
  </r>
  <r>
    <n v="2265"/>
    <s v="GENERAL PATIENT"/>
    <d v="2022-10-14T00:00:00"/>
    <x v="1"/>
    <d v="2022-10-16T00:00:00"/>
    <d v="2022-10-16T00:00:00"/>
    <n v="22027303"/>
    <n v="2235964"/>
    <n v="10013542990"/>
    <s v="MOHAMMAD JUHI"/>
    <x v="1218"/>
    <n v="22291"/>
    <n v="110523"/>
    <n v="110523"/>
    <n v="0"/>
    <x v="0"/>
    <x v="1"/>
    <n v="1"/>
    <x v="6"/>
  </r>
  <r>
    <n v="2266"/>
    <s v="STAR HEALTH CARE  (CREDIT)"/>
    <d v="2022-10-21T00:00:00"/>
    <x v="1"/>
    <d v="2022-10-24T00:00:00"/>
    <d v="2022-10-24T00:00:00"/>
    <n v="22028447"/>
    <n v="2236857"/>
    <n v="10013543976"/>
    <s v="JIYA GARG"/>
    <x v="1219"/>
    <n v="15641"/>
    <n v="98170"/>
    <n v="9311"/>
    <n v="88859"/>
    <x v="1"/>
    <x v="1"/>
    <n v="9.4845675868391571E-2"/>
    <x v="3"/>
  </r>
  <r>
    <n v="2267"/>
    <s v="RCare Health"/>
    <d v="2022-10-21T00:00:00"/>
    <x v="1"/>
    <d v="2022-10-24T00:00:00"/>
    <d v="2022-10-24T00:00:00"/>
    <n v="22028428"/>
    <n v="2236892"/>
    <n v="1001805600"/>
    <s v="SATYA NARAIN SHARMA"/>
    <x v="1220"/>
    <n v="0"/>
    <n v="97531"/>
    <n v="5635"/>
    <n v="91896"/>
    <x v="1"/>
    <x v="1"/>
    <n v="5.7776501830187323E-2"/>
    <x v="0"/>
  </r>
  <r>
    <n v="2268"/>
    <s v=" CAPF"/>
    <d v="2022-10-06T00:00:00"/>
    <x v="1"/>
    <d v="2022-10-11T00:00:00"/>
    <d v="2022-10-11T00:00:00"/>
    <n v="22026555"/>
    <n v="2234868"/>
    <n v="1001802727"/>
    <s v="NANSHEE TAMTA"/>
    <x v="1221"/>
    <n v="0"/>
    <n v="18268"/>
    <n v="1423"/>
    <n v="16845"/>
    <x v="1"/>
    <x v="1"/>
    <n v="7.7895774031092616E-2"/>
    <x v="0"/>
  </r>
  <r>
    <n v="2269"/>
    <s v="GENERAL PATIENT"/>
    <d v="2022-10-12T00:00:00"/>
    <x v="1"/>
    <d v="2022-10-16T00:00:00"/>
    <d v="2022-10-16T00:00:00"/>
    <n v="22027336"/>
    <n v="2235773"/>
    <n v="1001804022"/>
    <s v="JYOTI DEVI"/>
    <x v="1222"/>
    <n v="13936"/>
    <n v="94905"/>
    <n v="94905"/>
    <n v="0"/>
    <x v="0"/>
    <x v="0"/>
    <n v="1"/>
    <x v="1"/>
  </r>
  <r>
    <n v="2270"/>
    <s v="STAR HEALTH CARE  (CREDIT)"/>
    <d v="2022-09-27T00:00:00"/>
    <x v="0"/>
    <d v="2022-10-03T00:00:00"/>
    <d v="2022-10-03T00:00:00"/>
    <n v="22025364"/>
    <n v="2233644"/>
    <n v="10013540524"/>
    <s v="VEER ROHILLA"/>
    <x v="1223"/>
    <n v="21358"/>
    <n v="134511"/>
    <n v="134511"/>
    <n v="0"/>
    <x v="0"/>
    <x v="1"/>
    <n v="1"/>
    <x v="2"/>
  </r>
  <r>
    <n v="2271"/>
    <s v="GENERAL PATIENT"/>
    <d v="2022-10-06T00:00:00"/>
    <x v="1"/>
    <d v="2022-10-08T00:00:00"/>
    <d v="2022-10-08T00:00:00"/>
    <n v="22026178"/>
    <n v="2234927"/>
    <n v="1001802880"/>
    <s v="KUMARI FEMALE BABY PRIYANKA"/>
    <x v="1224"/>
    <n v="1739"/>
    <n v="13627"/>
    <n v="13627"/>
    <n v="0"/>
    <x v="0"/>
    <x v="0"/>
    <n v="1"/>
    <x v="3"/>
  </r>
  <r>
    <n v="2272"/>
    <s v="CGHS"/>
    <d v="2022-10-29T00:00:00"/>
    <x v="1"/>
    <d v="2022-10-29T00:00:00"/>
    <d v="2022-10-29T00:00:00"/>
    <n v="22028998"/>
    <n v="2237913"/>
    <n v="10013540183"/>
    <s v="TARUN HURIA"/>
    <x v="43"/>
    <n v="0"/>
    <n v="1610"/>
    <n v="1610"/>
    <n v="0"/>
    <x v="0"/>
    <x v="6"/>
    <n v="1"/>
    <x v="13"/>
  </r>
  <r>
    <n v="2273"/>
    <s v=" HEALTH INDIA TPA SERVICES PVT LTD"/>
    <d v="2022-10-28T00:00:00"/>
    <x v="1"/>
    <d v="2022-10-29T00:00:00"/>
    <d v="2022-10-29T00:00:00"/>
    <n v="22029073"/>
    <n v="2237871"/>
    <n v="1001806730"/>
    <s v="BABY OF DIVYA SINGH"/>
    <x v="1225"/>
    <n v="0"/>
    <n v="7828"/>
    <n v="7828"/>
    <n v="0"/>
    <x v="0"/>
    <x v="1"/>
    <n v="1"/>
    <x v="3"/>
  </r>
  <r>
    <n v="2274"/>
    <s v=" RELIGARE HEALTH INSURANCE"/>
    <d v="2022-10-28T00:00:00"/>
    <x v="1"/>
    <d v="2022-10-31T00:00:00"/>
    <d v="2022-10-31T00:00:00"/>
    <n v="22029360"/>
    <n v="2237789"/>
    <n v="1001724627"/>
    <s v="MEENAKSHI  KISHORE  SHARMA"/>
    <x v="1226"/>
    <n v="6549"/>
    <n v="42562"/>
    <n v="3895"/>
    <n v="38667"/>
    <x v="1"/>
    <x v="2"/>
    <n v="9.1513556693764389E-2"/>
    <x v="0"/>
  </r>
  <r>
    <n v="2275"/>
    <s v="GENERAL PATIENT"/>
    <d v="2022-09-30T00:00:00"/>
    <x v="0"/>
    <d v="2022-10-04T00:00:00"/>
    <d v="2022-10-04T00:00:00"/>
    <n v="22025496"/>
    <n v="2234092"/>
    <n v="10013512490"/>
    <s v="VED PARKASH"/>
    <x v="1227"/>
    <n v="41857"/>
    <n v="135987"/>
    <n v="135987"/>
    <n v="0"/>
    <x v="0"/>
    <x v="8"/>
    <n v="1"/>
    <x v="12"/>
  </r>
  <r>
    <n v="2276"/>
    <s v="GENERAL PATIENT"/>
    <d v="2022-09-30T00:00:00"/>
    <x v="0"/>
    <d v="2022-10-08T00:00:00"/>
    <d v="2022-10-08T00:00:00"/>
    <n v="22026226"/>
    <n v="2234104"/>
    <n v="10013538841"/>
    <s v="RAJENDER KUMAR AGGARWAL"/>
    <x v="1228"/>
    <n v="172456"/>
    <n v="347240"/>
    <n v="347240"/>
    <n v="0"/>
    <x v="0"/>
    <x v="13"/>
    <n v="1"/>
    <x v="12"/>
  </r>
  <r>
    <n v="2277"/>
    <s v="CGHS ( CREDIT)"/>
    <d v="2022-10-19T00:00:00"/>
    <x v="1"/>
    <d v="2022-10-22T00:00:00"/>
    <d v="2022-10-22T00:00:00"/>
    <n v="22028227"/>
    <n v="2236634"/>
    <n v="10013395106"/>
    <s v="J. K . KOHLI"/>
    <x v="1229"/>
    <n v="0"/>
    <n v="42672"/>
    <n v="1370"/>
    <n v="41302"/>
    <x v="1"/>
    <x v="0"/>
    <n v="3.2105361829771278E-2"/>
    <x v="0"/>
  </r>
  <r>
    <n v="2278"/>
    <s v="DDA"/>
    <d v="2022-10-23T00:00:00"/>
    <x v="1"/>
    <d v="2022-10-23T00:00:00"/>
    <d v="2022-10-23T00:00:00"/>
    <n v="22028316"/>
    <n v="2237128"/>
    <n v="10013524248"/>
    <s v="KRISHNA DEVI"/>
    <x v="43"/>
    <n v="0"/>
    <n v="1610"/>
    <n v="1610"/>
    <n v="0"/>
    <x v="0"/>
    <x v="6"/>
    <n v="1"/>
    <x v="13"/>
  </r>
  <r>
    <n v="2279"/>
    <s v="GENERAL PATIENT"/>
    <d v="2022-10-12T00:00:00"/>
    <x v="1"/>
    <d v="2022-10-13T00:00:00"/>
    <d v="2022-10-13T00:00:00"/>
    <n v="22026856"/>
    <n v="2235703"/>
    <n v="10013241969"/>
    <s v="ASHOK KUMAR"/>
    <x v="1230"/>
    <n v="237100"/>
    <n v="0"/>
    <n v="0"/>
    <n v="0"/>
    <x v="0"/>
    <x v="9"/>
    <e v="#DIV/0!"/>
    <x v="4"/>
  </r>
  <r>
    <n v="2280"/>
    <s v=" MEDI ASSIST INSURANCE TPA LTD"/>
    <d v="2022-10-12T00:00:00"/>
    <x v="1"/>
    <d v="2022-10-14T00:00:00"/>
    <d v="2022-10-14T00:00:00"/>
    <n v="22026992"/>
    <n v="2235629"/>
    <n v="1001803769"/>
    <s v="SHITAL SINGH"/>
    <x v="1231"/>
    <n v="0"/>
    <n v="38600"/>
    <n v="2352"/>
    <n v="36248"/>
    <x v="1"/>
    <x v="0"/>
    <n v="6.0932642487046634E-2"/>
    <x v="1"/>
  </r>
  <r>
    <n v="2281"/>
    <s v=" CGHS CREDIT"/>
    <d v="2022-10-14T00:00:00"/>
    <x v="1"/>
    <d v="2022-10-26T00:00:00"/>
    <d v="2022-10-26T00:00:00"/>
    <n v="22028631"/>
    <n v="2236024"/>
    <n v="1001713154"/>
    <s v="ASHA DEVI"/>
    <x v="1232"/>
    <n v="0"/>
    <n v="69605"/>
    <n v="1545"/>
    <n v="68060"/>
    <x v="1"/>
    <x v="1"/>
    <n v="2.2196681272897062E-2"/>
    <x v="0"/>
  </r>
  <r>
    <n v="2282"/>
    <s v="CGHS ( CREDIT)"/>
    <d v="2022-10-07T00:00:00"/>
    <x v="1"/>
    <d v="2022-10-15T00:00:00"/>
    <d v="2022-10-15T00:00:00"/>
    <n v="22027195"/>
    <n v="2235021"/>
    <n v="1001530765"/>
    <s v="RAJINDER PAUL RAWAL"/>
    <x v="1233"/>
    <n v="0"/>
    <n v="157945"/>
    <n v="1664"/>
    <n v="156281"/>
    <x v="1"/>
    <x v="0"/>
    <n v="1.0535312925385419E-2"/>
    <x v="0"/>
  </r>
  <r>
    <n v="2283"/>
    <s v="GENERAL PATIENT"/>
    <d v="2022-10-23T00:00:00"/>
    <x v="1"/>
    <d v="2022-10-26T00:00:00"/>
    <d v="2022-10-26T00:00:00"/>
    <n v="22028599"/>
    <n v="2237189"/>
    <n v="1001805905"/>
    <s v="POOJA FEMALE BABY GAUTAM"/>
    <x v="1234"/>
    <n v="18324"/>
    <n v="0"/>
    <n v="0"/>
    <n v="0"/>
    <x v="0"/>
    <x v="9"/>
    <e v="#DIV/0!"/>
    <x v="3"/>
  </r>
  <r>
    <n v="2284"/>
    <s v="STAR HEALTH CARE  (CREDIT)"/>
    <d v="2022-10-15T00:00:00"/>
    <x v="1"/>
    <d v="2022-10-15T00:00:00"/>
    <d v="2022-10-15T00:00:00"/>
    <n v="22027258"/>
    <n v="2236174"/>
    <n v="10013481278"/>
    <s v="NEELAM GUPTA"/>
    <x v="158"/>
    <n v="0"/>
    <n v="2500"/>
    <n v="2500"/>
    <n v="0"/>
    <x v="0"/>
    <x v="6"/>
    <n v="1"/>
    <x v="13"/>
  </r>
  <r>
    <n v="2285"/>
    <s v="MEDI ASSIST"/>
    <d v="2022-10-15T00:00:00"/>
    <x v="1"/>
    <d v="2022-10-15T00:00:00"/>
    <d v="2022-10-15T00:00:00"/>
    <n v="22027262"/>
    <n v="2236172"/>
    <n v="10013538474"/>
    <s v="RAM  VINAY MISHRA"/>
    <x v="75"/>
    <n v="0"/>
    <n v="2200"/>
    <n v="440"/>
    <n v="1760"/>
    <x v="1"/>
    <x v="12"/>
    <n v="0.2"/>
    <x v="13"/>
  </r>
  <r>
    <n v="2286"/>
    <s v="GENERAL PATIENT"/>
    <d v="2022-10-18T00:00:00"/>
    <x v="1"/>
    <d v="2022-10-18T00:00:00"/>
    <d v="2022-10-18T00:00:00"/>
    <n v="22027607"/>
    <n v="2236514"/>
    <n v="1000890994"/>
    <s v="HIMANSHU KAPOOR"/>
    <x v="112"/>
    <n v="286"/>
    <n v="3202"/>
    <n v="3202"/>
    <n v="0"/>
    <x v="0"/>
    <x v="6"/>
    <n v="1"/>
    <x v="13"/>
  </r>
  <r>
    <n v="2287"/>
    <s v="VIDAL HEALTH INSURANCE LIMITED"/>
    <d v="2022-10-05T00:00:00"/>
    <x v="1"/>
    <d v="2022-10-12T00:00:00"/>
    <d v="2022-10-12T00:00:00"/>
    <n v="22026715"/>
    <n v="2234732"/>
    <n v="10013541634"/>
    <s v="SUMITRA DEVI"/>
    <x v="1235"/>
    <n v="0"/>
    <n v="248956"/>
    <n v="3636"/>
    <n v="245320"/>
    <x v="1"/>
    <x v="2"/>
    <n v="1.4604990440077764E-2"/>
    <x v="0"/>
  </r>
  <r>
    <n v="2288"/>
    <s v="GENERAL PATIENT"/>
    <d v="2022-10-26T00:00:00"/>
    <x v="1"/>
    <d v="2022-10-28T00:00:00"/>
    <d v="2022-10-28T00:00:00"/>
    <n v="22028908"/>
    <n v="2237526"/>
    <n v="10013536473"/>
    <s v="PRISHA HANDA"/>
    <x v="1236"/>
    <n v="4799"/>
    <n v="34817"/>
    <n v="34817"/>
    <n v="0"/>
    <x v="0"/>
    <x v="1"/>
    <n v="1"/>
    <x v="1"/>
  </r>
  <r>
    <n v="2289"/>
    <s v="GENERAL PATIENT"/>
    <d v="2022-10-19T00:00:00"/>
    <x v="1"/>
    <d v="2022-10-20T00:00:00"/>
    <d v="2022-10-20T00:00:00"/>
    <n v="22027835"/>
    <n v="2236605"/>
    <n v="10013543599"/>
    <s v="ROSHAN ALI"/>
    <x v="1237"/>
    <n v="8900"/>
    <n v="197089"/>
    <n v="197089"/>
    <n v="0"/>
    <x v="0"/>
    <x v="1"/>
    <n v="1"/>
    <x v="4"/>
  </r>
  <r>
    <n v="2290"/>
    <s v=" CGHS Cash"/>
    <d v="2022-09-26T00:00:00"/>
    <x v="0"/>
    <d v="2022-10-01T00:00:00"/>
    <d v="2022-10-01T00:00:00"/>
    <n v="22025127"/>
    <n v="2233501"/>
    <n v="1001800826"/>
    <s v="VINITA KUMARI"/>
    <x v="1238"/>
    <n v="0"/>
    <n v="34977"/>
    <n v="34977"/>
    <n v="0"/>
    <x v="0"/>
    <x v="2"/>
    <n v="1"/>
    <x v="0"/>
  </r>
  <r>
    <n v="2291"/>
    <s v=" CGHS Cash"/>
    <d v="2022-10-22T00:00:00"/>
    <x v="1"/>
    <d v="2022-10-22T00:00:00"/>
    <d v="2022-10-22T00:00:00"/>
    <n v="22028210"/>
    <n v="2237048"/>
    <n v="1001735831"/>
    <s v="MOHAN KUMARI BHATIA"/>
    <x v="137"/>
    <n v="0"/>
    <n v="2560"/>
    <n v="2560"/>
    <n v="0"/>
    <x v="0"/>
    <x v="6"/>
    <n v="1"/>
    <x v="13"/>
  </r>
  <r>
    <n v="2292"/>
    <s v="MEDI ASSIST"/>
    <d v="2022-10-22T00:00:00"/>
    <x v="1"/>
    <d v="2022-10-22T00:00:00"/>
    <d v="2022-10-22T00:00:00"/>
    <n v="22028263"/>
    <n v="2237071"/>
    <n v="10013538474"/>
    <s v="RAM  VINAY MISHRA"/>
    <x v="75"/>
    <n v="0"/>
    <n v="2200"/>
    <n v="440"/>
    <n v="1760"/>
    <x v="1"/>
    <x v="12"/>
    <n v="0.2"/>
    <x v="13"/>
  </r>
  <r>
    <n v="2293"/>
    <s v=" DGEHS (CREDIT)"/>
    <d v="2022-10-13T00:00:00"/>
    <x v="1"/>
    <d v="2022-10-23T00:00:00"/>
    <d v="2022-10-23T00:00:00"/>
    <n v="22028386"/>
    <n v="2235875"/>
    <n v="1001804189"/>
    <s v="BIMLA DEVI"/>
    <x v="1239"/>
    <n v="0"/>
    <n v="68486"/>
    <n v="1046"/>
    <n v="67440"/>
    <x v="1"/>
    <x v="2"/>
    <n v="1.5273194521508045E-2"/>
    <x v="0"/>
  </r>
  <r>
    <n v="2294"/>
    <s v="GENERAL PATIENT"/>
    <d v="2022-10-06T00:00:00"/>
    <x v="1"/>
    <d v="2022-10-09T00:00:00"/>
    <d v="2022-10-09T00:00:00"/>
    <n v="22026295"/>
    <n v="2234956"/>
    <n v="1001802905"/>
    <s v="AALIYA BANO"/>
    <x v="1240"/>
    <n v="12198"/>
    <n v="61533"/>
    <n v="61533"/>
    <n v="0"/>
    <x v="0"/>
    <x v="1"/>
    <n v="1"/>
    <x v="1"/>
  </r>
  <r>
    <n v="2295"/>
    <s v="CGHS ( CREDIT)"/>
    <d v="2022-10-15T00:00:00"/>
    <x v="1"/>
    <d v="2022-10-17T00:00:00"/>
    <d v="2022-10-17T00:00:00"/>
    <n v="22027422"/>
    <n v="2236063"/>
    <n v="10013543083"/>
    <s v="USHA KHANNA"/>
    <x v="1241"/>
    <n v="0"/>
    <n v="98866"/>
    <n v="9492"/>
    <n v="89374"/>
    <x v="1"/>
    <x v="1"/>
    <n v="9.6008739101409987E-2"/>
    <x v="0"/>
  </r>
  <r>
    <n v="2296"/>
    <s v="STAR HEALTH CARE  (CREDIT)"/>
    <d v="2022-10-01T00:00:00"/>
    <x v="1"/>
    <d v="2022-10-01T00:00:00"/>
    <d v="2022-10-01T00:00:00"/>
    <n v="22025228"/>
    <n v="2234242"/>
    <n v="10013481278"/>
    <s v="NEELAM GUPTA"/>
    <x v="158"/>
    <n v="0"/>
    <n v="2500"/>
    <n v="2500"/>
    <n v="0"/>
    <x v="0"/>
    <x v="6"/>
    <n v="1"/>
    <x v="13"/>
  </r>
  <r>
    <n v="2297"/>
    <s v=" DGEHS (CASH)"/>
    <d v="2022-09-29T00:00:00"/>
    <x v="0"/>
    <d v="2022-10-03T00:00:00"/>
    <d v="2022-10-03T00:00:00"/>
    <n v="22025363"/>
    <n v="2233906"/>
    <n v="1001796829"/>
    <s v="LAKSHYA"/>
    <x v="1242"/>
    <n v="0"/>
    <n v="23762"/>
    <n v="23762"/>
    <n v="0"/>
    <x v="0"/>
    <x v="0"/>
    <n v="1"/>
    <x v="3"/>
  </r>
  <r>
    <n v="2298"/>
    <s v="STAR HEALTH CARE  (CREDIT)"/>
    <d v="2022-10-23T00:00:00"/>
    <x v="1"/>
    <d v="2022-10-27T00:00:00"/>
    <d v="2022-10-27T00:00:00"/>
    <n v="22028741"/>
    <n v="2237202"/>
    <n v="10013544254"/>
    <s v="REKHA POPLI"/>
    <x v="1243"/>
    <n v="9971"/>
    <n v="133151"/>
    <n v="4009"/>
    <n v="129142"/>
    <x v="1"/>
    <x v="1"/>
    <n v="3.0108673611163265E-2"/>
    <x v="5"/>
  </r>
  <r>
    <n v="2299"/>
    <s v="GENERAL PATIENT"/>
    <d v="2022-10-29T00:00:00"/>
    <x v="1"/>
    <d v="2022-10-29T00:00:00"/>
    <d v="2022-10-29T00:00:00"/>
    <n v="22029127"/>
    <n v="2237975"/>
    <n v="10013542866"/>
    <s v="SAROJ MADAN"/>
    <x v="45"/>
    <n v="433"/>
    <n v="4557"/>
    <n v="4557"/>
    <n v="0"/>
    <x v="0"/>
    <x v="6"/>
    <n v="1"/>
    <x v="13"/>
  </r>
  <r>
    <n v="2300"/>
    <s v="DELHI VIDYUT BOARD"/>
    <d v="2022-10-29T00:00:00"/>
    <x v="1"/>
    <d v="2022-10-29T00:00:00"/>
    <d v="2022-10-29T00:00:00"/>
    <n v="22029144"/>
    <n v="2238006"/>
    <n v="10013540903"/>
    <s v="RANVIR SEHGAL"/>
    <x v="43"/>
    <n v="0"/>
    <n v="1610"/>
    <n v="1610"/>
    <n v="0"/>
    <x v="0"/>
    <x v="6"/>
    <n v="1"/>
    <x v="13"/>
  </r>
  <r>
    <n v="2301"/>
    <s v="GENERAL PATIENT"/>
    <d v="2022-10-25T00:00:00"/>
    <x v="1"/>
    <d v="2022-10-25T00:00:00"/>
    <d v="2022-10-25T00:00:00"/>
    <n v="22028528"/>
    <n v="2237306"/>
    <n v="10013232020"/>
    <s v="GYANA DEVI"/>
    <x v="19"/>
    <n v="0"/>
    <n v="14000"/>
    <n v="14000"/>
    <n v="0"/>
    <x v="0"/>
    <x v="6"/>
    <n v="1"/>
    <x v="4"/>
  </r>
  <r>
    <n v="2302"/>
    <s v="STAR HEALTH CARE  (CREDIT)"/>
    <d v="2022-10-04T00:00:00"/>
    <x v="1"/>
    <d v="2022-10-13T00:00:00"/>
    <d v="2022-10-13T00:00:00"/>
    <n v="22026883"/>
    <n v="2234606"/>
    <n v="10013541574"/>
    <s v="RAJ KUMAR"/>
    <x v="1244"/>
    <n v="59206"/>
    <n v="480575"/>
    <n v="20533"/>
    <n v="460042"/>
    <x v="1"/>
    <x v="2"/>
    <n v="4.2725901264110702E-2"/>
    <x v="0"/>
  </r>
  <r>
    <n v="2303"/>
    <s v="GENERAL PATIENT"/>
    <d v="2022-10-23T00:00:00"/>
    <x v="1"/>
    <d v="2022-10-26T00:00:00"/>
    <d v="2022-10-26T00:00:00"/>
    <n v="22028607"/>
    <n v="2237162"/>
    <n v="1001805883"/>
    <s v="DEVANSH"/>
    <x v="1245"/>
    <n v="7135"/>
    <n v="38196"/>
    <n v="38196"/>
    <n v="0"/>
    <x v="0"/>
    <x v="7"/>
    <n v="1"/>
    <x v="3"/>
  </r>
  <r>
    <n v="2304"/>
    <s v="GENERAL PATIENT"/>
    <d v="2022-10-05T00:00:00"/>
    <x v="1"/>
    <d v="2022-10-09T00:00:00"/>
    <d v="2022-10-09T00:00:00"/>
    <n v="22026277"/>
    <n v="2234748"/>
    <n v="10013541637"/>
    <s v="MEENA GUPTA"/>
    <x v="1246"/>
    <n v="7538"/>
    <n v="46578"/>
    <n v="46578"/>
    <n v="0"/>
    <x v="0"/>
    <x v="1"/>
    <n v="1"/>
    <x v="0"/>
  </r>
  <r>
    <n v="2305"/>
    <s v="STAR HEALTH CARE  (CREDIT)"/>
    <d v="2022-10-01T00:00:00"/>
    <x v="1"/>
    <d v="2022-10-03T00:00:00"/>
    <d v="2022-10-03T00:00:00"/>
    <n v="22025357"/>
    <n v="2234188"/>
    <n v="10013541099"/>
    <s v="VEDANT TANDON"/>
    <x v="1247"/>
    <n v="4096"/>
    <n v="25319"/>
    <n v="4835"/>
    <n v="20484"/>
    <x v="1"/>
    <x v="1"/>
    <n v="0.19096330818752716"/>
    <x v="3"/>
  </r>
  <r>
    <n v="2306"/>
    <s v=" RELIGARE HEALTH INSURANCE"/>
    <d v="2022-10-01T00:00:00"/>
    <x v="1"/>
    <d v="2022-10-07T00:00:00"/>
    <d v="2022-10-07T00:00:00"/>
    <n v="22025940"/>
    <n v="2234216"/>
    <n v="1001801890"/>
    <s v="VIJAY AGGARWAL"/>
    <x v="1248"/>
    <n v="8595"/>
    <n v="81066"/>
    <n v="3330"/>
    <n v="77736"/>
    <x v="1"/>
    <x v="3"/>
    <n v="4.1077640441122047E-2"/>
    <x v="0"/>
  </r>
  <r>
    <n v="2307"/>
    <s v="Safeway Mediclaim Services Pvt. Ltd."/>
    <d v="2022-10-01T00:00:00"/>
    <x v="1"/>
    <d v="2022-10-04T00:00:00"/>
    <d v="2022-10-04T00:00:00"/>
    <n v="22025547"/>
    <n v="2234218"/>
    <n v="10013541136"/>
    <s v="MEHAK BANSAL"/>
    <x v="1249"/>
    <n v="5906"/>
    <n v="42775"/>
    <n v="2635"/>
    <n v="40140"/>
    <x v="1"/>
    <x v="5"/>
    <n v="6.1601402688486268E-2"/>
    <x v="0"/>
  </r>
  <r>
    <n v="2308"/>
    <s v="HARAYANA GOVT."/>
    <d v="2022-10-03T00:00:00"/>
    <x v="1"/>
    <d v="2022-10-04T00:00:00"/>
    <d v="2022-10-04T00:00:00"/>
    <n v="22025471"/>
    <n v="2234376"/>
    <n v="1001802120"/>
    <s v="SUKH  DARSHAN ATTRI"/>
    <x v="1250"/>
    <n v="0"/>
    <n v="184368"/>
    <n v="184368"/>
    <n v="0"/>
    <x v="0"/>
    <x v="0"/>
    <n v="1"/>
    <x v="4"/>
  </r>
  <r>
    <n v="2309"/>
    <s v="GENERAL PATIENT"/>
    <d v="2022-10-03T00:00:00"/>
    <x v="1"/>
    <d v="2022-10-03T00:00:00"/>
    <d v="2022-10-03T00:00:00"/>
    <n v="22025394"/>
    <n v="2234390"/>
    <n v="10013513064"/>
    <s v="JAGJEET KAUR"/>
    <x v="73"/>
    <n v="311"/>
    <n v="2533"/>
    <n v="2533"/>
    <n v="0"/>
    <x v="0"/>
    <x v="6"/>
    <n v="1"/>
    <x v="13"/>
  </r>
  <r>
    <n v="2310"/>
    <s v="HARAYANA GOVT."/>
    <d v="2022-10-25T00:00:00"/>
    <x v="1"/>
    <d v="2022-10-26T00:00:00"/>
    <d v="2022-10-26T00:00:00"/>
    <n v="22028615"/>
    <n v="2237293"/>
    <n v="1000960901"/>
    <s v="DHARMPAL SINGH"/>
    <x v="1251"/>
    <n v="0"/>
    <n v="222449"/>
    <n v="222449"/>
    <n v="0"/>
    <x v="0"/>
    <x v="1"/>
    <n v="1"/>
    <x v="4"/>
  </r>
  <r>
    <n v="2311"/>
    <s v=" CGHS CREDIT"/>
    <d v="2022-10-12T00:00:00"/>
    <x v="1"/>
    <d v="2022-10-18T00:00:00"/>
    <d v="2022-10-18T00:00:00"/>
    <n v="22027560"/>
    <n v="2235757"/>
    <n v="1001801458"/>
    <s v="MAHENDER HALOI"/>
    <x v="1252"/>
    <n v="0"/>
    <n v="39347"/>
    <n v="964"/>
    <n v="38383"/>
    <x v="1"/>
    <x v="1"/>
    <n v="2.449996187765268E-2"/>
    <x v="0"/>
  </r>
  <r>
    <n v="2312"/>
    <s v="GENERAL PATIENT"/>
    <d v="2022-10-20T00:00:00"/>
    <x v="1"/>
    <d v="2022-10-20T00:00:00"/>
    <d v="2022-10-20T00:00:00"/>
    <n v="22027899"/>
    <n v="2236778"/>
    <n v="10013539422"/>
    <s v="NAVEEN KUMAR"/>
    <x v="73"/>
    <n v="291"/>
    <n v="2553"/>
    <n v="2553"/>
    <n v="0"/>
    <x v="0"/>
    <x v="6"/>
    <n v="1"/>
    <x v="13"/>
  </r>
  <r>
    <n v="2313"/>
    <s v="GENERAL PATIENT"/>
    <d v="2022-10-05T00:00:00"/>
    <x v="1"/>
    <d v="2022-10-05T00:00:00"/>
    <d v="2022-10-05T00:00:00"/>
    <n v="22025780"/>
    <n v="2234791"/>
    <n v="10013499172"/>
    <s v="TUSHAR GOEL"/>
    <x v="41"/>
    <n v="2794"/>
    <n v="0"/>
    <n v="0"/>
    <n v="0"/>
    <x v="0"/>
    <x v="9"/>
    <e v="#DIV/0!"/>
    <x v="13"/>
  </r>
  <r>
    <n v="2314"/>
    <s v="CGHS"/>
    <d v="2022-10-01T00:00:00"/>
    <x v="1"/>
    <d v="2022-10-02T00:00:00"/>
    <d v="2022-10-02T00:00:00"/>
    <n v="22025317"/>
    <n v="2234166"/>
    <n v="1001010072"/>
    <s v="ANITA DEVI"/>
    <x v="1253"/>
    <n v="0"/>
    <n v="22870"/>
    <n v="22870"/>
    <n v="0"/>
    <x v="0"/>
    <x v="1"/>
    <n v="1"/>
    <x v="2"/>
  </r>
  <r>
    <n v="2315"/>
    <s v="Universal Sompo Gen.Insu.Co.Ltd."/>
    <d v="2022-10-08T00:00:00"/>
    <x v="1"/>
    <d v="2022-10-09T00:00:00"/>
    <d v="2022-10-09T00:00:00"/>
    <n v="22026268"/>
    <n v="2235156"/>
    <n v="1001803248"/>
    <s v="SANTOSH DEVI"/>
    <x v="1254"/>
    <n v="0"/>
    <n v="273724"/>
    <n v="1500"/>
    <n v="272224"/>
    <x v="1"/>
    <x v="4"/>
    <n v="5.4799725270710644E-3"/>
    <x v="4"/>
  </r>
  <r>
    <n v="2316"/>
    <s v="GENERAL PATIENT"/>
    <d v="2022-10-27T00:00:00"/>
    <x v="1"/>
    <d v="2022-10-27T00:00:00"/>
    <d v="2022-10-27T00:00:00"/>
    <n v="22028824"/>
    <n v="2237692"/>
    <n v="10013541901"/>
    <s v="PINKI DEVI"/>
    <x v="73"/>
    <n v="279"/>
    <n v="2565"/>
    <n v="2565"/>
    <n v="0"/>
    <x v="0"/>
    <x v="6"/>
    <n v="1"/>
    <x v="13"/>
  </r>
  <r>
    <n v="2317"/>
    <s v="GENERAL PATIENT"/>
    <d v="2022-10-06T00:00:00"/>
    <x v="1"/>
    <d v="2022-10-07T00:00:00"/>
    <d v="2022-10-07T00:00:00"/>
    <n v="22025959"/>
    <n v="2234891"/>
    <n v="1001802841"/>
    <s v="JOGI RAM JAIN"/>
    <x v="1255"/>
    <n v="40081"/>
    <n v="190908"/>
    <n v="190908"/>
    <n v="0"/>
    <x v="0"/>
    <x v="7"/>
    <n v="1"/>
    <x v="4"/>
  </r>
  <r>
    <n v="2318"/>
    <s v="CGHS"/>
    <d v="2022-10-12T00:00:00"/>
    <x v="1"/>
    <d v="2022-10-12T00:00:00"/>
    <d v="2022-10-12T00:00:00"/>
    <n v="22026652"/>
    <n v="2235637"/>
    <n v="10013514103"/>
    <s v="GOVIND KUMAR"/>
    <x v="43"/>
    <n v="0"/>
    <n v="1610"/>
    <n v="1610"/>
    <n v="0"/>
    <x v="0"/>
    <x v="6"/>
    <n v="1"/>
    <x v="13"/>
  </r>
  <r>
    <n v="2319"/>
    <s v="CGHS"/>
    <d v="2022-10-12T00:00:00"/>
    <x v="1"/>
    <d v="2022-10-12T00:00:00"/>
    <d v="2022-10-12T00:00:00"/>
    <n v="22026651"/>
    <n v="2235631"/>
    <n v="10013540183"/>
    <s v="TARUN HURIA"/>
    <x v="43"/>
    <n v="0"/>
    <n v="1610"/>
    <n v="1610"/>
    <n v="0"/>
    <x v="0"/>
    <x v="6"/>
    <n v="1"/>
    <x v="13"/>
  </r>
  <r>
    <n v="2320"/>
    <s v="GENERAL PATIENT"/>
    <d v="2022-10-12T00:00:00"/>
    <x v="1"/>
    <d v="2022-10-12T00:00:00"/>
    <d v="2022-10-12T00:00:00"/>
    <n v="22026672"/>
    <n v="2235651"/>
    <n v="1000891450"/>
    <s v="MANOJ KUMAR SINHA"/>
    <x v="59"/>
    <n v="1641"/>
    <n v="1878"/>
    <n v="1878"/>
    <n v="0"/>
    <x v="0"/>
    <x v="6"/>
    <n v="1"/>
    <x v="13"/>
  </r>
  <r>
    <n v="2321"/>
    <s v="MEDI ASSIST"/>
    <d v="2022-10-12T00:00:00"/>
    <x v="1"/>
    <d v="2022-10-12T00:00:00"/>
    <d v="2022-10-12T00:00:00"/>
    <n v="22026669"/>
    <n v="2235655"/>
    <n v="1001105051"/>
    <s v="KAMLA CHUGH"/>
    <x v="168"/>
    <n v="0"/>
    <n v="4840"/>
    <n v="242"/>
    <n v="4598"/>
    <x v="1"/>
    <x v="12"/>
    <n v="0.05"/>
    <x v="13"/>
  </r>
  <r>
    <n v="2322"/>
    <s v="GENERAL PATIENT"/>
    <d v="2022-09-30T00:00:00"/>
    <x v="0"/>
    <d v="2022-10-02T00:00:00"/>
    <d v="2022-10-02T00:00:00"/>
    <n v="22025276"/>
    <n v="2234037"/>
    <n v="1000858861"/>
    <s v="PREETI GARG"/>
    <x v="1256"/>
    <n v="7676"/>
    <n v="59270"/>
    <n v="59270"/>
    <n v="0"/>
    <x v="0"/>
    <x v="1"/>
    <n v="1"/>
    <x v="1"/>
  </r>
  <r>
    <n v="2323"/>
    <s v="GENERAL PATIENT"/>
    <d v="2022-10-22T00:00:00"/>
    <x v="1"/>
    <d v="2022-10-23T00:00:00"/>
    <d v="2022-10-23T00:00:00"/>
    <n v="22028305"/>
    <n v="2237109"/>
    <n v="10013544194"/>
    <s v="NIRMAL CHAND  CHHABRA"/>
    <x v="1257"/>
    <n v="4707"/>
    <n v="16511"/>
    <n v="16511"/>
    <n v="0"/>
    <x v="0"/>
    <x v="1"/>
    <n v="1"/>
    <x v="4"/>
  </r>
  <r>
    <n v="2324"/>
    <s v="GENERAL PATIENT"/>
    <d v="2022-10-05T00:00:00"/>
    <x v="1"/>
    <d v="2022-10-06T00:00:00"/>
    <d v="2022-10-06T00:00:00"/>
    <n v="22025796"/>
    <n v="2234704"/>
    <n v="1001802541"/>
    <s v="PUNAM FEMALE BABY SHARMA"/>
    <x v="1258"/>
    <n v="1345"/>
    <n v="7624"/>
    <n v="7624"/>
    <n v="0"/>
    <x v="0"/>
    <x v="2"/>
    <n v="1"/>
    <x v="3"/>
  </r>
  <r>
    <n v="2325"/>
    <s v="DDA"/>
    <d v="2022-10-05T00:00:00"/>
    <x v="1"/>
    <d v="2022-10-12T00:00:00"/>
    <d v="2022-10-12T00:00:00"/>
    <n v="22026693"/>
    <n v="2234717"/>
    <n v="10013541630"/>
    <s v="MANJU VERMA"/>
    <x v="1259"/>
    <n v="0"/>
    <n v="71504"/>
    <n v="71504"/>
    <n v="0"/>
    <x v="0"/>
    <x v="2"/>
    <n v="1"/>
    <x v="0"/>
  </r>
  <r>
    <n v="2326"/>
    <s v="GENERAL PATIENT"/>
    <d v="2022-10-03T00:00:00"/>
    <x v="1"/>
    <d v="2022-10-03T00:00:00"/>
    <d v="2022-10-03T00:00:00"/>
    <n v="22025435"/>
    <n v="2234438"/>
    <n v="10013533934"/>
    <s v="RAMESH AHUJA"/>
    <x v="45"/>
    <n v="433"/>
    <n v="4557"/>
    <n v="4557"/>
    <n v="0"/>
    <x v="0"/>
    <x v="6"/>
    <n v="1"/>
    <x v="13"/>
  </r>
  <r>
    <n v="2327"/>
    <s v="GENERAL PATIENT"/>
    <d v="2022-10-03T00:00:00"/>
    <x v="1"/>
    <d v="2022-10-03T00:00:00"/>
    <d v="2022-10-03T00:00:00"/>
    <n v="22025437"/>
    <n v="2234447"/>
    <n v="10013507561"/>
    <s v="PUSHPA"/>
    <x v="73"/>
    <n v="293"/>
    <n v="2551"/>
    <n v="2551"/>
    <n v="0"/>
    <x v="0"/>
    <x v="6"/>
    <n v="1"/>
    <x v="13"/>
  </r>
  <r>
    <n v="2328"/>
    <s v="CGHS"/>
    <d v="2022-10-03T00:00:00"/>
    <x v="1"/>
    <d v="2022-10-03T00:00:00"/>
    <d v="2022-10-03T00:00:00"/>
    <n v="22025330"/>
    <n v="2234355"/>
    <n v="10013480632"/>
    <s v="MANJU GUPTA"/>
    <x v="43"/>
    <n v="0"/>
    <n v="1610"/>
    <n v="1610"/>
    <n v="0"/>
    <x v="0"/>
    <x v="6"/>
    <n v="1"/>
    <x v="13"/>
  </r>
  <r>
    <n v="2329"/>
    <s v="GOVT. OF NCT OF DELHI"/>
    <d v="2022-10-03T00:00:00"/>
    <x v="1"/>
    <d v="2022-10-03T00:00:00"/>
    <d v="2022-10-03T00:00:00"/>
    <n v="22025344"/>
    <n v="2234351"/>
    <n v="10013537888"/>
    <s v="RASHMI"/>
    <x v="43"/>
    <n v="0"/>
    <n v="1610"/>
    <n v="1610"/>
    <n v="0"/>
    <x v="0"/>
    <x v="6"/>
    <n v="1"/>
    <x v="13"/>
  </r>
  <r>
    <n v="2330"/>
    <s v="DDA"/>
    <d v="2022-10-03T00:00:00"/>
    <x v="1"/>
    <d v="2022-10-03T00:00:00"/>
    <d v="2022-10-03T00:00:00"/>
    <n v="22025333"/>
    <n v="2234353"/>
    <n v="10013524248"/>
    <s v="KRISHNA DEVI"/>
    <x v="43"/>
    <n v="0"/>
    <n v="1610"/>
    <n v="1610"/>
    <n v="0"/>
    <x v="0"/>
    <x v="6"/>
    <n v="1"/>
    <x v="13"/>
  </r>
  <r>
    <n v="2331"/>
    <s v="GENERAL PATIENT"/>
    <d v="2022-10-04T00:00:00"/>
    <x v="1"/>
    <d v="2022-10-06T00:00:00"/>
    <d v="2022-10-06T00:00:00"/>
    <n v="22025844"/>
    <n v="2234658"/>
    <n v="1001802488"/>
    <s v="BABY OF PRIYANKA"/>
    <x v="1260"/>
    <n v="4638"/>
    <n v="13481"/>
    <n v="13481"/>
    <n v="0"/>
    <x v="0"/>
    <x v="1"/>
    <n v="1"/>
    <x v="3"/>
  </r>
  <r>
    <n v="2332"/>
    <s v="HDFC ERGO General Insurance Co. Ltd."/>
    <d v="2022-09-30T00:00:00"/>
    <x v="0"/>
    <d v="2022-10-05T00:00:00"/>
    <d v="2022-10-05T00:00:00"/>
    <n v="22025742"/>
    <n v="2234062"/>
    <n v="10013231848"/>
    <s v="TRILOCHAN SINGH NARANG"/>
    <x v="1261"/>
    <n v="0"/>
    <n v="290467"/>
    <n v="290467"/>
    <n v="0"/>
    <x v="0"/>
    <x v="0"/>
    <n v="1"/>
    <x v="2"/>
  </r>
  <r>
    <n v="2333"/>
    <s v="CGHS ( CREDIT)"/>
    <d v="2022-08-25T00:00:00"/>
    <x v="2"/>
    <d v="2022-10-03T00:00:00"/>
    <d v="2022-10-03T00:00:00"/>
    <n v="22025327"/>
    <n v="2229249"/>
    <n v="10013531563"/>
    <s v="SAT PAL LAMBA"/>
    <x v="1262"/>
    <n v="0"/>
    <n v="720298"/>
    <n v="32166"/>
    <n v="688132"/>
    <x v="1"/>
    <x v="0"/>
    <n v="4.4656517163729453E-2"/>
    <x v="0"/>
  </r>
  <r>
    <n v="2334"/>
    <s v="GENERAL PATIENT"/>
    <d v="2022-10-19T00:00:00"/>
    <x v="1"/>
    <d v="2022-10-19T00:00:00"/>
    <d v="2022-10-19T00:00:00"/>
    <n v="22027660"/>
    <n v="2236574"/>
    <n v="1001575947"/>
    <s v="MANISH RAJPUT"/>
    <x v="73"/>
    <n v="286"/>
    <n v="2558"/>
    <n v="2558"/>
    <n v="0"/>
    <x v="0"/>
    <x v="6"/>
    <n v="1"/>
    <x v="13"/>
  </r>
  <r>
    <n v="2335"/>
    <s v="GENERAL PATIENT"/>
    <d v="2022-10-20T00:00:00"/>
    <x v="1"/>
    <d v="2022-10-21T00:00:00"/>
    <d v="2022-10-21T00:00:00"/>
    <n v="22028003"/>
    <n v="2236806"/>
    <n v="1001805490"/>
    <s v="DIKSHA FEMALE BABY GUPTA"/>
    <x v="148"/>
    <n v="959"/>
    <n v="7231"/>
    <n v="7231"/>
    <n v="0"/>
    <x v="0"/>
    <x v="1"/>
    <n v="1"/>
    <x v="3"/>
  </r>
  <r>
    <n v="2336"/>
    <s v=" RELIGARE HEALTH INSURANCE"/>
    <d v="2022-10-03T00:00:00"/>
    <x v="1"/>
    <d v="2022-10-04T00:00:00"/>
    <d v="2022-10-04T00:00:00"/>
    <n v="22025539"/>
    <n v="2234373"/>
    <n v="1001802074"/>
    <s v="MOHD. SHARIF"/>
    <x v="1263"/>
    <n v="0"/>
    <n v="68650"/>
    <n v="1000"/>
    <n v="67650"/>
    <x v="1"/>
    <x v="3"/>
    <n v="1.4566642388929352E-2"/>
    <x v="11"/>
  </r>
  <r>
    <n v="2337"/>
    <s v="HDFC ERGO General Insurance Co. Ltd."/>
    <d v="2022-10-11T00:00:00"/>
    <x v="1"/>
    <d v="2022-10-16T00:00:00"/>
    <d v="2022-10-16T00:00:00"/>
    <n v="22027293"/>
    <n v="2235527"/>
    <n v="1000890784"/>
    <s v="BHEEM SAIN"/>
    <x v="1264"/>
    <n v="0"/>
    <n v="66591"/>
    <n v="0"/>
    <n v="66591"/>
    <x v="1"/>
    <x v="1"/>
    <n v="0"/>
    <x v="0"/>
  </r>
  <r>
    <n v="2338"/>
    <s v=" Paramount Health Services and Insurance TPA Pvt.Ltd."/>
    <d v="2022-10-01T00:00:00"/>
    <x v="1"/>
    <d v="2022-10-04T00:00:00"/>
    <d v="2022-10-04T00:00:00"/>
    <n v="22025595"/>
    <n v="2234240"/>
    <n v="1001801876"/>
    <s v="PRANAV PURI"/>
    <x v="1265"/>
    <n v="10335"/>
    <n v="67453"/>
    <n v="5896"/>
    <n v="61557"/>
    <x v="1"/>
    <x v="3"/>
    <n v="8.7409010718574418E-2"/>
    <x v="14"/>
  </r>
  <r>
    <n v="2339"/>
    <s v="GENERAL PATIENT"/>
    <d v="2022-10-01T00:00:00"/>
    <x v="1"/>
    <d v="2022-10-08T00:00:00"/>
    <d v="2022-10-08T00:00:00"/>
    <n v="22026161"/>
    <n v="2234292"/>
    <n v="1001801954"/>
    <s v="MD SHAMIM UDDIN"/>
    <x v="1266"/>
    <n v="266580"/>
    <n v="0"/>
    <n v="0"/>
    <n v="0"/>
    <x v="0"/>
    <x v="9"/>
    <e v="#DIV/0!"/>
    <x v="0"/>
  </r>
  <r>
    <n v="2340"/>
    <s v="Health Insurance TPA of India Ltd."/>
    <d v="2022-10-23T00:00:00"/>
    <x v="1"/>
    <d v="2022-10-25T00:00:00"/>
    <d v="2022-10-25T00:00:00"/>
    <n v="22028489"/>
    <n v="2237182"/>
    <n v="1000970579"/>
    <s v="SUSHIL KUMAR ARORA"/>
    <x v="55"/>
    <n v="0"/>
    <n v="238169"/>
    <n v="42750"/>
    <n v="195419"/>
    <x v="1"/>
    <x v="4"/>
    <n v="0.17949439263716102"/>
    <x v="4"/>
  </r>
  <r>
    <n v="2341"/>
    <s v="DGHS (DELHI GOVT.)"/>
    <d v="2022-10-11T00:00:00"/>
    <x v="1"/>
    <d v="2022-10-14T00:00:00"/>
    <d v="2022-10-14T00:00:00"/>
    <n v="22026985"/>
    <n v="2235512"/>
    <n v="1001616135"/>
    <s v="SONIA"/>
    <x v="1267"/>
    <n v="0"/>
    <n v="19292"/>
    <n v="19292"/>
    <n v="0"/>
    <x v="0"/>
    <x v="1"/>
    <n v="1"/>
    <x v="1"/>
  </r>
  <r>
    <n v="2342"/>
    <s v="GENERAL PATIENT"/>
    <d v="2022-10-07T00:00:00"/>
    <x v="1"/>
    <d v="2022-10-07T00:00:00"/>
    <d v="2022-10-07T00:00:00"/>
    <n v="22025926"/>
    <n v="2234978"/>
    <n v="1000891305"/>
    <s v="MRIDULA SUNEJA"/>
    <x v="212"/>
    <n v="286"/>
    <n v="3304"/>
    <n v="3304"/>
    <n v="0"/>
    <x v="0"/>
    <x v="6"/>
    <n v="1"/>
    <x v="13"/>
  </r>
  <r>
    <n v="2343"/>
    <s v="GENERAL PATIENT"/>
    <d v="2022-10-11T00:00:00"/>
    <x v="1"/>
    <d v="2022-10-13T00:00:00"/>
    <d v="2022-10-13T00:00:00"/>
    <n v="22026887"/>
    <n v="2235556"/>
    <n v="1001803775"/>
    <s v="NEELAM MALE BABY"/>
    <x v="1268"/>
    <n v="11269"/>
    <n v="0"/>
    <n v="0"/>
    <n v="0"/>
    <x v="0"/>
    <x v="9"/>
    <e v="#DIV/0!"/>
    <x v="3"/>
  </r>
  <r>
    <n v="2344"/>
    <s v="EAST-WEST ASSIST."/>
    <d v="2022-10-02T00:00:00"/>
    <x v="1"/>
    <d v="2022-10-03T00:00:00"/>
    <d v="2022-10-03T00:00:00"/>
    <n v="22025370"/>
    <n v="2234303"/>
    <n v="1001801992"/>
    <s v="RAJENDER SINGH RAWAT"/>
    <x v="55"/>
    <n v="0"/>
    <n v="238169"/>
    <n v="3292"/>
    <n v="234877"/>
    <x v="1"/>
    <x v="4"/>
    <n v="1.382211790787214E-2"/>
    <x v="4"/>
  </r>
  <r>
    <n v="2345"/>
    <s v="GENERAL PATIENT"/>
    <d v="2022-10-07T00:00:00"/>
    <x v="1"/>
    <d v="2022-10-07T00:00:00"/>
    <d v="2022-10-07T00:00:00"/>
    <n v="22026067"/>
    <n v="2235101"/>
    <n v="10013513064"/>
    <s v="JAGJEET KAUR"/>
    <x v="73"/>
    <n v="277"/>
    <n v="2567"/>
    <n v="2567"/>
    <n v="0"/>
    <x v="0"/>
    <x v="6"/>
    <n v="1"/>
    <x v="13"/>
  </r>
  <r>
    <n v="2346"/>
    <s v="GENERAL PATIENT"/>
    <d v="2022-10-25T00:00:00"/>
    <x v="1"/>
    <d v="2022-10-25T00:00:00"/>
    <d v="2022-10-25T00:00:00"/>
    <n v="22028529"/>
    <n v="2237342"/>
    <n v="1000890994"/>
    <s v="HIMANSHU KAPOOR"/>
    <x v="112"/>
    <n v="287"/>
    <n v="3201"/>
    <n v="3201"/>
    <n v="0"/>
    <x v="0"/>
    <x v="6"/>
    <n v="1"/>
    <x v="13"/>
  </r>
  <r>
    <n v="2347"/>
    <s v="GENERAL PATIENT"/>
    <d v="2022-10-25T00:00:00"/>
    <x v="1"/>
    <d v="2022-10-25T00:00:00"/>
    <d v="2022-10-25T00:00:00"/>
    <n v="22028556"/>
    <n v="2237375"/>
    <n v="10013352607"/>
    <s v="SHRIKANT"/>
    <x v="73"/>
    <n v="310"/>
    <n v="2534"/>
    <n v="2534"/>
    <n v="0"/>
    <x v="0"/>
    <x v="6"/>
    <n v="1"/>
    <x v="13"/>
  </r>
  <r>
    <n v="2348"/>
    <s v="GOVT. OF NCT OF DELHI"/>
    <d v="2022-10-01T00:00:00"/>
    <x v="1"/>
    <d v="2022-10-01T00:00:00"/>
    <d v="2022-10-01T00:00:00"/>
    <n v="22025261"/>
    <n v="2234285"/>
    <n v="1000915662"/>
    <s v="RAJ KUMAR"/>
    <x v="43"/>
    <n v="0"/>
    <n v="1610"/>
    <n v="1610"/>
    <n v="0"/>
    <x v="0"/>
    <x v="6"/>
    <n v="1"/>
    <x v="13"/>
  </r>
  <r>
    <n v="2349"/>
    <s v="GENERAL PATIENT"/>
    <d v="2022-10-01T00:00:00"/>
    <x v="1"/>
    <d v="2022-10-01T00:00:00"/>
    <d v="2022-10-01T00:00:00"/>
    <n v="22025264"/>
    <n v="2234284"/>
    <n v="10013499172"/>
    <s v="TUSHAR GOEL"/>
    <x v="190"/>
    <n v="3288"/>
    <n v="0"/>
    <n v="0"/>
    <n v="0"/>
    <x v="0"/>
    <x v="9"/>
    <e v="#DIV/0!"/>
    <x v="13"/>
  </r>
  <r>
    <n v="2350"/>
    <s v="GENERAL PATIENT"/>
    <d v="2022-10-12T00:00:00"/>
    <x v="1"/>
    <d v="2022-10-14T00:00:00"/>
    <d v="2022-10-14T00:00:00"/>
    <n v="22026996"/>
    <n v="2235622"/>
    <n v="10013542604"/>
    <s v="SWARNDEEP GUPTA"/>
    <x v="1269"/>
    <n v="14343"/>
    <n v="99940"/>
    <n v="99940"/>
    <n v="0"/>
    <x v="0"/>
    <x v="2"/>
    <n v="1"/>
    <x v="1"/>
  </r>
  <r>
    <n v="2351"/>
    <s v="GENERAL PATIENT"/>
    <d v="2022-10-08T00:00:00"/>
    <x v="1"/>
    <d v="2022-10-14T00:00:00"/>
    <d v="2022-10-14T00:00:00"/>
    <n v="22027051"/>
    <n v="2235246"/>
    <n v="10013542244"/>
    <s v="DHIRAJ KUMAR"/>
    <x v="1270"/>
    <n v="26529"/>
    <n v="44570"/>
    <n v="44570"/>
    <n v="0"/>
    <x v="0"/>
    <x v="1"/>
    <n v="1"/>
    <x v="2"/>
  </r>
  <r>
    <n v="2352"/>
    <s v="GENERAL PATIENT"/>
    <d v="2022-10-08T00:00:00"/>
    <x v="1"/>
    <d v="2022-10-13T00:00:00"/>
    <d v="2022-10-13T00:00:00"/>
    <n v="22026855"/>
    <n v="2235248"/>
    <n v="10013542245"/>
    <s v="RAJ BALA"/>
    <x v="1271"/>
    <n v="6956"/>
    <n v="49919"/>
    <n v="49919"/>
    <n v="0"/>
    <x v="0"/>
    <x v="1"/>
    <n v="1"/>
    <x v="0"/>
  </r>
  <r>
    <n v="2353"/>
    <s v="DELHI VIDYUT BOARD"/>
    <d v="2022-10-09T00:00:00"/>
    <x v="1"/>
    <d v="2022-10-13T00:00:00"/>
    <d v="2022-10-13T00:00:00"/>
    <n v="22026918"/>
    <n v="2235297"/>
    <n v="1001327120"/>
    <s v="SARLA RANI"/>
    <x v="1272"/>
    <n v="0"/>
    <n v="36592"/>
    <n v="36592"/>
    <n v="0"/>
    <x v="0"/>
    <x v="2"/>
    <n v="1"/>
    <x v="0"/>
  </r>
  <r>
    <n v="2354"/>
    <s v="GENERAL PATIENT"/>
    <d v="2022-10-15T00:00:00"/>
    <x v="1"/>
    <d v="2022-10-17T00:00:00"/>
    <d v="2022-10-17T00:00:00"/>
    <n v="22027393"/>
    <n v="2236109"/>
    <n v="1001804496"/>
    <s v="ANKITA MALE BABY THAKUR"/>
    <x v="1273"/>
    <n v="1739"/>
    <n v="10960"/>
    <n v="10960"/>
    <n v="0"/>
    <x v="0"/>
    <x v="0"/>
    <n v="1"/>
    <x v="3"/>
  </r>
  <r>
    <n v="2355"/>
    <s v="GENERAL PATIENT"/>
    <d v="2022-10-14T00:00:00"/>
    <x v="1"/>
    <d v="2022-10-17T00:00:00"/>
    <d v="2022-10-17T00:00:00"/>
    <n v="22027383"/>
    <n v="2236051"/>
    <n v="1001804415"/>
    <s v="ANKITA THAKUR"/>
    <x v="1274"/>
    <n v="11258"/>
    <n v="78154"/>
    <n v="78154"/>
    <n v="0"/>
    <x v="0"/>
    <x v="0"/>
    <n v="1"/>
    <x v="1"/>
  </r>
  <r>
    <n v="2356"/>
    <s v="GENERAL PATIENT"/>
    <d v="2022-10-16T00:00:00"/>
    <x v="1"/>
    <d v="2022-10-18T00:00:00"/>
    <d v="2022-10-18T00:00:00"/>
    <n v="22027558"/>
    <n v="2236246"/>
    <n v="10013543272"/>
    <s v="JAI KUMAR RAM"/>
    <x v="1275"/>
    <n v="5842"/>
    <n v="40484"/>
    <n v="40484"/>
    <n v="0"/>
    <x v="0"/>
    <x v="1"/>
    <n v="1"/>
    <x v="0"/>
  </r>
  <r>
    <n v="2357"/>
    <s v="MEDI ASSIST"/>
    <d v="2022-10-10T00:00:00"/>
    <x v="1"/>
    <d v="2022-10-10T00:00:00"/>
    <d v="2022-10-10T00:00:00"/>
    <n v="22026394"/>
    <n v="2235370"/>
    <n v="1001206152"/>
    <s v="JITENDRA GARG"/>
    <x v="75"/>
    <n v="0"/>
    <n v="2200"/>
    <n v="440"/>
    <n v="1760"/>
    <x v="1"/>
    <x v="12"/>
    <n v="0.2"/>
    <x v="13"/>
  </r>
  <r>
    <n v="2358"/>
    <s v="GENERAL PATIENT"/>
    <d v="2022-10-10T00:00:00"/>
    <x v="1"/>
    <d v="2022-10-10T00:00:00"/>
    <d v="2022-10-10T00:00:00"/>
    <n v="22026392"/>
    <n v="2235373"/>
    <n v="10013513064"/>
    <s v="JAGJEET KAUR"/>
    <x v="73"/>
    <n v="286"/>
    <n v="2558"/>
    <n v="2558"/>
    <n v="0"/>
    <x v="0"/>
    <x v="6"/>
    <n v="1"/>
    <x v="13"/>
  </r>
  <r>
    <n v="2359"/>
    <s v="CGHS"/>
    <d v="2022-10-19T00:00:00"/>
    <x v="1"/>
    <d v="2022-10-19T00:00:00"/>
    <d v="2022-10-19T00:00:00"/>
    <n v="22027645"/>
    <n v="2236587"/>
    <n v="10013540183"/>
    <s v="TARUN HURIA"/>
    <x v="43"/>
    <n v="0"/>
    <n v="1610"/>
    <n v="1610"/>
    <n v="0"/>
    <x v="0"/>
    <x v="6"/>
    <n v="1"/>
    <x v="13"/>
  </r>
  <r>
    <n v="2360"/>
    <s v="HARAYANA GOVT."/>
    <d v="2022-10-10T00:00:00"/>
    <x v="1"/>
    <d v="2022-10-11T00:00:00"/>
    <d v="2022-10-11T00:00:00"/>
    <n v="22026529"/>
    <n v="2235320"/>
    <n v="10013541109"/>
    <s v="PARVEEN KUMAR"/>
    <x v="1276"/>
    <n v="0"/>
    <n v="29108"/>
    <n v="29108"/>
    <n v="0"/>
    <x v="0"/>
    <x v="1"/>
    <n v="1"/>
    <x v="11"/>
  </r>
  <r>
    <n v="2361"/>
    <s v="HARAYANA GOVT."/>
    <d v="2022-10-16T00:00:00"/>
    <x v="1"/>
    <d v="2022-10-23T00:00:00"/>
    <d v="2022-10-23T00:00:00"/>
    <n v="22028356"/>
    <n v="2236236"/>
    <n v="10013517751"/>
    <s v="KUMARI SATYAWANTI"/>
    <x v="1277"/>
    <n v="0"/>
    <n v="116084"/>
    <n v="116084"/>
    <n v="0"/>
    <x v="0"/>
    <x v="2"/>
    <n v="1"/>
    <x v="0"/>
  </r>
  <r>
    <n v="2362"/>
    <s v="GENERAL PATIENT"/>
    <d v="2022-10-03T00:00:00"/>
    <x v="1"/>
    <d v="2022-10-03T00:00:00"/>
    <d v="2022-10-03T00:00:00"/>
    <n v="22025434"/>
    <n v="2234424"/>
    <n v="10013518452"/>
    <s v="RAJESH WADHERA"/>
    <x v="45"/>
    <n v="434"/>
    <n v="4556"/>
    <n v="4556"/>
    <n v="0"/>
    <x v="0"/>
    <x v="6"/>
    <n v="1"/>
    <x v="13"/>
  </r>
  <r>
    <n v="2363"/>
    <s v="GENERAL PATIENT"/>
    <d v="2022-10-18T00:00:00"/>
    <x v="1"/>
    <d v="2022-10-21T00:00:00"/>
    <d v="2022-10-21T00:00:00"/>
    <n v="22028036"/>
    <n v="2236556"/>
    <n v="1001805136"/>
    <s v="SHILA SANGHI"/>
    <x v="1278"/>
    <n v="41064"/>
    <n v="207166"/>
    <n v="207166"/>
    <n v="0"/>
    <x v="0"/>
    <x v="7"/>
    <n v="1"/>
    <x v="4"/>
  </r>
  <r>
    <n v="2364"/>
    <s v="GOVT. OF NCT OF DELHI"/>
    <d v="2022-10-10T00:00:00"/>
    <x v="1"/>
    <d v="2022-10-10T00:00:00"/>
    <d v="2022-10-10T00:00:00"/>
    <n v="22026332"/>
    <n v="2235334"/>
    <n v="10013269857"/>
    <s v="JAI BHAGWAN"/>
    <x v="43"/>
    <n v="0"/>
    <n v="1610"/>
    <n v="1610"/>
    <n v="0"/>
    <x v="0"/>
    <x v="6"/>
    <n v="1"/>
    <x v="13"/>
  </r>
  <r>
    <n v="2365"/>
    <s v="GOVT. OF NCT OF DELHI"/>
    <d v="2022-10-10T00:00:00"/>
    <x v="1"/>
    <d v="2022-10-10T00:00:00"/>
    <d v="2022-10-10T00:00:00"/>
    <n v="22026327"/>
    <n v="2235329"/>
    <n v="10013521425"/>
    <s v="MEHAR CHAND"/>
    <x v="43"/>
    <n v="0"/>
    <n v="1610"/>
    <n v="1610"/>
    <n v="0"/>
    <x v="0"/>
    <x v="6"/>
    <n v="1"/>
    <x v="13"/>
  </r>
  <r>
    <n v="2366"/>
    <s v=" IFFCO-TOKIO GEN.INSC."/>
    <d v="2022-10-03T00:00:00"/>
    <x v="1"/>
    <d v="2022-10-06T00:00:00"/>
    <d v="2022-10-06T00:00:00"/>
    <n v="22025877"/>
    <n v="2234434"/>
    <n v="1001802230"/>
    <s v="ASHA GOYAL"/>
    <x v="1279"/>
    <n v="5782"/>
    <n v="39875"/>
    <n v="9431"/>
    <n v="30444"/>
    <x v="1"/>
    <x v="1"/>
    <n v="0.23651410658307209"/>
    <x v="0"/>
  </r>
  <r>
    <n v="2367"/>
    <s v=" RELIGARE HEALTH INSURANCE"/>
    <d v="2022-10-12T00:00:00"/>
    <x v="1"/>
    <d v="2022-10-20T00:00:00"/>
    <d v="2022-10-20T00:00:00"/>
    <n v="22027922"/>
    <n v="2235620"/>
    <n v="1001781827"/>
    <s v="PRAVEEN CHAND PANDEY"/>
    <x v="1280"/>
    <n v="16262"/>
    <n v="125469"/>
    <n v="3250"/>
    <n v="122219"/>
    <x v="1"/>
    <x v="3"/>
    <n v="2.5902812646948648E-2"/>
    <x v="0"/>
  </r>
  <r>
    <n v="2368"/>
    <s v="HARAYANA GOVT."/>
    <d v="2022-10-21T00:00:00"/>
    <x v="1"/>
    <d v="2022-10-21T00:00:00"/>
    <d v="2022-10-21T00:00:00"/>
    <n v="22027963"/>
    <n v="2236863"/>
    <n v="10013461113"/>
    <s v="DHARMVEER SINGH"/>
    <x v="96"/>
    <n v="0"/>
    <n v="2064"/>
    <n v="2064"/>
    <n v="0"/>
    <x v="0"/>
    <x v="6"/>
    <n v="1"/>
    <x v="13"/>
  </r>
  <r>
    <n v="2369"/>
    <s v="MEDI ASSIST"/>
    <d v="2022-10-11T00:00:00"/>
    <x v="1"/>
    <d v="2022-10-11T00:00:00"/>
    <d v="2022-10-11T00:00:00"/>
    <n v="22026575"/>
    <n v="2235500"/>
    <n v="1000891498"/>
    <s v="GULSAN JAMWAL"/>
    <x v="75"/>
    <n v="0"/>
    <n v="2200"/>
    <n v="440"/>
    <n v="1760"/>
    <x v="1"/>
    <x v="12"/>
    <n v="0.2"/>
    <x v="13"/>
  </r>
  <r>
    <n v="2370"/>
    <s v="PARK MED CLAIM LTD"/>
    <d v="2022-10-21T00:00:00"/>
    <x v="1"/>
    <d v="2022-10-21T00:00:00"/>
    <d v="2022-10-21T00:00:00"/>
    <n v="22028027"/>
    <n v="2236903"/>
    <n v="1001300227"/>
    <s v="BIMLA"/>
    <x v="75"/>
    <n v="0"/>
    <n v="2200"/>
    <n v="2200"/>
    <n v="0"/>
    <x v="0"/>
    <x v="12"/>
    <n v="1"/>
    <x v="13"/>
  </r>
  <r>
    <n v="2371"/>
    <s v="CGHS ( CREDIT)"/>
    <d v="2022-10-06T00:00:00"/>
    <x v="1"/>
    <d v="2022-10-13T00:00:00"/>
    <d v="2022-10-13T00:00:00"/>
    <n v="22026908"/>
    <n v="2234854"/>
    <n v="10013326446"/>
    <s v="KANWAR LAL"/>
    <x v="1281"/>
    <n v="0"/>
    <n v="87793"/>
    <n v="2147"/>
    <n v="85646"/>
    <x v="1"/>
    <x v="0"/>
    <n v="2.4455252696684245E-2"/>
    <x v="0"/>
  </r>
  <r>
    <n v="2372"/>
    <s v="GENERAL PATIENT"/>
    <d v="2022-10-09T00:00:00"/>
    <x v="1"/>
    <d v="2022-10-13T00:00:00"/>
    <d v="2022-10-13T00:00:00"/>
    <n v="22026885"/>
    <n v="2235286"/>
    <n v="10013483275"/>
    <s v="NEELAM"/>
    <x v="1282"/>
    <n v="72303"/>
    <n v="0"/>
    <n v="0"/>
    <n v="0"/>
    <x v="0"/>
    <x v="9"/>
    <e v="#DIV/0!"/>
    <x v="1"/>
  </r>
  <r>
    <n v="2373"/>
    <s v=" SSYAMA CASH"/>
    <d v="2022-10-17T00:00:00"/>
    <x v="1"/>
    <d v="2022-10-17T00:00:00"/>
    <d v="2022-10-17T00:00:00"/>
    <n v="22027381"/>
    <n v="2236290"/>
    <n v="1001788579"/>
    <s v="JABBAR KHAN"/>
    <x v="227"/>
    <n v="0"/>
    <n v="3072"/>
    <n v="3072"/>
    <n v="0"/>
    <x v="0"/>
    <x v="6"/>
    <n v="1"/>
    <x v="13"/>
  </r>
  <r>
    <n v="2374"/>
    <s v="CGHS ( CREDIT)"/>
    <d v="2022-10-09T00:00:00"/>
    <x v="1"/>
    <d v="2022-10-12T00:00:00"/>
    <d v="2022-10-19T00:00:00"/>
    <n v="22027791"/>
    <n v="2235278"/>
    <n v="1001129289"/>
    <s v="INDIRA VATI"/>
    <x v="559"/>
    <n v="0"/>
    <n v="177472"/>
    <n v="24420"/>
    <n v="153052"/>
    <x v="1"/>
    <x v="1"/>
    <n v="0.13759917057338622"/>
    <x v="4"/>
  </r>
  <r>
    <n v="2375"/>
    <s v="Heritage Health TPA Private Limited"/>
    <d v="2022-09-28T00:00:00"/>
    <x v="0"/>
    <d v="2022-10-11T00:00:00"/>
    <d v="2022-10-11T00:00:00"/>
    <n v="22026601"/>
    <n v="2233860"/>
    <n v="10013540721"/>
    <s v="VIBHOR CHAWLA"/>
    <x v="1283"/>
    <n v="0"/>
    <n v="275932"/>
    <n v="62934"/>
    <n v="212998"/>
    <x v="1"/>
    <x v="3"/>
    <n v="0.22807793224417611"/>
    <x v="0"/>
  </r>
  <r>
    <n v="2376"/>
    <s v="HARAYANA GOVT."/>
    <d v="2022-10-25T00:00:00"/>
    <x v="1"/>
    <d v="2022-10-25T00:00:00"/>
    <d v="2022-10-25T00:00:00"/>
    <n v="22028462"/>
    <n v="2237264"/>
    <n v="10013461113"/>
    <s v="DHARMVEER SINGH"/>
    <x v="96"/>
    <n v="0"/>
    <n v="2064"/>
    <n v="2064"/>
    <n v="0"/>
    <x v="0"/>
    <x v="6"/>
    <n v="1"/>
    <x v="13"/>
  </r>
  <r>
    <n v="2377"/>
    <s v="GENERAL PATIENT"/>
    <d v="2022-10-25T00:00:00"/>
    <x v="1"/>
    <d v="2022-10-28T00:00:00"/>
    <d v="2022-10-28T00:00:00"/>
    <n v="22028873"/>
    <n v="2237359"/>
    <n v="10013544443"/>
    <s v="ANKUR BANSAL"/>
    <x v="1284"/>
    <n v="11872"/>
    <n v="42162"/>
    <n v="42162"/>
    <n v="0"/>
    <x v="0"/>
    <x v="1"/>
    <n v="1"/>
    <x v="0"/>
  </r>
  <r>
    <n v="2378"/>
    <s v="MEDI ASSIST"/>
    <d v="2022-10-21T00:00:00"/>
    <x v="1"/>
    <d v="2022-10-21T00:00:00"/>
    <d v="2022-10-21T00:00:00"/>
    <n v="22027964"/>
    <n v="2236870"/>
    <n v="1000891498"/>
    <s v="GULSAN JAMWAL"/>
    <x v="75"/>
    <n v="0"/>
    <n v="2200"/>
    <n v="440"/>
    <n v="1760"/>
    <x v="1"/>
    <x v="12"/>
    <n v="0.2"/>
    <x v="13"/>
  </r>
  <r>
    <n v="2379"/>
    <s v="Health Insurance TPA of India Ltd."/>
    <d v="2022-09-24T00:00:00"/>
    <x v="0"/>
    <d v="2022-10-02T00:00:00"/>
    <d v="2022-10-02T00:00:00"/>
    <n v="22025306"/>
    <n v="2233333"/>
    <n v="10013540119"/>
    <s v="GAURAV KUMAR"/>
    <x v="1285"/>
    <n v="19200"/>
    <n v="186742"/>
    <n v="1500"/>
    <n v="185242"/>
    <x v="1"/>
    <x v="2"/>
    <n v="8.0324726092684019E-3"/>
    <x v="0"/>
  </r>
  <r>
    <n v="2380"/>
    <s v="Health Insurance TPA of India Ltd."/>
    <d v="2022-09-30T00:00:00"/>
    <x v="0"/>
    <d v="2022-10-06T00:00:00"/>
    <d v="2022-10-06T00:00:00"/>
    <n v="22025795"/>
    <n v="2234129"/>
    <n v="10013541045"/>
    <s v="VIJAY KUMAR CHAWLA"/>
    <x v="1286"/>
    <n v="25000"/>
    <n v="312836"/>
    <n v="134644"/>
    <n v="178192"/>
    <x v="1"/>
    <x v="3"/>
    <n v="0.43039803603165877"/>
    <x v="0"/>
  </r>
  <r>
    <n v="2381"/>
    <s v="MD INDIA TPA PVT.LTD."/>
    <d v="2022-10-27T00:00:00"/>
    <x v="1"/>
    <d v="2022-10-28T00:00:00"/>
    <d v="2022-10-28T00:00:00"/>
    <n v="22028917"/>
    <n v="2237668"/>
    <n v="10013461583"/>
    <s v="MUKESH SINGHAL"/>
    <x v="491"/>
    <n v="0"/>
    <n v="202335"/>
    <n v="42751"/>
    <n v="159584"/>
    <x v="1"/>
    <x v="4"/>
    <n v="0.21128821014653915"/>
    <x v="4"/>
  </r>
  <r>
    <n v="2382"/>
    <s v="CGHS ( CREDIT)"/>
    <d v="2022-10-05T00:00:00"/>
    <x v="1"/>
    <d v="2022-10-21T00:00:00"/>
    <d v="2022-10-21T00:00:00"/>
    <n v="22028088"/>
    <n v="2234753"/>
    <n v="10013541641"/>
    <s v="SURJEET KAUR"/>
    <x v="1287"/>
    <n v="0"/>
    <n v="277634"/>
    <n v="8132"/>
    <n v="269502"/>
    <x v="1"/>
    <x v="1"/>
    <n v="2.9290360690693504E-2"/>
    <x v="0"/>
  </r>
  <r>
    <n v="2383"/>
    <s v="GENERAL PATIENT"/>
    <d v="2022-10-01T00:00:00"/>
    <x v="1"/>
    <d v="2022-10-02T00:00:00"/>
    <d v="2022-10-02T00:00:00"/>
    <n v="22025273"/>
    <n v="2234141"/>
    <n v="10013541058"/>
    <s v="KANWAR LAL"/>
    <x v="1288"/>
    <n v="14302"/>
    <n v="54012"/>
    <n v="54012"/>
    <n v="0"/>
    <x v="0"/>
    <x v="1"/>
    <n v="1"/>
    <x v="4"/>
  </r>
  <r>
    <n v="2384"/>
    <s v="GENERAL PATIENT"/>
    <d v="2022-10-26T00:00:00"/>
    <x v="1"/>
    <d v="2022-10-29T00:00:00"/>
    <d v="2022-10-29T00:00:00"/>
    <n v="22029119"/>
    <n v="2237527"/>
    <n v="1001184451"/>
    <s v="ROHIT KUMAR"/>
    <x v="1289"/>
    <n v="88919"/>
    <n v="0"/>
    <n v="0"/>
    <n v="0"/>
    <x v="0"/>
    <x v="9"/>
    <e v="#DIV/0!"/>
    <x v="24"/>
  </r>
  <r>
    <n v="2385"/>
    <s v="CGHS ( CREDIT)"/>
    <d v="2022-10-09T00:00:00"/>
    <x v="1"/>
    <d v="2022-10-16T00:00:00"/>
    <d v="2022-10-16T00:00:00"/>
    <n v="22027282"/>
    <n v="2235311"/>
    <n v="1001211427"/>
    <s v="DARSHAN KUMAR RALHAN"/>
    <x v="1290"/>
    <n v="0"/>
    <n v="102187"/>
    <n v="2660"/>
    <n v="99527"/>
    <x v="1"/>
    <x v="1"/>
    <n v="2.6030708407135936E-2"/>
    <x v="0"/>
  </r>
  <r>
    <n v="2386"/>
    <s v="GENERAL PATIENT"/>
    <d v="2022-10-15T00:00:00"/>
    <x v="1"/>
    <d v="2022-10-16T00:00:00"/>
    <d v="2022-10-16T00:00:00"/>
    <n v="22027322"/>
    <n v="2236163"/>
    <n v="1001804584"/>
    <s v="BHAWANA FEMALE BABY"/>
    <x v="1291"/>
    <n v="1103"/>
    <n v="6365"/>
    <n v="6365"/>
    <n v="0"/>
    <x v="0"/>
    <x v="0"/>
    <n v="1"/>
    <x v="3"/>
  </r>
  <r>
    <n v="2387"/>
    <s v="GENERAL PATIENT"/>
    <d v="2022-10-14T00:00:00"/>
    <x v="1"/>
    <d v="2022-10-16T00:00:00"/>
    <d v="2022-10-16T00:00:00"/>
    <n v="22027325"/>
    <n v="2235993"/>
    <n v="1001804385"/>
    <s v="SEEMA FEMALE BABY"/>
    <x v="1292"/>
    <n v="2659"/>
    <n v="18403"/>
    <n v="18403"/>
    <n v="0"/>
    <x v="0"/>
    <x v="0"/>
    <n v="1"/>
    <x v="3"/>
  </r>
  <r>
    <n v="2388"/>
    <s v="CGHS ( CREDIT)"/>
    <d v="2022-10-12T00:00:00"/>
    <x v="1"/>
    <d v="2022-10-16T00:00:00"/>
    <d v="2022-10-16T00:00:00"/>
    <n v="22027340"/>
    <n v="2235666"/>
    <n v="1001206009"/>
    <s v="K.K AGGARWAL"/>
    <x v="1293"/>
    <n v="0"/>
    <n v="75555"/>
    <n v="2393"/>
    <n v="73162"/>
    <x v="1"/>
    <x v="1"/>
    <n v="3.1672291708027267E-2"/>
    <x v="0"/>
  </r>
  <r>
    <n v="2389"/>
    <s v="CGHS ( CREDIT)"/>
    <d v="2022-10-07T00:00:00"/>
    <x v="1"/>
    <d v="2022-10-12T00:00:00"/>
    <d v="2022-10-12T00:00:00"/>
    <n v="22026741"/>
    <n v="2235053"/>
    <n v="10013367083"/>
    <s v="ARAYEE"/>
    <x v="1294"/>
    <n v="0"/>
    <n v="32297"/>
    <n v="1389"/>
    <n v="30908"/>
    <x v="1"/>
    <x v="1"/>
    <n v="4.3007090441836704E-2"/>
    <x v="15"/>
  </r>
  <r>
    <n v="2390"/>
    <s v="CGHS"/>
    <d v="2022-10-16T00:00:00"/>
    <x v="1"/>
    <d v="2022-10-19T00:00:00"/>
    <d v="2022-10-19T00:00:00"/>
    <n v="22027688"/>
    <n v="2236252"/>
    <n v="10013526184"/>
    <s v="PRIYA"/>
    <x v="405"/>
    <n v="0"/>
    <n v="14542"/>
    <n v="14542"/>
    <n v="0"/>
    <x v="0"/>
    <x v="1"/>
    <n v="1"/>
    <x v="1"/>
  </r>
  <r>
    <n v="2391"/>
    <s v="Safeway Mediclaim Services Pvt. Ltd."/>
    <d v="2022-10-16T00:00:00"/>
    <x v="1"/>
    <d v="2022-10-19T00:00:00"/>
    <d v="2022-10-19T00:00:00"/>
    <n v="22027673"/>
    <n v="2236259"/>
    <n v="10013543294"/>
    <s v="JAGDISH  CHAND GARG"/>
    <x v="1295"/>
    <n v="11060"/>
    <n v="74935"/>
    <n v="17899"/>
    <n v="57036"/>
    <x v="1"/>
    <x v="4"/>
    <n v="0.23886034563288183"/>
    <x v="4"/>
  </r>
  <r>
    <n v="2392"/>
    <s v="GENERAL PATIENT"/>
    <d v="2022-10-18T00:00:00"/>
    <x v="1"/>
    <d v="2022-10-18T00:00:00"/>
    <d v="2022-10-18T00:00:00"/>
    <n v="22027527"/>
    <n v="2236445"/>
    <n v="1001427466"/>
    <s v="DEVENDER GOYAL"/>
    <x v="127"/>
    <n v="2680"/>
    <n v="0"/>
    <n v="0"/>
    <n v="0"/>
    <x v="0"/>
    <x v="9"/>
    <e v="#DIV/0!"/>
    <x v="13"/>
  </r>
  <r>
    <n v="2393"/>
    <s v="GENERAL PATIENT"/>
    <d v="2022-10-12T00:00:00"/>
    <x v="1"/>
    <d v="2022-10-21T00:00:00"/>
    <d v="2022-10-21T00:00:00"/>
    <n v="22028030"/>
    <n v="2235755"/>
    <n v="10013542754"/>
    <s v="SHARDA"/>
    <x v="1296"/>
    <n v="130953"/>
    <n v="0"/>
    <n v="0"/>
    <n v="0"/>
    <x v="0"/>
    <x v="9"/>
    <e v="#DIV/0!"/>
    <x v="0"/>
  </r>
  <r>
    <n v="2394"/>
    <s v="MEDI ASSIST"/>
    <d v="2022-10-06T00:00:00"/>
    <x v="1"/>
    <d v="2022-10-09T00:00:00"/>
    <d v="2022-10-09T00:00:00"/>
    <n v="22026262"/>
    <n v="2234888"/>
    <n v="1001802839"/>
    <s v="EKTA MALE BABY SHARMA-1"/>
    <x v="1297"/>
    <n v="0"/>
    <n v="15043"/>
    <n v="15043"/>
    <n v="0"/>
    <x v="0"/>
    <x v="2"/>
    <n v="1"/>
    <x v="3"/>
  </r>
  <r>
    <n v="2395"/>
    <s v="GENERAL PATIENT"/>
    <d v="2022-10-06T00:00:00"/>
    <x v="1"/>
    <d v="2022-10-09T00:00:00"/>
    <d v="2022-10-09T00:00:00"/>
    <n v="22026292"/>
    <n v="2234813"/>
    <n v="1001392417"/>
    <s v="VISHNU BHAGWAN"/>
    <x v="1298"/>
    <n v="52098"/>
    <n v="101320"/>
    <n v="101320"/>
    <n v="0"/>
    <x v="0"/>
    <x v="7"/>
    <n v="1"/>
    <x v="5"/>
  </r>
  <r>
    <n v="2396"/>
    <s v="STAFF"/>
    <d v="2022-10-04T00:00:00"/>
    <x v="1"/>
    <d v="2022-10-09T00:00:00"/>
    <d v="2022-10-09T00:00:00"/>
    <n v="22026283"/>
    <n v="2234646"/>
    <n v="10013502362"/>
    <s v="NAJMEEN"/>
    <x v="1299"/>
    <n v="69095"/>
    <n v="0"/>
    <n v="0"/>
    <n v="0"/>
    <x v="0"/>
    <x v="9"/>
    <e v="#DIV/0!"/>
    <x v="0"/>
  </r>
  <r>
    <n v="2397"/>
    <s v="CGHS ( CREDIT)"/>
    <d v="2022-09-29T00:00:00"/>
    <x v="0"/>
    <d v="2022-10-09T00:00:00"/>
    <d v="2022-10-09T00:00:00"/>
    <n v="22026293"/>
    <n v="2233931"/>
    <n v="10013532559"/>
    <s v="VEENA KUMARI"/>
    <x v="1300"/>
    <n v="0"/>
    <n v="123323"/>
    <n v="3275"/>
    <n v="120048"/>
    <x v="1"/>
    <x v="1"/>
    <n v="2.6556279039595208E-2"/>
    <x v="0"/>
  </r>
  <r>
    <n v="2398"/>
    <s v="CGHS"/>
    <d v="2022-10-05T00:00:00"/>
    <x v="1"/>
    <d v="2022-10-05T00:00:00"/>
    <d v="2022-10-05T00:00:00"/>
    <n v="22025644"/>
    <n v="2234688"/>
    <n v="10013540183"/>
    <s v="TARUN HURIA"/>
    <x v="43"/>
    <n v="0"/>
    <n v="1610"/>
    <n v="1610"/>
    <n v="0"/>
    <x v="0"/>
    <x v="6"/>
    <n v="1"/>
    <x v="13"/>
  </r>
  <r>
    <n v="2399"/>
    <s v="GENERAL PATIENT"/>
    <d v="2022-10-05T00:00:00"/>
    <x v="1"/>
    <d v="2022-10-05T00:00:00"/>
    <d v="2022-10-05T00:00:00"/>
    <n v="22025637"/>
    <n v="2234673"/>
    <n v="10013407139"/>
    <s v="SITO DEVI"/>
    <x v="73"/>
    <n v="310"/>
    <n v="2534"/>
    <n v="2534"/>
    <n v="0"/>
    <x v="0"/>
    <x v="6"/>
    <n v="1"/>
    <x v="13"/>
  </r>
  <r>
    <n v="2400"/>
    <s v="Safeway Mediclaim Services Pvt. Ltd."/>
    <d v="2022-10-05T00:00:00"/>
    <x v="1"/>
    <d v="2022-10-05T00:00:00"/>
    <d v="2022-10-05T00:00:00"/>
    <n v="22025651"/>
    <n v="2234683"/>
    <n v="10013464572"/>
    <s v="NANAK CHAND JAIN"/>
    <x v="168"/>
    <n v="867"/>
    <n v="3973"/>
    <n v="1773"/>
    <n v="2200"/>
    <x v="1"/>
    <x v="12"/>
    <n v="0.44626227032469168"/>
    <x v="13"/>
  </r>
  <r>
    <n v="2401"/>
    <s v="GENERAL PATIENT"/>
    <d v="2022-10-05T00:00:00"/>
    <x v="1"/>
    <d v="2022-10-05T00:00:00"/>
    <d v="2022-10-05T00:00:00"/>
    <n v="22025792"/>
    <n v="2234733"/>
    <n v="10013426616"/>
    <s v="ANIL KUMAR GUPTA"/>
    <x v="1301"/>
    <n v="18955"/>
    <n v="105586"/>
    <n v="105586"/>
    <n v="0"/>
    <x v="0"/>
    <x v="19"/>
    <n v="1"/>
    <x v="0"/>
  </r>
  <r>
    <n v="2402"/>
    <s v="STAFF"/>
    <d v="2022-10-12T00:00:00"/>
    <x v="1"/>
    <d v="2022-10-17T00:00:00"/>
    <d v="2022-10-17T00:00:00"/>
    <n v="22027425"/>
    <n v="2235756"/>
    <n v="10013509374"/>
    <s v="VIVEK V.S"/>
    <x v="1302"/>
    <n v="60059"/>
    <n v="0"/>
    <n v="0"/>
    <n v="0"/>
    <x v="0"/>
    <x v="9"/>
    <e v="#DIV/0!"/>
    <x v="0"/>
  </r>
  <r>
    <n v="2403"/>
    <s v="GENERAL PATIENT"/>
    <d v="2022-10-26T00:00:00"/>
    <x v="1"/>
    <d v="2022-10-26T00:00:00"/>
    <d v="2022-10-26T00:00:00"/>
    <n v="22028693"/>
    <n v="2237574"/>
    <n v="1001130529"/>
    <s v="SANJAY KUMAR"/>
    <x v="41"/>
    <n v="2794"/>
    <n v="0"/>
    <n v="0"/>
    <n v="0"/>
    <x v="0"/>
    <x v="9"/>
    <e v="#DIV/0!"/>
    <x v="13"/>
  </r>
  <r>
    <n v="2404"/>
    <s v="FHPL-ACKO"/>
    <d v="2022-09-24T00:00:00"/>
    <x v="0"/>
    <d v="2022-10-04T00:00:00"/>
    <d v="2022-10-04T00:00:00"/>
    <n v="22025529"/>
    <n v="2233365"/>
    <n v="10013485503"/>
    <s v="SARLA DEVI"/>
    <x v="1303"/>
    <n v="23949"/>
    <n v="311549"/>
    <n v="2799"/>
    <n v="308750"/>
    <x v="1"/>
    <x v="2"/>
    <n v="8.9841405364806184E-3"/>
    <x v="0"/>
  </r>
  <r>
    <n v="2405"/>
    <s v="HARAYANA GOVT."/>
    <d v="2022-10-26T00:00:00"/>
    <x v="1"/>
    <d v="2022-10-26T00:00:00"/>
    <d v="2022-10-26T00:00:00"/>
    <n v="22028585"/>
    <n v="2237437"/>
    <n v="1000891454"/>
    <s v="PREM SINGH"/>
    <x v="96"/>
    <n v="0"/>
    <n v="2064"/>
    <n v="2064"/>
    <n v="0"/>
    <x v="0"/>
    <x v="6"/>
    <n v="1"/>
    <x v="13"/>
  </r>
  <r>
    <n v="2406"/>
    <s v="GENERAL PATIENT"/>
    <d v="2022-10-26T00:00:00"/>
    <x v="1"/>
    <d v="2022-10-26T00:00:00"/>
    <d v="2022-10-26T00:00:00"/>
    <n v="22028589"/>
    <n v="2237438"/>
    <n v="10013533576"/>
    <s v="G. CHANDER SHEKHAR"/>
    <x v="73"/>
    <n v="281"/>
    <n v="2563"/>
    <n v="2563"/>
    <n v="0"/>
    <x v="0"/>
    <x v="6"/>
    <n v="1"/>
    <x v="13"/>
  </r>
  <r>
    <n v="2407"/>
    <s v="DGHS (DELHI GOVT.)"/>
    <d v="2022-10-23T00:00:00"/>
    <x v="1"/>
    <d v="2022-10-27T00:00:00"/>
    <d v="2022-10-27T00:00:00"/>
    <n v="22028812"/>
    <n v="2237171"/>
    <n v="10013442613"/>
    <s v="MEHAR SINGH KAUSHIK"/>
    <x v="1304"/>
    <n v="0"/>
    <n v="67370"/>
    <n v="520"/>
    <n v="66850"/>
    <x v="1"/>
    <x v="0"/>
    <n v="7.718569096036812E-3"/>
    <x v="0"/>
  </r>
  <r>
    <n v="2408"/>
    <s v="GENERAL PATIENT"/>
    <d v="2022-10-18T00:00:00"/>
    <x v="1"/>
    <d v="2022-10-18T00:00:00"/>
    <d v="2022-10-18T00:00:00"/>
    <n v="22027520"/>
    <n v="2236435"/>
    <n v="1000891305"/>
    <s v="MRIDULA SUNEJA"/>
    <x v="73"/>
    <n v="285"/>
    <n v="2559"/>
    <n v="2559"/>
    <n v="0"/>
    <x v="0"/>
    <x v="6"/>
    <n v="1"/>
    <x v="13"/>
  </r>
  <r>
    <n v="2409"/>
    <s v="GENERAL PATIENT"/>
    <d v="2022-10-18T00:00:00"/>
    <x v="1"/>
    <d v="2022-10-18T00:00:00"/>
    <d v="2022-10-18T00:00:00"/>
    <n v="22027538"/>
    <n v="2236450"/>
    <n v="10013541160"/>
    <s v="SARJIT SINGH CHANA"/>
    <x v="45"/>
    <n v="536"/>
    <n v="4454"/>
    <n v="4454"/>
    <n v="0"/>
    <x v="0"/>
    <x v="6"/>
    <n v="1"/>
    <x v="13"/>
  </r>
  <r>
    <n v="2410"/>
    <s v=" RAKSHA TPA PVT.LTD."/>
    <d v="2022-10-18T00:00:00"/>
    <x v="1"/>
    <d v="2022-10-18T00:00:00"/>
    <d v="2022-10-18T00:00:00"/>
    <n v="22027581"/>
    <n v="2236500"/>
    <n v="1001689981"/>
    <s v="RITIKA SINGH"/>
    <x v="211"/>
    <n v="0"/>
    <n v="2000"/>
    <n v="24"/>
    <n v="1976"/>
    <x v="1"/>
    <x v="6"/>
    <n v="1.2E-2"/>
    <x v="13"/>
  </r>
  <r>
    <n v="2411"/>
    <s v=" Paramount Health Services and Insurance TPA Pvt.Ltd."/>
    <d v="2022-10-18T00:00:00"/>
    <x v="1"/>
    <d v="2022-10-18T00:00:00"/>
    <d v="2022-10-18T00:00:00"/>
    <n v="22027621"/>
    <n v="2236523"/>
    <n v="1001658205"/>
    <s v="USHA SINGH"/>
    <x v="141"/>
    <n v="0"/>
    <n v="2950"/>
    <n v="295"/>
    <n v="2655"/>
    <x v="1"/>
    <x v="6"/>
    <n v="0.1"/>
    <x v="13"/>
  </r>
  <r>
    <n v="2412"/>
    <s v=" MUNICIPAL CORPORATION OF DELHI"/>
    <d v="2022-10-28T00:00:00"/>
    <x v="1"/>
    <d v="2022-10-31T00:00:00"/>
    <d v="2022-10-31T00:00:00"/>
    <n v="22029263"/>
    <n v="2237850"/>
    <n v="1001806795"/>
    <s v="BABY OF ANJALI"/>
    <x v="1305"/>
    <n v="0"/>
    <n v="2610"/>
    <n v="2610"/>
    <n v="0"/>
    <x v="0"/>
    <x v="2"/>
    <n v="1"/>
    <x v="3"/>
  </r>
  <r>
    <n v="2413"/>
    <s v="GENERAL PATIENT"/>
    <d v="2022-10-19T00:00:00"/>
    <x v="1"/>
    <d v="2022-10-19T00:00:00"/>
    <d v="2022-10-19T00:00:00"/>
    <n v="22027710"/>
    <n v="2236608"/>
    <n v="10013533576"/>
    <s v="G. CHANDER SHEKHAR"/>
    <x v="73"/>
    <n v="285"/>
    <n v="2559"/>
    <n v="2559"/>
    <n v="0"/>
    <x v="0"/>
    <x v="6"/>
    <n v="1"/>
    <x v="13"/>
  </r>
  <r>
    <n v="2414"/>
    <s v="GOVT. OF NCT OF DELHI"/>
    <d v="2022-10-19T00:00:00"/>
    <x v="1"/>
    <d v="2022-10-19T00:00:00"/>
    <d v="2022-10-19T00:00:00"/>
    <n v="22027702"/>
    <n v="2236612"/>
    <n v="10013362937"/>
    <s v="JAYAMANTI"/>
    <x v="43"/>
    <n v="0"/>
    <n v="1610"/>
    <n v="1610"/>
    <n v="0"/>
    <x v="0"/>
    <x v="6"/>
    <n v="1"/>
    <x v="13"/>
  </r>
  <r>
    <n v="2415"/>
    <s v="CGHS"/>
    <d v="2022-10-28T00:00:00"/>
    <x v="1"/>
    <d v="2022-10-28T00:00:00"/>
    <d v="2022-10-28T00:00:00"/>
    <n v="22028922"/>
    <n v="2237807"/>
    <n v="10013519440"/>
    <s v="RAJENDER KUMAR"/>
    <x v="43"/>
    <n v="0"/>
    <n v="1610"/>
    <n v="1610"/>
    <n v="0"/>
    <x v="0"/>
    <x v="6"/>
    <n v="1"/>
    <x v="13"/>
  </r>
  <r>
    <n v="2416"/>
    <s v="PARK MED CLAIM LTD"/>
    <d v="2022-10-28T00:00:00"/>
    <x v="1"/>
    <d v="2022-10-28T00:00:00"/>
    <d v="2022-10-28T00:00:00"/>
    <n v="22028930"/>
    <n v="2237787"/>
    <n v="1001300227"/>
    <s v="BIMLA"/>
    <x v="75"/>
    <n v="0"/>
    <n v="2200"/>
    <n v="2200"/>
    <n v="0"/>
    <x v="0"/>
    <x v="12"/>
    <n v="1"/>
    <x v="13"/>
  </r>
  <r>
    <n v="2417"/>
    <s v="GENERAL PATIENT"/>
    <d v="2022-10-28T00:00:00"/>
    <x v="1"/>
    <d v="2022-10-28T00:00:00"/>
    <d v="2022-10-28T00:00:00"/>
    <n v="22028934"/>
    <n v="2237821"/>
    <n v="10013527702"/>
    <s v="RAJENDER TAYAL"/>
    <x v="45"/>
    <n v="433"/>
    <n v="4557"/>
    <n v="4557"/>
    <n v="0"/>
    <x v="0"/>
    <x v="6"/>
    <n v="1"/>
    <x v="13"/>
  </r>
  <r>
    <n v="2418"/>
    <s v="GENERAL PATIENT"/>
    <d v="2022-10-04T00:00:00"/>
    <x v="1"/>
    <d v="2022-10-06T00:00:00"/>
    <d v="2022-10-06T00:00:00"/>
    <n v="22025794"/>
    <n v="2234589"/>
    <n v="10013541561"/>
    <s v="RAKESH"/>
    <x v="1306"/>
    <n v="14121"/>
    <n v="105556"/>
    <n v="105556"/>
    <n v="0"/>
    <x v="0"/>
    <x v="1"/>
    <n v="1"/>
    <x v="4"/>
  </r>
  <r>
    <n v="2419"/>
    <s v="GENERAL PATIENT"/>
    <d v="2022-10-02T00:00:00"/>
    <x v="1"/>
    <d v="2022-10-03T00:00:00"/>
    <d v="2022-10-03T00:00:00"/>
    <n v="22025331"/>
    <n v="2234301"/>
    <n v="10013541176"/>
    <s v="SHELLY AGGARWAL"/>
    <x v="1307"/>
    <n v="5995"/>
    <n v="40697"/>
    <n v="40697"/>
    <n v="0"/>
    <x v="0"/>
    <x v="2"/>
    <n v="1"/>
    <x v="1"/>
  </r>
  <r>
    <n v="2420"/>
    <s v="MEDI ASSIST"/>
    <d v="2022-10-08T00:00:00"/>
    <x v="1"/>
    <d v="2022-10-08T00:00:00"/>
    <d v="2022-10-08T00:00:00"/>
    <n v="22026222"/>
    <n v="2235217"/>
    <n v="10013538474"/>
    <s v="RAM  VINAY MISHRA"/>
    <x v="75"/>
    <n v="0"/>
    <n v="2200"/>
    <n v="440"/>
    <n v="1760"/>
    <x v="1"/>
    <x v="12"/>
    <n v="0.2"/>
    <x v="13"/>
  </r>
  <r>
    <n v="2421"/>
    <s v="HARAYANA GOVT."/>
    <d v="2022-10-08T00:00:00"/>
    <x v="1"/>
    <d v="2022-10-08T00:00:00"/>
    <d v="2022-10-08T00:00:00"/>
    <n v="22026240"/>
    <n v="2235243"/>
    <n v="1001439428"/>
    <s v="DR.S.P.SHARMA"/>
    <x v="99"/>
    <n v="0"/>
    <n v="2758"/>
    <n v="2758"/>
    <n v="0"/>
    <x v="0"/>
    <x v="6"/>
    <n v="1"/>
    <x v="13"/>
  </r>
  <r>
    <n v="2422"/>
    <s v="STAR HEALTH CARE  (CREDIT)"/>
    <d v="2022-10-21T00:00:00"/>
    <x v="1"/>
    <d v="2022-10-23T00:00:00"/>
    <d v="2022-10-23T00:00:00"/>
    <n v="22028348"/>
    <n v="2236879"/>
    <n v="10013369779"/>
    <s v="MOHD TOHID"/>
    <x v="1308"/>
    <n v="0"/>
    <n v="74348"/>
    <n v="2188"/>
    <n v="72160"/>
    <x v="1"/>
    <x v="0"/>
    <n v="2.9429170925915963E-2"/>
    <x v="11"/>
  </r>
  <r>
    <n v="2423"/>
    <s v="CGHS"/>
    <d v="2022-10-25T00:00:00"/>
    <x v="1"/>
    <d v="2022-10-25T00:00:00"/>
    <d v="2022-10-25T00:00:00"/>
    <n v="22028530"/>
    <n v="2237287"/>
    <n v="10013487696"/>
    <s v="SANTOSH GROVER"/>
    <x v="43"/>
    <n v="0"/>
    <n v="1610"/>
    <n v="1610"/>
    <n v="0"/>
    <x v="0"/>
    <x v="6"/>
    <n v="1"/>
    <x v="13"/>
  </r>
  <r>
    <n v="2424"/>
    <s v=" CGHS CREDIT"/>
    <d v="2022-10-19T00:00:00"/>
    <x v="1"/>
    <d v="2022-10-30T00:00:00"/>
    <d v="2022-10-30T00:00:00"/>
    <n v="22029210"/>
    <n v="2236629"/>
    <n v="1001440396"/>
    <s v="RAJENDER YADAV"/>
    <x v="1309"/>
    <n v="0"/>
    <n v="116133"/>
    <n v="4015"/>
    <n v="112118"/>
    <x v="1"/>
    <x v="1"/>
    <n v="3.4572429886423325E-2"/>
    <x v="0"/>
  </r>
  <r>
    <n v="2425"/>
    <s v="GENERAL PATIENT"/>
    <d v="2022-10-31T00:00:00"/>
    <x v="1"/>
    <d v="2022-10-31T00:00:00"/>
    <d v="2022-10-31T00:00:00"/>
    <n v="22029249"/>
    <n v="2238150"/>
    <n v="1001542684"/>
    <s v="RAJEEV KUMAR GOEL"/>
    <x v="45"/>
    <n v="414"/>
    <n v="4576"/>
    <n v="4576"/>
    <n v="0"/>
    <x v="0"/>
    <x v="6"/>
    <n v="1"/>
    <x v="13"/>
  </r>
  <r>
    <n v="2426"/>
    <s v="GOVT. OF NCT OF DELHI"/>
    <d v="2022-10-31T00:00:00"/>
    <x v="1"/>
    <d v="2022-10-31T00:00:00"/>
    <d v="2022-10-31T00:00:00"/>
    <n v="22029259"/>
    <n v="2238145"/>
    <n v="10013269857"/>
    <s v="JAI BHAGWAN"/>
    <x v="43"/>
    <n v="0"/>
    <n v="1610"/>
    <n v="1610"/>
    <n v="0"/>
    <x v="0"/>
    <x v="6"/>
    <n v="1"/>
    <x v="13"/>
  </r>
  <r>
    <n v="2427"/>
    <s v="GENERAL PATIENT"/>
    <d v="2022-10-22T00:00:00"/>
    <x v="1"/>
    <d v="2022-10-22T00:00:00"/>
    <d v="2022-10-22T00:00:00"/>
    <n v="22028300"/>
    <n v="2237101"/>
    <n v="1001130529"/>
    <s v="SANJAY KUMAR"/>
    <x v="41"/>
    <n v="2794"/>
    <n v="0"/>
    <n v="0"/>
    <n v="0"/>
    <x v="0"/>
    <x v="9"/>
    <e v="#DIV/0!"/>
    <x v="13"/>
  </r>
  <r>
    <n v="2428"/>
    <s v="MEDI ASSIST"/>
    <d v="2022-10-19T00:00:00"/>
    <x v="1"/>
    <d v="2022-10-19T00:00:00"/>
    <d v="2022-10-19T00:00:00"/>
    <n v="22027787"/>
    <n v="2236677"/>
    <n v="10013538474"/>
    <s v="RAM  VINAY MISHRA"/>
    <x v="75"/>
    <n v="0"/>
    <n v="2200"/>
    <n v="440"/>
    <n v="1760"/>
    <x v="1"/>
    <x v="12"/>
    <n v="0.2"/>
    <x v="13"/>
  </r>
  <r>
    <n v="2429"/>
    <s v="GENERAL PATIENT"/>
    <d v="2022-10-20T00:00:00"/>
    <x v="1"/>
    <d v="2022-10-20T00:00:00"/>
    <d v="2022-10-20T00:00:00"/>
    <n v="22027936"/>
    <n v="2236818"/>
    <n v="10013533934"/>
    <s v="RAMESH AHUJA"/>
    <x v="45"/>
    <n v="415"/>
    <n v="4575"/>
    <n v="4575"/>
    <n v="0"/>
    <x v="0"/>
    <x v="6"/>
    <n v="1"/>
    <x v="13"/>
  </r>
  <r>
    <n v="2430"/>
    <s v="Health Insurance TPA of India Ltd."/>
    <d v="2022-10-20T00:00:00"/>
    <x v="1"/>
    <d v="2022-10-20T00:00:00"/>
    <d v="2022-10-20T00:00:00"/>
    <n v="22027944"/>
    <n v="2236811"/>
    <n v="10013353354"/>
    <s v="NARENDER CHAWLA"/>
    <x v="75"/>
    <n v="0"/>
    <n v="2200"/>
    <n v="220"/>
    <n v="1980"/>
    <x v="1"/>
    <x v="12"/>
    <n v="0.1"/>
    <x v="13"/>
  </r>
  <r>
    <n v="2431"/>
    <s v="GENERAL PATIENT"/>
    <d v="2022-10-28T00:00:00"/>
    <x v="1"/>
    <d v="2022-10-28T00:00:00"/>
    <d v="2022-10-28T00:00:00"/>
    <n v="22028862"/>
    <n v="2237757"/>
    <n v="1001427466"/>
    <s v="DEVENDER GOYAL"/>
    <x v="127"/>
    <n v="2680"/>
    <n v="0"/>
    <n v="0"/>
    <n v="0"/>
    <x v="0"/>
    <x v="9"/>
    <e v="#DIV/0!"/>
    <x v="13"/>
  </r>
  <r>
    <n v="2432"/>
    <s v="GENERAL PATIENT"/>
    <d v="2022-10-17T00:00:00"/>
    <x v="1"/>
    <d v="2022-10-17T00:00:00"/>
    <d v="2022-10-17T00:00:00"/>
    <n v="22027438"/>
    <n v="2236351"/>
    <n v="10013526375"/>
    <s v="BIRBHAN GARG"/>
    <x v="45"/>
    <n v="415"/>
    <n v="4575"/>
    <n v="4575"/>
    <n v="0"/>
    <x v="0"/>
    <x v="6"/>
    <n v="1"/>
    <x v="13"/>
  </r>
  <r>
    <n v="2433"/>
    <s v="GENERAL PATIENT"/>
    <d v="2022-10-29T00:00:00"/>
    <x v="1"/>
    <d v="2022-10-29T00:00:00"/>
    <d v="2022-10-29T00:00:00"/>
    <n v="22028994"/>
    <n v="2237901"/>
    <n v="1000949243"/>
    <s v="NEELAM"/>
    <x v="16"/>
    <n v="0"/>
    <n v="0"/>
    <n v="0"/>
    <n v="0"/>
    <x v="0"/>
    <x v="1"/>
    <e v="#DIV/0!"/>
    <x v="0"/>
  </r>
  <r>
    <n v="2434"/>
    <s v=" STAR HEALTH TPA"/>
    <d v="2022-10-19T00:00:00"/>
    <x v="1"/>
    <d v="2022-10-19T00:00:00"/>
    <d v="2022-10-19T00:00:00"/>
    <n v="22027766"/>
    <n v="2236615"/>
    <n v="1001805198"/>
    <s v="ABHISHEK GUPTA"/>
    <x v="16"/>
    <n v="0"/>
    <n v="0"/>
    <n v="0"/>
    <n v="0"/>
    <x v="0"/>
    <x v="1"/>
    <e v="#DIV/0!"/>
    <x v="0"/>
  </r>
  <r>
    <n v="2435"/>
    <s v="STAR HEALTH CARE  (CREDIT)"/>
    <d v="2022-10-26T00:00:00"/>
    <x v="1"/>
    <d v="2022-10-28T00:00:00"/>
    <d v="2022-10-28T00:00:00"/>
    <n v="22028950"/>
    <n v="2237580"/>
    <n v="10013544647"/>
    <s v="RAHUL BANSAL"/>
    <x v="1310"/>
    <n v="7654"/>
    <n v="53680"/>
    <n v="25000"/>
    <n v="28680"/>
    <x v="1"/>
    <x v="2"/>
    <n v="0.46572280178837555"/>
    <x v="0"/>
  </r>
  <r>
    <n v="2436"/>
    <s v="GENERAL PATIENT"/>
    <d v="2022-10-17T00:00:00"/>
    <x v="1"/>
    <d v="2022-10-17T00:00:00"/>
    <d v="2022-10-17T00:00:00"/>
    <n v="22027443"/>
    <n v="2236308"/>
    <n v="1001168447"/>
    <s v="JAMNA"/>
    <x v="1311"/>
    <n v="41064"/>
    <n v="0"/>
    <n v="0"/>
    <n v="0"/>
    <x v="0"/>
    <x v="9"/>
    <e v="#DIV/0!"/>
    <x v="1"/>
  </r>
  <r>
    <n v="2437"/>
    <s v=" CGHS CREDIT"/>
    <d v="2022-10-05T00:00:00"/>
    <x v="1"/>
    <d v="2022-10-05T00:00:00"/>
    <d v="2022-10-05T00:00:00"/>
    <n v="22025731"/>
    <n v="2234723"/>
    <n v="1001736024"/>
    <s v="RADHIKA"/>
    <x v="43"/>
    <n v="0"/>
    <n v="1610"/>
    <n v="0"/>
    <n v="1610"/>
    <x v="1"/>
    <x v="6"/>
    <n v="0"/>
    <x v="13"/>
  </r>
  <r>
    <n v="2438"/>
    <s v="Delhi Arogya kosh"/>
    <d v="2022-10-10T00:00:00"/>
    <x v="1"/>
    <d v="2022-10-10T00:00:00"/>
    <d v="2022-10-10T00:00:00"/>
    <n v="22026468"/>
    <n v="2235422"/>
    <n v="1001208331"/>
    <s v="PREM"/>
    <x v="243"/>
    <n v="0"/>
    <n v="1274"/>
    <n v="0"/>
    <n v="1274"/>
    <x v="1"/>
    <x v="6"/>
    <n v="0"/>
    <x v="13"/>
  </r>
  <r>
    <n v="2439"/>
    <s v="Safeway Mediclaim Services Pvt. Ltd."/>
    <d v="2022-10-21T00:00:00"/>
    <x v="1"/>
    <d v="2022-10-21T00:00:00"/>
    <d v="2022-10-21T00:00:00"/>
    <n v="22027966"/>
    <n v="2236865"/>
    <n v="1000992104"/>
    <s v="SARITA GOEL"/>
    <x v="75"/>
    <n v="0"/>
    <n v="2200"/>
    <n v="0"/>
    <n v="2200"/>
    <x v="1"/>
    <x v="12"/>
    <n v="0"/>
    <x v="13"/>
  </r>
  <r>
    <n v="2440"/>
    <s v="RAKSHA (TPA)"/>
    <d v="2022-10-13T00:00:00"/>
    <x v="1"/>
    <d v="2022-10-13T00:00:00"/>
    <d v="2022-10-13T00:00:00"/>
    <n v="22026828"/>
    <n v="2235806"/>
    <n v="10013497993"/>
    <s v="KESHAV BIYANI"/>
    <x v="75"/>
    <n v="0"/>
    <n v="2200"/>
    <n v="0"/>
    <n v="2200"/>
    <x v="1"/>
    <x v="12"/>
    <n v="0"/>
    <x v="13"/>
  </r>
  <r>
    <n v="2441"/>
    <s v="Delhi Arogya kosh"/>
    <d v="2022-10-05T00:00:00"/>
    <x v="1"/>
    <d v="2022-10-05T00:00:00"/>
    <d v="2022-10-05T00:00:00"/>
    <n v="22025782"/>
    <n v="2234789"/>
    <n v="10013370253"/>
    <s v="USHA RANI"/>
    <x v="243"/>
    <n v="0"/>
    <n v="1274"/>
    <n v="0"/>
    <n v="1274"/>
    <x v="1"/>
    <x v="6"/>
    <n v="0"/>
    <x v="13"/>
  </r>
  <r>
    <n v="2442"/>
    <s v="Delhi Arogya kosh"/>
    <d v="2022-10-22T00:00:00"/>
    <x v="1"/>
    <d v="2022-10-22T00:00:00"/>
    <d v="2022-10-22T00:00:00"/>
    <n v="22028293"/>
    <n v="2237091"/>
    <n v="10013451090"/>
    <s v="MANJU SUNDRIYAL"/>
    <x v="243"/>
    <n v="0"/>
    <n v="1274"/>
    <n v="0"/>
    <n v="1274"/>
    <x v="1"/>
    <x v="6"/>
    <n v="0"/>
    <x v="13"/>
  </r>
  <r>
    <n v="2443"/>
    <s v="GOVT. OF NCT OF DELHI"/>
    <d v="2022-10-05T00:00:00"/>
    <x v="1"/>
    <d v="2022-10-05T00:00:00"/>
    <d v="2022-10-05T00:00:00"/>
    <n v="22025711"/>
    <n v="2234709"/>
    <n v="10013502614"/>
    <s v="RAM SAHAI"/>
    <x v="43"/>
    <n v="0"/>
    <n v="1610"/>
    <n v="0"/>
    <n v="1610"/>
    <x v="1"/>
    <x v="6"/>
    <n v="0"/>
    <x v="13"/>
  </r>
  <r>
    <n v="2444"/>
    <s v=" DAK DIALYSIS"/>
    <d v="2022-10-17T00:00:00"/>
    <x v="1"/>
    <d v="2022-10-17T00:00:00"/>
    <d v="2022-10-17T00:00:00"/>
    <n v="22027485"/>
    <n v="2236389"/>
    <n v="1001647517"/>
    <s v="RAJENDER PANDAY"/>
    <x v="243"/>
    <n v="0"/>
    <n v="1274"/>
    <n v="0"/>
    <n v="1274"/>
    <x v="1"/>
    <x v="6"/>
    <n v="0"/>
    <x v="13"/>
  </r>
  <r>
    <n v="2445"/>
    <s v="DGHS (DELHI GOVT.)"/>
    <d v="2022-10-14T00:00:00"/>
    <x v="1"/>
    <d v="2022-10-15T00:00:00"/>
    <d v="2022-10-15T00:00:00"/>
    <n v="22027265"/>
    <n v="2235978"/>
    <n v="10013543012"/>
    <s v="VINOD KUMAR"/>
    <x v="1312"/>
    <n v="0"/>
    <n v="7951"/>
    <n v="0"/>
    <n v="7951"/>
    <x v="1"/>
    <x v="2"/>
    <n v="0"/>
    <x v="2"/>
  </r>
  <r>
    <n v="2446"/>
    <s v="Delhi Arogya kosh"/>
    <d v="2022-10-19T00:00:00"/>
    <x v="1"/>
    <d v="2022-10-19T00:00:00"/>
    <d v="2022-10-19T00:00:00"/>
    <n v="22027783"/>
    <n v="2236666"/>
    <n v="10013276269"/>
    <s v="DAYA SHANKAR"/>
    <x v="243"/>
    <n v="0"/>
    <n v="1274"/>
    <n v="0"/>
    <n v="1274"/>
    <x v="1"/>
    <x v="6"/>
    <n v="0"/>
    <x v="13"/>
  </r>
  <r>
    <n v="2447"/>
    <s v="HDFC ERGO General Insurance Co. Ltd."/>
    <d v="2022-10-14T00:00:00"/>
    <x v="1"/>
    <d v="2022-10-14T00:00:00"/>
    <d v="2022-10-14T00:00:00"/>
    <n v="22026965"/>
    <n v="2235915"/>
    <n v="10013477952"/>
    <s v="NEEMA GOEL"/>
    <x v="254"/>
    <n v="0"/>
    <n v="2240"/>
    <n v="0"/>
    <n v="2240"/>
    <x v="1"/>
    <x v="6"/>
    <n v="0"/>
    <x v="13"/>
  </r>
  <r>
    <n v="2448"/>
    <s v="Delhi Arogya kosh"/>
    <d v="2022-10-03T00:00:00"/>
    <x v="1"/>
    <d v="2022-10-03T00:00:00"/>
    <d v="2022-10-03T00:00:00"/>
    <n v="22025460"/>
    <n v="2234478"/>
    <n v="1001092597"/>
    <s v="RAVI"/>
    <x v="243"/>
    <n v="0"/>
    <n v="1274"/>
    <n v="0"/>
    <n v="1274"/>
    <x v="1"/>
    <x v="6"/>
    <n v="0"/>
    <x v="13"/>
  </r>
  <r>
    <n v="2449"/>
    <s v="CGHS ( CREDIT)"/>
    <d v="2022-10-23T00:00:00"/>
    <x v="1"/>
    <d v="2022-10-23T00:00:00"/>
    <d v="2022-10-23T00:00:00"/>
    <n v="22028398"/>
    <n v="2237184"/>
    <n v="10013442733"/>
    <s v="SAVITRI GOHLAN"/>
    <x v="43"/>
    <n v="0"/>
    <n v="1610"/>
    <n v="0"/>
    <n v="1610"/>
    <x v="1"/>
    <x v="6"/>
    <n v="0"/>
    <x v="13"/>
  </r>
  <r>
    <n v="2450"/>
    <s v="CGHS ( CREDIT)"/>
    <d v="2022-10-20T00:00:00"/>
    <x v="1"/>
    <d v="2022-10-20T00:00:00"/>
    <d v="2022-10-20T00:00:00"/>
    <n v="22027838"/>
    <n v="2236750"/>
    <n v="1001531709"/>
    <s v="TASVIR SINGH"/>
    <x v="43"/>
    <n v="0"/>
    <n v="1610"/>
    <n v="0"/>
    <n v="1610"/>
    <x v="1"/>
    <x v="6"/>
    <n v="0"/>
    <x v="13"/>
  </r>
  <r>
    <n v="2451"/>
    <s v=" DAK DIALYSIS"/>
    <d v="2022-10-03T00:00:00"/>
    <x v="1"/>
    <d v="2022-10-03T00:00:00"/>
    <d v="2022-10-03T00:00:00"/>
    <n v="22025338"/>
    <n v="2234363"/>
    <n v="1001678600"/>
    <s v="RAKESH THAKUR"/>
    <x v="243"/>
    <n v="0"/>
    <n v="1274"/>
    <n v="0"/>
    <n v="1274"/>
    <x v="1"/>
    <x v="6"/>
    <n v="0"/>
    <x v="13"/>
  </r>
  <r>
    <n v="2452"/>
    <s v="HDFC ERGO General Insurance Co. Ltd."/>
    <d v="2022-10-07T00:00:00"/>
    <x v="1"/>
    <d v="2022-10-07T00:00:00"/>
    <d v="2022-10-07T00:00:00"/>
    <n v="22025927"/>
    <n v="2234993"/>
    <n v="10013477952"/>
    <s v="NEEMA GOEL"/>
    <x v="254"/>
    <n v="0"/>
    <n v="2240"/>
    <n v="0"/>
    <n v="2240"/>
    <x v="1"/>
    <x v="6"/>
    <n v="0"/>
    <x v="13"/>
  </r>
  <r>
    <n v="2453"/>
    <s v=" CGHS CREDIT"/>
    <d v="2022-10-21T00:00:00"/>
    <x v="1"/>
    <d v="2022-10-21T00:00:00"/>
    <d v="2022-10-21T00:00:00"/>
    <n v="22028102"/>
    <n v="2236951"/>
    <n v="1001803044"/>
    <s v="GOVIND SINGH"/>
    <x v="43"/>
    <n v="0"/>
    <n v="1610"/>
    <n v="0"/>
    <n v="1610"/>
    <x v="1"/>
    <x v="6"/>
    <n v="0"/>
    <x v="13"/>
  </r>
  <r>
    <n v="2454"/>
    <s v="Delhi Arogya kosh"/>
    <d v="2022-10-22T00:00:00"/>
    <x v="1"/>
    <d v="2022-10-22T00:00:00"/>
    <d v="2022-10-22T00:00:00"/>
    <n v="22028291"/>
    <n v="2237088"/>
    <n v="10013370253"/>
    <s v="USHA RANI"/>
    <x v="243"/>
    <n v="0"/>
    <n v="1274"/>
    <n v="0"/>
    <n v="1274"/>
    <x v="1"/>
    <x v="6"/>
    <n v="0"/>
    <x v="13"/>
  </r>
  <r>
    <n v="2455"/>
    <s v="Delhi Arogya kosh"/>
    <d v="2022-10-28T00:00:00"/>
    <x v="1"/>
    <d v="2022-10-28T00:00:00"/>
    <d v="2022-10-28T00:00:00"/>
    <n v="22028974"/>
    <n v="2237864"/>
    <n v="1001397167"/>
    <s v="SUNIL KUMAR AGGARWAL"/>
    <x v="243"/>
    <n v="0"/>
    <n v="1274"/>
    <n v="0"/>
    <n v="1274"/>
    <x v="1"/>
    <x v="6"/>
    <n v="0"/>
    <x v="13"/>
  </r>
  <r>
    <n v="2456"/>
    <s v="Health Insurance TPA of India Ltd."/>
    <d v="2022-10-21T00:00:00"/>
    <x v="1"/>
    <d v="2022-10-21T00:00:00"/>
    <d v="2022-10-21T00:00:00"/>
    <n v="22028047"/>
    <n v="2236917"/>
    <n v="1000947591"/>
    <s v="KULBHUSHAN AGGARWAL"/>
    <x v="75"/>
    <n v="0"/>
    <n v="2200"/>
    <n v="0"/>
    <n v="2200"/>
    <x v="1"/>
    <x v="12"/>
    <n v="0"/>
    <x v="13"/>
  </r>
  <r>
    <n v="2457"/>
    <s v="DGHS (DELHI GOVT.)"/>
    <d v="2022-10-27T00:00:00"/>
    <x v="1"/>
    <d v="2022-10-29T00:00:00"/>
    <d v="2022-10-29T00:00:00"/>
    <n v="22029076"/>
    <n v="2237649"/>
    <n v="1001281827"/>
    <s v="BHATERI DEVI"/>
    <x v="1313"/>
    <n v="0"/>
    <n v="22393"/>
    <n v="0"/>
    <n v="22393"/>
    <x v="1"/>
    <x v="1"/>
    <n v="0"/>
    <x v="0"/>
  </r>
  <r>
    <n v="2458"/>
    <s v=" DAK DIALYSIS"/>
    <d v="2022-10-11T00:00:00"/>
    <x v="1"/>
    <d v="2022-10-11T00:00:00"/>
    <d v="2022-10-11T00:00:00"/>
    <n v="22026500"/>
    <n v="2235487"/>
    <n v="1001751950"/>
    <s v="GITANJALI MOHAPATRA"/>
    <x v="243"/>
    <n v="0"/>
    <n v="1274"/>
    <n v="0"/>
    <n v="1274"/>
    <x v="1"/>
    <x v="6"/>
    <n v="0"/>
    <x v="13"/>
  </r>
  <r>
    <n v="2459"/>
    <s v="RAKSHA (TPA)"/>
    <d v="2022-10-20T00:00:00"/>
    <x v="1"/>
    <d v="2022-10-20T00:00:00"/>
    <d v="2022-10-20T00:00:00"/>
    <n v="22027833"/>
    <n v="2236749"/>
    <n v="10013497993"/>
    <s v="KESHAV BIYANI"/>
    <x v="75"/>
    <n v="0"/>
    <n v="2200"/>
    <n v="0"/>
    <n v="2200"/>
    <x v="1"/>
    <x v="12"/>
    <n v="0"/>
    <x v="13"/>
  </r>
  <r>
    <n v="2460"/>
    <s v="ECHS"/>
    <d v="2022-10-15T00:00:00"/>
    <x v="1"/>
    <d v="2022-10-20T00:00:00"/>
    <d v="2022-10-20T00:00:00"/>
    <n v="22027870"/>
    <n v="2236204"/>
    <n v="1000903089"/>
    <s v="SUBE SINGH"/>
    <x v="1314"/>
    <n v="0"/>
    <n v="52157"/>
    <n v="0"/>
    <n v="52157"/>
    <x v="1"/>
    <x v="1"/>
    <n v="0"/>
    <x v="12"/>
  </r>
  <r>
    <n v="2461"/>
    <s v="Delhi Arogya kosh"/>
    <d v="2022-10-03T00:00:00"/>
    <x v="1"/>
    <d v="2022-10-05T00:00:00"/>
    <d v="2022-10-05T00:00:00"/>
    <n v="22025715"/>
    <n v="2234464"/>
    <n v="10013541345"/>
    <s v="JAGBIR SINGH"/>
    <x v="821"/>
    <n v="0"/>
    <n v="130994"/>
    <n v="0"/>
    <n v="130994"/>
    <x v="1"/>
    <x v="1"/>
    <n v="0"/>
    <x v="4"/>
  </r>
  <r>
    <n v="2462"/>
    <s v="Delhi Arogya kosh"/>
    <d v="2022-10-03T00:00:00"/>
    <x v="1"/>
    <d v="2022-10-03T00:00:00"/>
    <d v="2022-10-03T00:00:00"/>
    <n v="22025453"/>
    <n v="2234455"/>
    <n v="1000891592"/>
    <s v="MANOJ"/>
    <x v="243"/>
    <n v="0"/>
    <n v="1274"/>
    <n v="0"/>
    <n v="1274"/>
    <x v="1"/>
    <x v="6"/>
    <n v="0"/>
    <x v="13"/>
  </r>
  <r>
    <n v="2463"/>
    <s v="Delhi Arogya kosh"/>
    <d v="2022-10-17T00:00:00"/>
    <x v="1"/>
    <d v="2022-10-17T00:00:00"/>
    <d v="2022-10-17T00:00:00"/>
    <n v="22027502"/>
    <n v="2236390"/>
    <n v="10013299539"/>
    <s v="SATISH MALIK"/>
    <x v="243"/>
    <n v="0"/>
    <n v="1274"/>
    <n v="0"/>
    <n v="1274"/>
    <x v="1"/>
    <x v="6"/>
    <n v="0"/>
    <x v="13"/>
  </r>
  <r>
    <n v="2464"/>
    <s v="DGHS (DELHI GOVT.)"/>
    <d v="2022-10-06T00:00:00"/>
    <x v="1"/>
    <d v="2022-10-10T00:00:00"/>
    <d v="2022-10-10T00:00:00"/>
    <n v="22026373"/>
    <n v="2234929"/>
    <n v="10013484911"/>
    <s v="DIVYA SHARMA"/>
    <x v="1315"/>
    <n v="0"/>
    <n v="14281"/>
    <n v="0"/>
    <n v="14281"/>
    <x v="1"/>
    <x v="1"/>
    <n v="0"/>
    <x v="9"/>
  </r>
  <r>
    <n v="2465"/>
    <s v="Delhi Arogya kosh"/>
    <d v="2022-10-31T00:00:00"/>
    <x v="1"/>
    <d v="2022-10-31T00:00:00"/>
    <d v="2022-10-31T00:00:00"/>
    <n v="22029381"/>
    <n v="2238257"/>
    <n v="10013513950"/>
    <s v="RAJENDRA PRASAD AGARWAL"/>
    <x v="243"/>
    <n v="0"/>
    <n v="1274"/>
    <n v="0"/>
    <n v="1274"/>
    <x v="1"/>
    <x v="6"/>
    <n v="0"/>
    <x v="13"/>
  </r>
  <r>
    <n v="2466"/>
    <s v=" CGHS CREDIT"/>
    <d v="2022-10-03T00:00:00"/>
    <x v="1"/>
    <d v="2022-10-03T00:00:00"/>
    <d v="2022-10-03T00:00:00"/>
    <n v="22025423"/>
    <n v="2234427"/>
    <n v="1001692673"/>
    <s v="AMRIT PAL SHUKLA"/>
    <x v="43"/>
    <n v="0"/>
    <n v="1610"/>
    <n v="0"/>
    <n v="1610"/>
    <x v="1"/>
    <x v="6"/>
    <n v="0"/>
    <x v="13"/>
  </r>
  <r>
    <n v="2467"/>
    <s v=" DGEHS (CREDIT)"/>
    <d v="2022-10-25T00:00:00"/>
    <x v="1"/>
    <d v="2022-10-25T00:00:00"/>
    <d v="2022-10-25T00:00:00"/>
    <n v="22028519"/>
    <n v="2237321"/>
    <n v="1001756832"/>
    <s v="VIJAY DEVI"/>
    <x v="43"/>
    <n v="0"/>
    <n v="1610"/>
    <n v="0"/>
    <n v="1610"/>
    <x v="1"/>
    <x v="6"/>
    <n v="0"/>
    <x v="13"/>
  </r>
  <r>
    <n v="2468"/>
    <s v="Delhi Arogya kosh"/>
    <d v="2022-10-04T00:00:00"/>
    <x v="1"/>
    <d v="2022-10-04T00:00:00"/>
    <d v="2022-10-04T00:00:00"/>
    <n v="22025629"/>
    <n v="2234635"/>
    <n v="1000891355"/>
    <s v="PRAHLAD"/>
    <x v="243"/>
    <n v="0"/>
    <n v="1274"/>
    <n v="0"/>
    <n v="1274"/>
    <x v="1"/>
    <x v="6"/>
    <n v="0"/>
    <x v="13"/>
  </r>
  <r>
    <n v="2469"/>
    <s v="Safeway Mediclaim Services Pvt. Ltd."/>
    <d v="2022-10-11T00:00:00"/>
    <x v="1"/>
    <d v="2022-10-11T00:00:00"/>
    <d v="2022-10-11T00:00:00"/>
    <n v="22026565"/>
    <n v="2235494"/>
    <n v="1000992104"/>
    <s v="SARITA GOEL"/>
    <x v="75"/>
    <n v="0"/>
    <n v="2200"/>
    <n v="0"/>
    <n v="2200"/>
    <x v="1"/>
    <x v="12"/>
    <n v="0"/>
    <x v="13"/>
  </r>
  <r>
    <n v="2470"/>
    <s v=" DGEHS (CREDIT)"/>
    <d v="2022-10-06T00:00:00"/>
    <x v="1"/>
    <d v="2022-10-06T00:00:00"/>
    <d v="2022-10-06T00:00:00"/>
    <n v="22025812"/>
    <n v="2234823"/>
    <n v="1001778288"/>
    <s v="MANNU PANT"/>
    <x v="43"/>
    <n v="0"/>
    <n v="1610"/>
    <n v="0"/>
    <n v="1610"/>
    <x v="1"/>
    <x v="6"/>
    <n v="0"/>
    <x v="13"/>
  </r>
  <r>
    <n v="2471"/>
    <s v="Delhi Arogya kosh"/>
    <d v="2022-10-29T00:00:00"/>
    <x v="1"/>
    <d v="2022-10-29T00:00:00"/>
    <d v="2022-10-29T00:00:00"/>
    <n v="22029161"/>
    <n v="2238019"/>
    <n v="10013387247"/>
    <s v="JANAKI PRASAD"/>
    <x v="243"/>
    <n v="0"/>
    <n v="1274"/>
    <n v="0"/>
    <n v="1274"/>
    <x v="1"/>
    <x v="6"/>
    <n v="0"/>
    <x v="13"/>
  </r>
  <r>
    <n v="2472"/>
    <s v="Delhi Arogya kosh"/>
    <d v="2022-10-31T00:00:00"/>
    <x v="1"/>
    <d v="2022-10-31T00:00:00"/>
    <d v="2022-10-31T00:00:00"/>
    <n v="22029400"/>
    <n v="2238265"/>
    <n v="1001092597"/>
    <s v="RAVI"/>
    <x v="243"/>
    <n v="0"/>
    <n v="1274"/>
    <n v="0"/>
    <n v="1274"/>
    <x v="1"/>
    <x v="6"/>
    <n v="0"/>
    <x v="13"/>
  </r>
  <r>
    <n v="2473"/>
    <s v=" Council of Scientific and Industrial Research (CSIR)"/>
    <d v="2022-10-17T00:00:00"/>
    <x v="1"/>
    <d v="2022-10-17T00:00:00"/>
    <d v="2022-10-17T00:00:00"/>
    <n v="22027456"/>
    <n v="2236340"/>
    <n v="1001729640"/>
    <s v="BRIJ MOHAN"/>
    <x v="43"/>
    <n v="0"/>
    <n v="1610"/>
    <n v="0"/>
    <n v="1610"/>
    <x v="1"/>
    <x v="6"/>
    <n v="0"/>
    <x v="13"/>
  </r>
  <r>
    <n v="2474"/>
    <s v=" DAK DIALYSIS"/>
    <d v="2022-10-28T00:00:00"/>
    <x v="1"/>
    <d v="2022-10-28T00:00:00"/>
    <d v="2022-10-28T00:00:00"/>
    <n v="22028861"/>
    <n v="2237747"/>
    <n v="1001751950"/>
    <s v="GITANJALI MOHAPATRA"/>
    <x v="243"/>
    <n v="0"/>
    <n v="1274"/>
    <n v="0"/>
    <n v="1274"/>
    <x v="1"/>
    <x v="6"/>
    <n v="0"/>
    <x v="13"/>
  </r>
  <r>
    <n v="2475"/>
    <s v=" CGHS CREDIT"/>
    <d v="2022-10-13T00:00:00"/>
    <x v="1"/>
    <d v="2022-10-13T00:00:00"/>
    <d v="2022-10-13T00:00:00"/>
    <n v="22026928"/>
    <n v="2235850"/>
    <n v="1001772963"/>
    <s v="RAVINDER VERMA"/>
    <x v="43"/>
    <n v="0"/>
    <n v="1610"/>
    <n v="0"/>
    <n v="1610"/>
    <x v="1"/>
    <x v="6"/>
    <n v="0"/>
    <x v="13"/>
  </r>
  <r>
    <n v="2476"/>
    <s v=" DAK DIALYSIS"/>
    <d v="2022-10-20T00:00:00"/>
    <x v="1"/>
    <d v="2022-10-20T00:00:00"/>
    <d v="2022-10-20T00:00:00"/>
    <n v="22027933"/>
    <n v="2236768"/>
    <n v="1001657236"/>
    <s v="RAM KUMAR SINGH"/>
    <x v="243"/>
    <n v="0"/>
    <n v="1274"/>
    <n v="0"/>
    <n v="1274"/>
    <x v="1"/>
    <x v="6"/>
    <n v="0"/>
    <x v="13"/>
  </r>
  <r>
    <n v="2477"/>
    <s v="Delhi Arogya kosh"/>
    <d v="2022-10-29T00:00:00"/>
    <x v="1"/>
    <d v="2022-10-29T00:00:00"/>
    <d v="2022-10-29T00:00:00"/>
    <n v="22029020"/>
    <n v="2237926"/>
    <n v="10013436995"/>
    <s v="URVASHI"/>
    <x v="243"/>
    <n v="0"/>
    <n v="1274"/>
    <n v="0"/>
    <n v="1274"/>
    <x v="1"/>
    <x v="6"/>
    <n v="0"/>
    <x v="13"/>
  </r>
  <r>
    <n v="2478"/>
    <s v=" CGHS CREDIT"/>
    <d v="2022-10-14T00:00:00"/>
    <x v="1"/>
    <d v="2022-10-14T00:00:00"/>
    <d v="2022-10-14T00:00:00"/>
    <n v="22026978"/>
    <n v="2235917"/>
    <n v="10013503569"/>
    <s v="SURENDER KUMAR"/>
    <x v="43"/>
    <n v="0"/>
    <n v="1610"/>
    <n v="0"/>
    <n v="1610"/>
    <x v="1"/>
    <x v="6"/>
    <n v="0"/>
    <x v="13"/>
  </r>
  <r>
    <n v="2479"/>
    <s v="Delhi Arogya kosh"/>
    <d v="2022-10-18T00:00:00"/>
    <x v="1"/>
    <d v="2022-10-18T00:00:00"/>
    <d v="2022-10-18T00:00:00"/>
    <n v="22027632"/>
    <n v="2236530"/>
    <n v="1001074266"/>
    <s v="VINAY JAIN"/>
    <x v="243"/>
    <n v="0"/>
    <n v="1274"/>
    <n v="0"/>
    <n v="1274"/>
    <x v="1"/>
    <x v="6"/>
    <n v="0"/>
    <x v="13"/>
  </r>
  <r>
    <n v="2480"/>
    <s v="Health Insurance TPA of India Ltd."/>
    <d v="2022-10-12T00:00:00"/>
    <x v="1"/>
    <d v="2022-10-12T00:00:00"/>
    <d v="2022-10-12T00:00:00"/>
    <n v="22026782"/>
    <n v="2235736"/>
    <n v="1001590721"/>
    <s v="MAMTA"/>
    <x v="75"/>
    <n v="0"/>
    <n v="2200"/>
    <n v="0"/>
    <n v="2200"/>
    <x v="1"/>
    <x v="12"/>
    <n v="0"/>
    <x v="13"/>
  </r>
  <r>
    <n v="2481"/>
    <s v=" DAK DIALYSIS"/>
    <d v="2022-10-05T00:00:00"/>
    <x v="1"/>
    <d v="2022-10-05T00:00:00"/>
    <d v="2022-10-05T00:00:00"/>
    <n v="22025659"/>
    <n v="2234700"/>
    <n v="1001680001"/>
    <s v="BIPIN KUMAR"/>
    <x v="243"/>
    <n v="0"/>
    <n v="1274"/>
    <n v="0"/>
    <n v="1274"/>
    <x v="1"/>
    <x v="6"/>
    <n v="0"/>
    <x v="13"/>
  </r>
  <r>
    <n v="2482"/>
    <s v="Delhi Arogya kosh"/>
    <d v="2022-10-14T00:00:00"/>
    <x v="1"/>
    <d v="2022-10-14T00:00:00"/>
    <d v="2022-10-14T00:00:00"/>
    <n v="22027113"/>
    <n v="2236033"/>
    <n v="1000891355"/>
    <s v="PRAHLAD"/>
    <x v="243"/>
    <n v="0"/>
    <n v="1274"/>
    <n v="0"/>
    <n v="1274"/>
    <x v="1"/>
    <x v="6"/>
    <n v="0"/>
    <x v="13"/>
  </r>
  <r>
    <n v="2483"/>
    <s v="CGHS ( CREDIT)"/>
    <d v="2022-10-01T00:00:00"/>
    <x v="1"/>
    <d v="2022-10-01T00:00:00"/>
    <d v="2022-10-01T00:00:00"/>
    <n v="22025102"/>
    <n v="2234163"/>
    <n v="10013401847"/>
    <s v="TIRLOCHAN SINGH"/>
    <x v="43"/>
    <n v="0"/>
    <n v="1610"/>
    <n v="0"/>
    <n v="1610"/>
    <x v="1"/>
    <x v="6"/>
    <n v="0"/>
    <x v="13"/>
  </r>
  <r>
    <n v="2484"/>
    <s v=" DAK MLC"/>
    <d v="2022-10-27T00:00:00"/>
    <x v="1"/>
    <d v="2022-10-29T00:00:00"/>
    <d v="2022-10-29T00:00:00"/>
    <n v="22029089"/>
    <n v="2237728"/>
    <n v="1001806663"/>
    <s v="RITU"/>
    <x v="1316"/>
    <n v="0"/>
    <n v="10247"/>
    <n v="0"/>
    <n v="10247"/>
    <x v="1"/>
    <x v="1"/>
    <n v="0"/>
    <x v="2"/>
  </r>
  <r>
    <n v="2485"/>
    <s v="HEALTH INDIA"/>
    <d v="2022-10-01T00:00:00"/>
    <x v="1"/>
    <d v="2022-10-01T00:00:00"/>
    <d v="2022-10-01T00:00:00"/>
    <n v="22025263"/>
    <n v="2234273"/>
    <n v="1001456152"/>
    <s v="VIRENDER KUMAR ATRI"/>
    <x v="75"/>
    <n v="0"/>
    <n v="2200"/>
    <n v="0"/>
    <n v="2200"/>
    <x v="1"/>
    <x v="12"/>
    <n v="0"/>
    <x v="13"/>
  </r>
  <r>
    <n v="2486"/>
    <s v="NIVA BUPA"/>
    <d v="2022-10-15T00:00:00"/>
    <x v="1"/>
    <d v="2022-10-15T00:00:00"/>
    <d v="2022-10-15T00:00:00"/>
    <n v="22027149"/>
    <n v="2236092"/>
    <n v="10013484190"/>
    <s v="JULI SINGH"/>
    <x v="254"/>
    <n v="0"/>
    <n v="2240"/>
    <n v="0"/>
    <n v="2240"/>
    <x v="1"/>
    <x v="6"/>
    <n v="0"/>
    <x v="13"/>
  </r>
  <r>
    <n v="2487"/>
    <s v=" ECHS CREDIT"/>
    <d v="2022-10-13T00:00:00"/>
    <x v="1"/>
    <d v="2022-10-13T00:00:00"/>
    <d v="2022-10-13T00:00:00"/>
    <n v="22026830"/>
    <n v="2235813"/>
    <n v="1001781083"/>
    <s v="MITHILESH KUMAR SRIVASTAVA"/>
    <x v="43"/>
    <n v="0"/>
    <n v="1610"/>
    <n v="0"/>
    <n v="1610"/>
    <x v="1"/>
    <x v="6"/>
    <n v="0"/>
    <x v="13"/>
  </r>
  <r>
    <n v="2488"/>
    <s v="Delhi Arogya kosh"/>
    <d v="2022-10-15T00:00:00"/>
    <x v="1"/>
    <d v="2022-10-15T00:00:00"/>
    <d v="2022-10-15T00:00:00"/>
    <n v="22027267"/>
    <n v="2236194"/>
    <n v="1000857532"/>
    <s v="HARI BABU"/>
    <x v="243"/>
    <n v="0"/>
    <n v="1274"/>
    <n v="0"/>
    <n v="1274"/>
    <x v="1"/>
    <x v="6"/>
    <n v="0"/>
    <x v="13"/>
  </r>
  <r>
    <n v="2489"/>
    <s v="CGHS ( CREDIT)"/>
    <d v="2022-10-22T00:00:00"/>
    <x v="1"/>
    <d v="2022-10-22T00:00:00"/>
    <d v="2022-10-22T00:00:00"/>
    <n v="22028178"/>
    <n v="2237011"/>
    <n v="10013373132"/>
    <s v="DEVI RANI"/>
    <x v="43"/>
    <n v="0"/>
    <n v="1610"/>
    <n v="0"/>
    <n v="1610"/>
    <x v="1"/>
    <x v="6"/>
    <n v="0"/>
    <x v="13"/>
  </r>
  <r>
    <n v="2490"/>
    <s v="Delhi Arogya kosh"/>
    <d v="2022-10-28T00:00:00"/>
    <x v="1"/>
    <d v="2022-10-28T00:00:00"/>
    <d v="2022-10-28T00:00:00"/>
    <n v="22028989"/>
    <n v="2237875"/>
    <n v="1001581259"/>
    <s v="NARENDER SINGH"/>
    <x v="243"/>
    <n v="0"/>
    <n v="1274"/>
    <n v="0"/>
    <n v="1274"/>
    <x v="1"/>
    <x v="6"/>
    <n v="0"/>
    <x v="13"/>
  </r>
  <r>
    <n v="2491"/>
    <s v="NIVA BUPA"/>
    <d v="2022-10-12T00:00:00"/>
    <x v="1"/>
    <d v="2022-10-12T00:00:00"/>
    <d v="2022-10-12T00:00:00"/>
    <n v="22026660"/>
    <n v="2235645"/>
    <n v="10013484190"/>
    <s v="JULI SINGH"/>
    <x v="254"/>
    <n v="0"/>
    <n v="2240"/>
    <n v="0"/>
    <n v="2240"/>
    <x v="1"/>
    <x v="6"/>
    <n v="0"/>
    <x v="13"/>
  </r>
  <r>
    <n v="2492"/>
    <s v="Delhi Arogya kosh"/>
    <d v="2022-10-01T00:00:00"/>
    <x v="1"/>
    <d v="2022-10-01T00:00:00"/>
    <d v="2022-10-01T00:00:00"/>
    <n v="22025248"/>
    <n v="2234258"/>
    <n v="10013422914"/>
    <s v="ANJUM"/>
    <x v="243"/>
    <n v="0"/>
    <n v="1274"/>
    <n v="0"/>
    <n v="1274"/>
    <x v="1"/>
    <x v="6"/>
    <n v="0"/>
    <x v="13"/>
  </r>
  <r>
    <n v="2493"/>
    <s v="Heritage Health TPA Private Limited"/>
    <d v="2022-10-18T00:00:00"/>
    <x v="1"/>
    <d v="2022-10-18T00:00:00"/>
    <d v="2022-10-18T00:00:00"/>
    <n v="22027525"/>
    <n v="2236439"/>
    <n v="1001183341"/>
    <s v="KAMLESH JAIN"/>
    <x v="75"/>
    <n v="0"/>
    <n v="2200"/>
    <n v="0"/>
    <n v="2200"/>
    <x v="1"/>
    <x v="12"/>
    <n v="0"/>
    <x v="13"/>
  </r>
  <r>
    <n v="2494"/>
    <s v=" DAK DIALYSIS"/>
    <d v="2022-10-22T00:00:00"/>
    <x v="1"/>
    <d v="2022-10-22T00:00:00"/>
    <d v="2022-10-22T00:00:00"/>
    <n v="22028143"/>
    <n v="2237006"/>
    <n v="1001680001"/>
    <s v="BIPIN KUMAR"/>
    <x v="243"/>
    <n v="0"/>
    <n v="1274"/>
    <n v="0"/>
    <n v="1274"/>
    <x v="1"/>
    <x v="6"/>
    <n v="0"/>
    <x v="13"/>
  </r>
  <r>
    <n v="2495"/>
    <s v="Delhi Arogya kosh"/>
    <d v="2022-10-28T00:00:00"/>
    <x v="1"/>
    <d v="2022-10-28T00:00:00"/>
    <d v="2022-10-28T00:00:00"/>
    <n v="22028972"/>
    <n v="2237856"/>
    <n v="1001082290"/>
    <s v="SUSHMA"/>
    <x v="243"/>
    <n v="0"/>
    <n v="1274"/>
    <n v="0"/>
    <n v="1274"/>
    <x v="1"/>
    <x v="6"/>
    <n v="0"/>
    <x v="13"/>
  </r>
  <r>
    <n v="2496"/>
    <s v="SMILE TRAIN"/>
    <d v="2022-09-30T00:00:00"/>
    <x v="0"/>
    <d v="2022-10-04T00:00:00"/>
    <d v="2022-10-04T00:00:00"/>
    <n v="22025534"/>
    <n v="2234084"/>
    <n v="10013503050"/>
    <s v="LAKSHITA"/>
    <x v="1317"/>
    <n v="19501"/>
    <n v="61288"/>
    <n v="0"/>
    <n v="61288"/>
    <x v="1"/>
    <x v="1"/>
    <n v="0"/>
    <x v="6"/>
  </r>
  <r>
    <n v="2497"/>
    <s v="Delhi Arogya kosh"/>
    <d v="2022-10-26T00:00:00"/>
    <x v="1"/>
    <d v="2022-10-26T00:00:00"/>
    <d v="2022-10-26T00:00:00"/>
    <n v="22028664"/>
    <n v="2237506"/>
    <n v="1000933464"/>
    <s v="SACHIN MITTAL"/>
    <x v="243"/>
    <n v="0"/>
    <n v="1274"/>
    <n v="0"/>
    <n v="1274"/>
    <x v="1"/>
    <x v="6"/>
    <n v="0"/>
    <x v="13"/>
  </r>
  <r>
    <n v="2498"/>
    <s v=" CGHS CREDIT"/>
    <d v="2022-10-13T00:00:00"/>
    <x v="1"/>
    <d v="2022-10-13T00:00:00"/>
    <d v="2022-10-13T00:00:00"/>
    <n v="22026925"/>
    <n v="2235848"/>
    <n v="1001802852"/>
    <s v="GIRISH CANDER"/>
    <x v="43"/>
    <n v="0"/>
    <n v="1610"/>
    <n v="0"/>
    <n v="1610"/>
    <x v="1"/>
    <x v="6"/>
    <n v="0"/>
    <x v="13"/>
  </r>
  <r>
    <n v="2499"/>
    <s v="HEALTH INDIA"/>
    <d v="2022-10-26T00:00:00"/>
    <x v="1"/>
    <d v="2022-10-26T00:00:00"/>
    <d v="2022-10-26T00:00:00"/>
    <n v="22028705"/>
    <n v="2237577"/>
    <n v="1001456152"/>
    <s v="VIRENDER KUMAR ATRI"/>
    <x v="75"/>
    <n v="0"/>
    <n v="2200"/>
    <n v="0"/>
    <n v="2200"/>
    <x v="1"/>
    <x v="12"/>
    <n v="0"/>
    <x v="13"/>
  </r>
  <r>
    <n v="2500"/>
    <s v="Delhi Arogya kosh"/>
    <d v="2022-10-27T00:00:00"/>
    <x v="1"/>
    <d v="2022-10-27T00:00:00"/>
    <d v="2022-10-27T00:00:00"/>
    <n v="22028831"/>
    <n v="2237701"/>
    <n v="10013513950"/>
    <s v="RAJENDRA PRASAD AGARWAL"/>
    <x v="243"/>
    <n v="0"/>
    <n v="1274"/>
    <n v="0"/>
    <n v="1274"/>
    <x v="1"/>
    <x v="6"/>
    <n v="0"/>
    <x v="13"/>
  </r>
  <r>
    <n v="2501"/>
    <s v="Delhi Arogya kosh"/>
    <d v="2022-10-03T00:00:00"/>
    <x v="1"/>
    <d v="2022-10-03T00:00:00"/>
    <d v="2022-10-03T00:00:00"/>
    <n v="22025439"/>
    <n v="2234449"/>
    <n v="10013513950"/>
    <s v="RAJENDRA PRASAD AGARWAL"/>
    <x v="243"/>
    <n v="0"/>
    <n v="1274"/>
    <n v="0"/>
    <n v="1274"/>
    <x v="1"/>
    <x v="6"/>
    <n v="0"/>
    <x v="13"/>
  </r>
  <r>
    <n v="2502"/>
    <s v=" DAK DIALYSIS"/>
    <d v="2022-10-24T00:00:00"/>
    <x v="1"/>
    <d v="2022-10-24T00:00:00"/>
    <d v="2022-10-24T00:00:00"/>
    <n v="22028444"/>
    <n v="2237232"/>
    <n v="1001678600"/>
    <s v="RAKESH THAKUR"/>
    <x v="243"/>
    <n v="0"/>
    <n v="1274"/>
    <n v="0"/>
    <n v="1274"/>
    <x v="1"/>
    <x v="6"/>
    <n v="0"/>
    <x v="13"/>
  </r>
  <r>
    <n v="2503"/>
    <s v=" CGHS CREDIT"/>
    <d v="2022-10-15T00:00:00"/>
    <x v="1"/>
    <d v="2022-10-15T00:00:00"/>
    <d v="2022-10-15T00:00:00"/>
    <n v="22027125"/>
    <n v="2236083"/>
    <n v="1001749543"/>
    <s v="DALEEP SINGH NEGI"/>
    <x v="43"/>
    <n v="0"/>
    <n v="1610"/>
    <n v="0"/>
    <n v="1610"/>
    <x v="1"/>
    <x v="6"/>
    <n v="0"/>
    <x v="13"/>
  </r>
  <r>
    <n v="2504"/>
    <s v="HDFC ERGO General Insurance Co. Ltd."/>
    <d v="2022-10-25T00:00:00"/>
    <x v="1"/>
    <d v="2022-10-27T00:00:00"/>
    <d v="2022-10-27T00:00:00"/>
    <n v="22028738"/>
    <n v="2237302"/>
    <n v="10013542182"/>
    <s v="AJAY GOYAL"/>
    <x v="1318"/>
    <n v="3133"/>
    <n v="48407"/>
    <n v="0"/>
    <n v="48407"/>
    <x v="1"/>
    <x v="2"/>
    <n v="0"/>
    <x v="0"/>
  </r>
  <r>
    <n v="2505"/>
    <s v="ECHS"/>
    <d v="2022-10-16T00:00:00"/>
    <x v="1"/>
    <d v="2022-10-17T00:00:00"/>
    <d v="2022-10-17T00:00:00"/>
    <n v="22027479"/>
    <n v="2236217"/>
    <n v="10013315963"/>
    <s v="BIJENDER SINGH"/>
    <x v="1319"/>
    <n v="0"/>
    <n v="14338"/>
    <n v="0"/>
    <n v="14338"/>
    <x v="1"/>
    <x v="1"/>
    <n v="0"/>
    <x v="2"/>
  </r>
  <r>
    <n v="2506"/>
    <s v="Delhi Arogya kosh"/>
    <d v="2022-10-27T00:00:00"/>
    <x v="1"/>
    <d v="2022-10-27T00:00:00"/>
    <d v="2022-10-27T00:00:00"/>
    <n v="22028827"/>
    <n v="2237696"/>
    <n v="1001208331"/>
    <s v="PREM"/>
    <x v="243"/>
    <n v="0"/>
    <n v="1274"/>
    <n v="0"/>
    <n v="1274"/>
    <x v="1"/>
    <x v="6"/>
    <n v="0"/>
    <x v="13"/>
  </r>
  <r>
    <n v="2507"/>
    <s v="Delhi Arogya kosh"/>
    <d v="2022-10-05T00:00:00"/>
    <x v="1"/>
    <d v="2022-10-05T00:00:00"/>
    <d v="2022-10-05T00:00:00"/>
    <n v="22025776"/>
    <n v="2234760"/>
    <n v="1001761745"/>
    <s v="SATYA PAL GOEL"/>
    <x v="243"/>
    <n v="0"/>
    <n v="1274"/>
    <n v="0"/>
    <n v="1274"/>
    <x v="1"/>
    <x v="6"/>
    <n v="0"/>
    <x v="13"/>
  </r>
  <r>
    <n v="2508"/>
    <s v=" CGHS CREDIT"/>
    <d v="2022-10-14T00:00:00"/>
    <x v="1"/>
    <d v="2022-10-14T00:00:00"/>
    <d v="2022-10-14T00:00:00"/>
    <n v="22026976"/>
    <n v="2235925"/>
    <n v="1001801530"/>
    <s v="UMA BISHT"/>
    <x v="43"/>
    <n v="0"/>
    <n v="1610"/>
    <n v="0"/>
    <n v="1610"/>
    <x v="1"/>
    <x v="6"/>
    <n v="0"/>
    <x v="13"/>
  </r>
  <r>
    <n v="2509"/>
    <s v="Paramount Health Services (TPA) Private Limited"/>
    <d v="2022-10-21T00:00:00"/>
    <x v="1"/>
    <d v="2022-10-23T00:00:00"/>
    <d v="2022-10-23T00:00:00"/>
    <n v="22028319"/>
    <n v="2236935"/>
    <n v="10013544053"/>
    <s v="SONIA MALHI"/>
    <x v="1320"/>
    <n v="7280"/>
    <n v="44332"/>
    <n v="0"/>
    <n v="44332"/>
    <x v="1"/>
    <x v="2"/>
    <n v="0"/>
    <x v="0"/>
  </r>
  <r>
    <n v="2510"/>
    <s v="Delhi Arogya kosh"/>
    <d v="2022-10-20T00:00:00"/>
    <x v="1"/>
    <d v="2022-10-20T00:00:00"/>
    <d v="2022-10-20T00:00:00"/>
    <n v="22027951"/>
    <n v="2236837"/>
    <n v="1001004027"/>
    <s v="PARTAP SINGH"/>
    <x v="243"/>
    <n v="0"/>
    <n v="1274"/>
    <n v="0"/>
    <n v="1274"/>
    <x v="1"/>
    <x v="6"/>
    <n v="0"/>
    <x v="13"/>
  </r>
  <r>
    <n v="2511"/>
    <s v="Delhi Arogya kosh"/>
    <d v="2022-10-15T00:00:00"/>
    <x v="1"/>
    <d v="2022-10-15T00:00:00"/>
    <d v="2022-10-15T00:00:00"/>
    <n v="22027275"/>
    <n v="2236197"/>
    <n v="1001188488"/>
    <s v="PARVEEN"/>
    <x v="243"/>
    <n v="0"/>
    <n v="1274"/>
    <n v="0"/>
    <n v="1274"/>
    <x v="1"/>
    <x v="6"/>
    <n v="0"/>
    <x v="13"/>
  </r>
  <r>
    <n v="2512"/>
    <s v=" RAKSHA TPA PVT.LTD."/>
    <d v="2022-10-25T00:00:00"/>
    <x v="1"/>
    <d v="2022-10-25T00:00:00"/>
    <d v="2022-10-25T00:00:00"/>
    <n v="22028510"/>
    <n v="2237333"/>
    <n v="1001689981"/>
    <s v="RITIKA SINGH"/>
    <x v="141"/>
    <n v="0"/>
    <n v="2950"/>
    <n v="0"/>
    <n v="2950"/>
    <x v="1"/>
    <x v="6"/>
    <n v="0"/>
    <x v="13"/>
  </r>
  <r>
    <n v="2513"/>
    <s v="CGHS ( CREDIT)"/>
    <d v="2022-10-28T00:00:00"/>
    <x v="1"/>
    <d v="2022-10-28T00:00:00"/>
    <d v="2022-10-28T00:00:00"/>
    <n v="22028853"/>
    <n v="2237758"/>
    <n v="10013401847"/>
    <s v="TIRLOCHAN SINGH"/>
    <x v="43"/>
    <n v="0"/>
    <n v="1610"/>
    <n v="0"/>
    <n v="1610"/>
    <x v="1"/>
    <x v="6"/>
    <n v="0"/>
    <x v="13"/>
  </r>
  <r>
    <n v="2514"/>
    <s v="Delhi Arogya kosh"/>
    <d v="2022-10-19T00:00:00"/>
    <x v="1"/>
    <d v="2022-10-19T00:00:00"/>
    <d v="2022-10-19T00:00:00"/>
    <n v="22027671"/>
    <n v="2236597"/>
    <n v="10013475917"/>
    <s v="meena srivastav"/>
    <x v="243"/>
    <n v="0"/>
    <n v="1274"/>
    <n v="0"/>
    <n v="1274"/>
    <x v="1"/>
    <x v="6"/>
    <n v="0"/>
    <x v="13"/>
  </r>
  <r>
    <n v="2515"/>
    <s v="Safeway Mediclaim Services Pvt. Ltd."/>
    <d v="2022-10-18T00:00:00"/>
    <x v="1"/>
    <d v="2022-10-18T00:00:00"/>
    <d v="2022-10-18T00:00:00"/>
    <n v="22027537"/>
    <n v="2236452"/>
    <n v="1001020879"/>
    <s v="KUSUM LATA"/>
    <x v="75"/>
    <n v="0"/>
    <n v="2200"/>
    <n v="0"/>
    <n v="2200"/>
    <x v="1"/>
    <x v="12"/>
    <n v="0"/>
    <x v="13"/>
  </r>
  <r>
    <n v="2516"/>
    <s v="CGHS ( CREDIT)"/>
    <d v="2022-10-08T00:00:00"/>
    <x v="1"/>
    <d v="2022-10-08T00:00:00"/>
    <d v="2022-10-08T00:00:00"/>
    <n v="22026223"/>
    <n v="2235201"/>
    <n v="1001300172"/>
    <s v="SWARN LATA KINDRA"/>
    <x v="43"/>
    <n v="0"/>
    <n v="1610"/>
    <n v="0"/>
    <n v="1610"/>
    <x v="1"/>
    <x v="6"/>
    <n v="0"/>
    <x v="13"/>
  </r>
  <r>
    <n v="2517"/>
    <s v="Delhi Arogya kosh"/>
    <d v="2022-10-17T00:00:00"/>
    <x v="1"/>
    <d v="2022-10-17T00:00:00"/>
    <d v="2022-10-17T00:00:00"/>
    <n v="22027513"/>
    <n v="2236419"/>
    <n v="10013413542"/>
    <s v="KAMLA DEVI"/>
    <x v="243"/>
    <n v="0"/>
    <n v="1274"/>
    <n v="0"/>
    <n v="1274"/>
    <x v="1"/>
    <x v="6"/>
    <n v="0"/>
    <x v="13"/>
  </r>
  <r>
    <n v="2518"/>
    <s v=" CGHS CREDIT"/>
    <d v="2022-10-24T00:00:00"/>
    <x v="1"/>
    <d v="2022-10-24T00:00:00"/>
    <d v="2022-10-24T00:00:00"/>
    <n v="22028449"/>
    <n v="2237226"/>
    <n v="1001803044"/>
    <s v="GOVIND SINGH"/>
    <x v="43"/>
    <n v="0"/>
    <n v="1610"/>
    <n v="0"/>
    <n v="1610"/>
    <x v="1"/>
    <x v="6"/>
    <n v="0"/>
    <x v="13"/>
  </r>
  <r>
    <n v="2519"/>
    <s v="ECHS"/>
    <d v="2022-10-05T00:00:00"/>
    <x v="1"/>
    <d v="2022-10-10T00:00:00"/>
    <d v="2022-10-10T00:00:00"/>
    <n v="22026440"/>
    <n v="2234778"/>
    <n v="10013541663"/>
    <s v="HARBANS LAL"/>
    <x v="1321"/>
    <n v="0"/>
    <n v="66439"/>
    <n v="0"/>
    <n v="66439"/>
    <x v="1"/>
    <x v="1"/>
    <n v="0"/>
    <x v="5"/>
  </r>
  <r>
    <n v="2520"/>
    <s v="Delhi Arogya kosh"/>
    <d v="2022-10-07T00:00:00"/>
    <x v="1"/>
    <d v="2022-10-07T00:00:00"/>
    <d v="2022-10-07T00:00:00"/>
    <n v="22026062"/>
    <n v="2235093"/>
    <n v="10013316109"/>
    <s v="GAURAV PAWAR"/>
    <x v="243"/>
    <n v="0"/>
    <n v="1274"/>
    <n v="0"/>
    <n v="1274"/>
    <x v="1"/>
    <x v="6"/>
    <n v="0"/>
    <x v="13"/>
  </r>
  <r>
    <n v="2521"/>
    <s v="Delhi Arogya kosh"/>
    <d v="2022-10-29T00:00:00"/>
    <x v="1"/>
    <d v="2022-10-29T00:00:00"/>
    <d v="2022-10-29T00:00:00"/>
    <n v="22029162"/>
    <n v="2238020"/>
    <n v="10013299539"/>
    <s v="SATISH MALIK"/>
    <x v="243"/>
    <n v="0"/>
    <n v="1274"/>
    <n v="0"/>
    <n v="1274"/>
    <x v="1"/>
    <x v="6"/>
    <n v="0"/>
    <x v="13"/>
  </r>
  <r>
    <n v="2522"/>
    <s v=" DAK DIALYSIS"/>
    <d v="2022-10-27T00:00:00"/>
    <x v="1"/>
    <d v="2022-10-27T00:00:00"/>
    <d v="2022-10-27T00:00:00"/>
    <n v="22028726"/>
    <n v="2237617"/>
    <n v="1001680001"/>
    <s v="BIPIN KUMAR"/>
    <x v="243"/>
    <n v="0"/>
    <n v="1274"/>
    <n v="0"/>
    <n v="1274"/>
    <x v="1"/>
    <x v="6"/>
    <n v="0"/>
    <x v="13"/>
  </r>
  <r>
    <n v="2523"/>
    <s v="CGHS ( CREDIT)"/>
    <d v="2022-10-10T00:00:00"/>
    <x v="1"/>
    <d v="2022-10-10T00:00:00"/>
    <d v="2022-10-10T00:00:00"/>
    <n v="22026336"/>
    <n v="2235339"/>
    <n v="1001531709"/>
    <s v="TASVIR SINGH"/>
    <x v="43"/>
    <n v="0"/>
    <n v="1610"/>
    <n v="0"/>
    <n v="1610"/>
    <x v="1"/>
    <x v="6"/>
    <n v="0"/>
    <x v="13"/>
  </r>
  <r>
    <n v="2524"/>
    <s v="Delhi Arogya kosh"/>
    <d v="2022-10-12T00:00:00"/>
    <x v="1"/>
    <d v="2022-10-12T00:00:00"/>
    <d v="2022-10-12T00:00:00"/>
    <n v="22026803"/>
    <n v="2235762"/>
    <n v="10013370253"/>
    <s v="USHA RANI"/>
    <x v="243"/>
    <n v="0"/>
    <n v="1274"/>
    <n v="0"/>
    <n v="1274"/>
    <x v="1"/>
    <x v="6"/>
    <n v="0"/>
    <x v="13"/>
  </r>
  <r>
    <n v="2525"/>
    <s v="Delhi Arogya kosh"/>
    <d v="2022-10-25T00:00:00"/>
    <x v="1"/>
    <d v="2022-10-25T00:00:00"/>
    <d v="2022-10-25T00:00:00"/>
    <n v="22028552"/>
    <n v="2237366"/>
    <n v="1001039513"/>
    <s v="RITU"/>
    <x v="243"/>
    <n v="0"/>
    <n v="1274"/>
    <n v="0"/>
    <n v="1274"/>
    <x v="1"/>
    <x v="6"/>
    <n v="0"/>
    <x v="13"/>
  </r>
  <r>
    <n v="2526"/>
    <s v=" DAK DIALYSIS"/>
    <d v="2022-10-13T00:00:00"/>
    <x v="1"/>
    <d v="2022-10-13T00:00:00"/>
    <d v="2022-10-13T00:00:00"/>
    <n v="22026840"/>
    <n v="2235824"/>
    <n v="1001686545"/>
    <s v="RAKESH KUMAR"/>
    <x v="243"/>
    <n v="0"/>
    <n v="1274"/>
    <n v="0"/>
    <n v="1274"/>
    <x v="1"/>
    <x v="6"/>
    <n v="0"/>
    <x v="13"/>
  </r>
  <r>
    <n v="2527"/>
    <s v=" CGHS CREDIT"/>
    <d v="2022-10-12T00:00:00"/>
    <x v="1"/>
    <d v="2022-10-12T00:00:00"/>
    <d v="2022-10-12T00:00:00"/>
    <n v="22026666"/>
    <n v="2235644"/>
    <n v="1001801530"/>
    <s v="UMA BISHT"/>
    <x v="43"/>
    <n v="0"/>
    <n v="1610"/>
    <n v="0"/>
    <n v="1610"/>
    <x v="1"/>
    <x v="6"/>
    <n v="0"/>
    <x v="13"/>
  </r>
  <r>
    <n v="2528"/>
    <s v=" DAK DIALYSIS"/>
    <d v="2022-10-22T00:00:00"/>
    <x v="1"/>
    <d v="2022-10-22T00:00:00"/>
    <d v="2022-10-22T00:00:00"/>
    <n v="22028144"/>
    <n v="2237001"/>
    <n v="1001678600"/>
    <s v="RAKESH THAKUR"/>
    <x v="243"/>
    <n v="0"/>
    <n v="1274"/>
    <n v="0"/>
    <n v="1274"/>
    <x v="1"/>
    <x v="6"/>
    <n v="0"/>
    <x v="13"/>
  </r>
  <r>
    <n v="2529"/>
    <s v="Delhi Arogya kosh"/>
    <d v="2022-10-12T00:00:00"/>
    <x v="1"/>
    <d v="2022-10-12T00:00:00"/>
    <d v="2022-10-12T00:00:00"/>
    <n v="22026740"/>
    <n v="2235709"/>
    <n v="1000933464"/>
    <s v="SACHIN MITTAL"/>
    <x v="243"/>
    <n v="0"/>
    <n v="1274"/>
    <n v="0"/>
    <n v="1274"/>
    <x v="1"/>
    <x v="6"/>
    <n v="0"/>
    <x v="13"/>
  </r>
  <r>
    <n v="2530"/>
    <s v="Health Insurance TPA of India Ltd."/>
    <d v="2022-10-25T00:00:00"/>
    <x v="1"/>
    <d v="2022-10-25T00:00:00"/>
    <d v="2022-10-25T00:00:00"/>
    <n v="22028473"/>
    <n v="2237278"/>
    <n v="1001547355"/>
    <s v="AJAY BAJAJ"/>
    <x v="75"/>
    <n v="0"/>
    <n v="2200"/>
    <n v="0"/>
    <n v="2200"/>
    <x v="1"/>
    <x v="12"/>
    <n v="0"/>
    <x v="13"/>
  </r>
  <r>
    <n v="2531"/>
    <s v=" Council of Scientific and Industrial Research (CSIR)"/>
    <d v="2022-10-21T00:00:00"/>
    <x v="1"/>
    <d v="2022-10-21T00:00:00"/>
    <d v="2022-10-21T00:00:00"/>
    <n v="22028064"/>
    <n v="2236922"/>
    <n v="1001729640"/>
    <s v="BRIJ MOHAN"/>
    <x v="43"/>
    <n v="0"/>
    <n v="1610"/>
    <n v="0"/>
    <n v="1610"/>
    <x v="1"/>
    <x v="6"/>
    <n v="0"/>
    <x v="13"/>
  </r>
  <r>
    <n v="2532"/>
    <s v="PARK MED CLAIM LTD"/>
    <d v="2022-10-18T00:00:00"/>
    <x v="1"/>
    <d v="2022-10-18T00:00:00"/>
    <d v="2022-10-18T00:00:00"/>
    <n v="22027592"/>
    <n v="2236482"/>
    <n v="10013436915"/>
    <s v="USHA"/>
    <x v="75"/>
    <n v="0"/>
    <n v="2200"/>
    <n v="0"/>
    <n v="2200"/>
    <x v="1"/>
    <x v="12"/>
    <n v="0"/>
    <x v="13"/>
  </r>
  <r>
    <n v="2533"/>
    <s v="Health Insurance TPA of India Ltd."/>
    <d v="2022-10-14T00:00:00"/>
    <x v="1"/>
    <d v="2022-10-14T00:00:00"/>
    <d v="2022-10-14T00:00:00"/>
    <n v="22027035"/>
    <n v="2235959"/>
    <n v="1001199995"/>
    <s v="JITENDER NARULA"/>
    <x v="75"/>
    <n v="0"/>
    <n v="2200"/>
    <n v="0"/>
    <n v="2200"/>
    <x v="1"/>
    <x v="12"/>
    <n v="0"/>
    <x v="13"/>
  </r>
  <r>
    <n v="2534"/>
    <s v="Delhi Arogya kosh"/>
    <d v="2022-10-19T00:00:00"/>
    <x v="1"/>
    <d v="2022-10-19T00:00:00"/>
    <d v="2022-10-19T00:00:00"/>
    <n v="22027797"/>
    <n v="2236696"/>
    <n v="10013371548"/>
    <s v="AMRIK SINGH"/>
    <x v="243"/>
    <n v="0"/>
    <n v="1274"/>
    <n v="0"/>
    <n v="1274"/>
    <x v="1"/>
    <x v="6"/>
    <n v="0"/>
    <x v="13"/>
  </r>
  <r>
    <n v="2535"/>
    <s v=" DAK DIALYSIS"/>
    <d v="2022-10-01T00:00:00"/>
    <x v="1"/>
    <d v="2022-10-01T00:00:00"/>
    <d v="2022-10-01T00:00:00"/>
    <n v="22025186"/>
    <n v="2234205"/>
    <n v="1001712791"/>
    <s v="PAWAN SINGH"/>
    <x v="243"/>
    <n v="0"/>
    <n v="1274"/>
    <n v="0"/>
    <n v="1274"/>
    <x v="1"/>
    <x v="6"/>
    <n v="0"/>
    <x v="13"/>
  </r>
  <r>
    <n v="2536"/>
    <s v=" DAK DIALYSIS"/>
    <d v="2022-10-05T00:00:00"/>
    <x v="1"/>
    <d v="2022-10-05T00:00:00"/>
    <d v="2022-10-05T00:00:00"/>
    <n v="22025666"/>
    <n v="2234694"/>
    <n v="1001767553"/>
    <s v="VIJAY SINGH NEGI"/>
    <x v="243"/>
    <n v="0"/>
    <n v="1274"/>
    <n v="0"/>
    <n v="1274"/>
    <x v="1"/>
    <x v="6"/>
    <n v="0"/>
    <x v="0"/>
  </r>
  <r>
    <n v="2537"/>
    <s v="Delhi Arogya kosh"/>
    <d v="2022-10-31T00:00:00"/>
    <x v="1"/>
    <d v="2022-10-31T00:00:00"/>
    <d v="2022-10-31T00:00:00"/>
    <n v="22029399"/>
    <n v="2238267"/>
    <n v="10013223537"/>
    <s v="GOVIND"/>
    <x v="243"/>
    <n v="0"/>
    <n v="1274"/>
    <n v="0"/>
    <n v="1274"/>
    <x v="1"/>
    <x v="6"/>
    <n v="0"/>
    <x v="13"/>
  </r>
  <r>
    <n v="2538"/>
    <s v="Delhi Arogya kosh"/>
    <d v="2022-10-29T00:00:00"/>
    <x v="1"/>
    <d v="2022-10-29T00:00:00"/>
    <d v="2022-10-29T00:00:00"/>
    <n v="22029156"/>
    <n v="2238012"/>
    <n v="1001188488"/>
    <s v="PARVEEN"/>
    <x v="243"/>
    <n v="0"/>
    <n v="1274"/>
    <n v="0"/>
    <n v="1274"/>
    <x v="1"/>
    <x v="6"/>
    <n v="0"/>
    <x v="13"/>
  </r>
  <r>
    <n v="2539"/>
    <s v="Safeway Mediclaim Services Pvt. Ltd."/>
    <d v="2022-10-15T00:00:00"/>
    <x v="1"/>
    <d v="2022-10-15T00:00:00"/>
    <d v="2022-10-15T00:00:00"/>
    <n v="22027207"/>
    <n v="2236133"/>
    <n v="1001684515"/>
    <s v="SHIV NARAYAN BANSAL"/>
    <x v="75"/>
    <n v="0"/>
    <n v="2200"/>
    <n v="0"/>
    <n v="2200"/>
    <x v="1"/>
    <x v="12"/>
    <n v="0"/>
    <x v="13"/>
  </r>
  <r>
    <n v="2540"/>
    <s v="MD INDIA TPA PVT.LTD."/>
    <d v="2022-10-10T00:00:00"/>
    <x v="1"/>
    <d v="2022-10-10T00:00:00"/>
    <d v="2022-10-10T00:00:00"/>
    <n v="22026398"/>
    <n v="2235375"/>
    <n v="10013359873"/>
    <s v="ANAND KUMAR SINGHAL"/>
    <x v="75"/>
    <n v="0"/>
    <n v="2200"/>
    <n v="0"/>
    <n v="2200"/>
    <x v="1"/>
    <x v="12"/>
    <n v="0"/>
    <x v="13"/>
  </r>
  <r>
    <n v="2541"/>
    <s v="Delhi Arogya kosh"/>
    <d v="2022-10-01T00:00:00"/>
    <x v="1"/>
    <d v="2022-10-01T00:00:00"/>
    <d v="2022-10-01T00:00:00"/>
    <n v="22025245"/>
    <n v="2234260"/>
    <n v="1001590721"/>
    <s v="MAMTA"/>
    <x v="243"/>
    <n v="0"/>
    <n v="1274"/>
    <n v="0"/>
    <n v="1274"/>
    <x v="1"/>
    <x v="6"/>
    <n v="0"/>
    <x v="13"/>
  </r>
  <r>
    <n v="2542"/>
    <s v="Delhi Arogya kosh"/>
    <d v="2022-10-06T00:00:00"/>
    <x v="1"/>
    <d v="2022-10-06T00:00:00"/>
    <d v="2022-10-06T00:00:00"/>
    <n v="22025816"/>
    <n v="2234832"/>
    <n v="1000899251"/>
    <s v="SURESH KUMAR"/>
    <x v="243"/>
    <n v="0"/>
    <n v="1274"/>
    <n v="0"/>
    <n v="1274"/>
    <x v="1"/>
    <x v="6"/>
    <n v="0"/>
    <x v="13"/>
  </r>
  <r>
    <n v="2543"/>
    <s v="Delhi Arogya kosh"/>
    <d v="2022-10-26T00:00:00"/>
    <x v="1"/>
    <d v="2022-10-26T00:00:00"/>
    <d v="2022-10-26T00:00:00"/>
    <n v="22028697"/>
    <n v="2237570"/>
    <n v="10013451090"/>
    <s v="MANJU SUNDRIYAL"/>
    <x v="243"/>
    <n v="0"/>
    <n v="1274"/>
    <n v="0"/>
    <n v="1274"/>
    <x v="1"/>
    <x v="6"/>
    <n v="0"/>
    <x v="13"/>
  </r>
  <r>
    <n v="2544"/>
    <s v="Delhi Arogya kosh"/>
    <d v="2022-10-19T00:00:00"/>
    <x v="1"/>
    <d v="2022-10-19T00:00:00"/>
    <d v="2022-10-19T00:00:00"/>
    <n v="22027672"/>
    <n v="2236596"/>
    <n v="10013436995"/>
    <s v="URVASHI"/>
    <x v="243"/>
    <n v="0"/>
    <n v="1274"/>
    <n v="0"/>
    <n v="1274"/>
    <x v="1"/>
    <x v="6"/>
    <n v="0"/>
    <x v="13"/>
  </r>
  <r>
    <n v="2545"/>
    <s v=" DAK DIALYSIS"/>
    <d v="2022-10-25T00:00:00"/>
    <x v="1"/>
    <d v="2022-10-25T00:00:00"/>
    <d v="2022-10-25T00:00:00"/>
    <n v="22028477"/>
    <n v="2237282"/>
    <n v="1001751950"/>
    <s v="GITANJALI MOHAPATRA"/>
    <x v="243"/>
    <n v="0"/>
    <n v="1274"/>
    <n v="0"/>
    <n v="1274"/>
    <x v="1"/>
    <x v="6"/>
    <n v="0"/>
    <x v="13"/>
  </r>
  <r>
    <n v="2546"/>
    <s v="Delhi Arogya kosh"/>
    <d v="2022-10-12T00:00:00"/>
    <x v="1"/>
    <d v="2022-10-12T00:00:00"/>
    <d v="2022-10-12T00:00:00"/>
    <n v="22026808"/>
    <n v="2235765"/>
    <n v="1001188488"/>
    <s v="PARVEEN"/>
    <x v="243"/>
    <n v="0"/>
    <n v="1274"/>
    <n v="0"/>
    <n v="1274"/>
    <x v="1"/>
    <x v="6"/>
    <n v="0"/>
    <x v="13"/>
  </r>
  <r>
    <n v="2547"/>
    <s v="Delhi Arogya kosh"/>
    <d v="2022-10-22T00:00:00"/>
    <x v="1"/>
    <d v="2022-10-22T00:00:00"/>
    <d v="2022-10-22T00:00:00"/>
    <n v="22028267"/>
    <n v="2237069"/>
    <n v="1001542371"/>
    <s v="USHA GAMBHIR"/>
    <x v="243"/>
    <n v="0"/>
    <n v="1274"/>
    <n v="0"/>
    <n v="1274"/>
    <x v="1"/>
    <x v="6"/>
    <n v="0"/>
    <x v="13"/>
  </r>
  <r>
    <n v="2548"/>
    <s v="Health Insurance TPA of India Ltd."/>
    <d v="2022-10-11T00:00:00"/>
    <x v="1"/>
    <d v="2022-10-11T00:00:00"/>
    <d v="2022-10-11T00:00:00"/>
    <n v="22026619"/>
    <n v="2235590"/>
    <n v="1001547355"/>
    <s v="AJAY BAJAJ"/>
    <x v="75"/>
    <n v="0"/>
    <n v="2200"/>
    <n v="0"/>
    <n v="2200"/>
    <x v="1"/>
    <x v="12"/>
    <n v="0"/>
    <x v="13"/>
  </r>
  <r>
    <n v="2549"/>
    <s v="ICICI Lombard General Insurance"/>
    <d v="2022-10-12T00:00:00"/>
    <x v="1"/>
    <d v="2022-10-17T00:00:00"/>
    <d v="2022-10-17T00:00:00"/>
    <n v="22027401"/>
    <n v="2235779"/>
    <n v="10013392958"/>
    <s v="JINEE GOYAL"/>
    <x v="1322"/>
    <n v="0"/>
    <n v="114469"/>
    <n v="0"/>
    <n v="114469"/>
    <x v="1"/>
    <x v="10"/>
    <n v="0"/>
    <x v="0"/>
  </r>
  <r>
    <n v="2550"/>
    <s v=" DAK DIALYSIS"/>
    <d v="2022-10-05T00:00:00"/>
    <x v="1"/>
    <d v="2022-10-05T00:00:00"/>
    <d v="2022-10-05T00:00:00"/>
    <n v="22025667"/>
    <n v="2234697"/>
    <n v="1001647517"/>
    <s v="RAJENDER PANDAY"/>
    <x v="243"/>
    <n v="0"/>
    <n v="1274"/>
    <n v="0"/>
    <n v="1274"/>
    <x v="1"/>
    <x v="6"/>
    <n v="0"/>
    <x v="13"/>
  </r>
  <r>
    <n v="2551"/>
    <s v="Health Insurance TPA of India Ltd."/>
    <d v="2022-10-18T00:00:00"/>
    <x v="1"/>
    <d v="2022-10-18T00:00:00"/>
    <d v="2022-10-18T00:00:00"/>
    <n v="22027524"/>
    <n v="2236438"/>
    <n v="1001547355"/>
    <s v="AJAY BAJAJ"/>
    <x v="75"/>
    <n v="0"/>
    <n v="2200"/>
    <n v="0"/>
    <n v="2200"/>
    <x v="1"/>
    <x v="12"/>
    <n v="0"/>
    <x v="13"/>
  </r>
  <r>
    <n v="2552"/>
    <s v="Health Insurance TPA of India Ltd."/>
    <d v="2022-10-23T00:00:00"/>
    <x v="1"/>
    <d v="2022-10-23T00:00:00"/>
    <d v="2022-10-23T00:00:00"/>
    <n v="22028374"/>
    <n v="2237149"/>
    <n v="1000947591"/>
    <s v="KULBHUSHAN AGGARWAL"/>
    <x v="75"/>
    <n v="0"/>
    <n v="2200"/>
    <n v="0"/>
    <n v="2200"/>
    <x v="1"/>
    <x v="12"/>
    <n v="0"/>
    <x v="13"/>
  </r>
  <r>
    <n v="2553"/>
    <s v="EAST-WEST ASSIST."/>
    <d v="2022-10-26T00:00:00"/>
    <x v="1"/>
    <d v="2022-10-29T00:00:00"/>
    <d v="2022-10-29T00:00:00"/>
    <n v="22029145"/>
    <n v="2237423"/>
    <n v="10013544489"/>
    <s v="PREM GUPTA"/>
    <x v="1323"/>
    <n v="21875"/>
    <n v="153783"/>
    <n v="0"/>
    <n v="153783"/>
    <x v="1"/>
    <x v="4"/>
    <n v="0"/>
    <x v="4"/>
  </r>
  <r>
    <n v="2554"/>
    <s v=" DAK MLC"/>
    <d v="2022-10-08T00:00:00"/>
    <x v="1"/>
    <d v="2022-10-10T00:00:00"/>
    <d v="2022-10-12T00:00:00"/>
    <n v="22026764"/>
    <n v="2235158"/>
    <n v="1001801821"/>
    <s v="DEEPAK KUMAR GUPTA"/>
    <x v="1324"/>
    <n v="0"/>
    <n v="43580"/>
    <n v="0"/>
    <n v="43580"/>
    <x v="1"/>
    <x v="1"/>
    <n v="0"/>
    <x v="14"/>
  </r>
  <r>
    <n v="2555"/>
    <s v="Delhi Arogya kosh"/>
    <d v="2022-10-05T00:00:00"/>
    <x v="1"/>
    <d v="2022-10-05T00:00:00"/>
    <d v="2022-10-05T00:00:00"/>
    <n v="22025775"/>
    <n v="2234759"/>
    <n v="1001542371"/>
    <s v="USHA GAMBHIR"/>
    <x v="243"/>
    <n v="0"/>
    <n v="1274"/>
    <n v="0"/>
    <n v="1274"/>
    <x v="1"/>
    <x v="6"/>
    <n v="0"/>
    <x v="13"/>
  </r>
  <r>
    <n v="2556"/>
    <s v="Delhi Arogya kosh"/>
    <d v="2022-10-10T00:00:00"/>
    <x v="1"/>
    <d v="2022-10-10T00:00:00"/>
    <d v="2022-10-10T00:00:00"/>
    <n v="22026344"/>
    <n v="2235341"/>
    <n v="1000891036"/>
    <s v="RAKIKESH KUMAR"/>
    <x v="243"/>
    <n v="0"/>
    <n v="1274"/>
    <n v="0"/>
    <n v="1274"/>
    <x v="1"/>
    <x v="6"/>
    <n v="0"/>
    <x v="13"/>
  </r>
  <r>
    <n v="2557"/>
    <s v="ECHS"/>
    <d v="2022-10-04T00:00:00"/>
    <x v="1"/>
    <d v="2022-10-08T00:00:00"/>
    <d v="2022-10-08T00:00:00"/>
    <n v="22026125"/>
    <n v="2234530"/>
    <n v="10013461554"/>
    <s v="LEELAMMA JOHN"/>
    <x v="1325"/>
    <n v="0"/>
    <n v="28401"/>
    <n v="0"/>
    <n v="28401"/>
    <x v="1"/>
    <x v="1"/>
    <n v="0"/>
    <x v="0"/>
  </r>
  <r>
    <n v="2558"/>
    <s v="VIPUL MED CORP PVT LTD"/>
    <d v="2022-10-23T00:00:00"/>
    <x v="1"/>
    <d v="2022-10-23T00:00:00"/>
    <d v="2022-10-23T00:00:00"/>
    <n v="22028399"/>
    <n v="2237183"/>
    <n v="10013332282"/>
    <s v="SANGEETA"/>
    <x v="75"/>
    <n v="0"/>
    <n v="2200"/>
    <n v="0"/>
    <n v="2200"/>
    <x v="1"/>
    <x v="12"/>
    <n v="0"/>
    <x v="13"/>
  </r>
  <r>
    <n v="2559"/>
    <s v="HDFC ERGO General Insurance Co. Ltd."/>
    <d v="2022-10-11T00:00:00"/>
    <x v="1"/>
    <d v="2022-10-11T00:00:00"/>
    <d v="2022-10-11T00:00:00"/>
    <n v="22026567"/>
    <n v="2235495"/>
    <n v="10013477952"/>
    <s v="NEEMA GOEL"/>
    <x v="254"/>
    <n v="0"/>
    <n v="2240"/>
    <n v="0"/>
    <n v="2240"/>
    <x v="1"/>
    <x v="6"/>
    <n v="0"/>
    <x v="13"/>
  </r>
  <r>
    <n v="2560"/>
    <s v=" ECHS CREDIT"/>
    <d v="2022-10-13T00:00:00"/>
    <x v="1"/>
    <d v="2022-10-13T00:00:00"/>
    <d v="2022-10-13T00:00:00"/>
    <n v="22026927"/>
    <n v="2235847"/>
    <n v="1001797077"/>
    <s v="DURGA DEVI"/>
    <x v="43"/>
    <n v="0"/>
    <n v="1610"/>
    <n v="0"/>
    <n v="1610"/>
    <x v="1"/>
    <x v="6"/>
    <n v="0"/>
    <x v="13"/>
  </r>
  <r>
    <n v="2561"/>
    <s v="CGHS ( CREDIT)"/>
    <d v="2022-10-12T00:00:00"/>
    <x v="1"/>
    <d v="2022-10-12T00:00:00"/>
    <d v="2022-10-12T00:00:00"/>
    <n v="22026657"/>
    <n v="2235642"/>
    <n v="10013373132"/>
    <s v="DEVI RANI"/>
    <x v="43"/>
    <n v="0"/>
    <n v="1610"/>
    <n v="0"/>
    <n v="1610"/>
    <x v="1"/>
    <x v="6"/>
    <n v="0"/>
    <x v="13"/>
  </r>
  <r>
    <n v="2562"/>
    <s v="Delhi Arogya kosh"/>
    <d v="2022-10-15T00:00:00"/>
    <x v="1"/>
    <d v="2022-10-15T00:00:00"/>
    <d v="2022-10-15T00:00:00"/>
    <n v="22027216"/>
    <n v="2236142"/>
    <n v="10013347178"/>
    <s v="BABITA"/>
    <x v="243"/>
    <n v="0"/>
    <n v="1274"/>
    <n v="0"/>
    <n v="1274"/>
    <x v="1"/>
    <x v="6"/>
    <n v="0"/>
    <x v="13"/>
  </r>
  <r>
    <n v="2563"/>
    <s v=" DAK DIALYSIS"/>
    <d v="2022-10-04T00:00:00"/>
    <x v="1"/>
    <d v="2022-10-04T00:00:00"/>
    <d v="2022-10-04T00:00:00"/>
    <n v="22025493"/>
    <n v="2234505"/>
    <n v="1001449196"/>
    <s v="RAKESH JAIN"/>
    <x v="243"/>
    <n v="0"/>
    <n v="1274"/>
    <n v="0"/>
    <n v="1274"/>
    <x v="1"/>
    <x v="6"/>
    <n v="0"/>
    <x v="13"/>
  </r>
  <r>
    <n v="2564"/>
    <s v="Delhi Arogya kosh"/>
    <d v="2022-10-20T00:00:00"/>
    <x v="1"/>
    <d v="2022-10-20T00:00:00"/>
    <d v="2022-10-20T00:00:00"/>
    <n v="22027866"/>
    <n v="2236751"/>
    <n v="1000891036"/>
    <s v="RAKIKESH KUMAR"/>
    <x v="243"/>
    <n v="0"/>
    <n v="1274"/>
    <n v="0"/>
    <n v="1274"/>
    <x v="1"/>
    <x v="6"/>
    <n v="0"/>
    <x v="13"/>
  </r>
  <r>
    <n v="2565"/>
    <s v="Delhi Arogya kosh"/>
    <d v="2022-10-01T00:00:00"/>
    <x v="1"/>
    <d v="2022-10-01T00:00:00"/>
    <d v="2022-10-01T00:00:00"/>
    <n v="22025259"/>
    <n v="2234283"/>
    <n v="1000857532"/>
    <s v="HARI BABU"/>
    <x v="243"/>
    <n v="0"/>
    <n v="1274"/>
    <n v="0"/>
    <n v="1274"/>
    <x v="1"/>
    <x v="6"/>
    <n v="0"/>
    <x v="13"/>
  </r>
  <r>
    <n v="2566"/>
    <s v=" CGHS CREDIT"/>
    <d v="2022-10-28T00:00:00"/>
    <x v="1"/>
    <d v="2022-10-29T00:00:00"/>
    <d v="2022-10-29T00:00:00"/>
    <n v="22029140"/>
    <n v="2237780"/>
    <n v="1001805715"/>
    <s v="SURAJ BHAN"/>
    <x v="1326"/>
    <n v="0"/>
    <n v="8055"/>
    <n v="0"/>
    <n v="8055"/>
    <x v="1"/>
    <x v="1"/>
    <n v="0"/>
    <x v="4"/>
  </r>
  <r>
    <n v="2567"/>
    <s v="Delhi Arogya kosh"/>
    <d v="2022-10-21T00:00:00"/>
    <x v="1"/>
    <d v="2022-10-21T00:00:00"/>
    <d v="2022-10-21T00:00:00"/>
    <n v="22028115"/>
    <n v="2236963"/>
    <n v="10013516483"/>
    <s v="CHANCHAL RANI"/>
    <x v="243"/>
    <n v="0"/>
    <n v="1274"/>
    <n v="0"/>
    <n v="1274"/>
    <x v="1"/>
    <x v="6"/>
    <n v="0"/>
    <x v="13"/>
  </r>
  <r>
    <n v="2568"/>
    <s v="Delhi Arogya kosh"/>
    <d v="2022-10-23T00:00:00"/>
    <x v="1"/>
    <d v="2022-10-23T00:00:00"/>
    <d v="2022-10-23T00:00:00"/>
    <n v="22028397"/>
    <n v="2237176"/>
    <n v="10013299539"/>
    <s v="SATISH MALIK"/>
    <x v="243"/>
    <n v="0"/>
    <n v="1274"/>
    <n v="0"/>
    <n v="1274"/>
    <x v="1"/>
    <x v="6"/>
    <n v="0"/>
    <x v="13"/>
  </r>
  <r>
    <n v="2569"/>
    <s v="Delhi Arogya kosh"/>
    <d v="2022-10-01T00:00:00"/>
    <x v="1"/>
    <d v="2022-10-01T00:00:00"/>
    <d v="2022-10-01T00:00:00"/>
    <n v="22025253"/>
    <n v="2234277"/>
    <n v="10013451090"/>
    <s v="MANJU SUNDRIYAL"/>
    <x v="243"/>
    <n v="0"/>
    <n v="1274"/>
    <n v="0"/>
    <n v="1274"/>
    <x v="1"/>
    <x v="6"/>
    <n v="0"/>
    <x v="13"/>
  </r>
  <r>
    <n v="2570"/>
    <s v=" ECHS CREDIT"/>
    <d v="2022-10-18T00:00:00"/>
    <x v="1"/>
    <d v="2022-10-18T00:00:00"/>
    <d v="2022-10-18T00:00:00"/>
    <n v="22027589"/>
    <n v="2236499"/>
    <n v="1001765693"/>
    <s v="SHRI PRAKASH PRAJAPATI"/>
    <x v="43"/>
    <n v="0"/>
    <n v="1610"/>
    <n v="0"/>
    <n v="1610"/>
    <x v="1"/>
    <x v="6"/>
    <n v="0"/>
    <x v="13"/>
  </r>
  <r>
    <n v="2571"/>
    <s v=" CGHS CREDIT"/>
    <d v="2022-10-29T00:00:00"/>
    <x v="1"/>
    <d v="2022-10-29T00:00:00"/>
    <d v="2022-10-29T00:00:00"/>
    <n v="22029147"/>
    <n v="2238004"/>
    <n v="1001806801"/>
    <s v="DELAU DEVI"/>
    <x v="43"/>
    <n v="0"/>
    <n v="1610"/>
    <n v="0"/>
    <n v="1610"/>
    <x v="1"/>
    <x v="6"/>
    <n v="0"/>
    <x v="13"/>
  </r>
  <r>
    <n v="2572"/>
    <s v=" CGHS CREDIT"/>
    <d v="2022-10-17T00:00:00"/>
    <x v="1"/>
    <d v="2022-10-17T00:00:00"/>
    <d v="2022-10-17T00:00:00"/>
    <n v="22027452"/>
    <n v="2236342"/>
    <n v="1001736024"/>
    <s v="RADHIKA"/>
    <x v="43"/>
    <n v="0"/>
    <n v="1610"/>
    <n v="0"/>
    <n v="1610"/>
    <x v="1"/>
    <x v="6"/>
    <n v="0"/>
    <x v="13"/>
  </r>
  <r>
    <n v="2573"/>
    <s v="Delhi Arogya kosh"/>
    <d v="2022-10-26T00:00:00"/>
    <x v="1"/>
    <d v="2022-10-26T00:00:00"/>
    <d v="2022-10-26T00:00:00"/>
    <n v="22028692"/>
    <n v="2237544"/>
    <n v="1001188488"/>
    <s v="PARVEEN"/>
    <x v="243"/>
    <n v="0"/>
    <n v="1274"/>
    <n v="0"/>
    <n v="1274"/>
    <x v="1"/>
    <x v="6"/>
    <n v="0"/>
    <x v="13"/>
  </r>
  <r>
    <n v="2574"/>
    <s v=" CGHS CREDIT"/>
    <d v="2022-10-22T00:00:00"/>
    <x v="1"/>
    <d v="2022-10-22T00:00:00"/>
    <d v="2022-10-22T00:00:00"/>
    <n v="22028146"/>
    <n v="2236996"/>
    <n v="1001722362"/>
    <s v="PAWANA DEVI"/>
    <x v="43"/>
    <n v="0"/>
    <n v="1610"/>
    <n v="0"/>
    <n v="1610"/>
    <x v="1"/>
    <x v="6"/>
    <n v="0"/>
    <x v="13"/>
  </r>
  <r>
    <n v="2575"/>
    <s v="Delhi Arogya kosh"/>
    <d v="2022-10-31T00:00:00"/>
    <x v="1"/>
    <d v="2022-10-31T00:00:00"/>
    <d v="2022-10-31T00:00:00"/>
    <n v="22029394"/>
    <n v="2238275"/>
    <n v="10013371548"/>
    <s v="AMRIK SINGH"/>
    <x v="243"/>
    <n v="0"/>
    <n v="1274"/>
    <n v="0"/>
    <n v="1274"/>
    <x v="1"/>
    <x v="6"/>
    <n v="0"/>
    <x v="13"/>
  </r>
  <r>
    <n v="2576"/>
    <s v="ECHS"/>
    <d v="2022-10-09T00:00:00"/>
    <x v="1"/>
    <d v="2022-10-10T00:00:00"/>
    <d v="2022-10-10T00:00:00"/>
    <n v="22026449"/>
    <n v="2235282"/>
    <n v="10013540469"/>
    <s v="SARDARO DEVI"/>
    <x v="1327"/>
    <n v="0"/>
    <n v="3838"/>
    <n v="0"/>
    <n v="3838"/>
    <x v="1"/>
    <x v="1"/>
    <n v="0"/>
    <x v="1"/>
  </r>
  <r>
    <n v="2577"/>
    <s v=" CGHS CREDIT"/>
    <d v="2022-10-10T00:00:00"/>
    <x v="1"/>
    <d v="2022-10-10T00:00:00"/>
    <d v="2022-10-10T00:00:00"/>
    <n v="22026347"/>
    <n v="2235344"/>
    <n v="1001801530"/>
    <s v="UMA BISHT"/>
    <x v="43"/>
    <n v="0"/>
    <n v="1610"/>
    <n v="0"/>
    <n v="1610"/>
    <x v="1"/>
    <x v="6"/>
    <n v="0"/>
    <x v="13"/>
  </r>
  <r>
    <n v="2578"/>
    <s v=" DAK DIALYSIS"/>
    <d v="2022-10-07T00:00:00"/>
    <x v="1"/>
    <d v="2022-10-07T00:00:00"/>
    <d v="2022-10-07T00:00:00"/>
    <n v="22026053"/>
    <n v="2235085"/>
    <n v="1001684202"/>
    <s v="RAM NIWAS"/>
    <x v="243"/>
    <n v="0"/>
    <n v="1274"/>
    <n v="0"/>
    <n v="1274"/>
    <x v="1"/>
    <x v="6"/>
    <n v="0"/>
    <x v="13"/>
  </r>
  <r>
    <n v="2579"/>
    <s v="Delhi Arogya kosh"/>
    <d v="2022-10-08T00:00:00"/>
    <x v="1"/>
    <d v="2022-10-08T00:00:00"/>
    <d v="2022-10-08T00:00:00"/>
    <n v="22026130"/>
    <n v="2235144"/>
    <n v="10013436995"/>
    <s v="URVASHI"/>
    <x v="243"/>
    <n v="0"/>
    <n v="1274"/>
    <n v="0"/>
    <n v="1274"/>
    <x v="1"/>
    <x v="6"/>
    <n v="0"/>
    <x v="13"/>
  </r>
  <r>
    <n v="2580"/>
    <s v="VIPUL MED CORP PVT LTD"/>
    <d v="2022-10-29T00:00:00"/>
    <x v="1"/>
    <d v="2022-10-29T00:00:00"/>
    <d v="2022-10-29T00:00:00"/>
    <n v="22029078"/>
    <n v="2237959"/>
    <n v="10013469159"/>
    <s v="ANITA NANGIA"/>
    <x v="75"/>
    <n v="0"/>
    <n v="2200"/>
    <n v="0"/>
    <n v="2200"/>
    <x v="1"/>
    <x v="12"/>
    <n v="0"/>
    <x v="13"/>
  </r>
  <r>
    <n v="2581"/>
    <s v=" DAK DIALYSIS"/>
    <d v="2022-10-05T00:00:00"/>
    <x v="1"/>
    <d v="2022-10-05T00:00:00"/>
    <d v="2022-10-05T00:00:00"/>
    <n v="22025664"/>
    <n v="2234696"/>
    <n v="1001678600"/>
    <s v="RAKESH THAKUR"/>
    <x v="243"/>
    <n v="0"/>
    <n v="1274"/>
    <n v="0"/>
    <n v="1274"/>
    <x v="1"/>
    <x v="6"/>
    <n v="0"/>
    <x v="13"/>
  </r>
  <r>
    <n v="2582"/>
    <s v="Delhi Arogya kosh"/>
    <d v="2022-10-29T00:00:00"/>
    <x v="1"/>
    <d v="2022-10-29T00:00:00"/>
    <d v="2022-10-29T00:00:00"/>
    <n v="22029113"/>
    <n v="2237962"/>
    <n v="1000933464"/>
    <s v="SACHIN MITTAL"/>
    <x v="243"/>
    <n v="0"/>
    <n v="1274"/>
    <n v="0"/>
    <n v="1274"/>
    <x v="1"/>
    <x v="6"/>
    <n v="0"/>
    <x v="13"/>
  </r>
  <r>
    <n v="2583"/>
    <s v="Delhi Arogya kosh"/>
    <d v="2022-10-23T00:00:00"/>
    <x v="1"/>
    <d v="2022-10-23T00:00:00"/>
    <d v="2022-10-23T00:00:00"/>
    <n v="22028395"/>
    <n v="2237178"/>
    <n v="10013513950"/>
    <s v="RAJENDRA PRASAD AGARWAL"/>
    <x v="243"/>
    <n v="0"/>
    <n v="1274"/>
    <n v="0"/>
    <n v="1274"/>
    <x v="1"/>
    <x v="6"/>
    <n v="0"/>
    <x v="13"/>
  </r>
  <r>
    <n v="2584"/>
    <s v=" FUTURE GENERALI HEALTH"/>
    <d v="2022-10-27T00:00:00"/>
    <x v="1"/>
    <d v="2022-10-30T00:00:00"/>
    <d v="2022-10-30T00:00:00"/>
    <n v="22029223"/>
    <n v="2237724"/>
    <n v="1001806655"/>
    <s v="DIYA"/>
    <x v="1328"/>
    <n v="2363"/>
    <n v="35505"/>
    <n v="0"/>
    <n v="35505"/>
    <x v="1"/>
    <x v="3"/>
    <n v="0"/>
    <x v="3"/>
  </r>
  <r>
    <n v="2585"/>
    <s v="Delhi Arogya kosh"/>
    <d v="2022-10-11T00:00:00"/>
    <x v="1"/>
    <d v="2022-10-11T00:00:00"/>
    <d v="2022-10-11T00:00:00"/>
    <n v="22026639"/>
    <n v="2235614"/>
    <n v="1000891355"/>
    <s v="PRAHLAD"/>
    <x v="243"/>
    <n v="0"/>
    <n v="1274"/>
    <n v="0"/>
    <n v="1274"/>
    <x v="1"/>
    <x v="6"/>
    <n v="0"/>
    <x v="13"/>
  </r>
  <r>
    <n v="2586"/>
    <s v="Delhi Arogya kosh"/>
    <d v="2022-10-07T00:00:00"/>
    <x v="1"/>
    <d v="2022-10-07T00:00:00"/>
    <d v="2022-10-07T00:00:00"/>
    <n v="22026034"/>
    <n v="2235056"/>
    <n v="10013299539"/>
    <s v="SATISH MALIK"/>
    <x v="243"/>
    <n v="0"/>
    <n v="1274"/>
    <n v="0"/>
    <n v="1274"/>
    <x v="1"/>
    <x v="6"/>
    <n v="0"/>
    <x v="13"/>
  </r>
  <r>
    <n v="2587"/>
    <s v="Safeway Mediclaim Services Pvt. Ltd."/>
    <d v="2022-10-04T00:00:00"/>
    <x v="1"/>
    <d v="2022-10-04T00:00:00"/>
    <d v="2022-10-04T00:00:00"/>
    <n v="22025478"/>
    <n v="2234515"/>
    <n v="1000992104"/>
    <s v="SARITA GOEL"/>
    <x v="75"/>
    <n v="0"/>
    <n v="2200"/>
    <n v="0"/>
    <n v="2200"/>
    <x v="1"/>
    <x v="12"/>
    <n v="0"/>
    <x v="13"/>
  </r>
  <r>
    <n v="2588"/>
    <s v=" ECHS CREDIT"/>
    <d v="2022-10-14T00:00:00"/>
    <x v="1"/>
    <d v="2022-10-14T00:00:00"/>
    <d v="2022-10-14T00:00:00"/>
    <n v="22027059"/>
    <n v="2235974"/>
    <n v="1001765693"/>
    <s v="SHRI PRAKASH PRAJAPATI"/>
    <x v="43"/>
    <n v="0"/>
    <n v="1610"/>
    <n v="0"/>
    <n v="1610"/>
    <x v="1"/>
    <x v="6"/>
    <n v="0"/>
    <x v="13"/>
  </r>
  <r>
    <n v="2589"/>
    <s v="Delhi Arogya kosh"/>
    <d v="2022-10-22T00:00:00"/>
    <x v="1"/>
    <d v="2022-10-22T00:00:00"/>
    <d v="2022-10-22T00:00:00"/>
    <n v="22028270"/>
    <n v="2237073"/>
    <n v="10013506167"/>
    <s v="KETAN GOEL"/>
    <x v="243"/>
    <n v="0"/>
    <n v="1274"/>
    <n v="0"/>
    <n v="1274"/>
    <x v="1"/>
    <x v="6"/>
    <n v="0"/>
    <x v="13"/>
  </r>
  <r>
    <n v="2590"/>
    <s v="Delhi Arogya kosh"/>
    <d v="2022-10-27T00:00:00"/>
    <x v="1"/>
    <d v="2022-10-27T00:00:00"/>
    <d v="2022-10-27T00:00:00"/>
    <n v="22028719"/>
    <n v="2237612"/>
    <n v="1000891036"/>
    <s v="RAKIKESH KUMAR"/>
    <x v="243"/>
    <n v="0"/>
    <n v="1274"/>
    <n v="0"/>
    <n v="1274"/>
    <x v="1"/>
    <x v="6"/>
    <n v="0"/>
    <x v="13"/>
  </r>
  <r>
    <n v="2591"/>
    <s v=" ECHS CREDIT"/>
    <d v="2022-09-29T00:00:00"/>
    <x v="0"/>
    <d v="2022-10-01T00:00:00"/>
    <d v="2022-10-01T00:00:00"/>
    <n v="22025158"/>
    <n v="2233874"/>
    <n v="1001799770"/>
    <s v="RAGHUBIR"/>
    <x v="1329"/>
    <n v="0"/>
    <n v="19639"/>
    <n v="0"/>
    <n v="19639"/>
    <x v="1"/>
    <x v="1"/>
    <n v="0"/>
    <x v="11"/>
  </r>
  <r>
    <n v="2592"/>
    <s v="CGHS ( CREDIT)"/>
    <d v="2022-10-27T00:00:00"/>
    <x v="1"/>
    <d v="2022-10-27T00:00:00"/>
    <d v="2022-10-27T00:00:00"/>
    <n v="22028717"/>
    <n v="2237609"/>
    <n v="1001531709"/>
    <s v="TASVIR SINGH"/>
    <x v="43"/>
    <n v="0"/>
    <n v="1610"/>
    <n v="0"/>
    <n v="1610"/>
    <x v="1"/>
    <x v="6"/>
    <n v="0"/>
    <x v="13"/>
  </r>
  <r>
    <n v="2593"/>
    <s v="GOVT. OF NCT OF DELHI"/>
    <d v="2022-10-12T00:00:00"/>
    <x v="1"/>
    <d v="2022-10-12T00:00:00"/>
    <d v="2022-10-12T00:00:00"/>
    <n v="22026736"/>
    <n v="2235679"/>
    <n v="10013502614"/>
    <s v="RAM SAHAI"/>
    <x v="43"/>
    <n v="0"/>
    <n v="1610"/>
    <n v="0"/>
    <n v="1610"/>
    <x v="1"/>
    <x v="6"/>
    <n v="0"/>
    <x v="13"/>
  </r>
  <r>
    <n v="2594"/>
    <s v="Delhi Arogya kosh"/>
    <d v="2022-10-15T00:00:00"/>
    <x v="1"/>
    <d v="2022-10-15T00:00:00"/>
    <d v="2022-10-15T00:00:00"/>
    <n v="22027276"/>
    <n v="2236195"/>
    <n v="10013499172"/>
    <s v="TUSHAR GOEL"/>
    <x v="243"/>
    <n v="0"/>
    <n v="1274"/>
    <n v="0"/>
    <n v="1274"/>
    <x v="1"/>
    <x v="6"/>
    <n v="0"/>
    <x v="13"/>
  </r>
  <r>
    <n v="2595"/>
    <s v="Delhi Arogya kosh"/>
    <d v="2022-10-14T00:00:00"/>
    <x v="1"/>
    <d v="2022-10-14T00:00:00"/>
    <d v="2022-10-14T00:00:00"/>
    <n v="22026968"/>
    <n v="2235929"/>
    <n v="1001033406"/>
    <s v="SURENDER GOEL"/>
    <x v="243"/>
    <n v="0"/>
    <n v="1274"/>
    <n v="0"/>
    <n v="1274"/>
    <x v="1"/>
    <x v="6"/>
    <n v="0"/>
    <x v="13"/>
  </r>
  <r>
    <n v="2596"/>
    <s v="MEDI ASSIST"/>
    <d v="2022-10-04T00:00:00"/>
    <x v="1"/>
    <d v="2022-10-06T00:00:00"/>
    <d v="2022-10-06T00:00:00"/>
    <n v="22025836"/>
    <n v="2234528"/>
    <n v="10013446989"/>
    <s v="SWATI JAIN"/>
    <x v="1330"/>
    <n v="2319"/>
    <n v="82090"/>
    <n v="2593"/>
    <n v="79497"/>
    <x v="1"/>
    <x v="2"/>
    <n v="3.1587282251187718E-2"/>
    <x v="1"/>
  </r>
  <r>
    <n v="2597"/>
    <s v="DGHS (DELHI GOVT.)"/>
    <d v="2022-10-04T00:00:00"/>
    <x v="1"/>
    <d v="2022-10-06T00:00:00"/>
    <d v="2022-10-06T00:00:00"/>
    <n v="22025859"/>
    <n v="2234538"/>
    <n v="1001802366"/>
    <s v="NITANSHA MALE BABY GULATI"/>
    <x v="1331"/>
    <n v="0"/>
    <n v="3462"/>
    <n v="3462"/>
    <n v="0"/>
    <x v="0"/>
    <x v="0"/>
    <n v="1"/>
    <x v="3"/>
  </r>
  <r>
    <n v="2598"/>
    <s v="GENERAL PATIENT"/>
    <d v="2022-10-15T00:00:00"/>
    <x v="1"/>
    <d v="2022-10-17T00:00:00"/>
    <d v="2022-10-17T00:00:00"/>
    <n v="22027406"/>
    <n v="2236067"/>
    <n v="10013543091"/>
    <s v="SUSHIL BAKSHI"/>
    <x v="1332"/>
    <n v="17065"/>
    <n v="261574"/>
    <n v="261574"/>
    <n v="0"/>
    <x v="0"/>
    <x v="1"/>
    <n v="1"/>
    <x v="4"/>
  </r>
  <r>
    <n v="2599"/>
    <s v="GENERAL PATIENT"/>
    <d v="2022-10-17T00:00:00"/>
    <x v="1"/>
    <d v="2022-10-20T00:00:00"/>
    <d v="2022-10-20T00:00:00"/>
    <n v="22027823"/>
    <n v="2236286"/>
    <n v="10013542873"/>
    <s v="H.N. BHAT"/>
    <x v="1333"/>
    <n v="32914"/>
    <n v="126433"/>
    <n v="126433"/>
    <n v="0"/>
    <x v="0"/>
    <x v="2"/>
    <n v="1"/>
    <x v="5"/>
  </r>
  <r>
    <n v="2600"/>
    <s v="GENERAL PATIENT"/>
    <d v="2022-10-26T00:00:00"/>
    <x v="1"/>
    <d v="2022-10-26T00:00:00"/>
    <d v="2022-10-26T00:00:00"/>
    <n v="22028671"/>
    <n v="2237513"/>
    <n v="1001806339"/>
    <s v="SANGEETA JAIN"/>
    <x v="19"/>
    <n v="0"/>
    <n v="14000"/>
    <n v="14000"/>
    <n v="0"/>
    <x v="0"/>
    <x v="6"/>
    <n v="1"/>
    <x v="4"/>
  </r>
  <r>
    <n v="2601"/>
    <s v="NHA - CENTRAL ARMED POLICE FORCES (CGHS)"/>
    <d v="2022-10-28T00:00:00"/>
    <x v="1"/>
    <d v="2022-10-31T00:00:00"/>
    <d v="2022-10-31T00:00:00"/>
    <n v="22029284"/>
    <n v="2237860"/>
    <n v="10013544950"/>
    <s v="SUSHILA DEVI"/>
    <x v="1334"/>
    <n v="0"/>
    <n v="23561"/>
    <n v="580"/>
    <n v="22981"/>
    <x v="1"/>
    <x v="1"/>
    <n v="2.4616951742285981E-2"/>
    <x v="9"/>
  </r>
  <r>
    <n v="2602"/>
    <s v="MEDI ASSIST"/>
    <d v="2022-10-30T00:00:00"/>
    <x v="1"/>
    <d v="2022-10-31T00:00:00"/>
    <d v="2022-10-31T00:00:00"/>
    <n v="22029269"/>
    <n v="2238061"/>
    <n v="1001807117"/>
    <s v="LIVYA AGGARWAL"/>
    <x v="1335"/>
    <n v="15754"/>
    <n v="93693"/>
    <n v="1208"/>
    <n v="92485"/>
    <x v="1"/>
    <x v="2"/>
    <n v="1.2893172382141676E-2"/>
    <x v="6"/>
  </r>
  <r>
    <n v="2603"/>
    <s v="Paramount Health Services (TPA) Private Limited"/>
    <d v="2022-10-14T00:00:00"/>
    <x v="1"/>
    <d v="2022-10-17T00:00:00"/>
    <d v="2022-10-17T00:00:00"/>
    <n v="22027416"/>
    <n v="2235968"/>
    <n v="1001804347"/>
    <s v="MEHAK MALE BABY GOYAL"/>
    <x v="1336"/>
    <n v="0"/>
    <n v="20043"/>
    <n v="20043"/>
    <n v="0"/>
    <x v="0"/>
    <x v="2"/>
    <n v="1"/>
    <x v="3"/>
  </r>
  <r>
    <n v="2604"/>
    <s v="GENERAL PATIENT"/>
    <d v="2022-10-10T00:00:00"/>
    <x v="1"/>
    <d v="2022-10-17T00:00:00"/>
    <d v="2022-10-17T00:00:00"/>
    <n v="22027490"/>
    <n v="2235472"/>
    <n v="10013314613"/>
    <s v="SATISH KUMAR"/>
    <x v="1337"/>
    <n v="103854"/>
    <n v="242799"/>
    <n v="242799"/>
    <n v="0"/>
    <x v="0"/>
    <x v="13"/>
    <n v="1"/>
    <x v="0"/>
  </r>
  <r>
    <n v="2605"/>
    <s v="Safeway Mediclaim Services Pvt. Ltd."/>
    <d v="2022-10-07T00:00:00"/>
    <x v="1"/>
    <d v="2022-10-17T00:00:00"/>
    <d v="2022-10-17T00:00:00"/>
    <n v="22027437"/>
    <n v="2235035"/>
    <n v="10013496280"/>
    <s v="DEEPIKA WADHWA"/>
    <x v="1338"/>
    <n v="23910"/>
    <n v="190233"/>
    <n v="59512"/>
    <n v="130721"/>
    <x v="1"/>
    <x v="3"/>
    <n v="0.31283741516981806"/>
    <x v="12"/>
  </r>
  <r>
    <n v="2606"/>
    <s v="STAR HEALTH CARE  (CREDIT)"/>
    <d v="2022-10-06T00:00:00"/>
    <x v="1"/>
    <d v="2022-10-07T00:00:00"/>
    <d v="2022-10-07T00:00:00"/>
    <n v="22025946"/>
    <n v="2234848"/>
    <n v="10013541735"/>
    <s v="NAROTTAM KUMAR NATIYA"/>
    <x v="1339"/>
    <n v="0"/>
    <n v="259304"/>
    <n v="1500"/>
    <n v="257804"/>
    <x v="1"/>
    <x v="1"/>
    <n v="5.7847160090087309E-3"/>
    <x v="4"/>
  </r>
  <r>
    <n v="2607"/>
    <s v="GENERAL PATIENT"/>
    <d v="2022-10-19T00:00:00"/>
    <x v="1"/>
    <d v="2022-10-21T00:00:00"/>
    <d v="2022-10-21T00:00:00"/>
    <n v="22028070"/>
    <n v="2236602"/>
    <n v="10013543361"/>
    <s v="CHANDESHWAR PRASAD"/>
    <x v="1340"/>
    <n v="16346"/>
    <n v="113791"/>
    <n v="113791"/>
    <n v="0"/>
    <x v="0"/>
    <x v="1"/>
    <n v="1"/>
    <x v="16"/>
  </r>
  <r>
    <n v="2608"/>
    <s v="STAR HEALTH CARE  (CREDIT)"/>
    <d v="2022-10-02T00:00:00"/>
    <x v="1"/>
    <d v="2022-10-04T00:00:00"/>
    <d v="2022-10-04T00:00:00"/>
    <n v="22025518"/>
    <n v="2234314"/>
    <n v="10013522878"/>
    <s v="GURMEET SACHDEVA"/>
    <x v="1341"/>
    <n v="7082"/>
    <n v="42600"/>
    <n v="42600"/>
    <n v="0"/>
    <x v="0"/>
    <x v="1"/>
    <n v="1"/>
    <x v="15"/>
  </r>
  <r>
    <n v="2609"/>
    <s v="NIVA BUPA"/>
    <d v="2022-09-24T00:00:00"/>
    <x v="0"/>
    <d v="2022-10-04T00:00:00"/>
    <d v="2022-10-04T00:00:00"/>
    <n v="22025508"/>
    <n v="2233385"/>
    <n v="10013540267"/>
    <s v="RAJ KUMAR YADAV"/>
    <x v="1342"/>
    <n v="10896"/>
    <n v="99629"/>
    <n v="4321"/>
    <n v="95308"/>
    <x v="1"/>
    <x v="1"/>
    <n v="4.3370906061488121E-2"/>
    <x v="0"/>
  </r>
  <r>
    <n v="2610"/>
    <s v="HARAYANA GOVT."/>
    <d v="2022-10-02T00:00:00"/>
    <x v="1"/>
    <d v="2022-10-05T00:00:00"/>
    <d v="2022-10-05T00:00:00"/>
    <n v="22025670"/>
    <n v="2234327"/>
    <n v="10013492844"/>
    <s v="AZAD SINGH"/>
    <x v="1343"/>
    <n v="0"/>
    <n v="644547"/>
    <n v="644547"/>
    <n v="0"/>
    <x v="0"/>
    <x v="0"/>
    <n v="1"/>
    <x v="4"/>
  </r>
  <r>
    <n v="2611"/>
    <s v="ICICI Lombard General Insurance"/>
    <d v="2022-10-26T00:00:00"/>
    <x v="1"/>
    <d v="2022-10-29T00:00:00"/>
    <d v="2022-10-29T00:00:00"/>
    <n v="22029083"/>
    <n v="2237566"/>
    <n v="10013544650"/>
    <s v="SHAI ALAM"/>
    <x v="1344"/>
    <n v="805"/>
    <n v="148304"/>
    <n v="122"/>
    <n v="148182"/>
    <x v="1"/>
    <x v="2"/>
    <n v="8.2263458841298949E-4"/>
    <x v="16"/>
  </r>
  <r>
    <n v="2612"/>
    <s v="M.C.D"/>
    <d v="2022-10-24T00:00:00"/>
    <x v="1"/>
    <d v="2022-10-27T00:00:00"/>
    <d v="2022-10-27T00:00:00"/>
    <n v="22028743"/>
    <n v="2237241"/>
    <n v="10013524998"/>
    <s v="SHALU"/>
    <x v="1345"/>
    <n v="0"/>
    <n v="18301"/>
    <n v="18301"/>
    <n v="0"/>
    <x v="0"/>
    <x v="0"/>
    <n v="1"/>
    <x v="1"/>
  </r>
  <r>
    <n v="2613"/>
    <s v="M.C.D"/>
    <d v="2022-10-16T00:00:00"/>
    <x v="1"/>
    <d v="2022-10-22T00:00:00"/>
    <d v="2022-10-22T00:00:00"/>
    <n v="22028254"/>
    <n v="2236248"/>
    <n v="1000990116"/>
    <s v="BHAGWANTI"/>
    <x v="1346"/>
    <n v="0"/>
    <n v="42746"/>
    <n v="42746"/>
    <n v="0"/>
    <x v="0"/>
    <x v="1"/>
    <n v="1"/>
    <x v="0"/>
  </r>
  <r>
    <n v="2614"/>
    <s v="STAR HEALTH CARE  (CREDIT)"/>
    <d v="2022-10-27T00:00:00"/>
    <x v="1"/>
    <d v="2022-10-31T00:00:00"/>
    <d v="2022-10-31T00:00:00"/>
    <n v="22029274"/>
    <n v="2237646"/>
    <n v="10013251808"/>
    <s v="RITIK"/>
    <x v="1347"/>
    <n v="7217"/>
    <n v="45337"/>
    <n v="3071"/>
    <n v="42266"/>
    <x v="1"/>
    <x v="1"/>
    <n v="6.7737168317268462E-2"/>
    <x v="0"/>
  </r>
  <r>
    <n v="2615"/>
    <s v="DGHS (DELHI GOVT.)"/>
    <d v="2022-10-27T00:00:00"/>
    <x v="1"/>
    <d v="2022-10-27T00:00:00"/>
    <d v="2022-10-27T00:00:00"/>
    <n v="22028805"/>
    <n v="2237656"/>
    <n v="1000868917"/>
    <s v="SANGEETA NARANG"/>
    <x v="261"/>
    <n v="0"/>
    <n v="11903"/>
    <n v="11903"/>
    <n v="0"/>
    <x v="0"/>
    <x v="1"/>
    <n v="1"/>
    <x v="4"/>
  </r>
  <r>
    <n v="2616"/>
    <s v="RAKSHA (TPA)"/>
    <d v="2022-10-12T00:00:00"/>
    <x v="1"/>
    <d v="2022-10-16T00:00:00"/>
    <d v="2022-10-16T00:00:00"/>
    <n v="22027307"/>
    <n v="2235777"/>
    <n v="10013525991"/>
    <s v="PRABJOT KAUR"/>
    <x v="1348"/>
    <n v="0"/>
    <n v="57605"/>
    <n v="7605"/>
    <n v="50000"/>
    <x v="1"/>
    <x v="3"/>
    <n v="0.13201978994878916"/>
    <x v="1"/>
  </r>
  <r>
    <n v="2617"/>
    <s v="Health Insurance TPA of India Ltd."/>
    <d v="2022-10-14T00:00:00"/>
    <x v="1"/>
    <d v="2022-10-16T00:00:00"/>
    <d v="2022-10-16T00:00:00"/>
    <n v="22027346"/>
    <n v="2235937"/>
    <n v="10013541007"/>
    <s v="KAMLESH GUPTA"/>
    <x v="1349"/>
    <n v="0"/>
    <n v="134116"/>
    <n v="1802"/>
    <n v="132314"/>
    <x v="1"/>
    <x v="3"/>
    <n v="1.3436129917384951E-2"/>
    <x v="7"/>
  </r>
  <r>
    <n v="2618"/>
    <s v="HARAYANA GOVT."/>
    <d v="2022-10-21T00:00:00"/>
    <x v="1"/>
    <d v="2022-10-22T00:00:00"/>
    <d v="2022-10-22T00:00:00"/>
    <n v="22028253"/>
    <n v="2236960"/>
    <n v="1001056843"/>
    <s v="SATISH VERMA"/>
    <x v="1350"/>
    <n v="0"/>
    <n v="14935"/>
    <n v="14935"/>
    <n v="0"/>
    <x v="0"/>
    <x v="1"/>
    <n v="1"/>
    <x v="0"/>
  </r>
  <r>
    <n v="2619"/>
    <s v="DGHS (DELHI GOVT.)"/>
    <d v="2022-09-19T00:00:00"/>
    <x v="0"/>
    <d v="2022-10-05T00:00:00"/>
    <d v="2022-10-05T00:00:00"/>
    <n v="22025755"/>
    <n v="2232497"/>
    <n v="10013362611"/>
    <s v="KRISHANA DEVI"/>
    <x v="1351"/>
    <n v="0"/>
    <n v="163230"/>
    <n v="163230"/>
    <n v="0"/>
    <x v="0"/>
    <x v="2"/>
    <n v="1"/>
    <x v="12"/>
  </r>
  <r>
    <n v="2620"/>
    <s v="DGHS (DELHI GOVT.)"/>
    <d v="2022-10-01T00:00:00"/>
    <x v="1"/>
    <d v="2022-10-21T00:00:00"/>
    <d v="2022-10-21T00:00:00"/>
    <n v="22028007"/>
    <n v="2234140"/>
    <n v="10013266099"/>
    <s v="SATENDER  SINGH"/>
    <x v="1352"/>
    <n v="0"/>
    <n v="526950"/>
    <n v="526950"/>
    <n v="0"/>
    <x v="0"/>
    <x v="2"/>
    <n v="1"/>
    <x v="0"/>
  </r>
  <r>
    <n v="2621"/>
    <s v="GENERAL PATIENT"/>
    <d v="2022-10-06T00:00:00"/>
    <x v="1"/>
    <d v="2022-10-10T00:00:00"/>
    <d v="2022-10-10T00:00:00"/>
    <n v="22026416"/>
    <n v="2234809"/>
    <n v="10013541691"/>
    <s v="HARJEET KAUR"/>
    <x v="1353"/>
    <n v="13103"/>
    <n v="81179"/>
    <n v="81179"/>
    <n v="0"/>
    <x v="0"/>
    <x v="1"/>
    <n v="1"/>
    <x v="2"/>
  </r>
  <r>
    <n v="2622"/>
    <s v="GENERAL PATIENT"/>
    <d v="2022-10-21T00:00:00"/>
    <x v="1"/>
    <d v="2022-10-21T00:00:00"/>
    <d v="2022-10-21T00:00:00"/>
    <n v="22028110"/>
    <n v="2236968"/>
    <n v="1001074324"/>
    <s v="RAMESH CHAND NIGAM"/>
    <x v="73"/>
    <n v="308"/>
    <n v="2536"/>
    <n v="2536"/>
    <n v="0"/>
    <x v="0"/>
    <x v="6"/>
    <n v="1"/>
    <x v="13"/>
  </r>
  <r>
    <n v="2623"/>
    <s v="GENERAL PATIENT"/>
    <d v="2022-10-17T00:00:00"/>
    <x v="1"/>
    <d v="2022-10-17T00:00:00"/>
    <d v="2022-10-17T00:00:00"/>
    <n v="22027475"/>
    <n v="2236349"/>
    <n v="1001804855"/>
    <s v="YASIN"/>
    <x v="19"/>
    <n v="0"/>
    <n v="14000"/>
    <n v="14000"/>
    <n v="0"/>
    <x v="0"/>
    <x v="6"/>
    <n v="1"/>
    <x v="4"/>
  </r>
  <r>
    <n v="2624"/>
    <s v="GENERAL PATIENT"/>
    <d v="2022-10-10T00:00:00"/>
    <x v="1"/>
    <d v="2022-10-12T00:00:00"/>
    <d v="2022-10-12T00:00:00"/>
    <n v="22026742"/>
    <n v="2235358"/>
    <n v="10013521147"/>
    <s v="PRIYANKA BATRA"/>
    <x v="1354"/>
    <n v="9512"/>
    <n v="69167"/>
    <n v="69167"/>
    <n v="0"/>
    <x v="0"/>
    <x v="0"/>
    <n v="1"/>
    <x v="1"/>
  </r>
  <r>
    <n v="2625"/>
    <s v="GENERAL PATIENT"/>
    <d v="2022-10-12T00:00:00"/>
    <x v="1"/>
    <d v="2022-10-17T00:00:00"/>
    <d v="2022-10-17T00:00:00"/>
    <n v="22027407"/>
    <n v="2235774"/>
    <n v="10013542665"/>
    <s v="CHANDAN KUMAR"/>
    <x v="1355"/>
    <n v="7547"/>
    <n v="47357"/>
    <n v="47357"/>
    <n v="0"/>
    <x v="0"/>
    <x v="1"/>
    <n v="1"/>
    <x v="0"/>
  </r>
  <r>
    <n v="2626"/>
    <s v="ICICI Lombard General Insurance"/>
    <d v="2022-10-17T00:00:00"/>
    <x v="1"/>
    <d v="2022-10-22T00:00:00"/>
    <d v="2022-10-22T00:00:00"/>
    <n v="22028199"/>
    <n v="2236375"/>
    <n v="10013543448"/>
    <s v="SHREYANSH JAIN"/>
    <x v="1356"/>
    <n v="3084"/>
    <n v="77955"/>
    <n v="4554"/>
    <n v="73401"/>
    <x v="1"/>
    <x v="1"/>
    <n v="5.8418318260534924E-2"/>
    <x v="0"/>
  </r>
  <r>
    <n v="2627"/>
    <s v="STAR HEALTH CARE  (CREDIT)"/>
    <d v="2022-10-19T00:00:00"/>
    <x v="1"/>
    <d v="2022-10-23T00:00:00"/>
    <d v="2022-10-23T00:00:00"/>
    <n v="22028362"/>
    <n v="2236703"/>
    <n v="10013542632"/>
    <s v="GAJENDER YADAV"/>
    <x v="1357"/>
    <n v="9433"/>
    <n v="89957"/>
    <n v="4276"/>
    <n v="85681"/>
    <x v="1"/>
    <x v="1"/>
    <n v="4.7533821714819305E-2"/>
    <x v="0"/>
  </r>
  <r>
    <n v="2628"/>
    <s v="GENERAL PATIENT"/>
    <d v="2022-10-20T00:00:00"/>
    <x v="1"/>
    <d v="2022-10-23T00:00:00"/>
    <d v="2022-10-23T00:00:00"/>
    <n v="22028344"/>
    <n v="2236717"/>
    <n v="10013415692"/>
    <s v="MANOHAR LAL NARANG"/>
    <x v="1358"/>
    <n v="20662"/>
    <n v="102633"/>
    <n v="102633"/>
    <n v="0"/>
    <x v="0"/>
    <x v="1"/>
    <n v="1"/>
    <x v="0"/>
  </r>
  <r>
    <n v="2629"/>
    <s v="GENERAL PATIENT"/>
    <d v="2022-10-14T00:00:00"/>
    <x v="1"/>
    <d v="2022-10-14T00:00:00"/>
    <d v="2022-10-14T00:00:00"/>
    <n v="22026987"/>
    <n v="2235911"/>
    <n v="1001666089"/>
    <s v="PRADEEP BISHT"/>
    <x v="127"/>
    <n v="500"/>
    <n v="2180"/>
    <n v="2180"/>
    <n v="0"/>
    <x v="0"/>
    <x v="6"/>
    <n v="1"/>
    <x v="13"/>
  </r>
  <r>
    <n v="2630"/>
    <s v=" CGHS Cash"/>
    <d v="2022-10-04T00:00:00"/>
    <x v="1"/>
    <d v="2022-10-22T00:00:00"/>
    <d v="2022-10-22T00:00:00"/>
    <n v="22028226"/>
    <n v="2234647"/>
    <n v="1001802487"/>
    <s v="JAGDISH CHANDRA UPADAYAYA"/>
    <x v="1359"/>
    <n v="0"/>
    <n v="188041"/>
    <n v="188041"/>
    <n v="0"/>
    <x v="0"/>
    <x v="1"/>
    <n v="1"/>
    <x v="0"/>
  </r>
  <r>
    <n v="2631"/>
    <s v=" BAJAJ ALLIANZ INSURANCE "/>
    <d v="2022-10-11T00:00:00"/>
    <x v="1"/>
    <d v="2022-10-14T00:00:00"/>
    <d v="2022-10-14T00:00:00"/>
    <n v="22027014"/>
    <n v="2235615"/>
    <n v="1001415135"/>
    <s v="ANANYA CHAUDHARY"/>
    <x v="1360"/>
    <n v="8276"/>
    <n v="40090"/>
    <n v="1658"/>
    <n v="38432"/>
    <x v="1"/>
    <x v="0"/>
    <n v="4.1356946869543526E-2"/>
    <x v="3"/>
  </r>
  <r>
    <n v="2632"/>
    <s v="HARAYANA GOVT."/>
    <d v="2022-10-10T00:00:00"/>
    <x v="1"/>
    <d v="2022-10-21T00:00:00"/>
    <d v="2022-10-21T00:00:00"/>
    <n v="22027977"/>
    <n v="2235361"/>
    <n v="1001803541"/>
    <s v="KRISHAN CHANDER KAUSHIK"/>
    <x v="1361"/>
    <n v="0"/>
    <n v="232520"/>
    <n v="232520"/>
    <n v="0"/>
    <x v="0"/>
    <x v="0"/>
    <n v="1"/>
    <x v="10"/>
  </r>
  <r>
    <n v="2633"/>
    <s v="CGHS"/>
    <d v="2022-10-11T00:00:00"/>
    <x v="1"/>
    <d v="2022-10-13T00:00:00"/>
    <d v="2022-10-13T00:00:00"/>
    <n v="22026874"/>
    <n v="2235574"/>
    <n v="1001795457"/>
    <s v="KADAM SINGH"/>
    <x v="1362"/>
    <n v="0"/>
    <n v="27915"/>
    <n v="27915"/>
    <n v="0"/>
    <x v="0"/>
    <x v="1"/>
    <n v="1"/>
    <x v="5"/>
  </r>
  <r>
    <n v="2634"/>
    <s v="GENERAL PATIENT"/>
    <d v="2022-10-23T00:00:00"/>
    <x v="1"/>
    <d v="2022-10-31T00:00:00"/>
    <d v="2022-10-31T00:00:00"/>
    <n v="22029352"/>
    <n v="2237165"/>
    <n v="10013544234"/>
    <s v="NAND KISHOR"/>
    <x v="1363"/>
    <n v="78017"/>
    <n v="331498"/>
    <n v="331498"/>
    <n v="0"/>
    <x v="0"/>
    <x v="1"/>
    <n v="1"/>
    <x v="11"/>
  </r>
  <r>
    <n v="2635"/>
    <s v="GENERAL PATIENT"/>
    <d v="2022-10-22T00:00:00"/>
    <x v="1"/>
    <d v="2022-10-27T00:00:00"/>
    <d v="2022-10-27T00:00:00"/>
    <n v="22028756"/>
    <n v="2237111"/>
    <n v="10013544198"/>
    <s v="MANNAT KAUR"/>
    <x v="1364"/>
    <n v="11312"/>
    <n v="76030"/>
    <n v="76030"/>
    <n v="0"/>
    <x v="0"/>
    <x v="1"/>
    <n v="1"/>
    <x v="3"/>
  </r>
  <r>
    <n v="2636"/>
    <s v="RAKSHA (TPA)"/>
    <d v="2022-10-19T00:00:00"/>
    <x v="1"/>
    <d v="2022-10-20T00:00:00"/>
    <d v="2022-10-20T00:00:00"/>
    <n v="22027913"/>
    <n v="2236599"/>
    <n v="10013543597"/>
    <s v="KAVITA VERMA"/>
    <x v="1365"/>
    <n v="5373"/>
    <n v="54138"/>
    <n v="2225"/>
    <n v="51913"/>
    <x v="1"/>
    <x v="3"/>
    <n v="4.1098673759651261E-2"/>
    <x v="1"/>
  </r>
  <r>
    <n v="2637"/>
    <s v="VIPUL MED CORP PVT LTD"/>
    <d v="2022-09-27T00:00:00"/>
    <x v="0"/>
    <d v="2022-10-04T00:00:00"/>
    <d v="2022-10-04T00:00:00"/>
    <n v="22025542"/>
    <n v="2233575"/>
    <n v="1001763369"/>
    <s v="NARINDER PAL"/>
    <x v="1366"/>
    <n v="25274"/>
    <n v="199004"/>
    <n v="199004"/>
    <n v="0"/>
    <x v="0"/>
    <x v="3"/>
    <n v="1"/>
    <x v="0"/>
  </r>
  <r>
    <n v="2638"/>
    <s v="MEDI ASSIST"/>
    <d v="2022-10-22T00:00:00"/>
    <x v="1"/>
    <d v="2022-10-22T00:00:00"/>
    <d v="2022-10-22T00:00:00"/>
    <n v="22028256"/>
    <n v="2237019"/>
    <n v="10013543057"/>
    <s v="ABRAHAM KHAN"/>
    <x v="1367"/>
    <n v="0"/>
    <n v="74625"/>
    <n v="1500"/>
    <n v="73125"/>
    <x v="1"/>
    <x v="12"/>
    <n v="2.0100502512562814E-2"/>
    <x v="21"/>
  </r>
  <r>
    <n v="2639"/>
    <s v="GENERAL PATIENT"/>
    <d v="2022-10-23T00:00:00"/>
    <x v="1"/>
    <d v="2022-10-23T00:00:00"/>
    <d v="2022-10-23T00:00:00"/>
    <n v="22028363"/>
    <n v="2237116"/>
    <n v="1001805846"/>
    <s v="SWETA MALE BABY"/>
    <x v="1368"/>
    <n v="1169"/>
    <n v="6625"/>
    <n v="6625"/>
    <n v="0"/>
    <x v="0"/>
    <x v="0"/>
    <n v="1"/>
    <x v="3"/>
  </r>
  <r>
    <n v="2640"/>
    <s v="CGHS"/>
    <d v="2022-10-22T00:00:00"/>
    <x v="1"/>
    <d v="2022-10-22T00:00:00"/>
    <d v="2022-10-22T00:00:00"/>
    <n v="22028124"/>
    <n v="2237005"/>
    <n v="10013480632"/>
    <s v="MANJU GUPTA"/>
    <x v="43"/>
    <n v="0"/>
    <n v="1610"/>
    <n v="1610"/>
    <n v="0"/>
    <x v="0"/>
    <x v="6"/>
    <n v="1"/>
    <x v="13"/>
  </r>
  <r>
    <n v="2641"/>
    <s v="HARAYANA GOVT."/>
    <d v="2022-10-11T00:00:00"/>
    <x v="1"/>
    <d v="2022-10-14T00:00:00"/>
    <d v="2022-10-14T00:00:00"/>
    <n v="22027090"/>
    <n v="2235593"/>
    <n v="10013542589"/>
    <s v="SUNITA"/>
    <x v="1369"/>
    <n v="0"/>
    <n v="105491"/>
    <n v="105491"/>
    <n v="0"/>
    <x v="0"/>
    <x v="1"/>
    <n v="1"/>
    <x v="7"/>
  </r>
  <r>
    <n v="2642"/>
    <s v="GENERAL PATIENT"/>
    <d v="2022-10-11T00:00:00"/>
    <x v="1"/>
    <d v="2022-10-11T00:00:00"/>
    <d v="2022-10-11T00:00:00"/>
    <n v="22026647"/>
    <n v="2235600"/>
    <n v="10013542445"/>
    <s v="MOHD. KHALID"/>
    <x v="19"/>
    <n v="0"/>
    <n v="14000"/>
    <n v="14000"/>
    <n v="0"/>
    <x v="0"/>
    <x v="6"/>
    <n v="1"/>
    <x v="4"/>
  </r>
  <r>
    <n v="2643"/>
    <s v="GOVT. OF NCT OF DELHI"/>
    <d v="2022-10-29T00:00:00"/>
    <x v="1"/>
    <d v="2022-10-29T00:00:00"/>
    <d v="2022-10-29T00:00:00"/>
    <n v="22029054"/>
    <n v="2237955"/>
    <n v="10013362937"/>
    <s v="JAYAMANTI"/>
    <x v="43"/>
    <n v="0"/>
    <n v="1610"/>
    <n v="1610"/>
    <n v="0"/>
    <x v="0"/>
    <x v="6"/>
    <n v="1"/>
    <x v="13"/>
  </r>
  <r>
    <n v="2644"/>
    <s v=" CGHS Cash"/>
    <d v="2022-10-25T00:00:00"/>
    <x v="1"/>
    <d v="2022-10-25T00:00:00"/>
    <d v="2022-10-25T00:00:00"/>
    <n v="22028512"/>
    <n v="2237330"/>
    <n v="1001735831"/>
    <s v="MOHAN KUMARI BHATIA"/>
    <x v="137"/>
    <n v="0"/>
    <n v="2560"/>
    <n v="2560"/>
    <n v="0"/>
    <x v="0"/>
    <x v="6"/>
    <n v="1"/>
    <x v="13"/>
  </r>
  <r>
    <n v="2645"/>
    <s v="M.C.D"/>
    <d v="2022-10-28T00:00:00"/>
    <x v="1"/>
    <d v="2022-10-30T00:00:00"/>
    <d v="2022-10-30T00:00:00"/>
    <n v="22029227"/>
    <n v="2237846"/>
    <n v="10013542858"/>
    <s v="PREM SINGH"/>
    <x v="1370"/>
    <n v="0"/>
    <n v="16027"/>
    <n v="16027"/>
    <n v="0"/>
    <x v="0"/>
    <x v="1"/>
    <n v="1"/>
    <x v="15"/>
  </r>
  <r>
    <n v="2646"/>
    <s v="CARE HEALTH INSURANCE LIMITED"/>
    <d v="2022-09-29T00:00:00"/>
    <x v="0"/>
    <d v="2022-10-04T00:00:00"/>
    <d v="2022-10-04T00:00:00"/>
    <n v="22025561"/>
    <n v="2233872"/>
    <n v="10013540736"/>
    <s v="HARDEEP GROVER"/>
    <x v="1371"/>
    <n v="21464"/>
    <n v="145967"/>
    <n v="12829"/>
    <n v="133138"/>
    <x v="1"/>
    <x v="10"/>
    <n v="8.7889728500277459E-2"/>
    <x v="0"/>
  </r>
  <r>
    <n v="2647"/>
    <s v="GENERAL PATIENT"/>
    <d v="2022-10-04T00:00:00"/>
    <x v="1"/>
    <d v="2022-10-04T00:00:00"/>
    <d v="2022-10-04T00:00:00"/>
    <n v="22025621"/>
    <n v="2234623"/>
    <n v="1001770185"/>
    <s v="RAJNI RANA"/>
    <x v="16"/>
    <n v="0"/>
    <n v="0"/>
    <n v="0"/>
    <n v="0"/>
    <x v="0"/>
    <x v="0"/>
    <e v="#DIV/0!"/>
    <x v="0"/>
  </r>
  <r>
    <n v="2648"/>
    <s v="GENERAL PATIENT"/>
    <d v="2022-10-10T00:00:00"/>
    <x v="1"/>
    <d v="2022-10-10T00:00:00"/>
    <d v="2022-10-10T00:00:00"/>
    <n v="22026342"/>
    <n v="2235338"/>
    <n v="1001314823"/>
    <s v="MUKESH KUMAR"/>
    <x v="64"/>
    <n v="278"/>
    <n v="3352"/>
    <n v="3352"/>
    <n v="0"/>
    <x v="0"/>
    <x v="6"/>
    <n v="1"/>
    <x v="13"/>
  </r>
  <r>
    <n v="2649"/>
    <s v="GENERAL PATIENT"/>
    <d v="2022-09-27T00:00:00"/>
    <x v="0"/>
    <d v="2022-10-03T00:00:00"/>
    <d v="2022-10-03T00:00:00"/>
    <n v="22025422"/>
    <n v="2233694"/>
    <n v="1000929939"/>
    <s v="BIMLA DEVI"/>
    <x v="1372"/>
    <n v="31014"/>
    <n v="127147"/>
    <n v="127147"/>
    <n v="0"/>
    <x v="0"/>
    <x v="2"/>
    <n v="1"/>
    <x v="4"/>
  </r>
  <r>
    <n v="2650"/>
    <s v="GENERAL PATIENT"/>
    <d v="2022-10-21T00:00:00"/>
    <x v="1"/>
    <d v="2022-10-22T00:00:00"/>
    <d v="2022-10-22T00:00:00"/>
    <n v="22028285"/>
    <n v="2236895"/>
    <n v="10013544000"/>
    <s v="GAJENDRA GAUR"/>
    <x v="1373"/>
    <n v="76237"/>
    <n v="162243"/>
    <n v="162243"/>
    <n v="0"/>
    <x v="0"/>
    <x v="13"/>
    <n v="1"/>
    <x v="11"/>
  </r>
  <r>
    <n v="2651"/>
    <s v="GENERAL PATIENT"/>
    <d v="2022-10-24T00:00:00"/>
    <x v="1"/>
    <d v="2022-10-26T00:00:00"/>
    <d v="2022-10-26T00:00:00"/>
    <n v="22028604"/>
    <n v="2237237"/>
    <n v="1001805967"/>
    <s v="MUKESH KUMAR"/>
    <x v="1374"/>
    <n v="0"/>
    <n v="260589"/>
    <n v="260589"/>
    <n v="0"/>
    <x v="0"/>
    <x v="1"/>
    <n v="1"/>
    <x v="4"/>
  </r>
  <r>
    <n v="2652"/>
    <s v=" CGHS Cash"/>
    <d v="2022-10-01T00:00:00"/>
    <x v="1"/>
    <d v="2022-10-01T00:00:00"/>
    <d v="2022-10-01T00:00:00"/>
    <n v="22025182"/>
    <n v="2234214"/>
    <n v="1001797549"/>
    <s v="ASHOK KUMAR"/>
    <x v="137"/>
    <n v="0"/>
    <n v="2560"/>
    <n v="2560"/>
    <n v="0"/>
    <x v="0"/>
    <x v="6"/>
    <n v="1"/>
    <x v="13"/>
  </r>
  <r>
    <n v="2653"/>
    <s v=" STAR HEALTH TPA"/>
    <d v="2022-10-05T00:00:00"/>
    <x v="1"/>
    <d v="2022-10-11T00:00:00"/>
    <d v="2022-10-11T00:00:00"/>
    <n v="22026534"/>
    <n v="2234738"/>
    <n v="1001802559"/>
    <s v="PRIYANK KARKI"/>
    <x v="1375"/>
    <n v="8141"/>
    <n v="39638"/>
    <n v="3397"/>
    <n v="36241"/>
    <x v="1"/>
    <x v="1"/>
    <n v="8.5700590342600538E-2"/>
    <x v="3"/>
  </r>
  <r>
    <n v="2654"/>
    <s v=" Paramount Health Services and Insurance TPA Pvt.Ltd."/>
    <d v="2022-10-05T00:00:00"/>
    <x v="1"/>
    <d v="2022-10-08T00:00:00"/>
    <d v="2022-10-08T00:00:00"/>
    <n v="22026143"/>
    <n v="2234743"/>
    <n v="1001802560"/>
    <s v="NIKUNJ ANAND"/>
    <x v="1376"/>
    <n v="5972"/>
    <n v="35251"/>
    <n v="8042"/>
    <n v="27209"/>
    <x v="1"/>
    <x v="3"/>
    <n v="0.22813537204618309"/>
    <x v="3"/>
  </r>
  <r>
    <n v="2655"/>
    <s v="MD INDIA TPA PVT.LTD."/>
    <d v="2022-10-01T00:00:00"/>
    <x v="1"/>
    <d v="2022-10-06T00:00:00"/>
    <d v="2022-10-06T00:00:00"/>
    <n v="22025864"/>
    <n v="2234264"/>
    <n v="10013473741"/>
    <s v="RAHUL BAHRY"/>
    <x v="1377"/>
    <n v="18938"/>
    <n v="142461"/>
    <n v="10037"/>
    <n v="132424"/>
    <x v="1"/>
    <x v="14"/>
    <n v="7.0454369967921052E-2"/>
    <x v="0"/>
  </r>
  <r>
    <n v="2656"/>
    <s v="DGHS (DELHI GOVT.)"/>
    <d v="2022-10-11T00:00:00"/>
    <x v="1"/>
    <d v="2022-10-14T00:00:00"/>
    <d v="2022-10-14T00:00:00"/>
    <n v="22027020"/>
    <n v="2235557"/>
    <n v="1000978180"/>
    <s v="PADMA SHARMA"/>
    <x v="1378"/>
    <n v="0"/>
    <n v="151568"/>
    <n v="12210"/>
    <n v="139358"/>
    <x v="1"/>
    <x v="0"/>
    <n v="8.0557901403990287E-2"/>
    <x v="4"/>
  </r>
  <r>
    <n v="2657"/>
    <s v="STAFF"/>
    <d v="2022-10-14T00:00:00"/>
    <x v="1"/>
    <d v="2022-10-14T00:00:00"/>
    <d v="2022-10-14T00:00:00"/>
    <n v="22027045"/>
    <n v="2235905"/>
    <n v="1000928510"/>
    <s v="SEEMA GUPTA"/>
    <x v="1379"/>
    <n v="15982"/>
    <n v="0"/>
    <n v="0"/>
    <n v="0"/>
    <x v="0"/>
    <x v="9"/>
    <e v="#DIV/0!"/>
    <x v="1"/>
  </r>
  <r>
    <n v="2658"/>
    <s v="GENERAL PATIENT"/>
    <d v="2022-10-12T00:00:00"/>
    <x v="1"/>
    <d v="2022-10-14T00:00:00"/>
    <d v="2022-10-14T00:00:00"/>
    <n v="22027019"/>
    <n v="2235684"/>
    <n v="1001803941"/>
    <s v="POOJA FEMALE BABY-2"/>
    <x v="1380"/>
    <n v="5091"/>
    <n v="24070"/>
    <n v="24070"/>
    <n v="0"/>
    <x v="0"/>
    <x v="1"/>
    <n v="1"/>
    <x v="3"/>
  </r>
  <r>
    <n v="2659"/>
    <s v="STAR HEALTH CARE  (CREDIT)"/>
    <d v="2022-10-29T00:00:00"/>
    <x v="1"/>
    <d v="2022-10-30T00:00:00"/>
    <d v="2022-10-30T00:00:00"/>
    <n v="22029222"/>
    <n v="2237979"/>
    <n v="10013545086"/>
    <s v="DEVANSH JINDAL"/>
    <x v="1381"/>
    <n v="9585"/>
    <n v="66477"/>
    <n v="7964"/>
    <n v="58513"/>
    <x v="1"/>
    <x v="0"/>
    <n v="0.11980083337094033"/>
    <x v="11"/>
  </r>
  <r>
    <n v="2660"/>
    <s v="GENERAL PATIENT"/>
    <d v="2022-10-17T00:00:00"/>
    <x v="1"/>
    <d v="2022-10-17T00:00:00"/>
    <d v="2022-10-17T00:00:00"/>
    <n v="22027503"/>
    <n v="2236395"/>
    <n v="1001130529"/>
    <s v="SANJAY KUMAR"/>
    <x v="41"/>
    <n v="2794"/>
    <n v="0"/>
    <n v="0"/>
    <n v="0"/>
    <x v="0"/>
    <x v="9"/>
    <e v="#DIV/0!"/>
    <x v="13"/>
  </r>
  <r>
    <n v="2661"/>
    <s v="GENERAL PATIENT"/>
    <d v="2022-10-15T00:00:00"/>
    <x v="1"/>
    <d v="2022-10-18T00:00:00"/>
    <d v="2022-10-18T00:00:00"/>
    <n v="22027544"/>
    <n v="2236100"/>
    <n v="10013444351"/>
    <s v="PRIYANKA JAIN"/>
    <x v="1382"/>
    <n v="14305"/>
    <n v="96958"/>
    <n v="96958"/>
    <n v="0"/>
    <x v="0"/>
    <x v="2"/>
    <n v="1"/>
    <x v="1"/>
  </r>
  <r>
    <n v="2662"/>
    <s v=" STAR HEALTH TPA"/>
    <d v="2022-10-29T00:00:00"/>
    <x v="1"/>
    <d v="2022-10-30T00:00:00"/>
    <d v="2022-10-30T00:00:00"/>
    <n v="22029230"/>
    <n v="2237927"/>
    <n v="1001806905"/>
    <s v="KAMALJEET"/>
    <x v="1383"/>
    <n v="3848"/>
    <n v="62126"/>
    <n v="1000"/>
    <n v="61126"/>
    <x v="1"/>
    <x v="2"/>
    <n v="1.6096320381160868E-2"/>
    <x v="11"/>
  </r>
  <r>
    <n v="2663"/>
    <s v="GENERAL PATIENT"/>
    <d v="2022-10-31T00:00:00"/>
    <x v="1"/>
    <d v="2022-10-31T00:00:00"/>
    <d v="2022-10-31T00:00:00"/>
    <n v="22029359"/>
    <n v="2238174"/>
    <n v="1001807314"/>
    <s v="MRIDUL BHATIA"/>
    <x v="1384"/>
    <n v="620"/>
    <n v="17510"/>
    <n v="17510"/>
    <n v="0"/>
    <x v="0"/>
    <x v="6"/>
    <n v="1"/>
    <x v="4"/>
  </r>
  <r>
    <n v="2664"/>
    <s v=" RAKSHA TPA PVT.LTD."/>
    <d v="2022-10-05T00:00:00"/>
    <x v="1"/>
    <d v="2022-10-09T00:00:00"/>
    <d v="2022-10-09T00:00:00"/>
    <n v="22026308"/>
    <n v="2234685"/>
    <n v="1001802528"/>
    <s v="PRAMOD KUMAR"/>
    <x v="1385"/>
    <n v="13527"/>
    <n v="45834"/>
    <n v="1556"/>
    <n v="44278"/>
    <x v="1"/>
    <x v="0"/>
    <n v="3.3948597111314746E-2"/>
    <x v="0"/>
  </r>
  <r>
    <n v="2665"/>
    <s v=" Paramount Health Services and Insurance TPA Pvt.Ltd."/>
    <d v="2022-10-08T00:00:00"/>
    <x v="1"/>
    <d v="2022-10-09T00:00:00"/>
    <d v="2022-10-09T00:00:00"/>
    <n v="22026302"/>
    <n v="2235192"/>
    <n v="1001803294"/>
    <s v="GANGA PRASAD MISHRA"/>
    <x v="1386"/>
    <n v="4433"/>
    <n v="42075"/>
    <n v="4208"/>
    <n v="37867"/>
    <x v="1"/>
    <x v="5"/>
    <n v="0.10001188354129531"/>
    <x v="11"/>
  </r>
  <r>
    <n v="2666"/>
    <s v="CGHS"/>
    <d v="2022-10-02T00:00:00"/>
    <x v="1"/>
    <d v="2022-10-10T00:00:00"/>
    <d v="2022-10-10T00:00:00"/>
    <n v="22026364"/>
    <n v="2234312"/>
    <n v="10013474760"/>
    <s v="R SHANMUGAM"/>
    <x v="1387"/>
    <n v="0"/>
    <n v="240188"/>
    <n v="240188"/>
    <n v="0"/>
    <x v="0"/>
    <x v="1"/>
    <n v="1"/>
    <x v="4"/>
  </r>
  <r>
    <n v="2667"/>
    <s v="GENERAL PATIENT"/>
    <d v="2022-10-08T00:00:00"/>
    <x v="1"/>
    <d v="2022-10-10T00:00:00"/>
    <d v="2022-10-10T00:00:00"/>
    <n v="22026384"/>
    <n v="2235148"/>
    <n v="1001194654"/>
    <s v="LAJJAWATI"/>
    <x v="1388"/>
    <n v="12871"/>
    <n v="59435"/>
    <n v="59435"/>
    <n v="0"/>
    <x v="0"/>
    <x v="1"/>
    <n v="1"/>
    <x v="0"/>
  </r>
  <r>
    <n v="2668"/>
    <s v="CGHS ( CREDIT)"/>
    <d v="2022-10-01T00:00:00"/>
    <x v="1"/>
    <d v="2022-10-07T00:00:00"/>
    <d v="2022-10-07T00:00:00"/>
    <n v="22025958"/>
    <n v="2234235"/>
    <n v="10013541152"/>
    <s v="USHA RANI"/>
    <x v="1389"/>
    <n v="0"/>
    <n v="58943"/>
    <n v="2680"/>
    <n v="56263"/>
    <x v="1"/>
    <x v="2"/>
    <n v="4.5467655192304432E-2"/>
    <x v="0"/>
  </r>
  <r>
    <n v="2669"/>
    <s v="GENERAL PATIENT"/>
    <d v="2022-10-22T00:00:00"/>
    <x v="1"/>
    <d v="2022-10-30T00:00:00"/>
    <d v="2022-10-30T00:00:00"/>
    <n v="22029224"/>
    <n v="2236986"/>
    <n v="10013544092"/>
    <s v="ABDUL JABBAR"/>
    <x v="1390"/>
    <n v="42924"/>
    <n v="310228"/>
    <n v="310228"/>
    <n v="0"/>
    <x v="0"/>
    <x v="0"/>
    <n v="1"/>
    <x v="11"/>
  </r>
  <r>
    <n v="2670"/>
    <s v="CGHS ( CREDIT)"/>
    <d v="2022-10-10T00:00:00"/>
    <x v="1"/>
    <d v="2022-10-10T00:00:00"/>
    <d v="2022-10-10T00:00:00"/>
    <n v="22026445"/>
    <n v="2235364"/>
    <n v="10013511350"/>
    <s v="BAL KISHAN"/>
    <x v="1029"/>
    <n v="0"/>
    <n v="22183"/>
    <n v="5225"/>
    <n v="16958"/>
    <x v="1"/>
    <x v="1"/>
    <n v="0.2355407293873687"/>
    <x v="22"/>
  </r>
  <r>
    <n v="2671"/>
    <s v="PARK MED CLAIM LTD"/>
    <d v="2022-10-29T00:00:00"/>
    <x v="1"/>
    <d v="2022-10-31T00:00:00"/>
    <d v="2022-10-31T00:00:00"/>
    <n v="22029257"/>
    <n v="2238055"/>
    <n v="10013545169"/>
    <s v="USHA"/>
    <x v="1391"/>
    <n v="4351"/>
    <n v="57071"/>
    <n v="27973"/>
    <n v="29098"/>
    <x v="1"/>
    <x v="4"/>
    <n v="0.49014385589879272"/>
    <x v="4"/>
  </r>
  <r>
    <n v="2672"/>
    <s v=" Reliance General Insurance Co. Ltd."/>
    <d v="2022-10-10T00:00:00"/>
    <x v="1"/>
    <d v="2022-10-17T00:00:00"/>
    <d v="2022-10-17T00:00:00"/>
    <n v="22027411"/>
    <n v="2235404"/>
    <n v="1001665811"/>
    <s v="RAVI KUMAR"/>
    <x v="1392"/>
    <n v="6438"/>
    <n v="102210"/>
    <n v="4435"/>
    <n v="97775"/>
    <x v="1"/>
    <x v="1"/>
    <n v="4.3391057626455336E-2"/>
    <x v="0"/>
  </r>
  <r>
    <n v="2673"/>
    <s v="MEDI ASSIST"/>
    <d v="2022-10-15T00:00:00"/>
    <x v="1"/>
    <d v="2022-10-18T00:00:00"/>
    <d v="2022-10-18T00:00:00"/>
    <n v="22027555"/>
    <n v="2236124"/>
    <n v="10013543164"/>
    <s v="MAYA YADAV"/>
    <x v="1393"/>
    <n v="11644"/>
    <n v="70275"/>
    <n v="182"/>
    <n v="70093"/>
    <x v="1"/>
    <x v="2"/>
    <n v="2.5898256848096764E-3"/>
    <x v="0"/>
  </r>
  <r>
    <n v="2674"/>
    <s v="Safeway Mediclaim Services Pvt. Ltd."/>
    <d v="2022-10-18T00:00:00"/>
    <x v="1"/>
    <d v="2022-10-18T00:00:00"/>
    <d v="2022-10-18T00:00:00"/>
    <n v="22027613"/>
    <n v="2236461"/>
    <n v="1000851263"/>
    <s v="PREMLATA PODDAR"/>
    <x v="1394"/>
    <n v="4606"/>
    <n v="29387"/>
    <n v="7946"/>
    <n v="21441"/>
    <x v="1"/>
    <x v="12"/>
    <n v="0.2703916697859598"/>
    <x v="1"/>
  </r>
  <r>
    <n v="2675"/>
    <s v="RAKSHA (TPA)"/>
    <d v="2022-10-16T00:00:00"/>
    <x v="1"/>
    <d v="2022-10-18T00:00:00"/>
    <d v="2022-10-18T00:00:00"/>
    <n v="22027552"/>
    <n v="2236228"/>
    <n v="10013543244"/>
    <s v="MOOL CHAND"/>
    <x v="1395"/>
    <n v="225"/>
    <n v="298779"/>
    <n v="119559"/>
    <n v="179220"/>
    <x v="1"/>
    <x v="4"/>
    <n v="0.40015864568794995"/>
    <x v="4"/>
  </r>
  <r>
    <n v="2676"/>
    <s v="HDFC ERGO General Insurance Co. Ltd."/>
    <d v="2022-10-26T00:00:00"/>
    <x v="1"/>
    <d v="2022-10-30T00:00:00"/>
    <d v="2022-10-30T00:00:00"/>
    <n v="22029206"/>
    <n v="2237558"/>
    <n v="10013544646"/>
    <s v="DEEPAK"/>
    <x v="1396"/>
    <n v="0"/>
    <n v="40325"/>
    <n v="1500"/>
    <n v="38825"/>
    <x v="1"/>
    <x v="1"/>
    <n v="3.7197768133911964E-2"/>
    <x v="0"/>
  </r>
  <r>
    <n v="2677"/>
    <s v="HDFC ERGO General Insurance Co. Ltd."/>
    <d v="2022-10-27T00:00:00"/>
    <x v="1"/>
    <d v="2022-10-30T00:00:00"/>
    <d v="2022-10-30T00:00:00"/>
    <n v="22029218"/>
    <n v="2237691"/>
    <n v="10013491061"/>
    <s v="VIDHI"/>
    <x v="1397"/>
    <n v="0"/>
    <n v="48716"/>
    <n v="1678"/>
    <n v="47038"/>
    <x v="1"/>
    <x v="2"/>
    <n v="3.4444535676163887E-2"/>
    <x v="0"/>
  </r>
  <r>
    <n v="2678"/>
    <s v="GENERAL PATIENT"/>
    <d v="2022-10-27T00:00:00"/>
    <x v="1"/>
    <d v="2022-10-30T00:00:00"/>
    <d v="2022-10-30T00:00:00"/>
    <n v="22029228"/>
    <n v="2237641"/>
    <n v="10013544727"/>
    <s v="JYOTI"/>
    <x v="664"/>
    <n v="51674"/>
    <n v="0"/>
    <n v="0"/>
    <n v="0"/>
    <x v="0"/>
    <x v="9"/>
    <e v="#DIV/0!"/>
    <x v="0"/>
  </r>
  <r>
    <n v="2679"/>
    <s v="RAKSHA (TPA)"/>
    <d v="2022-10-03T00:00:00"/>
    <x v="1"/>
    <d v="2022-10-06T00:00:00"/>
    <d v="2022-10-06T00:00:00"/>
    <n v="22025837"/>
    <n v="2234484"/>
    <n v="10013516485"/>
    <s v="DAKSHI"/>
    <x v="1398"/>
    <n v="1830"/>
    <n v="61724"/>
    <n v="21754"/>
    <n v="39970"/>
    <x v="1"/>
    <x v="2"/>
    <n v="0.35243989372043288"/>
    <x v="1"/>
  </r>
  <r>
    <n v="2680"/>
    <s v="MED SAVE"/>
    <d v="2022-09-29T00:00:00"/>
    <x v="0"/>
    <d v="2022-10-01T00:00:00"/>
    <d v="2022-10-01T00:00:00"/>
    <n v="22025093"/>
    <n v="2234000"/>
    <n v="1001801582"/>
    <s v="ANIL NIRWAL"/>
    <x v="1399"/>
    <n v="1685"/>
    <n v="38765"/>
    <n v="2600"/>
    <n v="36165"/>
    <x v="1"/>
    <x v="4"/>
    <n v="6.7070811298852062E-2"/>
    <x v="4"/>
  </r>
  <r>
    <n v="2681"/>
    <s v="GENERAL PATIENT"/>
    <d v="2022-10-03T00:00:00"/>
    <x v="1"/>
    <d v="2022-10-05T00:00:00"/>
    <d v="2022-10-05T00:00:00"/>
    <n v="22025682"/>
    <n v="2234486"/>
    <n v="10013279392"/>
    <s v="RITU JUNEJA"/>
    <x v="1400"/>
    <n v="7173"/>
    <n v="49730"/>
    <n v="49730"/>
    <n v="0"/>
    <x v="0"/>
    <x v="0"/>
    <n v="1"/>
    <x v="1"/>
  </r>
  <r>
    <n v="2682"/>
    <s v="GENERAL PATIENT"/>
    <d v="2022-10-09T00:00:00"/>
    <x v="1"/>
    <d v="2022-10-10T00:00:00"/>
    <d v="2022-10-10T00:00:00"/>
    <n v="22026452"/>
    <n v="2235263"/>
    <n v="10013357766"/>
    <s v="RAJNI CHOPRA"/>
    <x v="1401"/>
    <n v="4097"/>
    <n v="26060"/>
    <n v="26060"/>
    <n v="0"/>
    <x v="0"/>
    <x v="0"/>
    <n v="1"/>
    <x v="0"/>
  </r>
  <r>
    <n v="2683"/>
    <s v="STAR HEALTH CARE  (CREDIT)"/>
    <d v="2022-10-25T00:00:00"/>
    <x v="1"/>
    <d v="2022-10-31T00:00:00"/>
    <d v="2022-10-31T00:00:00"/>
    <n v="22029337"/>
    <n v="2237322"/>
    <n v="10013472990"/>
    <s v="NOORJAHAN  BEGUM"/>
    <x v="1402"/>
    <n v="23775"/>
    <n v="163893"/>
    <n v="5359"/>
    <n v="158534"/>
    <x v="1"/>
    <x v="0"/>
    <n v="3.2698162825746065E-2"/>
    <x v="0"/>
  </r>
  <r>
    <n v="2684"/>
    <s v="DGHS (DELHI GOVT.)"/>
    <d v="2022-10-31T00:00:00"/>
    <x v="1"/>
    <d v="2022-10-31T00:00:00"/>
    <d v="2022-10-31T00:00:00"/>
    <n v="22029369"/>
    <n v="2238192"/>
    <n v="10013545317"/>
    <s v="JAGAT CHANDRA NATH"/>
    <x v="1403"/>
    <n v="0"/>
    <n v="17241"/>
    <n v="17241"/>
    <n v="0"/>
    <x v="0"/>
    <x v="2"/>
    <n v="1"/>
    <x v="4"/>
  </r>
  <r>
    <n v="2685"/>
    <s v="Medvantage Insurance TPA Private Limited"/>
    <d v="2022-10-28T00:00:00"/>
    <x v="1"/>
    <d v="2022-10-31T00:00:00"/>
    <d v="2022-10-31T00:00:00"/>
    <n v="22029358"/>
    <n v="2237800"/>
    <n v="10013520630"/>
    <s v="SABA KHALDY"/>
    <x v="208"/>
    <n v="0"/>
    <n v="60320"/>
    <n v="10320"/>
    <n v="50000"/>
    <x v="1"/>
    <x v="5"/>
    <n v="0.17108753315649866"/>
    <x v="1"/>
  </r>
  <r>
    <n v="2686"/>
    <s v="DELHI VIDYUT BOARD"/>
    <d v="2022-10-10T00:00:00"/>
    <x v="1"/>
    <d v="2022-10-19T00:00:00"/>
    <d v="2022-10-19T00:00:00"/>
    <n v="22027721"/>
    <n v="2235444"/>
    <n v="10013540903"/>
    <s v="RANVIR SEHGAL"/>
    <x v="1404"/>
    <n v="0"/>
    <n v="239571"/>
    <n v="239571"/>
    <n v="0"/>
    <x v="0"/>
    <x v="2"/>
    <n v="1"/>
    <x v="0"/>
  </r>
  <r>
    <n v="2687"/>
    <s v="Health Insurance TPA of India Ltd."/>
    <d v="2022-10-12T00:00:00"/>
    <x v="1"/>
    <d v="2022-10-16T00:00:00"/>
    <d v="2022-10-16T00:00:00"/>
    <n v="22027289"/>
    <n v="2235782"/>
    <n v="10013542770"/>
    <s v="ARSH JAIN"/>
    <x v="1405"/>
    <n v="0"/>
    <n v="70590"/>
    <n v="2125"/>
    <n v="68465"/>
    <x v="1"/>
    <x v="2"/>
    <n v="3.0103414081314634E-2"/>
    <x v="0"/>
  </r>
  <r>
    <n v="2688"/>
    <s v="GENERAL PATIENT"/>
    <d v="2022-10-16T00:00:00"/>
    <x v="1"/>
    <d v="2022-10-19T00:00:00"/>
    <d v="2022-10-19T00:00:00"/>
    <n v="22027679"/>
    <n v="2236256"/>
    <n v="10013543291"/>
    <s v="B/O RINKU"/>
    <x v="1406"/>
    <n v="12492"/>
    <n v="32014"/>
    <n v="32014"/>
    <n v="0"/>
    <x v="0"/>
    <x v="1"/>
    <n v="1"/>
    <x v="3"/>
  </r>
  <r>
    <n v="2689"/>
    <s v="GENERAL PATIENT"/>
    <d v="2022-10-01T00:00:00"/>
    <x v="1"/>
    <d v="2022-10-10T00:00:00"/>
    <d v="2022-10-10T00:00:00"/>
    <n v="22026365"/>
    <n v="2234296"/>
    <n v="10013541191"/>
    <s v="JAY CHANDRA"/>
    <x v="1407"/>
    <n v="177055"/>
    <n v="0"/>
    <n v="0"/>
    <n v="0"/>
    <x v="0"/>
    <x v="9"/>
    <e v="#DIV/0!"/>
    <x v="0"/>
  </r>
  <r>
    <n v="2690"/>
    <s v="GENERAL PATIENT"/>
    <d v="2022-10-08T00:00:00"/>
    <x v="1"/>
    <d v="2022-10-11T00:00:00"/>
    <d v="2022-10-11T00:00:00"/>
    <n v="22026520"/>
    <n v="2235202"/>
    <n v="10013317665"/>
    <s v="ARUN KASHYAP"/>
    <x v="1408"/>
    <n v="33776"/>
    <n v="0"/>
    <n v="0"/>
    <n v="0"/>
    <x v="0"/>
    <x v="9"/>
    <e v="#DIV/0!"/>
    <x v="0"/>
  </r>
  <r>
    <n v="2691"/>
    <s v="GENERAL PATIENT"/>
    <d v="2022-10-03T00:00:00"/>
    <x v="1"/>
    <d v="2022-10-06T00:00:00"/>
    <d v="2022-10-06T00:00:00"/>
    <n v="22025809"/>
    <n v="2234489"/>
    <n v="1001802272"/>
    <s v="NAISSHA GULATI"/>
    <x v="1409"/>
    <n v="24129"/>
    <n v="47014"/>
    <n v="47014"/>
    <n v="0"/>
    <x v="0"/>
    <x v="7"/>
    <n v="1"/>
    <x v="3"/>
  </r>
  <r>
    <n v="2692"/>
    <s v="CGHS"/>
    <d v="2022-10-08T00:00:00"/>
    <x v="1"/>
    <d v="2022-10-11T00:00:00"/>
    <d v="2022-10-11T00:00:00"/>
    <n v="22026593"/>
    <n v="2235155"/>
    <n v="10013517026"/>
    <s v="PINKI PODDAR"/>
    <x v="1410"/>
    <n v="0"/>
    <n v="17253"/>
    <n v="17253"/>
    <n v="0"/>
    <x v="0"/>
    <x v="1"/>
    <n v="1"/>
    <x v="1"/>
  </r>
  <r>
    <n v="2693"/>
    <s v="HARAYANA GOVT."/>
    <d v="2022-10-08T00:00:00"/>
    <x v="1"/>
    <d v="2022-10-15T00:00:00"/>
    <d v="2022-10-15T00:00:00"/>
    <n v="22027238"/>
    <n v="2235228"/>
    <n v="10013542223"/>
    <s v="SUDESH KUMAR"/>
    <x v="1411"/>
    <n v="0"/>
    <n v="93646"/>
    <n v="93646"/>
    <n v="0"/>
    <x v="0"/>
    <x v="1"/>
    <n v="1"/>
    <x v="2"/>
  </r>
  <r>
    <n v="2694"/>
    <s v="GENERAL PATIENT"/>
    <d v="2022-10-10T00:00:00"/>
    <x v="1"/>
    <d v="2022-10-14T00:00:00"/>
    <d v="2022-10-14T00:00:00"/>
    <n v="22027040"/>
    <n v="2235462"/>
    <n v="10013535875"/>
    <s v="ARJUN ARORA"/>
    <x v="1412"/>
    <n v="0"/>
    <n v="397389"/>
    <n v="397389"/>
    <n v="0"/>
    <x v="0"/>
    <x v="10"/>
    <n v="1"/>
    <x v="25"/>
  </r>
  <r>
    <n v="2695"/>
    <s v="STAR HEALTH CARE  (CREDIT)"/>
    <d v="2022-10-08T00:00:00"/>
    <x v="1"/>
    <d v="2022-10-10T00:00:00"/>
    <d v="2022-10-10T00:00:00"/>
    <n v="22026418"/>
    <n v="2235247"/>
    <n v="10013542232"/>
    <s v="DINESH KALRA"/>
    <x v="1413"/>
    <n v="0"/>
    <n v="95400"/>
    <n v="2450"/>
    <n v="92950"/>
    <x v="1"/>
    <x v="2"/>
    <n v="2.5681341719077568E-2"/>
    <x v="5"/>
  </r>
  <r>
    <n v="2696"/>
    <s v="GENERAL PATIENT"/>
    <d v="2022-10-09T00:00:00"/>
    <x v="1"/>
    <d v="2022-10-10T00:00:00"/>
    <d v="2022-10-10T00:00:00"/>
    <n v="22026477"/>
    <n v="2235290"/>
    <n v="10013539489"/>
    <s v="KOMAL KUMARI"/>
    <x v="1414"/>
    <n v="54445"/>
    <n v="0"/>
    <n v="0"/>
    <n v="0"/>
    <x v="0"/>
    <x v="9"/>
    <e v="#DIV/0!"/>
    <x v="1"/>
  </r>
  <r>
    <n v="2697"/>
    <s v="Paramount Health Services (TPA) Private Limited"/>
    <d v="2022-10-03T00:00:00"/>
    <x v="1"/>
    <d v="2022-10-05T00:00:00"/>
    <d v="2022-10-05T00:00:00"/>
    <n v="22025695"/>
    <n v="2234459"/>
    <n v="1001802250"/>
    <s v="BHOOMIKA MALE BABY SHARMA"/>
    <x v="1415"/>
    <n v="0"/>
    <n v="5436"/>
    <n v="5436"/>
    <n v="0"/>
    <x v="0"/>
    <x v="5"/>
    <n v="1"/>
    <x v="3"/>
  </r>
  <r>
    <n v="2698"/>
    <s v="Delhi University"/>
    <d v="2022-10-19T00:00:00"/>
    <x v="1"/>
    <d v="2022-10-19T00:00:00"/>
    <d v="2022-10-19T00:00:00"/>
    <n v="22027754"/>
    <n v="2236581"/>
    <n v="1001114471"/>
    <s v="MANU KATARIA"/>
    <x v="1416"/>
    <n v="0"/>
    <n v="7763"/>
    <n v="7763"/>
    <n v="0"/>
    <x v="0"/>
    <x v="1"/>
    <n v="1"/>
    <x v="1"/>
  </r>
  <r>
    <n v="2699"/>
    <s v="CARE HEALTH INSURANCE LIMITED"/>
    <d v="2022-10-15T00:00:00"/>
    <x v="1"/>
    <d v="2022-10-19T00:00:00"/>
    <d v="2022-10-19T00:00:00"/>
    <n v="22027689"/>
    <n v="2236207"/>
    <n v="10013543222"/>
    <s v="AMANDEEP SINGH"/>
    <x v="1417"/>
    <n v="11708"/>
    <n v="84435"/>
    <n v="243"/>
    <n v="84192"/>
    <x v="1"/>
    <x v="2"/>
    <n v="2.8779534553206609E-3"/>
    <x v="0"/>
  </r>
  <r>
    <n v="2700"/>
    <s v="HDFC ERGO General Insurance Co. Ltd."/>
    <d v="2022-09-25T00:00:00"/>
    <x v="0"/>
    <d v="2022-10-03T00:00:00"/>
    <d v="2022-10-03T00:00:00"/>
    <n v="22025376"/>
    <n v="2233409"/>
    <n v="10013540302"/>
    <s v="AMIT GOEL"/>
    <x v="1418"/>
    <n v="0"/>
    <n v="417211"/>
    <n v="417211"/>
    <n v="0"/>
    <x v="0"/>
    <x v="2"/>
    <n v="1"/>
    <x v="9"/>
  </r>
  <r>
    <n v="2701"/>
    <s v="GENERAL PATIENT"/>
    <d v="2022-09-27T00:00:00"/>
    <x v="0"/>
    <d v="2022-10-03T00:00:00"/>
    <d v="2022-10-03T00:00:00"/>
    <n v="22025371"/>
    <n v="2233631"/>
    <n v="10013489311"/>
    <s v="SUSHILA MAURYA"/>
    <x v="1419"/>
    <n v="72410"/>
    <n v="0"/>
    <n v="0"/>
    <n v="0"/>
    <x v="0"/>
    <x v="9"/>
    <e v="#DIV/0!"/>
    <x v="1"/>
  </r>
  <r>
    <n v="2702"/>
    <s v="MAH DEPENDENT"/>
    <d v="2022-09-27T00:00:00"/>
    <x v="0"/>
    <d v="2022-10-04T00:00:00"/>
    <d v="2022-10-04T00:00:00"/>
    <n v="22025592"/>
    <n v="2233693"/>
    <n v="1001562491"/>
    <s v="TAMANNA"/>
    <x v="1420"/>
    <n v="73545"/>
    <n v="1750"/>
    <n v="1750"/>
    <n v="0"/>
    <x v="0"/>
    <x v="1"/>
    <n v="1"/>
    <x v="0"/>
  </r>
  <r>
    <n v="2703"/>
    <s v="GENERAL PATIENT"/>
    <d v="2022-10-03T00:00:00"/>
    <x v="1"/>
    <d v="2022-10-05T00:00:00"/>
    <d v="2022-10-05T00:00:00"/>
    <n v="22025688"/>
    <n v="2234432"/>
    <n v="1001802154"/>
    <s v="JYOTI JAIN"/>
    <x v="1421"/>
    <n v="46947"/>
    <n v="0"/>
    <n v="0"/>
    <n v="0"/>
    <x v="0"/>
    <x v="9"/>
    <e v="#DIV/0!"/>
    <x v="1"/>
  </r>
  <r>
    <n v="2704"/>
    <s v="GENERAL PATIENT"/>
    <d v="2022-10-03T00:00:00"/>
    <x v="1"/>
    <d v="2022-10-05T00:00:00"/>
    <d v="2022-10-05T00:00:00"/>
    <n v="22025699"/>
    <n v="2234472"/>
    <n v="1001802263"/>
    <s v="MEENU FEMALE BABY GOYAL"/>
    <x v="1422"/>
    <n v="2005"/>
    <n v="14410"/>
    <n v="14410"/>
    <n v="0"/>
    <x v="0"/>
    <x v="2"/>
    <n v="1"/>
    <x v="3"/>
  </r>
  <r>
    <n v="2705"/>
    <s v="MEDI ASSIST"/>
    <d v="2022-10-10T00:00:00"/>
    <x v="1"/>
    <d v="2022-10-10T00:00:00"/>
    <d v="2022-10-10T00:00:00"/>
    <n v="22026478"/>
    <n v="2235380"/>
    <n v="1001564406"/>
    <s v="RAVI BATURA"/>
    <x v="75"/>
    <n v="0"/>
    <n v="2200"/>
    <n v="330"/>
    <n v="1870"/>
    <x v="1"/>
    <x v="12"/>
    <n v="0.15"/>
    <x v="13"/>
  </r>
  <r>
    <n v="2706"/>
    <s v="CGHS"/>
    <d v="2022-10-15T00:00:00"/>
    <x v="1"/>
    <d v="2022-10-15T00:00:00"/>
    <d v="2022-10-15T00:00:00"/>
    <n v="22027139"/>
    <n v="2236084"/>
    <n v="10013401198"/>
    <s v="RAM KUMAR"/>
    <x v="43"/>
    <n v="0"/>
    <n v="1610"/>
    <n v="1610"/>
    <n v="0"/>
    <x v="0"/>
    <x v="6"/>
    <n v="1"/>
    <x v="13"/>
  </r>
  <r>
    <n v="2707"/>
    <s v="GOVT. OF NCT OF DELHI"/>
    <d v="2022-10-13T00:00:00"/>
    <x v="1"/>
    <d v="2022-10-13T00:00:00"/>
    <d v="2022-10-13T00:00:00"/>
    <n v="22026819"/>
    <n v="2235802"/>
    <n v="10013537888"/>
    <s v="RASHMI"/>
    <x v="43"/>
    <n v="0"/>
    <n v="1610"/>
    <n v="1610"/>
    <n v="0"/>
    <x v="0"/>
    <x v="6"/>
    <n v="1"/>
    <x v="13"/>
  </r>
  <r>
    <n v="2708"/>
    <s v="Health Insurance TPA of India Ltd."/>
    <d v="2022-10-16T00:00:00"/>
    <x v="1"/>
    <d v="2022-10-19T00:00:00"/>
    <d v="2022-10-19T00:00:00"/>
    <n v="22027734"/>
    <n v="2236241"/>
    <n v="1001804672"/>
    <s v="PRESANNA PRABHAKAR"/>
    <x v="1423"/>
    <n v="0"/>
    <n v="93633"/>
    <n v="2300"/>
    <n v="91333"/>
    <x v="1"/>
    <x v="3"/>
    <n v="2.4563989191844757E-2"/>
    <x v="1"/>
  </r>
  <r>
    <n v="2709"/>
    <s v="GENERAL PATIENT"/>
    <d v="2022-10-14T00:00:00"/>
    <x v="1"/>
    <d v="2022-10-14T00:00:00"/>
    <d v="2022-10-14T00:00:00"/>
    <n v="22027073"/>
    <n v="2235989"/>
    <n v="10013533934"/>
    <s v="RAMESH AHUJA"/>
    <x v="45"/>
    <n v="470"/>
    <n v="4520"/>
    <n v="4520"/>
    <n v="0"/>
    <x v="0"/>
    <x v="6"/>
    <n v="1"/>
    <x v="13"/>
  </r>
  <r>
    <n v="2710"/>
    <s v="GENERAL PATIENT"/>
    <d v="2022-10-14T00:00:00"/>
    <x v="1"/>
    <d v="2022-10-14T00:00:00"/>
    <d v="2022-10-14T00:00:00"/>
    <n v="22027063"/>
    <n v="2235924"/>
    <n v="1001307852"/>
    <s v="MEERA DEVI"/>
    <x v="447"/>
    <n v="3319"/>
    <n v="0"/>
    <n v="0"/>
    <n v="0"/>
    <x v="0"/>
    <x v="9"/>
    <e v="#DIV/0!"/>
    <x v="13"/>
  </r>
  <r>
    <n v="2711"/>
    <s v="GENERAL PATIENT"/>
    <d v="2022-10-15T00:00:00"/>
    <x v="1"/>
    <d v="2022-10-15T00:00:00"/>
    <d v="2022-10-15T00:00:00"/>
    <n v="22027274"/>
    <n v="2236187"/>
    <n v="10013541160"/>
    <s v="SARJIT SINGH CHANA"/>
    <x v="45"/>
    <n v="555"/>
    <n v="4435"/>
    <n v="4435"/>
    <n v="0"/>
    <x v="0"/>
    <x v="6"/>
    <n v="1"/>
    <x v="13"/>
  </r>
  <r>
    <n v="2712"/>
    <s v="Health Insurance TPA of India Ltd."/>
    <d v="2022-10-14T00:00:00"/>
    <x v="1"/>
    <d v="2022-10-17T00:00:00"/>
    <d v="2022-10-17T00:00:00"/>
    <n v="22027388"/>
    <n v="2235958"/>
    <n v="1001804322"/>
    <s v="DIVYA"/>
    <x v="1424"/>
    <n v="0"/>
    <n v="72797"/>
    <n v="5697"/>
    <n v="67100"/>
    <x v="1"/>
    <x v="3"/>
    <n v="7.8258719452724695E-2"/>
    <x v="3"/>
  </r>
  <r>
    <n v="2713"/>
    <s v="GENERAL PATIENT"/>
    <d v="2022-10-21T00:00:00"/>
    <x v="1"/>
    <d v="2022-10-22T00:00:00"/>
    <d v="2022-10-22T00:00:00"/>
    <n v="22028183"/>
    <n v="2236861"/>
    <n v="10013543538"/>
    <s v="MOHD RAFIK"/>
    <x v="1425"/>
    <n v="7907"/>
    <n v="48732"/>
    <n v="48732"/>
    <n v="0"/>
    <x v="0"/>
    <x v="7"/>
    <n v="1"/>
    <x v="11"/>
  </r>
  <r>
    <n v="2714"/>
    <s v=" MD INDIA TPA"/>
    <d v="2022-10-16T00:00:00"/>
    <x v="1"/>
    <d v="2022-10-22T00:00:00"/>
    <d v="2022-10-22T00:00:00"/>
    <n v="22028164"/>
    <n v="2236219"/>
    <n v="1001804638"/>
    <s v="CHANDAN ROY"/>
    <x v="1426"/>
    <n v="9719"/>
    <n v="57040"/>
    <n v="11408"/>
    <n v="45632"/>
    <x v="1"/>
    <x v="3"/>
    <n v="0.2"/>
    <x v="0"/>
  </r>
  <r>
    <n v="2715"/>
    <s v=" CGHS Cash"/>
    <d v="2022-10-20T00:00:00"/>
    <x v="1"/>
    <d v="2022-10-24T00:00:00"/>
    <d v="2022-10-24T00:00:00"/>
    <n v="22028454"/>
    <n v="2236845"/>
    <n v="1001790793"/>
    <s v="POONA DEVI"/>
    <x v="1427"/>
    <n v="0"/>
    <n v="41327"/>
    <n v="41327"/>
    <n v="0"/>
    <x v="0"/>
    <x v="2"/>
    <n v="1"/>
    <x v="0"/>
  </r>
  <r>
    <n v="2716"/>
    <s v="GENERAL PATIENT"/>
    <d v="2022-09-26T00:00:00"/>
    <x v="0"/>
    <d v="2022-10-03T00:00:00"/>
    <d v="2022-10-03T00:00:00"/>
    <n v="22025366"/>
    <n v="2233507"/>
    <n v="1001236690"/>
    <s v="MUNNI RAM"/>
    <x v="1428"/>
    <n v="41761"/>
    <n v="162158"/>
    <n v="162158"/>
    <n v="0"/>
    <x v="0"/>
    <x v="1"/>
    <n v="1"/>
    <x v="0"/>
  </r>
  <r>
    <n v="2717"/>
    <s v="HDFC ERGO General Insurance Co. Ltd."/>
    <d v="2022-10-11T00:00:00"/>
    <x v="1"/>
    <d v="2022-10-17T00:00:00"/>
    <d v="2022-10-17T00:00:00"/>
    <n v="22027384"/>
    <n v="2235535"/>
    <n v="10013542549"/>
    <s v="DEEPAK ARORA"/>
    <x v="1429"/>
    <n v="12003"/>
    <n v="160398"/>
    <n v="8247"/>
    <n v="152151"/>
    <x v="1"/>
    <x v="0"/>
    <n v="5.1415853065499569E-2"/>
    <x v="0"/>
  </r>
  <r>
    <n v="2718"/>
    <s v="VIDAL HEALTH INSURANCE LIMITED"/>
    <d v="2022-10-08T00:00:00"/>
    <x v="1"/>
    <d v="2022-10-11T00:00:00"/>
    <d v="2022-10-11T00:00:00"/>
    <n v="22026530"/>
    <n v="2235250"/>
    <n v="1001803357"/>
    <s v="YOGITA BHATIA"/>
    <x v="194"/>
    <n v="0"/>
    <n v="70925"/>
    <n v="1500"/>
    <n v="69425"/>
    <x v="1"/>
    <x v="2"/>
    <n v="2.1149101163200564E-2"/>
    <x v="1"/>
  </r>
  <r>
    <n v="2719"/>
    <s v="Safeway Mediclaim Services Pvt. Ltd."/>
    <d v="2022-10-03T00:00:00"/>
    <x v="1"/>
    <d v="2022-10-07T00:00:00"/>
    <d v="2022-10-07T00:00:00"/>
    <n v="22026025"/>
    <n v="2234470"/>
    <n v="10013541417"/>
    <s v="ANARKALI"/>
    <x v="1430"/>
    <n v="30828"/>
    <n v="223398"/>
    <n v="66498"/>
    <n v="156900"/>
    <x v="1"/>
    <x v="3"/>
    <n v="0.29766604893508447"/>
    <x v="0"/>
  </r>
  <r>
    <n v="2720"/>
    <s v="HDFC ERGO General Insurance Co. Ltd."/>
    <d v="2022-10-07T00:00:00"/>
    <x v="1"/>
    <d v="2022-10-07T00:00:00"/>
    <d v="2022-10-07T00:00:00"/>
    <n v="22026004"/>
    <n v="2234972"/>
    <n v="10013541884"/>
    <s v="MONIKA SHARMA"/>
    <x v="1431"/>
    <n v="0"/>
    <n v="15045"/>
    <n v="1212"/>
    <n v="13833"/>
    <x v="1"/>
    <x v="6"/>
    <n v="8.0558325024925229E-2"/>
    <x v="1"/>
  </r>
  <r>
    <n v="2721"/>
    <s v="GENERAL PATIENT"/>
    <d v="2022-09-29T00:00:00"/>
    <x v="0"/>
    <d v="2022-10-07T00:00:00"/>
    <d v="2022-10-07T00:00:00"/>
    <n v="22026021"/>
    <n v="2233994"/>
    <n v="10013540896"/>
    <s v="SANJAY ARORA"/>
    <x v="1432"/>
    <n v="38973"/>
    <n v="146464"/>
    <n v="146464"/>
    <n v="0"/>
    <x v="0"/>
    <x v="1"/>
    <n v="1"/>
    <x v="0"/>
  </r>
  <r>
    <n v="2722"/>
    <s v="STAR HEALTH CARE  (CREDIT)"/>
    <d v="2022-10-21T00:00:00"/>
    <x v="1"/>
    <d v="2022-10-29T00:00:00"/>
    <d v="2022-10-29T00:00:00"/>
    <n v="22029122"/>
    <n v="2236931"/>
    <n v="10013542749"/>
    <s v="DHARMVIR SINGH"/>
    <x v="1433"/>
    <n v="11690"/>
    <n v="82761"/>
    <n v="5126"/>
    <n v="77635"/>
    <x v="1"/>
    <x v="1"/>
    <n v="6.1937385966820122E-2"/>
    <x v="2"/>
  </r>
  <r>
    <n v="2723"/>
    <s v="CGHS"/>
    <d v="2022-10-29T00:00:00"/>
    <x v="1"/>
    <d v="2022-10-29T00:00:00"/>
    <d v="2022-10-29T00:00:00"/>
    <n v="22029141"/>
    <n v="2237996"/>
    <n v="10013524794"/>
    <s v="ANITA SINGH"/>
    <x v="261"/>
    <n v="0"/>
    <n v="11903"/>
    <n v="11903"/>
    <n v="0"/>
    <x v="0"/>
    <x v="1"/>
    <n v="1"/>
    <x v="4"/>
  </r>
  <r>
    <n v="2724"/>
    <s v="CARE HEALTH INSURANCE LIMITED"/>
    <d v="2022-10-29T00:00:00"/>
    <x v="1"/>
    <d v="2022-10-29T00:00:00"/>
    <d v="2022-10-29T00:00:00"/>
    <n v="22029132"/>
    <n v="2237908"/>
    <n v="10013512357"/>
    <s v="MEENAKSHI SINGH"/>
    <x v="1434"/>
    <n v="0"/>
    <n v="31201"/>
    <n v="1500"/>
    <n v="29701"/>
    <x v="1"/>
    <x v="6"/>
    <n v="4.8075382199288481E-2"/>
    <x v="1"/>
  </r>
  <r>
    <n v="2725"/>
    <s v="MEDI ASSIST"/>
    <d v="2022-10-11T00:00:00"/>
    <x v="1"/>
    <d v="2022-10-12T00:00:00"/>
    <d v="2022-10-12T00:00:00"/>
    <n v="22026755"/>
    <n v="2235560"/>
    <n v="10013541557"/>
    <s v="NEIL PATHAK"/>
    <x v="1435"/>
    <n v="3861"/>
    <n v="24192"/>
    <n v="5569"/>
    <n v="18623"/>
    <x v="1"/>
    <x v="3"/>
    <n v="0.23020006613756613"/>
    <x v="3"/>
  </r>
  <r>
    <n v="2726"/>
    <s v="GENERAL PATIENT"/>
    <d v="2022-10-15T00:00:00"/>
    <x v="1"/>
    <d v="2022-10-16T00:00:00"/>
    <d v="2022-10-16T00:00:00"/>
    <n v="22027323"/>
    <n v="2236121"/>
    <n v="10013530549"/>
    <s v="ASHOK KUMAR"/>
    <x v="166"/>
    <n v="29100"/>
    <n v="155054"/>
    <n v="155054"/>
    <n v="0"/>
    <x v="0"/>
    <x v="7"/>
    <n v="1"/>
    <x v="4"/>
  </r>
  <r>
    <n v="2727"/>
    <s v=" STAR HEALTH TPA"/>
    <d v="2022-10-13T00:00:00"/>
    <x v="1"/>
    <d v="2022-10-18T00:00:00"/>
    <d v="2022-10-18T00:00:00"/>
    <n v="22027564"/>
    <n v="2235792"/>
    <n v="1001804044"/>
    <s v="SANTOSH"/>
    <x v="1436"/>
    <n v="10813"/>
    <n v="58288"/>
    <n v="2128"/>
    <n v="56160"/>
    <x v="1"/>
    <x v="2"/>
    <n v="3.6508372220697229E-2"/>
    <x v="0"/>
  </r>
  <r>
    <n v="2728"/>
    <s v="GENERAL PATIENT"/>
    <d v="2022-10-13T00:00:00"/>
    <x v="1"/>
    <d v="2022-10-13T00:00:00"/>
    <d v="2022-10-13T00:00:00"/>
    <n v="22026867"/>
    <n v="2235821"/>
    <n v="10013542800"/>
    <s v="SARITA"/>
    <x v="19"/>
    <n v="0"/>
    <n v="14000"/>
    <n v="14000"/>
    <n v="0"/>
    <x v="0"/>
    <x v="6"/>
    <n v="1"/>
    <x v="4"/>
  </r>
  <r>
    <n v="2729"/>
    <s v="GENERAL PATIENT"/>
    <d v="2022-10-13T00:00:00"/>
    <x v="1"/>
    <d v="2022-10-14T00:00:00"/>
    <d v="2022-10-14T00:00:00"/>
    <n v="22027072"/>
    <n v="2235855"/>
    <n v="10013484173"/>
    <s v="SAVITA"/>
    <x v="1437"/>
    <n v="6158"/>
    <n v="44728"/>
    <n v="44728"/>
    <n v="0"/>
    <x v="0"/>
    <x v="13"/>
    <n v="1"/>
    <x v="0"/>
  </r>
  <r>
    <n v="2730"/>
    <s v="GENERAL PATIENT"/>
    <d v="2022-10-01T00:00:00"/>
    <x v="1"/>
    <d v="2022-10-02T00:00:00"/>
    <d v="2022-10-02T00:00:00"/>
    <n v="22025305"/>
    <n v="2234144"/>
    <n v="10013540062"/>
    <s v="AKASH YADAV"/>
    <x v="1438"/>
    <n v="0"/>
    <n v="62729"/>
    <n v="62729"/>
    <n v="0"/>
    <x v="0"/>
    <x v="1"/>
    <n v="1"/>
    <x v="11"/>
  </r>
  <r>
    <n v="2731"/>
    <s v="GENERAL PATIENT"/>
    <d v="2022-10-03T00:00:00"/>
    <x v="1"/>
    <d v="2022-10-03T00:00:00"/>
    <d v="2022-10-03T00:00:00"/>
    <n v="22025378"/>
    <n v="2234341"/>
    <n v="1001802055"/>
    <s v="EUNICE FLORA AGOSTINHO"/>
    <x v="1439"/>
    <n v="3125"/>
    <n v="15604"/>
    <n v="15604"/>
    <n v="0"/>
    <x v="0"/>
    <x v="0"/>
    <n v="1"/>
    <x v="0"/>
  </r>
  <r>
    <n v="2732"/>
    <s v="GENERAL PATIENT"/>
    <d v="2022-10-11T00:00:00"/>
    <x v="1"/>
    <d v="2022-10-11T00:00:00"/>
    <d v="2022-10-11T00:00:00"/>
    <n v="22026644"/>
    <n v="2235602"/>
    <n v="1001012376"/>
    <s v="SHOBHA"/>
    <x v="447"/>
    <n v="3319"/>
    <n v="0"/>
    <n v="0"/>
    <n v="0"/>
    <x v="0"/>
    <x v="9"/>
    <e v="#DIV/0!"/>
    <x v="13"/>
  </r>
  <r>
    <n v="2733"/>
    <s v=" AIRPORTS AUTHORITY OF INDIA"/>
    <d v="2022-10-20T00:00:00"/>
    <x v="1"/>
    <d v="2022-10-22T00:00:00"/>
    <d v="2022-10-22T00:00:00"/>
    <n v="22028236"/>
    <n v="2236795"/>
    <n v="1001741605"/>
    <s v="NARESH KUMAR  DUA"/>
    <x v="1440"/>
    <n v="723"/>
    <n v="306231"/>
    <n v="3601"/>
    <n v="302630"/>
    <x v="1"/>
    <x v="0"/>
    <n v="1.175909689090915E-2"/>
    <x v="4"/>
  </r>
  <r>
    <n v="2734"/>
    <s v="GENERAL PATIENT"/>
    <d v="2022-10-14T00:00:00"/>
    <x v="1"/>
    <d v="2022-10-16T00:00:00"/>
    <d v="2022-10-16T00:00:00"/>
    <n v="22027306"/>
    <n v="2235936"/>
    <n v="1001301510"/>
    <s v="MOHINI GARG"/>
    <x v="1441"/>
    <n v="20213"/>
    <n v="45638"/>
    <n v="45638"/>
    <n v="0"/>
    <x v="0"/>
    <x v="7"/>
    <n v="1"/>
    <x v="1"/>
  </r>
  <r>
    <n v="2735"/>
    <s v="GENERAL PATIENT"/>
    <d v="2022-10-02T00:00:00"/>
    <x v="1"/>
    <d v="2022-10-05T00:00:00"/>
    <d v="2022-10-05T00:00:00"/>
    <n v="22025748"/>
    <n v="2234332"/>
    <n v="1001323513"/>
    <s v="TANVI KAPOOR"/>
    <x v="1442"/>
    <n v="14909"/>
    <n v="101540"/>
    <n v="101540"/>
    <n v="0"/>
    <x v="0"/>
    <x v="10"/>
    <n v="1"/>
    <x v="1"/>
  </r>
  <r>
    <n v="2736"/>
    <s v="GENERAL PATIENT"/>
    <d v="2022-10-27T00:00:00"/>
    <x v="1"/>
    <d v="2022-10-27T00:00:00"/>
    <d v="2022-10-27T00:00:00"/>
    <n v="22028843"/>
    <n v="2237703"/>
    <n v="10013440543"/>
    <s v="SHYAM"/>
    <x v="41"/>
    <n v="2794"/>
    <n v="0"/>
    <n v="0"/>
    <n v="0"/>
    <x v="0"/>
    <x v="9"/>
    <e v="#DIV/0!"/>
    <x v="13"/>
  </r>
  <r>
    <n v="2737"/>
    <s v="BAJAJ ALLIANZ INSURANCE"/>
    <d v="2022-09-28T00:00:00"/>
    <x v="0"/>
    <d v="2022-10-03T00:00:00"/>
    <d v="2022-10-03T00:00:00"/>
    <n v="22025359"/>
    <n v="2233703"/>
    <n v="10013395480"/>
    <s v="SUNITA"/>
    <x v="1443"/>
    <n v="7726"/>
    <n v="77894"/>
    <n v="4922"/>
    <n v="72972"/>
    <x v="1"/>
    <x v="1"/>
    <n v="6.3188435566282383E-2"/>
    <x v="0"/>
  </r>
  <r>
    <n v="2738"/>
    <s v="CGHS ( CREDIT)"/>
    <d v="2022-10-13T00:00:00"/>
    <x v="1"/>
    <d v="2022-10-15T00:00:00"/>
    <d v="2022-10-15T00:00:00"/>
    <n v="22027157"/>
    <n v="2235796"/>
    <n v="1000979219"/>
    <s v="VIJAY KUMAR KAPOOR"/>
    <x v="1444"/>
    <n v="0"/>
    <n v="187402"/>
    <n v="24420"/>
    <n v="162982"/>
    <x v="1"/>
    <x v="0"/>
    <n v="0.13030810770429344"/>
    <x v="4"/>
  </r>
  <r>
    <n v="2739"/>
    <s v="CGHS ( CREDIT)"/>
    <d v="2022-10-13T00:00:00"/>
    <x v="1"/>
    <d v="2022-10-15T00:00:00"/>
    <d v="2022-10-19T00:00:00"/>
    <n v="22027792"/>
    <n v="2235795"/>
    <n v="10013542787"/>
    <s v="HARI SINGH"/>
    <x v="1445"/>
    <n v="0"/>
    <n v="202298"/>
    <n v="24420"/>
    <n v="177878"/>
    <x v="1"/>
    <x v="2"/>
    <n v="0.12071300754332717"/>
    <x v="4"/>
  </r>
  <r>
    <n v="2740"/>
    <s v="GENERAL PATIENT"/>
    <d v="2022-10-15T00:00:00"/>
    <x v="1"/>
    <d v="2022-10-15T00:00:00"/>
    <d v="2022-10-15T00:00:00"/>
    <n v="22027246"/>
    <n v="2236125"/>
    <n v="1001804431"/>
    <s v="RENU SINGH"/>
    <x v="1446"/>
    <n v="625"/>
    <n v="19309"/>
    <n v="19309"/>
    <n v="0"/>
    <x v="0"/>
    <x v="1"/>
    <n v="1"/>
    <x v="0"/>
  </r>
  <r>
    <n v="2741"/>
    <s v="GENERAL PATIENT"/>
    <d v="2022-10-15T00:00:00"/>
    <x v="1"/>
    <d v="2022-10-15T00:00:00"/>
    <d v="2022-10-15T00:00:00"/>
    <n v="22027171"/>
    <n v="2236106"/>
    <n v="1001804481"/>
    <s v="RENU DEVI"/>
    <x v="19"/>
    <n v="0"/>
    <n v="14000"/>
    <n v="14000"/>
    <n v="0"/>
    <x v="0"/>
    <x v="6"/>
    <n v="1"/>
    <x v="4"/>
  </r>
  <r>
    <n v="2742"/>
    <s v="GENERAL PATIENT"/>
    <d v="2022-10-12T00:00:00"/>
    <x v="1"/>
    <d v="2022-10-15T00:00:00"/>
    <d v="2022-10-15T00:00:00"/>
    <n v="22027166"/>
    <n v="2235685"/>
    <n v="1001803923"/>
    <s v="POONAM MISHRA"/>
    <x v="1447"/>
    <n v="5160"/>
    <n v="36349"/>
    <n v="36349"/>
    <n v="0"/>
    <x v="0"/>
    <x v="0"/>
    <n v="1"/>
    <x v="0"/>
  </r>
  <r>
    <n v="2743"/>
    <s v=" CGHS Cash"/>
    <d v="2022-10-12T00:00:00"/>
    <x v="1"/>
    <d v="2022-10-15T00:00:00"/>
    <d v="2022-10-15T00:00:00"/>
    <n v="22027189"/>
    <n v="2235671"/>
    <n v="1001635841"/>
    <s v="RAM DULAR RAM"/>
    <x v="1448"/>
    <n v="0"/>
    <n v="25588"/>
    <n v="25588"/>
    <n v="0"/>
    <x v="0"/>
    <x v="0"/>
    <n v="1"/>
    <x v="0"/>
  </r>
  <r>
    <n v="2744"/>
    <s v="MANIPAL CIGNA HEALTH INSURANCE COMPANY LIMITED"/>
    <d v="2022-10-15T00:00:00"/>
    <x v="1"/>
    <d v="2022-10-17T00:00:00"/>
    <d v="2022-10-17T00:00:00"/>
    <n v="22027468"/>
    <n v="2236210"/>
    <n v="1001804618"/>
    <s v="VIJAY KUMAR MALIK"/>
    <x v="1449"/>
    <n v="4284"/>
    <n v="43185"/>
    <n v="2424"/>
    <n v="40761"/>
    <x v="1"/>
    <x v="2"/>
    <n v="5.6130600903091354E-2"/>
    <x v="0"/>
  </r>
  <r>
    <n v="2745"/>
    <s v="FHPL-BHARATHI AXA"/>
    <d v="2022-10-15T00:00:00"/>
    <x v="1"/>
    <d v="2022-10-17T00:00:00"/>
    <d v="2022-10-17T00:00:00"/>
    <n v="22027400"/>
    <n v="2236165"/>
    <n v="10013543197"/>
    <s v="NAINIKA CHOUDHARY"/>
    <x v="1450"/>
    <n v="6603"/>
    <n v="128111"/>
    <n v="3328"/>
    <n v="124783"/>
    <x v="1"/>
    <x v="0"/>
    <n v="2.5977472660427287E-2"/>
    <x v="16"/>
  </r>
  <r>
    <n v="2746"/>
    <s v="GENERAL PATIENT"/>
    <d v="2022-10-18T00:00:00"/>
    <x v="1"/>
    <d v="2022-10-18T00:00:00"/>
    <d v="2022-10-18T00:00:00"/>
    <n v="22027603"/>
    <n v="2236510"/>
    <n v="1000891328"/>
    <s v="SOURAV SHARMA"/>
    <x v="190"/>
    <n v="3288"/>
    <n v="0"/>
    <n v="0"/>
    <n v="0"/>
    <x v="0"/>
    <x v="9"/>
    <e v="#DIV/0!"/>
    <x v="13"/>
  </r>
  <r>
    <n v="2747"/>
    <s v="HARAYANA GOVT."/>
    <d v="2022-10-08T00:00:00"/>
    <x v="1"/>
    <d v="2022-10-08T00:00:00"/>
    <d v="2022-10-08T00:00:00"/>
    <n v="22026077"/>
    <n v="2235124"/>
    <n v="1000891454"/>
    <s v="PREM SINGH"/>
    <x v="96"/>
    <n v="0"/>
    <n v="2064"/>
    <n v="2064"/>
    <n v="0"/>
    <x v="0"/>
    <x v="6"/>
    <n v="1"/>
    <x v="13"/>
  </r>
  <r>
    <n v="2748"/>
    <s v="GENERAL PATIENT"/>
    <d v="2022-10-08T00:00:00"/>
    <x v="1"/>
    <d v="2022-10-08T00:00:00"/>
    <d v="2022-10-08T00:00:00"/>
    <n v="22026084"/>
    <n v="2235134"/>
    <n v="1001575947"/>
    <s v="MANISH RAJPUT"/>
    <x v="73"/>
    <n v="286"/>
    <n v="2558"/>
    <n v="2558"/>
    <n v="0"/>
    <x v="0"/>
    <x v="6"/>
    <n v="1"/>
    <x v="13"/>
  </r>
  <r>
    <n v="2749"/>
    <s v="DGHS (DELHI GOVT.)"/>
    <d v="2022-10-15T00:00:00"/>
    <x v="1"/>
    <d v="2022-10-22T00:00:00"/>
    <d v="2022-10-22T00:00:00"/>
    <n v="22028155"/>
    <n v="2236118"/>
    <n v="1000923540"/>
    <s v="PREMI"/>
    <x v="1451"/>
    <n v="0"/>
    <n v="86375"/>
    <n v="4212"/>
    <n v="82163"/>
    <x v="1"/>
    <x v="1"/>
    <n v="4.8764109985528221E-2"/>
    <x v="0"/>
  </r>
  <r>
    <n v="2750"/>
    <s v="MEDI ASSIST"/>
    <d v="2022-10-23T00:00:00"/>
    <x v="1"/>
    <d v="2022-10-23T00:00:00"/>
    <d v="2022-10-23T00:00:00"/>
    <n v="22028380"/>
    <n v="2237148"/>
    <n v="1001206152"/>
    <s v="JITENDRA GARG"/>
    <x v="75"/>
    <n v="0"/>
    <n v="2200"/>
    <n v="440"/>
    <n v="1760"/>
    <x v="1"/>
    <x v="12"/>
    <n v="0.2"/>
    <x v="13"/>
  </r>
  <r>
    <n v="2751"/>
    <s v=" Paramount Health Services and Insurance TPA Pvt.Ltd."/>
    <d v="2022-10-25T00:00:00"/>
    <x v="1"/>
    <d v="2022-10-25T00:00:00"/>
    <d v="2022-10-25T00:00:00"/>
    <n v="22028550"/>
    <n v="2237380"/>
    <n v="1001658205"/>
    <s v="USHA SINGH"/>
    <x v="141"/>
    <n v="0"/>
    <n v="2950"/>
    <n v="295"/>
    <n v="2655"/>
    <x v="1"/>
    <x v="6"/>
    <n v="0.1"/>
    <x v="13"/>
  </r>
  <r>
    <n v="2752"/>
    <s v=" STAR HEALTH TPA"/>
    <d v="2022-10-25T00:00:00"/>
    <x v="1"/>
    <d v="2022-10-27T00:00:00"/>
    <d v="2022-10-27T00:00:00"/>
    <n v="22028807"/>
    <n v="2237393"/>
    <n v="1001806164"/>
    <s v="DHARMENDRA VATS"/>
    <x v="1452"/>
    <n v="6279"/>
    <n v="28172"/>
    <n v="2592"/>
    <n v="25580"/>
    <x v="1"/>
    <x v="1"/>
    <n v="9.200624733778219E-2"/>
    <x v="0"/>
  </r>
  <r>
    <n v="2753"/>
    <s v="GENERAL PATIENT"/>
    <d v="2022-10-20T00:00:00"/>
    <x v="1"/>
    <d v="2022-10-21T00:00:00"/>
    <d v="2022-10-21T00:00:00"/>
    <n v="22027994"/>
    <n v="2236844"/>
    <n v="1001805523"/>
    <s v="ASHISH GARG"/>
    <x v="1453"/>
    <n v="4066"/>
    <n v="26808"/>
    <n v="26808"/>
    <n v="0"/>
    <x v="0"/>
    <x v="1"/>
    <n v="1"/>
    <x v="4"/>
  </r>
  <r>
    <n v="2754"/>
    <s v="GENERAL PATIENT"/>
    <d v="2022-10-20T00:00:00"/>
    <x v="1"/>
    <d v="2022-10-23T00:00:00"/>
    <d v="2022-10-23T00:00:00"/>
    <n v="22028338"/>
    <n v="2236847"/>
    <n v="10013542607"/>
    <s v="SONALI GUPTA"/>
    <x v="1454"/>
    <n v="14906"/>
    <n v="102964"/>
    <n v="102964"/>
    <n v="0"/>
    <x v="0"/>
    <x v="2"/>
    <n v="1"/>
    <x v="1"/>
  </r>
  <r>
    <n v="2755"/>
    <s v="FHPL"/>
    <d v="2022-10-12T00:00:00"/>
    <x v="1"/>
    <d v="2022-10-15T00:00:00"/>
    <d v="2022-10-15T00:00:00"/>
    <n v="22027247"/>
    <n v="2235784"/>
    <n v="10013542777"/>
    <s v="AMANDEEP SAINI"/>
    <x v="1455"/>
    <n v="2958"/>
    <n v="130635"/>
    <n v="1500"/>
    <n v="129135"/>
    <x v="1"/>
    <x v="2"/>
    <n v="1.1482374555057986E-2"/>
    <x v="16"/>
  </r>
  <r>
    <n v="2756"/>
    <s v=" VIDAL HEALTH TPA"/>
    <d v="2022-10-17T00:00:00"/>
    <x v="1"/>
    <d v="2022-10-19T00:00:00"/>
    <d v="2022-10-19T00:00:00"/>
    <n v="22027735"/>
    <n v="2236365"/>
    <n v="1001659382"/>
    <s v="BIMLA SATTI"/>
    <x v="1456"/>
    <n v="1143"/>
    <n v="35728"/>
    <n v="13230"/>
    <n v="22498"/>
    <x v="1"/>
    <x v="2"/>
    <n v="0.3702978056426332"/>
    <x v="11"/>
  </r>
  <r>
    <n v="2757"/>
    <s v="Paramount Health Services (TPA) Private Limited"/>
    <d v="2022-10-09T00:00:00"/>
    <x v="1"/>
    <d v="2022-10-11T00:00:00"/>
    <d v="2022-10-11T00:00:00"/>
    <n v="22026533"/>
    <n v="2235298"/>
    <n v="1001803432"/>
    <s v="MAMTA FEMALE BABY"/>
    <x v="1457"/>
    <n v="0"/>
    <n v="6222"/>
    <n v="6222"/>
    <n v="0"/>
    <x v="0"/>
    <x v="3"/>
    <n v="1"/>
    <x v="3"/>
  </r>
  <r>
    <n v="2758"/>
    <s v="Safeway Mediclaim Services Pvt. Ltd."/>
    <d v="2022-10-08T00:00:00"/>
    <x v="1"/>
    <d v="2022-10-08T00:00:00"/>
    <d v="2022-10-08T00:00:00"/>
    <n v="22026088"/>
    <n v="2235139"/>
    <n v="10013464572"/>
    <s v="NANAK CHAND JAIN"/>
    <x v="168"/>
    <n v="1077"/>
    <n v="3763"/>
    <n v="1563"/>
    <n v="2200"/>
    <x v="1"/>
    <x v="12"/>
    <n v="0.41536008503853311"/>
    <x v="13"/>
  </r>
  <r>
    <n v="2759"/>
    <s v="GENERAL PATIENT"/>
    <d v="2022-10-06T00:00:00"/>
    <x v="1"/>
    <d v="2022-10-06T00:00:00"/>
    <d v="2022-10-06T00:00:00"/>
    <n v="22025920"/>
    <n v="2234952"/>
    <n v="1001491648"/>
    <s v="SURESH"/>
    <x v="41"/>
    <n v="2794"/>
    <n v="0"/>
    <n v="0"/>
    <n v="0"/>
    <x v="0"/>
    <x v="9"/>
    <e v="#DIV/0!"/>
    <x v="13"/>
  </r>
  <r>
    <n v="2760"/>
    <s v="GENERAL PATIENT"/>
    <d v="2022-10-24T00:00:00"/>
    <x v="1"/>
    <d v="2022-10-24T00:00:00"/>
    <d v="2022-10-24T00:00:00"/>
    <n v="22028415"/>
    <n v="2237219"/>
    <n v="1001561182"/>
    <s v="TAPATI CHATTERJEE"/>
    <x v="127"/>
    <n v="0"/>
    <n v="2680"/>
    <n v="2680"/>
    <n v="0"/>
    <x v="0"/>
    <x v="6"/>
    <n v="1"/>
    <x v="13"/>
  </r>
  <r>
    <n v="2761"/>
    <s v="GENERAL PATIENT"/>
    <d v="2022-10-20T00:00:00"/>
    <x v="1"/>
    <d v="2022-10-21T00:00:00"/>
    <d v="2022-10-21T00:00:00"/>
    <n v="22028016"/>
    <n v="2236825"/>
    <n v="1001805504"/>
    <s v="MEENU FEMALE BABY"/>
    <x v="148"/>
    <n v="1114"/>
    <n v="7076"/>
    <n v="7076"/>
    <n v="0"/>
    <x v="0"/>
    <x v="7"/>
    <n v="1"/>
    <x v="3"/>
  </r>
  <r>
    <n v="2762"/>
    <s v="RAKSHA (TPA)"/>
    <d v="2022-10-02T00:00:00"/>
    <x v="1"/>
    <d v="2022-10-07T00:00:00"/>
    <d v="2022-10-07T00:00:00"/>
    <n v="22025977"/>
    <n v="2234297"/>
    <n v="10013541192"/>
    <s v="SUNITA GUGNANI"/>
    <x v="1458"/>
    <n v="15014"/>
    <n v="101777"/>
    <n v="29490"/>
    <n v="72287"/>
    <x v="1"/>
    <x v="2"/>
    <n v="0.28975112255224655"/>
    <x v="0"/>
  </r>
  <r>
    <n v="2763"/>
    <s v="GENERAL PATIENT"/>
    <d v="2022-10-12T00:00:00"/>
    <x v="1"/>
    <d v="2022-10-15T00:00:00"/>
    <d v="2022-10-15T00:00:00"/>
    <n v="22027145"/>
    <n v="2235775"/>
    <n v="10013542765"/>
    <s v="VIDHUT KUMAR"/>
    <x v="1459"/>
    <n v="4426"/>
    <n v="29881"/>
    <n v="29881"/>
    <n v="0"/>
    <x v="0"/>
    <x v="0"/>
    <n v="1"/>
    <x v="17"/>
  </r>
  <r>
    <n v="2764"/>
    <s v="GENERAL PATIENT"/>
    <d v="2022-10-08T00:00:00"/>
    <x v="1"/>
    <d v="2022-10-08T00:00:00"/>
    <d v="2022-10-08T00:00:00"/>
    <n v="22026201"/>
    <n v="2235131"/>
    <n v="1000974787"/>
    <s v="JAI RAM DASS BANGA"/>
    <x v="1460"/>
    <n v="0"/>
    <n v="54036"/>
    <n v="54036"/>
    <n v="0"/>
    <x v="0"/>
    <x v="6"/>
    <n v="1"/>
    <x v="22"/>
  </r>
  <r>
    <n v="2765"/>
    <s v="GENERAL PATIENT"/>
    <d v="2022-10-29T00:00:00"/>
    <x v="1"/>
    <d v="2022-10-29T00:00:00"/>
    <d v="2022-10-29T00:00:00"/>
    <n v="22029021"/>
    <n v="2237931"/>
    <n v="1001561182"/>
    <s v="TAPATI CHATTERJEE"/>
    <x v="127"/>
    <n v="0"/>
    <n v="2680"/>
    <n v="2680"/>
    <n v="0"/>
    <x v="0"/>
    <x v="6"/>
    <n v="1"/>
    <x v="13"/>
  </r>
  <r>
    <n v="2766"/>
    <s v="CARE HEALTH INSURANCE LIMITED"/>
    <d v="2022-09-30T00:00:00"/>
    <x v="0"/>
    <d v="2022-10-03T00:00:00"/>
    <d v="2022-10-03T00:00:00"/>
    <n v="22025369"/>
    <n v="2234069"/>
    <n v="1001245373"/>
    <s v="GOURANSH"/>
    <x v="1461"/>
    <n v="9240"/>
    <n v="59278"/>
    <n v="16717"/>
    <n v="42561"/>
    <x v="0"/>
    <x v="1"/>
    <n v="0.28201018927764093"/>
    <x v="3"/>
  </r>
  <r>
    <n v="2767"/>
    <s v="Safeway Mediclaim Services Pvt. Ltd."/>
    <d v="2022-10-18T00:00:00"/>
    <x v="1"/>
    <d v="2022-10-21T00:00:00"/>
    <d v="2022-10-21T00:00:00"/>
    <n v="22028024"/>
    <n v="2236470"/>
    <n v="10013543546"/>
    <s v="KAIRA GOEL"/>
    <x v="1462"/>
    <n v="5982"/>
    <n v="37634"/>
    <n v="12083"/>
    <n v="25551"/>
    <x v="1"/>
    <x v="3"/>
    <n v="0.32106605728862198"/>
    <x v="3"/>
  </r>
  <r>
    <n v="2768"/>
    <s v="Cholamandlam General Insurance Co. Ltd."/>
    <d v="2022-10-18T00:00:00"/>
    <x v="1"/>
    <d v="2022-10-22T00:00:00"/>
    <d v="2022-10-22T00:00:00"/>
    <n v="22028252"/>
    <n v="2236466"/>
    <n v="1001739487"/>
    <s v="SHRI KISHAN JAIN"/>
    <x v="1463"/>
    <n v="14411"/>
    <n v="163819"/>
    <n v="3867"/>
    <n v="159952"/>
    <x v="1"/>
    <x v="0"/>
    <n v="2.3605320506168394E-2"/>
    <x v="16"/>
  </r>
  <r>
    <n v="2769"/>
    <s v="GENERAL PATIENT"/>
    <d v="2022-10-25T00:00:00"/>
    <x v="1"/>
    <d v="2022-10-25T00:00:00"/>
    <d v="2022-10-25T00:00:00"/>
    <n v="22028483"/>
    <n v="2237248"/>
    <n v="10013436378"/>
    <s v="RAJESH"/>
    <x v="1464"/>
    <n v="3367"/>
    <n v="21098"/>
    <n v="21098"/>
    <n v="0"/>
    <x v="0"/>
    <x v="1"/>
    <n v="1"/>
    <x v="4"/>
  </r>
  <r>
    <n v="2770"/>
    <s v=" CGHS CREDIT"/>
    <d v="2022-10-14T00:00:00"/>
    <x v="1"/>
    <d v="2022-10-21T00:00:00"/>
    <d v="2022-10-21T00:00:00"/>
    <n v="22028035"/>
    <n v="2236029"/>
    <n v="1001728048"/>
    <s v="SHAKUNTLA"/>
    <x v="1465"/>
    <n v="0"/>
    <n v="37619"/>
    <n v="595"/>
    <n v="37024"/>
    <x v="1"/>
    <x v="1"/>
    <n v="1.5816475717057871E-2"/>
    <x v="0"/>
  </r>
  <r>
    <n v="2771"/>
    <s v="GENERAL PATIENT"/>
    <d v="2022-10-08T00:00:00"/>
    <x v="1"/>
    <d v="2022-10-08T00:00:00"/>
    <d v="2022-10-08T00:00:00"/>
    <n v="22026190"/>
    <n v="2235109"/>
    <n v="10013542058"/>
    <s v="JYOTI"/>
    <x v="1408"/>
    <n v="3610"/>
    <n v="30166"/>
    <n v="30166"/>
    <n v="0"/>
    <x v="0"/>
    <x v="1"/>
    <n v="1"/>
    <x v="1"/>
  </r>
  <r>
    <n v="2772"/>
    <s v="GENERAL PATIENT"/>
    <d v="2022-10-25T00:00:00"/>
    <x v="1"/>
    <d v="2022-10-26T00:00:00"/>
    <d v="2022-10-26T00:00:00"/>
    <n v="22028675"/>
    <n v="2237412"/>
    <n v="10013544473"/>
    <s v="PANNA LAL"/>
    <x v="1466"/>
    <n v="8691"/>
    <n v="41190"/>
    <n v="41190"/>
    <n v="0"/>
    <x v="0"/>
    <x v="1"/>
    <n v="1"/>
    <x v="4"/>
  </r>
  <r>
    <n v="2773"/>
    <s v="CGHS"/>
    <d v="2022-10-26T00:00:00"/>
    <x v="1"/>
    <d v="2022-10-26T00:00:00"/>
    <d v="2022-10-26T00:00:00"/>
    <n v="22028669"/>
    <n v="2237421"/>
    <n v="10013453245"/>
    <s v="ANUPAM"/>
    <x v="582"/>
    <n v="0"/>
    <n v="2570"/>
    <n v="2570"/>
    <n v="0"/>
    <x v="0"/>
    <x v="1"/>
    <n v="1"/>
    <x v="1"/>
  </r>
  <r>
    <n v="2774"/>
    <s v="CGHS"/>
    <d v="2022-10-25T00:00:00"/>
    <x v="1"/>
    <d v="2022-10-26T00:00:00"/>
    <d v="2022-10-26T00:00:00"/>
    <n v="22028619"/>
    <n v="2237260"/>
    <n v="10013543557"/>
    <s v="SUNITA"/>
    <x v="1467"/>
    <n v="0"/>
    <n v="19889"/>
    <n v="19889"/>
    <n v="0"/>
    <x v="0"/>
    <x v="1"/>
    <n v="1"/>
    <x v="11"/>
  </r>
  <r>
    <n v="2775"/>
    <s v="Aditya Birla Health Insurance Co. Limited"/>
    <d v="2022-10-17T00:00:00"/>
    <x v="1"/>
    <d v="2022-10-17T00:00:00"/>
    <d v="2022-10-17T00:00:00"/>
    <n v="22027399"/>
    <n v="2236273"/>
    <n v="1001804728"/>
    <s v="MEGHA SANJEEV ARORA"/>
    <x v="1468"/>
    <n v="0"/>
    <n v="7370"/>
    <n v="7370"/>
    <n v="0"/>
    <x v="0"/>
    <x v="2"/>
    <n v="1"/>
    <x v="11"/>
  </r>
  <r>
    <n v="2776"/>
    <s v="GENERAL PATIENT"/>
    <d v="2022-10-18T00:00:00"/>
    <x v="1"/>
    <d v="2022-10-18T00:00:00"/>
    <d v="2022-10-18T00:00:00"/>
    <n v="22027615"/>
    <n v="2236506"/>
    <n v="10013527702"/>
    <s v="RAJENDER TAYAL"/>
    <x v="45"/>
    <n v="413"/>
    <n v="4577"/>
    <n v="4577"/>
    <n v="0"/>
    <x v="0"/>
    <x v="6"/>
    <n v="1"/>
    <x v="13"/>
  </r>
  <r>
    <n v="2777"/>
    <s v="GENERAL PATIENT"/>
    <d v="2022-10-18T00:00:00"/>
    <x v="1"/>
    <d v="2022-10-18T00:00:00"/>
    <d v="2022-10-18T00:00:00"/>
    <n v="22027634"/>
    <n v="2236547"/>
    <n v="1001074324"/>
    <s v="RAMESH CHAND NIGAM"/>
    <x v="212"/>
    <n v="290"/>
    <n v="3300"/>
    <n v="3300"/>
    <n v="0"/>
    <x v="0"/>
    <x v="6"/>
    <n v="1"/>
    <x v="13"/>
  </r>
  <r>
    <n v="2778"/>
    <s v="CGHS"/>
    <d v="2022-10-07T00:00:00"/>
    <x v="1"/>
    <d v="2022-10-07T00:00:00"/>
    <d v="2022-10-07T00:00:00"/>
    <n v="22025971"/>
    <n v="2235009"/>
    <n v="10013519440"/>
    <s v="RAJENDER KUMAR"/>
    <x v="43"/>
    <n v="0"/>
    <n v="1610"/>
    <n v="1610"/>
    <n v="0"/>
    <x v="0"/>
    <x v="6"/>
    <n v="1"/>
    <x v="13"/>
  </r>
  <r>
    <n v="2779"/>
    <s v="STAR HEALTH CARE  (CREDIT)"/>
    <d v="2022-10-25T00:00:00"/>
    <x v="1"/>
    <d v="2022-10-28T00:00:00"/>
    <d v="2022-10-28T00:00:00"/>
    <n v="22028875"/>
    <n v="2237386"/>
    <n v="10013544459"/>
    <s v="VINOD KUMAR JINDAL"/>
    <x v="1469"/>
    <n v="0"/>
    <n v="301434"/>
    <n v="1500"/>
    <n v="299934"/>
    <x v="1"/>
    <x v="1"/>
    <n v="4.9762136985210693E-3"/>
    <x v="4"/>
  </r>
  <r>
    <n v="2780"/>
    <s v="GENERAL PATIENT"/>
    <d v="2022-10-26T00:00:00"/>
    <x v="1"/>
    <d v="2022-10-28T00:00:00"/>
    <d v="2022-10-28T00:00:00"/>
    <n v="22028957"/>
    <n v="2237531"/>
    <n v="1001806403"/>
    <s v="MOHAMMAD KHALID"/>
    <x v="1470"/>
    <n v="0"/>
    <n v="236535"/>
    <n v="236535"/>
    <n v="0"/>
    <x v="0"/>
    <x v="1"/>
    <n v="1"/>
    <x v="4"/>
  </r>
  <r>
    <n v="2781"/>
    <s v="GENERAL PATIENT"/>
    <d v="2022-10-19T00:00:00"/>
    <x v="1"/>
    <d v="2022-10-20T00:00:00"/>
    <d v="2022-10-20T00:00:00"/>
    <n v="22027855"/>
    <n v="2236639"/>
    <n v="10013543725"/>
    <s v="RABRI DEVI"/>
    <x v="1471"/>
    <n v="0"/>
    <n v="276007"/>
    <n v="276007"/>
    <n v="0"/>
    <x v="0"/>
    <x v="1"/>
    <n v="1"/>
    <x v="4"/>
  </r>
  <r>
    <n v="2782"/>
    <s v="BAJAJ ALLIANZ INSURANCE"/>
    <d v="2022-10-13T00:00:00"/>
    <x v="1"/>
    <d v="2022-10-14T00:00:00"/>
    <d v="2022-10-14T00:00:00"/>
    <n v="22027028"/>
    <n v="2235793"/>
    <n v="10013503631"/>
    <s v="SATISH  KUMAR GUPTA"/>
    <x v="1037"/>
    <n v="0"/>
    <n v="86775"/>
    <n v="19125"/>
    <n v="67650"/>
    <x v="1"/>
    <x v="2"/>
    <n v="0.22039757994814174"/>
    <x v="11"/>
  </r>
  <r>
    <n v="2783"/>
    <s v=" CGHS Cash"/>
    <d v="2022-10-14T00:00:00"/>
    <x v="1"/>
    <d v="2022-10-19T00:00:00"/>
    <d v="2022-10-19T00:00:00"/>
    <n v="22027761"/>
    <n v="2235933"/>
    <n v="1001788056"/>
    <s v="HARISH CHANDRA SINGH CHANDEL"/>
    <x v="1472"/>
    <n v="0"/>
    <n v="20604"/>
    <n v="20604"/>
    <n v="0"/>
    <x v="0"/>
    <x v="0"/>
    <n v="1"/>
    <x v="0"/>
  </r>
  <r>
    <n v="2784"/>
    <s v="EAST-WEST ASSIST."/>
    <d v="2022-09-29T00:00:00"/>
    <x v="0"/>
    <d v="2022-10-07T00:00:00"/>
    <d v="2022-10-07T00:00:00"/>
    <n v="22025967"/>
    <n v="2233932"/>
    <n v="10013540645"/>
    <s v="NEERJA KWATRA"/>
    <x v="1473"/>
    <n v="19052"/>
    <n v="133212"/>
    <n v="37293"/>
    <n v="95919"/>
    <x v="1"/>
    <x v="3"/>
    <n v="0.27995225655346367"/>
    <x v="0"/>
  </r>
  <r>
    <n v="2785"/>
    <s v=" DGEHS (CASH)"/>
    <d v="2022-09-29T00:00:00"/>
    <x v="0"/>
    <d v="2022-10-04T00:00:00"/>
    <d v="2022-10-04T00:00:00"/>
    <n v="22025513"/>
    <n v="2233948"/>
    <n v="1001801527"/>
    <s v="VANSH SHARMA"/>
    <x v="1474"/>
    <n v="0"/>
    <n v="32486"/>
    <n v="32486"/>
    <n v="0"/>
    <x v="0"/>
    <x v="2"/>
    <n v="1"/>
    <x v="0"/>
  </r>
  <r>
    <n v="2786"/>
    <s v="GENERAL PATIENT"/>
    <d v="2022-09-24T00:00:00"/>
    <x v="0"/>
    <d v="2022-10-28T00:00:00"/>
    <d v="2022-10-28T00:00:00"/>
    <n v="22028938"/>
    <n v="2233384"/>
    <n v="10013540260"/>
    <s v="RENUKA"/>
    <x v="1475"/>
    <n v="1252678"/>
    <n v="0"/>
    <n v="0"/>
    <n v="0"/>
    <x v="0"/>
    <x v="9"/>
    <e v="#DIV/0!"/>
    <x v="0"/>
  </r>
  <r>
    <n v="2787"/>
    <s v="GENERAL PATIENT"/>
    <d v="2022-10-23T00:00:00"/>
    <x v="1"/>
    <d v="2022-10-23T00:00:00"/>
    <d v="2022-10-23T00:00:00"/>
    <n v="22028307"/>
    <n v="2237118"/>
    <n v="10013484177"/>
    <s v="R.S DUBEY"/>
    <x v="73"/>
    <n v="308"/>
    <n v="2536"/>
    <n v="2536"/>
    <n v="0"/>
    <x v="0"/>
    <x v="6"/>
    <n v="1"/>
    <x v="13"/>
  </r>
  <r>
    <n v="2788"/>
    <s v=" Paramount Health Services and Insurance TPA Pvt.Ltd."/>
    <d v="2022-10-21T00:00:00"/>
    <x v="1"/>
    <d v="2022-10-23T00:00:00"/>
    <d v="2022-10-23T00:00:00"/>
    <n v="22028347"/>
    <n v="2236961"/>
    <n v="1001805677"/>
    <s v="ROHIT SINGH"/>
    <x v="1476"/>
    <n v="6890"/>
    <n v="27722"/>
    <n v="10165"/>
    <n v="17557"/>
    <x v="1"/>
    <x v="3"/>
    <n v="0.36667628598225238"/>
    <x v="0"/>
  </r>
  <r>
    <n v="2789"/>
    <s v="MEDI ASSIST"/>
    <d v="2022-10-01T00:00:00"/>
    <x v="1"/>
    <d v="2022-10-01T00:00:00"/>
    <d v="2022-10-01T00:00:00"/>
    <n v="22025231"/>
    <n v="2234243"/>
    <n v="10013538474"/>
    <s v="RAM  VINAY MISHRA"/>
    <x v="75"/>
    <n v="0"/>
    <n v="2200"/>
    <n v="440"/>
    <n v="1760"/>
    <x v="1"/>
    <x v="12"/>
    <n v="0.2"/>
    <x v="13"/>
  </r>
  <r>
    <n v="2790"/>
    <s v="GENERAL PATIENT"/>
    <d v="2022-10-01T00:00:00"/>
    <x v="1"/>
    <d v="2022-10-01T00:00:00"/>
    <d v="2022-10-01T00:00:00"/>
    <n v="22025223"/>
    <n v="2234241"/>
    <n v="10013541084"/>
    <s v="sameer"/>
    <x v="1477"/>
    <n v="1017"/>
    <n v="10674"/>
    <n v="10674"/>
    <n v="0"/>
    <x v="0"/>
    <x v="6"/>
    <n v="1"/>
    <x v="13"/>
  </r>
  <r>
    <n v="2791"/>
    <s v="GENERAL PATIENT"/>
    <d v="2022-10-29T00:00:00"/>
    <x v="1"/>
    <d v="2022-10-29T00:00:00"/>
    <d v="2022-10-29T00:00:00"/>
    <n v="22029163"/>
    <n v="2238021"/>
    <n v="1001130529"/>
    <s v="SANJAY KUMAR"/>
    <x v="41"/>
    <n v="2794"/>
    <n v="0"/>
    <n v="0"/>
    <n v="0"/>
    <x v="0"/>
    <x v="9"/>
    <e v="#DIV/0!"/>
    <x v="13"/>
  </r>
  <r>
    <n v="2792"/>
    <s v="CGHS ( CREDIT)"/>
    <d v="2022-10-21T00:00:00"/>
    <x v="1"/>
    <d v="2022-10-24T00:00:00"/>
    <d v="2022-10-24T00:00:00"/>
    <n v="22028427"/>
    <n v="2236979"/>
    <n v="10013505155"/>
    <s v="LALTI DEVI"/>
    <x v="1478"/>
    <n v="0"/>
    <n v="175461"/>
    <n v="12810"/>
    <n v="162651"/>
    <x v="1"/>
    <x v="1"/>
    <n v="7.3007676919657358E-2"/>
    <x v="4"/>
  </r>
  <r>
    <n v="2793"/>
    <s v="STAR HEALTH CARE  (CREDIT)"/>
    <d v="2022-10-26T00:00:00"/>
    <x v="1"/>
    <d v="2022-10-26T00:00:00"/>
    <d v="2022-10-26T00:00:00"/>
    <n v="22028674"/>
    <n v="2237486"/>
    <n v="1001806317"/>
    <s v="SANTANU BHATTACHARJEE"/>
    <x v="294"/>
    <n v="0"/>
    <n v="23500"/>
    <n v="1500"/>
    <n v="22000"/>
    <x v="1"/>
    <x v="6"/>
    <n v="6.3829787234042548E-2"/>
    <x v="4"/>
  </r>
  <r>
    <n v="2794"/>
    <s v="GENERAL PATIENT"/>
    <d v="2022-10-07T00:00:00"/>
    <x v="1"/>
    <d v="2022-10-08T00:00:00"/>
    <d v="2022-10-08T00:00:00"/>
    <n v="22026112"/>
    <n v="2235039"/>
    <n v="10013236921"/>
    <s v="PRABHU DAYAL GUPTA"/>
    <x v="166"/>
    <n v="9680"/>
    <n v="174474"/>
    <n v="174474"/>
    <n v="0"/>
    <x v="0"/>
    <x v="1"/>
    <n v="1"/>
    <x v="4"/>
  </r>
  <r>
    <n v="2795"/>
    <s v="GENERAL PATIENT"/>
    <d v="2022-10-18T00:00:00"/>
    <x v="1"/>
    <d v="2022-10-20T00:00:00"/>
    <d v="2022-10-20T00:00:00"/>
    <n v="22027859"/>
    <n v="2236459"/>
    <n v="10013502241"/>
    <s v="SUMIT"/>
    <x v="1479"/>
    <n v="12175"/>
    <n v="56125"/>
    <n v="56125"/>
    <n v="0"/>
    <x v="0"/>
    <x v="1"/>
    <n v="1"/>
    <x v="1"/>
  </r>
  <r>
    <n v="2796"/>
    <s v="Delhi Arogya kosh"/>
    <d v="2022-10-04T00:00:00"/>
    <x v="1"/>
    <d v="2022-10-04T00:00:00"/>
    <d v="2022-10-04T00:00:00"/>
    <n v="22025587"/>
    <n v="2234555"/>
    <n v="10013457170"/>
    <s v="MANOJ                   II"/>
    <x v="1480"/>
    <n v="0"/>
    <n v="3117"/>
    <n v="1843"/>
    <n v="1274"/>
    <x v="1"/>
    <x v="6"/>
    <n v="0.5912736605710619"/>
    <x v="13"/>
  </r>
  <r>
    <n v="2797"/>
    <s v="GENERAL PATIENT"/>
    <d v="2022-10-04T00:00:00"/>
    <x v="1"/>
    <d v="2022-10-06T00:00:00"/>
    <d v="2022-10-06T00:00:00"/>
    <n v="22025828"/>
    <n v="2234622"/>
    <n v="10013541580"/>
    <s v="NABISHUL NISHA"/>
    <x v="1481"/>
    <n v="11610"/>
    <n v="269213"/>
    <n v="269213"/>
    <n v="0"/>
    <x v="0"/>
    <x v="1"/>
    <n v="1"/>
    <x v="4"/>
  </r>
  <r>
    <n v="2798"/>
    <s v="GENERAL PATIENT"/>
    <d v="2022-10-06T00:00:00"/>
    <x v="1"/>
    <d v="2022-10-09T00:00:00"/>
    <d v="2022-10-09T00:00:00"/>
    <n v="22026255"/>
    <n v="2234907"/>
    <n v="1001802863"/>
    <s v="KANIKA FEMALE BABY"/>
    <x v="1482"/>
    <n v="2820"/>
    <n v="18961"/>
    <n v="18961"/>
    <n v="0"/>
    <x v="0"/>
    <x v="2"/>
    <n v="1"/>
    <x v="3"/>
  </r>
  <r>
    <n v="2799"/>
    <s v="STAR HEALTH CARE  (CREDIT)"/>
    <d v="2022-10-27T00:00:00"/>
    <x v="1"/>
    <d v="2022-10-30T00:00:00"/>
    <d v="2022-10-30T00:00:00"/>
    <n v="22029203"/>
    <n v="2237666"/>
    <n v="1001806591"/>
    <s v="KAMALA DEVI DUNGARWAL"/>
    <x v="1483"/>
    <n v="0"/>
    <n v="92989"/>
    <n v="23589"/>
    <n v="69400"/>
    <x v="1"/>
    <x v="10"/>
    <n v="0.25367516587983524"/>
    <x v="1"/>
  </r>
  <r>
    <n v="2800"/>
    <s v="GENERAL PATIENT"/>
    <d v="2022-10-22T00:00:00"/>
    <x v="1"/>
    <d v="2022-10-26T00:00:00"/>
    <d v="2022-10-26T00:00:00"/>
    <n v="22028608"/>
    <n v="2237054"/>
    <n v="10013544168"/>
    <s v="PRAKASH KUMAR RAJWAR"/>
    <x v="1484"/>
    <n v="46464"/>
    <n v="0"/>
    <n v="0"/>
    <n v="0"/>
    <x v="0"/>
    <x v="9"/>
    <e v="#DIV/0!"/>
    <x v="0"/>
  </r>
  <r>
    <n v="2801"/>
    <s v="GENERAL PATIENT"/>
    <d v="2022-10-05T00:00:00"/>
    <x v="1"/>
    <d v="2022-10-08T00:00:00"/>
    <d v="2022-10-08T00:00:00"/>
    <n v="22026082"/>
    <n v="2234749"/>
    <n v="10013541644"/>
    <s v="MOHIT KAUSHIK"/>
    <x v="1485"/>
    <n v="7957"/>
    <n v="49925"/>
    <n v="49925"/>
    <n v="0"/>
    <x v="0"/>
    <x v="1"/>
    <n v="1"/>
    <x v="3"/>
  </r>
  <r>
    <n v="2802"/>
    <s v="CGHS"/>
    <d v="2022-10-01T00:00:00"/>
    <x v="1"/>
    <d v="2022-10-01T00:00:00"/>
    <d v="2022-10-01T00:00:00"/>
    <n v="22025170"/>
    <n v="2234194"/>
    <n v="1001644664"/>
    <s v="P C. BHATT"/>
    <x v="43"/>
    <n v="0"/>
    <n v="1610"/>
    <n v="1610"/>
    <n v="0"/>
    <x v="0"/>
    <x v="6"/>
    <n v="1"/>
    <x v="13"/>
  </r>
  <r>
    <n v="2803"/>
    <s v="MEDI ASSIST"/>
    <d v="2022-10-20T00:00:00"/>
    <x v="1"/>
    <d v="2022-10-20T00:00:00"/>
    <d v="2022-10-20T00:00:00"/>
    <n v="22027902"/>
    <n v="2236783"/>
    <n v="1001564406"/>
    <s v="RAVI BATURA"/>
    <x v="75"/>
    <n v="0"/>
    <n v="2200"/>
    <n v="330"/>
    <n v="1870"/>
    <x v="1"/>
    <x v="12"/>
    <n v="0.15"/>
    <x v="13"/>
  </r>
  <r>
    <n v="2804"/>
    <s v="MEDI ASSIST"/>
    <d v="2022-10-03T00:00:00"/>
    <x v="1"/>
    <d v="2022-10-03T00:00:00"/>
    <d v="2022-10-03T00:00:00"/>
    <n v="22025398"/>
    <n v="2234391"/>
    <n v="1000983811"/>
    <s v="LUXMI TRIVEDI"/>
    <x v="75"/>
    <n v="0"/>
    <n v="2200"/>
    <n v="440"/>
    <n v="1760"/>
    <x v="1"/>
    <x v="12"/>
    <n v="0.2"/>
    <x v="13"/>
  </r>
  <r>
    <n v="2805"/>
    <s v="Max Bhupa Health Insurance Co Ltd."/>
    <d v="2022-10-04T00:00:00"/>
    <x v="1"/>
    <d v="2022-10-06T00:00:00"/>
    <d v="2022-10-06T00:00:00"/>
    <n v="22025886"/>
    <n v="2234558"/>
    <n v="1001802369"/>
    <s v="MEENA"/>
    <x v="1486"/>
    <n v="4472"/>
    <n v="25608"/>
    <n v="5100"/>
    <n v="20508"/>
    <x v="1"/>
    <x v="1"/>
    <n v="0.19915651358950329"/>
    <x v="0"/>
  </r>
  <r>
    <n v="2806"/>
    <s v="GENERAL PATIENT"/>
    <d v="2022-10-23T00:00:00"/>
    <x v="1"/>
    <d v="2022-10-26T00:00:00"/>
    <d v="2022-10-26T00:00:00"/>
    <n v="22028673"/>
    <n v="2237163"/>
    <n v="10013544229"/>
    <s v="ASHOK SINGH"/>
    <x v="1487"/>
    <n v="63206"/>
    <n v="0"/>
    <n v="0"/>
    <n v="0"/>
    <x v="0"/>
    <x v="9"/>
    <e v="#DIV/0!"/>
    <x v="0"/>
  </r>
  <r>
    <n v="2807"/>
    <s v="ICICI Lombard General Insurance"/>
    <d v="2022-10-16T00:00:00"/>
    <x v="1"/>
    <d v="2022-10-21T00:00:00"/>
    <d v="2022-10-21T00:00:00"/>
    <n v="22027981"/>
    <n v="2236253"/>
    <n v="1001101333"/>
    <s v="TARUN GARG"/>
    <x v="1488"/>
    <n v="748"/>
    <n v="70090"/>
    <n v="4016"/>
    <n v="66074"/>
    <x v="1"/>
    <x v="1"/>
    <n v="5.7297760022827791E-2"/>
    <x v="0"/>
  </r>
  <r>
    <n v="2808"/>
    <s v="FHPL-TATA AIG"/>
    <d v="2022-09-29T00:00:00"/>
    <x v="0"/>
    <d v="2022-10-01T00:00:00"/>
    <d v="2022-10-01T00:00:00"/>
    <n v="22025137"/>
    <n v="2233930"/>
    <n v="1001013953"/>
    <s v="SURESH KUMAR DHINGRA"/>
    <x v="1489"/>
    <n v="0"/>
    <n v="144159"/>
    <n v="1501"/>
    <n v="142658"/>
    <x v="1"/>
    <x v="1"/>
    <n v="1.0412114401459499E-2"/>
    <x v="5"/>
  </r>
  <r>
    <n v="2809"/>
    <s v="MEDI ASSIST"/>
    <d v="2022-10-27T00:00:00"/>
    <x v="1"/>
    <d v="2022-10-29T00:00:00"/>
    <d v="2022-10-29T00:00:00"/>
    <n v="22029037"/>
    <n v="2237642"/>
    <n v="10013258478"/>
    <s v="BABITA SINGH"/>
    <x v="1005"/>
    <n v="0"/>
    <n v="52500"/>
    <n v="2500"/>
    <n v="50000"/>
    <x v="1"/>
    <x v="3"/>
    <n v="4.7619047619047616E-2"/>
    <x v="1"/>
  </r>
  <r>
    <n v="2810"/>
    <s v="HARAYANA GOVT."/>
    <d v="2022-10-12T00:00:00"/>
    <x v="1"/>
    <d v="2022-10-12T00:00:00"/>
    <d v="2022-10-12T00:00:00"/>
    <n v="22026650"/>
    <n v="2235633"/>
    <n v="1000891454"/>
    <s v="PREM SINGH"/>
    <x v="96"/>
    <n v="0"/>
    <n v="2064"/>
    <n v="2064"/>
    <n v="0"/>
    <x v="0"/>
    <x v="6"/>
    <n v="1"/>
    <x v="13"/>
  </r>
  <r>
    <n v="2811"/>
    <s v="CGHS"/>
    <d v="2022-10-12T00:00:00"/>
    <x v="1"/>
    <d v="2022-10-12T00:00:00"/>
    <d v="2022-10-12T00:00:00"/>
    <n v="22026653"/>
    <n v="2235635"/>
    <n v="10013401198"/>
    <s v="RAM KUMAR"/>
    <x v="43"/>
    <n v="0"/>
    <n v="1610"/>
    <n v="1610"/>
    <n v="0"/>
    <x v="0"/>
    <x v="6"/>
    <n v="1"/>
    <x v="13"/>
  </r>
  <r>
    <n v="2812"/>
    <s v="GENERAL PATIENT"/>
    <d v="2022-09-30T00:00:00"/>
    <x v="0"/>
    <d v="2022-10-02T00:00:00"/>
    <d v="2022-10-02T00:00:00"/>
    <n v="22025278"/>
    <n v="2234075"/>
    <n v="1001801716"/>
    <s v="PREETI MALE BABY GARG"/>
    <x v="1490"/>
    <n v="1483"/>
    <n v="11309"/>
    <n v="11309"/>
    <n v="0"/>
    <x v="0"/>
    <x v="1"/>
    <n v="1"/>
    <x v="3"/>
  </r>
  <r>
    <n v="2813"/>
    <s v="VIDAL HEALTH INSURANCE LIMITED"/>
    <d v="2022-10-06T00:00:00"/>
    <x v="1"/>
    <d v="2022-10-09T00:00:00"/>
    <d v="2022-10-09T00:00:00"/>
    <n v="22026246"/>
    <n v="2234881"/>
    <n v="10013541338"/>
    <s v="RITU"/>
    <x v="1491"/>
    <n v="1204"/>
    <n v="141114"/>
    <n v="21139"/>
    <n v="119975"/>
    <x v="1"/>
    <x v="5"/>
    <n v="0.14980087021840499"/>
    <x v="16"/>
  </r>
  <r>
    <n v="2814"/>
    <s v="GENERAL PATIENT"/>
    <d v="2022-10-28T00:00:00"/>
    <x v="1"/>
    <d v="2022-10-28T00:00:00"/>
    <d v="2022-10-28T00:00:00"/>
    <n v="22028965"/>
    <n v="2237861"/>
    <n v="1001202559"/>
    <s v="SURINDER KUMAR CHAWLA"/>
    <x v="73"/>
    <n v="592"/>
    <n v="2252"/>
    <n v="2252"/>
    <n v="0"/>
    <x v="0"/>
    <x v="6"/>
    <n v="1"/>
    <x v="13"/>
  </r>
  <r>
    <n v="2815"/>
    <s v="DGHS (DELHI GOVT.)"/>
    <d v="2022-10-19T00:00:00"/>
    <x v="1"/>
    <d v="2022-10-29T00:00:00"/>
    <d v="2022-10-29T00:00:00"/>
    <n v="22029028"/>
    <n v="2236706"/>
    <n v="10013422734"/>
    <s v="KRISHAN LAL GAUBA"/>
    <x v="1492"/>
    <n v="0"/>
    <n v="211192"/>
    <n v="3739"/>
    <n v="207453"/>
    <x v="1"/>
    <x v="0"/>
    <n v="1.7704269101102316E-2"/>
    <x v="0"/>
  </r>
  <r>
    <n v="2816"/>
    <s v="CGHS ( CREDIT)"/>
    <d v="2022-10-26T00:00:00"/>
    <x v="1"/>
    <d v="2022-10-29T00:00:00"/>
    <d v="2022-10-29T00:00:00"/>
    <n v="22029026"/>
    <n v="2237428"/>
    <n v="10013290851"/>
    <s v="KAMTA SINGH"/>
    <x v="559"/>
    <n v="0"/>
    <n v="177472"/>
    <n v="24420"/>
    <n v="153052"/>
    <x v="1"/>
    <x v="1"/>
    <n v="0.13759917057338622"/>
    <x v="4"/>
  </r>
  <r>
    <n v="2817"/>
    <s v="GENERAL PATIENT"/>
    <d v="2022-10-05T00:00:00"/>
    <x v="1"/>
    <d v="2022-10-06T00:00:00"/>
    <d v="2022-10-06T00:00:00"/>
    <n v="22025815"/>
    <n v="2234674"/>
    <n v="10013519021"/>
    <s v="MANISHA"/>
    <x v="1493"/>
    <n v="4924"/>
    <n v="31813"/>
    <n v="31813"/>
    <n v="0"/>
    <x v="0"/>
    <x v="0"/>
    <n v="1"/>
    <x v="1"/>
  </r>
  <r>
    <n v="2818"/>
    <s v="GENERAL PATIENT"/>
    <d v="2022-10-05T00:00:00"/>
    <x v="1"/>
    <d v="2022-10-06T00:00:00"/>
    <d v="2022-10-06T00:00:00"/>
    <n v="22025803"/>
    <n v="2234678"/>
    <n v="1001802533"/>
    <s v="PUNAM SHARMA"/>
    <x v="1494"/>
    <n v="6228"/>
    <n v="40723"/>
    <n v="40723"/>
    <n v="0"/>
    <x v="0"/>
    <x v="10"/>
    <n v="1"/>
    <x v="1"/>
  </r>
  <r>
    <n v="2819"/>
    <s v="GENERAL PATIENT"/>
    <d v="2022-10-05T00:00:00"/>
    <x v="1"/>
    <d v="2022-10-06T00:00:00"/>
    <d v="2022-10-06T00:00:00"/>
    <n v="22025883"/>
    <n v="2234705"/>
    <n v="1001802542"/>
    <s v="MANISHA FEMALE BABY"/>
    <x v="1495"/>
    <n v="791"/>
    <n v="6324"/>
    <n v="6324"/>
    <n v="0"/>
    <x v="0"/>
    <x v="0"/>
    <n v="1"/>
    <x v="3"/>
  </r>
  <r>
    <n v="2820"/>
    <s v="CARE HEALTH INSURANCE LIMITED"/>
    <d v="2022-10-09T00:00:00"/>
    <x v="1"/>
    <d v="2022-10-12T00:00:00"/>
    <d v="2022-10-12T00:00:00"/>
    <n v="22026694"/>
    <n v="2235259"/>
    <n v="10013542261"/>
    <s v="ASHA DEVI"/>
    <x v="1496"/>
    <n v="11123"/>
    <n v="77058"/>
    <n v="2126"/>
    <n v="74932"/>
    <x v="1"/>
    <x v="1"/>
    <n v="2.7589607827869917E-2"/>
    <x v="0"/>
  </r>
  <r>
    <n v="2821"/>
    <s v="DGHS (DELHI GOVT.)"/>
    <d v="2022-10-01T00:00:00"/>
    <x v="1"/>
    <d v="2022-10-11T00:00:00"/>
    <d v="2022-10-11T00:00:00"/>
    <n v="22026600"/>
    <n v="2234289"/>
    <n v="1000930918"/>
    <s v="SATYA PAL SETHI"/>
    <x v="1497"/>
    <n v="0"/>
    <n v="177704"/>
    <n v="6582"/>
    <n v="171122"/>
    <x v="1"/>
    <x v="0"/>
    <n v="3.7039121235312653E-2"/>
    <x v="0"/>
  </r>
  <r>
    <n v="2822"/>
    <s v="GENERAL PATIENT"/>
    <d v="2022-09-28T00:00:00"/>
    <x v="0"/>
    <d v="2022-10-02T00:00:00"/>
    <d v="2022-10-02T00:00:00"/>
    <n v="22025279"/>
    <n v="2233741"/>
    <n v="10013535096"/>
    <s v="GANGA DEVI"/>
    <x v="1498"/>
    <n v="12341"/>
    <n v="52824"/>
    <n v="52824"/>
    <n v="0"/>
    <x v="0"/>
    <x v="1"/>
    <n v="1"/>
    <x v="0"/>
  </r>
  <r>
    <n v="2823"/>
    <s v="GENERAL PATIENT"/>
    <d v="2022-09-28T00:00:00"/>
    <x v="0"/>
    <d v="2022-10-02T00:00:00"/>
    <d v="2022-10-02T00:00:00"/>
    <n v="22025267"/>
    <n v="2233751"/>
    <n v="10013540591"/>
    <s v="SHIKHA"/>
    <x v="1499"/>
    <n v="10970"/>
    <n v="67668"/>
    <n v="67668"/>
    <n v="0"/>
    <x v="0"/>
    <x v="1"/>
    <n v="1"/>
    <x v="3"/>
  </r>
  <r>
    <n v="2824"/>
    <s v="GOVT. OF NCT OF DELHI"/>
    <d v="2022-10-03T00:00:00"/>
    <x v="1"/>
    <d v="2022-10-03T00:00:00"/>
    <d v="2022-10-03T00:00:00"/>
    <n v="22025328"/>
    <n v="2234356"/>
    <n v="10013386841"/>
    <s v="LEELA DEVI"/>
    <x v="43"/>
    <n v="0"/>
    <n v="1610"/>
    <n v="1610"/>
    <n v="0"/>
    <x v="0"/>
    <x v="6"/>
    <n v="1"/>
    <x v="13"/>
  </r>
  <r>
    <n v="2825"/>
    <s v="GENERAL PATIENT"/>
    <d v="2022-10-03T00:00:00"/>
    <x v="1"/>
    <d v="2022-10-03T00:00:00"/>
    <d v="2022-10-03T00:00:00"/>
    <n v="22025332"/>
    <n v="2234350"/>
    <n v="10013484177"/>
    <s v="R.S DUBEY"/>
    <x v="200"/>
    <n v="317"/>
    <n v="3504"/>
    <n v="3504"/>
    <n v="0"/>
    <x v="0"/>
    <x v="6"/>
    <n v="1"/>
    <x v="13"/>
  </r>
  <r>
    <n v="2826"/>
    <s v="GENERAL PATIENT"/>
    <d v="2022-10-09T00:00:00"/>
    <x v="1"/>
    <d v="2022-10-15T00:00:00"/>
    <d v="2022-10-15T00:00:00"/>
    <n v="22027254"/>
    <n v="2235293"/>
    <n v="10013542283"/>
    <s v="RAM KUMAR  RAY"/>
    <x v="1500"/>
    <n v="82808"/>
    <n v="149485"/>
    <n v="149485"/>
    <n v="0"/>
    <x v="0"/>
    <x v="13"/>
    <n v="1"/>
    <x v="0"/>
  </r>
  <r>
    <n v="2827"/>
    <s v="HDFC ERGO General Insurance Co. Ltd."/>
    <d v="2022-10-04T00:00:00"/>
    <x v="1"/>
    <d v="2022-10-09T00:00:00"/>
    <d v="2022-10-09T00:00:00"/>
    <n v="22026263"/>
    <n v="2234540"/>
    <n v="1001802372"/>
    <s v="PREM CHANDRA"/>
    <x v="1501"/>
    <n v="0"/>
    <n v="126918"/>
    <n v="0"/>
    <n v="126918"/>
    <x v="1"/>
    <x v="1"/>
    <n v="0"/>
    <x v="0"/>
  </r>
  <r>
    <n v="2828"/>
    <s v="Paramount Health Services (TPA) Private Limited"/>
    <d v="2022-10-10T00:00:00"/>
    <x v="1"/>
    <d v="2022-10-12T00:00:00"/>
    <d v="2022-10-12T00:00:00"/>
    <n v="22026709"/>
    <n v="2235321"/>
    <n v="10013451934"/>
    <s v="SHEETAL VERMA"/>
    <x v="1502"/>
    <n v="0"/>
    <n v="70450"/>
    <n v="15290"/>
    <n v="55160"/>
    <x v="1"/>
    <x v="2"/>
    <n v="0.21703335699077358"/>
    <x v="1"/>
  </r>
  <r>
    <n v="2829"/>
    <s v="DGHS (DELHI GOVT.)"/>
    <d v="2022-10-03T00:00:00"/>
    <x v="1"/>
    <d v="2022-10-06T00:00:00"/>
    <d v="2022-10-06T00:00:00"/>
    <n v="22025847"/>
    <n v="2234398"/>
    <n v="1001277122"/>
    <s v="KAMAL SINGH MEHTA"/>
    <x v="1503"/>
    <n v="0"/>
    <n v="76026"/>
    <n v="76026"/>
    <n v="0"/>
    <x v="0"/>
    <x v="0"/>
    <n v="1"/>
    <x v="12"/>
  </r>
  <r>
    <n v="2830"/>
    <s v="STAR HEALTH CARE  (CREDIT)"/>
    <d v="2022-10-07T00:00:00"/>
    <x v="1"/>
    <d v="2022-10-12T00:00:00"/>
    <d v="2022-10-12T00:00:00"/>
    <n v="22026687"/>
    <n v="2235105"/>
    <n v="10013542091"/>
    <s v="POOJA GUPTA"/>
    <x v="1504"/>
    <n v="15014"/>
    <n v="100674"/>
    <n v="6956"/>
    <n v="93718"/>
    <x v="1"/>
    <x v="1"/>
    <n v="6.909430438842204E-2"/>
    <x v="0"/>
  </r>
  <r>
    <n v="2831"/>
    <s v="CARE HEALTH INSURANCE LIMITED"/>
    <d v="2022-10-08T00:00:00"/>
    <x v="1"/>
    <d v="2022-10-10T00:00:00"/>
    <d v="2022-10-10T00:00:00"/>
    <n v="22026443"/>
    <n v="2235111"/>
    <n v="10013315444"/>
    <s v="DINESH MALIK"/>
    <x v="1505"/>
    <n v="0"/>
    <n v="108477"/>
    <n v="1500"/>
    <n v="106977"/>
    <x v="1"/>
    <x v="1"/>
    <n v="1.3827816034735475E-2"/>
    <x v="16"/>
  </r>
  <r>
    <n v="2832"/>
    <s v="MD INDIA TPA PVT.LTD."/>
    <d v="2022-10-08T00:00:00"/>
    <x v="1"/>
    <d v="2022-10-21T00:00:00"/>
    <d v="2022-10-21T00:00:00"/>
    <n v="22028004"/>
    <n v="2235114"/>
    <n v="10013542110"/>
    <s v="S.K  ARORA"/>
    <x v="1506"/>
    <n v="74654"/>
    <n v="509597"/>
    <n v="34500"/>
    <n v="475097"/>
    <x v="1"/>
    <x v="3"/>
    <n v="6.7700555537022394E-2"/>
    <x v="2"/>
  </r>
  <r>
    <n v="2833"/>
    <s v="GENERAL PATIENT"/>
    <d v="2022-10-03T00:00:00"/>
    <x v="1"/>
    <d v="2022-10-03T00:00:00"/>
    <d v="2022-10-03T00:00:00"/>
    <n v="22025358"/>
    <n v="2234338"/>
    <n v="10013541256"/>
    <s v="POOJA DIWEDI"/>
    <x v="1507"/>
    <n v="3455"/>
    <n v="24348"/>
    <n v="24348"/>
    <n v="0"/>
    <x v="0"/>
    <x v="1"/>
    <n v="1"/>
    <x v="1"/>
  </r>
  <r>
    <n v="2834"/>
    <s v="CGHS"/>
    <d v="2022-09-27T00:00:00"/>
    <x v="0"/>
    <d v="2022-10-03T00:00:00"/>
    <d v="2022-10-03T00:00:00"/>
    <n v="22025389"/>
    <n v="2233576"/>
    <n v="1001327770"/>
    <s v="ROHAN SHARMA"/>
    <x v="1508"/>
    <n v="0"/>
    <n v="88818"/>
    <n v="88818"/>
    <n v="0"/>
    <x v="0"/>
    <x v="2"/>
    <n v="1"/>
    <x v="0"/>
  </r>
  <r>
    <n v="2835"/>
    <s v="GENERAL PATIENT"/>
    <d v="2022-10-19T00:00:00"/>
    <x v="1"/>
    <d v="2022-10-23T00:00:00"/>
    <d v="2022-10-23T00:00:00"/>
    <n v="22028304"/>
    <n v="2236568"/>
    <n v="10013543656"/>
    <s v="KIRAN RIA"/>
    <x v="1509"/>
    <n v="22464"/>
    <n v="202088"/>
    <n v="28956"/>
    <n v="173132"/>
    <x v="1"/>
    <x v="1"/>
    <n v="0.14328411385139148"/>
    <x v="0"/>
  </r>
  <r>
    <n v="2836"/>
    <s v=" CGHS CREDIT"/>
    <d v="2022-10-07T00:00:00"/>
    <x v="1"/>
    <d v="2022-10-13T00:00:00"/>
    <d v="2022-10-13T00:00:00"/>
    <n v="22026884"/>
    <n v="2235081"/>
    <n v="1001803126"/>
    <s v="CHANDI PRASAD"/>
    <x v="1510"/>
    <n v="0"/>
    <n v="30677"/>
    <n v="1622"/>
    <n v="29055"/>
    <x v="1"/>
    <x v="1"/>
    <n v="5.2873488281122663E-2"/>
    <x v="0"/>
  </r>
  <r>
    <n v="2837"/>
    <s v=" CGHS Cash"/>
    <d v="2022-10-13T00:00:00"/>
    <x v="1"/>
    <d v="2022-10-13T00:00:00"/>
    <d v="2022-10-13T00:00:00"/>
    <n v="22026923"/>
    <n v="2235851"/>
    <n v="1001797549"/>
    <s v="ASHOK KUMAR"/>
    <x v="43"/>
    <n v="0"/>
    <n v="1610"/>
    <n v="1610"/>
    <n v="0"/>
    <x v="0"/>
    <x v="6"/>
    <n v="1"/>
    <x v="13"/>
  </r>
  <r>
    <n v="2838"/>
    <s v="VIPUL MED CORP PVT LTD"/>
    <d v="2022-10-01T00:00:00"/>
    <x v="1"/>
    <d v="2022-10-06T00:00:00"/>
    <d v="2022-10-06T00:00:00"/>
    <n v="22025834"/>
    <n v="2234190"/>
    <n v="10013541113"/>
    <s v="VIJAY KUMAR GUPTA"/>
    <x v="1511"/>
    <n v="11655"/>
    <n v="103364"/>
    <n v="27504"/>
    <n v="75860"/>
    <x v="1"/>
    <x v="5"/>
    <n v="0.26608877365427036"/>
    <x v="0"/>
  </r>
  <r>
    <n v="2839"/>
    <s v="HDFC ERGO General Insurance Co. Ltd."/>
    <d v="2022-10-01T00:00:00"/>
    <x v="1"/>
    <d v="2022-10-05T00:00:00"/>
    <d v="2022-10-05T00:00:00"/>
    <n v="22025761"/>
    <n v="2234286"/>
    <n v="10013541182"/>
    <s v="JASMINE KAUR ANAND"/>
    <x v="1512"/>
    <n v="0"/>
    <n v="83440"/>
    <n v="1655"/>
    <n v="81785"/>
    <x v="1"/>
    <x v="2"/>
    <n v="1.9834611697027806E-2"/>
    <x v="0"/>
  </r>
  <r>
    <n v="2840"/>
    <s v="GENERAL PATIENT"/>
    <d v="2022-10-03T00:00:00"/>
    <x v="1"/>
    <d v="2022-10-03T00:00:00"/>
    <d v="2022-10-03T00:00:00"/>
    <n v="22025386"/>
    <n v="2234388"/>
    <n v="1001802166"/>
    <s v="ARVIND KUMAR GUPTA"/>
    <x v="19"/>
    <n v="0"/>
    <n v="14000"/>
    <n v="14000"/>
    <n v="0"/>
    <x v="0"/>
    <x v="6"/>
    <n v="1"/>
    <x v="4"/>
  </r>
  <r>
    <n v="2841"/>
    <s v="GENERAL PATIENT"/>
    <d v="2022-10-10T00:00:00"/>
    <x v="1"/>
    <d v="2022-10-11T00:00:00"/>
    <d v="2022-10-11T00:00:00"/>
    <n v="22026595"/>
    <n v="2235473"/>
    <n v="1001647623"/>
    <s v="MANOJ KUMAR"/>
    <x v="363"/>
    <n v="6250"/>
    <n v="38173"/>
    <n v="38173"/>
    <n v="0"/>
    <x v="0"/>
    <x v="0"/>
    <n v="1"/>
    <x v="4"/>
  </r>
  <r>
    <n v="2842"/>
    <s v="GENERAL PATIENT"/>
    <d v="2022-10-10T00:00:00"/>
    <x v="1"/>
    <d v="2022-10-13T00:00:00"/>
    <d v="2022-10-13T00:00:00"/>
    <n v="22026865"/>
    <n v="2235425"/>
    <n v="10013541895"/>
    <s v="AYUSH TIWARI"/>
    <x v="1513"/>
    <n v="63420"/>
    <n v="0"/>
    <n v="0"/>
    <n v="0"/>
    <x v="0"/>
    <x v="9"/>
    <e v="#DIV/0!"/>
    <x v="3"/>
  </r>
  <r>
    <n v="2843"/>
    <s v="RAKSHA (TPA)"/>
    <d v="2022-09-30T00:00:00"/>
    <x v="0"/>
    <d v="2022-10-03T00:00:00"/>
    <d v="2022-10-03T00:00:00"/>
    <n v="22025361"/>
    <n v="2234117"/>
    <n v="1001801755"/>
    <s v="PUSHAPENDER KUMAR MITTAL"/>
    <x v="55"/>
    <n v="0"/>
    <n v="238169"/>
    <n v="26250"/>
    <n v="211919"/>
    <x v="1"/>
    <x v="4"/>
    <n v="0.11021585512808132"/>
    <x v="4"/>
  </r>
  <r>
    <n v="2844"/>
    <s v="GENERAL PATIENT"/>
    <d v="2022-10-07T00:00:00"/>
    <x v="1"/>
    <d v="2022-10-07T00:00:00"/>
    <d v="2022-10-07T00:00:00"/>
    <n v="22025941"/>
    <n v="2234998"/>
    <n v="1001307852"/>
    <s v="MEERA DEVI"/>
    <x v="190"/>
    <n v="3288"/>
    <n v="0"/>
    <n v="0"/>
    <n v="0"/>
    <x v="0"/>
    <x v="9"/>
    <e v="#DIV/0!"/>
    <x v="13"/>
  </r>
  <r>
    <n v="2845"/>
    <s v="GENERAL PATIENT"/>
    <d v="2022-10-09T00:00:00"/>
    <x v="1"/>
    <d v="2022-10-11T00:00:00"/>
    <d v="2022-10-11T00:00:00"/>
    <n v="22026491"/>
    <n v="2235304"/>
    <n v="10013332047"/>
    <s v="URMILA BABBAR"/>
    <x v="1514"/>
    <n v="15058"/>
    <n v="63366"/>
    <n v="63366"/>
    <n v="0"/>
    <x v="0"/>
    <x v="16"/>
    <n v="1"/>
    <x v="9"/>
  </r>
  <r>
    <n v="2846"/>
    <s v="GENERAL PATIENT"/>
    <d v="2022-10-12T00:00:00"/>
    <x v="1"/>
    <d v="2022-10-12T00:00:00"/>
    <d v="2022-10-12T00:00:00"/>
    <n v="22026759"/>
    <n v="2235720"/>
    <n v="1001735249"/>
    <s v="SATISH TYAGI"/>
    <x v="64"/>
    <n v="500"/>
    <n v="3130"/>
    <n v="3130"/>
    <n v="0"/>
    <x v="0"/>
    <x v="6"/>
    <n v="1"/>
    <x v="13"/>
  </r>
  <r>
    <n v="2847"/>
    <s v="ICICI Lombard General Insurance"/>
    <d v="2022-10-14T00:00:00"/>
    <x v="1"/>
    <d v="2022-10-15T00:00:00"/>
    <d v="2022-10-15T00:00:00"/>
    <n v="22027115"/>
    <n v="2236053"/>
    <n v="10013543074"/>
    <s v="DARSHAN LAL SACHDEVA"/>
    <x v="1515"/>
    <n v="1395"/>
    <n v="46576"/>
    <n v="3534"/>
    <n v="43042"/>
    <x v="1"/>
    <x v="1"/>
    <n v="7.5875987633115774E-2"/>
    <x v="0"/>
  </r>
  <r>
    <n v="2848"/>
    <s v="STAR HEALTH CARE  (CREDIT)"/>
    <d v="2022-10-08T00:00:00"/>
    <x v="1"/>
    <d v="2022-10-14T00:00:00"/>
    <d v="2022-10-14T00:00:00"/>
    <n v="22027002"/>
    <n v="2235255"/>
    <n v="10013542252"/>
    <s v="KANCHAN SONI"/>
    <x v="1516"/>
    <n v="20411"/>
    <n v="168310"/>
    <n v="5587"/>
    <n v="162723"/>
    <x v="1"/>
    <x v="2"/>
    <n v="3.3194700255480956E-2"/>
    <x v="0"/>
  </r>
  <r>
    <n v="2849"/>
    <s v="DGHS (DELHI GOVT.)"/>
    <d v="2022-10-09T00:00:00"/>
    <x v="1"/>
    <d v="2022-10-11T00:00:00"/>
    <d v="2022-10-11T00:00:00"/>
    <n v="22026522"/>
    <n v="2235260"/>
    <n v="10013542266"/>
    <s v="BHAVISHYA"/>
    <x v="1517"/>
    <n v="0"/>
    <n v="12989"/>
    <n v="12989"/>
    <n v="0"/>
    <x v="0"/>
    <x v="1"/>
    <n v="1"/>
    <x v="3"/>
  </r>
  <r>
    <n v="2850"/>
    <s v="GENERAL PATIENT"/>
    <d v="2022-10-06T00:00:00"/>
    <x v="1"/>
    <d v="2022-10-06T00:00:00"/>
    <d v="2022-10-06T00:00:00"/>
    <n v="22025807"/>
    <n v="2234837"/>
    <n v="10013415573"/>
    <s v="SANJEEV KUKERJA"/>
    <x v="45"/>
    <n v="433"/>
    <n v="4557"/>
    <n v="4557"/>
    <n v="0"/>
    <x v="0"/>
    <x v="6"/>
    <n v="1"/>
    <x v="13"/>
  </r>
  <r>
    <n v="2851"/>
    <s v="GENERAL PATIENT"/>
    <d v="2022-10-10T00:00:00"/>
    <x v="1"/>
    <d v="2022-10-10T00:00:00"/>
    <d v="2022-10-10T00:00:00"/>
    <n v="22026413"/>
    <n v="2235381"/>
    <n v="10013339576"/>
    <s v="RAKESH GUPTA"/>
    <x v="41"/>
    <n v="2794"/>
    <n v="0"/>
    <n v="0"/>
    <n v="0"/>
    <x v="0"/>
    <x v="9"/>
    <e v="#DIV/0!"/>
    <x v="13"/>
  </r>
  <r>
    <n v="2852"/>
    <s v="GENERAL PATIENT"/>
    <d v="2022-10-05T00:00:00"/>
    <x v="1"/>
    <d v="2022-10-11T00:00:00"/>
    <d v="2022-10-11T00:00:00"/>
    <n v="22026568"/>
    <n v="2234771"/>
    <n v="10013541645"/>
    <s v="CHANDMATI"/>
    <x v="1518"/>
    <n v="101627"/>
    <n v="0"/>
    <n v="0"/>
    <n v="0"/>
    <x v="0"/>
    <x v="9"/>
    <e v="#DIV/0!"/>
    <x v="0"/>
  </r>
  <r>
    <n v="2853"/>
    <s v="CGHS"/>
    <d v="2022-10-09T00:00:00"/>
    <x v="1"/>
    <d v="2022-10-20T00:00:00"/>
    <d v="2022-10-20T00:00:00"/>
    <n v="22027885"/>
    <n v="2235303"/>
    <n v="10013542311"/>
    <s v="GOVINDI RAWAT"/>
    <x v="1519"/>
    <n v="0"/>
    <n v="208779"/>
    <n v="1476"/>
    <n v="207303"/>
    <x v="1"/>
    <x v="1"/>
    <n v="7.0696765479286707E-3"/>
    <x v="0"/>
  </r>
  <r>
    <n v="2854"/>
    <s v="BAJAJ ALLIANZ INSURANCE"/>
    <d v="2022-10-14T00:00:00"/>
    <x v="1"/>
    <d v="2022-10-20T00:00:00"/>
    <d v="2022-10-20T00:00:00"/>
    <n v="22027839"/>
    <n v="2236027"/>
    <n v="10013501078"/>
    <s v="DARSHAN LAL"/>
    <x v="1520"/>
    <n v="19529"/>
    <n v="114328"/>
    <n v="35226"/>
    <n v="79102"/>
    <x v="1"/>
    <x v="1"/>
    <n v="0.3081134980057379"/>
    <x v="0"/>
  </r>
  <r>
    <n v="2855"/>
    <s v="GENERAL PATIENT"/>
    <d v="2022-10-17T00:00:00"/>
    <x v="1"/>
    <d v="2022-10-21T00:00:00"/>
    <d v="2022-10-21T00:00:00"/>
    <n v="22027989"/>
    <n v="2236344"/>
    <n v="10013540554"/>
    <s v="SHARMILA"/>
    <x v="1521"/>
    <n v="10154"/>
    <n v="73547"/>
    <n v="73547"/>
    <n v="0"/>
    <x v="0"/>
    <x v="1"/>
    <n v="1"/>
    <x v="1"/>
  </r>
  <r>
    <n v="2856"/>
    <s v=" CGHS Cash"/>
    <d v="2022-10-01T00:00:00"/>
    <x v="1"/>
    <d v="2022-10-01T00:00:00"/>
    <d v="2022-10-01T00:00:00"/>
    <n v="22025120"/>
    <n v="2234179"/>
    <n v="1001679746"/>
    <s v="PURAN SINGH"/>
    <x v="137"/>
    <n v="0"/>
    <n v="2560"/>
    <n v="2560"/>
    <n v="0"/>
    <x v="0"/>
    <x v="6"/>
    <n v="1"/>
    <x v="13"/>
  </r>
  <r>
    <n v="2857"/>
    <s v="CGHS ( CREDIT)"/>
    <d v="2022-10-06T00:00:00"/>
    <x v="1"/>
    <d v="2022-10-07T00:00:00"/>
    <d v="2022-10-07T00:00:00"/>
    <n v="22026056"/>
    <n v="2234864"/>
    <n v="1001004067"/>
    <s v="URMILA DEVI"/>
    <x v="1522"/>
    <n v="0"/>
    <n v="14205"/>
    <n v="316"/>
    <n v="13889"/>
    <x v="1"/>
    <x v="1"/>
    <n v="2.2245688137979586E-2"/>
    <x v="17"/>
  </r>
  <r>
    <n v="2858"/>
    <s v="CGHS ( CREDIT)"/>
    <d v="2022-10-06T00:00:00"/>
    <x v="1"/>
    <d v="2022-10-07T00:00:00"/>
    <d v="2022-10-08T00:00:00"/>
    <n v="22026200"/>
    <n v="2234887"/>
    <n v="10013512086"/>
    <s v="TARA CHAND"/>
    <x v="1523"/>
    <n v="0"/>
    <n v="35514"/>
    <n v="1846"/>
    <n v="33668"/>
    <x v="1"/>
    <x v="0"/>
    <n v="5.1979501041842652E-2"/>
    <x v="12"/>
  </r>
  <r>
    <n v="2859"/>
    <s v="Aditya Birla Health Insurance Co. Limited"/>
    <d v="2022-09-30T00:00:00"/>
    <x v="0"/>
    <d v="2022-10-05T00:00:00"/>
    <d v="2022-10-05T00:00:00"/>
    <n v="22025758"/>
    <n v="2234131"/>
    <n v="10013541049"/>
    <s v="PANKAJ GOSWAMI"/>
    <x v="1524"/>
    <n v="4472"/>
    <n v="56244"/>
    <n v="1500"/>
    <n v="54744"/>
    <x v="1"/>
    <x v="1"/>
    <n v="2.6669511414550887E-2"/>
    <x v="0"/>
  </r>
  <r>
    <n v="2860"/>
    <s v="DDA"/>
    <d v="2022-10-02T00:00:00"/>
    <x v="1"/>
    <d v="2022-10-10T00:00:00"/>
    <d v="2022-10-10T00:00:00"/>
    <n v="22026363"/>
    <n v="2234309"/>
    <n v="10013495553"/>
    <s v="PUSHPA DEVI"/>
    <x v="1525"/>
    <n v="0"/>
    <n v="52925"/>
    <n v="52925"/>
    <n v="0"/>
    <x v="0"/>
    <x v="1"/>
    <n v="1"/>
    <x v="0"/>
  </r>
  <r>
    <n v="2861"/>
    <s v="STAFF"/>
    <d v="2022-10-03T00:00:00"/>
    <x v="1"/>
    <d v="2022-10-08T00:00:00"/>
    <d v="2022-10-08T00:00:00"/>
    <n v="22026165"/>
    <n v="2234487"/>
    <n v="10013500991"/>
    <s v="DEEPA JOSPH"/>
    <x v="1526"/>
    <n v="50188"/>
    <n v="0"/>
    <n v="0"/>
    <n v="0"/>
    <x v="0"/>
    <x v="9"/>
    <e v="#DIV/0!"/>
    <x v="0"/>
  </r>
  <r>
    <n v="2862"/>
    <s v="GENERAL PATIENT"/>
    <d v="2022-10-19T00:00:00"/>
    <x v="1"/>
    <d v="2022-10-19T00:00:00"/>
    <d v="2022-10-19T00:00:00"/>
    <n v="22027741"/>
    <n v="2236633"/>
    <n v="1001735249"/>
    <s v="SATISH TYAGI"/>
    <x v="127"/>
    <n v="500"/>
    <n v="2180"/>
    <n v="2180"/>
    <n v="0"/>
    <x v="0"/>
    <x v="6"/>
    <n v="1"/>
    <x v="13"/>
  </r>
  <r>
    <n v="2863"/>
    <s v=" CGHS CREDIT"/>
    <d v="2022-10-19T00:00:00"/>
    <x v="1"/>
    <d v="2022-10-20T00:00:00"/>
    <d v="2022-10-20T00:00:00"/>
    <n v="22027896"/>
    <n v="2236607"/>
    <n v="1001803988"/>
    <s v="KISHAN KUMAR"/>
    <x v="1527"/>
    <n v="0"/>
    <n v="150349"/>
    <n v="12210"/>
    <n v="138139"/>
    <x v="1"/>
    <x v="1"/>
    <n v="8.1211048959421078E-2"/>
    <x v="4"/>
  </r>
  <r>
    <n v="2864"/>
    <s v="STAR HEALTH CARE  (CREDIT)"/>
    <d v="2022-09-30T00:00:00"/>
    <x v="0"/>
    <d v="2022-10-10T00:00:00"/>
    <d v="2022-10-10T00:00:00"/>
    <n v="22026474"/>
    <n v="2234136"/>
    <n v="10013314613"/>
    <s v="SATISH KUMAR"/>
    <x v="1528"/>
    <n v="62565"/>
    <n v="497387"/>
    <n v="268332"/>
    <n v="229055"/>
    <x v="1"/>
    <x v="1"/>
    <n v="0.53948333993449771"/>
    <x v="0"/>
  </r>
  <r>
    <n v="2865"/>
    <s v="GENERAL PATIENT"/>
    <d v="2022-10-11T00:00:00"/>
    <x v="1"/>
    <d v="2022-10-12T00:00:00"/>
    <d v="2022-10-12T00:00:00"/>
    <n v="22026674"/>
    <n v="2235526"/>
    <n v="1001803728"/>
    <s v="PRIYANKA GARG"/>
    <x v="899"/>
    <n v="1471"/>
    <n v="8334"/>
    <n v="8334"/>
    <n v="0"/>
    <x v="0"/>
    <x v="1"/>
    <n v="1"/>
    <x v="1"/>
  </r>
  <r>
    <n v="2866"/>
    <s v="DDA"/>
    <d v="2022-10-10T00:00:00"/>
    <x v="1"/>
    <d v="2022-10-10T00:00:00"/>
    <d v="2022-10-10T00:00:00"/>
    <n v="22026339"/>
    <n v="2235336"/>
    <n v="10013524248"/>
    <s v="KRISHNA DEVI"/>
    <x v="43"/>
    <n v="0"/>
    <n v="1610"/>
    <n v="1610"/>
    <n v="0"/>
    <x v="0"/>
    <x v="6"/>
    <n v="1"/>
    <x v="13"/>
  </r>
  <r>
    <n v="2867"/>
    <s v="CGHS ( CREDIT)"/>
    <d v="2022-09-17T00:00:00"/>
    <x v="0"/>
    <d v="2022-10-01T00:00:00"/>
    <d v="2022-10-01T00:00:00"/>
    <n v="22025205"/>
    <n v="2232406"/>
    <n v="10013539137"/>
    <s v="UMA RANI"/>
    <x v="1529"/>
    <n v="0"/>
    <n v="496986"/>
    <n v="13881"/>
    <n v="483105"/>
    <x v="1"/>
    <x v="0"/>
    <n v="2.7930364235612272E-2"/>
    <x v="0"/>
  </r>
  <r>
    <n v="2868"/>
    <s v="Paramount Health Services (TPA) Private Limited"/>
    <d v="2022-10-11T00:00:00"/>
    <x v="1"/>
    <d v="2022-10-21T00:00:00"/>
    <d v="2022-10-21T00:00:00"/>
    <n v="22028006"/>
    <n v="2235552"/>
    <n v="1001118762"/>
    <s v="ARADHIYA"/>
    <x v="1530"/>
    <n v="34685"/>
    <n v="270572"/>
    <n v="7990"/>
    <n v="262582"/>
    <x v="1"/>
    <x v="3"/>
    <n v="2.953003267152551E-2"/>
    <x v="3"/>
  </r>
  <r>
    <n v="2869"/>
    <s v="GENERAL PATIENT"/>
    <d v="2022-10-11T00:00:00"/>
    <x v="1"/>
    <d v="2022-10-11T00:00:00"/>
    <d v="2022-10-11T00:00:00"/>
    <n v="22026554"/>
    <n v="2235553"/>
    <n v="1000975940"/>
    <s v="PROMILA KANSAL"/>
    <x v="45"/>
    <n v="432"/>
    <n v="4558"/>
    <n v="4558"/>
    <n v="0"/>
    <x v="0"/>
    <x v="6"/>
    <n v="1"/>
    <x v="13"/>
  </r>
  <r>
    <n v="2870"/>
    <s v="GENERAL PATIENT"/>
    <d v="2022-10-11T00:00:00"/>
    <x v="1"/>
    <d v="2022-10-11T00:00:00"/>
    <d v="2022-10-11T00:00:00"/>
    <n v="22026586"/>
    <n v="2235491"/>
    <n v="10013541160"/>
    <s v="SARJIT SINGH CHANA"/>
    <x v="45"/>
    <n v="538"/>
    <n v="4452"/>
    <n v="4452"/>
    <n v="0"/>
    <x v="0"/>
    <x v="6"/>
    <n v="1"/>
    <x v="13"/>
  </r>
  <r>
    <n v="2871"/>
    <s v="GENERAL PATIENT"/>
    <d v="2022-10-11T00:00:00"/>
    <x v="1"/>
    <d v="2022-10-14T00:00:00"/>
    <d v="2022-10-14T00:00:00"/>
    <n v="22026973"/>
    <n v="2235601"/>
    <n v="10013539654"/>
    <s v="NEHA"/>
    <x v="1531"/>
    <n v="10552"/>
    <n v="108564"/>
    <n v="108564"/>
    <n v="0"/>
    <x v="0"/>
    <x v="2"/>
    <n v="1"/>
    <x v="0"/>
  </r>
  <r>
    <n v="2872"/>
    <s v=" Paramount Health Services and Insurance TPA Pvt.Ltd."/>
    <d v="2022-10-06T00:00:00"/>
    <x v="1"/>
    <d v="2022-10-10T00:00:00"/>
    <d v="2022-10-10T00:00:00"/>
    <n v="22026455"/>
    <n v="2234882"/>
    <n v="1001802772"/>
    <s v="JYOTI SHARMA"/>
    <x v="1532"/>
    <n v="14458"/>
    <n v="62880"/>
    <n v="1000"/>
    <n v="61880"/>
    <x v="1"/>
    <x v="0"/>
    <n v="1.5903307888040712E-2"/>
    <x v="0"/>
  </r>
  <r>
    <n v="2873"/>
    <s v="Good Health Plan Limited"/>
    <d v="2022-10-21T00:00:00"/>
    <x v="1"/>
    <d v="2022-10-21T00:00:00"/>
    <d v="2022-10-21T00:00:00"/>
    <n v="22028023"/>
    <n v="2236898"/>
    <n v="10013471499"/>
    <s v="MOHAN LAL KATARIA"/>
    <x v="75"/>
    <n v="0"/>
    <n v="2200"/>
    <n v="220"/>
    <n v="1980"/>
    <x v="1"/>
    <x v="12"/>
    <n v="0.1"/>
    <x v="13"/>
  </r>
  <r>
    <n v="2874"/>
    <s v="MEDI ASSIST"/>
    <d v="2022-10-27T00:00:00"/>
    <x v="1"/>
    <d v="2022-10-27T00:00:00"/>
    <d v="2022-10-27T00:00:00"/>
    <n v="22028792"/>
    <n v="2237633"/>
    <n v="1000983811"/>
    <s v="LUXMI TRIVEDI"/>
    <x v="75"/>
    <n v="0"/>
    <n v="2200"/>
    <n v="440"/>
    <n v="1760"/>
    <x v="1"/>
    <x v="12"/>
    <n v="0.2"/>
    <x v="13"/>
  </r>
  <r>
    <n v="2875"/>
    <s v="Delhi Arogya kosh"/>
    <d v="2022-10-27T00:00:00"/>
    <x v="1"/>
    <d v="2022-10-27T00:00:00"/>
    <d v="2022-10-27T00:00:00"/>
    <n v="22028806"/>
    <n v="2237669"/>
    <n v="10013457170"/>
    <s v="MANOJ                   II"/>
    <x v="1480"/>
    <n v="0"/>
    <n v="3117"/>
    <n v="1843"/>
    <n v="1274"/>
    <x v="1"/>
    <x v="6"/>
    <n v="0.5912736605710619"/>
    <x v="13"/>
  </r>
  <r>
    <n v="2876"/>
    <s v="Health Insurance TPA of India Ltd."/>
    <d v="2022-10-24T00:00:00"/>
    <x v="1"/>
    <d v="2022-10-29T00:00:00"/>
    <d v="2022-10-29T00:00:00"/>
    <n v="22029117"/>
    <n v="2237209"/>
    <n v="10013544284"/>
    <s v="SHAKUNTLA DEVI"/>
    <x v="1533"/>
    <n v="0"/>
    <n v="275142"/>
    <n v="34500"/>
    <n v="240642"/>
    <x v="1"/>
    <x v="2"/>
    <n v="0.12538979872211439"/>
    <x v="4"/>
  </r>
  <r>
    <n v="2877"/>
    <s v="MEDI ASSIST"/>
    <d v="2022-10-25T00:00:00"/>
    <x v="1"/>
    <d v="2022-10-25T00:00:00"/>
    <d v="2022-10-25T00:00:00"/>
    <n v="22028467"/>
    <n v="2237263"/>
    <n v="1000891498"/>
    <s v="GULSAN JAMWAL"/>
    <x v="75"/>
    <n v="0"/>
    <n v="2200"/>
    <n v="440"/>
    <n v="1760"/>
    <x v="1"/>
    <x v="12"/>
    <n v="0.2"/>
    <x v="13"/>
  </r>
  <r>
    <n v="2878"/>
    <s v="CGHS ( CREDIT)"/>
    <d v="2022-10-13T00:00:00"/>
    <x v="1"/>
    <d v="2022-10-17T00:00:00"/>
    <d v="2022-10-17T00:00:00"/>
    <n v="22027440"/>
    <n v="2235880"/>
    <n v="10013542895"/>
    <s v="ASHA SINGH"/>
    <x v="1534"/>
    <n v="0"/>
    <n v="45359"/>
    <n v="1245"/>
    <n v="44114"/>
    <x v="1"/>
    <x v="0"/>
    <n v="2.7447695055005623E-2"/>
    <x v="0"/>
  </r>
  <r>
    <n v="2879"/>
    <s v="MD INDIA TPA PVT.LTD."/>
    <d v="2022-09-28T00:00:00"/>
    <x v="0"/>
    <d v="2022-10-03T00:00:00"/>
    <d v="2022-10-04T00:00:00"/>
    <n v="22025608"/>
    <n v="2233819"/>
    <n v="10013540703"/>
    <s v="SUMITRA DEVI AGARWAL"/>
    <x v="1535"/>
    <n v="30662"/>
    <n v="201464"/>
    <n v="5781"/>
    <n v="195683"/>
    <x v="1"/>
    <x v="14"/>
    <n v="2.8694952944446652E-2"/>
    <x v="12"/>
  </r>
  <r>
    <n v="2880"/>
    <s v="CARE HEALTH INSURANCE LIMITED"/>
    <d v="2022-10-08T00:00:00"/>
    <x v="1"/>
    <d v="2022-10-09T00:00:00"/>
    <d v="2022-10-09T00:00:00"/>
    <n v="22026254"/>
    <n v="2235135"/>
    <n v="1001803188"/>
    <s v="SANJEET"/>
    <x v="1536"/>
    <n v="0"/>
    <n v="101205"/>
    <n v="1500"/>
    <n v="99705"/>
    <x v="1"/>
    <x v="2"/>
    <n v="1.4821402104639099E-2"/>
    <x v="14"/>
  </r>
  <r>
    <n v="2881"/>
    <s v="GOVT. OF NCT OF DELHI"/>
    <d v="2022-10-27T00:00:00"/>
    <x v="1"/>
    <d v="2022-10-27T00:00:00"/>
    <d v="2022-10-27T00:00:00"/>
    <n v="22028714"/>
    <n v="2237606"/>
    <n v="10013269857"/>
    <s v="JAI BHAGWAN"/>
    <x v="43"/>
    <n v="0"/>
    <n v="1610"/>
    <n v="1610"/>
    <n v="0"/>
    <x v="0"/>
    <x v="6"/>
    <n v="1"/>
    <x v="13"/>
  </r>
  <r>
    <n v="2882"/>
    <s v="GOVT. OF NCT OF DELHI"/>
    <d v="2022-10-27T00:00:00"/>
    <x v="1"/>
    <d v="2022-10-27T00:00:00"/>
    <d v="2022-10-27T00:00:00"/>
    <n v="22028708"/>
    <n v="2237601"/>
    <n v="10013521425"/>
    <s v="MEHAR CHAND"/>
    <x v="43"/>
    <n v="0"/>
    <n v="1610"/>
    <n v="1610"/>
    <n v="0"/>
    <x v="0"/>
    <x v="6"/>
    <n v="1"/>
    <x v="13"/>
  </r>
  <r>
    <n v="2883"/>
    <s v="CGHS"/>
    <d v="2022-10-19T00:00:00"/>
    <x v="1"/>
    <d v="2022-10-20T00:00:00"/>
    <d v="2022-10-20T00:00:00"/>
    <n v="22027923"/>
    <n v="2236589"/>
    <n v="1001059298"/>
    <s v="RAJENDER KUMAR"/>
    <x v="1537"/>
    <n v="0"/>
    <n v="5937"/>
    <n v="5937"/>
    <n v="0"/>
    <x v="0"/>
    <x v="0"/>
    <n v="1"/>
    <x v="5"/>
  </r>
  <r>
    <n v="2884"/>
    <s v=" CGHS CREDIT"/>
    <d v="2022-09-30T00:00:00"/>
    <x v="0"/>
    <d v="2022-10-01T00:00:00"/>
    <d v="2022-10-01T00:00:00"/>
    <n v="22025164"/>
    <n v="2234006"/>
    <n v="1001733723"/>
    <s v="OM PRAKASH"/>
    <x v="1538"/>
    <n v="0"/>
    <n v="138763"/>
    <n v="0"/>
    <n v="138763"/>
    <x v="1"/>
    <x v="1"/>
    <n v="0"/>
    <x v="4"/>
  </r>
  <r>
    <n v="2885"/>
    <s v="CGHS ( CREDIT)"/>
    <d v="2022-10-28T00:00:00"/>
    <x v="1"/>
    <d v="2022-10-29T00:00:00"/>
    <d v="2022-10-29T00:00:00"/>
    <n v="22029077"/>
    <n v="2237767"/>
    <n v="10013522477"/>
    <s v="DHAN SINGH"/>
    <x v="559"/>
    <n v="0"/>
    <n v="177472"/>
    <n v="24420"/>
    <n v="153052"/>
    <x v="1"/>
    <x v="1"/>
    <n v="0.13759917057338622"/>
    <x v="4"/>
  </r>
  <r>
    <n v="2886"/>
    <s v="GENERAL PATIENT"/>
    <d v="2022-10-21T00:00:00"/>
    <x v="1"/>
    <d v="2022-10-21T00:00:00"/>
    <d v="2022-10-21T00:00:00"/>
    <n v="22028080"/>
    <n v="2236891"/>
    <n v="10013543919"/>
    <s v="CHANDA DEVI"/>
    <x v="1539"/>
    <n v="2909"/>
    <n v="19296"/>
    <n v="19296"/>
    <n v="0"/>
    <x v="0"/>
    <x v="6"/>
    <n v="1"/>
    <x v="1"/>
  </r>
  <r>
    <n v="2887"/>
    <s v="FHPL"/>
    <d v="2022-10-29T00:00:00"/>
    <x v="1"/>
    <d v="2022-10-31T00:00:00"/>
    <d v="2022-10-31T00:00:00"/>
    <n v="22029291"/>
    <n v="2237933"/>
    <n v="10013486300"/>
    <s v="ARPIT RASTOGI"/>
    <x v="1540"/>
    <n v="0"/>
    <n v="177893"/>
    <n v="1500"/>
    <n v="176393"/>
    <x v="1"/>
    <x v="3"/>
    <n v="8.4320349873238404E-3"/>
    <x v="16"/>
  </r>
  <r>
    <n v="2888"/>
    <s v="GENERAL PATIENT"/>
    <d v="2022-10-28T00:00:00"/>
    <x v="1"/>
    <d v="2022-10-28T00:00:00"/>
    <d v="2022-10-28T00:00:00"/>
    <n v="22028991"/>
    <n v="2237877"/>
    <n v="1001110018"/>
    <s v="RUPENDER KAUR"/>
    <x v="41"/>
    <n v="2794"/>
    <n v="0"/>
    <n v="0"/>
    <n v="0"/>
    <x v="0"/>
    <x v="9"/>
    <e v="#DIV/0!"/>
    <x v="13"/>
  </r>
  <r>
    <n v="2889"/>
    <s v="GENERAL PATIENT"/>
    <d v="2022-10-28T00:00:00"/>
    <x v="1"/>
    <d v="2022-10-28T00:00:00"/>
    <d v="2022-10-28T00:00:00"/>
    <n v="22028992"/>
    <n v="2237882"/>
    <n v="1001012376"/>
    <s v="SHOBHA"/>
    <x v="1541"/>
    <n v="9608"/>
    <n v="0"/>
    <n v="0"/>
    <n v="0"/>
    <x v="0"/>
    <x v="9"/>
    <e v="#DIV/0!"/>
    <x v="13"/>
  </r>
  <r>
    <n v="2890"/>
    <s v="GENERAL PATIENT"/>
    <d v="2022-10-27T00:00:00"/>
    <x v="1"/>
    <d v="2022-10-29T00:00:00"/>
    <d v="2022-10-29T00:00:00"/>
    <n v="22029002"/>
    <n v="2237683"/>
    <n v="10013537067"/>
    <s v="JAI BHAWAN MITTAL"/>
    <x v="1542"/>
    <n v="5075"/>
    <n v="23349"/>
    <n v="23349"/>
    <n v="0"/>
    <x v="0"/>
    <x v="0"/>
    <n v="1"/>
    <x v="0"/>
  </r>
  <r>
    <n v="2891"/>
    <s v="DDA"/>
    <d v="2022-09-28T00:00:00"/>
    <x v="0"/>
    <d v="2022-10-01T00:00:00"/>
    <d v="2022-10-01T00:00:00"/>
    <n v="22025211"/>
    <n v="2233814"/>
    <n v="10013519971"/>
    <s v="MITHUN SINGHARIA"/>
    <x v="1543"/>
    <n v="0"/>
    <n v="27608"/>
    <n v="27608"/>
    <n v="0"/>
    <x v="0"/>
    <x v="0"/>
    <n v="1"/>
    <x v="12"/>
  </r>
  <r>
    <n v="2892"/>
    <s v="MD INDIA TPA PVT.LTD."/>
    <d v="2022-10-01T00:00:00"/>
    <x v="1"/>
    <d v="2022-10-01T00:00:00"/>
    <d v="2022-10-01T00:00:00"/>
    <n v="22025210"/>
    <n v="2234152"/>
    <n v="10013540996"/>
    <s v="REKHA GUPTA"/>
    <x v="11"/>
    <n v="0"/>
    <n v="22500"/>
    <n v="8325"/>
    <n v="14175"/>
    <x v="1"/>
    <x v="12"/>
    <n v="0.37"/>
    <x v="1"/>
  </r>
  <r>
    <n v="2893"/>
    <s v=" MEDI ASSIST INSURANCE TPA LTD"/>
    <d v="2022-10-12T00:00:00"/>
    <x v="1"/>
    <d v="2022-10-16T00:00:00"/>
    <d v="2022-10-16T00:00:00"/>
    <n v="22027287"/>
    <n v="2235758"/>
    <n v="1001804015"/>
    <s v="S DEVRAJAN"/>
    <x v="1544"/>
    <n v="10378"/>
    <n v="57520"/>
    <n v="2458"/>
    <n v="55062"/>
    <x v="1"/>
    <x v="5"/>
    <n v="4.2732962447844226E-2"/>
    <x v="0"/>
  </r>
  <r>
    <n v="2894"/>
    <s v="CGHS ( CREDIT)"/>
    <d v="2022-10-01T00:00:00"/>
    <x v="1"/>
    <d v="2022-10-03T00:00:00"/>
    <d v="2022-10-03T00:00:00"/>
    <n v="22025373"/>
    <n v="2234290"/>
    <n v="1001435209"/>
    <s v="RAM KUMAR DABAS"/>
    <x v="1545"/>
    <n v="0"/>
    <n v="10961"/>
    <n v="520"/>
    <n v="10441"/>
    <x v="1"/>
    <x v="1"/>
    <n v="4.7440926922726029E-2"/>
    <x v="4"/>
  </r>
  <r>
    <n v="2895"/>
    <s v="CGHS"/>
    <d v="2022-10-05T00:00:00"/>
    <x v="1"/>
    <d v="2022-10-09T00:00:00"/>
    <d v="2022-10-09T00:00:00"/>
    <n v="22026267"/>
    <n v="2234672"/>
    <n v="1001802530"/>
    <s v="REETU MALE BABY"/>
    <x v="1546"/>
    <n v="0"/>
    <n v="9373"/>
    <n v="9373"/>
    <n v="0"/>
    <x v="0"/>
    <x v="1"/>
    <n v="1"/>
    <x v="3"/>
  </r>
  <r>
    <n v="2896"/>
    <s v="HARAYANA GOVT."/>
    <d v="2022-10-05T00:00:00"/>
    <x v="1"/>
    <d v="2022-10-05T00:00:00"/>
    <d v="2022-10-05T00:00:00"/>
    <n v="22025642"/>
    <n v="2234680"/>
    <n v="1000891454"/>
    <s v="PREM SINGH"/>
    <x v="96"/>
    <n v="0"/>
    <n v="2064"/>
    <n v="2064"/>
    <n v="0"/>
    <x v="0"/>
    <x v="6"/>
    <n v="1"/>
    <x v="13"/>
  </r>
  <r>
    <n v="2897"/>
    <s v="CGHS"/>
    <d v="2022-10-05T00:00:00"/>
    <x v="1"/>
    <d v="2022-10-05T00:00:00"/>
    <d v="2022-10-05T00:00:00"/>
    <n v="22025643"/>
    <n v="2234681"/>
    <n v="10013480632"/>
    <s v="MANJU GUPTA"/>
    <x v="43"/>
    <n v="0"/>
    <n v="1610"/>
    <n v="1610"/>
    <n v="0"/>
    <x v="0"/>
    <x v="6"/>
    <n v="1"/>
    <x v="13"/>
  </r>
  <r>
    <n v="2898"/>
    <s v="GENERAL PATIENT"/>
    <d v="2022-10-05T00:00:00"/>
    <x v="1"/>
    <d v="2022-10-05T00:00:00"/>
    <d v="2022-10-05T00:00:00"/>
    <n v="22025657"/>
    <n v="2234682"/>
    <n v="1001105051"/>
    <s v="KAMLA CHUGH"/>
    <x v="45"/>
    <n v="372"/>
    <n v="4618"/>
    <n v="4618"/>
    <n v="0"/>
    <x v="0"/>
    <x v="6"/>
    <n v="1"/>
    <x v="13"/>
  </r>
  <r>
    <n v="2899"/>
    <s v="GENERAL PATIENT"/>
    <d v="2022-10-05T00:00:00"/>
    <x v="1"/>
    <d v="2022-10-09T00:00:00"/>
    <d v="2022-10-09T00:00:00"/>
    <n v="22026289"/>
    <n v="2234736"/>
    <n v="10013538464"/>
    <s v="BRAHM DUTT"/>
    <x v="1547"/>
    <n v="26125"/>
    <n v="97570"/>
    <n v="97570"/>
    <n v="0"/>
    <x v="0"/>
    <x v="1"/>
    <n v="1"/>
    <x v="0"/>
  </r>
  <r>
    <n v="2900"/>
    <s v="GENERAL PATIENT"/>
    <d v="2022-10-05T00:00:00"/>
    <x v="1"/>
    <d v="2022-10-09T00:00:00"/>
    <d v="2022-10-09T00:00:00"/>
    <n v="22026253"/>
    <n v="2234805"/>
    <n v="1001802623"/>
    <s v="KANIKA"/>
    <x v="1548"/>
    <n v="15091"/>
    <n v="103220"/>
    <n v="103220"/>
    <n v="0"/>
    <x v="0"/>
    <x v="2"/>
    <n v="1"/>
    <x v="1"/>
  </r>
  <r>
    <n v="2901"/>
    <s v="GOVT. OF NCT OF DELHI"/>
    <d v="2022-10-26T00:00:00"/>
    <x v="1"/>
    <d v="2022-10-26T00:00:00"/>
    <d v="2022-10-26T00:00:00"/>
    <n v="22028703"/>
    <n v="2237579"/>
    <n v="1000915662"/>
    <s v="RAJ KUMAR"/>
    <x v="43"/>
    <n v="0"/>
    <n v="1610"/>
    <n v="1610"/>
    <n v="0"/>
    <x v="0"/>
    <x v="6"/>
    <n v="1"/>
    <x v="13"/>
  </r>
  <r>
    <n v="2902"/>
    <s v="GENERAL PATIENT"/>
    <d v="2022-10-26T00:00:00"/>
    <x v="1"/>
    <d v="2022-10-26T00:00:00"/>
    <d v="2022-10-26T00:00:00"/>
    <n v="22028574"/>
    <n v="2237443"/>
    <n v="10013407139"/>
    <s v="SITO DEVI"/>
    <x v="73"/>
    <n v="271"/>
    <n v="2573"/>
    <n v="2573"/>
    <n v="0"/>
    <x v="0"/>
    <x v="6"/>
    <n v="1"/>
    <x v="13"/>
  </r>
  <r>
    <n v="2903"/>
    <s v=" MEDI ASSIST INSURANCE TPA LTD"/>
    <d v="2022-10-06T00:00:00"/>
    <x v="1"/>
    <d v="2022-10-06T00:00:00"/>
    <d v="2022-10-06T00:00:00"/>
    <n v="22025821"/>
    <n v="2234825"/>
    <n v="1001561182"/>
    <s v="TAPATI CHATTERJEE"/>
    <x v="211"/>
    <n v="0"/>
    <n v="2000"/>
    <n v="300"/>
    <n v="1700"/>
    <x v="1"/>
    <x v="6"/>
    <n v="0.15"/>
    <x v="13"/>
  </r>
  <r>
    <n v="2904"/>
    <s v="GOVT. OF NCT OF DELHI"/>
    <d v="2022-10-20T00:00:00"/>
    <x v="1"/>
    <d v="2022-10-20T00:00:00"/>
    <d v="2022-10-20T00:00:00"/>
    <n v="22027817"/>
    <n v="2236741"/>
    <n v="10013521425"/>
    <s v="MEHAR CHAND"/>
    <x v="43"/>
    <n v="0"/>
    <n v="1610"/>
    <n v="1610"/>
    <n v="0"/>
    <x v="0"/>
    <x v="6"/>
    <n v="1"/>
    <x v="13"/>
  </r>
  <r>
    <n v="2905"/>
    <s v="GENERAL PATIENT"/>
    <d v="2022-10-01T00:00:00"/>
    <x v="1"/>
    <d v="2022-10-01T00:00:00"/>
    <d v="2022-10-01T00:00:00"/>
    <n v="22025189"/>
    <n v="2234206"/>
    <n v="10013539422"/>
    <s v="NAVEEN KUMAR"/>
    <x v="73"/>
    <n v="311"/>
    <n v="2533"/>
    <n v="2533"/>
    <n v="0"/>
    <x v="0"/>
    <x v="6"/>
    <n v="1"/>
    <x v="13"/>
  </r>
  <r>
    <n v="2906"/>
    <s v="GENERAL PATIENT"/>
    <d v="2022-10-01T00:00:00"/>
    <x v="1"/>
    <d v="2022-10-01T00:00:00"/>
    <d v="2022-10-01T00:00:00"/>
    <n v="22025190"/>
    <n v="2234208"/>
    <n v="10013526375"/>
    <s v="BIRBHAN GARG"/>
    <x v="45"/>
    <n v="417"/>
    <n v="4573"/>
    <n v="4573"/>
    <n v="0"/>
    <x v="0"/>
    <x v="6"/>
    <n v="1"/>
    <x v="13"/>
  </r>
  <r>
    <n v="2907"/>
    <s v="CGHS"/>
    <d v="2022-10-01T00:00:00"/>
    <x v="1"/>
    <d v="2022-10-01T00:00:00"/>
    <d v="2022-10-01T00:00:00"/>
    <n v="22025098"/>
    <n v="2234154"/>
    <n v="10013401198"/>
    <s v="RAM KUMAR"/>
    <x v="43"/>
    <n v="0"/>
    <n v="1610"/>
    <n v="1610"/>
    <n v="0"/>
    <x v="0"/>
    <x v="6"/>
    <n v="1"/>
    <x v="13"/>
  </r>
  <r>
    <n v="2908"/>
    <s v=" CGHS Cash"/>
    <d v="2022-10-18T00:00:00"/>
    <x v="1"/>
    <d v="2022-10-18T00:00:00"/>
    <d v="2022-10-18T00:00:00"/>
    <n v="22027585"/>
    <n v="2236497"/>
    <n v="1001755099"/>
    <s v="SUSHILA DEVI"/>
    <x v="43"/>
    <n v="0"/>
    <n v="1610"/>
    <n v="1610"/>
    <n v="0"/>
    <x v="0"/>
    <x v="6"/>
    <n v="1"/>
    <x v="13"/>
  </r>
  <r>
    <n v="2909"/>
    <s v="GENERAL PATIENT"/>
    <d v="2022-10-07T00:00:00"/>
    <x v="1"/>
    <d v="2022-10-07T00:00:00"/>
    <d v="2022-10-07T00:00:00"/>
    <n v="22025997"/>
    <n v="2235026"/>
    <n v="10013372212"/>
    <s v="V. K.  SURI"/>
    <x v="45"/>
    <n v="441"/>
    <n v="4549"/>
    <n v="4549"/>
    <n v="0"/>
    <x v="0"/>
    <x v="6"/>
    <n v="1"/>
    <x v="13"/>
  </r>
  <r>
    <n v="2910"/>
    <s v="GENERAL PATIENT"/>
    <d v="2022-10-24T00:00:00"/>
    <x v="1"/>
    <d v="2022-10-24T00:00:00"/>
    <d v="2022-10-24T00:00:00"/>
    <n v="22028424"/>
    <n v="2237217"/>
    <n v="1001314823"/>
    <s v="MUKESH KUMAR"/>
    <x v="64"/>
    <n v="305"/>
    <n v="3325"/>
    <n v="3325"/>
    <n v="0"/>
    <x v="0"/>
    <x v="6"/>
    <n v="1"/>
    <x v="13"/>
  </r>
  <r>
    <n v="2911"/>
    <s v="VIPUL MED CORP PVT LTD"/>
    <d v="2022-10-25T00:00:00"/>
    <x v="1"/>
    <d v="2022-10-26T00:00:00"/>
    <d v="2022-10-26T00:00:00"/>
    <n v="22028627"/>
    <n v="2237356"/>
    <n v="1001806133"/>
    <s v="TAJINDER PAL SINGH"/>
    <x v="491"/>
    <n v="225"/>
    <n v="202110"/>
    <n v="1275"/>
    <n v="200835"/>
    <x v="1"/>
    <x v="4"/>
    <n v="6.3084458957993169E-3"/>
    <x v="4"/>
  </r>
  <r>
    <n v="2912"/>
    <s v=" STAR HEALTH TPA"/>
    <d v="2022-10-19T00:00:00"/>
    <x v="1"/>
    <d v="2022-10-22T00:00:00"/>
    <d v="2022-10-22T00:00:00"/>
    <n v="22028179"/>
    <n v="2236616"/>
    <n v="1001805198"/>
    <s v="ABHISHEK GUPTA"/>
    <x v="1549"/>
    <n v="4194"/>
    <n v="48354"/>
    <n v="3296"/>
    <n v="45058"/>
    <x v="1"/>
    <x v="1"/>
    <n v="6.8163957480249823E-2"/>
    <x v="0"/>
  </r>
  <r>
    <n v="2913"/>
    <s v="DDA"/>
    <d v="2022-10-20T00:00:00"/>
    <x v="1"/>
    <d v="2022-10-20T00:00:00"/>
    <d v="2022-10-20T00:00:00"/>
    <n v="22027826"/>
    <n v="2236739"/>
    <n v="10013524248"/>
    <s v="KRISHNA DEVI"/>
    <x v="43"/>
    <n v="0"/>
    <n v="1610"/>
    <n v="1610"/>
    <n v="0"/>
    <x v="0"/>
    <x v="6"/>
    <n v="1"/>
    <x v="13"/>
  </r>
  <r>
    <n v="2914"/>
    <s v=" DGEHS (CREDIT)"/>
    <d v="2022-10-06T00:00:00"/>
    <x v="1"/>
    <d v="2022-10-15T00:00:00"/>
    <d v="2022-10-15T00:00:00"/>
    <n v="22027239"/>
    <n v="2234867"/>
    <n v="1001608414"/>
    <s v="RAMNIWAS TOMAR"/>
    <x v="1550"/>
    <n v="0"/>
    <n v="65040"/>
    <n v="1921"/>
    <n v="63119"/>
    <x v="1"/>
    <x v="2"/>
    <n v="2.9535670356703566E-2"/>
    <x v="0"/>
  </r>
  <r>
    <n v="2915"/>
    <s v="DGHS (DELHI GOVT.)"/>
    <d v="2022-10-05T00:00:00"/>
    <x v="1"/>
    <d v="2022-10-06T00:00:00"/>
    <d v="2022-10-06T00:00:00"/>
    <n v="22025896"/>
    <n v="2234668"/>
    <n v="1001802519"/>
    <s v="NEHA"/>
    <x v="1551"/>
    <n v="0"/>
    <n v="6952"/>
    <n v="6952"/>
    <n v="0"/>
    <x v="0"/>
    <x v="1"/>
    <n v="1"/>
    <x v="1"/>
  </r>
  <r>
    <n v="2916"/>
    <s v="GENERAL PATIENT"/>
    <d v="2022-10-04T00:00:00"/>
    <x v="1"/>
    <d v="2022-10-06T00:00:00"/>
    <d v="2022-10-06T00:00:00"/>
    <n v="22025852"/>
    <n v="2234541"/>
    <n v="1001802374"/>
    <s v="SONA FEMALE BABY KUMARI"/>
    <x v="1552"/>
    <n v="1483"/>
    <n v="11376"/>
    <n v="11376"/>
    <n v="0"/>
    <x v="0"/>
    <x v="1"/>
    <n v="1"/>
    <x v="3"/>
  </r>
  <r>
    <n v="2917"/>
    <s v="Universal Sompo Gen.Insu.Co.Ltd."/>
    <d v="2022-10-06T00:00:00"/>
    <x v="1"/>
    <d v="2022-10-08T00:00:00"/>
    <d v="2022-10-08T00:00:00"/>
    <n v="22026100"/>
    <n v="2234941"/>
    <n v="10013541885"/>
    <s v="KHOOBRAM"/>
    <x v="1553"/>
    <n v="0"/>
    <n v="309952"/>
    <n v="109953"/>
    <n v="199999"/>
    <x v="1"/>
    <x v="4"/>
    <n v="0.35474202457154658"/>
    <x v="4"/>
  </r>
  <r>
    <n v="2918"/>
    <s v="CGHS"/>
    <d v="2022-10-28T00:00:00"/>
    <x v="1"/>
    <d v="2022-10-28T00:00:00"/>
    <d v="2022-10-28T00:00:00"/>
    <n v="22028951"/>
    <n v="2237778"/>
    <n v="10013487696"/>
    <s v="SANTOSH GROVER"/>
    <x v="43"/>
    <n v="0"/>
    <n v="1610"/>
    <n v="1610"/>
    <n v="0"/>
    <x v="0"/>
    <x v="6"/>
    <n v="1"/>
    <x v="13"/>
  </r>
  <r>
    <n v="2919"/>
    <s v=" CGHS Cash"/>
    <d v="2022-10-15T00:00:00"/>
    <x v="1"/>
    <d v="2022-10-15T00:00:00"/>
    <d v="2022-10-15T00:00:00"/>
    <n v="22027230"/>
    <n v="2236147"/>
    <n v="1001735831"/>
    <s v="MOHAN KUMARI BHATIA"/>
    <x v="137"/>
    <n v="0"/>
    <n v="2560"/>
    <n v="2560"/>
    <n v="0"/>
    <x v="0"/>
    <x v="6"/>
    <n v="1"/>
    <x v="13"/>
  </r>
  <r>
    <n v="2920"/>
    <s v=" RAKSHA TPA PVT.LTD."/>
    <d v="2022-10-22T00:00:00"/>
    <x v="1"/>
    <d v="2022-10-22T00:00:00"/>
    <d v="2022-10-22T00:00:00"/>
    <n v="22028201"/>
    <n v="2237044"/>
    <n v="1001689981"/>
    <s v="RITIKA SINGH"/>
    <x v="141"/>
    <n v="0"/>
    <n v="2950"/>
    <n v="24"/>
    <n v="2926"/>
    <x v="1"/>
    <x v="6"/>
    <n v="8.1355932203389832E-3"/>
    <x v="13"/>
  </r>
  <r>
    <n v="2921"/>
    <s v="GENERAL PATIENT"/>
    <d v="2022-10-18T00:00:00"/>
    <x v="1"/>
    <d v="2022-10-23T00:00:00"/>
    <d v="2022-10-23T00:00:00"/>
    <n v="22028359"/>
    <n v="2236513"/>
    <n v="10013530901"/>
    <s v="SEEMA  ARORA"/>
    <x v="1554"/>
    <n v="16154"/>
    <n v="184105"/>
    <n v="184105"/>
    <n v="0"/>
    <x v="0"/>
    <x v="0"/>
    <n v="1"/>
    <x v="9"/>
  </r>
  <r>
    <n v="2922"/>
    <s v="GENERAL PATIENT"/>
    <d v="2022-10-28T00:00:00"/>
    <x v="1"/>
    <d v="2022-10-28T00:00:00"/>
    <d v="2022-10-28T00:00:00"/>
    <n v="22028990"/>
    <n v="2237881"/>
    <n v="1001327108"/>
    <s v="POOJA"/>
    <x v="41"/>
    <n v="2794"/>
    <n v="0"/>
    <n v="0"/>
    <n v="0"/>
    <x v="0"/>
    <x v="9"/>
    <e v="#DIV/0!"/>
    <x v="13"/>
  </r>
  <r>
    <n v="2923"/>
    <s v="GENERAL PATIENT"/>
    <d v="2022-10-26T00:00:00"/>
    <x v="1"/>
    <d v="2022-10-29T00:00:00"/>
    <d v="2022-10-29T00:00:00"/>
    <n v="22029075"/>
    <n v="2237475"/>
    <n v="1001806288"/>
    <s v="DR. DEVIKA MALE BABY JAIN"/>
    <x v="1555"/>
    <n v="2220"/>
    <n v="14909"/>
    <n v="14909"/>
    <n v="0"/>
    <x v="0"/>
    <x v="10"/>
    <n v="1"/>
    <x v="3"/>
  </r>
  <r>
    <n v="2924"/>
    <s v="STAR HEALTH CARE  (CREDIT)"/>
    <d v="2022-10-08T00:00:00"/>
    <x v="1"/>
    <d v="2022-10-08T00:00:00"/>
    <d v="2022-10-08T00:00:00"/>
    <n v="22026220"/>
    <n v="2235219"/>
    <n v="10013481278"/>
    <s v="NEELAM GUPTA"/>
    <x v="158"/>
    <n v="0"/>
    <n v="2500"/>
    <n v="2500"/>
    <n v="0"/>
    <x v="0"/>
    <x v="6"/>
    <n v="1"/>
    <x v="13"/>
  </r>
  <r>
    <n v="2925"/>
    <s v="GENERAL PATIENT"/>
    <d v="2022-10-08T00:00:00"/>
    <x v="1"/>
    <d v="2022-10-08T00:00:00"/>
    <d v="2022-10-08T00:00:00"/>
    <n v="22026228"/>
    <n v="2235233"/>
    <n v="10013541160"/>
    <s v="SARJIT SINGH CHANA"/>
    <x v="45"/>
    <n v="555"/>
    <n v="4435"/>
    <n v="4435"/>
    <n v="0"/>
    <x v="0"/>
    <x v="6"/>
    <n v="1"/>
    <x v="13"/>
  </r>
  <r>
    <n v="2926"/>
    <s v="GOVT. OF NCT OF DELHI"/>
    <d v="2022-10-08T00:00:00"/>
    <x v="1"/>
    <d v="2022-10-08T00:00:00"/>
    <d v="2022-10-08T00:00:00"/>
    <n v="22026239"/>
    <n v="2235245"/>
    <n v="1000915662"/>
    <s v="RAJ KUMAR"/>
    <x v="43"/>
    <n v="0"/>
    <n v="1610"/>
    <n v="1610"/>
    <n v="0"/>
    <x v="0"/>
    <x v="6"/>
    <n v="1"/>
    <x v="13"/>
  </r>
  <r>
    <n v="2927"/>
    <s v="GOVT. OF NCT OF DELHI"/>
    <d v="2022-10-23T00:00:00"/>
    <x v="1"/>
    <d v="2022-10-23T00:00:00"/>
    <d v="2022-10-23T00:00:00"/>
    <n v="22028309"/>
    <n v="2237122"/>
    <n v="10013537888"/>
    <s v="RASHMI"/>
    <x v="43"/>
    <n v="0"/>
    <n v="1610"/>
    <n v="1610"/>
    <n v="0"/>
    <x v="0"/>
    <x v="6"/>
    <n v="1"/>
    <x v="13"/>
  </r>
  <r>
    <n v="2928"/>
    <s v=" RELIGARE HEALTH INSURANCE"/>
    <d v="2022-10-11T00:00:00"/>
    <x v="1"/>
    <d v="2022-10-14T00:00:00"/>
    <d v="2022-10-14T00:00:00"/>
    <n v="22027006"/>
    <n v="2235482"/>
    <n v="1001803667"/>
    <s v="DHARYA KUAMR SINGH"/>
    <x v="1556"/>
    <n v="4543"/>
    <n v="29417"/>
    <n v="1000"/>
    <n v="28417"/>
    <x v="1"/>
    <x v="5"/>
    <n v="3.3993949077064281E-2"/>
    <x v="3"/>
  </r>
  <r>
    <n v="2929"/>
    <s v="GENERAL PATIENT"/>
    <d v="2022-10-13T00:00:00"/>
    <x v="1"/>
    <d v="2022-10-13T00:00:00"/>
    <d v="2022-10-13T00:00:00"/>
    <n v="22026826"/>
    <n v="2235819"/>
    <n v="1001314823"/>
    <s v="MUKESH KUMAR"/>
    <x v="64"/>
    <n v="326"/>
    <n v="3304"/>
    <n v="3304"/>
    <n v="0"/>
    <x v="0"/>
    <x v="6"/>
    <n v="1"/>
    <x v="13"/>
  </r>
  <r>
    <n v="2930"/>
    <s v="GENERAL PATIENT"/>
    <d v="2022-10-31T00:00:00"/>
    <x v="1"/>
    <d v="2022-10-31T00:00:00"/>
    <d v="2022-10-31T00:00:00"/>
    <n v="22029254"/>
    <n v="2238152"/>
    <n v="10013424453"/>
    <s v="ASHWANI KUMAR GUPTA"/>
    <x v="45"/>
    <n v="415"/>
    <n v="4575"/>
    <n v="4575"/>
    <n v="0"/>
    <x v="0"/>
    <x v="6"/>
    <n v="1"/>
    <x v="13"/>
  </r>
  <r>
    <n v="2931"/>
    <s v=" CGHS Cash"/>
    <d v="2022-10-28T00:00:00"/>
    <x v="1"/>
    <d v="2022-10-28T00:00:00"/>
    <d v="2022-10-28T00:00:00"/>
    <n v="22028970"/>
    <n v="2237844"/>
    <n v="1001758739"/>
    <s v="HEMLATA"/>
    <x v="137"/>
    <n v="0"/>
    <n v="2560"/>
    <n v="2560"/>
    <n v="0"/>
    <x v="0"/>
    <x v="6"/>
    <n v="1"/>
    <x v="13"/>
  </r>
  <r>
    <n v="2932"/>
    <s v="GOVT. OF NCT OF DELHI"/>
    <d v="2022-10-22T00:00:00"/>
    <x v="1"/>
    <d v="2022-10-22T00:00:00"/>
    <d v="2022-10-22T00:00:00"/>
    <n v="22028299"/>
    <n v="2237099"/>
    <n v="1000915662"/>
    <s v="RAJ KUMAR"/>
    <x v="43"/>
    <n v="0"/>
    <n v="1610"/>
    <n v="1610"/>
    <n v="0"/>
    <x v="0"/>
    <x v="6"/>
    <n v="1"/>
    <x v="13"/>
  </r>
  <r>
    <n v="2933"/>
    <s v="BAJAJ ALLIANZ INSURANCE"/>
    <d v="2022-10-26T00:00:00"/>
    <x v="1"/>
    <d v="2022-10-26T00:00:00"/>
    <d v="2022-10-26T00:00:00"/>
    <n v="22028662"/>
    <n v="2237442"/>
    <n v="1001138252"/>
    <s v="ANGURI GOYAL"/>
    <x v="498"/>
    <n v="0"/>
    <n v="23760"/>
    <n v="1500"/>
    <n v="22260"/>
    <x v="1"/>
    <x v="6"/>
    <n v="6.3131313131313135E-2"/>
    <x v="1"/>
  </r>
  <r>
    <n v="2934"/>
    <s v="DGHS (DELHI GOVT.)"/>
    <d v="2022-10-22T00:00:00"/>
    <x v="1"/>
    <d v="2022-10-24T00:00:00"/>
    <d v="2022-10-24T00:00:00"/>
    <n v="22028426"/>
    <n v="2237062"/>
    <n v="10013387481"/>
    <s v="BALA"/>
    <x v="1557"/>
    <n v="0"/>
    <n v="141638"/>
    <n v="12210"/>
    <n v="129428"/>
    <x v="1"/>
    <x v="1"/>
    <n v="8.6205679266863414E-2"/>
    <x v="4"/>
  </r>
  <r>
    <n v="2935"/>
    <s v="GENERAL PATIENT"/>
    <d v="2022-10-06T00:00:00"/>
    <x v="1"/>
    <d v="2022-10-06T00:00:00"/>
    <d v="2022-10-06T00:00:00"/>
    <n v="22025797"/>
    <n v="2234816"/>
    <n v="10013484177"/>
    <s v="R.S DUBEY"/>
    <x v="73"/>
    <n v="310"/>
    <n v="2534"/>
    <n v="2534"/>
    <n v="0"/>
    <x v="0"/>
    <x v="6"/>
    <n v="1"/>
    <x v="13"/>
  </r>
  <r>
    <n v="2936"/>
    <s v="HARAYANA GOVT."/>
    <d v="2022-10-14T00:00:00"/>
    <x v="1"/>
    <d v="2022-10-14T00:00:00"/>
    <d v="2022-10-14T00:00:00"/>
    <n v="22026963"/>
    <n v="2235912"/>
    <n v="10013461113"/>
    <s v="DHARMVEER SINGH"/>
    <x v="96"/>
    <n v="0"/>
    <n v="2064"/>
    <n v="2064"/>
    <n v="0"/>
    <x v="0"/>
    <x v="6"/>
    <n v="1"/>
    <x v="13"/>
  </r>
  <r>
    <n v="2937"/>
    <s v="MEDI ASSIST"/>
    <d v="2022-10-14T00:00:00"/>
    <x v="1"/>
    <d v="2022-10-14T00:00:00"/>
    <d v="2022-10-14T00:00:00"/>
    <n v="22026964"/>
    <n v="2235913"/>
    <n v="1000891498"/>
    <s v="GULSAN JAMWAL"/>
    <x v="75"/>
    <n v="0"/>
    <n v="2200"/>
    <n v="440"/>
    <n v="1760"/>
    <x v="1"/>
    <x v="12"/>
    <n v="0.2"/>
    <x v="13"/>
  </r>
  <r>
    <n v="2938"/>
    <s v=" STAR HEALTH TPA"/>
    <d v="2022-10-19T00:00:00"/>
    <x v="1"/>
    <d v="2022-10-20T00:00:00"/>
    <d v="2022-10-20T00:00:00"/>
    <n v="22027886"/>
    <n v="2236571"/>
    <n v="1001805168"/>
    <s v="SANDEEP DAHIYA"/>
    <x v="1558"/>
    <n v="9302"/>
    <n v="94358"/>
    <n v="3000"/>
    <n v="91358"/>
    <x v="1"/>
    <x v="2"/>
    <n v="3.1793806566480849E-2"/>
    <x v="14"/>
  </r>
  <r>
    <n v="2939"/>
    <s v="GENERAL PATIENT"/>
    <d v="2022-10-22T00:00:00"/>
    <x v="1"/>
    <d v="2022-10-26T00:00:00"/>
    <d v="2022-10-26T00:00:00"/>
    <n v="22028610"/>
    <n v="2237055"/>
    <n v="10013544171"/>
    <s v="MAKHAN LAL"/>
    <x v="1559"/>
    <n v="12963"/>
    <n v="71935"/>
    <n v="71935"/>
    <n v="0"/>
    <x v="0"/>
    <x v="0"/>
    <n v="1"/>
    <x v="0"/>
  </r>
  <r>
    <n v="2940"/>
    <s v="GENERAL PATIENT"/>
    <d v="2022-10-07T00:00:00"/>
    <x v="1"/>
    <d v="2022-10-07T00:00:00"/>
    <d v="2022-10-07T00:00:00"/>
    <n v="22026012"/>
    <n v="2235041"/>
    <n v="1000891328"/>
    <s v="SOURAV SHARMA"/>
    <x v="190"/>
    <n v="3288"/>
    <n v="0"/>
    <n v="0"/>
    <n v="0"/>
    <x v="0"/>
    <x v="9"/>
    <e v="#DIV/0!"/>
    <x v="13"/>
  </r>
  <r>
    <n v="2941"/>
    <s v="Delhi Arogya kosh"/>
    <d v="2022-10-10T00:00:00"/>
    <x v="1"/>
    <d v="2022-10-10T00:00:00"/>
    <d v="2022-10-10T00:00:00"/>
    <n v="22026467"/>
    <n v="2235421"/>
    <n v="1000891592"/>
    <s v="MANOJ"/>
    <x v="243"/>
    <n v="0"/>
    <n v="1274"/>
    <n v="0"/>
    <n v="1274"/>
    <x v="1"/>
    <x v="6"/>
    <n v="0"/>
    <x v="13"/>
  </r>
  <r>
    <n v="2942"/>
    <s v=" DAK DIALYSIS"/>
    <d v="2022-10-05T00:00:00"/>
    <x v="1"/>
    <d v="2022-10-05T00:00:00"/>
    <d v="2022-10-05T00:00:00"/>
    <n v="22025765"/>
    <n v="2234766"/>
    <n v="1001699417"/>
    <s v="T.THAMBAN"/>
    <x v="243"/>
    <n v="0"/>
    <n v="1274"/>
    <n v="0"/>
    <n v="1274"/>
    <x v="1"/>
    <x v="6"/>
    <n v="0"/>
    <x v="13"/>
  </r>
  <r>
    <n v="2943"/>
    <s v="Delhi Arogya kosh"/>
    <d v="2022-10-31T00:00:00"/>
    <x v="1"/>
    <d v="2022-10-31T00:00:00"/>
    <d v="2022-10-31T00:00:00"/>
    <n v="22029262"/>
    <n v="2238142"/>
    <n v="1000899251"/>
    <s v="SURESH KUMAR"/>
    <x v="243"/>
    <n v="0"/>
    <n v="1274"/>
    <n v="0"/>
    <n v="1274"/>
    <x v="1"/>
    <x v="6"/>
    <n v="0"/>
    <x v="13"/>
  </r>
  <r>
    <n v="2944"/>
    <s v="Delhi Arogya kosh"/>
    <d v="2022-10-11T00:00:00"/>
    <x v="1"/>
    <d v="2022-10-11T00:00:00"/>
    <d v="2022-10-11T00:00:00"/>
    <n v="22026572"/>
    <n v="2235565"/>
    <n v="10013457170"/>
    <s v="MANOJ                   II"/>
    <x v="243"/>
    <n v="0"/>
    <n v="1274"/>
    <n v="0"/>
    <n v="1274"/>
    <x v="1"/>
    <x v="6"/>
    <n v="0"/>
    <x v="13"/>
  </r>
  <r>
    <n v="2945"/>
    <s v=" ECHS CREDIT"/>
    <d v="2022-10-27T00:00:00"/>
    <x v="1"/>
    <d v="2022-10-27T00:00:00"/>
    <d v="2022-10-27T00:00:00"/>
    <n v="22028785"/>
    <n v="2237661"/>
    <n v="1001765693"/>
    <s v="SHRI PRAKASH PRAJAPATI"/>
    <x v="43"/>
    <n v="0"/>
    <n v="1610"/>
    <n v="0"/>
    <n v="1610"/>
    <x v="1"/>
    <x v="6"/>
    <n v="0"/>
    <x v="13"/>
  </r>
  <r>
    <n v="2946"/>
    <s v="CGHS ( CREDIT)"/>
    <d v="2022-10-19T00:00:00"/>
    <x v="1"/>
    <d v="2022-10-19T00:00:00"/>
    <d v="2022-10-19T00:00:00"/>
    <n v="22027667"/>
    <n v="2236591"/>
    <n v="10013373132"/>
    <s v="DEVI RANI"/>
    <x v="43"/>
    <n v="0"/>
    <n v="1610"/>
    <n v="0"/>
    <n v="1610"/>
    <x v="1"/>
    <x v="6"/>
    <n v="0"/>
    <x v="13"/>
  </r>
  <r>
    <n v="2947"/>
    <s v=" DAK DIALYSIS"/>
    <d v="2022-10-11T00:00:00"/>
    <x v="1"/>
    <d v="2022-10-11T00:00:00"/>
    <d v="2022-10-11T00:00:00"/>
    <n v="22026625"/>
    <n v="2235544"/>
    <n v="1001712791"/>
    <s v="PAWAN SINGH"/>
    <x v="243"/>
    <n v="0"/>
    <n v="1274"/>
    <n v="0"/>
    <n v="1274"/>
    <x v="1"/>
    <x v="6"/>
    <n v="0"/>
    <x v="13"/>
  </r>
  <r>
    <n v="2948"/>
    <s v="HDFC ERGO General Insurance Co. Ltd."/>
    <d v="2022-10-04T00:00:00"/>
    <x v="1"/>
    <d v="2022-10-08T00:00:00"/>
    <d v="2022-10-08T00:00:00"/>
    <n v="22026092"/>
    <n v="2234578"/>
    <n v="10013541555"/>
    <s v="ABHISHEK BANSAL"/>
    <x v="1560"/>
    <n v="0"/>
    <n v="82390"/>
    <n v="0"/>
    <n v="82390"/>
    <x v="1"/>
    <x v="10"/>
    <n v="0"/>
    <x v="0"/>
  </r>
  <r>
    <n v="2949"/>
    <s v=" ECHS CREDIT"/>
    <d v="2022-10-25T00:00:00"/>
    <x v="1"/>
    <d v="2022-10-25T00:00:00"/>
    <d v="2022-10-25T00:00:00"/>
    <n v="22028545"/>
    <n v="2237381"/>
    <n v="1001797077"/>
    <s v="DURGA DEVI"/>
    <x v="43"/>
    <n v="0"/>
    <n v="1610"/>
    <n v="0"/>
    <n v="1610"/>
    <x v="1"/>
    <x v="6"/>
    <n v="0"/>
    <x v="13"/>
  </r>
  <r>
    <n v="2950"/>
    <s v="Delhi Arogya kosh"/>
    <d v="2022-10-20T00:00:00"/>
    <x v="1"/>
    <d v="2022-10-20T00:00:00"/>
    <d v="2022-10-20T00:00:00"/>
    <n v="22027852"/>
    <n v="2236753"/>
    <n v="1000899251"/>
    <s v="SURESH KUMAR"/>
    <x v="243"/>
    <n v="0"/>
    <n v="1274"/>
    <n v="0"/>
    <n v="1274"/>
    <x v="1"/>
    <x v="6"/>
    <n v="0"/>
    <x v="13"/>
  </r>
  <r>
    <n v="2951"/>
    <s v="ECHS"/>
    <d v="2022-10-17T00:00:00"/>
    <x v="1"/>
    <d v="2022-10-19T00:00:00"/>
    <d v="2022-10-19T00:00:00"/>
    <n v="22027692"/>
    <n v="2236355"/>
    <n v="1001804863"/>
    <s v="KRISHAN SINGH HOODA"/>
    <x v="1561"/>
    <n v="0"/>
    <n v="28191"/>
    <n v="0"/>
    <n v="28191"/>
    <x v="1"/>
    <x v="1"/>
    <n v="0"/>
    <x v="4"/>
  </r>
  <r>
    <n v="2952"/>
    <s v="Health Insurance TPA of India Ltd."/>
    <d v="2022-10-01T00:00:00"/>
    <x v="1"/>
    <d v="2022-10-01T00:00:00"/>
    <d v="2022-10-01T00:00:00"/>
    <n v="22025178"/>
    <n v="2234197"/>
    <n v="1001199995"/>
    <s v="JITENDER NARULA"/>
    <x v="75"/>
    <n v="0"/>
    <n v="2200"/>
    <n v="0"/>
    <n v="2200"/>
    <x v="1"/>
    <x v="12"/>
    <n v="0"/>
    <x v="13"/>
  </r>
  <r>
    <n v="2953"/>
    <s v="Delhi Arogya kosh"/>
    <d v="2022-10-22T00:00:00"/>
    <x v="1"/>
    <d v="2022-10-22T00:00:00"/>
    <d v="2022-10-22T00:00:00"/>
    <n v="22028282"/>
    <n v="2237057"/>
    <n v="1000933464"/>
    <s v="SACHIN MITTAL"/>
    <x v="243"/>
    <n v="0"/>
    <n v="1274"/>
    <n v="0"/>
    <n v="1274"/>
    <x v="1"/>
    <x v="6"/>
    <n v="0"/>
    <x v="13"/>
  </r>
  <r>
    <n v="2954"/>
    <s v="GENERAL PATIENT SELF (MAHT)"/>
    <d v="2022-09-29T00:00:00"/>
    <x v="0"/>
    <d v="2022-10-01T00:00:00"/>
    <d v="2022-10-01T00:00:00"/>
    <n v="22025224"/>
    <n v="2233973"/>
    <n v="1000861117"/>
    <s v="RAM GOPAL JINDAL"/>
    <x v="1562"/>
    <n v="0"/>
    <n v="39999"/>
    <n v="0"/>
    <n v="39999"/>
    <x v="1"/>
    <x v="10"/>
    <n v="0"/>
    <x v="0"/>
  </r>
  <r>
    <n v="2955"/>
    <s v=" ECHS CREDIT"/>
    <d v="2022-09-10T00:00:00"/>
    <x v="0"/>
    <d v="2022-10-01T00:00:00"/>
    <d v="2022-10-01T00:00:00"/>
    <n v="22025222"/>
    <n v="2231412"/>
    <n v="1001797792"/>
    <s v="YUVRAJ WATI"/>
    <x v="1563"/>
    <n v="0"/>
    <n v="172314"/>
    <n v="0"/>
    <n v="172314"/>
    <x v="1"/>
    <x v="0"/>
    <n v="0"/>
    <x v="0"/>
  </r>
  <r>
    <n v="2956"/>
    <s v="Delhi Arogya kosh"/>
    <d v="2022-10-19T00:00:00"/>
    <x v="1"/>
    <d v="2022-10-19T00:00:00"/>
    <d v="2022-10-19T00:00:00"/>
    <n v="22027800"/>
    <n v="2236691"/>
    <n v="10013453025"/>
    <s v="VIRENDER SINGH"/>
    <x v="243"/>
    <n v="0"/>
    <n v="1274"/>
    <n v="0"/>
    <n v="1274"/>
    <x v="1"/>
    <x v="6"/>
    <n v="0"/>
    <x v="13"/>
  </r>
  <r>
    <n v="2957"/>
    <s v="Delhi Arogya kosh"/>
    <d v="2022-10-15T00:00:00"/>
    <x v="1"/>
    <d v="2022-10-15T00:00:00"/>
    <d v="2022-10-15T00:00:00"/>
    <n v="22027268"/>
    <n v="2236193"/>
    <n v="10013507516"/>
    <s v="AMIT NAGAR"/>
    <x v="243"/>
    <n v="0"/>
    <n v="1274"/>
    <n v="0"/>
    <n v="1274"/>
    <x v="1"/>
    <x v="6"/>
    <n v="0"/>
    <x v="13"/>
  </r>
  <r>
    <n v="2958"/>
    <s v="MEDI ASSIST"/>
    <d v="2022-10-04T00:00:00"/>
    <x v="1"/>
    <d v="2022-10-04T00:00:00"/>
    <d v="2022-10-04T00:00:00"/>
    <n v="22025477"/>
    <n v="2234513"/>
    <n v="10013530863"/>
    <s v="SUNIL KUMAR"/>
    <x v="75"/>
    <n v="0"/>
    <n v="2200"/>
    <n v="0"/>
    <n v="2200"/>
    <x v="1"/>
    <x v="12"/>
    <n v="0"/>
    <x v="13"/>
  </r>
  <r>
    <n v="2959"/>
    <s v=" CGHS CREDIT"/>
    <d v="2022-10-03T00:00:00"/>
    <x v="1"/>
    <d v="2022-10-03T00:00:00"/>
    <d v="2022-10-03T00:00:00"/>
    <n v="22025432"/>
    <n v="2234420"/>
    <n v="1001772963"/>
    <s v="RAVINDER VERMA"/>
    <x v="43"/>
    <n v="0"/>
    <n v="1610"/>
    <n v="0"/>
    <n v="1610"/>
    <x v="1"/>
    <x v="6"/>
    <n v="0"/>
    <x v="13"/>
  </r>
  <r>
    <n v="2960"/>
    <s v="CGHS ( CREDIT)"/>
    <d v="2022-10-18T00:00:00"/>
    <x v="1"/>
    <d v="2022-10-18T00:00:00"/>
    <d v="2022-10-18T00:00:00"/>
    <n v="22027526"/>
    <n v="2236441"/>
    <n v="10013453991"/>
    <s v="RAJENDER"/>
    <x v="43"/>
    <n v="0"/>
    <n v="1610"/>
    <n v="0"/>
    <n v="1610"/>
    <x v="1"/>
    <x v="6"/>
    <n v="0"/>
    <x v="13"/>
  </r>
  <r>
    <n v="2961"/>
    <s v="MD INDIA TPA PVT.LTD."/>
    <d v="2022-10-23T00:00:00"/>
    <x v="1"/>
    <d v="2022-10-23T00:00:00"/>
    <d v="2022-10-23T00:00:00"/>
    <n v="22028376"/>
    <n v="2237150"/>
    <n v="10013359873"/>
    <s v="ANAND KUMAR SINGHAL"/>
    <x v="75"/>
    <n v="0"/>
    <n v="2200"/>
    <n v="0"/>
    <n v="2200"/>
    <x v="1"/>
    <x v="12"/>
    <n v="0"/>
    <x v="13"/>
  </r>
  <r>
    <n v="2962"/>
    <s v=" CGHS CREDIT"/>
    <d v="2022-10-11T00:00:00"/>
    <x v="1"/>
    <d v="2022-10-11T00:00:00"/>
    <d v="2022-10-11T00:00:00"/>
    <n v="22026498"/>
    <n v="2235502"/>
    <n v="1001802447"/>
    <s v="SHYAM LAL"/>
    <x v="43"/>
    <n v="0"/>
    <n v="1610"/>
    <n v="0"/>
    <n v="1610"/>
    <x v="1"/>
    <x v="6"/>
    <n v="0"/>
    <x v="13"/>
  </r>
  <r>
    <n v="2963"/>
    <s v="ECHS"/>
    <d v="2022-10-07T00:00:00"/>
    <x v="1"/>
    <d v="2022-10-15T00:00:00"/>
    <d v="2022-10-15T00:00:00"/>
    <n v="22027138"/>
    <n v="2234969"/>
    <n v="10013540350"/>
    <s v="RAJMAL"/>
    <x v="1564"/>
    <n v="0"/>
    <n v="97133"/>
    <n v="0"/>
    <n v="97133"/>
    <x v="1"/>
    <x v="0"/>
    <n v="0"/>
    <x v="0"/>
  </r>
  <r>
    <n v="2964"/>
    <s v=" CGHS CREDIT"/>
    <d v="2022-10-04T00:00:00"/>
    <x v="1"/>
    <d v="2022-10-04T00:00:00"/>
    <d v="2022-10-04T00:00:00"/>
    <n v="22025486"/>
    <n v="2234510"/>
    <n v="1001626180"/>
    <s v="KAMLA DEVI"/>
    <x v="43"/>
    <n v="0"/>
    <n v="1610"/>
    <n v="0"/>
    <n v="1610"/>
    <x v="1"/>
    <x v="6"/>
    <n v="0"/>
    <x v="13"/>
  </r>
  <r>
    <n v="2965"/>
    <s v=" DAK DIALYSIS"/>
    <d v="2022-10-26T00:00:00"/>
    <x v="1"/>
    <d v="2022-10-26T00:00:00"/>
    <d v="2022-10-26T00:00:00"/>
    <n v="22028586"/>
    <n v="2237452"/>
    <n v="1001678600"/>
    <s v="RAKESH THAKUR"/>
    <x v="243"/>
    <n v="0"/>
    <n v="1274"/>
    <n v="0"/>
    <n v="1274"/>
    <x v="1"/>
    <x v="6"/>
    <n v="0"/>
    <x v="13"/>
  </r>
  <r>
    <n v="2966"/>
    <s v="CGHS ( CREDIT)"/>
    <d v="2022-10-06T00:00:00"/>
    <x v="1"/>
    <d v="2022-10-08T00:00:00"/>
    <d v="2022-10-08T00:00:00"/>
    <n v="22026141"/>
    <n v="2234930"/>
    <n v="10013527208"/>
    <s v="BIMAL KUMAR"/>
    <x v="1565"/>
    <n v="0"/>
    <n v="10436"/>
    <n v="0"/>
    <n v="10436"/>
    <x v="1"/>
    <x v="1"/>
    <n v="0"/>
    <x v="2"/>
  </r>
  <r>
    <n v="2967"/>
    <s v="Delhi Arogya kosh"/>
    <d v="2022-10-10T00:00:00"/>
    <x v="1"/>
    <d v="2022-10-10T00:00:00"/>
    <d v="2022-10-10T00:00:00"/>
    <n v="22026481"/>
    <n v="2235452"/>
    <n v="10013292990"/>
    <s v="SONU YADAV"/>
    <x v="243"/>
    <n v="0"/>
    <n v="1274"/>
    <n v="0"/>
    <n v="1274"/>
    <x v="1"/>
    <x v="6"/>
    <n v="0"/>
    <x v="13"/>
  </r>
  <r>
    <n v="2968"/>
    <s v="Delhi Arogya kosh"/>
    <d v="2022-10-25T00:00:00"/>
    <x v="1"/>
    <d v="2022-10-25T00:00:00"/>
    <d v="2022-10-25T00:00:00"/>
    <n v="22028551"/>
    <n v="2237368"/>
    <n v="1001581259"/>
    <s v="NARENDER SINGH"/>
    <x v="243"/>
    <n v="0"/>
    <n v="1274"/>
    <n v="0"/>
    <n v="1274"/>
    <x v="1"/>
    <x v="6"/>
    <n v="0"/>
    <x v="13"/>
  </r>
  <r>
    <n v="2969"/>
    <s v="Delhi Arogya kosh"/>
    <d v="2022-10-18T00:00:00"/>
    <x v="1"/>
    <d v="2022-10-18T00:00:00"/>
    <d v="2022-10-18T00:00:00"/>
    <n v="22027630"/>
    <n v="2236531"/>
    <n v="1001039513"/>
    <s v="RITU"/>
    <x v="243"/>
    <n v="0"/>
    <n v="1274"/>
    <n v="0"/>
    <n v="1274"/>
    <x v="1"/>
    <x v="6"/>
    <n v="0"/>
    <x v="13"/>
  </r>
  <r>
    <n v="2970"/>
    <s v="Delhi Arogya kosh"/>
    <d v="2022-10-25T00:00:00"/>
    <x v="1"/>
    <d v="2022-10-25T00:00:00"/>
    <d v="2022-10-25T00:00:00"/>
    <n v="22028570"/>
    <n v="2237398"/>
    <n v="10013516483"/>
    <s v="CHANCHAL RANI"/>
    <x v="243"/>
    <n v="0"/>
    <n v="1274"/>
    <n v="0"/>
    <n v="1274"/>
    <x v="1"/>
    <x v="6"/>
    <n v="0"/>
    <x v="13"/>
  </r>
  <r>
    <n v="2971"/>
    <s v="Delhi Arogya kosh"/>
    <d v="2022-10-01T00:00:00"/>
    <x v="1"/>
    <d v="2022-10-02T00:00:00"/>
    <d v="2022-10-02T00:00:00"/>
    <n v="22025312"/>
    <n v="2234228"/>
    <n v="10013541141"/>
    <s v="VIRENDER"/>
    <x v="821"/>
    <n v="0"/>
    <n v="130994"/>
    <n v="0"/>
    <n v="130994"/>
    <x v="1"/>
    <x v="15"/>
    <n v="0"/>
    <x v="4"/>
  </r>
  <r>
    <n v="2972"/>
    <s v=" ECHS CREDIT"/>
    <d v="2022-10-29T00:00:00"/>
    <x v="1"/>
    <d v="2022-10-29T00:00:00"/>
    <d v="2022-10-29T00:00:00"/>
    <n v="22029006"/>
    <n v="2237930"/>
    <n v="1001781083"/>
    <s v="MITHILESH KUMAR SRIVASTAVA"/>
    <x v="43"/>
    <n v="0"/>
    <n v="1610"/>
    <n v="0"/>
    <n v="1610"/>
    <x v="1"/>
    <x v="6"/>
    <n v="0"/>
    <x v="13"/>
  </r>
  <r>
    <n v="2973"/>
    <s v=" DAK DIALYSIS"/>
    <d v="2022-10-08T00:00:00"/>
    <x v="1"/>
    <d v="2022-10-08T00:00:00"/>
    <d v="2022-10-08T00:00:00"/>
    <n v="22026181"/>
    <n v="2235184"/>
    <n v="1001648223"/>
    <s v="BRIJ LAL KORI"/>
    <x v="243"/>
    <n v="0"/>
    <n v="1274"/>
    <n v="0"/>
    <n v="1274"/>
    <x v="1"/>
    <x v="6"/>
    <n v="0"/>
    <x v="13"/>
  </r>
  <r>
    <n v="2974"/>
    <s v="Delhi Arogya kosh"/>
    <d v="2022-10-17T00:00:00"/>
    <x v="1"/>
    <d v="2022-10-17T00:00:00"/>
    <d v="2022-10-17T00:00:00"/>
    <n v="22027510"/>
    <n v="2236413"/>
    <n v="1001092597"/>
    <s v="RAVI"/>
    <x v="243"/>
    <n v="0"/>
    <n v="1274"/>
    <n v="0"/>
    <n v="1274"/>
    <x v="1"/>
    <x v="6"/>
    <n v="0"/>
    <x v="13"/>
  </r>
  <r>
    <n v="2975"/>
    <s v="Delhi Arogya kosh"/>
    <d v="2022-10-15T00:00:00"/>
    <x v="1"/>
    <d v="2022-10-15T00:00:00"/>
    <d v="2022-10-15T00:00:00"/>
    <n v="22027253"/>
    <n v="2236175"/>
    <n v="10013506167"/>
    <s v="KETAN GOEL"/>
    <x v="243"/>
    <n v="0"/>
    <n v="1274"/>
    <n v="0"/>
    <n v="1274"/>
    <x v="1"/>
    <x v="6"/>
    <n v="0"/>
    <x v="13"/>
  </r>
  <r>
    <n v="2976"/>
    <s v="Delhi Arogya kosh"/>
    <d v="2022-10-29T00:00:00"/>
    <x v="1"/>
    <d v="2022-10-29T00:00:00"/>
    <d v="2022-10-29T00:00:00"/>
    <n v="22029175"/>
    <n v="2238037"/>
    <n v="10013533576"/>
    <s v="G. CHANDER SHEKHAR"/>
    <x v="243"/>
    <n v="0"/>
    <n v="1274"/>
    <n v="0"/>
    <n v="1274"/>
    <x v="1"/>
    <x v="6"/>
    <n v="0"/>
    <x v="13"/>
  </r>
  <r>
    <n v="2977"/>
    <s v="MEDI ASSIST"/>
    <d v="2022-10-21T00:00:00"/>
    <x v="1"/>
    <d v="2022-10-21T00:00:00"/>
    <d v="2022-10-21T00:00:00"/>
    <n v="22028032"/>
    <n v="2236901"/>
    <n v="10013511637"/>
    <s v="MANJU KOHLI"/>
    <x v="75"/>
    <n v="0"/>
    <n v="2200"/>
    <n v="0"/>
    <n v="2200"/>
    <x v="1"/>
    <x v="6"/>
    <n v="0"/>
    <x v="13"/>
  </r>
  <r>
    <n v="2978"/>
    <s v="Delhi Arogya kosh"/>
    <d v="2022-10-25T00:00:00"/>
    <x v="1"/>
    <d v="2022-10-25T00:00:00"/>
    <d v="2022-10-25T00:00:00"/>
    <n v="22028569"/>
    <n v="2237399"/>
    <n v="10013316109"/>
    <s v="GAURAV PAWAR"/>
    <x v="243"/>
    <n v="0"/>
    <n v="1274"/>
    <n v="0"/>
    <n v="1274"/>
    <x v="1"/>
    <x v="6"/>
    <n v="0"/>
    <x v="13"/>
  </r>
  <r>
    <n v="2979"/>
    <s v=" CGHS CREDIT"/>
    <d v="2022-10-02T00:00:00"/>
    <x v="1"/>
    <d v="2022-10-12T00:00:00"/>
    <d v="2022-10-12T00:00:00"/>
    <n v="22026773"/>
    <n v="2234304"/>
    <n v="1001762952"/>
    <s v="MADAN LAL DUA"/>
    <x v="1566"/>
    <n v="0"/>
    <n v="111137"/>
    <n v="0"/>
    <n v="111137"/>
    <x v="1"/>
    <x v="1"/>
    <n v="0"/>
    <x v="0"/>
  </r>
  <r>
    <n v="2980"/>
    <s v=" CGHS CREDIT"/>
    <d v="2022-10-10T00:00:00"/>
    <x v="1"/>
    <d v="2022-10-10T00:00:00"/>
    <d v="2022-10-10T00:00:00"/>
    <n v="22026425"/>
    <n v="2235405"/>
    <n v="1001803044"/>
    <s v="GOVIND SINGH"/>
    <x v="43"/>
    <n v="0"/>
    <n v="1610"/>
    <n v="0"/>
    <n v="1610"/>
    <x v="1"/>
    <x v="6"/>
    <n v="0"/>
    <x v="13"/>
  </r>
  <r>
    <n v="2981"/>
    <s v="PARK MED CLAIM LTD"/>
    <d v="2022-10-04T00:00:00"/>
    <x v="1"/>
    <d v="2022-10-08T00:00:00"/>
    <d v="2022-10-08T00:00:00"/>
    <n v="22026154"/>
    <n v="2234493"/>
    <n v="1001070107"/>
    <s v="SANTOSH GUPTA"/>
    <x v="1567"/>
    <n v="12271"/>
    <n v="80927"/>
    <n v="0"/>
    <n v="80927"/>
    <x v="1"/>
    <x v="3"/>
    <n v="0"/>
    <x v="0"/>
  </r>
  <r>
    <n v="2982"/>
    <s v=" DAK DIALYSIS"/>
    <d v="2022-10-13T00:00:00"/>
    <x v="1"/>
    <d v="2022-10-13T00:00:00"/>
    <d v="2022-10-13T00:00:00"/>
    <n v="22026922"/>
    <n v="2235854"/>
    <n v="1001677731"/>
    <s v="HIMANSHU GOYAL"/>
    <x v="243"/>
    <n v="0"/>
    <n v="1274"/>
    <n v="0"/>
    <n v="1274"/>
    <x v="1"/>
    <x v="6"/>
    <n v="0"/>
    <x v="13"/>
  </r>
  <r>
    <n v="2983"/>
    <s v="DGHS (DELHI GOVT.)"/>
    <d v="2022-09-28T00:00:00"/>
    <x v="0"/>
    <d v="2022-10-01T00:00:00"/>
    <d v="2022-10-01T00:00:00"/>
    <n v="22025146"/>
    <n v="2233771"/>
    <n v="1001110640"/>
    <s v="AJIT SINGH"/>
    <x v="1568"/>
    <n v="0"/>
    <n v="24934"/>
    <n v="0"/>
    <n v="24934"/>
    <x v="1"/>
    <x v="0"/>
    <n v="0"/>
    <x v="0"/>
  </r>
  <r>
    <n v="2984"/>
    <s v="Delhi Arogya kosh"/>
    <d v="2022-10-20T00:00:00"/>
    <x v="1"/>
    <d v="2022-10-20T00:00:00"/>
    <d v="2022-10-20T00:00:00"/>
    <n v="22027853"/>
    <n v="2236752"/>
    <n v="10013435866"/>
    <s v="SUSHIL KUMAR AGGARWAL"/>
    <x v="243"/>
    <n v="0"/>
    <n v="1274"/>
    <n v="0"/>
    <n v="1274"/>
    <x v="1"/>
    <x v="6"/>
    <n v="0"/>
    <x v="13"/>
  </r>
  <r>
    <n v="2985"/>
    <s v="DAK MLC"/>
    <d v="2022-10-19T00:00:00"/>
    <x v="1"/>
    <d v="2022-10-24T00:00:00"/>
    <d v="2022-10-24T00:00:00"/>
    <n v="22028452"/>
    <n v="2236658"/>
    <n v="10013543715"/>
    <s v="JAIDEEP SINGH"/>
    <x v="1569"/>
    <n v="0"/>
    <n v="36066"/>
    <n v="0"/>
    <n v="36066"/>
    <x v="1"/>
    <x v="1"/>
    <n v="0"/>
    <x v="2"/>
  </r>
  <r>
    <n v="2986"/>
    <s v="PARK MED CLAIM LTD"/>
    <d v="2022-10-25T00:00:00"/>
    <x v="1"/>
    <d v="2022-10-28T00:00:00"/>
    <d v="2022-10-28T00:00:00"/>
    <n v="22028870"/>
    <n v="2237347"/>
    <n v="10013544414"/>
    <s v="LAGHIMA GUPTA"/>
    <x v="1570"/>
    <n v="6590"/>
    <n v="143890"/>
    <n v="0"/>
    <n v="143890"/>
    <x v="1"/>
    <x v="20"/>
    <n v="0"/>
    <x v="0"/>
  </r>
  <r>
    <n v="2987"/>
    <s v="MD INDIA TPA PVT.LTD."/>
    <d v="2022-10-27T00:00:00"/>
    <x v="1"/>
    <d v="2022-10-27T00:00:00"/>
    <d v="2022-10-27T00:00:00"/>
    <n v="22028784"/>
    <n v="2237638"/>
    <n v="10013359873"/>
    <s v="ANAND KUMAR SINGHAL"/>
    <x v="75"/>
    <n v="0"/>
    <n v="2200"/>
    <n v="0"/>
    <n v="2200"/>
    <x v="1"/>
    <x v="12"/>
    <n v="0"/>
    <x v="13"/>
  </r>
  <r>
    <n v="2988"/>
    <s v=" DAK DIALYSIS"/>
    <d v="2022-10-28T00:00:00"/>
    <x v="1"/>
    <d v="2022-10-28T00:00:00"/>
    <d v="2022-10-28T00:00:00"/>
    <n v="22028918"/>
    <n v="2237799"/>
    <n v="1001767553"/>
    <s v="VIJAY SINGH NEGI"/>
    <x v="243"/>
    <n v="0"/>
    <n v="1274"/>
    <n v="0"/>
    <n v="1274"/>
    <x v="1"/>
    <x v="6"/>
    <n v="0"/>
    <x v="13"/>
  </r>
  <r>
    <n v="2989"/>
    <s v=" CGHS CREDIT"/>
    <d v="2022-10-19T00:00:00"/>
    <x v="1"/>
    <d v="2022-10-19T00:00:00"/>
    <d v="2022-10-19T00:00:00"/>
    <n v="22027770"/>
    <n v="2236661"/>
    <n v="1001777526"/>
    <s v="PRADEEP KUMAR MALIK"/>
    <x v="43"/>
    <n v="0"/>
    <n v="1610"/>
    <n v="0"/>
    <n v="1610"/>
    <x v="1"/>
    <x v="6"/>
    <n v="0"/>
    <x v="13"/>
  </r>
  <r>
    <n v="2990"/>
    <s v="CGHS ( CREDIT)"/>
    <d v="2022-10-15T00:00:00"/>
    <x v="1"/>
    <d v="2022-10-15T00:00:00"/>
    <d v="2022-10-15T00:00:00"/>
    <n v="22027152"/>
    <n v="2236095"/>
    <n v="10013401847"/>
    <s v="TIRLOCHAN SINGH"/>
    <x v="43"/>
    <n v="0"/>
    <n v="1610"/>
    <n v="0"/>
    <n v="1610"/>
    <x v="1"/>
    <x v="6"/>
    <n v="0"/>
    <x v="13"/>
  </r>
  <r>
    <n v="2991"/>
    <s v=" ECHS CREDIT"/>
    <d v="2022-10-05T00:00:00"/>
    <x v="1"/>
    <d v="2022-10-05T00:00:00"/>
    <d v="2022-10-05T00:00:00"/>
    <n v="22025654"/>
    <n v="2234698"/>
    <n v="1001797077"/>
    <s v="DURGA DEVI"/>
    <x v="43"/>
    <n v="0"/>
    <n v="1610"/>
    <n v="0"/>
    <n v="1610"/>
    <x v="1"/>
    <x v="6"/>
    <n v="0"/>
    <x v="13"/>
  </r>
  <r>
    <n v="2992"/>
    <s v="VIDAL HEALTH INSURANCE LIMITED"/>
    <d v="2022-10-15T00:00:00"/>
    <x v="1"/>
    <d v="2022-10-22T00:00:00"/>
    <d v="2022-10-22T00:00:00"/>
    <n v="22028192"/>
    <n v="2236186"/>
    <n v="1001105447"/>
    <s v="RISHABH AGARWAL"/>
    <x v="1571"/>
    <n v="22354"/>
    <n v="200001"/>
    <n v="0"/>
    <n v="200001"/>
    <x v="1"/>
    <x v="14"/>
    <n v="0"/>
    <x v="0"/>
  </r>
  <r>
    <n v="2993"/>
    <s v="GENERAL PATIENT"/>
    <d v="2022-10-04T00:00:00"/>
    <x v="1"/>
    <d v="2022-10-07T00:00:00"/>
    <d v="2022-10-07T00:00:00"/>
    <n v="22025989"/>
    <n v="2234592"/>
    <n v="10013541386"/>
    <s v="VISHAL"/>
    <x v="1572"/>
    <n v="22172"/>
    <n v="43359"/>
    <n v="0"/>
    <n v="43359"/>
    <x v="1"/>
    <x v="7"/>
    <n v="0"/>
    <x v="3"/>
  </r>
  <r>
    <n v="2994"/>
    <s v="Health Insurance TPA of India Ltd."/>
    <d v="2022-10-25T00:00:00"/>
    <x v="1"/>
    <d v="2022-10-25T00:00:00"/>
    <d v="2022-10-25T00:00:00"/>
    <n v="22028506"/>
    <n v="2237320"/>
    <n v="1001199995"/>
    <s v="JITENDER NARULA"/>
    <x v="75"/>
    <n v="0"/>
    <n v="2200"/>
    <n v="0"/>
    <n v="2200"/>
    <x v="1"/>
    <x v="12"/>
    <n v="0"/>
    <x v="13"/>
  </r>
  <r>
    <n v="2995"/>
    <s v=" DAK DIALYSIS"/>
    <d v="2022-10-20T00:00:00"/>
    <x v="1"/>
    <d v="2022-10-20T00:00:00"/>
    <d v="2022-10-20T00:00:00"/>
    <n v="22027812"/>
    <n v="2236728"/>
    <n v="1001680001"/>
    <s v="BIPIN KUMAR"/>
    <x v="243"/>
    <n v="0"/>
    <n v="1274"/>
    <n v="0"/>
    <n v="1274"/>
    <x v="1"/>
    <x v="6"/>
    <n v="0"/>
    <x v="13"/>
  </r>
  <r>
    <n v="2996"/>
    <s v="Delhi Arogya kosh"/>
    <d v="2022-10-06T00:00:00"/>
    <x v="1"/>
    <d v="2022-10-06T00:00:00"/>
    <d v="2022-10-06T00:00:00"/>
    <n v="22025915"/>
    <n v="2234946"/>
    <n v="1001237257"/>
    <s v="RAJPATI"/>
    <x v="243"/>
    <n v="0"/>
    <n v="1274"/>
    <n v="0"/>
    <n v="1274"/>
    <x v="1"/>
    <x v="6"/>
    <n v="0"/>
    <x v="13"/>
  </r>
  <r>
    <n v="2997"/>
    <s v="VIPUL MED CORP PVT LTD"/>
    <d v="2022-10-12T00:00:00"/>
    <x v="1"/>
    <d v="2022-10-12T00:00:00"/>
    <d v="2022-10-12T00:00:00"/>
    <n v="22026791"/>
    <n v="2235750"/>
    <n v="10013519562"/>
    <s v="KAMLA SATI"/>
    <x v="75"/>
    <n v="0"/>
    <n v="2200"/>
    <n v="0"/>
    <n v="2200"/>
    <x v="1"/>
    <x v="12"/>
    <n v="0"/>
    <x v="13"/>
  </r>
  <r>
    <n v="2998"/>
    <s v="Delhi Arogya kosh"/>
    <d v="2022-10-18T00:00:00"/>
    <x v="1"/>
    <d v="2022-10-18T00:00:00"/>
    <d v="2022-10-18T00:00:00"/>
    <n v="22027636"/>
    <n v="2236546"/>
    <n v="1000891068"/>
    <s v="SUSHIL SHARMA"/>
    <x v="243"/>
    <n v="0"/>
    <n v="1274"/>
    <n v="0"/>
    <n v="1274"/>
    <x v="1"/>
    <x v="6"/>
    <n v="0"/>
    <x v="13"/>
  </r>
  <r>
    <n v="2999"/>
    <s v="Delhi Arogya kosh"/>
    <d v="2022-10-19T00:00:00"/>
    <x v="1"/>
    <d v="2022-10-19T00:00:00"/>
    <d v="2022-10-19T00:00:00"/>
    <n v="22027781"/>
    <n v="2236675"/>
    <n v="10013387247"/>
    <s v="JANAKI PRASAD"/>
    <x v="243"/>
    <n v="0"/>
    <n v="1274"/>
    <n v="0"/>
    <n v="1274"/>
    <x v="1"/>
    <x v="6"/>
    <n v="0"/>
    <x v="13"/>
  </r>
  <r>
    <n v="3000"/>
    <s v=" CGHS CREDIT"/>
    <d v="2022-10-12T00:00:00"/>
    <x v="1"/>
    <d v="2022-10-12T00:00:00"/>
    <d v="2022-10-12T00:00:00"/>
    <n v="22026765"/>
    <n v="2235719"/>
    <n v="1001736024"/>
    <s v="RADHIKA"/>
    <x v="43"/>
    <n v="0"/>
    <n v="1610"/>
    <n v="0"/>
    <n v="1610"/>
    <x v="1"/>
    <x v="6"/>
    <n v="0"/>
    <x v="13"/>
  </r>
  <r>
    <n v="3001"/>
    <s v="CGHS ( CREDIT)"/>
    <d v="2022-10-06T00:00:00"/>
    <x v="1"/>
    <d v="2022-10-07T00:00:00"/>
    <d v="2022-10-07T00:00:00"/>
    <n v="22025978"/>
    <n v="2234962"/>
    <n v="10013422948"/>
    <s v="MALA RAM UPPAL"/>
    <x v="1573"/>
    <n v="0"/>
    <n v="6916"/>
    <n v="0"/>
    <n v="6916"/>
    <x v="1"/>
    <x v="1"/>
    <n v="0"/>
    <x v="4"/>
  </r>
  <r>
    <n v="3002"/>
    <s v="Delhi Arogya kosh"/>
    <d v="2022-10-06T00:00:00"/>
    <x v="1"/>
    <d v="2022-10-06T00:00:00"/>
    <d v="2022-10-06T00:00:00"/>
    <n v="22025813"/>
    <n v="2234829"/>
    <n v="1000891036"/>
    <s v="RAKIKESH KUMAR"/>
    <x v="243"/>
    <n v="0"/>
    <n v="1274"/>
    <n v="0"/>
    <n v="1274"/>
    <x v="1"/>
    <x v="6"/>
    <n v="0"/>
    <x v="13"/>
  </r>
  <r>
    <n v="3003"/>
    <s v=" DAK DIALYSIS"/>
    <d v="2022-10-17T00:00:00"/>
    <x v="1"/>
    <d v="2022-10-17T00:00:00"/>
    <d v="2022-10-17T00:00:00"/>
    <n v="22027484"/>
    <n v="2236397"/>
    <n v="1001699417"/>
    <s v="T.THAMBAN"/>
    <x v="243"/>
    <n v="0"/>
    <n v="1274"/>
    <n v="0"/>
    <n v="1274"/>
    <x v="1"/>
    <x v="6"/>
    <n v="0"/>
    <x v="13"/>
  </r>
  <r>
    <n v="3004"/>
    <s v="NHA - CENTRAL ARMED POLICE FORCES (CGHS)"/>
    <d v="2022-10-16T00:00:00"/>
    <x v="1"/>
    <d v="2022-10-20T00:00:00"/>
    <d v="2022-10-20T00:00:00"/>
    <n v="22027881"/>
    <n v="2236231"/>
    <n v="10013543248"/>
    <s v="NEERAJ MAHALAN"/>
    <x v="1574"/>
    <n v="0"/>
    <n v="39550"/>
    <n v="0"/>
    <n v="39550"/>
    <x v="1"/>
    <x v="1"/>
    <n v="0"/>
    <x v="0"/>
  </r>
  <r>
    <n v="3005"/>
    <s v="Heritage Health TPA Private Limited"/>
    <d v="2022-10-21T00:00:00"/>
    <x v="1"/>
    <d v="2022-10-21T00:00:00"/>
    <d v="2022-10-21T00:00:00"/>
    <n v="22027965"/>
    <n v="2236874"/>
    <n v="1001183341"/>
    <s v="KAMLESH JAIN"/>
    <x v="75"/>
    <n v="0"/>
    <n v="2200"/>
    <n v="0"/>
    <n v="2200"/>
    <x v="1"/>
    <x v="12"/>
    <n v="0"/>
    <x v="13"/>
  </r>
  <r>
    <n v="3006"/>
    <s v="SMILE TRAIN"/>
    <d v="2022-10-17T00:00:00"/>
    <x v="1"/>
    <d v="2022-10-19T00:00:00"/>
    <d v="2022-10-19T00:00:00"/>
    <n v="22027677"/>
    <n v="2236370"/>
    <n v="10013270939"/>
    <s v="KHUSHBOO"/>
    <x v="1575"/>
    <n v="30006"/>
    <n v="30000"/>
    <n v="0"/>
    <n v="30000"/>
    <x v="1"/>
    <x v="1"/>
    <n v="0"/>
    <x v="6"/>
  </r>
  <r>
    <n v="3007"/>
    <s v="Delhi Arogya kosh"/>
    <d v="2022-10-05T00:00:00"/>
    <x v="1"/>
    <d v="2022-10-05T00:00:00"/>
    <d v="2022-10-05T00:00:00"/>
    <n v="22025781"/>
    <n v="2234790"/>
    <n v="1000857532"/>
    <s v="HARI BABU"/>
    <x v="243"/>
    <n v="0"/>
    <n v="1274"/>
    <n v="0"/>
    <n v="1274"/>
    <x v="1"/>
    <x v="6"/>
    <n v="0"/>
    <x v="13"/>
  </r>
  <r>
    <n v="3008"/>
    <s v=" CGHS CREDIT"/>
    <d v="2022-10-28T00:00:00"/>
    <x v="1"/>
    <d v="2022-10-29T00:00:00"/>
    <d v="2022-10-29T00:00:00"/>
    <n v="22028993"/>
    <n v="2237825"/>
    <n v="1001692673"/>
    <s v="AMRIT PAL SHUKLA"/>
    <x v="16"/>
    <n v="0"/>
    <n v="0"/>
    <n v="0"/>
    <n v="0"/>
    <x v="1"/>
    <x v="6"/>
    <e v="#DIV/0!"/>
    <x v="13"/>
  </r>
  <r>
    <n v="3009"/>
    <s v="Delhi Arogya kosh"/>
    <d v="2022-10-20T00:00:00"/>
    <x v="1"/>
    <d v="2022-10-20T00:00:00"/>
    <d v="2022-10-20T00:00:00"/>
    <n v="22027958"/>
    <n v="2236838"/>
    <n v="10013292990"/>
    <s v="SONU YADAV"/>
    <x v="243"/>
    <n v="0"/>
    <n v="1274"/>
    <n v="0"/>
    <n v="1274"/>
    <x v="1"/>
    <x v="6"/>
    <n v="0"/>
    <x v="13"/>
  </r>
  <r>
    <n v="3010"/>
    <s v=" CGHS CREDIT"/>
    <d v="2022-10-03T00:00:00"/>
    <x v="1"/>
    <d v="2022-10-03T00:00:00"/>
    <d v="2022-10-03T00:00:00"/>
    <n v="22025444"/>
    <n v="2234443"/>
    <n v="1001777526"/>
    <s v="PRADEEP KUMAR MALIK"/>
    <x v="43"/>
    <n v="0"/>
    <n v="1610"/>
    <n v="0"/>
    <n v="1610"/>
    <x v="1"/>
    <x v="6"/>
    <n v="0"/>
    <x v="13"/>
  </r>
  <r>
    <n v="3011"/>
    <s v=" DAK DIALYSIS"/>
    <d v="2022-10-21T00:00:00"/>
    <x v="1"/>
    <d v="2022-10-21T00:00:00"/>
    <d v="2022-10-21T00:00:00"/>
    <n v="22028106"/>
    <n v="2236948"/>
    <n v="1001527101"/>
    <s v="SURENDER SHARMA"/>
    <x v="243"/>
    <n v="0"/>
    <n v="1274"/>
    <n v="0"/>
    <n v="1274"/>
    <x v="1"/>
    <x v="6"/>
    <n v="0"/>
    <x v="13"/>
  </r>
  <r>
    <n v="3012"/>
    <s v="Delhi Arogya kosh"/>
    <d v="2022-10-27T00:00:00"/>
    <x v="1"/>
    <d v="2022-10-27T00:00:00"/>
    <d v="2022-10-27T00:00:00"/>
    <n v="22028829"/>
    <n v="2237695"/>
    <n v="1000961855"/>
    <s v="SHASHI BALA"/>
    <x v="243"/>
    <n v="0"/>
    <n v="1274"/>
    <n v="0"/>
    <n v="1274"/>
    <x v="1"/>
    <x v="6"/>
    <n v="0"/>
    <x v="13"/>
  </r>
  <r>
    <n v="3013"/>
    <s v="GOVT. OF NCT OF DELHI"/>
    <d v="2022-10-03T00:00:00"/>
    <x v="1"/>
    <d v="2022-10-03T00:00:00"/>
    <d v="2022-10-03T00:00:00"/>
    <n v="22025403"/>
    <n v="2234386"/>
    <n v="1000853411"/>
    <s v="SOMA"/>
    <x v="43"/>
    <n v="0"/>
    <n v="1610"/>
    <n v="0"/>
    <n v="1610"/>
    <x v="1"/>
    <x v="6"/>
    <n v="0"/>
    <x v="13"/>
  </r>
  <r>
    <n v="3014"/>
    <s v="Delhi Arogya kosh"/>
    <d v="2022-10-03T00:00:00"/>
    <x v="1"/>
    <d v="2022-10-03T00:00:00"/>
    <d v="2022-10-03T00:00:00"/>
    <n v="22025461"/>
    <n v="2234482"/>
    <n v="10013437822"/>
    <s v="JOGINDER PAL"/>
    <x v="243"/>
    <n v="0"/>
    <n v="1274"/>
    <n v="0"/>
    <n v="1274"/>
    <x v="1"/>
    <x v="6"/>
    <n v="0"/>
    <x v="13"/>
  </r>
  <r>
    <n v="3015"/>
    <s v="GOVT. OF NCT OF DELHI"/>
    <d v="2022-10-14T00:00:00"/>
    <x v="1"/>
    <d v="2022-10-14T00:00:00"/>
    <d v="2022-10-14T00:00:00"/>
    <n v="22027047"/>
    <n v="2235971"/>
    <n v="1000853411"/>
    <s v="SOMA"/>
    <x v="43"/>
    <n v="0"/>
    <n v="1610"/>
    <n v="0"/>
    <n v="1610"/>
    <x v="1"/>
    <x v="6"/>
    <n v="0"/>
    <x v="13"/>
  </r>
  <r>
    <n v="3016"/>
    <s v=" CGHS CREDIT"/>
    <d v="2022-10-07T00:00:00"/>
    <x v="1"/>
    <d v="2022-10-07T00:00:00"/>
    <d v="2022-10-07T00:00:00"/>
    <n v="22025932"/>
    <n v="2234986"/>
    <n v="1001801530"/>
    <s v="UMA BISHT"/>
    <x v="43"/>
    <n v="0"/>
    <n v="1610"/>
    <n v="0"/>
    <n v="1610"/>
    <x v="1"/>
    <x v="6"/>
    <n v="0"/>
    <x v="13"/>
  </r>
  <r>
    <n v="3017"/>
    <s v=" CGHS CREDIT"/>
    <d v="2022-10-26T00:00:00"/>
    <x v="1"/>
    <d v="2022-10-26T00:00:00"/>
    <d v="2022-10-26T00:00:00"/>
    <n v="22028638"/>
    <n v="2237512"/>
    <n v="1001736024"/>
    <s v="RADHIKA"/>
    <x v="43"/>
    <n v="0"/>
    <n v="1610"/>
    <n v="0"/>
    <n v="1610"/>
    <x v="1"/>
    <x v="6"/>
    <n v="0"/>
    <x v="13"/>
  </r>
  <r>
    <n v="3018"/>
    <s v=" CGHS CREDIT"/>
    <d v="2022-10-14T00:00:00"/>
    <x v="1"/>
    <d v="2022-10-14T00:00:00"/>
    <d v="2022-10-14T00:00:00"/>
    <n v="22027062"/>
    <n v="2235979"/>
    <n v="1001692673"/>
    <s v="AMRIT PAL SHUKLA"/>
    <x v="43"/>
    <n v="0"/>
    <n v="1610"/>
    <n v="0"/>
    <n v="1610"/>
    <x v="1"/>
    <x v="6"/>
    <n v="0"/>
    <x v="13"/>
  </r>
  <r>
    <n v="3019"/>
    <s v="STAR HEALTH CARE  (CREDIT)"/>
    <d v="2022-10-28T00:00:00"/>
    <x v="1"/>
    <d v="2022-10-29T00:00:00"/>
    <d v="2022-10-29T00:00:00"/>
    <n v="22029087"/>
    <n v="2237833"/>
    <n v="1001806832"/>
    <s v="VIRAMATI GARG"/>
    <x v="1576"/>
    <n v="0"/>
    <n v="316979"/>
    <n v="0"/>
    <n v="316979"/>
    <x v="1"/>
    <x v="2"/>
    <n v="0"/>
    <x v="4"/>
  </r>
  <r>
    <n v="3020"/>
    <s v="VIPUL MED CORP PVT LTD"/>
    <d v="2022-10-20T00:00:00"/>
    <x v="1"/>
    <d v="2022-10-20T00:00:00"/>
    <d v="2022-10-20T00:00:00"/>
    <n v="22027945"/>
    <n v="2236810"/>
    <n v="10013332282"/>
    <s v="SANGEETA"/>
    <x v="75"/>
    <n v="0"/>
    <n v="2200"/>
    <n v="0"/>
    <n v="2200"/>
    <x v="1"/>
    <x v="12"/>
    <n v="0"/>
    <x v="13"/>
  </r>
  <r>
    <n v="3021"/>
    <s v=" DAK DIALYSIS"/>
    <d v="2022-10-27T00:00:00"/>
    <x v="1"/>
    <d v="2022-10-27T00:00:00"/>
    <d v="2022-10-27T00:00:00"/>
    <n v="22028776"/>
    <n v="2237658"/>
    <n v="1001648223"/>
    <s v="BRIJ LAL KORI"/>
    <x v="243"/>
    <n v="0"/>
    <n v="1274"/>
    <n v="0"/>
    <n v="1274"/>
    <x v="1"/>
    <x v="6"/>
    <n v="0"/>
    <x v="13"/>
  </r>
  <r>
    <n v="3022"/>
    <s v="Delhi Arogya kosh"/>
    <d v="2022-10-15T00:00:00"/>
    <x v="1"/>
    <d v="2022-10-15T00:00:00"/>
    <d v="2022-10-15T00:00:00"/>
    <n v="22027250"/>
    <n v="2236166"/>
    <n v="1001542371"/>
    <s v="USHA GAMBHIR"/>
    <x v="243"/>
    <n v="0"/>
    <n v="1274"/>
    <n v="0"/>
    <n v="1274"/>
    <x v="1"/>
    <x v="6"/>
    <n v="0"/>
    <x v="13"/>
  </r>
  <r>
    <n v="3023"/>
    <s v=" CGHS CREDIT"/>
    <d v="2022-10-04T00:00:00"/>
    <x v="1"/>
    <d v="2022-10-04T00:00:00"/>
    <d v="2022-10-04T00:00:00"/>
    <n v="22025607"/>
    <n v="2234593"/>
    <n v="1001802447"/>
    <s v="SHYAM LAL"/>
    <x v="43"/>
    <n v="0"/>
    <n v="1610"/>
    <n v="0"/>
    <n v="1610"/>
    <x v="1"/>
    <x v="6"/>
    <n v="0"/>
    <x v="13"/>
  </r>
  <r>
    <n v="3024"/>
    <s v="Delhi Arogya kosh"/>
    <d v="2022-10-14T00:00:00"/>
    <x v="1"/>
    <d v="2022-10-14T00:00:00"/>
    <d v="2022-10-14T00:00:00"/>
    <n v="22027112"/>
    <n v="2236035"/>
    <n v="10013316109"/>
    <s v="GAURAV PAWAR"/>
    <x v="243"/>
    <n v="0"/>
    <n v="1274"/>
    <n v="0"/>
    <n v="1274"/>
    <x v="1"/>
    <x v="6"/>
    <n v="0"/>
    <x v="13"/>
  </r>
  <r>
    <n v="3025"/>
    <s v=" DGEHS (CREDIT)"/>
    <d v="2022-09-26T00:00:00"/>
    <x v="0"/>
    <d v="2022-10-08T00:00:00"/>
    <d v="2022-10-08T00:00:00"/>
    <n v="22026171"/>
    <n v="2233558"/>
    <n v="1001556928"/>
    <s v="SUKHNA DEVI"/>
    <x v="1577"/>
    <n v="0"/>
    <n v="49076"/>
    <n v="0"/>
    <n v="49076"/>
    <x v="1"/>
    <x v="1"/>
    <n v="0"/>
    <x v="0"/>
  </r>
  <r>
    <n v="3026"/>
    <s v="Delhi Arogya kosh"/>
    <d v="2022-10-04T00:00:00"/>
    <x v="1"/>
    <d v="2022-10-04T00:00:00"/>
    <d v="2022-10-04T00:00:00"/>
    <n v="22025611"/>
    <n v="2234611"/>
    <n v="1001074266"/>
    <s v="VINAY JAIN"/>
    <x v="243"/>
    <n v="0"/>
    <n v="1274"/>
    <n v="0"/>
    <n v="1274"/>
    <x v="1"/>
    <x v="6"/>
    <n v="0"/>
    <x v="13"/>
  </r>
  <r>
    <n v="3027"/>
    <s v=" DAK DIALYSIS"/>
    <d v="2022-10-08T00:00:00"/>
    <x v="1"/>
    <d v="2022-10-08T00:00:00"/>
    <d v="2022-10-08T00:00:00"/>
    <n v="22026073"/>
    <n v="2235122"/>
    <n v="1001680001"/>
    <s v="BIPIN KUMAR"/>
    <x v="243"/>
    <n v="0"/>
    <n v="1274"/>
    <n v="0"/>
    <n v="1274"/>
    <x v="1"/>
    <x v="6"/>
    <n v="0"/>
    <x v="13"/>
  </r>
  <r>
    <n v="3028"/>
    <s v="Delhi Arogya kosh"/>
    <d v="2022-10-13T00:00:00"/>
    <x v="1"/>
    <d v="2022-10-13T00:00:00"/>
    <d v="2022-10-13T00:00:00"/>
    <n v="22026954"/>
    <n v="2235881"/>
    <n v="10013437822"/>
    <s v="JOGINDER PAL"/>
    <x v="243"/>
    <n v="0"/>
    <n v="1274"/>
    <n v="0"/>
    <n v="1274"/>
    <x v="1"/>
    <x v="6"/>
    <n v="0"/>
    <x v="13"/>
  </r>
  <r>
    <n v="3029"/>
    <s v=" DAK DIALYSIS"/>
    <d v="2022-10-26T00:00:00"/>
    <x v="1"/>
    <d v="2022-10-26T00:00:00"/>
    <d v="2022-10-26T00:00:00"/>
    <n v="22028641"/>
    <n v="2237514"/>
    <n v="1001686545"/>
    <s v="RAKESH KUMAR"/>
    <x v="243"/>
    <n v="0"/>
    <n v="1274"/>
    <n v="0"/>
    <n v="1274"/>
    <x v="1"/>
    <x v="6"/>
    <n v="0"/>
    <x v="13"/>
  </r>
  <r>
    <n v="3030"/>
    <s v="GENERAL PATIENT"/>
    <d v="2022-09-28T00:00:00"/>
    <x v="0"/>
    <d v="2022-10-05T00:00:00"/>
    <d v="2022-10-05T00:00:00"/>
    <n v="22025749"/>
    <n v="2233788"/>
    <n v="1001123836"/>
    <s v="ROSY"/>
    <x v="1578"/>
    <n v="146169"/>
    <n v="0"/>
    <n v="0"/>
    <n v="0"/>
    <x v="1"/>
    <x v="9"/>
    <e v="#DIV/0!"/>
    <x v="14"/>
  </r>
  <r>
    <n v="3031"/>
    <s v="Delhi Arogya kosh"/>
    <d v="2022-10-23T00:00:00"/>
    <x v="1"/>
    <d v="2022-10-24T00:00:00"/>
    <d v="2022-10-24T00:00:00"/>
    <n v="22028451"/>
    <n v="2237172"/>
    <n v="10013544242"/>
    <s v="KAUSHALYA RANI"/>
    <x v="538"/>
    <n v="0"/>
    <n v="99394"/>
    <n v="0"/>
    <n v="99394"/>
    <x v="1"/>
    <x v="15"/>
    <n v="0"/>
    <x v="4"/>
  </r>
  <r>
    <n v="3032"/>
    <s v="Delhi Arogya kosh"/>
    <d v="2022-10-10T00:00:00"/>
    <x v="1"/>
    <d v="2022-10-10T00:00:00"/>
    <d v="2022-10-10T00:00:00"/>
    <n v="22026479"/>
    <n v="2235450"/>
    <n v="10013371548"/>
    <s v="AMRIK SINGH"/>
    <x v="243"/>
    <n v="0"/>
    <n v="1274"/>
    <n v="0"/>
    <n v="1274"/>
    <x v="1"/>
    <x v="6"/>
    <n v="0"/>
    <x v="13"/>
  </r>
  <r>
    <n v="3033"/>
    <s v="Delhi Arogya kosh"/>
    <d v="2022-10-11T00:00:00"/>
    <x v="1"/>
    <d v="2022-10-11T00:00:00"/>
    <d v="2022-10-11T00:00:00"/>
    <n v="22026620"/>
    <n v="2235589"/>
    <n v="1001039513"/>
    <s v="RITU"/>
    <x v="243"/>
    <n v="0"/>
    <n v="1274"/>
    <n v="0"/>
    <n v="1274"/>
    <x v="1"/>
    <x v="6"/>
    <n v="0"/>
    <x v="13"/>
  </r>
  <r>
    <n v="3034"/>
    <s v="Delhi Arogya kosh"/>
    <d v="2022-10-17T00:00:00"/>
    <x v="1"/>
    <d v="2022-10-17T00:00:00"/>
    <d v="2022-10-17T00:00:00"/>
    <n v="22027496"/>
    <n v="2236393"/>
    <n v="1001208331"/>
    <s v="PREM"/>
    <x v="243"/>
    <n v="0"/>
    <n v="1274"/>
    <n v="0"/>
    <n v="1274"/>
    <x v="1"/>
    <x v="6"/>
    <n v="0"/>
    <x v="13"/>
  </r>
  <r>
    <n v="3035"/>
    <s v="Delhi Arogya kosh"/>
    <d v="2022-10-10T00:00:00"/>
    <x v="1"/>
    <d v="2022-10-10T00:00:00"/>
    <d v="2022-10-10T00:00:00"/>
    <n v="22026460"/>
    <n v="2235426"/>
    <n v="10013299539"/>
    <s v="SATISH MALIK"/>
    <x v="243"/>
    <n v="0"/>
    <n v="1274"/>
    <n v="0"/>
    <n v="1274"/>
    <x v="1"/>
    <x v="6"/>
    <n v="0"/>
    <x v="13"/>
  </r>
  <r>
    <n v="3036"/>
    <s v=" DAK DIALYSIS"/>
    <d v="2022-10-05T00:00:00"/>
    <x v="1"/>
    <d v="2022-10-05T00:00:00"/>
    <d v="2022-10-05T00:00:00"/>
    <n v="22025734"/>
    <n v="2234727"/>
    <n v="1001657236"/>
    <s v="RAM KUMAR SINGH"/>
    <x v="243"/>
    <n v="0"/>
    <n v="1274"/>
    <n v="0"/>
    <n v="1274"/>
    <x v="1"/>
    <x v="6"/>
    <n v="0"/>
    <x v="13"/>
  </r>
  <r>
    <n v="3037"/>
    <s v=" ECHS CREDIT"/>
    <d v="2022-10-06T00:00:00"/>
    <x v="1"/>
    <d v="2022-10-06T00:00:00"/>
    <d v="2022-10-06T00:00:00"/>
    <n v="22025820"/>
    <n v="2234822"/>
    <n v="1001781083"/>
    <s v="MITHILESH KUMAR SRIVASTAVA"/>
    <x v="43"/>
    <n v="0"/>
    <n v="1610"/>
    <n v="0"/>
    <n v="1610"/>
    <x v="1"/>
    <x v="6"/>
    <n v="0"/>
    <x v="13"/>
  </r>
  <r>
    <n v="3038"/>
    <s v="Delhi Arogya kosh"/>
    <d v="2022-10-27T00:00:00"/>
    <x v="1"/>
    <d v="2022-10-27T00:00:00"/>
    <d v="2022-10-27T00:00:00"/>
    <n v="22028777"/>
    <n v="2237640"/>
    <n v="1000947753"/>
    <s v="DHARAMPAL GUPTA"/>
    <x v="243"/>
    <n v="0"/>
    <n v="1274"/>
    <n v="0"/>
    <n v="1274"/>
    <x v="1"/>
    <x v="6"/>
    <n v="0"/>
    <x v="13"/>
  </r>
  <r>
    <n v="3039"/>
    <s v="Delhi Arogya kosh"/>
    <d v="2022-10-07T00:00:00"/>
    <x v="1"/>
    <d v="2022-10-07T00:00:00"/>
    <d v="2022-10-07T00:00:00"/>
    <n v="22026065"/>
    <n v="2235090"/>
    <n v="1000891068"/>
    <s v="SUSHIL SHARMA"/>
    <x v="243"/>
    <n v="0"/>
    <n v="1274"/>
    <n v="0"/>
    <n v="1274"/>
    <x v="1"/>
    <x v="6"/>
    <n v="0"/>
    <x v="13"/>
  </r>
  <r>
    <n v="3040"/>
    <s v="Delhi Arogya kosh"/>
    <d v="2022-10-18T00:00:00"/>
    <x v="1"/>
    <d v="2022-10-18T00:00:00"/>
    <d v="2022-10-18T00:00:00"/>
    <n v="22027638"/>
    <n v="2236551"/>
    <n v="10013516483"/>
    <s v="CHANCHAL RANI"/>
    <x v="243"/>
    <n v="0"/>
    <n v="1274"/>
    <n v="0"/>
    <n v="1274"/>
    <x v="1"/>
    <x v="6"/>
    <n v="0"/>
    <x v="13"/>
  </r>
  <r>
    <n v="3041"/>
    <s v=" DAK DIALYSIS"/>
    <d v="2022-10-26T00:00:00"/>
    <x v="1"/>
    <d v="2022-10-26T00:00:00"/>
    <d v="2022-10-26T00:00:00"/>
    <n v="22028677"/>
    <n v="2237546"/>
    <n v="1001699417"/>
    <s v="T.THAMBAN"/>
    <x v="243"/>
    <n v="0"/>
    <n v="1274"/>
    <n v="0"/>
    <n v="1274"/>
    <x v="1"/>
    <x v="6"/>
    <n v="0"/>
    <x v="13"/>
  </r>
  <r>
    <n v="3042"/>
    <s v=" CGHS CREDIT"/>
    <d v="2022-10-27T00:00:00"/>
    <x v="1"/>
    <d v="2022-10-27T00:00:00"/>
    <d v="2022-10-27T00:00:00"/>
    <n v="22028731"/>
    <n v="2237611"/>
    <n v="1001626180"/>
    <s v="KAMLA DEVI"/>
    <x v="43"/>
    <n v="0"/>
    <n v="1610"/>
    <n v="0"/>
    <n v="1610"/>
    <x v="1"/>
    <x v="6"/>
    <n v="0"/>
    <x v="13"/>
  </r>
  <r>
    <n v="3043"/>
    <s v=" DAK DIALYSIS"/>
    <d v="2022-10-25T00:00:00"/>
    <x v="1"/>
    <d v="2022-10-25T00:00:00"/>
    <d v="2022-10-25T00:00:00"/>
    <n v="22028542"/>
    <n v="2237378"/>
    <n v="1001657236"/>
    <s v="RAM KUMAR SINGH"/>
    <x v="243"/>
    <n v="0"/>
    <n v="1274"/>
    <n v="0"/>
    <n v="1274"/>
    <x v="1"/>
    <x v="6"/>
    <n v="0"/>
    <x v="13"/>
  </r>
  <r>
    <n v="3044"/>
    <s v="Delhi Arogya kosh"/>
    <d v="2022-10-18T00:00:00"/>
    <x v="1"/>
    <d v="2022-10-18T00:00:00"/>
    <d v="2022-10-18T00:00:00"/>
    <n v="22027627"/>
    <n v="2236533"/>
    <n v="10013520283"/>
    <s v="DEVI RANI"/>
    <x v="243"/>
    <n v="0"/>
    <n v="1274"/>
    <n v="0"/>
    <n v="1274"/>
    <x v="1"/>
    <x v="6"/>
    <n v="0"/>
    <x v="13"/>
  </r>
  <r>
    <n v="3045"/>
    <s v=" CGHS CREDIT"/>
    <d v="2022-10-31T00:00:00"/>
    <x v="1"/>
    <d v="2022-10-31T00:00:00"/>
    <d v="2022-10-31T00:00:00"/>
    <n v="22029351"/>
    <n v="2238214"/>
    <n v="1001803044"/>
    <s v="GOVIND SINGH"/>
    <x v="43"/>
    <n v="0"/>
    <n v="1610"/>
    <n v="0"/>
    <n v="1610"/>
    <x v="1"/>
    <x v="6"/>
    <n v="0"/>
    <x v="13"/>
  </r>
  <r>
    <n v="3046"/>
    <s v="Delhi Arogya kosh"/>
    <d v="2022-10-27T00:00:00"/>
    <x v="1"/>
    <d v="2022-10-27T00:00:00"/>
    <d v="2022-10-27T00:00:00"/>
    <n v="22028718"/>
    <n v="2237610"/>
    <n v="10013435866"/>
    <s v="SUSHIL KUMAR AGGARWAL"/>
    <x v="243"/>
    <n v="0"/>
    <n v="1274"/>
    <n v="0"/>
    <n v="1274"/>
    <x v="1"/>
    <x v="6"/>
    <n v="0"/>
    <x v="13"/>
  </r>
  <r>
    <n v="3047"/>
    <s v=" DAK DIALYSIS"/>
    <d v="2022-10-28T00:00:00"/>
    <x v="1"/>
    <d v="2022-10-28T00:00:00"/>
    <d v="2022-10-28T00:00:00"/>
    <n v="22028856"/>
    <n v="2237745"/>
    <n v="1001647517"/>
    <s v="RAJENDER PANDAY"/>
    <x v="243"/>
    <n v="0"/>
    <n v="1274"/>
    <n v="0"/>
    <n v="1274"/>
    <x v="1"/>
    <x v="6"/>
    <n v="0"/>
    <x v="13"/>
  </r>
  <r>
    <n v="3048"/>
    <s v="CGHS ( CREDIT)"/>
    <d v="2022-10-28T00:00:00"/>
    <x v="1"/>
    <d v="2022-10-28T00:00:00"/>
    <d v="2022-10-28T00:00:00"/>
    <n v="22028852"/>
    <n v="2237756"/>
    <n v="10013453991"/>
    <s v="RAJENDER"/>
    <x v="43"/>
    <n v="0"/>
    <n v="1610"/>
    <n v="0"/>
    <n v="1610"/>
    <x v="1"/>
    <x v="6"/>
    <n v="0"/>
    <x v="13"/>
  </r>
  <r>
    <n v="3049"/>
    <s v="Delhi Arogya kosh"/>
    <d v="2022-10-10T00:00:00"/>
    <x v="1"/>
    <d v="2022-10-10T00:00:00"/>
    <d v="2022-10-10T00:00:00"/>
    <n v="22026341"/>
    <n v="2235343"/>
    <n v="1000899251"/>
    <s v="SURESH KUMAR"/>
    <x v="243"/>
    <n v="0"/>
    <n v="1274"/>
    <n v="0"/>
    <n v="1274"/>
    <x v="1"/>
    <x v="6"/>
    <n v="0"/>
    <x v="13"/>
  </r>
  <r>
    <n v="3050"/>
    <s v=" DAK DIALYSIS"/>
    <d v="2022-10-12T00:00:00"/>
    <x v="1"/>
    <d v="2022-10-12T00:00:00"/>
    <d v="2022-10-12T00:00:00"/>
    <n v="22026768"/>
    <n v="2235717"/>
    <n v="1001647517"/>
    <s v="RAJENDER PANDAY"/>
    <x v="243"/>
    <n v="0"/>
    <n v="1274"/>
    <n v="0"/>
    <n v="1274"/>
    <x v="1"/>
    <x v="6"/>
    <n v="0"/>
    <x v="13"/>
  </r>
  <r>
    <n v="3051"/>
    <s v=" RELIGARE HEALTH INSURANCE"/>
    <d v="2022-10-23T00:00:00"/>
    <x v="1"/>
    <d v="2022-10-29T00:00:00"/>
    <d v="2022-10-29T00:00:00"/>
    <n v="22029035"/>
    <n v="2237190"/>
    <n v="1001805906"/>
    <s v="SANTOSH SHRIVASTAV"/>
    <x v="1579"/>
    <n v="20958"/>
    <n v="46088"/>
    <n v="0"/>
    <n v="46088"/>
    <x v="1"/>
    <x v="3"/>
    <n v="0"/>
    <x v="0"/>
  </r>
  <r>
    <n v="3052"/>
    <s v=" DAK DIALYSIS"/>
    <d v="2022-10-10T00:00:00"/>
    <x v="1"/>
    <d v="2022-10-10T00:00:00"/>
    <d v="2022-10-10T00:00:00"/>
    <n v="22026461"/>
    <n v="2235427"/>
    <n v="1001699417"/>
    <s v="T.THAMBAN"/>
    <x v="243"/>
    <n v="0"/>
    <n v="1274"/>
    <n v="0"/>
    <n v="1274"/>
    <x v="1"/>
    <x v="6"/>
    <n v="0"/>
    <x v="13"/>
  </r>
  <r>
    <n v="3053"/>
    <s v="Health Insurance TPA of India Ltd."/>
    <d v="2022-10-10T00:00:00"/>
    <x v="1"/>
    <d v="2022-10-10T00:00:00"/>
    <d v="2022-10-10T00:00:00"/>
    <n v="22026407"/>
    <n v="2235379"/>
    <n v="1000947591"/>
    <s v="KULBHUSHAN AGGARWAL"/>
    <x v="75"/>
    <n v="0"/>
    <n v="2200"/>
    <n v="0"/>
    <n v="2200"/>
    <x v="1"/>
    <x v="12"/>
    <n v="0"/>
    <x v="13"/>
  </r>
  <r>
    <n v="3054"/>
    <s v=" ECHS CREDIT"/>
    <d v="2022-10-05T00:00:00"/>
    <x v="1"/>
    <d v="2022-10-11T00:00:00"/>
    <d v="2022-10-11T00:00:00"/>
    <n v="22026511"/>
    <n v="2234669"/>
    <n v="1001729016"/>
    <s v="ANOJ KUMAR"/>
    <x v="1580"/>
    <n v="0"/>
    <n v="44510"/>
    <n v="0"/>
    <n v="44510"/>
    <x v="1"/>
    <x v="0"/>
    <n v="0"/>
    <x v="0"/>
  </r>
  <r>
    <n v="3055"/>
    <s v="Delhi Arogya kosh"/>
    <d v="2022-10-10T00:00:00"/>
    <x v="1"/>
    <d v="2022-10-10T00:00:00"/>
    <d v="2022-10-10T00:00:00"/>
    <n v="22026396"/>
    <n v="2235372"/>
    <n v="1000947753"/>
    <s v="DHARAMPAL GUPTA"/>
    <x v="243"/>
    <n v="0"/>
    <n v="1274"/>
    <n v="0"/>
    <n v="1274"/>
    <x v="1"/>
    <x v="6"/>
    <n v="0"/>
    <x v="13"/>
  </r>
  <r>
    <n v="3056"/>
    <s v="Delhi Arogya kosh"/>
    <d v="2022-10-20T00:00:00"/>
    <x v="1"/>
    <d v="2022-10-20T00:00:00"/>
    <d v="2022-10-20T00:00:00"/>
    <n v="22027942"/>
    <n v="2236808"/>
    <n v="1000891592"/>
    <s v="MANOJ"/>
    <x v="243"/>
    <n v="0"/>
    <n v="1274"/>
    <n v="0"/>
    <n v="1274"/>
    <x v="1"/>
    <x v="6"/>
    <n v="0"/>
    <x v="13"/>
  </r>
  <r>
    <n v="3057"/>
    <s v="Heritage Health TPA Private Limited"/>
    <d v="2022-10-06T00:00:00"/>
    <x v="1"/>
    <d v="2022-10-08T00:00:00"/>
    <d v="2022-10-08T00:00:00"/>
    <n v="22026110"/>
    <n v="2234903"/>
    <n v="1000967694"/>
    <s v="PREM CHAND MASSAND"/>
    <x v="1581"/>
    <n v="0"/>
    <n v="115892"/>
    <n v="0"/>
    <n v="115892"/>
    <x v="1"/>
    <x v="3"/>
    <n v="0"/>
    <x v="0"/>
  </r>
  <r>
    <n v="3058"/>
    <s v="Delhi Arogya kosh"/>
    <d v="2022-10-14T00:00:00"/>
    <x v="1"/>
    <d v="2022-10-14T00:00:00"/>
    <d v="2022-10-14T00:00:00"/>
    <n v="22027109"/>
    <n v="2236038"/>
    <n v="10013521329"/>
    <s v="KANTI"/>
    <x v="243"/>
    <n v="0"/>
    <n v="1274"/>
    <n v="0"/>
    <n v="1274"/>
    <x v="1"/>
    <x v="6"/>
    <n v="0"/>
    <x v="13"/>
  </r>
  <r>
    <n v="3059"/>
    <s v="DGHS (DELHI GOVT.)"/>
    <d v="2022-10-13T00:00:00"/>
    <x v="1"/>
    <d v="2022-10-13T00:00:00"/>
    <d v="2022-10-13T00:00:00"/>
    <n v="22026939"/>
    <n v="2235856"/>
    <n v="10013520050"/>
    <s v="THAKRI KAUR"/>
    <x v="261"/>
    <n v="0"/>
    <n v="11903"/>
    <n v="0"/>
    <n v="11903"/>
    <x v="1"/>
    <x v="1"/>
    <n v="0"/>
    <x v="4"/>
  </r>
  <r>
    <n v="3060"/>
    <s v=" DGEHS (CREDIT)"/>
    <d v="2022-09-27T00:00:00"/>
    <x v="0"/>
    <d v="2022-10-01T00:00:00"/>
    <d v="2022-10-01T00:00:00"/>
    <n v="22025217"/>
    <n v="2233610"/>
    <n v="1001740329"/>
    <s v="KRISHNA"/>
    <x v="1582"/>
    <n v="0"/>
    <n v="39646"/>
    <n v="0"/>
    <n v="39646"/>
    <x v="1"/>
    <x v="1"/>
    <n v="0"/>
    <x v="0"/>
  </r>
  <r>
    <n v="3061"/>
    <s v="Delhi Arogya kosh"/>
    <d v="2022-10-29T00:00:00"/>
    <x v="1"/>
    <d v="2022-10-29T00:00:00"/>
    <d v="2022-10-29T00:00:00"/>
    <n v="22029174"/>
    <n v="2238041"/>
    <n v="10013451090"/>
    <s v="MANJU SUNDRIYAL"/>
    <x v="243"/>
    <n v="0"/>
    <n v="1274"/>
    <n v="0"/>
    <n v="1274"/>
    <x v="1"/>
    <x v="6"/>
    <n v="0"/>
    <x v="13"/>
  </r>
  <r>
    <n v="3062"/>
    <s v="VIPUL MED CORP PVT LTD"/>
    <d v="2022-10-27T00:00:00"/>
    <x v="1"/>
    <d v="2022-10-27T00:00:00"/>
    <d v="2022-10-27T00:00:00"/>
    <n v="22028836"/>
    <n v="2237700"/>
    <n v="10013332282"/>
    <s v="SANGEETA"/>
    <x v="75"/>
    <n v="0"/>
    <n v="2200"/>
    <n v="0"/>
    <n v="2200"/>
    <x v="1"/>
    <x v="12"/>
    <n v="0"/>
    <x v="13"/>
  </r>
  <r>
    <n v="3063"/>
    <s v="CGHS ( CREDIT)"/>
    <d v="2022-10-15T00:00:00"/>
    <x v="1"/>
    <d v="2022-10-15T00:00:00"/>
    <d v="2022-10-15T00:00:00"/>
    <n v="22027221"/>
    <n v="2236137"/>
    <n v="1001300172"/>
    <s v="SWARN LATA KINDRA"/>
    <x v="43"/>
    <n v="0"/>
    <n v="1610"/>
    <n v="0"/>
    <n v="1610"/>
    <x v="1"/>
    <x v="6"/>
    <n v="0"/>
    <x v="13"/>
  </r>
  <r>
    <n v="3064"/>
    <s v="Delhi Arogya kosh"/>
    <d v="2022-10-18T00:00:00"/>
    <x v="1"/>
    <d v="2022-10-18T00:00:00"/>
    <d v="2022-10-18T00:00:00"/>
    <n v="22027626"/>
    <n v="2236525"/>
    <n v="10013371134"/>
    <s v="RADHA GOEL"/>
    <x v="243"/>
    <n v="0"/>
    <n v="1274"/>
    <n v="0"/>
    <n v="1274"/>
    <x v="1"/>
    <x v="6"/>
    <n v="0"/>
    <x v="13"/>
  </r>
  <r>
    <n v="3065"/>
    <s v="DGHS (DELHI GOVT.)"/>
    <d v="2022-10-04T00:00:00"/>
    <x v="1"/>
    <d v="2022-10-04T00:00:00"/>
    <d v="2022-10-04T00:00:00"/>
    <n v="22025594"/>
    <n v="2234532"/>
    <n v="10013538232"/>
    <s v="BIMLA"/>
    <x v="1583"/>
    <n v="0"/>
    <n v="14749"/>
    <n v="0"/>
    <n v="14749"/>
    <x v="1"/>
    <x v="1"/>
    <n v="0"/>
    <x v="6"/>
  </r>
  <r>
    <n v="3066"/>
    <s v="Delhi Arogya kosh"/>
    <d v="2022-10-08T00:00:00"/>
    <x v="1"/>
    <d v="2022-10-08T00:00:00"/>
    <d v="2022-10-08T00:00:00"/>
    <n v="22026197"/>
    <n v="2235181"/>
    <n v="10013347178"/>
    <s v="BABITA"/>
    <x v="243"/>
    <n v="0"/>
    <n v="1274"/>
    <n v="0"/>
    <n v="1274"/>
    <x v="1"/>
    <x v="6"/>
    <n v="0"/>
    <x v="13"/>
  </r>
  <r>
    <n v="3067"/>
    <s v="Health Insurance TPA of India Ltd."/>
    <d v="2022-10-21T00:00:00"/>
    <x v="1"/>
    <d v="2022-10-21T00:00:00"/>
    <d v="2022-10-21T00:00:00"/>
    <n v="22027969"/>
    <n v="2236873"/>
    <n v="1001547355"/>
    <s v="AJAY BAJAJ"/>
    <x v="75"/>
    <n v="0"/>
    <n v="2200"/>
    <n v="0"/>
    <n v="2200"/>
    <x v="1"/>
    <x v="12"/>
    <n v="0"/>
    <x v="13"/>
  </r>
  <r>
    <n v="3068"/>
    <s v=" DAK DIALYSIS"/>
    <d v="2022-10-10T00:00:00"/>
    <x v="1"/>
    <d v="2022-10-10T00:00:00"/>
    <d v="2022-10-10T00:00:00"/>
    <n v="22026427"/>
    <n v="2235398"/>
    <n v="1001767553"/>
    <s v="VIJAY SINGH NEGI"/>
    <x v="243"/>
    <n v="0"/>
    <n v="1274"/>
    <n v="0"/>
    <n v="1274"/>
    <x v="1"/>
    <x v="6"/>
    <n v="0"/>
    <x v="13"/>
  </r>
  <r>
    <n v="3069"/>
    <s v=" CGHS CREDIT"/>
    <d v="2022-10-08T00:00:00"/>
    <x v="1"/>
    <d v="2022-10-08T00:00:00"/>
    <d v="2022-10-08T00:00:00"/>
    <n v="22026074"/>
    <n v="2235125"/>
    <n v="1001626180"/>
    <s v="KAMLA DEVI"/>
    <x v="43"/>
    <n v="0"/>
    <n v="1610"/>
    <n v="0"/>
    <n v="1610"/>
    <x v="1"/>
    <x v="6"/>
    <n v="0"/>
    <x v="13"/>
  </r>
  <r>
    <n v="3070"/>
    <s v="VIPUL MED CORP PVT LTD"/>
    <d v="2022-10-31T00:00:00"/>
    <x v="1"/>
    <d v="2022-10-31T00:00:00"/>
    <d v="2022-10-31T00:00:00"/>
    <n v="22029389"/>
    <n v="2238246"/>
    <n v="10013332282"/>
    <s v="SANGEETA"/>
    <x v="75"/>
    <n v="0"/>
    <n v="2200"/>
    <n v="0"/>
    <n v="2200"/>
    <x v="1"/>
    <x v="12"/>
    <n v="0"/>
    <x v="13"/>
  </r>
  <r>
    <n v="3071"/>
    <s v=" CGHS CREDIT"/>
    <d v="2022-10-10T00:00:00"/>
    <x v="1"/>
    <d v="2022-10-10T00:00:00"/>
    <d v="2022-10-10T00:00:00"/>
    <n v="22026352"/>
    <n v="2235351"/>
    <n v="1001789044"/>
    <s v="JAGDISH PARCHA"/>
    <x v="43"/>
    <n v="0"/>
    <n v="1610"/>
    <n v="0"/>
    <n v="1610"/>
    <x v="1"/>
    <x v="6"/>
    <n v="0"/>
    <x v="13"/>
  </r>
  <r>
    <n v="3072"/>
    <s v="CGHS ( CREDIT)"/>
    <d v="2022-10-26T00:00:00"/>
    <x v="1"/>
    <d v="2022-10-26T00:00:00"/>
    <d v="2022-10-26T00:00:00"/>
    <n v="22028684"/>
    <n v="2237548"/>
    <n v="1001529079"/>
    <s v="PRITAM LAL BHATIA"/>
    <x v="43"/>
    <n v="0"/>
    <n v="1610"/>
    <n v="0"/>
    <n v="1610"/>
    <x v="1"/>
    <x v="6"/>
    <n v="0"/>
    <x v="13"/>
  </r>
  <r>
    <n v="3073"/>
    <s v=" DAK DIALYSIS"/>
    <d v="2022-10-21T00:00:00"/>
    <x v="1"/>
    <d v="2022-10-21T00:00:00"/>
    <d v="2022-10-21T00:00:00"/>
    <n v="22028104"/>
    <n v="2236946"/>
    <n v="1001699417"/>
    <s v="T.THAMBAN"/>
    <x v="243"/>
    <n v="0"/>
    <n v="1274"/>
    <n v="0"/>
    <n v="1274"/>
    <x v="1"/>
    <x v="6"/>
    <n v="0"/>
    <x v="13"/>
  </r>
  <r>
    <n v="3074"/>
    <s v="Delhi Arogya kosh"/>
    <d v="2022-10-20T00:00:00"/>
    <x v="1"/>
    <d v="2022-10-20T00:00:00"/>
    <d v="2022-10-20T00:00:00"/>
    <n v="22027938"/>
    <n v="2236821"/>
    <n v="1000961855"/>
    <s v="SHASHI BALA"/>
    <x v="243"/>
    <n v="0"/>
    <n v="1274"/>
    <n v="0"/>
    <n v="1274"/>
    <x v="1"/>
    <x v="6"/>
    <n v="0"/>
    <x v="13"/>
  </r>
  <r>
    <n v="3075"/>
    <s v="CGHS ( CREDIT)"/>
    <d v="2022-10-17T00:00:00"/>
    <x v="1"/>
    <d v="2022-10-17T00:00:00"/>
    <d v="2022-10-17T00:00:00"/>
    <n v="22027366"/>
    <n v="2236283"/>
    <n v="1001531709"/>
    <s v="TASVIR SINGH"/>
    <x v="43"/>
    <n v="0"/>
    <n v="1610"/>
    <n v="0"/>
    <n v="1610"/>
    <x v="1"/>
    <x v="6"/>
    <n v="0"/>
    <x v="13"/>
  </r>
  <r>
    <n v="3076"/>
    <s v="Delhi Arogya kosh"/>
    <d v="2022-10-21T00:00:00"/>
    <x v="1"/>
    <d v="2022-10-21T00:00:00"/>
    <d v="2022-10-21T00:00:00"/>
    <n v="22028098"/>
    <n v="2236944"/>
    <n v="10013520283"/>
    <s v="DEVI RANI"/>
    <x v="243"/>
    <n v="0"/>
    <n v="1274"/>
    <n v="0"/>
    <n v="1274"/>
    <x v="1"/>
    <x v="6"/>
    <n v="0"/>
    <x v="13"/>
  </r>
  <r>
    <n v="3077"/>
    <s v="Delhi Arogya kosh"/>
    <d v="2022-10-19T00:00:00"/>
    <x v="1"/>
    <d v="2022-10-19T00:00:00"/>
    <d v="2022-10-19T00:00:00"/>
    <n v="22027786"/>
    <n v="2236678"/>
    <n v="10013385641"/>
    <s v="KAMLESH MISHRA"/>
    <x v="243"/>
    <n v="0"/>
    <n v="1274"/>
    <n v="0"/>
    <n v="1274"/>
    <x v="1"/>
    <x v="6"/>
    <n v="0"/>
    <x v="13"/>
  </r>
  <r>
    <n v="3078"/>
    <s v="CGHS ( CREDIT)"/>
    <d v="2022-10-07T00:00:00"/>
    <x v="1"/>
    <d v="2022-10-07T00:00:00"/>
    <d v="2022-10-07T00:00:00"/>
    <n v="22025954"/>
    <n v="2234971"/>
    <n v="10013433515"/>
    <s v="SUBHASH MARKANDE"/>
    <x v="1584"/>
    <n v="0"/>
    <n v="14019"/>
    <n v="0"/>
    <n v="14019"/>
    <x v="1"/>
    <x v="0"/>
    <n v="0"/>
    <x v="4"/>
  </r>
  <r>
    <n v="3079"/>
    <s v="Delhi Arogya kosh"/>
    <d v="2022-10-08T00:00:00"/>
    <x v="1"/>
    <d v="2022-10-08T00:00:00"/>
    <d v="2022-10-08T00:00:00"/>
    <n v="22026236"/>
    <n v="2235241"/>
    <n v="10013371548"/>
    <s v="AMRIK SINGH"/>
    <x v="243"/>
    <n v="0"/>
    <n v="1274"/>
    <n v="0"/>
    <n v="1274"/>
    <x v="1"/>
    <x v="6"/>
    <n v="0"/>
    <x v="13"/>
  </r>
  <r>
    <n v="3080"/>
    <s v=" DAK DIALYSIS"/>
    <d v="2022-10-17T00:00:00"/>
    <x v="1"/>
    <d v="2022-10-17T00:00:00"/>
    <d v="2022-10-17T00:00:00"/>
    <n v="22027481"/>
    <n v="2236384"/>
    <n v="1001657236"/>
    <s v="RAM KUMAR SINGH"/>
    <x v="243"/>
    <n v="0"/>
    <n v="1274"/>
    <n v="0"/>
    <n v="1274"/>
    <x v="1"/>
    <x v="6"/>
    <n v="0"/>
    <x v="13"/>
  </r>
  <r>
    <n v="3081"/>
    <s v="Delhi Arogya kosh"/>
    <d v="2022-10-12T00:00:00"/>
    <x v="1"/>
    <d v="2022-10-12T00:00:00"/>
    <d v="2022-10-12T00:00:00"/>
    <n v="22026737"/>
    <n v="2235696"/>
    <n v="10013241267"/>
    <s v="MANOJ KOHLI"/>
    <x v="243"/>
    <n v="0"/>
    <n v="1274"/>
    <n v="0"/>
    <n v="1274"/>
    <x v="1"/>
    <x v="6"/>
    <n v="0"/>
    <x v="13"/>
  </r>
  <r>
    <n v="3082"/>
    <s v=" ECHS CREDIT"/>
    <d v="2022-10-11T00:00:00"/>
    <x v="1"/>
    <d v="2022-10-11T00:00:00"/>
    <d v="2022-10-11T00:00:00"/>
    <n v="22026495"/>
    <n v="2235504"/>
    <n v="1001763340"/>
    <s v="ASHOK KUMAR"/>
    <x v="43"/>
    <n v="0"/>
    <n v="1610"/>
    <n v="0"/>
    <n v="1610"/>
    <x v="1"/>
    <x v="6"/>
    <n v="0"/>
    <x v="13"/>
  </r>
  <r>
    <n v="3083"/>
    <s v="GOVT. OF NCT OF DELHI"/>
    <d v="2022-10-17T00:00:00"/>
    <x v="1"/>
    <d v="2022-10-17T00:00:00"/>
    <d v="2022-10-17T00:00:00"/>
    <n v="22027458"/>
    <n v="2236328"/>
    <n v="1000853411"/>
    <s v="SOMA"/>
    <x v="43"/>
    <n v="0"/>
    <n v="1610"/>
    <n v="0"/>
    <n v="1610"/>
    <x v="1"/>
    <x v="6"/>
    <n v="0"/>
    <x v="13"/>
  </r>
  <r>
    <n v="3084"/>
    <s v=" CGHS CREDIT"/>
    <d v="2022-10-28T00:00:00"/>
    <x v="1"/>
    <d v="2022-10-28T00:00:00"/>
    <d v="2022-10-28T00:00:00"/>
    <n v="22028924"/>
    <n v="2237804"/>
    <n v="1001736024"/>
    <s v="RADHIKA"/>
    <x v="43"/>
    <n v="0"/>
    <n v="1610"/>
    <n v="0"/>
    <n v="1610"/>
    <x v="1"/>
    <x v="6"/>
    <n v="0"/>
    <x v="13"/>
  </r>
  <r>
    <n v="3085"/>
    <s v=" DAK DIALYSIS"/>
    <d v="2022-10-07T00:00:00"/>
    <x v="1"/>
    <d v="2022-10-07T00:00:00"/>
    <d v="2022-10-07T00:00:00"/>
    <n v="22026008"/>
    <n v="2235030"/>
    <n v="1001657236"/>
    <s v="RAM KUMAR SINGH"/>
    <x v="243"/>
    <n v="0"/>
    <n v="1274"/>
    <n v="0"/>
    <n v="1274"/>
    <x v="1"/>
    <x v="6"/>
    <n v="0"/>
    <x v="13"/>
  </r>
  <r>
    <n v="3086"/>
    <s v=" CGHS CREDIT"/>
    <d v="2022-10-19T00:00:00"/>
    <x v="1"/>
    <d v="2022-10-19T00:00:00"/>
    <d v="2022-10-19T00:00:00"/>
    <n v="22027771"/>
    <n v="2236663"/>
    <n v="1001803044"/>
    <s v="GOVIND SINGH"/>
    <x v="43"/>
    <n v="0"/>
    <n v="1610"/>
    <n v="0"/>
    <n v="1610"/>
    <x v="1"/>
    <x v="6"/>
    <n v="0"/>
    <x v="13"/>
  </r>
  <r>
    <n v="3087"/>
    <s v="CGHS ( CREDIT)"/>
    <d v="2022-10-29T00:00:00"/>
    <x v="1"/>
    <d v="2022-10-29T00:00:00"/>
    <d v="2022-10-29T00:00:00"/>
    <n v="22029068"/>
    <n v="2237958"/>
    <n v="10013514225"/>
    <s v="PUSHPA ARORA"/>
    <x v="43"/>
    <n v="0"/>
    <n v="1610"/>
    <n v="0"/>
    <n v="1610"/>
    <x v="1"/>
    <x v="6"/>
    <n v="0"/>
    <x v="13"/>
  </r>
  <r>
    <n v="3088"/>
    <s v=" DAK DIALYSIS"/>
    <d v="2022-10-07T00:00:00"/>
    <x v="1"/>
    <d v="2022-10-07T00:00:00"/>
    <d v="2022-10-07T00:00:00"/>
    <n v="22026045"/>
    <n v="2235070"/>
    <n v="1001677731"/>
    <s v="HIMANSHU GOYAL"/>
    <x v="243"/>
    <n v="0"/>
    <n v="1274"/>
    <n v="0"/>
    <n v="1274"/>
    <x v="1"/>
    <x v="6"/>
    <n v="0"/>
    <x v="13"/>
  </r>
  <r>
    <n v="3089"/>
    <s v="Delhi Arogya kosh"/>
    <d v="2022-10-08T00:00:00"/>
    <x v="1"/>
    <d v="2022-10-08T00:00:00"/>
    <d v="2022-10-08T00:00:00"/>
    <n v="22026213"/>
    <n v="2235210"/>
    <n v="10013387247"/>
    <s v="JANAKI PRASAD"/>
    <x v="243"/>
    <n v="0"/>
    <n v="1274"/>
    <n v="0"/>
    <n v="1274"/>
    <x v="1"/>
    <x v="6"/>
    <n v="0"/>
    <x v="13"/>
  </r>
  <r>
    <n v="3090"/>
    <s v="CGHS ( CREDIT)"/>
    <d v="2022-10-17T00:00:00"/>
    <x v="1"/>
    <d v="2022-10-17T00:00:00"/>
    <d v="2022-10-17T00:00:00"/>
    <n v="22027367"/>
    <n v="2236284"/>
    <n v="10013401847"/>
    <s v="TIRLOCHAN SINGH"/>
    <x v="43"/>
    <n v="0"/>
    <n v="1610"/>
    <n v="0"/>
    <n v="1610"/>
    <x v="1"/>
    <x v="6"/>
    <n v="0"/>
    <x v="13"/>
  </r>
  <r>
    <n v="3091"/>
    <s v="Delhi Arogya kosh"/>
    <d v="2022-10-11T00:00:00"/>
    <x v="1"/>
    <d v="2022-10-11T00:00:00"/>
    <d v="2022-10-11T00:00:00"/>
    <n v="22026645"/>
    <n v="2235608"/>
    <n v="10013316109"/>
    <s v="GAURAV PAWAR"/>
    <x v="243"/>
    <n v="0"/>
    <n v="1274"/>
    <n v="0"/>
    <n v="1274"/>
    <x v="1"/>
    <x v="6"/>
    <n v="0"/>
    <x v="13"/>
  </r>
  <r>
    <n v="3092"/>
    <s v=" DAK DIALYSIS"/>
    <d v="2022-10-29T00:00:00"/>
    <x v="1"/>
    <d v="2022-10-29T00:00:00"/>
    <d v="2022-10-29T00:00:00"/>
    <n v="22029104"/>
    <n v="2237982"/>
    <n v="1001712791"/>
    <s v="PAWAN SINGH"/>
    <x v="243"/>
    <n v="0"/>
    <n v="1274"/>
    <n v="0"/>
    <n v="1274"/>
    <x v="1"/>
    <x v="6"/>
    <n v="0"/>
    <x v="13"/>
  </r>
  <r>
    <n v="3093"/>
    <s v=" CGHS CREDIT"/>
    <d v="2022-10-12T00:00:00"/>
    <x v="1"/>
    <d v="2022-10-12T00:00:00"/>
    <d v="2022-10-12T00:00:00"/>
    <n v="22026664"/>
    <n v="2235657"/>
    <n v="1001722362"/>
    <s v="PAWANA DEVI"/>
    <x v="43"/>
    <n v="0"/>
    <n v="1610"/>
    <n v="0"/>
    <n v="1610"/>
    <x v="1"/>
    <x v="6"/>
    <n v="0"/>
    <x v="13"/>
  </r>
  <r>
    <n v="3094"/>
    <s v="Delhi Arogya kosh"/>
    <d v="2022-10-10T00:00:00"/>
    <x v="1"/>
    <d v="2022-10-10T00:00:00"/>
    <d v="2022-10-10T00:00:00"/>
    <n v="22026345"/>
    <n v="2235340"/>
    <n v="10013435866"/>
    <s v="SUSHIL KUMAR AGGARWAL"/>
    <x v="243"/>
    <n v="0"/>
    <n v="1274"/>
    <n v="0"/>
    <n v="1274"/>
    <x v="1"/>
    <x v="6"/>
    <n v="0"/>
    <x v="13"/>
  </r>
  <r>
    <n v="3095"/>
    <s v="STAR HEALTH CARE  (CREDIT)"/>
    <d v="2022-09-13T00:00:00"/>
    <x v="0"/>
    <d v="2022-10-03T00:00:00"/>
    <d v="2022-10-03T00:00:00"/>
    <n v="22025382"/>
    <n v="2231874"/>
    <n v="10013538492"/>
    <s v="BRIJ MOHAN"/>
    <x v="1585"/>
    <n v="82679"/>
    <n v="741196"/>
    <n v="741196"/>
    <n v="0"/>
    <x v="0"/>
    <x v="2"/>
    <n v="1"/>
    <x v="0"/>
  </r>
  <r>
    <n v="3096"/>
    <s v="HDFC ERGO General Insurance Co. Ltd."/>
    <d v="2022-10-17T00:00:00"/>
    <x v="1"/>
    <d v="2022-10-21T00:00:00"/>
    <d v="2022-10-21T00:00:00"/>
    <n v="22027988"/>
    <n v="2236398"/>
    <n v="10013543457"/>
    <s v="BALRAM KUMAR TAYAL"/>
    <x v="1586"/>
    <n v="0"/>
    <n v="56346"/>
    <n v="1500"/>
    <n v="54846"/>
    <x v="1"/>
    <x v="2"/>
    <n v="2.6621233095516984E-2"/>
    <x v="0"/>
  </r>
  <r>
    <n v="3097"/>
    <s v=" MUNICIPAL CORPORATION OF DELHI"/>
    <d v="2022-10-07T00:00:00"/>
    <x v="1"/>
    <d v="2022-10-21T00:00:00"/>
    <d v="2022-10-21T00:00:00"/>
    <n v="22028056"/>
    <n v="2235050"/>
    <n v="1001668190"/>
    <s v="BHAGWATI"/>
    <x v="1587"/>
    <n v="0"/>
    <n v="183425"/>
    <n v="183425"/>
    <n v="0"/>
    <x v="0"/>
    <x v="1"/>
    <n v="1"/>
    <x v="0"/>
  </r>
  <r>
    <n v="3098"/>
    <s v="GENERAL PATIENT"/>
    <d v="2022-10-26T00:00:00"/>
    <x v="1"/>
    <d v="2022-10-29T00:00:00"/>
    <d v="2022-10-29T00:00:00"/>
    <n v="22029023"/>
    <n v="2237458"/>
    <n v="10013351858"/>
    <s v="DR. DEVIKA JAIN"/>
    <x v="1588"/>
    <n v="14120"/>
    <n v="102631"/>
    <n v="102631"/>
    <n v="0"/>
    <x v="0"/>
    <x v="10"/>
    <n v="1"/>
    <x v="1"/>
  </r>
  <r>
    <n v="3099"/>
    <s v="GENERAL PATIENT"/>
    <d v="2022-10-26T00:00:00"/>
    <x v="1"/>
    <d v="2022-10-28T00:00:00"/>
    <d v="2022-10-28T00:00:00"/>
    <n v="22028880"/>
    <n v="2237468"/>
    <n v="1001282665"/>
    <s v="MANU BHARAJ"/>
    <x v="1589"/>
    <n v="11905"/>
    <n v="82347"/>
    <n v="82347"/>
    <n v="0"/>
    <x v="0"/>
    <x v="2"/>
    <n v="1"/>
    <x v="1"/>
  </r>
  <r>
    <n v="3100"/>
    <s v="DGHS (DELHI GOVT.)"/>
    <d v="2022-10-29T00:00:00"/>
    <x v="1"/>
    <d v="2022-10-31T00:00:00"/>
    <d v="2022-10-31T00:00:00"/>
    <n v="22029283"/>
    <n v="2237947"/>
    <n v="1001491537"/>
    <s v="NEENA CHANNA"/>
    <x v="1590"/>
    <n v="0"/>
    <n v="42974"/>
    <n v="1318"/>
    <n v="41656"/>
    <x v="1"/>
    <x v="0"/>
    <n v="3.0669707264857821E-2"/>
    <x v="0"/>
  </r>
  <r>
    <n v="3101"/>
    <s v="GENERAL PATIENT"/>
    <d v="2022-10-28T00:00:00"/>
    <x v="1"/>
    <d v="2022-10-31T00:00:00"/>
    <d v="2022-10-31T00:00:00"/>
    <n v="22029300"/>
    <n v="2237811"/>
    <n v="1001806811"/>
    <s v="POOJA FEMALE BABY MANGLA"/>
    <x v="1591"/>
    <n v="1898"/>
    <n v="13318"/>
    <n v="13318"/>
    <n v="0"/>
    <x v="0"/>
    <x v="0"/>
    <n v="1"/>
    <x v="3"/>
  </r>
  <r>
    <n v="3102"/>
    <s v="HARAYANA GOVT."/>
    <d v="2022-10-17T00:00:00"/>
    <x v="1"/>
    <d v="2022-10-20T00:00:00"/>
    <d v="2022-10-20T00:00:00"/>
    <n v="22027919"/>
    <n v="2236319"/>
    <n v="10013537330"/>
    <s v="SURENDER KUMAR"/>
    <x v="1592"/>
    <n v="0"/>
    <n v="78120"/>
    <n v="78120"/>
    <n v="0"/>
    <x v="0"/>
    <x v="0"/>
    <n v="1"/>
    <x v="5"/>
  </r>
  <r>
    <n v="3103"/>
    <s v="GENERAL PATIENT"/>
    <d v="2022-10-17T00:00:00"/>
    <x v="1"/>
    <d v="2022-10-17T00:00:00"/>
    <d v="2022-10-17T00:00:00"/>
    <n v="22027474"/>
    <n v="2236307"/>
    <n v="10013541286"/>
    <s v="MALTI DEVI"/>
    <x v="1593"/>
    <n v="35174"/>
    <n v="0"/>
    <n v="0"/>
    <n v="0"/>
    <x v="0"/>
    <x v="9"/>
    <e v="#DIV/0!"/>
    <x v="22"/>
  </r>
  <r>
    <n v="3104"/>
    <s v="VIDAL HEALTH INSURANCE LIMITED"/>
    <d v="2022-10-17T00:00:00"/>
    <x v="1"/>
    <d v="2022-10-17T00:00:00"/>
    <d v="2022-10-17T00:00:00"/>
    <n v="22027471"/>
    <n v="2236296"/>
    <n v="10013479174"/>
    <s v="PRAKASH"/>
    <x v="611"/>
    <n v="0"/>
    <n v="31525"/>
    <n v="7525"/>
    <n v="24000"/>
    <x v="1"/>
    <x v="12"/>
    <n v="0.23869944488501191"/>
    <x v="22"/>
  </r>
  <r>
    <n v="3105"/>
    <s v="M.C.D"/>
    <d v="2022-10-25T00:00:00"/>
    <x v="1"/>
    <d v="2022-10-27T00:00:00"/>
    <d v="2022-10-27T00:00:00"/>
    <n v="22028746"/>
    <n v="2237250"/>
    <n v="1001805993"/>
    <s v="SHALU MALE BABY 2ND"/>
    <x v="1594"/>
    <n v="0"/>
    <n v="10451"/>
    <n v="10451"/>
    <n v="0"/>
    <x v="0"/>
    <x v="0"/>
    <n v="1"/>
    <x v="3"/>
  </r>
  <r>
    <n v="3106"/>
    <s v="STAR HEALTH CARE  (CREDIT)"/>
    <d v="2022-10-12T00:00:00"/>
    <x v="1"/>
    <d v="2022-10-13T00:00:00"/>
    <d v="2022-10-13T00:00:00"/>
    <n v="22026864"/>
    <n v="2235701"/>
    <n v="1001580979"/>
    <s v="RAJINDER NATH DAHUJA"/>
    <x v="1595"/>
    <n v="0"/>
    <n v="261224"/>
    <n v="5340"/>
    <n v="255884"/>
    <x v="1"/>
    <x v="1"/>
    <n v="2.0442225829173429E-2"/>
    <x v="4"/>
  </r>
  <r>
    <n v="3107"/>
    <s v="MEDI ASSIST"/>
    <d v="2022-10-02T00:00:00"/>
    <x v="1"/>
    <d v="2022-10-04T00:00:00"/>
    <d v="2022-10-04T00:00:00"/>
    <n v="22025606"/>
    <n v="2234320"/>
    <n v="10013541239"/>
    <s v="VIJAY KUMAR BATRA"/>
    <x v="1596"/>
    <n v="23173"/>
    <n v="172116"/>
    <n v="42072"/>
    <n v="130044"/>
    <x v="1"/>
    <x v="3"/>
    <n v="0.24443979641637034"/>
    <x v="0"/>
  </r>
  <r>
    <n v="3108"/>
    <s v="CARE HEALTH INSURANCE LIMITED"/>
    <d v="2022-10-20T00:00:00"/>
    <x v="1"/>
    <d v="2022-10-22T00:00:00"/>
    <d v="2022-10-22T00:00:00"/>
    <n v="22028145"/>
    <n v="2236819"/>
    <n v="10013526168"/>
    <s v="KAMLESH UPADHYAY"/>
    <x v="1597"/>
    <n v="15148"/>
    <n v="92178"/>
    <n v="3026"/>
    <n v="89152"/>
    <x v="1"/>
    <x v="2"/>
    <n v="3.282778971121092E-2"/>
    <x v="11"/>
  </r>
  <r>
    <n v="3109"/>
    <s v="GENERAL PATIENT"/>
    <d v="2022-10-12T00:00:00"/>
    <x v="1"/>
    <d v="2022-10-14T00:00:00"/>
    <d v="2022-10-14T00:00:00"/>
    <n v="22027009"/>
    <n v="2235650"/>
    <n v="10013445946"/>
    <s v="SAHIBA DHAWAN"/>
    <x v="1598"/>
    <n v="12661"/>
    <n v="90314"/>
    <n v="90314"/>
    <n v="0"/>
    <x v="0"/>
    <x v="2"/>
    <n v="1"/>
    <x v="1"/>
  </r>
  <r>
    <n v="3110"/>
    <s v="STAR HEALTH CARE  (CREDIT)"/>
    <d v="2022-10-17T00:00:00"/>
    <x v="1"/>
    <d v="2022-10-21T00:00:00"/>
    <d v="2022-10-21T00:00:00"/>
    <n v="22027982"/>
    <n v="2236409"/>
    <n v="1001804922"/>
    <s v="ATHARV MAURYA"/>
    <x v="1599"/>
    <n v="10787"/>
    <n v="66852"/>
    <n v="4208"/>
    <n v="62644"/>
    <x v="1"/>
    <x v="2"/>
    <n v="6.2945012864237426E-2"/>
    <x v="3"/>
  </r>
  <r>
    <n v="3111"/>
    <s v="GENERAL PATIENT"/>
    <d v="2022-10-17T00:00:00"/>
    <x v="1"/>
    <d v="2022-10-22T00:00:00"/>
    <d v="2022-10-22T00:00:00"/>
    <n v="22028220"/>
    <n v="2236410"/>
    <n v="10013543455"/>
    <s v="HIMANSHU MISHRA"/>
    <x v="1600"/>
    <n v="58506"/>
    <n v="137644"/>
    <n v="137644"/>
    <n v="0"/>
    <x v="0"/>
    <x v="7"/>
    <n v="1"/>
    <x v="0"/>
  </r>
  <r>
    <n v="3112"/>
    <s v="VIPUL MED CORP PVT LTD"/>
    <d v="2022-10-05T00:00:00"/>
    <x v="1"/>
    <d v="2022-10-17T00:00:00"/>
    <d v="2022-10-17T00:00:00"/>
    <n v="22027444"/>
    <n v="2234796"/>
    <n v="10013541668"/>
    <s v="DAVESH MANI GAUTAM"/>
    <x v="1601"/>
    <n v="51653"/>
    <n v="339681"/>
    <n v="54568"/>
    <n v="285113"/>
    <x v="1"/>
    <x v="3"/>
    <n v="0.16064484030605186"/>
    <x v="0"/>
  </r>
  <r>
    <n v="3113"/>
    <s v="CGHS"/>
    <d v="2022-09-21T00:00:00"/>
    <x v="0"/>
    <d v="2022-10-07T00:00:00"/>
    <d v="2022-10-07T00:00:00"/>
    <n v="22025983"/>
    <n v="2232862"/>
    <n v="10013539726"/>
    <s v="GIAN CHAND YADAV"/>
    <x v="1602"/>
    <n v="0"/>
    <n v="214952"/>
    <n v="3257"/>
    <n v="211695"/>
    <x v="1"/>
    <x v="1"/>
    <n v="1.5152220030518441E-2"/>
    <x v="0"/>
  </r>
  <r>
    <n v="3114"/>
    <s v="GENERAL PATIENT"/>
    <d v="2022-10-07T00:00:00"/>
    <x v="1"/>
    <d v="2022-10-08T00:00:00"/>
    <d v="2022-10-08T00:00:00"/>
    <n v="22026119"/>
    <n v="2235002"/>
    <n v="1001284557"/>
    <s v="POOJA GUPTA"/>
    <x v="1603"/>
    <n v="4977"/>
    <n v="38613"/>
    <n v="38613"/>
    <n v="0"/>
    <x v="0"/>
    <x v="0"/>
    <n v="1"/>
    <x v="1"/>
  </r>
  <r>
    <n v="3115"/>
    <s v="MEDI ASSIST"/>
    <d v="2022-10-16T00:00:00"/>
    <x v="1"/>
    <d v="2022-10-27T00:00:00"/>
    <d v="2022-10-27T00:00:00"/>
    <n v="22028753"/>
    <n v="2236262"/>
    <n v="10013541686"/>
    <s v="CHANDNI"/>
    <x v="1604"/>
    <n v="16198"/>
    <n v="117389"/>
    <n v="1500"/>
    <n v="115889"/>
    <x v="1"/>
    <x v="3"/>
    <n v="1.2778028605746705E-2"/>
    <x v="0"/>
  </r>
  <r>
    <n v="3116"/>
    <s v="GENERAL PATIENT"/>
    <d v="2022-10-21T00:00:00"/>
    <x v="1"/>
    <d v="2022-10-21T00:00:00"/>
    <d v="2022-10-21T00:00:00"/>
    <n v="22028092"/>
    <n v="2236945"/>
    <n v="10013352607"/>
    <s v="SHRIKANT"/>
    <x v="73"/>
    <n v="308"/>
    <n v="2536"/>
    <n v="2536"/>
    <n v="0"/>
    <x v="0"/>
    <x v="6"/>
    <n v="1"/>
    <x v="13"/>
  </r>
  <r>
    <n v="3117"/>
    <s v="RAKSHA (TPA)"/>
    <d v="2022-10-13T00:00:00"/>
    <x v="1"/>
    <d v="2022-10-16T00:00:00"/>
    <d v="2022-10-16T00:00:00"/>
    <n v="22027311"/>
    <n v="2235857"/>
    <n v="1001804178"/>
    <s v="PRABJOT MALE BABY KAUR"/>
    <x v="1605"/>
    <n v="2998"/>
    <n v="19637"/>
    <n v="4448"/>
    <n v="15189"/>
    <x v="1"/>
    <x v="3"/>
    <n v="0.22651117787849467"/>
    <x v="3"/>
  </r>
  <r>
    <n v="3118"/>
    <s v="ICICI Lombard General Insurance"/>
    <d v="2022-10-17T00:00:00"/>
    <x v="1"/>
    <d v="2022-10-22T00:00:00"/>
    <d v="2022-10-22T00:00:00"/>
    <n v="22028157"/>
    <n v="2236422"/>
    <n v="10013543489"/>
    <s v="MEENAKSHI KAUSHIK"/>
    <x v="1606"/>
    <n v="3446"/>
    <n v="162032"/>
    <n v="11827"/>
    <n v="150205"/>
    <x v="1"/>
    <x v="1"/>
    <n v="7.2991754715117999E-2"/>
    <x v="0"/>
  </r>
  <r>
    <n v="3119"/>
    <s v="GENERAL PATIENT"/>
    <d v="2022-10-21T00:00:00"/>
    <x v="1"/>
    <d v="2022-10-22T00:00:00"/>
    <d v="2022-10-22T00:00:00"/>
    <n v="22028271"/>
    <n v="2236853"/>
    <n v="10013529861"/>
    <s v="NEHA GUPTA"/>
    <x v="1607"/>
    <n v="3874"/>
    <n v="24154"/>
    <n v="24154"/>
    <n v="0"/>
    <x v="0"/>
    <x v="1"/>
    <n v="1"/>
    <x v="0"/>
  </r>
  <r>
    <n v="3120"/>
    <s v="MEDI ASSIST"/>
    <d v="2022-10-12T00:00:00"/>
    <x v="1"/>
    <d v="2022-10-15T00:00:00"/>
    <d v="2022-10-15T00:00:00"/>
    <n v="22027180"/>
    <n v="2235661"/>
    <n v="10013523299"/>
    <s v="URVASHI JAIN"/>
    <x v="194"/>
    <n v="0"/>
    <n v="70925"/>
    <n v="3364"/>
    <n v="67561"/>
    <x v="1"/>
    <x v="2"/>
    <n v="4.7430384208671128E-2"/>
    <x v="1"/>
  </r>
  <r>
    <n v="3121"/>
    <s v="VIPUL MED CORP PVT LTD"/>
    <d v="2022-10-18T00:00:00"/>
    <x v="1"/>
    <d v="2022-10-21T00:00:00"/>
    <d v="2022-10-21T00:00:00"/>
    <n v="22027998"/>
    <n v="2236515"/>
    <n v="1001460445"/>
    <s v="SANJIV KUMAR SACHDEVA"/>
    <x v="1608"/>
    <n v="1589"/>
    <n v="162488"/>
    <n v="9235"/>
    <n v="153253"/>
    <x v="1"/>
    <x v="5"/>
    <n v="5.6834966274432575E-2"/>
    <x v="16"/>
  </r>
  <r>
    <n v="3122"/>
    <s v="GENERAL PATIENT"/>
    <d v="2022-10-17T00:00:00"/>
    <x v="1"/>
    <d v="2022-10-21T00:00:00"/>
    <d v="2022-10-21T00:00:00"/>
    <n v="22027962"/>
    <n v="2236265"/>
    <n v="10013543306"/>
    <s v="SANTOSH BANSAL"/>
    <x v="1609"/>
    <n v="44499"/>
    <n v="212229"/>
    <n v="212229"/>
    <n v="0"/>
    <x v="0"/>
    <x v="8"/>
    <n v="1"/>
    <x v="0"/>
  </r>
  <r>
    <n v="3123"/>
    <s v="GENERAL PATIENT"/>
    <d v="2022-10-19T00:00:00"/>
    <x v="1"/>
    <d v="2022-10-25T00:00:00"/>
    <d v="2022-10-25T00:00:00"/>
    <n v="22028494"/>
    <n v="2236708"/>
    <n v="10013543798"/>
    <s v="VIPIN"/>
    <x v="1610"/>
    <n v="14370"/>
    <n v="94301"/>
    <n v="94301"/>
    <n v="0"/>
    <x v="0"/>
    <x v="1"/>
    <n v="1"/>
    <x v="2"/>
  </r>
  <r>
    <n v="3124"/>
    <s v=" CGHS CREDIT"/>
    <d v="2022-09-29T00:00:00"/>
    <x v="0"/>
    <d v="2022-10-14T00:00:00"/>
    <d v="2022-10-14T00:00:00"/>
    <n v="22027033"/>
    <n v="2233942"/>
    <n v="1001801510"/>
    <s v="SHAKUNTLA SHARMA"/>
    <x v="1611"/>
    <n v="0"/>
    <n v="126387"/>
    <n v="6724"/>
    <n v="119663"/>
    <x v="1"/>
    <x v="1"/>
    <n v="5.3201674222823549E-2"/>
    <x v="0"/>
  </r>
  <r>
    <n v="3125"/>
    <s v="BSNL(Bharat Sanchar Nigam Ltd.)"/>
    <d v="2022-10-10T00:00:00"/>
    <x v="1"/>
    <d v="2022-10-11T00:00:00"/>
    <d v="2022-10-11T00:00:00"/>
    <n v="22026507"/>
    <n v="2235354"/>
    <n v="10013538704"/>
    <s v="GAURAV"/>
    <x v="1612"/>
    <n v="0"/>
    <n v="21821"/>
    <n v="21821"/>
    <n v="0"/>
    <x v="0"/>
    <x v="0"/>
    <n v="1"/>
    <x v="11"/>
  </r>
  <r>
    <n v="3126"/>
    <s v="CARE HEALTH INSURANCE LIMITED"/>
    <d v="2022-10-10T00:00:00"/>
    <x v="1"/>
    <d v="2022-10-16T00:00:00"/>
    <d v="2022-10-16T00:00:00"/>
    <n v="22027333"/>
    <n v="2235355"/>
    <n v="10013542272"/>
    <s v="NARINDER KUMAR CHOPRA"/>
    <x v="1613"/>
    <n v="22379"/>
    <n v="188222"/>
    <n v="38844"/>
    <n v="149378"/>
    <x v="1"/>
    <x v="1"/>
    <n v="0.20637332511608633"/>
    <x v="0"/>
  </r>
  <r>
    <n v="3127"/>
    <s v="PARK MED CLAIM LTD"/>
    <d v="2022-10-10T00:00:00"/>
    <x v="1"/>
    <d v="2022-10-10T00:00:00"/>
    <d v="2022-10-10T00:00:00"/>
    <n v="22026424"/>
    <n v="2235382"/>
    <n v="10013542281"/>
    <s v="GOPAL BANSAL"/>
    <x v="11"/>
    <n v="0"/>
    <n v="22500"/>
    <n v="3600"/>
    <n v="18900"/>
    <x v="1"/>
    <x v="4"/>
    <n v="0.16"/>
    <x v="4"/>
  </r>
  <r>
    <n v="3128"/>
    <s v="INDIAN OIL CORP. LTD"/>
    <d v="2022-10-11T00:00:00"/>
    <x v="1"/>
    <d v="2022-10-13T00:00:00"/>
    <d v="2022-10-13T00:00:00"/>
    <n v="22026937"/>
    <n v="2235572"/>
    <n v="1001803793"/>
    <s v="NISHA FEMALE BABY PAL"/>
    <x v="1614"/>
    <n v="1368"/>
    <n v="9764"/>
    <n v="0"/>
    <n v="9764"/>
    <x v="1"/>
    <x v="0"/>
    <n v="0"/>
    <x v="3"/>
  </r>
  <r>
    <n v="3129"/>
    <s v="STAR HEALTH CARE  (CREDIT)"/>
    <d v="2022-10-25T00:00:00"/>
    <x v="1"/>
    <d v="2022-10-27T00:00:00"/>
    <d v="2022-10-27T00:00:00"/>
    <n v="22028755"/>
    <n v="2237414"/>
    <n v="10013544476"/>
    <s v="VED MALHOTRA"/>
    <x v="1595"/>
    <n v="0"/>
    <n v="261224"/>
    <n v="54500"/>
    <n v="206724"/>
    <x v="1"/>
    <x v="1"/>
    <n v="0.20863320368725691"/>
    <x v="4"/>
  </r>
  <r>
    <n v="3130"/>
    <s v="STAR HEALTH CARE  (CREDIT)"/>
    <d v="2022-10-22T00:00:00"/>
    <x v="1"/>
    <d v="2022-10-27T00:00:00"/>
    <d v="2022-10-27T00:00:00"/>
    <n v="22028734"/>
    <n v="2237086"/>
    <n v="10013544186"/>
    <s v="BABY OF ANKITA KAUSHIK"/>
    <x v="1615"/>
    <n v="15135"/>
    <n v="94158"/>
    <n v="4919"/>
    <n v="89239"/>
    <x v="1"/>
    <x v="1"/>
    <n v="5.2241976252681663E-2"/>
    <x v="3"/>
  </r>
  <r>
    <n v="3131"/>
    <s v="CARE HEALTH INSURANCE LIMITED"/>
    <d v="2022-10-26T00:00:00"/>
    <x v="1"/>
    <d v="2022-10-28T00:00:00"/>
    <d v="2022-10-28T00:00:00"/>
    <n v="22028891"/>
    <n v="2237495"/>
    <n v="1001806344"/>
    <s v="JUHI MALE BABY UPADHYAY"/>
    <x v="1616"/>
    <n v="0"/>
    <n v="6858"/>
    <n v="6858"/>
    <n v="0"/>
    <x v="0"/>
    <x v="1"/>
    <n v="1"/>
    <x v="3"/>
  </r>
  <r>
    <n v="3132"/>
    <s v="GENERAL PATIENT"/>
    <d v="2022-10-30T00:00:00"/>
    <x v="1"/>
    <d v="2022-10-30T00:00:00"/>
    <d v="2022-10-30T00:00:00"/>
    <n v="22029211"/>
    <n v="2238073"/>
    <n v="10013545195"/>
    <s v="RACHNA SHARMA"/>
    <x v="19"/>
    <n v="0"/>
    <n v="14000"/>
    <n v="14000"/>
    <n v="0"/>
    <x v="0"/>
    <x v="6"/>
    <n v="1"/>
    <x v="4"/>
  </r>
  <r>
    <n v="3133"/>
    <s v="GENERAL PATIENT"/>
    <d v="2022-10-19T00:00:00"/>
    <x v="1"/>
    <d v="2022-10-19T00:00:00"/>
    <d v="2022-10-19T00:00:00"/>
    <n v="22027724"/>
    <n v="2236637"/>
    <n v="10013542866"/>
    <s v="SAROJ MADAN"/>
    <x v="45"/>
    <n v="413"/>
    <n v="4577"/>
    <n v="4577"/>
    <n v="0"/>
    <x v="0"/>
    <x v="6"/>
    <n v="1"/>
    <x v="13"/>
  </r>
  <r>
    <n v="3134"/>
    <s v="GENERAL PATIENT"/>
    <d v="2022-10-04T00:00:00"/>
    <x v="1"/>
    <d v="2022-10-04T00:00:00"/>
    <d v="2022-10-04T00:00:00"/>
    <n v="22025597"/>
    <n v="2234554"/>
    <n v="1001802390"/>
    <s v="MUKESH KUMAR"/>
    <x v="19"/>
    <n v="2350"/>
    <n v="11650"/>
    <n v="11650"/>
    <n v="0"/>
    <x v="0"/>
    <x v="7"/>
    <n v="1"/>
    <x v="4"/>
  </r>
  <r>
    <n v="3135"/>
    <s v="Paramount Health Services (TPA) Private Limited"/>
    <d v="2022-10-19T00:00:00"/>
    <x v="1"/>
    <d v="2022-10-23T00:00:00"/>
    <d v="2022-10-23T00:00:00"/>
    <n v="22028336"/>
    <n v="2236688"/>
    <n v="10013543783"/>
    <s v="PURINDER CHAWLA"/>
    <x v="1617"/>
    <n v="6762"/>
    <n v="47719"/>
    <n v="2654"/>
    <n v="45065"/>
    <x v="1"/>
    <x v="3"/>
    <n v="5.5617259372576958E-2"/>
    <x v="0"/>
  </r>
  <r>
    <n v="3136"/>
    <s v="GENERAL PATIENT"/>
    <d v="2022-10-20T00:00:00"/>
    <x v="1"/>
    <d v="2022-10-23T00:00:00"/>
    <d v="2022-10-23T00:00:00"/>
    <n v="22028377"/>
    <n v="2236719"/>
    <n v="10013410071"/>
    <s v="GEETA"/>
    <x v="1618"/>
    <n v="9289"/>
    <n v="67424"/>
    <n v="67424"/>
    <n v="0"/>
    <x v="0"/>
    <x v="1"/>
    <n v="1"/>
    <x v="0"/>
  </r>
  <r>
    <n v="3137"/>
    <s v="GENERAL PATIENT"/>
    <d v="2022-10-17T00:00:00"/>
    <x v="1"/>
    <d v="2022-10-20T00:00:00"/>
    <d v="2022-10-20T00:00:00"/>
    <n v="22027845"/>
    <n v="2236317"/>
    <n v="1001804747"/>
    <s v="MOHAN LAL"/>
    <x v="1619"/>
    <n v="8021"/>
    <n v="57075"/>
    <n v="57075"/>
    <n v="0"/>
    <x v="0"/>
    <x v="1"/>
    <n v="1"/>
    <x v="0"/>
  </r>
  <r>
    <n v="3138"/>
    <s v=" STAR HEALTH TPA"/>
    <d v="2022-10-17T00:00:00"/>
    <x v="1"/>
    <d v="2022-10-22T00:00:00"/>
    <d v="2022-10-22T00:00:00"/>
    <n v="22028195"/>
    <n v="2236353"/>
    <n v="1001281969"/>
    <s v="ASHISH INDORA"/>
    <x v="1620"/>
    <n v="9779"/>
    <n v="84447"/>
    <n v="2897"/>
    <n v="81550"/>
    <x v="1"/>
    <x v="2"/>
    <n v="3.4305540753371937E-2"/>
    <x v="0"/>
  </r>
  <r>
    <n v="3139"/>
    <s v="Paramount Health Services (TPA) Private Limited"/>
    <d v="2022-10-09T00:00:00"/>
    <x v="1"/>
    <d v="2022-10-11T00:00:00"/>
    <d v="2022-10-11T00:00:00"/>
    <n v="22026526"/>
    <n v="2235279"/>
    <n v="1001356066"/>
    <s v="MAMTA"/>
    <x v="1621"/>
    <n v="0"/>
    <n v="53300"/>
    <n v="3300"/>
    <n v="50000"/>
    <x v="1"/>
    <x v="3"/>
    <n v="6.1913696060037521E-2"/>
    <x v="1"/>
  </r>
  <r>
    <n v="3140"/>
    <s v="Heritage Health TPA Private Limited"/>
    <d v="2022-10-07T00:00:00"/>
    <x v="1"/>
    <d v="2022-10-11T00:00:00"/>
    <d v="2022-10-11T00:00:00"/>
    <n v="22026519"/>
    <n v="2235108"/>
    <n v="10013542094"/>
    <s v="HIMANSHU KUMAR"/>
    <x v="1622"/>
    <n v="0"/>
    <n v="62827"/>
    <n v="6856"/>
    <n v="55971"/>
    <x v="1"/>
    <x v="3"/>
    <n v="0.10912505769812342"/>
    <x v="0"/>
  </r>
  <r>
    <n v="3141"/>
    <s v="GENERAL PATIENT"/>
    <d v="2022-10-07T00:00:00"/>
    <x v="1"/>
    <d v="2022-10-13T00:00:00"/>
    <d v="2022-10-13T00:00:00"/>
    <n v="22026903"/>
    <n v="2235076"/>
    <n v="10013542070"/>
    <s v="SARWAN SINGH"/>
    <x v="1623"/>
    <n v="3266"/>
    <n v="119277"/>
    <n v="119277"/>
    <n v="0"/>
    <x v="0"/>
    <x v="21"/>
    <n v="1"/>
    <x v="3"/>
  </r>
  <r>
    <n v="3142"/>
    <s v="GENERAL PATIENT"/>
    <d v="2022-10-11T00:00:00"/>
    <x v="1"/>
    <d v="2022-10-17T00:00:00"/>
    <d v="2022-10-17T00:00:00"/>
    <n v="22027356"/>
    <n v="2235612"/>
    <n v="1001803819"/>
    <s v="BHUVIK"/>
    <x v="1624"/>
    <n v="16997"/>
    <n v="106200"/>
    <n v="106200"/>
    <n v="0"/>
    <x v="0"/>
    <x v="2"/>
    <n v="1"/>
    <x v="3"/>
  </r>
  <r>
    <n v="3143"/>
    <s v="GENERAL PATIENT"/>
    <d v="2022-10-20T00:00:00"/>
    <x v="1"/>
    <d v="2022-10-27T00:00:00"/>
    <d v="2022-10-27T00:00:00"/>
    <n v="22028762"/>
    <n v="2236793"/>
    <n v="10013543901"/>
    <s v="CHAMPA"/>
    <x v="1625"/>
    <n v="95802"/>
    <n v="0"/>
    <n v="0"/>
    <n v="0"/>
    <x v="0"/>
    <x v="9"/>
    <e v="#DIV/0!"/>
    <x v="0"/>
  </r>
  <r>
    <n v="3144"/>
    <s v="GENERAL PATIENT"/>
    <d v="2022-10-29T00:00:00"/>
    <x v="1"/>
    <d v="2022-10-29T00:00:00"/>
    <d v="2022-10-29T00:00:00"/>
    <n v="22029109"/>
    <n v="2237971"/>
    <n v="10013526375"/>
    <s v="BIRBHAN GARG"/>
    <x v="45"/>
    <n v="433"/>
    <n v="4557"/>
    <n v="4557"/>
    <n v="0"/>
    <x v="0"/>
    <x v="6"/>
    <n v="1"/>
    <x v="13"/>
  </r>
  <r>
    <n v="3145"/>
    <s v=" CGHS Cash"/>
    <d v="2022-10-25T00:00:00"/>
    <x v="1"/>
    <d v="2022-10-25T00:00:00"/>
    <d v="2022-10-25T00:00:00"/>
    <n v="22028515"/>
    <n v="2237325"/>
    <n v="1001755099"/>
    <s v="SUSHILA DEVI"/>
    <x v="137"/>
    <n v="0"/>
    <n v="2560"/>
    <n v="2560"/>
    <n v="0"/>
    <x v="0"/>
    <x v="6"/>
    <n v="1"/>
    <x v="13"/>
  </r>
  <r>
    <n v="3146"/>
    <s v="RAKSHA (TPA)"/>
    <d v="2022-10-27T00:00:00"/>
    <x v="1"/>
    <d v="2022-10-29T00:00:00"/>
    <d v="2022-10-29T00:00:00"/>
    <n v="22029067"/>
    <n v="2237664"/>
    <n v="1001342779"/>
    <s v="MUSKAN NAGPAL"/>
    <x v="1626"/>
    <n v="4851"/>
    <n v="29452"/>
    <n v="2478"/>
    <n v="26974"/>
    <x v="1"/>
    <x v="5"/>
    <n v="8.4136900719815291E-2"/>
    <x v="0"/>
  </r>
  <r>
    <n v="3147"/>
    <s v="Staff DEPENDENT"/>
    <d v="2022-10-23T00:00:00"/>
    <x v="1"/>
    <d v="2022-10-27T00:00:00"/>
    <d v="2022-10-27T00:00:00"/>
    <n v="22028709"/>
    <n v="2237138"/>
    <n v="1001722760"/>
    <s v="HARSHVARDHAN"/>
    <x v="1627"/>
    <n v="85175"/>
    <n v="0"/>
    <n v="0"/>
    <n v="0"/>
    <x v="0"/>
    <x v="9"/>
    <e v="#DIV/0!"/>
    <x v="3"/>
  </r>
  <r>
    <n v="3148"/>
    <s v="GENERAL PATIENT"/>
    <d v="2022-10-03T00:00:00"/>
    <x v="1"/>
    <d v="2022-10-05T00:00:00"/>
    <d v="2022-10-05T00:00:00"/>
    <n v="22025686"/>
    <n v="2234383"/>
    <n v="10013537349"/>
    <s v="MEENU GOYAL"/>
    <x v="1628"/>
    <n v="15895"/>
    <n v="80573"/>
    <n v="80573"/>
    <n v="0"/>
    <x v="0"/>
    <x v="2"/>
    <n v="1"/>
    <x v="1"/>
  </r>
  <r>
    <n v="3149"/>
    <s v="STAR HEALTH CARE  (CREDIT)"/>
    <d v="2022-10-03T00:00:00"/>
    <x v="1"/>
    <d v="2022-10-21T00:00:00"/>
    <d v="2022-10-21T00:00:00"/>
    <n v="22028086"/>
    <n v="2234463"/>
    <n v="10013541411"/>
    <s v="GAUTAM GUPTA"/>
    <x v="1629"/>
    <n v="78486"/>
    <n v="834497"/>
    <n v="26428"/>
    <n v="808069"/>
    <x v="1"/>
    <x v="2"/>
    <n v="3.1669376882121805E-2"/>
    <x v="16"/>
  </r>
  <r>
    <n v="3150"/>
    <s v="DGHS (DELHI GOVT.)"/>
    <d v="2022-10-20T00:00:00"/>
    <x v="1"/>
    <d v="2022-10-22T00:00:00"/>
    <d v="2022-10-22T00:00:00"/>
    <n v="22028287"/>
    <n v="2236799"/>
    <n v="1001169527"/>
    <s v="SEJAL"/>
    <x v="1630"/>
    <n v="0"/>
    <n v="25490"/>
    <n v="25490"/>
    <n v="0"/>
    <x v="0"/>
    <x v="0"/>
    <n v="1"/>
    <x v="12"/>
  </r>
  <r>
    <n v="3151"/>
    <s v="Health Insurance TPA of India Ltd."/>
    <d v="2022-10-14T00:00:00"/>
    <x v="1"/>
    <d v="2022-10-26T00:00:00"/>
    <d v="2022-10-26T00:00:00"/>
    <n v="22028665"/>
    <n v="2236061"/>
    <n v="1001131556"/>
    <s v="PARKASH CHAND"/>
    <x v="1631"/>
    <n v="0"/>
    <n v="800178"/>
    <n v="300178"/>
    <n v="500000"/>
    <x v="1"/>
    <x v="3"/>
    <n v="0.37513903156547668"/>
    <x v="12"/>
  </r>
  <r>
    <n v="3152"/>
    <s v="Heritage Health TPA Private Limited"/>
    <d v="2022-10-25T00:00:00"/>
    <x v="1"/>
    <d v="2022-10-26T00:00:00"/>
    <d v="2022-10-26T00:00:00"/>
    <n v="22028602"/>
    <n v="2237272"/>
    <n v="10013544340"/>
    <s v="SUNITA DUA"/>
    <x v="55"/>
    <n v="0"/>
    <n v="238169"/>
    <n v="42750"/>
    <n v="195419"/>
    <x v="1"/>
    <x v="4"/>
    <n v="0.17949439263716102"/>
    <x v="4"/>
  </r>
  <r>
    <n v="3153"/>
    <s v=" DGEHS (CASH)"/>
    <d v="2022-10-05T00:00:00"/>
    <x v="1"/>
    <d v="2022-10-05T00:00:00"/>
    <d v="2022-10-05T00:00:00"/>
    <n v="22025767"/>
    <n v="2234764"/>
    <n v="1001753780"/>
    <s v="DAU DAYAL VARSHNEY"/>
    <x v="137"/>
    <n v="0"/>
    <n v="2560"/>
    <n v="2560"/>
    <n v="0"/>
    <x v="0"/>
    <x v="6"/>
    <n v="1"/>
    <x v="13"/>
  </r>
  <r>
    <n v="3154"/>
    <s v="MD INDIA TPA PVT.LTD."/>
    <d v="2022-10-29T00:00:00"/>
    <x v="1"/>
    <d v="2022-10-29T00:00:00"/>
    <d v="2022-10-29T00:00:00"/>
    <n v="22029135"/>
    <n v="2237984"/>
    <n v="1001019251"/>
    <s v="SATYA PAL"/>
    <x v="11"/>
    <n v="0"/>
    <n v="22500"/>
    <n v="6750"/>
    <n v="15750"/>
    <x v="1"/>
    <x v="4"/>
    <n v="0.3"/>
    <x v="4"/>
  </r>
  <r>
    <n v="3155"/>
    <s v="IFFCO TOKIO GENERAL INSURANCE COMPANY LIMITED"/>
    <d v="2022-10-26T00:00:00"/>
    <x v="1"/>
    <d v="2022-10-30T00:00:00"/>
    <d v="2022-10-30T00:00:00"/>
    <n v="22029178"/>
    <n v="2237547"/>
    <n v="1001806412"/>
    <s v="GEETANSH BANSAL"/>
    <x v="1632"/>
    <n v="10499"/>
    <n v="68998"/>
    <n v="2505"/>
    <n v="66493"/>
    <x v="1"/>
    <x v="1"/>
    <n v="3.6305400156526273E-2"/>
    <x v="3"/>
  </r>
  <r>
    <n v="3156"/>
    <s v="GENERAL PATIENT"/>
    <d v="2022-10-26T00:00:00"/>
    <x v="1"/>
    <d v="2022-10-30T00:00:00"/>
    <d v="2022-10-30T00:00:00"/>
    <n v="22029195"/>
    <n v="2237549"/>
    <n v="10013544637"/>
    <s v="KANISHKA SHARMA"/>
    <x v="1633"/>
    <n v="6853"/>
    <n v="48365"/>
    <n v="48365"/>
    <n v="0"/>
    <x v="0"/>
    <x v="1"/>
    <n v="1"/>
    <x v="0"/>
  </r>
  <r>
    <n v="3157"/>
    <s v="GENERAL PATIENT"/>
    <d v="2022-10-29T00:00:00"/>
    <x v="1"/>
    <d v="2022-10-30T00:00:00"/>
    <d v="2022-10-30T00:00:00"/>
    <n v="22029205"/>
    <n v="2237937"/>
    <n v="10013542742"/>
    <s v="RAGINI GUPTA"/>
    <x v="1634"/>
    <n v="12255"/>
    <n v="76575"/>
    <n v="76575"/>
    <n v="0"/>
    <x v="0"/>
    <x v="1"/>
    <n v="1"/>
    <x v="11"/>
  </r>
  <r>
    <n v="3158"/>
    <s v=" CENTRAL BOARD OF SECONDARY EDUCATION"/>
    <d v="2022-10-26T00:00:00"/>
    <x v="1"/>
    <d v="2022-10-29T00:00:00"/>
    <d v="2022-10-29T00:00:00"/>
    <n v="22029121"/>
    <n v="2237518"/>
    <n v="1001570412"/>
    <s v="FAQIR CHAND"/>
    <x v="1635"/>
    <n v="0"/>
    <n v="52996"/>
    <n v="52996"/>
    <n v="0"/>
    <x v="0"/>
    <x v="0"/>
    <n v="1"/>
    <x v="14"/>
  </r>
  <r>
    <n v="3159"/>
    <s v="GENERAL PATIENT"/>
    <d v="2022-10-12T00:00:00"/>
    <x v="1"/>
    <d v="2022-10-14T00:00:00"/>
    <d v="2022-10-14T00:00:00"/>
    <n v="22027016"/>
    <n v="2235682"/>
    <n v="1001803940"/>
    <s v="POOJA FEMALE BABY-1"/>
    <x v="1636"/>
    <n v="5175"/>
    <n v="24998"/>
    <n v="24998"/>
    <n v="0"/>
    <x v="0"/>
    <x v="1"/>
    <n v="1"/>
    <x v="3"/>
  </r>
  <r>
    <n v="3160"/>
    <s v="GENERAL PATIENT"/>
    <d v="2022-10-17T00:00:00"/>
    <x v="1"/>
    <d v="2022-10-17T00:00:00"/>
    <d v="2022-10-17T00:00:00"/>
    <n v="22027495"/>
    <n v="2236379"/>
    <n v="1000891310"/>
    <s v="MUKESH"/>
    <x v="447"/>
    <n v="3319"/>
    <n v="0"/>
    <n v="0"/>
    <n v="0"/>
    <x v="0"/>
    <x v="9"/>
    <e v="#DIV/0!"/>
    <x v="13"/>
  </r>
  <r>
    <n v="3161"/>
    <s v="GENERAL PATIENT"/>
    <d v="2022-10-14T00:00:00"/>
    <x v="1"/>
    <d v="2022-10-21T00:00:00"/>
    <d v="2022-10-21T00:00:00"/>
    <n v="22028044"/>
    <n v="2236028"/>
    <n v="10013543056"/>
    <s v="SUNITA AGARWAL"/>
    <x v="1637"/>
    <n v="21782"/>
    <n v="144377"/>
    <n v="144377"/>
    <n v="0"/>
    <x v="0"/>
    <x v="0"/>
    <n v="1"/>
    <x v="9"/>
  </r>
  <r>
    <n v="3162"/>
    <s v="GENERAL PATIENT"/>
    <d v="2022-10-29T00:00:00"/>
    <x v="1"/>
    <d v="2022-10-30T00:00:00"/>
    <d v="2022-10-30T00:00:00"/>
    <n v="22029192"/>
    <n v="2237985"/>
    <n v="1001807018"/>
    <s v="EKTA MALE BABY  SAINI"/>
    <x v="1638"/>
    <n v="1352"/>
    <n v="7806"/>
    <n v="7806"/>
    <n v="0"/>
    <x v="0"/>
    <x v="2"/>
    <n v="1"/>
    <x v="3"/>
  </r>
  <r>
    <n v="3163"/>
    <s v="STAFF"/>
    <d v="2022-10-28T00:00:00"/>
    <x v="1"/>
    <d v="2022-10-30T00:00:00"/>
    <d v="2022-10-30T00:00:00"/>
    <n v="22029225"/>
    <n v="2237792"/>
    <n v="1001326111"/>
    <s v="JYOTI"/>
    <x v="1639"/>
    <n v="61342"/>
    <n v="0"/>
    <n v="0"/>
    <n v="0"/>
    <x v="0"/>
    <x v="1"/>
    <e v="#DIV/0!"/>
    <x v="1"/>
  </r>
  <r>
    <n v="3164"/>
    <s v="CARE HEALTH INSURANCE LIMITED"/>
    <d v="2022-09-28T00:00:00"/>
    <x v="0"/>
    <d v="2022-10-01T00:00:00"/>
    <d v="2022-10-01T00:00:00"/>
    <n v="22025139"/>
    <n v="2233779"/>
    <n v="10013540570"/>
    <s v="NIRMALA DEVI"/>
    <x v="1640"/>
    <n v="0"/>
    <n v="128268"/>
    <n v="1500"/>
    <n v="126768"/>
    <x v="1"/>
    <x v="1"/>
    <n v="1.169426513237908E-2"/>
    <x v="11"/>
  </r>
  <r>
    <n v="3165"/>
    <s v=" Paramount Health Services and Insurance TPA Pvt.Ltd."/>
    <d v="2022-10-12T00:00:00"/>
    <x v="1"/>
    <d v="2022-10-13T00:00:00"/>
    <d v="2022-10-13T00:00:00"/>
    <n v="22026932"/>
    <n v="2235735"/>
    <n v="1001798133"/>
    <s v="MALE BABY OF MANJU RANI"/>
    <x v="1641"/>
    <n v="0"/>
    <n v="5627"/>
    <n v="5627"/>
    <n v="0"/>
    <x v="0"/>
    <x v="3"/>
    <n v="1"/>
    <x v="3"/>
  </r>
  <r>
    <n v="3166"/>
    <s v=" Paramount Health Services and Insurance TPA Pvt.Ltd."/>
    <d v="2022-10-05T00:00:00"/>
    <x v="1"/>
    <d v="2022-10-09T00:00:00"/>
    <d v="2022-10-09T00:00:00"/>
    <n v="22026287"/>
    <n v="2234730"/>
    <n v="1001551031"/>
    <s v="KANVI AGGARWAL"/>
    <x v="1642"/>
    <n v="2250"/>
    <n v="45033"/>
    <n v="2070"/>
    <n v="42963"/>
    <x v="1"/>
    <x v="1"/>
    <n v="4.59662913863167E-2"/>
    <x v="3"/>
  </r>
  <r>
    <n v="3167"/>
    <s v="DDA"/>
    <d v="2022-10-08T00:00:00"/>
    <x v="1"/>
    <d v="2022-10-12T00:00:00"/>
    <d v="2022-10-12T00:00:00"/>
    <n v="22026801"/>
    <n v="2235231"/>
    <n v="10013542235"/>
    <s v="SHEELA"/>
    <x v="1643"/>
    <n v="0"/>
    <n v="162494"/>
    <n v="162494"/>
    <n v="0"/>
    <x v="0"/>
    <x v="1"/>
    <n v="1"/>
    <x v="0"/>
  </r>
  <r>
    <n v="3168"/>
    <s v="CGHS"/>
    <d v="2022-10-28T00:00:00"/>
    <x v="1"/>
    <d v="2022-10-31T00:00:00"/>
    <d v="2022-10-31T00:00:00"/>
    <n v="22029307"/>
    <n v="2237782"/>
    <n v="10013328012"/>
    <s v="RAGHU NANDEN"/>
    <x v="1644"/>
    <n v="0"/>
    <n v="13642"/>
    <n v="13642"/>
    <n v="0"/>
    <x v="0"/>
    <x v="0"/>
    <n v="1"/>
    <x v="11"/>
  </r>
  <r>
    <n v="3169"/>
    <s v="GENERAL PATIENT"/>
    <d v="2022-10-07T00:00:00"/>
    <x v="1"/>
    <d v="2022-10-11T00:00:00"/>
    <d v="2022-10-11T00:00:00"/>
    <n v="22026527"/>
    <n v="2235023"/>
    <n v="1001802585"/>
    <s v="PHUNASHOK NGALASEM"/>
    <x v="1645"/>
    <n v="5000"/>
    <n v="43939"/>
    <n v="43939"/>
    <n v="0"/>
    <x v="0"/>
    <x v="1"/>
    <n v="1"/>
    <x v="0"/>
  </r>
  <r>
    <n v="3170"/>
    <s v="GENERAL PATIENT"/>
    <d v="2022-10-15T00:00:00"/>
    <x v="1"/>
    <d v="2022-10-18T00:00:00"/>
    <d v="2022-10-18T00:00:00"/>
    <n v="22027567"/>
    <n v="2236203"/>
    <n v="10013541596"/>
    <s v="RAMSARAN"/>
    <x v="1646"/>
    <n v="3665"/>
    <n v="25127"/>
    <n v="25127"/>
    <n v="0"/>
    <x v="0"/>
    <x v="7"/>
    <n v="1"/>
    <x v="10"/>
  </r>
  <r>
    <n v="3171"/>
    <s v="NIVA BUPA"/>
    <d v="2022-10-14T00:00:00"/>
    <x v="1"/>
    <d v="2022-10-18T00:00:00"/>
    <d v="2022-10-18T00:00:00"/>
    <n v="22027563"/>
    <n v="2236062"/>
    <n v="10013543079"/>
    <s v="SUMIT SHARMA"/>
    <x v="1647"/>
    <n v="5095"/>
    <n v="51606"/>
    <n v="1850"/>
    <n v="49756"/>
    <x v="1"/>
    <x v="0"/>
    <n v="3.584854474285936E-2"/>
    <x v="0"/>
  </r>
  <r>
    <n v="3172"/>
    <s v="INDIAN OIL CORP. LTD"/>
    <d v="2022-10-26T00:00:00"/>
    <x v="1"/>
    <d v="2022-10-30T00:00:00"/>
    <d v="2022-10-30T00:00:00"/>
    <n v="22029207"/>
    <n v="2237562"/>
    <n v="10013544649"/>
    <s v="VIBHORE SACHDEV"/>
    <x v="1648"/>
    <n v="2457"/>
    <n v="52099"/>
    <n v="1460"/>
    <n v="50639"/>
    <x v="1"/>
    <x v="2"/>
    <n v="2.8023570509990596E-2"/>
    <x v="0"/>
  </r>
  <r>
    <n v="3173"/>
    <s v="Health Insurance TPA of India Ltd."/>
    <d v="2022-10-31T00:00:00"/>
    <x v="1"/>
    <d v="2022-10-31T00:00:00"/>
    <d v="2022-10-31T00:00:00"/>
    <n v="22029346"/>
    <n v="2238210"/>
    <n v="10013545339"/>
    <s v="SUKHRAJI DEVI"/>
    <x v="16"/>
    <n v="0"/>
    <n v="0"/>
    <n v="0"/>
    <n v="0"/>
    <x v="0"/>
    <x v="4"/>
    <e v="#DIV/0!"/>
    <x v="4"/>
  </r>
  <r>
    <n v="3174"/>
    <s v="GENERAL PATIENT"/>
    <d v="2022-10-06T00:00:00"/>
    <x v="1"/>
    <d v="2022-10-10T00:00:00"/>
    <d v="2022-10-10T00:00:00"/>
    <n v="22026419"/>
    <n v="2234966"/>
    <n v="10013541896"/>
    <s v="MITHLESH MEHATA"/>
    <x v="1649"/>
    <n v="13858"/>
    <n v="94126"/>
    <n v="94126"/>
    <n v="0"/>
    <x v="0"/>
    <x v="1"/>
    <n v="1"/>
    <x v="0"/>
  </r>
  <r>
    <n v="3175"/>
    <s v="GENERAL PATIENT"/>
    <d v="2022-10-04T00:00:00"/>
    <x v="1"/>
    <d v="2022-10-04T00:00:00"/>
    <d v="2022-10-04T00:00:00"/>
    <n v="22025634"/>
    <n v="2234648"/>
    <n v="1001164234"/>
    <s v="GAURAV AHUJA"/>
    <x v="16"/>
    <n v="0"/>
    <n v="0"/>
    <n v="0"/>
    <n v="0"/>
    <x v="0"/>
    <x v="1"/>
    <e v="#DIV/0!"/>
    <x v="3"/>
  </r>
  <r>
    <n v="3176"/>
    <s v="MEDI ASSIST"/>
    <d v="2022-10-09T00:00:00"/>
    <x v="1"/>
    <d v="2022-10-13T00:00:00"/>
    <d v="2022-10-13T00:00:00"/>
    <n v="22026882"/>
    <n v="2235302"/>
    <n v="10013478651"/>
    <s v="CHANDER VERMA"/>
    <x v="1650"/>
    <n v="0"/>
    <n v="101349"/>
    <n v="12048"/>
    <n v="89301"/>
    <x v="1"/>
    <x v="3"/>
    <n v="0.11887635793150401"/>
    <x v="0"/>
  </r>
  <r>
    <n v="3177"/>
    <s v="GENERAL PATIENT"/>
    <d v="2022-10-14T00:00:00"/>
    <x v="1"/>
    <d v="2022-10-20T00:00:00"/>
    <d v="2022-10-20T00:00:00"/>
    <n v="22027842"/>
    <n v="2236031"/>
    <n v="10013542906"/>
    <s v="GUNJAN"/>
    <x v="1651"/>
    <n v="13690"/>
    <n v="110861"/>
    <n v="110861"/>
    <n v="0"/>
    <x v="0"/>
    <x v="1"/>
    <n v="1"/>
    <x v="0"/>
  </r>
  <r>
    <n v="3178"/>
    <s v="GENERAL PATIENT"/>
    <d v="2022-09-28T00:00:00"/>
    <x v="0"/>
    <d v="2022-10-07T00:00:00"/>
    <d v="2022-10-07T00:00:00"/>
    <n v="22025988"/>
    <n v="2233705"/>
    <n v="1001104237"/>
    <s v="VIKASH KUMAR SINGH"/>
    <x v="1652"/>
    <n v="71392"/>
    <n v="191906"/>
    <n v="191906"/>
    <n v="0"/>
    <x v="0"/>
    <x v="7"/>
    <n v="1"/>
    <x v="4"/>
  </r>
  <r>
    <n v="3179"/>
    <s v="T.T.K"/>
    <d v="2022-10-08T00:00:00"/>
    <x v="1"/>
    <d v="2022-10-08T00:00:00"/>
    <d v="2022-10-08T00:00:00"/>
    <n v="22026162"/>
    <n v="2235169"/>
    <n v="10013376566"/>
    <s v="RAJEEV BHATIA"/>
    <x v="75"/>
    <n v="0"/>
    <n v="2200"/>
    <n v="440"/>
    <n v="1760"/>
    <x v="1"/>
    <x v="12"/>
    <n v="0.2"/>
    <x v="13"/>
  </r>
  <r>
    <n v="3180"/>
    <s v="GENERAL PATIENT"/>
    <d v="2022-10-10T00:00:00"/>
    <x v="1"/>
    <d v="2022-10-25T00:00:00"/>
    <d v="2022-10-25T00:00:00"/>
    <n v="22028507"/>
    <n v="2235443"/>
    <n v="10013542459"/>
    <s v="DEEPAK GUPTA"/>
    <x v="1653"/>
    <n v="90068"/>
    <n v="677488"/>
    <n v="677488"/>
    <n v="0"/>
    <x v="0"/>
    <x v="8"/>
    <n v="1"/>
    <x v="2"/>
  </r>
  <r>
    <n v="3181"/>
    <s v="MD INDIA TPA PVT.LTD."/>
    <d v="2022-10-23T00:00:00"/>
    <x v="1"/>
    <d v="2022-10-30T00:00:00"/>
    <d v="2022-10-30T00:00:00"/>
    <n v="22029215"/>
    <n v="2237169"/>
    <n v="10013544240"/>
    <s v="K.N SINGH"/>
    <x v="1654"/>
    <n v="41442"/>
    <n v="339855"/>
    <n v="95403"/>
    <n v="244452"/>
    <x v="1"/>
    <x v="2"/>
    <n v="0.28071677627223374"/>
    <x v="0"/>
  </r>
  <r>
    <n v="3182"/>
    <s v="GENERAL PATIENT"/>
    <d v="2022-10-31T00:00:00"/>
    <x v="1"/>
    <d v="2022-10-31T00:00:00"/>
    <d v="2022-10-31T00:00:00"/>
    <n v="22029320"/>
    <n v="2238180"/>
    <n v="1000919979"/>
    <s v="HEMA  BHAGAT"/>
    <x v="73"/>
    <n v="286"/>
    <n v="2558"/>
    <n v="2558"/>
    <n v="0"/>
    <x v="0"/>
    <x v="6"/>
    <n v="1"/>
    <x v="13"/>
  </r>
  <r>
    <n v="3183"/>
    <s v="Staff DEPENDENT"/>
    <d v="2022-10-31T00:00:00"/>
    <x v="1"/>
    <d v="2022-10-31T00:00:00"/>
    <d v="2022-10-31T00:00:00"/>
    <n v="22029341"/>
    <n v="2238184"/>
    <n v="1000915528"/>
    <s v="SHABNAM"/>
    <x v="59"/>
    <n v="3519"/>
    <n v="0"/>
    <n v="0"/>
    <n v="0"/>
    <x v="0"/>
    <x v="6"/>
    <e v="#DIV/0!"/>
    <x v="13"/>
  </r>
  <r>
    <n v="3184"/>
    <s v="GENERAL PATIENT"/>
    <d v="2022-10-31T00:00:00"/>
    <x v="1"/>
    <d v="2022-10-31T00:00:00"/>
    <d v="2022-10-31T00:00:00"/>
    <n v="22029323"/>
    <n v="2238190"/>
    <n v="10013527702"/>
    <s v="RAJENDER TAYAL"/>
    <x v="45"/>
    <n v="433"/>
    <n v="4557"/>
    <n v="4557"/>
    <n v="0"/>
    <x v="0"/>
    <x v="6"/>
    <n v="1"/>
    <x v="13"/>
  </r>
  <r>
    <n v="3185"/>
    <s v="GENERAL PATIENT"/>
    <d v="2022-10-07T00:00:00"/>
    <x v="1"/>
    <d v="2022-10-12T00:00:00"/>
    <d v="2022-10-12T00:00:00"/>
    <n v="22026780"/>
    <n v="2235083"/>
    <n v="10013542076"/>
    <s v="LAXMI"/>
    <x v="1655"/>
    <n v="19219"/>
    <n v="127706"/>
    <n v="127706"/>
    <n v="0"/>
    <x v="0"/>
    <x v="1"/>
    <n v="1"/>
    <x v="4"/>
  </r>
  <r>
    <n v="3186"/>
    <s v="CGHS ( CREDIT)"/>
    <d v="2022-08-30T00:00:00"/>
    <x v="2"/>
    <d v="2022-10-10T00:00:00"/>
    <d v="2022-10-10T00:00:00"/>
    <n v="22026450"/>
    <n v="2229861"/>
    <n v="10013533051"/>
    <s v="HARBANS LAL"/>
    <x v="1656"/>
    <n v="0"/>
    <n v="713607"/>
    <n v="20608"/>
    <n v="692999"/>
    <x v="1"/>
    <x v="1"/>
    <n v="2.8878640484188076E-2"/>
    <x v="0"/>
  </r>
  <r>
    <n v="3187"/>
    <s v="GENERAL PATIENT"/>
    <d v="2022-10-06T00:00:00"/>
    <x v="1"/>
    <d v="2022-10-14T00:00:00"/>
    <d v="2022-10-14T00:00:00"/>
    <n v="22027041"/>
    <n v="2234847"/>
    <n v="1001802738"/>
    <s v="JAI BHAGWAN"/>
    <x v="1657"/>
    <n v="47250"/>
    <n v="258100"/>
    <n v="258100"/>
    <n v="0"/>
    <x v="0"/>
    <x v="7"/>
    <n v="1"/>
    <x v="10"/>
  </r>
  <r>
    <n v="3188"/>
    <s v="Health Insurance TPA of India Ltd."/>
    <d v="2022-10-08T00:00:00"/>
    <x v="1"/>
    <d v="2022-10-10T00:00:00"/>
    <d v="2022-10-10T00:00:00"/>
    <n v="22026405"/>
    <n v="2235195"/>
    <n v="10013498930"/>
    <s v="PARMESHWARI"/>
    <x v="1658"/>
    <n v="0"/>
    <n v="89534"/>
    <n v="1500"/>
    <n v="88034"/>
    <x v="1"/>
    <x v="5"/>
    <n v="1.6753412111600061E-2"/>
    <x v="1"/>
  </r>
  <r>
    <n v="3189"/>
    <s v="CGHS"/>
    <d v="2022-10-15T00:00:00"/>
    <x v="1"/>
    <d v="2022-10-15T00:00:00"/>
    <d v="2022-10-15T00:00:00"/>
    <n v="22027119"/>
    <n v="2236085"/>
    <n v="10013480632"/>
    <s v="MANJU GUPTA"/>
    <x v="43"/>
    <n v="0"/>
    <n v="1610"/>
    <n v="1610"/>
    <n v="0"/>
    <x v="0"/>
    <x v="6"/>
    <n v="1"/>
    <x v="13"/>
  </r>
  <r>
    <n v="3190"/>
    <s v="GENERAL PATIENT"/>
    <d v="2022-10-01T00:00:00"/>
    <x v="1"/>
    <d v="2022-10-06T00:00:00"/>
    <d v="2022-10-06T00:00:00"/>
    <n v="22025846"/>
    <n v="2234238"/>
    <n v="10013531598"/>
    <s v="OMWATI"/>
    <x v="1659"/>
    <n v="39508"/>
    <n v="148813"/>
    <n v="148813"/>
    <n v="0"/>
    <x v="0"/>
    <x v="1"/>
    <n v="1"/>
    <x v="4"/>
  </r>
  <r>
    <n v="3191"/>
    <s v="GENERAL PATIENT"/>
    <d v="2022-10-11T00:00:00"/>
    <x v="1"/>
    <d v="2022-10-12T00:00:00"/>
    <d v="2022-10-12T00:00:00"/>
    <n v="22026708"/>
    <n v="2235483"/>
    <n v="10013542495"/>
    <s v="SUBHASH CHAND SINGHAL"/>
    <x v="1660"/>
    <n v="13240"/>
    <n v="48048"/>
    <n v="48048"/>
    <n v="0"/>
    <x v="0"/>
    <x v="8"/>
    <n v="1"/>
    <x v="0"/>
  </r>
  <r>
    <n v="3192"/>
    <s v="GENERAL PATIENT"/>
    <d v="2022-09-28T00:00:00"/>
    <x v="0"/>
    <d v="2022-10-02T00:00:00"/>
    <d v="2022-10-02T00:00:00"/>
    <n v="22025274"/>
    <n v="2233854"/>
    <n v="1001801343"/>
    <s v="KULDEEP SINGH"/>
    <x v="1661"/>
    <n v="8750"/>
    <n v="65918"/>
    <n v="65918"/>
    <n v="0"/>
    <x v="0"/>
    <x v="1"/>
    <n v="1"/>
    <x v="0"/>
  </r>
  <r>
    <n v="3193"/>
    <s v="RCare Health"/>
    <d v="2022-10-25T00:00:00"/>
    <x v="1"/>
    <d v="2022-10-27T00:00:00"/>
    <d v="2022-10-27T00:00:00"/>
    <n v="22028800"/>
    <n v="2237363"/>
    <n v="10013544445"/>
    <s v="PRAKSHI GOEL"/>
    <x v="1662"/>
    <n v="0"/>
    <n v="134030"/>
    <n v="0"/>
    <n v="134030"/>
    <x v="1"/>
    <x v="1"/>
    <n v="0"/>
    <x v="16"/>
  </r>
  <r>
    <n v="3194"/>
    <s v="HDFC ERGO General Insurance Co. Ltd."/>
    <d v="2022-10-03T00:00:00"/>
    <x v="1"/>
    <d v="2022-10-06T00:00:00"/>
    <d v="2022-10-06T00:00:00"/>
    <n v="22025868"/>
    <n v="2234435"/>
    <n v="10013541398"/>
    <s v="FIRDOSH"/>
    <x v="1663"/>
    <n v="0"/>
    <n v="33125"/>
    <n v="1752"/>
    <n v="31373"/>
    <x v="1"/>
    <x v="1"/>
    <n v="5.2890566037735849E-2"/>
    <x v="0"/>
  </r>
  <r>
    <n v="3195"/>
    <s v="NIVA BUPA"/>
    <d v="2022-10-12T00:00:00"/>
    <x v="1"/>
    <d v="2022-10-18T00:00:00"/>
    <d v="2022-10-18T00:00:00"/>
    <n v="22027556"/>
    <n v="2235768"/>
    <n v="10013542760"/>
    <s v="AAKRITI VASDEV MEHTA"/>
    <x v="1664"/>
    <n v="15580"/>
    <n v="121079"/>
    <n v="4500"/>
    <n v="116579"/>
    <x v="1"/>
    <x v="10"/>
    <n v="3.716581735891443E-2"/>
    <x v="0"/>
  </r>
  <r>
    <n v="3196"/>
    <s v="GENERAL PATIENT"/>
    <d v="2022-09-29T00:00:00"/>
    <x v="0"/>
    <d v="2022-10-07T00:00:00"/>
    <d v="2022-10-07T00:00:00"/>
    <n v="22026017"/>
    <n v="2233971"/>
    <n v="10013539978"/>
    <s v="HARE KISHAN JHA"/>
    <x v="1665"/>
    <n v="216259"/>
    <n v="0"/>
    <n v="0"/>
    <n v="0"/>
    <x v="0"/>
    <x v="9"/>
    <e v="#DIV/0!"/>
    <x v="0"/>
  </r>
  <r>
    <n v="3197"/>
    <s v="CGHS"/>
    <d v="2022-10-15T00:00:00"/>
    <x v="1"/>
    <d v="2022-10-15T00:00:00"/>
    <d v="2022-10-15T00:00:00"/>
    <n v="22027133"/>
    <n v="2236090"/>
    <n v="10013540183"/>
    <s v="TARUN HURIA"/>
    <x v="43"/>
    <n v="0"/>
    <n v="1610"/>
    <n v="1610"/>
    <n v="0"/>
    <x v="0"/>
    <x v="6"/>
    <n v="1"/>
    <x v="13"/>
  </r>
  <r>
    <n v="3198"/>
    <s v="GENERAL PATIENT"/>
    <d v="2022-10-05T00:00:00"/>
    <x v="1"/>
    <d v="2022-10-15T00:00:00"/>
    <d v="2022-10-15T00:00:00"/>
    <n v="22027205"/>
    <n v="2234781"/>
    <n v="10013471324"/>
    <s v="SHAHID"/>
    <x v="1666"/>
    <n v="44116"/>
    <n v="355455"/>
    <n v="355455"/>
    <n v="0"/>
    <x v="0"/>
    <x v="7"/>
    <n v="1"/>
    <x v="10"/>
  </r>
  <r>
    <n v="3199"/>
    <s v="Cholamandlam General Insurance Co. Ltd."/>
    <d v="2022-10-14T00:00:00"/>
    <x v="1"/>
    <d v="2022-10-16T00:00:00"/>
    <d v="2022-10-16T00:00:00"/>
    <n v="22027321"/>
    <n v="2235987"/>
    <n v="10013543022"/>
    <s v="KARTIK"/>
    <x v="1667"/>
    <n v="8542"/>
    <n v="80107"/>
    <n v="3376"/>
    <n v="76731"/>
    <x v="1"/>
    <x v="1"/>
    <n v="4.2143632891008274E-2"/>
    <x v="6"/>
  </r>
  <r>
    <n v="3200"/>
    <s v="DDA"/>
    <d v="2022-10-13T00:00:00"/>
    <x v="1"/>
    <d v="2022-10-13T00:00:00"/>
    <d v="2022-10-13T00:00:00"/>
    <n v="22026822"/>
    <n v="2235798"/>
    <n v="10013524248"/>
    <s v="KRISHNA DEVI"/>
    <x v="43"/>
    <n v="0"/>
    <n v="1610"/>
    <n v="1610"/>
    <n v="0"/>
    <x v="0"/>
    <x v="6"/>
    <n v="1"/>
    <x v="13"/>
  </r>
  <r>
    <n v="3201"/>
    <s v="GENERAL PATIENT"/>
    <d v="2022-10-14T00:00:00"/>
    <x v="1"/>
    <d v="2022-10-16T00:00:00"/>
    <d v="2022-10-16T00:00:00"/>
    <n v="22027310"/>
    <n v="2235956"/>
    <n v="1001804317"/>
    <s v="MOHINI FEMALE BABY GARG"/>
    <x v="1668"/>
    <n v="2646"/>
    <n v="14564"/>
    <n v="14564"/>
    <n v="0"/>
    <x v="0"/>
    <x v="7"/>
    <n v="1"/>
    <x v="3"/>
  </r>
  <r>
    <n v="3202"/>
    <s v="GENERAL PATIENT"/>
    <d v="2022-10-19T00:00:00"/>
    <x v="1"/>
    <d v="2022-10-19T00:00:00"/>
    <d v="2022-10-19T00:00:00"/>
    <n v="22027780"/>
    <n v="2236648"/>
    <n v="10013531498"/>
    <s v="URMILA DEVI"/>
    <x v="1669"/>
    <n v="3656"/>
    <n v="25247"/>
    <n v="25247"/>
    <n v="0"/>
    <x v="0"/>
    <x v="6"/>
    <n v="1"/>
    <x v="8"/>
  </r>
  <r>
    <n v="3203"/>
    <s v="MEDI ASSIST"/>
    <d v="2022-10-10T00:00:00"/>
    <x v="1"/>
    <d v="2022-10-19T00:00:00"/>
    <d v="2022-10-19T00:00:00"/>
    <n v="22027723"/>
    <n v="2235363"/>
    <n v="10013490796"/>
    <s v="NEELAM ARORA"/>
    <x v="1670"/>
    <n v="0"/>
    <n v="266356"/>
    <n v="31855"/>
    <n v="234501"/>
    <x v="1"/>
    <x v="2"/>
    <n v="0.11959557884935951"/>
    <x v="0"/>
  </r>
  <r>
    <n v="3204"/>
    <s v="HARAYANA GOVT."/>
    <d v="2022-10-09T00:00:00"/>
    <x v="1"/>
    <d v="2022-10-11T00:00:00"/>
    <d v="2022-10-11T00:00:00"/>
    <n v="22026558"/>
    <n v="2235300"/>
    <n v="10013542307"/>
    <s v="RAJBIR SINGH"/>
    <x v="1671"/>
    <n v="0"/>
    <n v="226499"/>
    <n v="226499"/>
    <n v="0"/>
    <x v="0"/>
    <x v="1"/>
    <n v="1"/>
    <x v="4"/>
  </r>
  <r>
    <n v="3205"/>
    <s v=" CGHS CREDIT"/>
    <d v="2022-10-10T00:00:00"/>
    <x v="1"/>
    <d v="2022-10-12T00:00:00"/>
    <d v="2022-10-12T00:00:00"/>
    <n v="22026699"/>
    <n v="2235416"/>
    <n v="1001803568"/>
    <s v="RANJANA DEVI"/>
    <x v="1672"/>
    <n v="0"/>
    <n v="18630"/>
    <n v="0"/>
    <n v="18630"/>
    <x v="1"/>
    <x v="1"/>
    <n v="0"/>
    <x v="11"/>
  </r>
  <r>
    <n v="3206"/>
    <s v="CGHS"/>
    <d v="2022-10-14T00:00:00"/>
    <x v="1"/>
    <d v="2022-10-14T00:00:00"/>
    <d v="2022-10-14T00:00:00"/>
    <n v="22027026"/>
    <n v="2235951"/>
    <n v="10013519440"/>
    <s v="RAJENDER KUMAR"/>
    <x v="43"/>
    <n v="0"/>
    <n v="1610"/>
    <n v="1610"/>
    <n v="0"/>
    <x v="0"/>
    <x v="6"/>
    <n v="1"/>
    <x v="13"/>
  </r>
  <r>
    <n v="3207"/>
    <s v=" HDFC ERGO General Insurance Company Limited"/>
    <d v="2022-09-30T00:00:00"/>
    <x v="0"/>
    <d v="2022-10-04T00:00:00"/>
    <d v="2022-10-04T00:00:00"/>
    <n v="22025589"/>
    <n v="2234004"/>
    <n v="1001485256"/>
    <s v="RAKESH KUMAR"/>
    <x v="1673"/>
    <n v="2874"/>
    <n v="42341"/>
    <n v="0"/>
    <n v="42341"/>
    <x v="1"/>
    <x v="1"/>
    <n v="0"/>
    <x v="0"/>
  </r>
  <r>
    <n v="3208"/>
    <s v="MEDI ASSIST"/>
    <d v="2022-10-19T00:00:00"/>
    <x v="1"/>
    <d v="2022-10-20T00:00:00"/>
    <d v="2022-10-20T00:00:00"/>
    <n v="22027854"/>
    <n v="2236577"/>
    <n v="1001805175"/>
    <s v="MEGHA BHOLA"/>
    <x v="1674"/>
    <n v="4653"/>
    <n v="30451"/>
    <n v="3704"/>
    <n v="26747"/>
    <x v="1"/>
    <x v="2"/>
    <n v="0.12163804144363075"/>
    <x v="1"/>
  </r>
  <r>
    <n v="3209"/>
    <s v="IFFCO TOKIO GENERAL INSURANCE COMPANY LIMITED"/>
    <d v="2022-10-10T00:00:00"/>
    <x v="1"/>
    <d v="2022-10-18T00:00:00"/>
    <d v="2022-10-18T00:00:00"/>
    <n v="22027566"/>
    <n v="2235316"/>
    <n v="10013542330"/>
    <s v="URMIL DANG"/>
    <x v="1675"/>
    <n v="32970"/>
    <n v="242054"/>
    <n v="31116"/>
    <n v="210938"/>
    <x v="1"/>
    <x v="2"/>
    <n v="0.12854982772439208"/>
    <x v="9"/>
  </r>
  <r>
    <n v="3210"/>
    <s v="DGHS (DELHI GOVT.)"/>
    <d v="2022-09-23T00:00:00"/>
    <x v="0"/>
    <d v="2022-10-20T00:00:00"/>
    <d v="2022-10-20T00:00:00"/>
    <n v="22027950"/>
    <n v="2233169"/>
    <n v="10013533568"/>
    <s v="SURINDER NAGI"/>
    <x v="1676"/>
    <n v="0"/>
    <n v="601673"/>
    <n v="14783"/>
    <n v="586890"/>
    <x v="1"/>
    <x v="2"/>
    <n v="2.4569824472761782E-2"/>
    <x v="0"/>
  </r>
  <r>
    <n v="3211"/>
    <s v="GENERAL PATIENT"/>
    <d v="2022-10-16T00:00:00"/>
    <x v="1"/>
    <d v="2022-10-21T00:00:00"/>
    <d v="2022-10-21T00:00:00"/>
    <n v="22028022"/>
    <n v="2236229"/>
    <n v="10013543246"/>
    <s v="RASHMI"/>
    <x v="1677"/>
    <n v="58938"/>
    <n v="0"/>
    <n v="0"/>
    <n v="0"/>
    <x v="0"/>
    <x v="9"/>
    <e v="#DIV/0!"/>
    <x v="0"/>
  </r>
  <r>
    <n v="3212"/>
    <s v="GENERAL PATIENT"/>
    <d v="2022-10-07T00:00:00"/>
    <x v="1"/>
    <d v="2022-10-07T00:00:00"/>
    <d v="2022-10-07T00:00:00"/>
    <n v="22025930"/>
    <n v="2234987"/>
    <n v="1001427466"/>
    <s v="DEVENDER GOYAL"/>
    <x v="127"/>
    <n v="2680"/>
    <n v="0"/>
    <n v="0"/>
    <n v="0"/>
    <x v="0"/>
    <x v="9"/>
    <e v="#DIV/0!"/>
    <x v="13"/>
  </r>
  <r>
    <n v="3213"/>
    <s v="CGHS"/>
    <d v="2022-10-13T00:00:00"/>
    <x v="1"/>
    <d v="2022-10-18T00:00:00"/>
    <d v="2022-10-18T00:00:00"/>
    <n v="22027573"/>
    <n v="2235852"/>
    <n v="10013542837"/>
    <s v="SHARADA"/>
    <x v="1678"/>
    <n v="0"/>
    <n v="17931"/>
    <n v="17931"/>
    <n v="0"/>
    <x v="0"/>
    <x v="1"/>
    <n v="1"/>
    <x v="0"/>
  </r>
  <r>
    <n v="3214"/>
    <s v="CGHS"/>
    <d v="2022-10-14T00:00:00"/>
    <x v="1"/>
    <d v="2022-10-14T00:00:00"/>
    <d v="2022-10-14T00:00:00"/>
    <n v="22027076"/>
    <n v="2235950"/>
    <n v="10013487696"/>
    <s v="SANTOSH GROVER"/>
    <x v="43"/>
    <n v="0"/>
    <n v="1610"/>
    <n v="1610"/>
    <n v="0"/>
    <x v="0"/>
    <x v="6"/>
    <n v="1"/>
    <x v="13"/>
  </r>
  <r>
    <n v="3215"/>
    <s v="FHPL"/>
    <d v="2022-10-08T00:00:00"/>
    <x v="1"/>
    <d v="2022-10-14T00:00:00"/>
    <d v="2022-10-14T00:00:00"/>
    <n v="22027050"/>
    <n v="2235157"/>
    <n v="1001803262"/>
    <s v="SHIVENDER KUMAR GUPTA"/>
    <x v="1679"/>
    <n v="18298"/>
    <n v="129406"/>
    <n v="36061"/>
    <n v="93345"/>
    <x v="1"/>
    <x v="5"/>
    <n v="0.27866559510378192"/>
    <x v="0"/>
  </r>
  <r>
    <n v="3216"/>
    <s v="CGHS"/>
    <d v="2022-10-18T00:00:00"/>
    <x v="1"/>
    <d v="2022-10-22T00:00:00"/>
    <d v="2022-10-22T00:00:00"/>
    <n v="22028166"/>
    <n v="2236544"/>
    <n v="1001805122"/>
    <s v="AMANPREET FEMALE BABY KAUR"/>
    <x v="1415"/>
    <n v="0"/>
    <n v="5436"/>
    <n v="5436"/>
    <n v="0"/>
    <x v="0"/>
    <x v="0"/>
    <n v="1"/>
    <x v="3"/>
  </r>
  <r>
    <n v="3217"/>
    <s v=" CGHS Cash"/>
    <d v="2022-10-08T00:00:00"/>
    <x v="1"/>
    <d v="2022-10-08T00:00:00"/>
    <d v="2022-10-08T00:00:00"/>
    <n v="22026182"/>
    <n v="2235189"/>
    <n v="1001755099"/>
    <s v="SUSHILA DEVI"/>
    <x v="43"/>
    <n v="0"/>
    <n v="1610"/>
    <n v="1610"/>
    <n v="0"/>
    <x v="0"/>
    <x v="6"/>
    <n v="1"/>
    <x v="13"/>
  </r>
  <r>
    <n v="3218"/>
    <s v="ICICI Lombard General Insurance"/>
    <d v="2022-10-17T00:00:00"/>
    <x v="1"/>
    <d v="2022-10-20T00:00:00"/>
    <d v="2022-10-20T00:00:00"/>
    <n v="22027844"/>
    <n v="2236310"/>
    <n v="10013539862"/>
    <s v="AAYANSH PATHAK"/>
    <x v="1680"/>
    <n v="4219"/>
    <n v="61235"/>
    <n v="19801"/>
    <n v="41434"/>
    <x v="1"/>
    <x v="1"/>
    <n v="0.32336082305870828"/>
    <x v="3"/>
  </r>
  <r>
    <n v="3219"/>
    <s v="GENERAL PATIENT"/>
    <d v="2022-10-10T00:00:00"/>
    <x v="1"/>
    <d v="2022-10-17T00:00:00"/>
    <d v="2022-10-17T00:00:00"/>
    <n v="22027432"/>
    <n v="2235315"/>
    <n v="1001034734"/>
    <s v="ABDULLA"/>
    <x v="1681"/>
    <n v="31797"/>
    <n v="133343"/>
    <n v="133343"/>
    <n v="0"/>
    <x v="0"/>
    <x v="1"/>
    <n v="1"/>
    <x v="4"/>
  </r>
  <r>
    <n v="3220"/>
    <s v="CGHS ( CREDIT)"/>
    <d v="2022-10-14T00:00:00"/>
    <x v="1"/>
    <d v="2022-10-17T00:00:00"/>
    <d v="2022-10-17T00:00:00"/>
    <n v="22027462"/>
    <n v="2235957"/>
    <n v="10013542937"/>
    <s v="DHANO DEVI"/>
    <x v="1682"/>
    <n v="0"/>
    <n v="68829"/>
    <n v="600"/>
    <n v="68229"/>
    <x v="1"/>
    <x v="1"/>
    <n v="8.7172558078716812E-3"/>
    <x v="16"/>
  </r>
  <r>
    <n v="3221"/>
    <s v="Reliance General Insurance Co. Ltd."/>
    <d v="2022-10-11T00:00:00"/>
    <x v="1"/>
    <d v="2022-10-17T00:00:00"/>
    <d v="2022-10-17T00:00:00"/>
    <n v="22027390"/>
    <n v="2235528"/>
    <n v="10013542539"/>
    <s v="KRISHNA GOEL"/>
    <x v="1683"/>
    <n v="0"/>
    <n v="147063"/>
    <n v="4479"/>
    <n v="142584"/>
    <x v="1"/>
    <x v="2"/>
    <n v="3.045633504008486E-2"/>
    <x v="9"/>
  </r>
  <r>
    <n v="3222"/>
    <s v="GENERAL PATIENT"/>
    <d v="2022-09-30T00:00:00"/>
    <x v="0"/>
    <d v="2022-10-02T00:00:00"/>
    <d v="2022-10-02T00:00:00"/>
    <n v="22025286"/>
    <n v="2234011"/>
    <n v="1001800824"/>
    <s v="ANITA JAIN"/>
    <x v="1684"/>
    <n v="9724"/>
    <n v="60033"/>
    <n v="60033"/>
    <n v="0"/>
    <x v="0"/>
    <x v="1"/>
    <n v="1"/>
    <x v="11"/>
  </r>
  <r>
    <n v="3223"/>
    <s v="GENERAL PATIENT"/>
    <d v="2022-09-28T00:00:00"/>
    <x v="0"/>
    <d v="2022-10-07T00:00:00"/>
    <d v="2022-10-07T00:00:00"/>
    <n v="22025962"/>
    <n v="2233859"/>
    <n v="10013540724"/>
    <s v="GAURAV"/>
    <x v="1685"/>
    <n v="96890"/>
    <n v="290891"/>
    <n v="290891"/>
    <n v="0"/>
    <x v="0"/>
    <x v="7"/>
    <n v="1"/>
    <x v="9"/>
  </r>
  <r>
    <n v="3224"/>
    <s v="MD INDIA TPA PVT.LTD."/>
    <d v="2022-10-02T00:00:00"/>
    <x v="1"/>
    <d v="2022-10-04T00:00:00"/>
    <d v="2022-10-04T00:00:00"/>
    <n v="22025481"/>
    <n v="2234324"/>
    <n v="10013541248"/>
    <s v="NIVAAN SUMRANI"/>
    <x v="1686"/>
    <n v="3150"/>
    <n v="54059"/>
    <n v="33046"/>
    <n v="21013"/>
    <x v="1"/>
    <x v="3"/>
    <n v="0.61129506650141507"/>
    <x v="3"/>
  </r>
  <r>
    <n v="3225"/>
    <s v="Cholamandlam General Insurance Co. Ltd."/>
    <d v="2022-10-25T00:00:00"/>
    <x v="1"/>
    <d v="2022-10-29T00:00:00"/>
    <d v="2022-10-29T00:00:00"/>
    <n v="22029081"/>
    <n v="2237394"/>
    <n v="1001806179"/>
    <s v="KAUTILYA RAJPOOT"/>
    <x v="1687"/>
    <n v="8216"/>
    <n v="76082"/>
    <n v="1500"/>
    <n v="74582"/>
    <x v="1"/>
    <x v="1"/>
    <n v="1.9715570042848504E-2"/>
    <x v="3"/>
  </r>
  <r>
    <n v="3226"/>
    <s v="CARE HEALTH INSURANCE LIMITED"/>
    <d v="2022-10-11T00:00:00"/>
    <x v="1"/>
    <d v="2022-10-12T00:00:00"/>
    <d v="2022-10-12T00:00:00"/>
    <n v="22026689"/>
    <n v="2235619"/>
    <n v="10013542617"/>
    <s v="VIRKESH ARORA"/>
    <x v="1688"/>
    <n v="3704"/>
    <n v="44424"/>
    <n v="5425"/>
    <n v="38999"/>
    <x v="1"/>
    <x v="4"/>
    <n v="0.12211867459031155"/>
    <x v="4"/>
  </r>
  <r>
    <n v="3227"/>
    <s v=" MEDI ASSIST INSURANCE TPA LTD"/>
    <d v="2022-10-15T00:00:00"/>
    <x v="1"/>
    <d v="2022-10-15T00:00:00"/>
    <d v="2022-10-15T00:00:00"/>
    <n v="22027128"/>
    <n v="2236080"/>
    <n v="1001561182"/>
    <s v="TAPATI CHATTERJEE"/>
    <x v="211"/>
    <n v="0"/>
    <n v="2000"/>
    <n v="2000"/>
    <n v="0"/>
    <x v="0"/>
    <x v="12"/>
    <n v="1"/>
    <x v="13"/>
  </r>
  <r>
    <n v="3228"/>
    <s v="GENERAL PATIENT"/>
    <d v="2022-10-11T00:00:00"/>
    <x v="1"/>
    <d v="2022-10-11T00:00:00"/>
    <d v="2022-10-11T00:00:00"/>
    <n v="22026646"/>
    <n v="2235605"/>
    <n v="1001110018"/>
    <s v="RUPENDER KAUR"/>
    <x v="1689"/>
    <n v="8509"/>
    <n v="0"/>
    <n v="0"/>
    <n v="0"/>
    <x v="0"/>
    <x v="9"/>
    <e v="#DIV/0!"/>
    <x v="13"/>
  </r>
  <r>
    <n v="3229"/>
    <s v="Health Insurance TPA of India Ltd."/>
    <d v="2022-10-21T00:00:00"/>
    <x v="1"/>
    <d v="2022-10-26T00:00:00"/>
    <d v="2022-10-26T00:00:00"/>
    <n v="22028648"/>
    <n v="2236937"/>
    <n v="10013543969"/>
    <s v="PRIYA MITTAL"/>
    <x v="1690"/>
    <n v="10507"/>
    <n v="71947"/>
    <n v="2049"/>
    <n v="69898"/>
    <x v="1"/>
    <x v="5"/>
    <n v="2.847929726048341E-2"/>
    <x v="11"/>
  </r>
  <r>
    <n v="3230"/>
    <s v="STAR HEALTH CARE  (CREDIT)"/>
    <d v="2022-10-05T00:00:00"/>
    <x v="1"/>
    <d v="2022-10-07T00:00:00"/>
    <d v="2022-10-07T00:00:00"/>
    <n v="22026019"/>
    <n v="2234776"/>
    <n v="10013324446"/>
    <s v="BHUPINDER GHULYANI"/>
    <x v="1691"/>
    <n v="6253"/>
    <n v="106656"/>
    <n v="2311"/>
    <n v="104345"/>
    <x v="1"/>
    <x v="0"/>
    <n v="2.1667791779177919E-2"/>
    <x v="16"/>
  </r>
  <r>
    <n v="3231"/>
    <s v="PARK MED CLAIM LTD"/>
    <d v="2022-10-05T00:00:00"/>
    <x v="1"/>
    <d v="2022-10-07T00:00:00"/>
    <d v="2022-10-07T00:00:00"/>
    <n v="22025948"/>
    <n v="2234739"/>
    <n v="10013486506"/>
    <s v="SULEKHA KHANNA"/>
    <x v="1692"/>
    <n v="225"/>
    <n v="334613"/>
    <n v="67525"/>
    <n v="267088"/>
    <x v="1"/>
    <x v="4"/>
    <n v="0.20180028869171251"/>
    <x v="4"/>
  </r>
  <r>
    <n v="3232"/>
    <s v="CGHS"/>
    <d v="2022-10-18T00:00:00"/>
    <x v="1"/>
    <d v="2022-10-18T00:00:00"/>
    <d v="2022-10-18T00:00:00"/>
    <n v="22027577"/>
    <n v="2236475"/>
    <n v="10013519440"/>
    <s v="RAJENDER KUMAR"/>
    <x v="43"/>
    <n v="0"/>
    <n v="1610"/>
    <n v="1610"/>
    <n v="0"/>
    <x v="0"/>
    <x v="6"/>
    <n v="1"/>
    <x v="13"/>
  </r>
  <r>
    <n v="3233"/>
    <s v="GENERAL PATIENT"/>
    <d v="2022-10-18T00:00:00"/>
    <x v="1"/>
    <d v="2022-10-18T00:00:00"/>
    <d v="2022-10-18T00:00:00"/>
    <n v="22027599"/>
    <n v="2236508"/>
    <n v="1000975940"/>
    <s v="PROMILA KANSAL"/>
    <x v="45"/>
    <n v="432"/>
    <n v="4558"/>
    <n v="4558"/>
    <n v="0"/>
    <x v="0"/>
    <x v="6"/>
    <n v="1"/>
    <x v="13"/>
  </r>
  <r>
    <n v="3234"/>
    <s v="CARE HEALTH INSURANCE LIMITED"/>
    <d v="2022-10-23T00:00:00"/>
    <x v="1"/>
    <d v="2022-10-29T00:00:00"/>
    <d v="2022-10-29T00:00:00"/>
    <n v="22029040"/>
    <n v="2237168"/>
    <n v="10013544238"/>
    <s v="KHUSHBOO  AGARWAL"/>
    <x v="1693"/>
    <n v="24329"/>
    <n v="174447"/>
    <n v="3941"/>
    <n v="170506"/>
    <x v="1"/>
    <x v="10"/>
    <n v="2.2591388788571889E-2"/>
    <x v="0"/>
  </r>
  <r>
    <n v="3235"/>
    <s v="GENERAL PATIENT"/>
    <d v="2022-10-29T00:00:00"/>
    <x v="1"/>
    <d v="2022-10-29T00:00:00"/>
    <d v="2022-10-29T00:00:00"/>
    <n v="22029092"/>
    <n v="2237969"/>
    <n v="1001807004"/>
    <s v="GULZAR SINGH JUDGE"/>
    <x v="19"/>
    <n v="0"/>
    <n v="14000"/>
    <n v="14000"/>
    <n v="0"/>
    <x v="0"/>
    <x v="6"/>
    <n v="1"/>
    <x v="4"/>
  </r>
  <r>
    <n v="3236"/>
    <s v="STAR HEALTH CARE  (CREDIT)"/>
    <d v="2022-10-04T00:00:00"/>
    <x v="1"/>
    <d v="2022-10-04T00:00:00"/>
    <d v="2022-10-04T00:00:00"/>
    <n v="22025609"/>
    <n v="2234612"/>
    <n v="10013481278"/>
    <s v="NEELAM GUPTA"/>
    <x v="158"/>
    <n v="0"/>
    <n v="2500"/>
    <n v="2500"/>
    <n v="0"/>
    <x v="0"/>
    <x v="6"/>
    <n v="1"/>
    <x v="13"/>
  </r>
  <r>
    <n v="3237"/>
    <s v="GENERAL PATIENT"/>
    <d v="2022-10-12T00:00:00"/>
    <x v="1"/>
    <d v="2022-10-13T00:00:00"/>
    <d v="2022-10-13T00:00:00"/>
    <n v="22026862"/>
    <n v="2235680"/>
    <n v="10013539745"/>
    <s v="NAVDEEP KAUR"/>
    <x v="1694"/>
    <n v="5014"/>
    <n v="32116"/>
    <n v="32116"/>
    <n v="0"/>
    <x v="0"/>
    <x v="1"/>
    <n v="1"/>
    <x v="15"/>
  </r>
  <r>
    <n v="3238"/>
    <s v="GENERAL PATIENT (MAH)"/>
    <d v="2022-10-27T00:00:00"/>
    <x v="1"/>
    <d v="2022-10-27T00:00:00"/>
    <d v="2022-10-27T00:00:00"/>
    <n v="22028842"/>
    <n v="2237704"/>
    <n v="1001087967"/>
    <s v="SUKH NAND KUMAR JAIN"/>
    <x v="59"/>
    <n v="3519"/>
    <n v="0"/>
    <n v="0"/>
    <n v="0"/>
    <x v="0"/>
    <x v="6"/>
    <e v="#DIV/0!"/>
    <x v="13"/>
  </r>
  <r>
    <n v="3239"/>
    <s v="Health Insurance TPA of India Ltd."/>
    <d v="2022-10-05T00:00:00"/>
    <x v="1"/>
    <d v="2022-10-12T00:00:00"/>
    <d v="2022-10-12T00:00:00"/>
    <n v="22026704"/>
    <n v="2234777"/>
    <n v="1001024017"/>
    <s v="PARDEEP KAUR"/>
    <x v="1695"/>
    <n v="0"/>
    <n v="164744"/>
    <n v="11525"/>
    <n v="153219"/>
    <x v="1"/>
    <x v="5"/>
    <n v="6.9957024231534992E-2"/>
    <x v="0"/>
  </r>
  <r>
    <n v="3240"/>
    <s v="MEDI ASSIST"/>
    <d v="2022-10-18T00:00:00"/>
    <x v="1"/>
    <d v="2022-10-21T00:00:00"/>
    <d v="2022-10-21T00:00:00"/>
    <n v="22028049"/>
    <n v="2236516"/>
    <n v="10013531159"/>
    <s v="CHARANJEET KAUR"/>
    <x v="1696"/>
    <n v="0"/>
    <n v="89250"/>
    <n v="10275"/>
    <n v="78975"/>
    <x v="1"/>
    <x v="3"/>
    <n v="0.11512605042016806"/>
    <x v="1"/>
  </r>
  <r>
    <n v="3241"/>
    <s v=" VIPUL MEDCORP TPA"/>
    <d v="2022-10-15T00:00:00"/>
    <x v="1"/>
    <d v="2022-10-15T00:00:00"/>
    <d v="2022-10-15T00:00:00"/>
    <n v="22027245"/>
    <n v="2236108"/>
    <n v="1001803042"/>
    <s v="SANJU DEVI"/>
    <x v="484"/>
    <n v="88"/>
    <n v="15612"/>
    <n v="412"/>
    <n v="15200"/>
    <x v="1"/>
    <x v="6"/>
    <n v="2.6389956443761211E-2"/>
    <x v="1"/>
  </r>
  <r>
    <n v="3242"/>
    <s v="RAKSHA (TPA)"/>
    <d v="2022-10-17T00:00:00"/>
    <x v="1"/>
    <d v="2022-10-21T00:00:00"/>
    <d v="2022-10-21T00:00:00"/>
    <n v="22028033"/>
    <n v="2236336"/>
    <n v="1001801755"/>
    <s v="PUSHAPENDER KUMAR MITTAL"/>
    <x v="1697"/>
    <n v="10889"/>
    <n v="73581"/>
    <n v="11492"/>
    <n v="62089"/>
    <x v="1"/>
    <x v="5"/>
    <n v="0.15618162297332192"/>
    <x v="9"/>
  </r>
  <r>
    <n v="3243"/>
    <s v="DGHS (DELHI GOVT.)"/>
    <d v="2022-10-15T00:00:00"/>
    <x v="1"/>
    <d v="2022-10-15T00:00:00"/>
    <d v="2022-10-15T00:00:00"/>
    <n v="22027242"/>
    <n v="2236074"/>
    <n v="10013542152"/>
    <s v="NIRMAL RANI"/>
    <x v="1169"/>
    <n v="0"/>
    <n v="29533"/>
    <n v="29533"/>
    <n v="0"/>
    <x v="0"/>
    <x v="1"/>
    <n v="1"/>
    <x v="22"/>
  </r>
  <r>
    <n v="3244"/>
    <s v="GENERAL PATIENT"/>
    <d v="2022-10-06T00:00:00"/>
    <x v="1"/>
    <d v="2022-10-15T00:00:00"/>
    <d v="2022-10-15T00:00:00"/>
    <n v="22027218"/>
    <n v="2234906"/>
    <n v="10013541853"/>
    <s v="ANGOORI DEVI"/>
    <x v="1698"/>
    <n v="53068"/>
    <n v="192867"/>
    <n v="192867"/>
    <n v="0"/>
    <x v="0"/>
    <x v="1"/>
    <n v="1"/>
    <x v="0"/>
  </r>
  <r>
    <n v="3245"/>
    <s v="PARK MED CLAIM LTD"/>
    <d v="2022-10-01T00:00:00"/>
    <x v="1"/>
    <d v="2022-10-04T00:00:00"/>
    <d v="2022-10-04T00:00:00"/>
    <n v="22025526"/>
    <n v="2234186"/>
    <n v="1001801868"/>
    <s v="PRACHI MALE BABY GUPTA"/>
    <x v="1699"/>
    <n v="0"/>
    <n v="7868"/>
    <n v="7868"/>
    <n v="0"/>
    <x v="0"/>
    <x v="14"/>
    <n v="1"/>
    <x v="3"/>
  </r>
  <r>
    <n v="3246"/>
    <s v="GENERAL PATIENT"/>
    <d v="2022-10-17T00:00:00"/>
    <x v="1"/>
    <d v="2022-10-17T00:00:00"/>
    <d v="2022-10-17T00:00:00"/>
    <n v="22027357"/>
    <n v="2236281"/>
    <n v="10013484177"/>
    <s v="R.S DUBEY"/>
    <x v="73"/>
    <n v="284"/>
    <n v="2560"/>
    <n v="2560"/>
    <n v="0"/>
    <x v="0"/>
    <x v="6"/>
    <n v="1"/>
    <x v="13"/>
  </r>
  <r>
    <n v="3247"/>
    <s v="GOVT. OF NCT OF DELHI"/>
    <d v="2022-10-17T00:00:00"/>
    <x v="1"/>
    <d v="2022-10-17T00:00:00"/>
    <d v="2022-10-17T00:00:00"/>
    <n v="22027360"/>
    <n v="2236277"/>
    <n v="10013521425"/>
    <s v="MEHAR CHAND"/>
    <x v="43"/>
    <n v="0"/>
    <n v="1610"/>
    <n v="1610"/>
    <n v="0"/>
    <x v="0"/>
    <x v="6"/>
    <n v="1"/>
    <x v="13"/>
  </r>
  <r>
    <n v="3248"/>
    <s v="GENERAL PATIENT"/>
    <d v="2022-10-17T00:00:00"/>
    <x v="1"/>
    <d v="2022-10-17T00:00:00"/>
    <d v="2022-10-17T00:00:00"/>
    <n v="22027363"/>
    <n v="2236274"/>
    <n v="10013531598"/>
    <s v="OMWATI"/>
    <x v="73"/>
    <n v="308"/>
    <n v="2536"/>
    <n v="2536"/>
    <n v="0"/>
    <x v="0"/>
    <x v="6"/>
    <n v="1"/>
    <x v="13"/>
  </r>
  <r>
    <n v="3249"/>
    <s v="GENERAL PATIENT"/>
    <d v="2022-10-17T00:00:00"/>
    <x v="1"/>
    <d v="2022-10-17T00:00:00"/>
    <d v="2022-10-17T00:00:00"/>
    <n v="22027372"/>
    <n v="2236291"/>
    <n v="10013415573"/>
    <s v="SANJEEV KUKERJA"/>
    <x v="45"/>
    <n v="413"/>
    <n v="4577"/>
    <n v="4577"/>
    <n v="0"/>
    <x v="0"/>
    <x v="6"/>
    <n v="1"/>
    <x v="13"/>
  </r>
  <r>
    <n v="3250"/>
    <s v="CGHS"/>
    <d v="2022-10-08T00:00:00"/>
    <x v="1"/>
    <d v="2022-10-08T00:00:00"/>
    <d v="2022-10-08T00:00:00"/>
    <n v="22026080"/>
    <n v="2235128"/>
    <n v="10013514103"/>
    <s v="GOVIND KUMAR"/>
    <x v="43"/>
    <n v="0"/>
    <n v="1610"/>
    <n v="1610"/>
    <n v="0"/>
    <x v="0"/>
    <x v="6"/>
    <n v="1"/>
    <x v="13"/>
  </r>
  <r>
    <n v="3251"/>
    <s v=" CGHS CREDIT"/>
    <d v="2022-10-22T00:00:00"/>
    <x v="1"/>
    <d v="2022-10-24T00:00:00"/>
    <d v="2022-10-24T00:00:00"/>
    <n v="22028432"/>
    <n v="2236990"/>
    <n v="1001805715"/>
    <s v="SURAJ BHAN"/>
    <x v="1700"/>
    <n v="0"/>
    <n v="119698"/>
    <n v="500"/>
    <n v="119198"/>
    <x v="1"/>
    <x v="1"/>
    <n v="4.1771792344065901E-3"/>
    <x v="4"/>
  </r>
  <r>
    <n v="3252"/>
    <s v="MEDI ASSIST"/>
    <d v="2022-10-23T00:00:00"/>
    <x v="1"/>
    <d v="2022-10-23T00:00:00"/>
    <d v="2022-10-23T00:00:00"/>
    <n v="22028381"/>
    <n v="2237152"/>
    <n v="1000983811"/>
    <s v="LUXMI TRIVEDI"/>
    <x v="75"/>
    <n v="0"/>
    <n v="2200"/>
    <n v="440"/>
    <n v="1760"/>
    <x v="1"/>
    <x v="12"/>
    <n v="0.2"/>
    <x v="13"/>
  </r>
  <r>
    <n v="3253"/>
    <s v=" RELIGARE HEALTH INSURANCE"/>
    <d v="2022-10-25T00:00:00"/>
    <x v="1"/>
    <d v="2022-10-29T00:00:00"/>
    <d v="2022-10-29T00:00:00"/>
    <n v="22029069"/>
    <n v="2237389"/>
    <n v="1001806167"/>
    <s v="KUSUM"/>
    <x v="1701"/>
    <n v="458"/>
    <n v="346116"/>
    <n v="4351"/>
    <n v="341765"/>
    <x v="1"/>
    <x v="2"/>
    <n v="1.2570929977233067E-2"/>
    <x v="16"/>
  </r>
  <r>
    <n v="3254"/>
    <s v="STAR HEALTH CARE  (CREDIT)"/>
    <d v="2022-10-19T00:00:00"/>
    <x v="1"/>
    <d v="2022-10-23T00:00:00"/>
    <d v="2022-10-23T00:00:00"/>
    <n v="22028352"/>
    <n v="2236673"/>
    <n v="10013256367"/>
    <s v="MANISHA NAGAR"/>
    <x v="774"/>
    <n v="15080"/>
    <n v="111546"/>
    <n v="27697"/>
    <n v="83849"/>
    <x v="1"/>
    <x v="2"/>
    <n v="0.24830114930163341"/>
    <x v="0"/>
  </r>
  <r>
    <n v="3255"/>
    <s v="GENERAL PATIENT"/>
    <d v="2022-10-20T00:00:00"/>
    <x v="1"/>
    <d v="2022-10-22T00:00:00"/>
    <d v="2022-10-22T00:00:00"/>
    <n v="22028137"/>
    <n v="2236849"/>
    <n v="10013543954"/>
    <s v="KANTI DEVI VERMA"/>
    <x v="1702"/>
    <n v="13706"/>
    <n v="49251"/>
    <n v="49251"/>
    <n v="0"/>
    <x v="0"/>
    <x v="1"/>
    <n v="1"/>
    <x v="4"/>
  </r>
  <r>
    <n v="3256"/>
    <s v="GENERAL PATIENT"/>
    <d v="2022-10-03T00:00:00"/>
    <x v="1"/>
    <d v="2022-10-03T00:00:00"/>
    <d v="2022-10-03T00:00:00"/>
    <n v="22025429"/>
    <n v="2234417"/>
    <n v="10013541362"/>
    <s v="RAJANI GOND"/>
    <x v="19"/>
    <n v="0"/>
    <n v="14000"/>
    <n v="14000"/>
    <n v="0"/>
    <x v="0"/>
    <x v="6"/>
    <n v="1"/>
    <x v="4"/>
  </r>
  <r>
    <n v="3257"/>
    <s v="GENERAL PATIENT"/>
    <d v="2022-10-06T00:00:00"/>
    <x v="1"/>
    <d v="2022-10-06T00:00:00"/>
    <d v="2022-10-06T00:00:00"/>
    <n v="22025854"/>
    <n v="2234856"/>
    <n v="10013513064"/>
    <s v="JAGJEET KAUR"/>
    <x v="73"/>
    <n v="268"/>
    <n v="2576"/>
    <n v="2576"/>
    <n v="0"/>
    <x v="0"/>
    <x v="6"/>
    <n v="1"/>
    <x v="13"/>
  </r>
  <r>
    <n v="3258"/>
    <s v="HDFC ERGO General Insurance Co. Ltd."/>
    <d v="2022-10-06T00:00:00"/>
    <x v="1"/>
    <d v="2022-10-06T00:00:00"/>
    <d v="2022-10-06T00:00:00"/>
    <n v="22025901"/>
    <n v="2234920"/>
    <n v="10013541394"/>
    <s v="PRADEEP"/>
    <x v="254"/>
    <n v="0"/>
    <n v="2240"/>
    <n v="2240"/>
    <n v="0"/>
    <x v="0"/>
    <x v="6"/>
    <n v="1"/>
    <x v="13"/>
  </r>
  <r>
    <n v="3259"/>
    <s v="Health Insurance TPA of India Ltd."/>
    <d v="2022-10-06T00:00:00"/>
    <x v="1"/>
    <d v="2022-10-06T00:00:00"/>
    <d v="2022-10-06T00:00:00"/>
    <n v="22025919"/>
    <n v="2234951"/>
    <n v="10013353354"/>
    <s v="NARENDER CHAWLA"/>
    <x v="75"/>
    <n v="0"/>
    <n v="2200"/>
    <n v="220"/>
    <n v="1980"/>
    <x v="1"/>
    <x v="12"/>
    <n v="0.1"/>
    <x v="13"/>
  </r>
  <r>
    <n v="3260"/>
    <s v="GENERAL PATIENT"/>
    <d v="2022-10-22T00:00:00"/>
    <x v="1"/>
    <d v="2022-10-22T00:00:00"/>
    <d v="2022-10-22T00:00:00"/>
    <n v="22028223"/>
    <n v="2237045"/>
    <n v="10013230754"/>
    <s v="SANTOSH AGGARWAL"/>
    <x v="45"/>
    <n v="1452"/>
    <n v="3538"/>
    <n v="3538"/>
    <n v="0"/>
    <x v="0"/>
    <x v="6"/>
    <n v="1"/>
    <x v="13"/>
  </r>
  <r>
    <n v="3261"/>
    <s v="GENERAL PATIENT"/>
    <d v="2022-09-28T00:00:00"/>
    <x v="0"/>
    <d v="2022-10-01T00:00:00"/>
    <d v="2022-10-01T00:00:00"/>
    <n v="22025160"/>
    <n v="2233793"/>
    <n v="10013252894"/>
    <s v="SUNDER LAL"/>
    <x v="1703"/>
    <n v="11438"/>
    <n v="70498"/>
    <n v="70498"/>
    <n v="0"/>
    <x v="0"/>
    <x v="1"/>
    <n v="1"/>
    <x v="4"/>
  </r>
  <r>
    <n v="3262"/>
    <s v="CGHS ( CREDIT)"/>
    <d v="2022-09-28T00:00:00"/>
    <x v="0"/>
    <d v="2022-10-01T00:00:00"/>
    <d v="2022-10-01T00:00:00"/>
    <n v="22025218"/>
    <n v="2233828"/>
    <n v="10013261069"/>
    <s v="SHOBHA BHARTI"/>
    <x v="1704"/>
    <n v="0"/>
    <n v="22668"/>
    <n v="2763"/>
    <n v="19905"/>
    <x v="1"/>
    <x v="1"/>
    <n v="0.12188988883006882"/>
    <x v="4"/>
  </r>
  <r>
    <n v="3263"/>
    <s v="STAR HEALTH CARE  (CREDIT)"/>
    <d v="2022-10-02T00:00:00"/>
    <x v="1"/>
    <d v="2022-10-04T00:00:00"/>
    <d v="2022-10-04T00:00:00"/>
    <n v="22025521"/>
    <n v="2234299"/>
    <n v="10013491876"/>
    <s v="KYNA JAIN"/>
    <x v="1705"/>
    <n v="7876"/>
    <n v="50192"/>
    <n v="50192"/>
    <n v="0"/>
    <x v="0"/>
    <x v="2"/>
    <n v="1"/>
    <x v="3"/>
  </r>
  <r>
    <n v="3264"/>
    <s v=" Paramount Health Services and Insurance TPA Pvt.Ltd."/>
    <d v="2022-10-11T00:00:00"/>
    <x v="1"/>
    <d v="2022-10-11T00:00:00"/>
    <d v="2022-10-11T00:00:00"/>
    <n v="22026623"/>
    <n v="2235584"/>
    <n v="1001658205"/>
    <s v="USHA SINGH"/>
    <x v="141"/>
    <n v="0"/>
    <n v="2950"/>
    <n v="295"/>
    <n v="2655"/>
    <x v="1"/>
    <x v="6"/>
    <n v="0.1"/>
    <x v="13"/>
  </r>
  <r>
    <n v="3265"/>
    <s v="GENERAL PATIENT"/>
    <d v="2022-09-27T00:00:00"/>
    <x v="0"/>
    <d v="2022-10-08T00:00:00"/>
    <d v="2022-10-08T00:00:00"/>
    <n v="22026193"/>
    <n v="2233654"/>
    <n v="10013470495"/>
    <s v="SHARAH"/>
    <x v="1706"/>
    <n v="32850"/>
    <n v="338115"/>
    <n v="338115"/>
    <n v="0"/>
    <x v="0"/>
    <x v="2"/>
    <n v="1"/>
    <x v="1"/>
  </r>
  <r>
    <n v="3266"/>
    <s v="CGHS"/>
    <d v="2022-10-29T00:00:00"/>
    <x v="1"/>
    <d v="2022-10-29T00:00:00"/>
    <d v="2022-10-29T00:00:00"/>
    <n v="22028997"/>
    <n v="2237911"/>
    <n v="10013514103"/>
    <s v="GOVIND KUMAR"/>
    <x v="43"/>
    <n v="0"/>
    <n v="1610"/>
    <n v="1610"/>
    <n v="0"/>
    <x v="0"/>
    <x v="6"/>
    <n v="1"/>
    <x v="13"/>
  </r>
  <r>
    <n v="3267"/>
    <s v="GENERAL PATIENT"/>
    <d v="2022-10-29T00:00:00"/>
    <x v="1"/>
    <d v="2022-10-29T00:00:00"/>
    <d v="2022-10-29T00:00:00"/>
    <n v="22029000"/>
    <n v="2237910"/>
    <n v="1001575947"/>
    <s v="MANISH RAJPUT"/>
    <x v="73"/>
    <n v="286"/>
    <n v="2558"/>
    <n v="2558"/>
    <n v="0"/>
    <x v="0"/>
    <x v="6"/>
    <n v="1"/>
    <x v="13"/>
  </r>
  <r>
    <n v="3268"/>
    <s v=" Paramount Health Services and Insurance TPA Pvt.Ltd."/>
    <d v="2022-10-26T00:00:00"/>
    <x v="1"/>
    <d v="2022-10-31T00:00:00"/>
    <d v="2022-10-31T00:00:00"/>
    <n v="22029313"/>
    <n v="2237583"/>
    <n v="1001806438"/>
    <s v="AMAR KANT"/>
    <x v="1707"/>
    <n v="6807"/>
    <n v="50710"/>
    <n v="5073"/>
    <n v="45637"/>
    <x v="1"/>
    <x v="3"/>
    <n v="0.10003943995267206"/>
    <x v="0"/>
  </r>
  <r>
    <n v="3269"/>
    <s v="NIVA BUPA"/>
    <d v="2022-10-01T00:00:00"/>
    <x v="1"/>
    <d v="2022-10-05T00:00:00"/>
    <d v="2022-10-05T00:00:00"/>
    <n v="22025673"/>
    <n v="2234262"/>
    <n v="10013259029"/>
    <s v="YASH GUPTA"/>
    <x v="1708"/>
    <n v="3205"/>
    <n v="46020"/>
    <n v="1851"/>
    <n v="44169"/>
    <x v="1"/>
    <x v="1"/>
    <n v="4.0221642764015644E-2"/>
    <x v="0"/>
  </r>
  <r>
    <n v="3270"/>
    <s v="T.T.K"/>
    <d v="2022-10-22T00:00:00"/>
    <x v="1"/>
    <d v="2022-10-22T00:00:00"/>
    <d v="2022-10-22T00:00:00"/>
    <n v="22028235"/>
    <n v="2237034"/>
    <n v="10013376566"/>
    <s v="RAJEEV BHATIA"/>
    <x v="75"/>
    <n v="0"/>
    <n v="2200"/>
    <n v="440"/>
    <n v="1760"/>
    <x v="1"/>
    <x v="12"/>
    <n v="0.2"/>
    <x v="13"/>
  </r>
  <r>
    <n v="3271"/>
    <s v=" RELIGARE HEALTH INSURANCE"/>
    <d v="2022-10-20T00:00:00"/>
    <x v="1"/>
    <d v="2022-10-22T00:00:00"/>
    <d v="2022-10-22T00:00:00"/>
    <n v="22028258"/>
    <n v="2236846"/>
    <n v="1001805524"/>
    <s v="AANCHAL"/>
    <x v="1709"/>
    <n v="0"/>
    <n v="101931"/>
    <n v="2350"/>
    <n v="99581"/>
    <x v="1"/>
    <x v="3"/>
    <n v="2.3054811588231253E-2"/>
    <x v="16"/>
  </r>
  <r>
    <n v="3272"/>
    <s v="Paramount Health Services (TPA) Private Limited"/>
    <d v="2022-10-14T00:00:00"/>
    <x v="1"/>
    <d v="2022-10-23T00:00:00"/>
    <d v="2022-10-23T00:00:00"/>
    <n v="22028389"/>
    <n v="2235980"/>
    <n v="10013542496"/>
    <s v="MANISH MITTAL"/>
    <x v="1710"/>
    <n v="22499"/>
    <n v="651199"/>
    <n v="32080"/>
    <n v="619119"/>
    <x v="1"/>
    <x v="3"/>
    <n v="4.9262974912430764E-2"/>
    <x v="20"/>
  </r>
  <r>
    <n v="3273"/>
    <s v="GENERAL PATIENT"/>
    <d v="2022-10-24T00:00:00"/>
    <x v="1"/>
    <d v="2022-10-27T00:00:00"/>
    <d v="2022-10-27T00:00:00"/>
    <n v="22028739"/>
    <n v="2237243"/>
    <n v="10013544308"/>
    <s v="ROSHAN KUMAR MANDAL"/>
    <x v="1711"/>
    <n v="18087"/>
    <n v="131610"/>
    <n v="131610"/>
    <n v="0"/>
    <x v="0"/>
    <x v="1"/>
    <n v="1"/>
    <x v="16"/>
  </r>
  <r>
    <n v="3274"/>
    <s v="STAR HEALTH CARE  (CREDIT)"/>
    <d v="2022-10-24T00:00:00"/>
    <x v="1"/>
    <d v="2022-10-28T00:00:00"/>
    <d v="2022-10-28T00:00:00"/>
    <n v="22028913"/>
    <n v="2237246"/>
    <n v="10013544315"/>
    <s v="HARJIT SINGH"/>
    <x v="1712"/>
    <n v="14286"/>
    <n v="88837"/>
    <n v="6583"/>
    <n v="82254"/>
    <x v="1"/>
    <x v="10"/>
    <n v="7.4102007046613461E-2"/>
    <x v="9"/>
  </r>
  <r>
    <n v="3275"/>
    <s v="GENERAL PATIENT"/>
    <d v="2022-10-15T00:00:00"/>
    <x v="1"/>
    <d v="2022-10-15T00:00:00"/>
    <d v="2022-10-15T00:00:00"/>
    <n v="22027197"/>
    <n v="2236144"/>
    <n v="10013230754"/>
    <s v="SANTOSH AGGARWAL"/>
    <x v="45"/>
    <n v="1715"/>
    <n v="3275"/>
    <n v="3275"/>
    <n v="0"/>
    <x v="0"/>
    <x v="6"/>
    <n v="1"/>
    <x v="13"/>
  </r>
  <r>
    <n v="3276"/>
    <s v="CGHS"/>
    <d v="2022-10-15T00:00:00"/>
    <x v="1"/>
    <d v="2022-10-15T00:00:00"/>
    <d v="2022-10-15T00:00:00"/>
    <n v="22027200"/>
    <n v="2236128"/>
    <n v="1001644664"/>
    <s v="P C. BHATT"/>
    <x v="43"/>
    <n v="0"/>
    <n v="1610"/>
    <n v="1610"/>
    <n v="0"/>
    <x v="0"/>
    <x v="6"/>
    <n v="1"/>
    <x v="13"/>
  </r>
  <r>
    <n v="3277"/>
    <s v="STAR HEALTH CARE  (CREDIT)"/>
    <d v="2022-10-06T00:00:00"/>
    <x v="1"/>
    <d v="2022-10-08T00:00:00"/>
    <d v="2022-10-08T00:00:00"/>
    <n v="22026139"/>
    <n v="2234814"/>
    <n v="10013531758"/>
    <s v="INDERPREET KAUR SOHAL"/>
    <x v="1713"/>
    <n v="0"/>
    <n v="119950"/>
    <n v="99950"/>
    <n v="20000"/>
    <x v="1"/>
    <x v="2"/>
    <n v="0.83326385994164232"/>
    <x v="1"/>
  </r>
  <r>
    <n v="3278"/>
    <s v="NIVA BUPA"/>
    <d v="2022-10-25T00:00:00"/>
    <x v="1"/>
    <d v="2022-10-28T00:00:00"/>
    <d v="2022-10-28T00:00:00"/>
    <n v="22028868"/>
    <n v="2237410"/>
    <n v="1001806183"/>
    <s v="TWISHA"/>
    <x v="1714"/>
    <n v="4827"/>
    <n v="43798"/>
    <n v="3680"/>
    <n v="40118"/>
    <x v="1"/>
    <x v="2"/>
    <n v="8.4022101465820356E-2"/>
    <x v="3"/>
  </r>
  <r>
    <n v="3279"/>
    <s v="GENERAL PATIENT"/>
    <d v="2022-10-25T00:00:00"/>
    <x v="1"/>
    <d v="2022-10-28T00:00:00"/>
    <d v="2022-10-28T00:00:00"/>
    <n v="22028914"/>
    <n v="2237419"/>
    <n v="10013544478"/>
    <s v="ABHSHEK GUPTA"/>
    <x v="1715"/>
    <n v="8897"/>
    <n v="57194"/>
    <n v="57194"/>
    <n v="0"/>
    <x v="0"/>
    <x v="0"/>
    <n v="1"/>
    <x v="0"/>
  </r>
  <r>
    <n v="3280"/>
    <s v="ECHS"/>
    <d v="2022-10-16T00:00:00"/>
    <x v="1"/>
    <d v="2022-10-17T00:00:00"/>
    <d v="2022-10-17T00:00:00"/>
    <n v="22027419"/>
    <n v="2236223"/>
    <n v="1001440620"/>
    <s v="S.C KAKKAR"/>
    <x v="1445"/>
    <n v="0"/>
    <n v="202298"/>
    <n v="24420"/>
    <n v="177878"/>
    <x v="1"/>
    <x v="2"/>
    <n v="0.12071300754332717"/>
    <x v="4"/>
  </r>
  <r>
    <n v="3281"/>
    <s v=" STAR HEALTH TPA"/>
    <d v="2022-10-18T00:00:00"/>
    <x v="1"/>
    <d v="2022-10-20T00:00:00"/>
    <d v="2022-10-20T00:00:00"/>
    <n v="22027868"/>
    <n v="2236489"/>
    <n v="1001689839"/>
    <s v="NARYAN KUMAR"/>
    <x v="1716"/>
    <n v="2014"/>
    <n v="22330"/>
    <n v="3200"/>
    <n v="19130"/>
    <x v="1"/>
    <x v="1"/>
    <n v="0.14330497089117777"/>
    <x v="0"/>
  </r>
  <r>
    <n v="3282"/>
    <s v="CGHS ( CREDIT)"/>
    <d v="2022-10-17T00:00:00"/>
    <x v="1"/>
    <d v="2022-10-27T00:00:00"/>
    <d v="2022-10-27T00:00:00"/>
    <n v="22028775"/>
    <n v="2236267"/>
    <n v="10013541681"/>
    <s v="KUSUM"/>
    <x v="1717"/>
    <n v="0"/>
    <n v="120339"/>
    <n v="2921"/>
    <n v="117418"/>
    <x v="1"/>
    <x v="0"/>
    <n v="2.4273095172803495E-2"/>
    <x v="0"/>
  </r>
  <r>
    <n v="3283"/>
    <s v="MED SAVE"/>
    <d v="2022-10-20T00:00:00"/>
    <x v="1"/>
    <d v="2022-10-26T00:00:00"/>
    <d v="2022-10-26T00:00:00"/>
    <n v="22028611"/>
    <n v="2236780"/>
    <n v="1001399704"/>
    <s v="DEEPAK SINGH"/>
    <x v="1718"/>
    <n v="9051"/>
    <n v="58784"/>
    <n v="3270"/>
    <n v="55514"/>
    <x v="1"/>
    <x v="3"/>
    <n v="5.562738160043549E-2"/>
    <x v="0"/>
  </r>
  <r>
    <n v="3284"/>
    <s v="GENERAL PATIENT"/>
    <d v="2022-10-18T00:00:00"/>
    <x v="1"/>
    <d v="2022-10-20T00:00:00"/>
    <d v="2022-10-20T00:00:00"/>
    <n v="22027857"/>
    <n v="2236460"/>
    <n v="1001804990"/>
    <s v="RITIKA"/>
    <x v="1719"/>
    <n v="11617"/>
    <n v="80873"/>
    <n v="80873"/>
    <n v="0"/>
    <x v="0"/>
    <x v="2"/>
    <n v="1"/>
    <x v="1"/>
  </r>
  <r>
    <n v="3285"/>
    <s v="GENERAL PATIENT"/>
    <d v="2022-10-14T00:00:00"/>
    <x v="1"/>
    <d v="2022-10-14T00:00:00"/>
    <d v="2022-10-14T00:00:00"/>
    <n v="22027102"/>
    <n v="2236009"/>
    <n v="10013352607"/>
    <s v="SHRIKANT"/>
    <x v="73"/>
    <n v="308"/>
    <n v="2536"/>
    <n v="2536"/>
    <n v="0"/>
    <x v="0"/>
    <x v="6"/>
    <n v="1"/>
    <x v="13"/>
  </r>
  <r>
    <n v="3286"/>
    <s v="GENERAL PATIENT"/>
    <d v="2022-10-14T00:00:00"/>
    <x v="1"/>
    <d v="2022-10-14T00:00:00"/>
    <d v="2022-10-14T00:00:00"/>
    <n v="22026980"/>
    <n v="2235914"/>
    <n v="1001427466"/>
    <s v="DEVENDER GOYAL"/>
    <x v="127"/>
    <n v="2680"/>
    <n v="0"/>
    <n v="0"/>
    <n v="0"/>
    <x v="0"/>
    <x v="9"/>
    <e v="#DIV/0!"/>
    <x v="13"/>
  </r>
  <r>
    <n v="3287"/>
    <s v="CGHS ( CREDIT)"/>
    <d v="2022-10-24T00:00:00"/>
    <x v="1"/>
    <d v="2022-10-28T00:00:00"/>
    <d v="2022-10-28T00:00:00"/>
    <n v="22028961"/>
    <n v="2237221"/>
    <n v="10013505129"/>
    <s v="SULTAN SINGH"/>
    <x v="1720"/>
    <n v="0"/>
    <n v="68735"/>
    <n v="572"/>
    <n v="68163"/>
    <x v="1"/>
    <x v="1"/>
    <n v="8.3218156688732083E-3"/>
    <x v="0"/>
  </r>
  <r>
    <n v="3288"/>
    <s v="DGHS (DELHI GOVT.)"/>
    <d v="2022-10-18T00:00:00"/>
    <x v="1"/>
    <d v="2022-10-22T00:00:00"/>
    <d v="2022-10-22T00:00:00"/>
    <n v="22028117"/>
    <n v="2236432"/>
    <n v="10013543504"/>
    <s v="KAMALJEET SHARMA"/>
    <x v="1721"/>
    <n v="0"/>
    <n v="152067"/>
    <n v="9074"/>
    <n v="142993"/>
    <x v="1"/>
    <x v="1"/>
    <n v="5.9671066043257247E-2"/>
    <x v="0"/>
  </r>
  <r>
    <n v="3289"/>
    <s v="STAR HEALTH CARE  (CREDIT)"/>
    <d v="2022-10-22T00:00:00"/>
    <x v="1"/>
    <d v="2022-10-22T00:00:00"/>
    <d v="2022-10-22T00:00:00"/>
    <n v="22028262"/>
    <n v="2237072"/>
    <n v="10013481278"/>
    <s v="NEELAM GUPTA"/>
    <x v="158"/>
    <n v="0"/>
    <n v="2500"/>
    <n v="2500"/>
    <n v="0"/>
    <x v="0"/>
    <x v="6"/>
    <n v="1"/>
    <x v="13"/>
  </r>
  <r>
    <n v="3290"/>
    <s v="GENERAL PATIENT"/>
    <d v="2022-10-18T00:00:00"/>
    <x v="1"/>
    <d v="2022-10-23T00:00:00"/>
    <d v="2022-10-23T00:00:00"/>
    <n v="22028306"/>
    <n v="2236519"/>
    <n v="1001805108"/>
    <s v="SAVITRI DEVI"/>
    <x v="1722"/>
    <n v="48204"/>
    <n v="133865"/>
    <n v="133865"/>
    <n v="0"/>
    <x v="0"/>
    <x v="1"/>
    <n v="1"/>
    <x v="0"/>
  </r>
  <r>
    <n v="3291"/>
    <s v=" CGHS Cash"/>
    <d v="2022-09-28T00:00:00"/>
    <x v="0"/>
    <d v="2022-10-01T00:00:00"/>
    <d v="2022-10-01T00:00:00"/>
    <n v="22025157"/>
    <n v="2233706"/>
    <n v="1001801128"/>
    <s v="BABY OF AARTI"/>
    <x v="1723"/>
    <n v="0"/>
    <n v="14673"/>
    <n v="14673"/>
    <n v="0"/>
    <x v="0"/>
    <x v="1"/>
    <n v="1"/>
    <x v="3"/>
  </r>
  <r>
    <n v="3292"/>
    <s v="Delhi Arogya kosh"/>
    <d v="2022-10-29T00:00:00"/>
    <x v="1"/>
    <d v="2022-10-29T00:00:00"/>
    <d v="2022-10-29T00:00:00"/>
    <n v="22029136"/>
    <n v="2237991"/>
    <n v="10013457170"/>
    <s v="MANOJ                   II"/>
    <x v="1480"/>
    <n v="0"/>
    <n v="3117"/>
    <n v="1843"/>
    <n v="1274"/>
    <x v="1"/>
    <x v="6"/>
    <n v="0.5912736605710619"/>
    <x v="13"/>
  </r>
  <r>
    <n v="3293"/>
    <s v="HARAYANA GOVT."/>
    <d v="2022-10-04T00:00:00"/>
    <x v="1"/>
    <d v="2022-10-04T00:00:00"/>
    <d v="2022-10-04T00:00:00"/>
    <n v="22025545"/>
    <n v="2234550"/>
    <n v="10013383005"/>
    <s v="AJIT SINGH"/>
    <x v="588"/>
    <n v="0"/>
    <n v="2739"/>
    <n v="2739"/>
    <n v="0"/>
    <x v="0"/>
    <x v="6"/>
    <n v="1"/>
    <x v="13"/>
  </r>
  <r>
    <n v="3294"/>
    <s v=" DAK DIALYSIS"/>
    <d v="2022-10-03T00:00:00"/>
    <x v="1"/>
    <d v="2022-10-05T00:00:00"/>
    <d v="2022-10-05T00:00:00"/>
    <n v="22025662"/>
    <n v="2234428"/>
    <n v="1001680001"/>
    <s v="BIPIN KUMAR"/>
    <x v="16"/>
    <n v="0"/>
    <n v="0"/>
    <n v="0"/>
    <n v="0"/>
    <x v="0"/>
    <x v="6"/>
    <e v="#DIV/0!"/>
    <x v="13"/>
  </r>
  <r>
    <n v="3295"/>
    <s v=" Reliance General Insurance Co. Ltd."/>
    <d v="2022-10-01T00:00:00"/>
    <x v="1"/>
    <d v="2022-10-04T00:00:00"/>
    <d v="2022-10-04T00:00:00"/>
    <n v="22025541"/>
    <n v="2234173"/>
    <n v="1001657019"/>
    <s v="AAHANA GHANSHYALA"/>
    <x v="1724"/>
    <n v="1504"/>
    <n v="28304"/>
    <n v="4071"/>
    <n v="24233"/>
    <x v="1"/>
    <x v="1"/>
    <n v="0.14383126059920859"/>
    <x v="3"/>
  </r>
  <r>
    <n v="3296"/>
    <s v="GENERAL PATIENT"/>
    <d v="2022-10-14T00:00:00"/>
    <x v="1"/>
    <d v="2022-10-26T00:00:00"/>
    <d v="2022-10-26T00:00:00"/>
    <n v="22028639"/>
    <n v="2236019"/>
    <n v="10013543059"/>
    <s v="DROPDI DEVI"/>
    <x v="1725"/>
    <n v="103238"/>
    <n v="541086"/>
    <n v="150000"/>
    <n v="391086"/>
    <x v="1"/>
    <x v="17"/>
    <n v="0.27722025703862235"/>
    <x v="0"/>
  </r>
  <r>
    <n v="3297"/>
    <s v="GENERAL PATIENT"/>
    <d v="2022-10-05T00:00:00"/>
    <x v="1"/>
    <d v="2022-10-14T00:00:00"/>
    <d v="2022-10-14T00:00:00"/>
    <n v="22027044"/>
    <n v="2234744"/>
    <n v="10013541636"/>
    <s v="RAJ KUMARI"/>
    <x v="1726"/>
    <n v="34865"/>
    <n v="163569"/>
    <n v="163569"/>
    <n v="0"/>
    <x v="0"/>
    <x v="0"/>
    <n v="1"/>
    <x v="0"/>
  </r>
  <r>
    <n v="3298"/>
    <s v="VIDAL HEALTH INSURANCE LIMITED"/>
    <d v="2022-10-05T00:00:00"/>
    <x v="1"/>
    <d v="2022-10-07T00:00:00"/>
    <d v="2022-10-07T00:00:00"/>
    <n v="22025942"/>
    <n v="2234745"/>
    <n v="10013411794"/>
    <s v="YOGITA ADHIKARY"/>
    <x v="998"/>
    <n v="225"/>
    <n v="52225"/>
    <n v="14725"/>
    <n v="37500"/>
    <x v="1"/>
    <x v="2"/>
    <n v="0.28195308760172333"/>
    <x v="1"/>
  </r>
  <r>
    <n v="3299"/>
    <s v="HARAYANA GOVT."/>
    <d v="2022-10-05T00:00:00"/>
    <x v="1"/>
    <d v="2022-10-08T00:00:00"/>
    <d v="2022-10-08T00:00:00"/>
    <n v="22026116"/>
    <n v="2234750"/>
    <n v="1000917506"/>
    <s v="PHOOLAWANTI KUKREJA"/>
    <x v="1727"/>
    <n v="0"/>
    <n v="43731"/>
    <n v="43731"/>
    <n v="0"/>
    <x v="0"/>
    <x v="1"/>
    <n v="1"/>
    <x v="4"/>
  </r>
  <r>
    <n v="3300"/>
    <s v="GENERAL PATIENT"/>
    <d v="2022-10-16T00:00:00"/>
    <x v="1"/>
    <d v="2022-10-18T00:00:00"/>
    <d v="2022-10-18T00:00:00"/>
    <n v="22027543"/>
    <n v="2236232"/>
    <n v="1001803585"/>
    <s v="BABY OF SAKSHI  AGGARWAL"/>
    <x v="1728"/>
    <n v="3900"/>
    <n v="45215"/>
    <n v="45215"/>
    <n v="0"/>
    <x v="0"/>
    <x v="2"/>
    <n v="1"/>
    <x v="3"/>
  </r>
  <r>
    <n v="3301"/>
    <s v=" CGHS Cash"/>
    <d v="2022-10-01T00:00:00"/>
    <x v="1"/>
    <d v="2022-10-06T00:00:00"/>
    <d v="2022-10-06T00:00:00"/>
    <n v="22025895"/>
    <n v="2234191"/>
    <n v="1001801859"/>
    <s v="VINAY"/>
    <x v="1729"/>
    <n v="0"/>
    <n v="24178"/>
    <n v="24178"/>
    <n v="0"/>
    <x v="0"/>
    <x v="0"/>
    <n v="1"/>
    <x v="0"/>
  </r>
  <r>
    <n v="3302"/>
    <s v="MEDI ASSIST"/>
    <d v="2022-10-01T00:00:00"/>
    <x v="1"/>
    <d v="2022-10-05T00:00:00"/>
    <d v="2022-10-05T00:00:00"/>
    <n v="22025753"/>
    <n v="2234272"/>
    <n v="10013541178"/>
    <s v="RAJENDRA PAL SINGH"/>
    <x v="1730"/>
    <n v="7141"/>
    <n v="46774"/>
    <n v="1634"/>
    <n v="45140"/>
    <x v="1"/>
    <x v="3"/>
    <n v="3.4933937657673067E-2"/>
    <x v="0"/>
  </r>
  <r>
    <n v="3303"/>
    <s v=" UNIVERSAL SOMPO"/>
    <d v="2022-09-24T00:00:00"/>
    <x v="0"/>
    <d v="2022-10-03T00:00:00"/>
    <d v="2022-10-03T00:00:00"/>
    <n v="22025374"/>
    <n v="2233304"/>
    <n v="1001646677"/>
    <s v="PRINCE"/>
    <x v="1731"/>
    <n v="0"/>
    <n v="62788"/>
    <n v="6187"/>
    <n v="56601"/>
    <x v="1"/>
    <x v="3"/>
    <n v="9.8537937185449453E-2"/>
    <x v="0"/>
  </r>
  <r>
    <n v="3304"/>
    <s v="CARE HEALTH INSURANCE LIMITED"/>
    <d v="2022-10-20T00:00:00"/>
    <x v="1"/>
    <d v="2022-10-31T00:00:00"/>
    <d v="2022-10-31T00:00:00"/>
    <n v="22029266"/>
    <n v="2236802"/>
    <n v="10013543922"/>
    <s v="PRACHI"/>
    <x v="1732"/>
    <n v="29931"/>
    <n v="188433"/>
    <n v="12658"/>
    <n v="175775"/>
    <x v="1"/>
    <x v="1"/>
    <n v="6.7175070184097269E-2"/>
    <x v="3"/>
  </r>
  <r>
    <n v="3305"/>
    <s v="GENERAL PATIENT"/>
    <d v="2022-10-03T00:00:00"/>
    <x v="1"/>
    <d v="2022-10-03T00:00:00"/>
    <d v="2022-10-03T00:00:00"/>
    <n v="22025391"/>
    <n v="2234385"/>
    <n v="1000919979"/>
    <s v="HEMA  BHAGAT"/>
    <x v="73"/>
    <n v="311"/>
    <n v="2533"/>
    <n v="2533"/>
    <n v="0"/>
    <x v="0"/>
    <x v="6"/>
    <n v="1"/>
    <x v="13"/>
  </r>
  <r>
    <n v="3306"/>
    <s v="T.T.K"/>
    <d v="2022-10-03T00:00:00"/>
    <x v="1"/>
    <d v="2022-10-03T00:00:00"/>
    <d v="2022-10-03T00:00:00"/>
    <n v="22025397"/>
    <n v="2234387"/>
    <n v="10013376566"/>
    <s v="RAJEEV BHATIA"/>
    <x v="75"/>
    <n v="0"/>
    <n v="2200"/>
    <n v="440"/>
    <n v="1760"/>
    <x v="1"/>
    <x v="12"/>
    <n v="0.2"/>
    <x v="13"/>
  </r>
  <r>
    <n v="3307"/>
    <s v="RAKSHA (TPA)"/>
    <d v="2022-10-12T00:00:00"/>
    <x v="1"/>
    <d v="2022-10-13T00:00:00"/>
    <d v="2022-10-13T00:00:00"/>
    <n v="22026944"/>
    <n v="2235754"/>
    <n v="1001804011"/>
    <s v="PARAG AGGARWAL"/>
    <x v="1733"/>
    <n v="0"/>
    <n v="52275"/>
    <n v="9775"/>
    <n v="42500"/>
    <x v="1"/>
    <x v="2"/>
    <n v="0.18699186991869918"/>
    <x v="16"/>
  </r>
  <r>
    <n v="3308"/>
    <s v="M.C.D"/>
    <d v="2022-10-20T00:00:00"/>
    <x v="1"/>
    <d v="2022-10-22T00:00:00"/>
    <d v="2022-10-22T00:00:00"/>
    <n v="22028228"/>
    <n v="2236796"/>
    <n v="1001220590"/>
    <s v="KAPTAN SINGH"/>
    <x v="1734"/>
    <n v="0"/>
    <n v="52914"/>
    <n v="52914"/>
    <n v="0"/>
    <x v="0"/>
    <x v="1"/>
    <n v="1"/>
    <x v="16"/>
  </r>
  <r>
    <n v="3309"/>
    <s v="HARAYANA GOVT."/>
    <d v="2022-10-05T00:00:00"/>
    <x v="1"/>
    <d v="2022-10-05T00:00:00"/>
    <d v="2022-10-05T00:00:00"/>
    <n v="22025788"/>
    <n v="2234782"/>
    <n v="1001439428"/>
    <s v="DR.S.P.SHARMA"/>
    <x v="99"/>
    <n v="0"/>
    <n v="2758"/>
    <n v="2758"/>
    <n v="0"/>
    <x v="0"/>
    <x v="6"/>
    <n v="1"/>
    <x v="13"/>
  </r>
  <r>
    <n v="3310"/>
    <s v="Safeway Mediclaim Services Pvt. Ltd."/>
    <d v="2022-10-06T00:00:00"/>
    <x v="1"/>
    <d v="2022-10-09T00:00:00"/>
    <d v="2022-10-09T00:00:00"/>
    <n v="22026251"/>
    <n v="2234885"/>
    <n v="10013541832"/>
    <s v="PUSHPA GOSWAMI"/>
    <x v="1735"/>
    <n v="0"/>
    <n v="278734"/>
    <n v="111814"/>
    <n v="166920"/>
    <x v="1"/>
    <x v="4"/>
    <n v="0.40114948301965314"/>
    <x v="4"/>
  </r>
  <r>
    <n v="3311"/>
    <s v="MD INDIA TPA PVT.LTD."/>
    <d v="2022-10-05T00:00:00"/>
    <x v="1"/>
    <d v="2022-10-09T00:00:00"/>
    <d v="2022-10-09T00:00:00"/>
    <n v="22026256"/>
    <n v="2234742"/>
    <n v="10013541585"/>
    <s v="HARKRISHAN LAL"/>
    <x v="1736"/>
    <n v="9458"/>
    <n v="78151"/>
    <n v="15349"/>
    <n v="62802"/>
    <x v="1"/>
    <x v="3"/>
    <n v="0.19640183746849049"/>
    <x v="0"/>
  </r>
  <r>
    <n v="3312"/>
    <s v="GENERAL PATIENT"/>
    <d v="2022-10-03T00:00:00"/>
    <x v="1"/>
    <d v="2022-10-05T00:00:00"/>
    <d v="2022-10-05T00:00:00"/>
    <n v="22025679"/>
    <n v="2234342"/>
    <n v="1001802063"/>
    <s v="MISHA FEMALE BABY MEHRA"/>
    <x v="1737"/>
    <n v="2348"/>
    <n v="16292"/>
    <n v="16292"/>
    <n v="0"/>
    <x v="0"/>
    <x v="2"/>
    <n v="1"/>
    <x v="3"/>
  </r>
  <r>
    <n v="3313"/>
    <s v="GENERAL PATIENT"/>
    <d v="2022-10-18T00:00:00"/>
    <x v="1"/>
    <d v="2022-10-21T00:00:00"/>
    <d v="2022-10-21T00:00:00"/>
    <n v="22027995"/>
    <n v="2236468"/>
    <n v="1001524735"/>
    <s v="TABASSUM"/>
    <x v="1738"/>
    <n v="11196"/>
    <n v="78497"/>
    <n v="78497"/>
    <n v="0"/>
    <x v="0"/>
    <x v="0"/>
    <n v="1"/>
    <x v="1"/>
  </r>
  <r>
    <n v="3314"/>
    <s v="PARK MED CLAIM LTD"/>
    <d v="2022-10-08T00:00:00"/>
    <x v="1"/>
    <d v="2022-10-09T00:00:00"/>
    <d v="2022-10-09T00:00:00"/>
    <n v="22026243"/>
    <n v="2235137"/>
    <n v="1001803192"/>
    <s v="SAROJ SURI"/>
    <x v="1739"/>
    <n v="546"/>
    <n v="209836"/>
    <n v="50251"/>
    <n v="159585"/>
    <x v="1"/>
    <x v="4"/>
    <n v="0.23947749671171772"/>
    <x v="4"/>
  </r>
  <r>
    <n v="3315"/>
    <s v=" CGHS Cash"/>
    <d v="2022-10-01T00:00:00"/>
    <x v="1"/>
    <d v="2022-10-01T00:00:00"/>
    <d v="2022-10-01T00:00:00"/>
    <n v="22025181"/>
    <n v="2234203"/>
    <n v="1001755099"/>
    <s v="SUSHILA DEVI"/>
    <x v="137"/>
    <n v="0"/>
    <n v="2560"/>
    <n v="2560"/>
    <n v="0"/>
    <x v="0"/>
    <x v="6"/>
    <n v="1"/>
    <x v="13"/>
  </r>
  <r>
    <n v="3316"/>
    <s v=" MD INDIA TPA"/>
    <d v="2022-10-08T00:00:00"/>
    <x v="1"/>
    <d v="2022-10-16T00:00:00"/>
    <d v="2022-10-16T00:00:00"/>
    <n v="22027353"/>
    <n v="2235252"/>
    <n v="1001803360"/>
    <s v="SUMAN KUMARI GUPTA"/>
    <x v="1740"/>
    <n v="43891"/>
    <n v="247822"/>
    <n v="41500"/>
    <n v="206322"/>
    <x v="1"/>
    <x v="3"/>
    <n v="0.16745890195382168"/>
    <x v="0"/>
  </r>
  <r>
    <n v="3317"/>
    <s v="Safeway Mediclaim Services Pvt. Ltd."/>
    <d v="2022-09-30T00:00:00"/>
    <x v="0"/>
    <d v="2022-10-09T00:00:00"/>
    <d v="2022-10-09T00:00:00"/>
    <n v="22026260"/>
    <n v="2234112"/>
    <n v="1001103382"/>
    <s v="SHANTI DEVI"/>
    <x v="1741"/>
    <n v="16576"/>
    <n v="140950"/>
    <n v="6587"/>
    <n v="134363"/>
    <x v="1"/>
    <x v="3"/>
    <n v="4.6732884001418944E-2"/>
    <x v="0"/>
  </r>
  <r>
    <n v="3318"/>
    <s v="GENERAL PATIENT"/>
    <d v="2022-10-03T00:00:00"/>
    <x v="1"/>
    <d v="2022-10-03T00:00:00"/>
    <d v="2022-10-03T00:00:00"/>
    <n v="22025467"/>
    <n v="2234473"/>
    <n v="1001263339"/>
    <s v="MURTI DEVI"/>
    <x v="73"/>
    <n v="310"/>
    <n v="2534"/>
    <n v="2534"/>
    <n v="0"/>
    <x v="0"/>
    <x v="6"/>
    <n v="1"/>
    <x v="13"/>
  </r>
  <r>
    <n v="3319"/>
    <s v="HDFC ERGO General Insurance Co. Ltd."/>
    <d v="2022-10-03T00:00:00"/>
    <x v="1"/>
    <d v="2022-10-03T00:00:00"/>
    <d v="2022-10-03T00:00:00"/>
    <n v="22025468"/>
    <n v="2234468"/>
    <n v="10013541394"/>
    <s v="PRADEEP"/>
    <x v="254"/>
    <n v="0"/>
    <n v="2240"/>
    <n v="2240"/>
    <n v="0"/>
    <x v="0"/>
    <x v="6"/>
    <n v="1"/>
    <x v="13"/>
  </r>
  <r>
    <n v="3320"/>
    <s v="GENERAL PATIENT"/>
    <d v="2022-10-10T00:00:00"/>
    <x v="1"/>
    <d v="2022-10-13T00:00:00"/>
    <d v="2022-10-13T00:00:00"/>
    <n v="22026852"/>
    <n v="2235438"/>
    <n v="10013542455"/>
    <s v="RITESH JAIN"/>
    <x v="1742"/>
    <n v="4112"/>
    <n v="30476"/>
    <n v="30476"/>
    <n v="0"/>
    <x v="0"/>
    <x v="1"/>
    <n v="1"/>
    <x v="0"/>
  </r>
  <r>
    <n v="3321"/>
    <s v="STAR HEALTH CARE  (CREDIT)"/>
    <d v="2022-10-11T00:00:00"/>
    <x v="1"/>
    <d v="2022-10-11T00:00:00"/>
    <d v="2022-10-11T00:00:00"/>
    <n v="22026622"/>
    <n v="2235587"/>
    <n v="10013481278"/>
    <s v="NEELAM GUPTA"/>
    <x v="158"/>
    <n v="0"/>
    <n v="2500"/>
    <n v="2500"/>
    <n v="0"/>
    <x v="0"/>
    <x v="6"/>
    <n v="1"/>
    <x v="13"/>
  </r>
  <r>
    <n v="3322"/>
    <s v="GENERAL PATIENT"/>
    <d v="2022-10-12T00:00:00"/>
    <x v="1"/>
    <d v="2022-10-13T00:00:00"/>
    <d v="2022-10-13T00:00:00"/>
    <n v="22026899"/>
    <n v="2235624"/>
    <n v="1001803845"/>
    <s v="TILISHA PRAJAPATI"/>
    <x v="1743"/>
    <n v="6250"/>
    <n v="48603"/>
    <n v="48603"/>
    <n v="0"/>
    <x v="0"/>
    <x v="1"/>
    <n v="1"/>
    <x v="2"/>
  </r>
  <r>
    <n v="3323"/>
    <s v=" MUNICIPAL CORPORATION OF DELHI"/>
    <d v="2022-10-06T00:00:00"/>
    <x v="1"/>
    <d v="2022-10-11T00:00:00"/>
    <d v="2022-10-11T00:00:00"/>
    <n v="22026579"/>
    <n v="2234931"/>
    <n v="1001802875"/>
    <s v="SHRESHTHA DEVI"/>
    <x v="1744"/>
    <n v="0"/>
    <n v="16164"/>
    <n v="16164"/>
    <n v="0"/>
    <x v="0"/>
    <x v="1"/>
    <n v="1"/>
    <x v="0"/>
  </r>
  <r>
    <n v="3324"/>
    <s v="NIVA BUPA"/>
    <d v="2022-10-26T00:00:00"/>
    <x v="1"/>
    <d v="2022-10-29T00:00:00"/>
    <d v="2022-10-29T00:00:00"/>
    <n v="22029055"/>
    <n v="2237502"/>
    <n v="1001806356"/>
    <s v="SUNENA MALE BABY BATRA GULATI"/>
    <x v="1745"/>
    <n v="0"/>
    <n v="7381"/>
    <n v="7381"/>
    <n v="0"/>
    <x v="0"/>
    <x v="1"/>
    <n v="1"/>
    <x v="3"/>
  </r>
  <r>
    <n v="3325"/>
    <s v="NIVA BUPA"/>
    <d v="2022-10-27T00:00:00"/>
    <x v="1"/>
    <d v="2022-10-29T00:00:00"/>
    <d v="2022-10-29T00:00:00"/>
    <n v="22029051"/>
    <n v="2237685"/>
    <n v="1001806631"/>
    <s v="SANJEEV KUMAR BAHUGUNA"/>
    <x v="1746"/>
    <n v="7360"/>
    <n v="54047"/>
    <n v="4616"/>
    <n v="49431"/>
    <x v="1"/>
    <x v="2"/>
    <n v="8.5407145632505038E-2"/>
    <x v="0"/>
  </r>
  <r>
    <n v="3326"/>
    <s v="GOVT. OF NCT OF DELHI"/>
    <d v="2022-10-03T00:00:00"/>
    <x v="1"/>
    <d v="2022-10-03T00:00:00"/>
    <d v="2022-10-03T00:00:00"/>
    <n v="22025329"/>
    <n v="2234354"/>
    <n v="10013269857"/>
    <s v="JAI BHAGWAN"/>
    <x v="43"/>
    <n v="0"/>
    <n v="1610"/>
    <n v="1610"/>
    <n v="0"/>
    <x v="0"/>
    <x v="6"/>
    <n v="1"/>
    <x v="13"/>
  </r>
  <r>
    <n v="3327"/>
    <s v=" RELIGARE HEALTH INSURANCE"/>
    <d v="2022-10-05T00:00:00"/>
    <x v="1"/>
    <d v="2022-10-07T00:00:00"/>
    <d v="2022-10-07T00:00:00"/>
    <n v="22025994"/>
    <n v="2234664"/>
    <n v="1001725897"/>
    <s v="MD IMRAN SHEKH"/>
    <x v="1747"/>
    <n v="3921"/>
    <n v="24240"/>
    <n v="1000"/>
    <n v="23240"/>
    <x v="1"/>
    <x v="3"/>
    <n v="4.1254125412541254E-2"/>
    <x v="0"/>
  </r>
  <r>
    <n v="3328"/>
    <s v="DGHS (DELHI GOVT.)"/>
    <d v="2022-10-08T00:00:00"/>
    <x v="1"/>
    <d v="2022-10-10T00:00:00"/>
    <d v="2022-10-10T00:00:00"/>
    <n v="22026355"/>
    <n v="2235149"/>
    <n v="1001800829"/>
    <s v="RAM NARAIN BANS"/>
    <x v="1748"/>
    <n v="0"/>
    <n v="186478"/>
    <n v="24420"/>
    <n v="162058"/>
    <x v="1"/>
    <x v="2"/>
    <n v="0.13095378543313421"/>
    <x v="4"/>
  </r>
  <r>
    <n v="3329"/>
    <s v="CGHS"/>
    <d v="2022-10-19T00:00:00"/>
    <x v="1"/>
    <d v="2022-10-19T00:00:00"/>
    <d v="2022-10-19T00:00:00"/>
    <n v="22027646"/>
    <n v="2236586"/>
    <n v="10013401198"/>
    <s v="RAM KUMAR"/>
    <x v="43"/>
    <n v="0"/>
    <n v="1610"/>
    <n v="1610"/>
    <n v="0"/>
    <x v="0"/>
    <x v="6"/>
    <n v="1"/>
    <x v="13"/>
  </r>
  <r>
    <n v="3330"/>
    <s v="GENERAL PATIENT (MAH)"/>
    <d v="2022-10-06T00:00:00"/>
    <x v="1"/>
    <d v="2022-10-19T00:00:00"/>
    <d v="2022-10-19T00:00:00"/>
    <n v="22027731"/>
    <n v="2234873"/>
    <n v="1001135664"/>
    <s v="ROSHNI DEVI"/>
    <x v="1749"/>
    <n v="316888"/>
    <n v="0"/>
    <n v="0"/>
    <n v="0"/>
    <x v="0"/>
    <x v="9"/>
    <e v="#DIV/0!"/>
    <x v="0"/>
  </r>
  <r>
    <n v="3331"/>
    <s v="CARE HEALTH INSURANCE LIMITED"/>
    <d v="2022-10-20T00:00:00"/>
    <x v="1"/>
    <d v="2022-10-24T00:00:00"/>
    <d v="2022-10-24T00:00:00"/>
    <n v="22028437"/>
    <n v="2236827"/>
    <n v="10013543940"/>
    <s v="SHASHANK JAIN"/>
    <x v="1750"/>
    <n v="9940"/>
    <n v="72698"/>
    <n v="2125"/>
    <n v="70573"/>
    <x v="1"/>
    <x v="2"/>
    <n v="2.9230515282401167E-2"/>
    <x v="0"/>
  </r>
  <r>
    <n v="3332"/>
    <s v="GENERAL PATIENT"/>
    <d v="2022-10-06T00:00:00"/>
    <x v="1"/>
    <d v="2022-10-12T00:00:00"/>
    <d v="2022-10-12T00:00:00"/>
    <n v="22026706"/>
    <n v="2234954"/>
    <n v="10013541886"/>
    <s v="MUKESH KUMAR"/>
    <x v="1751"/>
    <n v="62568"/>
    <n v="0"/>
    <n v="0"/>
    <n v="0"/>
    <x v="0"/>
    <x v="9"/>
    <e v="#DIV/0!"/>
    <x v="0"/>
  </r>
  <r>
    <n v="3333"/>
    <s v="HDFC ERGO General Insurance Co. Ltd."/>
    <d v="2022-10-08T00:00:00"/>
    <x v="1"/>
    <d v="2022-10-12T00:00:00"/>
    <d v="2022-10-12T00:00:00"/>
    <n v="22026745"/>
    <n v="2235253"/>
    <n v="10013542247"/>
    <s v="RUBAL BANSAL"/>
    <x v="1752"/>
    <n v="0"/>
    <n v="64087"/>
    <n v="2072"/>
    <n v="62015"/>
    <x v="1"/>
    <x v="2"/>
    <n v="3.2331049978934885E-2"/>
    <x v="0"/>
  </r>
  <r>
    <n v="3334"/>
    <s v="GENERAL PATIENT"/>
    <d v="2022-10-16T00:00:00"/>
    <x v="1"/>
    <d v="2022-10-18T00:00:00"/>
    <d v="2022-10-18T00:00:00"/>
    <n v="22027547"/>
    <n v="2236233"/>
    <n v="1001804658"/>
    <s v="KANIKA FEMALE BABY DHAWAN"/>
    <x v="1753"/>
    <n v="2165"/>
    <n v="15812"/>
    <n v="15812"/>
    <n v="0"/>
    <x v="0"/>
    <x v="2"/>
    <n v="1"/>
    <x v="3"/>
  </r>
  <r>
    <n v="3335"/>
    <s v="GENERAL PATIENT"/>
    <d v="2022-10-04T00:00:00"/>
    <x v="1"/>
    <d v="2022-10-04T00:00:00"/>
    <d v="2022-10-04T00:00:00"/>
    <n v="22025558"/>
    <n v="2234572"/>
    <n v="1001735249"/>
    <s v="SATISH TYAGI"/>
    <x v="127"/>
    <n v="500"/>
    <n v="2180"/>
    <n v="2180"/>
    <n v="0"/>
    <x v="0"/>
    <x v="6"/>
    <n v="1"/>
    <x v="13"/>
  </r>
  <r>
    <n v="3336"/>
    <s v=" Paramount Health Services and Insurance TPA Pvt.Ltd."/>
    <d v="2022-10-04T00:00:00"/>
    <x v="1"/>
    <d v="2022-10-04T00:00:00"/>
    <d v="2022-10-04T00:00:00"/>
    <n v="22025601"/>
    <n v="2234602"/>
    <n v="1001658205"/>
    <s v="USHA SINGH"/>
    <x v="141"/>
    <n v="0"/>
    <n v="2950"/>
    <n v="295"/>
    <n v="2655"/>
    <x v="1"/>
    <x v="6"/>
    <n v="0.1"/>
    <x v="13"/>
  </r>
  <r>
    <n v="3337"/>
    <s v="T.T.K"/>
    <d v="2022-10-05T00:00:00"/>
    <x v="1"/>
    <d v="2022-10-05T00:00:00"/>
    <d v="2022-10-05T00:00:00"/>
    <n v="22025713"/>
    <n v="2234718"/>
    <n v="10013376566"/>
    <s v="RAJEEV BHATIA"/>
    <x v="75"/>
    <n v="0"/>
    <n v="2200"/>
    <n v="440"/>
    <n v="1760"/>
    <x v="1"/>
    <x v="12"/>
    <n v="0.2"/>
    <x v="13"/>
  </r>
  <r>
    <n v="3338"/>
    <s v="GENERAL PATIENT (MAH)"/>
    <d v="2022-09-23T00:00:00"/>
    <x v="0"/>
    <d v="2022-10-06T00:00:00"/>
    <d v="2022-10-06T00:00:00"/>
    <n v="22025838"/>
    <n v="2233191"/>
    <n v="1000838860"/>
    <s v="DEVKI NANDAN GOYAL"/>
    <x v="1754"/>
    <n v="331703"/>
    <n v="0"/>
    <n v="0"/>
    <n v="0"/>
    <x v="0"/>
    <x v="9"/>
    <e v="#DIV/0!"/>
    <x v="11"/>
  </r>
  <r>
    <n v="3339"/>
    <s v="GENERAL PATIENT"/>
    <d v="2022-09-19T00:00:00"/>
    <x v="0"/>
    <d v="2022-10-08T00:00:00"/>
    <d v="2022-10-08T00:00:00"/>
    <n v="22026199"/>
    <n v="2232581"/>
    <n v="1001799576"/>
    <s v="NIRMALA DEVI"/>
    <x v="1755"/>
    <n v="22425"/>
    <n v="0"/>
    <n v="0"/>
    <n v="0"/>
    <x v="0"/>
    <x v="9"/>
    <e v="#DIV/0!"/>
    <x v="1"/>
  </r>
  <r>
    <n v="3340"/>
    <s v="DGHS (DELHI GOVT.)"/>
    <d v="2022-10-01T00:00:00"/>
    <x v="1"/>
    <d v="2022-10-03T00:00:00"/>
    <d v="2022-10-03T00:00:00"/>
    <n v="22025396"/>
    <n v="2234288"/>
    <n v="1000869587"/>
    <s v="DAULAT RAM SHARMA"/>
    <x v="1756"/>
    <n v="0"/>
    <n v="13272"/>
    <n v="520"/>
    <n v="12752"/>
    <x v="1"/>
    <x v="1"/>
    <n v="3.9180229053646778E-2"/>
    <x v="4"/>
  </r>
  <r>
    <n v="3341"/>
    <s v="GENERAL PATIENT"/>
    <d v="2022-10-13T00:00:00"/>
    <x v="1"/>
    <d v="2022-10-13T00:00:00"/>
    <d v="2022-10-13T00:00:00"/>
    <n v="22026836"/>
    <n v="2235801"/>
    <n v="1001561182"/>
    <s v="TAPATI CHATTERJEE"/>
    <x v="127"/>
    <n v="0"/>
    <n v="2680"/>
    <n v="2680"/>
    <n v="0"/>
    <x v="0"/>
    <x v="6"/>
    <n v="1"/>
    <x v="13"/>
  </r>
  <r>
    <n v="3342"/>
    <s v="GENERAL PATIENT"/>
    <d v="2022-10-13T00:00:00"/>
    <x v="1"/>
    <d v="2022-10-13T00:00:00"/>
    <d v="2022-10-13T00:00:00"/>
    <n v="22026959"/>
    <n v="2235884"/>
    <n v="1001491648"/>
    <s v="SURESH"/>
    <x v="1757"/>
    <n v="11374"/>
    <n v="0"/>
    <n v="0"/>
    <n v="0"/>
    <x v="0"/>
    <x v="9"/>
    <e v="#DIV/0!"/>
    <x v="13"/>
  </r>
  <r>
    <n v="3343"/>
    <s v="GENERAL PATIENT"/>
    <d v="2022-10-07T00:00:00"/>
    <x v="1"/>
    <d v="2022-10-07T00:00:00"/>
    <d v="2022-10-07T00:00:00"/>
    <n v="22025938"/>
    <n v="2234995"/>
    <n v="1000890994"/>
    <s v="HIMANSHU KAPOOR"/>
    <x v="112"/>
    <n v="286"/>
    <n v="3202"/>
    <n v="3202"/>
    <n v="0"/>
    <x v="0"/>
    <x v="6"/>
    <n v="1"/>
    <x v="13"/>
  </r>
  <r>
    <n v="3344"/>
    <s v="CGHS"/>
    <d v="2022-09-29T00:00:00"/>
    <x v="0"/>
    <d v="2022-10-03T00:00:00"/>
    <d v="2022-10-03T00:00:00"/>
    <n v="22025379"/>
    <n v="2233949"/>
    <n v="10013530699"/>
    <s v="SONIKA BAGGA"/>
    <x v="1758"/>
    <n v="0"/>
    <n v="22534"/>
    <n v="22534"/>
    <n v="0"/>
    <x v="0"/>
    <x v="1"/>
    <n v="1"/>
    <x v="5"/>
  </r>
  <r>
    <n v="3345"/>
    <s v=" CGHS CREDIT"/>
    <d v="2022-09-28T00:00:00"/>
    <x v="0"/>
    <d v="2022-10-07T00:00:00"/>
    <d v="2022-10-07T00:00:00"/>
    <n v="22026018"/>
    <n v="2233851"/>
    <n v="1001801333"/>
    <s v="DHARAM SINGH"/>
    <x v="1759"/>
    <n v="0"/>
    <n v="113836"/>
    <n v="6788"/>
    <n v="107048"/>
    <x v="1"/>
    <x v="1"/>
    <n v="5.9629642643803368E-2"/>
    <x v="0"/>
  </r>
  <r>
    <n v="3346"/>
    <s v=" CGHS Cash"/>
    <d v="2022-10-07T00:00:00"/>
    <x v="1"/>
    <d v="2022-10-07T00:00:00"/>
    <d v="2022-10-07T00:00:00"/>
    <n v="22026049"/>
    <n v="2235074"/>
    <n v="1001758739"/>
    <s v="HEMLATA"/>
    <x v="137"/>
    <n v="0"/>
    <n v="2560"/>
    <n v="2560"/>
    <n v="0"/>
    <x v="0"/>
    <x v="6"/>
    <n v="1"/>
    <x v="13"/>
  </r>
  <r>
    <n v="3347"/>
    <s v="CGHS"/>
    <d v="2022-10-10T00:00:00"/>
    <x v="1"/>
    <d v="2022-10-11T00:00:00"/>
    <d v="2022-10-11T00:00:00"/>
    <n v="22026518"/>
    <n v="2235324"/>
    <n v="1001028367"/>
    <s v="DEVYANSHI VED"/>
    <x v="1329"/>
    <n v="0"/>
    <n v="19639"/>
    <n v="19639"/>
    <n v="0"/>
    <x v="0"/>
    <x v="1"/>
    <n v="1"/>
    <x v="11"/>
  </r>
  <r>
    <n v="3348"/>
    <s v="STAR HEALTH CARE  (CREDIT)"/>
    <d v="2022-10-15T00:00:00"/>
    <x v="1"/>
    <d v="2022-10-15T00:00:00"/>
    <d v="2022-10-15T00:00:00"/>
    <n v="22027185"/>
    <n v="2236113"/>
    <n v="10013494261"/>
    <s v="SUSHIL KUMAR"/>
    <x v="294"/>
    <n v="0"/>
    <n v="23500"/>
    <n v="1500"/>
    <n v="22000"/>
    <x v="1"/>
    <x v="6"/>
    <n v="6.3829787234042548E-2"/>
    <x v="4"/>
  </r>
  <r>
    <n v="3349"/>
    <s v=" MEDI ASSIST INSURANCE TPA LTD"/>
    <d v="2022-10-15T00:00:00"/>
    <x v="1"/>
    <d v="2022-10-16T00:00:00"/>
    <d v="2022-10-16T00:00:00"/>
    <n v="22027309"/>
    <n v="2236110"/>
    <n v="1001804499"/>
    <s v="ASHA DEVI"/>
    <x v="1760"/>
    <n v="0"/>
    <n v="83130"/>
    <n v="2000"/>
    <n v="81130"/>
    <x v="1"/>
    <x v="2"/>
    <n v="2.4058703235895585E-2"/>
    <x v="14"/>
  </r>
  <r>
    <n v="3350"/>
    <s v="MEDI ASSIST"/>
    <d v="2022-10-04T00:00:00"/>
    <x v="1"/>
    <d v="2022-10-04T00:00:00"/>
    <d v="2022-10-04T00:00:00"/>
    <n v="22025482"/>
    <n v="2234516"/>
    <n v="1000891498"/>
    <s v="GULSAN JAMWAL"/>
    <x v="75"/>
    <n v="0"/>
    <n v="2200"/>
    <n v="440"/>
    <n v="1760"/>
    <x v="1"/>
    <x v="12"/>
    <n v="0.2"/>
    <x v="13"/>
  </r>
  <r>
    <n v="3351"/>
    <s v="GENERAL PATIENT"/>
    <d v="2022-10-04T00:00:00"/>
    <x v="1"/>
    <d v="2022-10-04T00:00:00"/>
    <d v="2022-10-04T00:00:00"/>
    <n v="22025484"/>
    <n v="2234519"/>
    <n v="1000975940"/>
    <s v="PROMILA KANSAL"/>
    <x v="45"/>
    <n v="442"/>
    <n v="4548"/>
    <n v="4548"/>
    <n v="0"/>
    <x v="0"/>
    <x v="6"/>
    <n v="1"/>
    <x v="13"/>
  </r>
  <r>
    <n v="3352"/>
    <s v="GENERAL PATIENT"/>
    <d v="2022-10-25T00:00:00"/>
    <x v="1"/>
    <d v="2022-10-25T00:00:00"/>
    <d v="2022-10-25T00:00:00"/>
    <n v="22028559"/>
    <n v="2237343"/>
    <n v="10013542155"/>
    <s v="SHIVENDER GUPTA"/>
    <x v="1761"/>
    <n v="754"/>
    <n v="5757"/>
    <n v="5757"/>
    <n v="0"/>
    <x v="0"/>
    <x v="6"/>
    <n v="1"/>
    <x v="0"/>
  </r>
  <r>
    <n v="3353"/>
    <s v="GENERAL PATIENT"/>
    <d v="2022-10-25T00:00:00"/>
    <x v="1"/>
    <d v="2022-10-25T00:00:00"/>
    <d v="2022-10-25T00:00:00"/>
    <n v="22028562"/>
    <n v="2237406"/>
    <n v="1001012376"/>
    <s v="SHOBHA"/>
    <x v="190"/>
    <n v="3288"/>
    <n v="0"/>
    <n v="0"/>
    <n v="0"/>
    <x v="0"/>
    <x v="9"/>
    <e v="#DIV/0!"/>
    <x v="13"/>
  </r>
  <r>
    <n v="3354"/>
    <s v="CGHS ( CREDIT)"/>
    <d v="2022-10-14T00:00:00"/>
    <x v="1"/>
    <d v="2022-10-25T00:00:00"/>
    <d v="2022-10-25T00:00:00"/>
    <n v="22028565"/>
    <n v="2235944"/>
    <n v="10013510868"/>
    <s v="JAITOON BIBI"/>
    <x v="1762"/>
    <n v="0"/>
    <n v="203391"/>
    <n v="1692"/>
    <n v="201699"/>
    <x v="1"/>
    <x v="1"/>
    <n v="8.3189521660250454E-3"/>
    <x v="0"/>
  </r>
  <r>
    <n v="3355"/>
    <s v="CARE HEALTH INSURANCE LIMITED"/>
    <d v="2022-10-26T00:00:00"/>
    <x v="1"/>
    <d v="2022-10-27T00:00:00"/>
    <d v="2022-10-27T00:00:00"/>
    <n v="22028752"/>
    <n v="2237478"/>
    <n v="10013437651"/>
    <s v="VIJAY KUMAR AGGARWAL"/>
    <x v="1763"/>
    <n v="0"/>
    <n v="225390"/>
    <n v="38553"/>
    <n v="186837"/>
    <x v="1"/>
    <x v="4"/>
    <n v="0.17105017968853986"/>
    <x v="4"/>
  </r>
  <r>
    <n v="3356"/>
    <s v="HARAYANA GOVT."/>
    <d v="2022-10-01T00:00:00"/>
    <x v="1"/>
    <d v="2022-10-01T00:00:00"/>
    <d v="2022-10-01T00:00:00"/>
    <n v="22025262"/>
    <n v="2234271"/>
    <n v="1001439428"/>
    <s v="DR.S.P.SHARMA"/>
    <x v="99"/>
    <n v="0"/>
    <n v="2758"/>
    <n v="2758"/>
    <n v="0"/>
    <x v="0"/>
    <x v="6"/>
    <n v="1"/>
    <x v="13"/>
  </r>
  <r>
    <n v="3357"/>
    <s v="GENERAL PATIENT"/>
    <d v="2022-10-08T00:00:00"/>
    <x v="1"/>
    <d v="2022-10-10T00:00:00"/>
    <d v="2022-10-10T00:00:00"/>
    <n v="22026326"/>
    <n v="2235249"/>
    <n v="1001802564"/>
    <s v="B.O DAKSHI"/>
    <x v="1764"/>
    <n v="3312"/>
    <n v="19811"/>
    <n v="19811"/>
    <n v="0"/>
    <x v="0"/>
    <x v="1"/>
    <n v="1"/>
    <x v="3"/>
  </r>
  <r>
    <n v="3358"/>
    <s v="GOVT. OF NCT OF DELHI"/>
    <d v="2022-10-12T00:00:00"/>
    <x v="1"/>
    <d v="2022-10-12T00:00:00"/>
    <d v="2022-10-12T00:00:00"/>
    <n v="22026727"/>
    <n v="2235673"/>
    <n v="10013362937"/>
    <s v="JAYAMANTI"/>
    <x v="43"/>
    <n v="0"/>
    <n v="1610"/>
    <n v="1610"/>
    <n v="0"/>
    <x v="0"/>
    <x v="6"/>
    <n v="1"/>
    <x v="13"/>
  </r>
  <r>
    <n v="3359"/>
    <s v=" MEDI ASSIST INSURANCE TPA LTD"/>
    <d v="2022-10-19T00:00:00"/>
    <x v="1"/>
    <d v="2022-10-22T00:00:00"/>
    <d v="2022-10-22T00:00:00"/>
    <n v="22028175"/>
    <n v="2236652"/>
    <n v="1001805279"/>
    <s v="VISHAKHA"/>
    <x v="1765"/>
    <n v="7450"/>
    <n v="38344"/>
    <n v="1000"/>
    <n v="37344"/>
    <x v="1"/>
    <x v="3"/>
    <n v="2.6079699561861049E-2"/>
    <x v="0"/>
  </r>
  <r>
    <n v="3360"/>
    <s v="RCare Health"/>
    <d v="2022-10-14T00:00:00"/>
    <x v="1"/>
    <d v="2022-10-20T00:00:00"/>
    <d v="2022-10-20T00:00:00"/>
    <n v="22027847"/>
    <n v="2236056"/>
    <n v="10013505442"/>
    <s v="RAMPHAL SHARMA"/>
    <x v="1766"/>
    <n v="0"/>
    <n v="213006"/>
    <n v="69927"/>
    <n v="143079"/>
    <x v="1"/>
    <x v="1"/>
    <n v="0.32828652714008055"/>
    <x v="0"/>
  </r>
  <r>
    <n v="3361"/>
    <s v="GENERAL PATIENT"/>
    <d v="2022-10-27T00:00:00"/>
    <x v="1"/>
    <d v="2022-10-27T00:00:00"/>
    <d v="2022-10-27T00:00:00"/>
    <n v="22028797"/>
    <n v="2237670"/>
    <n v="1000891310"/>
    <s v="MUKESH"/>
    <x v="447"/>
    <n v="3319"/>
    <n v="0"/>
    <n v="0"/>
    <n v="0"/>
    <x v="0"/>
    <x v="9"/>
    <e v="#DIV/0!"/>
    <x v="13"/>
  </r>
  <r>
    <n v="3362"/>
    <s v="GENERAL PATIENT"/>
    <d v="2022-10-03T00:00:00"/>
    <x v="1"/>
    <d v="2022-10-03T00:00:00"/>
    <d v="2022-10-03T00:00:00"/>
    <n v="22025354"/>
    <n v="2234374"/>
    <n v="10013415573"/>
    <s v="SANJEEV KUKERJA"/>
    <x v="45"/>
    <n v="419"/>
    <n v="4571"/>
    <n v="4571"/>
    <n v="0"/>
    <x v="0"/>
    <x v="6"/>
    <n v="1"/>
    <x v="13"/>
  </r>
  <r>
    <n v="3363"/>
    <s v="GENERAL PATIENT"/>
    <d v="2022-10-06T00:00:00"/>
    <x v="1"/>
    <d v="2022-10-06T00:00:00"/>
    <d v="2022-10-06T00:00:00"/>
    <n v="22025872"/>
    <n v="2234875"/>
    <n v="1000891310"/>
    <s v="MUKESH"/>
    <x v="190"/>
    <n v="3288"/>
    <n v="0"/>
    <n v="0"/>
    <n v="0"/>
    <x v="0"/>
    <x v="9"/>
    <e v="#DIV/0!"/>
    <x v="13"/>
  </r>
  <r>
    <n v="3364"/>
    <s v="MEDI ASSIST"/>
    <d v="2022-10-06T00:00:00"/>
    <x v="1"/>
    <d v="2022-10-06T00:00:00"/>
    <d v="2022-10-06T00:00:00"/>
    <n v="22025850"/>
    <n v="2234853"/>
    <n v="1001206152"/>
    <s v="JITENDRA GARG"/>
    <x v="75"/>
    <n v="0"/>
    <n v="2200"/>
    <n v="440"/>
    <n v="1760"/>
    <x v="1"/>
    <x v="12"/>
    <n v="0.2"/>
    <x v="13"/>
  </r>
  <r>
    <n v="3365"/>
    <s v="GENERAL PATIENT"/>
    <d v="2022-10-10T00:00:00"/>
    <x v="1"/>
    <d v="2022-10-12T00:00:00"/>
    <d v="2022-10-12T00:00:00"/>
    <n v="22026678"/>
    <n v="2235447"/>
    <n v="1000929939"/>
    <s v="BIMLA DEVI"/>
    <x v="1767"/>
    <n v="11182"/>
    <n v="39747"/>
    <n v="39747"/>
    <n v="0"/>
    <x v="0"/>
    <x v="1"/>
    <n v="1"/>
    <x v="4"/>
  </r>
  <r>
    <n v="3366"/>
    <s v="GENERAL PATIENT"/>
    <d v="2022-10-15T00:00:00"/>
    <x v="1"/>
    <d v="2022-10-15T00:00:00"/>
    <d v="2022-10-15T00:00:00"/>
    <n v="22027237"/>
    <n v="2236156"/>
    <n v="10013543111"/>
    <s v="RAGHAV SHARMA"/>
    <x v="16"/>
    <n v="0"/>
    <n v="0"/>
    <n v="0"/>
    <n v="0"/>
    <x v="0"/>
    <x v="1"/>
    <e v="#DIV/0!"/>
    <x v="15"/>
  </r>
  <r>
    <n v="3367"/>
    <s v="GENERAL PATIENT"/>
    <d v="2022-10-19T00:00:00"/>
    <x v="1"/>
    <d v="2022-10-19T00:00:00"/>
    <d v="2022-10-19T00:00:00"/>
    <n v="22027686"/>
    <n v="2236569"/>
    <n v="10013502074"/>
    <s v="ANIL KUMAR"/>
    <x v="1768"/>
    <n v="3914"/>
    <n v="26059"/>
    <n v="26059"/>
    <n v="0"/>
    <x v="0"/>
    <x v="1"/>
    <n v="1"/>
    <x v="4"/>
  </r>
  <r>
    <n v="3368"/>
    <s v="VIDAL HEALTH INSURANCE LIMITED"/>
    <d v="2022-10-09T00:00:00"/>
    <x v="1"/>
    <d v="2022-10-13T00:00:00"/>
    <d v="2022-10-13T00:00:00"/>
    <n v="22026866"/>
    <n v="2235308"/>
    <n v="10013542316"/>
    <s v="DINESH KUMAR"/>
    <x v="1769"/>
    <n v="0"/>
    <n v="121575"/>
    <n v="2295"/>
    <n v="119280"/>
    <x v="1"/>
    <x v="5"/>
    <n v="1.8877236273904998E-2"/>
    <x v="0"/>
  </r>
  <r>
    <n v="3369"/>
    <s v="GENERAL PATIENT"/>
    <d v="2022-09-28T00:00:00"/>
    <x v="0"/>
    <d v="2022-10-04T00:00:00"/>
    <d v="2022-10-04T00:00:00"/>
    <n v="22025531"/>
    <n v="2233855"/>
    <n v="10013540728"/>
    <s v="SANDHYA KUMARI"/>
    <x v="1770"/>
    <n v="66323"/>
    <n v="0"/>
    <n v="0"/>
    <n v="0"/>
    <x v="0"/>
    <x v="9"/>
    <e v="#DIV/0!"/>
    <x v="3"/>
  </r>
  <r>
    <n v="3370"/>
    <s v="GENERAL PATIENT"/>
    <d v="2022-09-29T00:00:00"/>
    <x v="0"/>
    <d v="2022-10-04T00:00:00"/>
    <d v="2022-10-04T00:00:00"/>
    <n v="22025498"/>
    <n v="2233909"/>
    <n v="10013540806"/>
    <s v="BABY OF SRISHTI"/>
    <x v="1771"/>
    <n v="43381"/>
    <n v="91820"/>
    <n v="91820"/>
    <n v="0"/>
    <x v="0"/>
    <x v="7"/>
    <n v="1"/>
    <x v="3"/>
  </r>
  <r>
    <n v="3371"/>
    <s v="MEDI ASSIST"/>
    <d v="2022-10-08T00:00:00"/>
    <x v="1"/>
    <d v="2022-10-13T00:00:00"/>
    <d v="2022-10-13T00:00:00"/>
    <n v="22026917"/>
    <n v="2235223"/>
    <n v="10013261666"/>
    <s v="ANGURI  DEVI"/>
    <x v="1772"/>
    <n v="7239"/>
    <n v="61083"/>
    <n v="4389"/>
    <n v="56694"/>
    <x v="1"/>
    <x v="3"/>
    <n v="7.1853052404105888E-2"/>
    <x v="0"/>
  </r>
  <r>
    <n v="3372"/>
    <s v="CARE HEALTH INSURANCE LIMITED"/>
    <d v="2022-10-25T00:00:00"/>
    <x v="1"/>
    <d v="2022-10-28T00:00:00"/>
    <d v="2022-10-28T00:00:00"/>
    <n v="22028883"/>
    <n v="2237252"/>
    <n v="10013544257"/>
    <s v="AKASH MITTAL"/>
    <x v="1773"/>
    <n v="0"/>
    <n v="93761"/>
    <n v="2125"/>
    <n v="91636"/>
    <x v="1"/>
    <x v="2"/>
    <n v="2.2664007423129018E-2"/>
    <x v="0"/>
  </r>
  <r>
    <n v="3373"/>
    <s v=" MUNICIPAL CORPORATION OF DELHI"/>
    <d v="2022-10-20T00:00:00"/>
    <x v="1"/>
    <d v="2022-10-20T00:00:00"/>
    <d v="2022-10-20T00:00:00"/>
    <n v="22027925"/>
    <n v="2236748"/>
    <n v="1001804115"/>
    <s v="ATTAR SINGH"/>
    <x v="1774"/>
    <n v="0"/>
    <n v="5434"/>
    <n v="5434"/>
    <n v="0"/>
    <x v="0"/>
    <x v="1"/>
    <n v="1"/>
    <x v="14"/>
  </r>
  <r>
    <n v="3374"/>
    <s v="GENERAL PATIENT"/>
    <d v="2022-10-19T00:00:00"/>
    <x v="1"/>
    <d v="2022-10-20T00:00:00"/>
    <d v="2022-10-20T00:00:00"/>
    <n v="22027877"/>
    <n v="2236681"/>
    <n v="10013542805"/>
    <s v="NEHA"/>
    <x v="1775"/>
    <n v="12595"/>
    <n v="25573"/>
    <n v="25573"/>
    <n v="0"/>
    <x v="0"/>
    <x v="18"/>
    <n v="1"/>
    <x v="1"/>
  </r>
  <r>
    <n v="3375"/>
    <s v="MEDI ASSIST"/>
    <d v="2022-10-11T00:00:00"/>
    <x v="1"/>
    <d v="2022-10-15T00:00:00"/>
    <d v="2022-10-15T00:00:00"/>
    <n v="22027116"/>
    <n v="2235563"/>
    <n v="10013526161"/>
    <s v="URVASHI"/>
    <x v="1005"/>
    <n v="0"/>
    <n v="52500"/>
    <n v="1500"/>
    <n v="51000"/>
    <x v="1"/>
    <x v="3"/>
    <n v="2.8571428571428571E-2"/>
    <x v="1"/>
  </r>
  <r>
    <n v="3376"/>
    <s v="DGHS (DELHI GOVT.)"/>
    <d v="2022-09-24T00:00:00"/>
    <x v="0"/>
    <d v="2022-10-01T00:00:00"/>
    <d v="2022-10-01T00:00:00"/>
    <n v="22025192"/>
    <n v="2233322"/>
    <n v="10013538985"/>
    <s v="RAM CHANDRA YADUVANSHI"/>
    <x v="1776"/>
    <n v="0"/>
    <n v="63789"/>
    <n v="4813"/>
    <n v="58976"/>
    <x v="1"/>
    <x v="2"/>
    <n v="7.545188041825393E-2"/>
    <x v="12"/>
  </r>
  <r>
    <n v="3377"/>
    <s v=" MD INDIA TPA"/>
    <d v="2022-10-16T00:00:00"/>
    <x v="1"/>
    <d v="2022-10-21T00:00:00"/>
    <d v="2022-10-21T00:00:00"/>
    <n v="22028008"/>
    <n v="2236243"/>
    <n v="1001804670"/>
    <s v="SANTOSH KUMAR"/>
    <x v="1777"/>
    <n v="20491"/>
    <n v="80460"/>
    <n v="40500"/>
    <n v="39960"/>
    <x v="1"/>
    <x v="3"/>
    <n v="0.50335570469798663"/>
    <x v="0"/>
  </r>
  <r>
    <n v="3378"/>
    <s v=" ADITYA BIRLA HEALTH INSURANCE CO. LIMITED"/>
    <d v="2022-10-22T00:00:00"/>
    <x v="1"/>
    <d v="2022-10-25T00:00:00"/>
    <d v="2022-10-25T00:00:00"/>
    <n v="22028500"/>
    <n v="2236984"/>
    <n v="1001383831"/>
    <s v="VISHWAJEET YADAV"/>
    <x v="1778"/>
    <n v="3789"/>
    <n v="48750"/>
    <n v="1500"/>
    <n v="47250"/>
    <x v="1"/>
    <x v="2"/>
    <n v="3.0769230769230771E-2"/>
    <x v="0"/>
  </r>
  <r>
    <n v="3379"/>
    <s v="GENERAL PATIENT"/>
    <d v="2022-10-23T00:00:00"/>
    <x v="1"/>
    <d v="2022-10-26T00:00:00"/>
    <d v="2022-10-26T00:00:00"/>
    <n v="22028616"/>
    <n v="2237124"/>
    <n v="1001023765"/>
    <s v="ANUBHA GUPTA"/>
    <x v="1779"/>
    <n v="14166"/>
    <n v="103049"/>
    <n v="103049"/>
    <n v="0"/>
    <x v="0"/>
    <x v="2"/>
    <n v="1"/>
    <x v="1"/>
  </r>
  <r>
    <n v="3380"/>
    <s v="GENERAL PATIENT"/>
    <d v="2022-10-10T00:00:00"/>
    <x v="1"/>
    <d v="2022-10-10T00:00:00"/>
    <d v="2022-10-10T00:00:00"/>
    <n v="22026329"/>
    <n v="2235327"/>
    <n v="10013415573"/>
    <s v="SANJEEV KUKERJA"/>
    <x v="45"/>
    <n v="413"/>
    <n v="4577"/>
    <n v="4577"/>
    <n v="0"/>
    <x v="0"/>
    <x v="6"/>
    <n v="1"/>
    <x v="13"/>
  </r>
  <r>
    <n v="3381"/>
    <s v="Heritage Health TPA Private Limited"/>
    <d v="2022-10-25T00:00:00"/>
    <x v="1"/>
    <d v="2022-10-29T00:00:00"/>
    <d v="2022-10-29T00:00:00"/>
    <n v="22029016"/>
    <n v="2237417"/>
    <n v="1001079461"/>
    <s v="ANUSHREE AGGARWAL"/>
    <x v="1780"/>
    <n v="19908"/>
    <n v="125581"/>
    <n v="51517"/>
    <n v="74064"/>
    <x v="1"/>
    <x v="5"/>
    <n v="0.41022925442543062"/>
    <x v="0"/>
  </r>
  <r>
    <n v="3382"/>
    <s v=" CGHS Cash"/>
    <d v="2022-10-06T00:00:00"/>
    <x v="1"/>
    <d v="2022-10-06T00:00:00"/>
    <d v="2022-10-06T00:00:00"/>
    <n v="22025892"/>
    <n v="2234898"/>
    <n v="1001797549"/>
    <s v="ASHOK KUMAR"/>
    <x v="43"/>
    <n v="0"/>
    <n v="1610"/>
    <n v="1610"/>
    <n v="0"/>
    <x v="0"/>
    <x v="6"/>
    <n v="1"/>
    <x v="13"/>
  </r>
  <r>
    <n v="3383"/>
    <s v="GENERAL PATIENT"/>
    <d v="2022-10-10T00:00:00"/>
    <x v="1"/>
    <d v="2022-10-16T00:00:00"/>
    <d v="2022-10-16T00:00:00"/>
    <n v="22027290"/>
    <n v="2235414"/>
    <n v="1001309320"/>
    <s v="OM"/>
    <x v="1781"/>
    <n v="17513"/>
    <n v="107950"/>
    <n v="107950"/>
    <n v="0"/>
    <x v="0"/>
    <x v="1"/>
    <n v="1"/>
    <x v="3"/>
  </r>
  <r>
    <n v="3384"/>
    <s v="GENERAL PATIENT"/>
    <d v="2022-09-28T00:00:00"/>
    <x v="0"/>
    <d v="2022-10-01T00:00:00"/>
    <d v="2022-10-01T00:00:00"/>
    <n v="22025161"/>
    <n v="2233753"/>
    <n v="10013533226"/>
    <s v="NISHA PAL"/>
    <x v="1782"/>
    <n v="6689"/>
    <n v="47162"/>
    <n v="47162"/>
    <n v="0"/>
    <x v="0"/>
    <x v="1"/>
    <n v="1"/>
    <x v="1"/>
  </r>
  <r>
    <n v="3385"/>
    <s v="CGHS"/>
    <d v="2022-10-16T00:00:00"/>
    <x v="1"/>
    <d v="2022-10-23T00:00:00"/>
    <d v="2022-10-23T00:00:00"/>
    <n v="22028328"/>
    <n v="2236257"/>
    <n v="10013519666"/>
    <s v="KIRAN"/>
    <x v="1783"/>
    <n v="0"/>
    <n v="31358"/>
    <n v="31358"/>
    <n v="0"/>
    <x v="0"/>
    <x v="1"/>
    <n v="1"/>
    <x v="1"/>
  </r>
  <r>
    <n v="3386"/>
    <s v="GENERAL PATIENT"/>
    <d v="2022-09-22T00:00:00"/>
    <x v="0"/>
    <d v="2022-10-10T00:00:00"/>
    <d v="2022-10-10T00:00:00"/>
    <n v="22026343"/>
    <n v="2233060"/>
    <n v="1001800316"/>
    <s v="DUMMY BED"/>
    <x v="16"/>
    <n v="0"/>
    <n v="0"/>
    <n v="0"/>
    <n v="0"/>
    <x v="0"/>
    <x v="6"/>
    <e v="#DIV/0!"/>
    <x v="26"/>
  </r>
  <r>
    <n v="3387"/>
    <s v="MD INDIA TPA PVT.LTD."/>
    <d v="2022-10-10T00:00:00"/>
    <x v="1"/>
    <d v="2022-10-20T00:00:00"/>
    <d v="2022-10-20T00:00:00"/>
    <n v="22027898"/>
    <n v="2235445"/>
    <n v="10013542460"/>
    <s v="SEEMA KAPOOR"/>
    <x v="1784"/>
    <n v="41271"/>
    <n v="303489"/>
    <n v="26758"/>
    <n v="276731"/>
    <x v="1"/>
    <x v="3"/>
    <n v="8.8167940188936006E-2"/>
    <x v="0"/>
  </r>
  <r>
    <n v="3388"/>
    <s v="GENERAL PATIENT"/>
    <d v="2022-10-21T00:00:00"/>
    <x v="1"/>
    <d v="2022-10-21T00:00:00"/>
    <d v="2022-10-21T00:00:00"/>
    <n v="22028040"/>
    <n v="2236926"/>
    <n v="10013372212"/>
    <s v="V. K.  SURI"/>
    <x v="45"/>
    <n v="413"/>
    <n v="4577"/>
    <n v="4577"/>
    <n v="0"/>
    <x v="0"/>
    <x v="6"/>
    <n v="1"/>
    <x v="13"/>
  </r>
  <r>
    <n v="3389"/>
    <s v="GENERAL PATIENT (MAH)"/>
    <d v="2022-10-10T00:00:00"/>
    <x v="1"/>
    <d v="2022-10-13T00:00:00"/>
    <d v="2022-10-13T00:00:00"/>
    <n v="22026935"/>
    <n v="2235314"/>
    <n v="1000960549"/>
    <s v="R K  AGGARWAL"/>
    <x v="1785"/>
    <n v="125495"/>
    <n v="0"/>
    <n v="0"/>
    <n v="0"/>
    <x v="0"/>
    <x v="9"/>
    <e v="#DIV/0!"/>
    <x v="0"/>
  </r>
  <r>
    <n v="3390"/>
    <s v="GENERAL PATIENT"/>
    <d v="2022-10-27T00:00:00"/>
    <x v="1"/>
    <d v="2022-10-27T00:00:00"/>
    <d v="2022-10-27T00:00:00"/>
    <n v="22028794"/>
    <n v="2237654"/>
    <n v="10013526375"/>
    <s v="BIRBHAN GARG"/>
    <x v="45"/>
    <n v="416"/>
    <n v="4574"/>
    <n v="4574"/>
    <n v="0"/>
    <x v="0"/>
    <x v="6"/>
    <n v="1"/>
    <x v="13"/>
  </r>
  <r>
    <n v="3391"/>
    <s v="GENERAL PATIENT"/>
    <d v="2022-10-28T00:00:00"/>
    <x v="1"/>
    <d v="2022-10-28T00:00:00"/>
    <d v="2022-10-28T00:00:00"/>
    <n v="22028969"/>
    <n v="2237863"/>
    <n v="10013352607"/>
    <s v="SHRIKANT"/>
    <x v="73"/>
    <n v="279"/>
    <n v="2565"/>
    <n v="2565"/>
    <n v="0"/>
    <x v="0"/>
    <x v="6"/>
    <n v="1"/>
    <x v="13"/>
  </r>
  <r>
    <n v="3392"/>
    <s v="STAR HEALTH CARE  (CREDIT)"/>
    <d v="2022-10-18T00:00:00"/>
    <x v="1"/>
    <d v="2022-10-20T00:00:00"/>
    <d v="2022-10-20T00:00:00"/>
    <n v="22027837"/>
    <n v="2236564"/>
    <n v="1001553932"/>
    <s v="RENU DEVI"/>
    <x v="1786"/>
    <n v="4323"/>
    <n v="52645"/>
    <n v="2125"/>
    <n v="50520"/>
    <x v="1"/>
    <x v="1"/>
    <n v="4.0364706999715075E-2"/>
    <x v="1"/>
  </r>
  <r>
    <n v="3393"/>
    <s v=" GOOD HEALTH TPA SERVICES"/>
    <d v="2022-10-25T00:00:00"/>
    <x v="1"/>
    <d v="2022-10-31T00:00:00"/>
    <d v="2022-10-31T00:00:00"/>
    <n v="22029302"/>
    <n v="2237327"/>
    <n v="1001789869"/>
    <s v="GOPI RAM GUPTA"/>
    <x v="1787"/>
    <n v="9866"/>
    <n v="67075"/>
    <n v="17918"/>
    <n v="49157"/>
    <x v="1"/>
    <x v="3"/>
    <n v="0.26713380544166976"/>
    <x v="0"/>
  </r>
  <r>
    <n v="3394"/>
    <s v="DELHI VIDYUT BOARD"/>
    <d v="2022-10-26T00:00:00"/>
    <x v="1"/>
    <d v="2022-10-26T00:00:00"/>
    <d v="2022-10-26T00:00:00"/>
    <n v="22028680"/>
    <n v="2237528"/>
    <n v="10013540903"/>
    <s v="RANVIR SEHGAL"/>
    <x v="43"/>
    <n v="0"/>
    <n v="1610"/>
    <n v="1610"/>
    <n v="0"/>
    <x v="0"/>
    <x v="6"/>
    <n v="1"/>
    <x v="13"/>
  </r>
  <r>
    <n v="3395"/>
    <s v="GOVT. OF NCT OF DELHI"/>
    <d v="2022-10-27T00:00:00"/>
    <x v="1"/>
    <d v="2022-10-27T00:00:00"/>
    <d v="2022-10-27T00:00:00"/>
    <n v="22028713"/>
    <n v="2237605"/>
    <n v="10013537888"/>
    <s v="RASHMI"/>
    <x v="43"/>
    <n v="0"/>
    <n v="1610"/>
    <n v="1610"/>
    <n v="0"/>
    <x v="0"/>
    <x v="6"/>
    <n v="1"/>
    <x v="13"/>
  </r>
  <r>
    <n v="3396"/>
    <s v="MEDI ASSIST"/>
    <d v="2022-10-17T00:00:00"/>
    <x v="1"/>
    <d v="2022-10-20T00:00:00"/>
    <d v="2022-10-20T00:00:00"/>
    <n v="22027820"/>
    <n v="2236429"/>
    <n v="1001097019"/>
    <s v="ARCHANA VERMA"/>
    <x v="1525"/>
    <n v="0"/>
    <n v="52925"/>
    <n v="2925"/>
    <n v="50000"/>
    <x v="1"/>
    <x v="2"/>
    <n v="5.5266887104393009E-2"/>
    <x v="1"/>
  </r>
  <r>
    <n v="3397"/>
    <s v="GENERAL PATIENT"/>
    <d v="2022-10-14T00:00:00"/>
    <x v="1"/>
    <d v="2022-10-14T00:00:00"/>
    <d v="2022-10-14T00:00:00"/>
    <n v="22027061"/>
    <n v="2235985"/>
    <n v="1000890994"/>
    <s v="HIMANSHU KAPOOR"/>
    <x v="112"/>
    <n v="341"/>
    <n v="3147"/>
    <n v="3147"/>
    <n v="0"/>
    <x v="0"/>
    <x v="6"/>
    <n v="1"/>
    <x v="13"/>
  </r>
  <r>
    <n v="3398"/>
    <s v="NHA - CENTRAL ARMED POLICE FORCES (CGHS)"/>
    <d v="2022-10-12T00:00:00"/>
    <x v="1"/>
    <d v="2022-10-14T00:00:00"/>
    <d v="2022-10-14T00:00:00"/>
    <n v="22027082"/>
    <n v="2235691"/>
    <n v="10013542179"/>
    <s v="SATYENDRA YADAV"/>
    <x v="1788"/>
    <n v="0"/>
    <n v="18251"/>
    <n v="288"/>
    <n v="17963"/>
    <x v="1"/>
    <x v="1"/>
    <n v="1.5779957262615746E-2"/>
    <x v="0"/>
  </r>
  <r>
    <n v="3399"/>
    <s v="GENERAL PATIENT"/>
    <d v="2022-10-27T00:00:00"/>
    <x v="1"/>
    <d v="2022-10-27T00:00:00"/>
    <d v="2022-10-27T00:00:00"/>
    <n v="22028721"/>
    <n v="2237621"/>
    <n v="10013415573"/>
    <s v="SANJEEV KUKERJA"/>
    <x v="45"/>
    <n v="418"/>
    <n v="4572"/>
    <n v="4572"/>
    <n v="0"/>
    <x v="0"/>
    <x v="6"/>
    <n v="1"/>
    <x v="13"/>
  </r>
  <r>
    <n v="3400"/>
    <s v=" AIRPORTS AUTHORITY OF INDIA"/>
    <d v="2022-10-03T00:00:00"/>
    <x v="1"/>
    <d v="2022-10-08T00:00:00"/>
    <d v="2022-10-08T00:00:00"/>
    <n v="22026126"/>
    <n v="2234416"/>
    <n v="1001742478"/>
    <s v="URMILA SINGH"/>
    <x v="1789"/>
    <n v="12246"/>
    <n v="89436"/>
    <n v="10000"/>
    <n v="79436"/>
    <x v="1"/>
    <x v="1"/>
    <n v="0.11181179838096517"/>
    <x v="0"/>
  </r>
  <r>
    <n v="3401"/>
    <s v=" RAKSHA TPA PVT.LTD."/>
    <d v="2022-10-06T00:00:00"/>
    <x v="1"/>
    <d v="2022-10-06T00:00:00"/>
    <d v="2022-10-06T00:00:00"/>
    <n v="22025894"/>
    <n v="2234893"/>
    <n v="1001689981"/>
    <s v="RITIKA SINGH"/>
    <x v="141"/>
    <n v="0"/>
    <n v="2950"/>
    <n v="167"/>
    <n v="2783"/>
    <x v="1"/>
    <x v="6"/>
    <n v="5.6610169491525426E-2"/>
    <x v="13"/>
  </r>
  <r>
    <n v="3402"/>
    <s v="GENERAL PATIENT"/>
    <d v="2022-10-27T00:00:00"/>
    <x v="1"/>
    <d v="2022-10-29T00:00:00"/>
    <d v="2022-10-29T00:00:00"/>
    <n v="22029061"/>
    <n v="2237673"/>
    <n v="10013277134"/>
    <s v="RIMPY GARG"/>
    <x v="1790"/>
    <n v="11563"/>
    <n v="57785"/>
    <n v="57785"/>
    <n v="0"/>
    <x v="0"/>
    <x v="1"/>
    <n v="1"/>
    <x v="1"/>
  </r>
  <r>
    <n v="3403"/>
    <s v=" STAR HEALTH TPA"/>
    <d v="2022-10-12T00:00:00"/>
    <x v="1"/>
    <d v="2022-10-12T00:00:00"/>
    <d v="2022-10-12T00:00:00"/>
    <n v="22026794"/>
    <n v="2235664"/>
    <n v="1001801835"/>
    <s v="SUNIL ARORA"/>
    <x v="1791"/>
    <n v="1764"/>
    <n v="18161"/>
    <n v="1000"/>
    <n v="17161"/>
    <x v="1"/>
    <x v="1"/>
    <n v="5.506304718903144E-2"/>
    <x v="11"/>
  </r>
  <r>
    <n v="3404"/>
    <s v=" CGHS CREDIT"/>
    <d v="2022-10-12T00:00:00"/>
    <x v="1"/>
    <d v="2022-10-16T00:00:00"/>
    <d v="2022-10-16T00:00:00"/>
    <n v="22027312"/>
    <n v="2235636"/>
    <n v="1001271192"/>
    <s v="VISHNU PARKASH"/>
    <x v="1792"/>
    <n v="0"/>
    <n v="27618"/>
    <n v="545"/>
    <n v="27073"/>
    <x v="1"/>
    <x v="1"/>
    <n v="1.9733507133029182E-2"/>
    <x v="0"/>
  </r>
  <r>
    <n v="3405"/>
    <s v="Staff"/>
    <d v="2022-10-09T00:00:00"/>
    <x v="1"/>
    <d v="2022-10-16T00:00:00"/>
    <d v="2022-10-16T00:00:00"/>
    <n v="22027344"/>
    <n v="2235267"/>
    <n v="10013500237"/>
    <s v="NIDHI"/>
    <x v="1793"/>
    <n v="150156"/>
    <n v="0"/>
    <n v="0"/>
    <n v="0"/>
    <x v="0"/>
    <x v="1"/>
    <e v="#DIV/0!"/>
    <x v="0"/>
  </r>
  <r>
    <n v="3406"/>
    <s v="GENERAL PATIENT"/>
    <d v="2022-10-11T00:00:00"/>
    <x v="1"/>
    <d v="2022-10-16T00:00:00"/>
    <d v="2022-10-16T00:00:00"/>
    <n v="22027351"/>
    <n v="2235549"/>
    <n v="10013542546"/>
    <s v="JAI BHAGWAN BANSAL"/>
    <x v="1794"/>
    <n v="279669"/>
    <n v="0"/>
    <n v="0"/>
    <n v="0"/>
    <x v="0"/>
    <x v="9"/>
    <e v="#DIV/0!"/>
    <x v="0"/>
  </r>
  <r>
    <n v="3407"/>
    <s v="CGHS"/>
    <d v="2022-10-19T00:00:00"/>
    <x v="1"/>
    <d v="2022-10-19T00:00:00"/>
    <d v="2022-10-19T00:00:00"/>
    <n v="22027654"/>
    <n v="2236585"/>
    <n v="10013514103"/>
    <s v="GOVIND KUMAR"/>
    <x v="43"/>
    <n v="0"/>
    <n v="1610"/>
    <n v="1610"/>
    <n v="0"/>
    <x v="0"/>
    <x v="6"/>
    <n v="1"/>
    <x v="13"/>
  </r>
  <r>
    <n v="3408"/>
    <s v="GENERAL PATIENT"/>
    <d v="2022-10-17T00:00:00"/>
    <x v="1"/>
    <d v="2022-10-17T00:00:00"/>
    <d v="2022-10-17T00:00:00"/>
    <n v="22027375"/>
    <n v="2236298"/>
    <n v="1001314823"/>
    <s v="MUKESH KUMAR"/>
    <x v="64"/>
    <n v="365"/>
    <n v="3265"/>
    <n v="3265"/>
    <n v="0"/>
    <x v="0"/>
    <x v="6"/>
    <n v="1"/>
    <x v="13"/>
  </r>
  <r>
    <n v="3409"/>
    <s v="GENERAL PATIENT"/>
    <d v="2022-10-06T00:00:00"/>
    <x v="1"/>
    <d v="2022-10-06T00:00:00"/>
    <d v="2022-10-06T00:00:00"/>
    <n v="22025887"/>
    <n v="2234815"/>
    <n v="10013538726"/>
    <s v="BINDU SHARMA"/>
    <x v="1795"/>
    <n v="2236"/>
    <n v="15967"/>
    <n v="15967"/>
    <n v="0"/>
    <x v="0"/>
    <x v="6"/>
    <n v="1"/>
    <x v="1"/>
  </r>
  <r>
    <n v="3410"/>
    <s v="CGHS ( CREDIT)"/>
    <d v="2022-10-14T00:00:00"/>
    <x v="1"/>
    <d v="2022-10-27T00:00:00"/>
    <d v="2022-10-27T00:00:00"/>
    <n v="22028820"/>
    <n v="2236049"/>
    <n v="10013543070"/>
    <s v="RAJWATI"/>
    <x v="1796"/>
    <n v="0"/>
    <n v="315301"/>
    <n v="11771"/>
    <n v="303530"/>
    <x v="1"/>
    <x v="1"/>
    <n v="3.7332580613445562E-2"/>
    <x v="11"/>
  </r>
  <r>
    <n v="3411"/>
    <s v="CGHS"/>
    <d v="2022-10-21T00:00:00"/>
    <x v="1"/>
    <d v="2022-10-27T00:00:00"/>
    <d v="2022-10-27T00:00:00"/>
    <n v="22028809"/>
    <n v="2236958"/>
    <n v="10013544064"/>
    <s v="CHANDNI"/>
    <x v="1797"/>
    <n v="0"/>
    <n v="82515"/>
    <n v="1881"/>
    <n v="80634"/>
    <x v="1"/>
    <x v="1"/>
    <n v="2.2795855299036539E-2"/>
    <x v="0"/>
  </r>
  <r>
    <n v="3412"/>
    <s v="GENERAL PATIENT"/>
    <d v="2022-10-28T00:00:00"/>
    <x v="1"/>
    <d v="2022-10-28T00:00:00"/>
    <d v="2022-10-28T00:00:00"/>
    <n v="22028872"/>
    <n v="2237771"/>
    <n v="1001365680"/>
    <s v="NARENDER KUMAR"/>
    <x v="19"/>
    <n v="0"/>
    <n v="14000"/>
    <n v="14000"/>
    <n v="0"/>
    <x v="0"/>
    <x v="6"/>
    <n v="1"/>
    <x v="4"/>
  </r>
  <r>
    <n v="3413"/>
    <s v="GENERAL PATIENT"/>
    <d v="2022-10-12T00:00:00"/>
    <x v="1"/>
    <d v="2022-10-13T00:00:00"/>
    <d v="2022-10-13T00:00:00"/>
    <n v="22026905"/>
    <n v="2235737"/>
    <n v="1001804009"/>
    <s v="ESHA FEMALE BABY GOYAL"/>
    <x v="1798"/>
    <n v="1267"/>
    <n v="8977"/>
    <n v="8977"/>
    <n v="0"/>
    <x v="0"/>
    <x v="2"/>
    <n v="1"/>
    <x v="3"/>
  </r>
  <r>
    <n v="3414"/>
    <s v="HARAYANA GOVT."/>
    <d v="2022-10-01T00:00:00"/>
    <x v="1"/>
    <d v="2022-10-01T00:00:00"/>
    <d v="2022-10-01T00:00:00"/>
    <n v="22025096"/>
    <n v="2234151"/>
    <n v="1000891454"/>
    <s v="PREM SINGH"/>
    <x v="1799"/>
    <n v="0"/>
    <n v="2810"/>
    <n v="2810"/>
    <n v="0"/>
    <x v="0"/>
    <x v="6"/>
    <n v="1"/>
    <x v="13"/>
  </r>
  <r>
    <n v="3415"/>
    <s v="GENERAL PATIENT"/>
    <d v="2022-10-01T00:00:00"/>
    <x v="1"/>
    <d v="2022-10-01T00:00:00"/>
    <d v="2022-10-01T00:00:00"/>
    <n v="22025105"/>
    <n v="2234158"/>
    <n v="1001105051"/>
    <s v="KAMLA CHUGH"/>
    <x v="45"/>
    <n v="419"/>
    <n v="4571"/>
    <n v="4571"/>
    <n v="0"/>
    <x v="0"/>
    <x v="6"/>
    <n v="1"/>
    <x v="13"/>
  </r>
  <r>
    <n v="3416"/>
    <s v="GOVT. OF NCT OF DELHI"/>
    <d v="2022-10-01T00:00:00"/>
    <x v="1"/>
    <d v="2022-10-01T00:00:00"/>
    <d v="2022-10-01T00:00:00"/>
    <n v="22025184"/>
    <n v="2234198"/>
    <n v="10013362937"/>
    <s v="JAYAMANTI"/>
    <x v="43"/>
    <n v="0"/>
    <n v="1610"/>
    <n v="1610"/>
    <n v="0"/>
    <x v="0"/>
    <x v="6"/>
    <n v="1"/>
    <x v="13"/>
  </r>
  <r>
    <n v="3417"/>
    <s v="GENERAL PATIENT"/>
    <d v="2022-10-01T00:00:00"/>
    <x v="1"/>
    <d v="2022-10-01T00:00:00"/>
    <d v="2022-10-01T00:00:00"/>
    <n v="22025172"/>
    <n v="2234192"/>
    <n v="10013460950"/>
    <s v="PREM CHAND"/>
    <x v="73"/>
    <n v="310"/>
    <n v="2534"/>
    <n v="2534"/>
    <n v="0"/>
    <x v="0"/>
    <x v="6"/>
    <n v="1"/>
    <x v="13"/>
  </r>
  <r>
    <n v="3418"/>
    <s v="GENERAL PATIENT"/>
    <d v="2022-10-03T00:00:00"/>
    <x v="1"/>
    <d v="2022-10-03T00:00:00"/>
    <d v="2022-10-03T00:00:00"/>
    <n v="22025436"/>
    <n v="2234441"/>
    <n v="10013534480"/>
    <s v="DEEPAK BARNABAS"/>
    <x v="73"/>
    <n v="291"/>
    <n v="2553"/>
    <n v="2553"/>
    <n v="0"/>
    <x v="0"/>
    <x v="6"/>
    <n v="1"/>
    <x v="13"/>
  </r>
  <r>
    <n v="3419"/>
    <s v="GENERAL PATIENT (MAH)"/>
    <d v="2022-10-03T00:00:00"/>
    <x v="1"/>
    <d v="2022-10-03T00:00:00"/>
    <d v="2022-10-03T00:00:00"/>
    <n v="22025456"/>
    <n v="2234454"/>
    <n v="1001087967"/>
    <s v="SUKH NAND KUMAR JAIN"/>
    <x v="112"/>
    <n v="3488"/>
    <n v="0"/>
    <n v="0"/>
    <n v="0"/>
    <x v="0"/>
    <x v="6"/>
    <e v="#DIV/0!"/>
    <x v="13"/>
  </r>
  <r>
    <n v="3420"/>
    <s v=" MEDI ASSIST INSURANCE TPA LTD"/>
    <d v="2022-10-18T00:00:00"/>
    <x v="1"/>
    <d v="2022-10-21T00:00:00"/>
    <d v="2022-10-21T00:00:00"/>
    <n v="22028082"/>
    <n v="2236538"/>
    <n v="1001805117"/>
    <s v="AJNISH KUMAR"/>
    <x v="1800"/>
    <n v="3767"/>
    <n v="24511"/>
    <n v="3254"/>
    <n v="21257"/>
    <x v="1"/>
    <x v="1"/>
    <n v="0.13275672147199216"/>
    <x v="0"/>
  </r>
  <r>
    <n v="3421"/>
    <s v="CGHS"/>
    <d v="2022-10-29T00:00:00"/>
    <x v="1"/>
    <d v="2022-10-29T00:00:00"/>
    <d v="2022-10-29T00:00:00"/>
    <n v="22029071"/>
    <n v="2237946"/>
    <n v="10013293767"/>
    <s v="KELI"/>
    <x v="16"/>
    <n v="0"/>
    <n v="0"/>
    <n v="0"/>
    <n v="0"/>
    <x v="0"/>
    <x v="0"/>
    <e v="#DIV/0!"/>
    <x v="0"/>
  </r>
  <r>
    <n v="3422"/>
    <s v=" Paramount Health Services and Insurance TPA Pvt.Ltd."/>
    <d v="2022-10-15T00:00:00"/>
    <x v="1"/>
    <d v="2022-10-15T00:00:00"/>
    <d v="2022-10-15T00:00:00"/>
    <n v="22027226"/>
    <n v="2236151"/>
    <n v="1001658205"/>
    <s v="USHA SINGH"/>
    <x v="141"/>
    <n v="0"/>
    <n v="2950"/>
    <n v="295"/>
    <n v="2655"/>
    <x v="1"/>
    <x v="6"/>
    <n v="0.1"/>
    <x v="13"/>
  </r>
  <r>
    <n v="3423"/>
    <s v="GENERAL PATIENT"/>
    <d v="2022-10-19T00:00:00"/>
    <x v="1"/>
    <d v="2022-10-19T00:00:00"/>
    <d v="2022-10-19T00:00:00"/>
    <n v="22027712"/>
    <n v="2236627"/>
    <n v="10013513064"/>
    <s v="JAGJEET KAUR"/>
    <x v="73"/>
    <n v="286"/>
    <n v="2558"/>
    <n v="2558"/>
    <n v="0"/>
    <x v="0"/>
    <x v="6"/>
    <n v="1"/>
    <x v="13"/>
  </r>
  <r>
    <n v="3424"/>
    <s v="T.T.K"/>
    <d v="2022-10-28T00:00:00"/>
    <x v="1"/>
    <d v="2022-10-28T00:00:00"/>
    <d v="2022-10-28T00:00:00"/>
    <n v="22028943"/>
    <n v="2237797"/>
    <n v="10013376566"/>
    <s v="RAJEEV BHATIA"/>
    <x v="75"/>
    <n v="0"/>
    <n v="2200"/>
    <n v="440"/>
    <n v="1760"/>
    <x v="1"/>
    <x v="12"/>
    <n v="0.2"/>
    <x v="13"/>
  </r>
  <r>
    <n v="3425"/>
    <s v=" CGHS Cash"/>
    <d v="2022-10-15T00:00:00"/>
    <x v="1"/>
    <d v="2022-10-15T00:00:00"/>
    <d v="2022-10-15T00:00:00"/>
    <n v="22027228"/>
    <n v="2236146"/>
    <n v="1001797549"/>
    <s v="ASHOK KUMAR"/>
    <x v="43"/>
    <n v="0"/>
    <n v="1610"/>
    <n v="1610"/>
    <n v="0"/>
    <x v="0"/>
    <x v="6"/>
    <n v="1"/>
    <x v="13"/>
  </r>
  <r>
    <n v="3426"/>
    <s v="GENERAL PATIENT"/>
    <d v="2022-10-22T00:00:00"/>
    <x v="1"/>
    <d v="2022-10-23T00:00:00"/>
    <d v="2022-10-23T00:00:00"/>
    <n v="22028341"/>
    <n v="2237051"/>
    <n v="10013544061"/>
    <s v="AKHIL JAIN"/>
    <x v="1801"/>
    <n v="34352"/>
    <n v="77112"/>
    <n v="77112"/>
    <n v="0"/>
    <x v="0"/>
    <x v="7"/>
    <n v="1"/>
    <x v="6"/>
  </r>
  <r>
    <n v="3427"/>
    <s v="HARAYANA GOVT."/>
    <d v="2022-10-14T00:00:00"/>
    <x v="1"/>
    <d v="2022-10-15T00:00:00"/>
    <d v="2022-10-15T00:00:00"/>
    <n v="22027162"/>
    <n v="2235919"/>
    <n v="10013542881"/>
    <s v="AKSHITA"/>
    <x v="1802"/>
    <n v="0"/>
    <n v="39420"/>
    <n v="39420"/>
    <n v="0"/>
    <x v="0"/>
    <x v="1"/>
    <n v="1"/>
    <x v="14"/>
  </r>
  <r>
    <n v="3428"/>
    <s v="GENERAL PATIENT"/>
    <d v="2022-10-06T00:00:00"/>
    <x v="1"/>
    <d v="2022-10-11T00:00:00"/>
    <d v="2022-10-11T00:00:00"/>
    <n v="22026508"/>
    <n v="2234924"/>
    <n v="10013541866"/>
    <s v="BHARAT"/>
    <x v="247"/>
    <n v="53349"/>
    <n v="0"/>
    <n v="0"/>
    <n v="0"/>
    <x v="0"/>
    <x v="9"/>
    <e v="#DIV/0!"/>
    <x v="0"/>
  </r>
  <r>
    <n v="3429"/>
    <s v=" STAR HEALTH TPA"/>
    <d v="2022-10-07T00:00:00"/>
    <x v="1"/>
    <d v="2022-10-12T00:00:00"/>
    <d v="2022-10-12T00:00:00"/>
    <n v="22026735"/>
    <n v="2235044"/>
    <n v="1001803022"/>
    <s v="JAI SHREE MAHANTO"/>
    <x v="1803"/>
    <n v="6116"/>
    <n v="40906"/>
    <n v="1720"/>
    <n v="39186"/>
    <x v="1"/>
    <x v="0"/>
    <n v="4.2047621375837285E-2"/>
    <x v="0"/>
  </r>
  <r>
    <n v="3430"/>
    <s v="GENERAL PATIENT"/>
    <d v="2022-10-22T00:00:00"/>
    <x v="1"/>
    <d v="2022-10-23T00:00:00"/>
    <d v="2022-10-23T00:00:00"/>
    <n v="22028342"/>
    <n v="2237050"/>
    <n v="10013227964"/>
    <s v="ANJALI YADAV"/>
    <x v="1804"/>
    <n v="2179"/>
    <n v="13011"/>
    <n v="13011"/>
    <n v="0"/>
    <x v="0"/>
    <x v="1"/>
    <n v="1"/>
    <x v="0"/>
  </r>
  <r>
    <n v="3431"/>
    <s v="GENERAL PATIENT"/>
    <d v="2022-10-31T00:00:00"/>
    <x v="1"/>
    <d v="2022-10-31T00:00:00"/>
    <d v="2022-10-31T00:00:00"/>
    <n v="22029251"/>
    <n v="2238151"/>
    <n v="10013415573"/>
    <s v="SANJEEV KUKERJA"/>
    <x v="45"/>
    <n v="415"/>
    <n v="4575"/>
    <n v="4575"/>
    <n v="0"/>
    <x v="0"/>
    <x v="6"/>
    <n v="1"/>
    <x v="13"/>
  </r>
  <r>
    <n v="3432"/>
    <s v="GENERAL PATIENT"/>
    <d v="2022-10-31T00:00:00"/>
    <x v="1"/>
    <d v="2022-10-31T00:00:00"/>
    <d v="2022-10-31T00:00:00"/>
    <n v="22029258"/>
    <n v="2238149"/>
    <n v="10013531598"/>
    <s v="OMWATI"/>
    <x v="73"/>
    <n v="286"/>
    <n v="2558"/>
    <n v="2558"/>
    <n v="0"/>
    <x v="0"/>
    <x v="6"/>
    <n v="1"/>
    <x v="13"/>
  </r>
  <r>
    <n v="3433"/>
    <s v="HARAYANA GOVT."/>
    <d v="2022-10-22T00:00:00"/>
    <x v="1"/>
    <d v="2022-10-22T00:00:00"/>
    <d v="2022-10-22T00:00:00"/>
    <n v="22028298"/>
    <n v="2237098"/>
    <n v="1001439428"/>
    <s v="DR.S.P.SHARMA"/>
    <x v="99"/>
    <n v="0"/>
    <n v="2758"/>
    <n v="2758"/>
    <n v="0"/>
    <x v="0"/>
    <x v="6"/>
    <n v="1"/>
    <x v="13"/>
  </r>
  <r>
    <n v="3434"/>
    <s v="GENERAL PATIENT"/>
    <d v="2022-10-27T00:00:00"/>
    <x v="1"/>
    <d v="2022-10-28T00:00:00"/>
    <d v="2022-10-28T00:00:00"/>
    <n v="22028879"/>
    <n v="2237698"/>
    <n v="1001806639"/>
    <s v="MAHAK FEMALE BABY GARG"/>
    <x v="1805"/>
    <n v="1267"/>
    <n v="8861"/>
    <n v="8861"/>
    <n v="0"/>
    <x v="0"/>
    <x v="2"/>
    <n v="1"/>
    <x v="3"/>
  </r>
  <r>
    <n v="3435"/>
    <s v="GENERAL PATIENT"/>
    <d v="2022-10-20T00:00:00"/>
    <x v="1"/>
    <d v="2022-10-20T00:00:00"/>
    <d v="2022-10-20T00:00:00"/>
    <n v="22027949"/>
    <n v="2236816"/>
    <n v="10013440543"/>
    <s v="SHYAM"/>
    <x v="41"/>
    <n v="2794"/>
    <n v="0"/>
    <n v="0"/>
    <n v="0"/>
    <x v="0"/>
    <x v="9"/>
    <e v="#DIV/0!"/>
    <x v="13"/>
  </r>
  <r>
    <n v="3436"/>
    <s v="GENERAL PATIENT"/>
    <d v="2022-10-20T00:00:00"/>
    <x v="1"/>
    <d v="2022-10-20T00:00:00"/>
    <d v="2022-10-20T00:00:00"/>
    <n v="22027948"/>
    <n v="2236817"/>
    <n v="1001130529"/>
    <s v="SANJAY KUMAR"/>
    <x v="447"/>
    <n v="3319"/>
    <n v="0"/>
    <n v="0"/>
    <n v="0"/>
    <x v="0"/>
    <x v="9"/>
    <e v="#DIV/0!"/>
    <x v="13"/>
  </r>
  <r>
    <n v="3437"/>
    <s v="GENERAL PATIENT"/>
    <d v="2022-10-20T00:00:00"/>
    <x v="1"/>
    <d v="2022-10-20T00:00:00"/>
    <d v="2022-10-20T00:00:00"/>
    <n v="22027960"/>
    <n v="2236843"/>
    <n v="1001491648"/>
    <s v="SURESH"/>
    <x v="41"/>
    <n v="2794"/>
    <n v="0"/>
    <n v="0"/>
    <n v="0"/>
    <x v="0"/>
    <x v="9"/>
    <e v="#DIV/0!"/>
    <x v="13"/>
  </r>
  <r>
    <n v="3438"/>
    <s v="GENERAL PATIENT"/>
    <d v="2022-10-14T00:00:00"/>
    <x v="1"/>
    <d v="2022-10-14T00:00:00"/>
    <d v="2022-10-14T00:00:00"/>
    <n v="22026967"/>
    <n v="2235928"/>
    <n v="10013451851"/>
    <s v="SHASHI JAIN"/>
    <x v="45"/>
    <n v="444"/>
    <n v="4546"/>
    <n v="4546"/>
    <n v="0"/>
    <x v="0"/>
    <x v="6"/>
    <n v="1"/>
    <x v="13"/>
  </r>
  <r>
    <n v="3439"/>
    <s v="STAR HEALTH CARE  (CREDIT)"/>
    <d v="2022-10-18T00:00:00"/>
    <x v="1"/>
    <d v="2022-10-18T00:00:00"/>
    <d v="2022-10-18T00:00:00"/>
    <n v="22027624"/>
    <n v="2236526"/>
    <n v="10013481278"/>
    <s v="NEELAM GUPTA"/>
    <x v="158"/>
    <n v="0"/>
    <n v="2500"/>
    <n v="2500"/>
    <n v="0"/>
    <x v="0"/>
    <x v="6"/>
    <n v="1"/>
    <x v="13"/>
  </r>
  <r>
    <n v="3440"/>
    <s v=" SSYAMA CASH"/>
    <d v="2022-10-21T00:00:00"/>
    <x v="1"/>
    <d v="2022-10-21T00:00:00"/>
    <d v="2022-10-21T00:00:00"/>
    <n v="22028062"/>
    <n v="2236925"/>
    <n v="1001788579"/>
    <s v="JABBAR KHAN"/>
    <x v="49"/>
    <n v="0"/>
    <n v="2172"/>
    <n v="2172"/>
    <n v="0"/>
    <x v="0"/>
    <x v="6"/>
    <n v="1"/>
    <x v="13"/>
  </r>
  <r>
    <n v="3441"/>
    <s v="GENERAL PATIENT"/>
    <d v="2022-10-20T00:00:00"/>
    <x v="1"/>
    <d v="2022-10-23T00:00:00"/>
    <d v="2022-10-23T00:00:00"/>
    <n v="22028322"/>
    <n v="2236766"/>
    <n v="10013543788"/>
    <s v="ATHARAV"/>
    <x v="1806"/>
    <n v="27864"/>
    <n v="0"/>
    <n v="0"/>
    <n v="0"/>
    <x v="0"/>
    <x v="9"/>
    <e v="#DIV/0!"/>
    <x v="3"/>
  </r>
  <r>
    <n v="3442"/>
    <s v="GENERAL PATIENT"/>
    <d v="2022-10-25T00:00:00"/>
    <x v="1"/>
    <d v="2022-10-25T00:00:00"/>
    <d v="2022-10-25T00:00:00"/>
    <n v="22028485"/>
    <n v="2237289"/>
    <n v="1000975940"/>
    <s v="PROMILA KANSAL"/>
    <x v="45"/>
    <n v="452"/>
    <n v="4538"/>
    <n v="4538"/>
    <n v="0"/>
    <x v="0"/>
    <x v="6"/>
    <n v="1"/>
    <x v="13"/>
  </r>
  <r>
    <n v="3443"/>
    <s v="CGHS ( CREDIT)"/>
    <d v="2022-08-16T00:00:00"/>
    <x v="2"/>
    <d v="2022-10-04T00:00:00"/>
    <d v="2022-10-08T00:00:00"/>
    <n v="22026198"/>
    <n v="2227954"/>
    <n v="1001298155"/>
    <s v="OM NARAIN SINGH"/>
    <x v="1807"/>
    <n v="0"/>
    <n v="1653245"/>
    <n v="86221"/>
    <n v="1567024"/>
    <x v="1"/>
    <x v="1"/>
    <n v="5.2152584765113461E-2"/>
    <x v="0"/>
  </r>
  <r>
    <n v="3444"/>
    <s v="CGHS"/>
    <d v="2022-10-05T00:00:00"/>
    <x v="1"/>
    <d v="2022-10-05T00:00:00"/>
    <d v="2022-10-05T00:00:00"/>
    <n v="22025638"/>
    <n v="2234675"/>
    <n v="10013514103"/>
    <s v="GOVIND KUMAR"/>
    <x v="43"/>
    <n v="0"/>
    <n v="1610"/>
    <n v="1610"/>
    <n v="0"/>
    <x v="0"/>
    <x v="6"/>
    <n v="1"/>
    <x v="13"/>
  </r>
  <r>
    <n v="3445"/>
    <s v="GENERAL PATIENT"/>
    <d v="2022-10-07T00:00:00"/>
    <x v="1"/>
    <d v="2022-10-07T00:00:00"/>
    <d v="2022-10-07T00:00:00"/>
    <n v="22026015"/>
    <n v="2235017"/>
    <n v="10013339576"/>
    <s v="RAKESH GUPTA"/>
    <x v="41"/>
    <n v="2794"/>
    <n v="0"/>
    <n v="0"/>
    <n v="0"/>
    <x v="0"/>
    <x v="9"/>
    <e v="#DIV/0!"/>
    <x v="13"/>
  </r>
  <r>
    <n v="3446"/>
    <s v="Health Insurance TPA of India Ltd."/>
    <d v="2022-10-04T00:00:00"/>
    <x v="1"/>
    <d v="2022-10-04T00:00:00"/>
    <d v="2022-10-04T00:00:00"/>
    <n v="22025559"/>
    <n v="2234545"/>
    <n v="1001199995"/>
    <s v="JITENDER NARULA"/>
    <x v="75"/>
    <n v="0"/>
    <n v="2200"/>
    <n v="0"/>
    <n v="2200"/>
    <x v="1"/>
    <x v="12"/>
    <n v="0"/>
    <x v="13"/>
  </r>
  <r>
    <n v="3447"/>
    <s v=" Council of Scientific and Industrial Research (CSIR)"/>
    <d v="2022-10-26T00:00:00"/>
    <x v="1"/>
    <d v="2022-10-26T00:00:00"/>
    <d v="2022-10-26T00:00:00"/>
    <n v="22028636"/>
    <n v="2237511"/>
    <n v="1001729640"/>
    <s v="BRIJ MOHAN"/>
    <x v="43"/>
    <n v="0"/>
    <n v="1610"/>
    <n v="0"/>
    <n v="1610"/>
    <x v="1"/>
    <x v="6"/>
    <n v="0"/>
    <x v="13"/>
  </r>
  <r>
    <n v="3448"/>
    <s v="Health Insurance TPA of India Ltd."/>
    <d v="2022-10-28T00:00:00"/>
    <x v="1"/>
    <d v="2022-10-28T00:00:00"/>
    <d v="2022-10-28T00:00:00"/>
    <n v="22028942"/>
    <n v="2237786"/>
    <n v="1001199995"/>
    <s v="JITENDER NARULA"/>
    <x v="75"/>
    <n v="0"/>
    <n v="2200"/>
    <n v="0"/>
    <n v="2200"/>
    <x v="1"/>
    <x v="12"/>
    <n v="0"/>
    <x v="13"/>
  </r>
  <r>
    <n v="3449"/>
    <s v="CGHS ( CREDIT)"/>
    <d v="2022-10-19T00:00:00"/>
    <x v="1"/>
    <d v="2022-10-19T00:00:00"/>
    <d v="2022-10-19T00:00:00"/>
    <n v="22027737"/>
    <n v="2236622"/>
    <n v="1001300172"/>
    <s v="SWARN LATA KINDRA"/>
    <x v="43"/>
    <n v="0"/>
    <n v="1610"/>
    <n v="0"/>
    <n v="1610"/>
    <x v="1"/>
    <x v="6"/>
    <n v="0"/>
    <x v="13"/>
  </r>
  <r>
    <n v="3450"/>
    <s v=" CGHS CREDIT"/>
    <d v="2022-10-05T00:00:00"/>
    <x v="1"/>
    <d v="2022-10-05T00:00:00"/>
    <d v="2022-10-05T00:00:00"/>
    <n v="22025669"/>
    <n v="2234702"/>
    <n v="1001801530"/>
    <s v="UMA BISHT"/>
    <x v="43"/>
    <n v="0"/>
    <n v="1610"/>
    <n v="0"/>
    <n v="1610"/>
    <x v="1"/>
    <x v="6"/>
    <n v="0"/>
    <x v="13"/>
  </r>
  <r>
    <n v="3451"/>
    <s v=" DAK DIALYSIS"/>
    <d v="2022-10-28T00:00:00"/>
    <x v="1"/>
    <d v="2022-10-28T00:00:00"/>
    <d v="2022-10-28T00:00:00"/>
    <n v="22028863"/>
    <n v="2237746"/>
    <n v="1001367923"/>
    <s v="PRIYANKA KUMARI"/>
    <x v="243"/>
    <n v="0"/>
    <n v="1274"/>
    <n v="0"/>
    <n v="1274"/>
    <x v="1"/>
    <x v="6"/>
    <n v="0"/>
    <x v="13"/>
  </r>
  <r>
    <n v="3452"/>
    <s v=" CGHS CREDIT"/>
    <d v="2022-10-01T00:00:00"/>
    <x v="1"/>
    <d v="2022-10-01T00:00:00"/>
    <d v="2022-10-01T00:00:00"/>
    <n v="22025249"/>
    <n v="2234195"/>
    <n v="1001793813"/>
    <s v="NIDHI YADAV"/>
    <x v="1808"/>
    <n v="0"/>
    <n v="21069"/>
    <n v="0"/>
    <n v="21069"/>
    <x v="1"/>
    <x v="6"/>
    <n v="0"/>
    <x v="16"/>
  </r>
  <r>
    <n v="3453"/>
    <s v=" CGHS CREDIT"/>
    <d v="2022-10-06T00:00:00"/>
    <x v="1"/>
    <d v="2022-10-06T00:00:00"/>
    <d v="2022-10-06T00:00:00"/>
    <n v="22025824"/>
    <n v="2234834"/>
    <n v="1001626180"/>
    <s v="KAMLA DEVI"/>
    <x v="43"/>
    <n v="0"/>
    <n v="1610"/>
    <n v="0"/>
    <n v="1610"/>
    <x v="1"/>
    <x v="6"/>
    <n v="0"/>
    <x v="13"/>
  </r>
  <r>
    <n v="3454"/>
    <s v="PARK MED CLAIM LTD"/>
    <d v="2022-10-25T00:00:00"/>
    <x v="1"/>
    <d v="2022-10-25T00:00:00"/>
    <d v="2022-10-25T00:00:00"/>
    <n v="22028505"/>
    <n v="2237312"/>
    <n v="10013436915"/>
    <s v="USHA"/>
    <x v="75"/>
    <n v="0"/>
    <n v="2200"/>
    <n v="0"/>
    <n v="2200"/>
    <x v="1"/>
    <x v="12"/>
    <n v="0"/>
    <x v="13"/>
  </r>
  <r>
    <n v="3455"/>
    <s v=" ECHS CREDIT"/>
    <d v="2022-10-24T00:00:00"/>
    <x v="1"/>
    <d v="2022-10-29T00:00:00"/>
    <d v="2022-10-29T00:00:00"/>
    <n v="22029126"/>
    <n v="2237242"/>
    <n v="1001803247"/>
    <s v="SHANTA DEVI"/>
    <x v="1809"/>
    <n v="0"/>
    <n v="40059"/>
    <n v="0"/>
    <n v="40059"/>
    <x v="1"/>
    <x v="2"/>
    <n v="0"/>
    <x v="0"/>
  </r>
  <r>
    <n v="3456"/>
    <s v=" DAK DIALYSIS"/>
    <d v="2022-10-31T00:00:00"/>
    <x v="1"/>
    <d v="2022-10-31T00:00:00"/>
    <d v="2022-10-31T00:00:00"/>
    <n v="22029366"/>
    <n v="2238235"/>
    <n v="1001699417"/>
    <s v="T.THAMBAN"/>
    <x v="243"/>
    <n v="0"/>
    <n v="1274"/>
    <n v="0"/>
    <n v="1274"/>
    <x v="1"/>
    <x v="6"/>
    <n v="0"/>
    <x v="13"/>
  </r>
  <r>
    <n v="3457"/>
    <s v=" DAK DIALYSIS"/>
    <d v="2022-10-07T00:00:00"/>
    <x v="1"/>
    <d v="2022-10-07T00:00:00"/>
    <d v="2022-10-07T00:00:00"/>
    <n v="22026054"/>
    <n v="2235068"/>
    <n v="1001527101"/>
    <s v="SURENDER SHARMA"/>
    <x v="243"/>
    <n v="0"/>
    <n v="1274"/>
    <n v="0"/>
    <n v="1274"/>
    <x v="1"/>
    <x v="6"/>
    <n v="0"/>
    <x v="13"/>
  </r>
  <r>
    <n v="3458"/>
    <s v=" RAKSHA TPA PVT.LTD."/>
    <d v="2022-10-29T00:00:00"/>
    <x v="1"/>
    <d v="2022-10-29T00:00:00"/>
    <d v="2022-10-29T00:00:00"/>
    <n v="22029094"/>
    <n v="2237970"/>
    <n v="1001689981"/>
    <s v="RITIKA SINGH"/>
    <x v="141"/>
    <n v="0"/>
    <n v="2950"/>
    <n v="0"/>
    <n v="2950"/>
    <x v="1"/>
    <x v="6"/>
    <n v="0"/>
    <x v="13"/>
  </r>
  <r>
    <n v="3459"/>
    <s v="CGHS ( CREDIT)"/>
    <d v="2022-10-01T00:00:00"/>
    <x v="1"/>
    <d v="2022-10-01T00:00:00"/>
    <d v="2022-10-01T00:00:00"/>
    <n v="22025207"/>
    <n v="2234193"/>
    <n v="10013514225"/>
    <s v="PUSHPA ARORA"/>
    <x v="43"/>
    <n v="0"/>
    <n v="1610"/>
    <n v="0"/>
    <n v="1610"/>
    <x v="1"/>
    <x v="6"/>
    <n v="0"/>
    <x v="13"/>
  </r>
  <r>
    <n v="3460"/>
    <s v="Delhi Arogya kosh"/>
    <d v="2022-10-26T00:00:00"/>
    <x v="1"/>
    <d v="2022-10-26T00:00:00"/>
    <d v="2022-10-26T00:00:00"/>
    <n v="22028657"/>
    <n v="2237463"/>
    <n v="1001590721"/>
    <s v="MAMTA"/>
    <x v="243"/>
    <n v="0"/>
    <n v="1274"/>
    <n v="0"/>
    <n v="1274"/>
    <x v="1"/>
    <x v="6"/>
    <n v="0"/>
    <x v="13"/>
  </r>
  <r>
    <n v="3461"/>
    <s v="Delhi Arogya kosh"/>
    <d v="2022-10-08T00:00:00"/>
    <x v="1"/>
    <d v="2022-10-08T00:00:00"/>
    <d v="2022-10-08T00:00:00"/>
    <n v="22026132"/>
    <n v="2235143"/>
    <n v="10013475917"/>
    <s v="meena srivastav"/>
    <x v="243"/>
    <n v="0"/>
    <n v="1274"/>
    <n v="0"/>
    <n v="1274"/>
    <x v="1"/>
    <x v="6"/>
    <n v="0"/>
    <x v="13"/>
  </r>
  <r>
    <n v="3462"/>
    <s v="Health Insurance TPA of India Ltd."/>
    <d v="2022-10-07T00:00:00"/>
    <x v="1"/>
    <d v="2022-10-07T00:00:00"/>
    <d v="2022-10-07T00:00:00"/>
    <n v="22025964"/>
    <n v="2235013"/>
    <n v="1000947591"/>
    <s v="KULBHUSHAN AGGARWAL"/>
    <x v="75"/>
    <n v="0"/>
    <n v="2200"/>
    <n v="0"/>
    <n v="2200"/>
    <x v="1"/>
    <x v="12"/>
    <n v="0"/>
    <x v="13"/>
  </r>
  <r>
    <n v="3463"/>
    <s v="CGHS ( CREDIT)"/>
    <d v="2022-10-15T00:00:00"/>
    <x v="1"/>
    <d v="2022-10-15T00:00:00"/>
    <d v="2022-10-15T00:00:00"/>
    <n v="22027150"/>
    <n v="2236094"/>
    <n v="10013373132"/>
    <s v="DEVI RANI"/>
    <x v="43"/>
    <n v="0"/>
    <n v="1610"/>
    <n v="0"/>
    <n v="1610"/>
    <x v="1"/>
    <x v="6"/>
    <n v="0"/>
    <x v="13"/>
  </r>
  <r>
    <n v="3464"/>
    <s v=" HEALTH INSURANCE TPA OF INDIA LTD"/>
    <d v="2022-10-15T00:00:00"/>
    <x v="1"/>
    <d v="2022-10-15T00:00:00"/>
    <d v="2022-10-15T00:00:00"/>
    <n v="22027264"/>
    <n v="2236183"/>
    <n v="1001445916"/>
    <s v="NAGENDER PATHAK"/>
    <x v="211"/>
    <n v="0"/>
    <n v="2000"/>
    <n v="0"/>
    <n v="2000"/>
    <x v="1"/>
    <x v="6"/>
    <n v="0"/>
    <x v="13"/>
  </r>
  <r>
    <n v="3465"/>
    <s v=" DAK DIALYSIS"/>
    <d v="2022-10-18T00:00:00"/>
    <x v="1"/>
    <d v="2022-10-18T00:00:00"/>
    <d v="2022-10-18T00:00:00"/>
    <n v="22027534"/>
    <n v="2236449"/>
    <n v="1001711925"/>
    <s v="SANJAY KUMAR"/>
    <x v="243"/>
    <n v="0"/>
    <n v="1274"/>
    <n v="0"/>
    <n v="1274"/>
    <x v="1"/>
    <x v="6"/>
    <n v="0"/>
    <x v="13"/>
  </r>
  <r>
    <n v="3466"/>
    <s v=" ECHS CREDIT"/>
    <d v="2022-10-18T00:00:00"/>
    <x v="1"/>
    <d v="2022-10-18T00:00:00"/>
    <d v="2022-10-18T00:00:00"/>
    <n v="22027535"/>
    <n v="2236446"/>
    <n v="1001781083"/>
    <s v="MITHILESH KUMAR SRIVASTAVA"/>
    <x v="43"/>
    <n v="0"/>
    <n v="1610"/>
    <n v="0"/>
    <n v="1610"/>
    <x v="1"/>
    <x v="6"/>
    <n v="0"/>
    <x v="13"/>
  </r>
  <r>
    <n v="3467"/>
    <s v="Delhi Arogya kosh"/>
    <d v="2022-10-01T00:00:00"/>
    <x v="1"/>
    <d v="2022-10-06T00:00:00"/>
    <d v="2022-10-06T00:00:00"/>
    <n v="22025880"/>
    <n v="2234201"/>
    <n v="10013540883"/>
    <s v="VINOD BASOYA"/>
    <x v="1810"/>
    <n v="0"/>
    <n v="197203"/>
    <n v="0"/>
    <n v="197203"/>
    <x v="1"/>
    <x v="15"/>
    <n v="0"/>
    <x v="10"/>
  </r>
  <r>
    <n v="3468"/>
    <s v="Delhi Arogya kosh"/>
    <d v="2022-10-25T00:00:00"/>
    <x v="1"/>
    <d v="2022-10-25T00:00:00"/>
    <d v="2022-10-25T00:00:00"/>
    <n v="22028553"/>
    <n v="2237372"/>
    <n v="1001074266"/>
    <s v="VINAY JAIN"/>
    <x v="243"/>
    <n v="0"/>
    <n v="1274"/>
    <n v="0"/>
    <n v="1274"/>
    <x v="1"/>
    <x v="6"/>
    <n v="0"/>
    <x v="13"/>
  </r>
  <r>
    <n v="3469"/>
    <s v="Delhi Arogya kosh"/>
    <d v="2022-10-14T00:00:00"/>
    <x v="1"/>
    <d v="2022-10-14T00:00:00"/>
    <d v="2022-10-14T00:00:00"/>
    <n v="22027100"/>
    <n v="2236020"/>
    <n v="1001581259"/>
    <s v="NARENDER SINGH"/>
    <x v="243"/>
    <n v="0"/>
    <n v="1274"/>
    <n v="0"/>
    <n v="1274"/>
    <x v="1"/>
    <x v="6"/>
    <n v="0"/>
    <x v="13"/>
  </r>
  <r>
    <n v="3470"/>
    <s v="Delhi Arogya kosh"/>
    <d v="2022-10-28T00:00:00"/>
    <x v="1"/>
    <d v="2022-10-28T00:00:00"/>
    <d v="2022-10-28T00:00:00"/>
    <n v="22028976"/>
    <n v="2237866"/>
    <n v="10013449380"/>
    <s v="RAM NARAYAN MANDAL"/>
    <x v="243"/>
    <n v="0"/>
    <n v="1274"/>
    <n v="0"/>
    <n v="1274"/>
    <x v="1"/>
    <x v="6"/>
    <n v="0"/>
    <x v="13"/>
  </r>
  <r>
    <n v="3471"/>
    <s v="Delhi Arogya kosh"/>
    <d v="2022-10-31T00:00:00"/>
    <x v="1"/>
    <d v="2022-10-31T00:00:00"/>
    <d v="2022-10-31T00:00:00"/>
    <n v="22029390"/>
    <n v="2238249"/>
    <n v="1001208331"/>
    <s v="PREM"/>
    <x v="243"/>
    <n v="0"/>
    <n v="1274"/>
    <n v="0"/>
    <n v="1274"/>
    <x v="1"/>
    <x v="6"/>
    <n v="0"/>
    <x v="13"/>
  </r>
  <r>
    <n v="3472"/>
    <s v=" DAK DIALYSIS"/>
    <d v="2022-10-06T00:00:00"/>
    <x v="1"/>
    <d v="2022-10-06T00:00:00"/>
    <d v="2022-10-06T00:00:00"/>
    <n v="22025823"/>
    <n v="2234833"/>
    <n v="1001666089"/>
    <s v="PRADEEP BISHT"/>
    <x v="243"/>
    <n v="0"/>
    <n v="1274"/>
    <n v="0"/>
    <n v="1274"/>
    <x v="1"/>
    <x v="6"/>
    <n v="0"/>
    <x v="13"/>
  </r>
  <r>
    <n v="3473"/>
    <s v="CGHS ( CREDIT)"/>
    <d v="2022-10-17T00:00:00"/>
    <x v="1"/>
    <d v="2022-10-20T00:00:00"/>
    <d v="2022-10-20T00:00:00"/>
    <n v="22027879"/>
    <n v="2236362"/>
    <n v="10013537002"/>
    <s v="SUKHBIR SINGH"/>
    <x v="1811"/>
    <n v="0"/>
    <n v="15355"/>
    <n v="0"/>
    <n v="15355"/>
    <x v="1"/>
    <x v="1"/>
    <n v="0"/>
    <x v="6"/>
  </r>
  <r>
    <n v="3474"/>
    <s v="RAKSHA (TPA)"/>
    <d v="2022-10-23T00:00:00"/>
    <x v="1"/>
    <d v="2022-10-23T00:00:00"/>
    <d v="2022-10-23T00:00:00"/>
    <n v="22028412"/>
    <n v="2237199"/>
    <n v="10013497993"/>
    <s v="KESHAV BIYANI"/>
    <x v="75"/>
    <n v="0"/>
    <n v="2200"/>
    <n v="0"/>
    <n v="2200"/>
    <x v="1"/>
    <x v="12"/>
    <n v="0"/>
    <x v="13"/>
  </r>
  <r>
    <n v="3475"/>
    <s v=" CGHS CREDIT"/>
    <d v="2022-10-27T00:00:00"/>
    <x v="1"/>
    <d v="2022-10-27T00:00:00"/>
    <d v="2022-10-27T00:00:00"/>
    <n v="22028783"/>
    <n v="2237663"/>
    <n v="1001772963"/>
    <s v="RAVINDER VERMA"/>
    <x v="43"/>
    <n v="0"/>
    <n v="1610"/>
    <n v="0"/>
    <n v="1610"/>
    <x v="1"/>
    <x v="6"/>
    <n v="0"/>
    <x v="13"/>
  </r>
  <r>
    <n v="3476"/>
    <s v="Delhi Arogya kosh"/>
    <d v="2022-10-11T00:00:00"/>
    <x v="1"/>
    <d v="2022-10-11T00:00:00"/>
    <d v="2022-10-11T00:00:00"/>
    <n v="22026561"/>
    <n v="2235541"/>
    <n v="1001082290"/>
    <s v="SUSHMA"/>
    <x v="243"/>
    <n v="0"/>
    <n v="1274"/>
    <n v="0"/>
    <n v="1274"/>
    <x v="1"/>
    <x v="6"/>
    <n v="0"/>
    <x v="13"/>
  </r>
  <r>
    <n v="3477"/>
    <s v="HDFC ERGO General Insurance Co. Ltd."/>
    <d v="2022-10-25T00:00:00"/>
    <x v="1"/>
    <d v="2022-10-28T00:00:00"/>
    <d v="2022-10-28T00:00:00"/>
    <n v="22028890"/>
    <n v="2237355"/>
    <n v="1001152176"/>
    <s v="TANISHA SINGHAL"/>
    <x v="1812"/>
    <n v="4494"/>
    <n v="64309"/>
    <n v="0"/>
    <n v="64309"/>
    <x v="1"/>
    <x v="2"/>
    <n v="0"/>
    <x v="0"/>
  </r>
  <r>
    <n v="3478"/>
    <s v=" HEALTH INSURANCE TPA OF INDIA LTD"/>
    <d v="2022-10-01T00:00:00"/>
    <x v="1"/>
    <d v="2022-10-01T00:00:00"/>
    <d v="2022-10-01T00:00:00"/>
    <n v="22025236"/>
    <n v="2234246"/>
    <n v="1001445916"/>
    <s v="NAGENDER PATHAK"/>
    <x v="211"/>
    <n v="0"/>
    <n v="2000"/>
    <n v="0"/>
    <n v="2000"/>
    <x v="1"/>
    <x v="6"/>
    <n v="0"/>
    <x v="13"/>
  </r>
  <r>
    <n v="3479"/>
    <s v="Delhi Arogya kosh"/>
    <d v="2022-10-12T00:00:00"/>
    <x v="1"/>
    <d v="2022-10-12T00:00:00"/>
    <d v="2022-10-12T00:00:00"/>
    <n v="22026788"/>
    <n v="2235745"/>
    <n v="10013387247"/>
    <s v="JANAKI PRASAD"/>
    <x v="243"/>
    <n v="0"/>
    <n v="1274"/>
    <n v="0"/>
    <n v="1274"/>
    <x v="1"/>
    <x v="6"/>
    <n v="0"/>
    <x v="13"/>
  </r>
  <r>
    <n v="3480"/>
    <s v="PARK MED CLAIM LTD"/>
    <d v="2022-10-21T00:00:00"/>
    <x v="1"/>
    <d v="2022-10-21T00:00:00"/>
    <d v="2022-10-21T00:00:00"/>
    <n v="22028067"/>
    <n v="2236905"/>
    <n v="10013436915"/>
    <s v="USHA"/>
    <x v="75"/>
    <n v="0"/>
    <n v="2200"/>
    <n v="0"/>
    <n v="2200"/>
    <x v="1"/>
    <x v="12"/>
    <n v="0"/>
    <x v="13"/>
  </r>
  <r>
    <n v="3481"/>
    <s v=" DAK DIALYSIS"/>
    <d v="2022-10-10T00:00:00"/>
    <x v="1"/>
    <d v="2022-10-10T00:00:00"/>
    <d v="2022-10-10T00:00:00"/>
    <n v="22026353"/>
    <n v="2235342"/>
    <n v="1001367923"/>
    <s v="PRIYANKA KUMARI"/>
    <x v="243"/>
    <n v="0"/>
    <n v="1274"/>
    <n v="0"/>
    <n v="1274"/>
    <x v="1"/>
    <x v="6"/>
    <n v="0"/>
    <x v="13"/>
  </r>
  <r>
    <n v="3482"/>
    <s v="Delhi Arogya kosh"/>
    <d v="2022-10-22T00:00:00"/>
    <x v="1"/>
    <d v="2022-10-22T00:00:00"/>
    <d v="2022-10-22T00:00:00"/>
    <n v="22028150"/>
    <n v="2237014"/>
    <n v="10013475917"/>
    <s v="meena srivastav"/>
    <x v="243"/>
    <n v="0"/>
    <n v="1274"/>
    <n v="0"/>
    <n v="1274"/>
    <x v="1"/>
    <x v="6"/>
    <n v="0"/>
    <x v="13"/>
  </r>
  <r>
    <n v="3483"/>
    <s v=" DAK DIALYSIS"/>
    <d v="2022-10-20T00:00:00"/>
    <x v="1"/>
    <d v="2022-10-20T00:00:00"/>
    <d v="2022-10-20T00:00:00"/>
    <n v="22027926"/>
    <n v="2236800"/>
    <n v="1001686545"/>
    <s v="RAKESH KUMAR"/>
    <x v="243"/>
    <n v="0"/>
    <n v="1274"/>
    <n v="0"/>
    <n v="1274"/>
    <x v="1"/>
    <x v="6"/>
    <n v="0"/>
    <x v="13"/>
  </r>
  <r>
    <n v="3484"/>
    <s v="CGHS ( CREDIT)"/>
    <d v="2022-10-27T00:00:00"/>
    <x v="1"/>
    <d v="2022-10-27T00:00:00"/>
    <d v="2022-10-27T00:00:00"/>
    <n v="22028715"/>
    <n v="2237607"/>
    <n v="10013480632"/>
    <s v="MANJU GUPTA"/>
    <x v="43"/>
    <n v="0"/>
    <n v="1610"/>
    <n v="0"/>
    <n v="1610"/>
    <x v="1"/>
    <x v="6"/>
    <n v="0"/>
    <x v="13"/>
  </r>
  <r>
    <n v="3485"/>
    <s v="Delhi Arogya kosh"/>
    <d v="2022-10-28T00:00:00"/>
    <x v="1"/>
    <d v="2022-10-28T00:00:00"/>
    <d v="2022-10-28T00:00:00"/>
    <n v="22028988"/>
    <n v="2237876"/>
    <n v="10013316109"/>
    <s v="GAURAV PAWAR"/>
    <x v="243"/>
    <n v="0"/>
    <n v="1274"/>
    <n v="0"/>
    <n v="1274"/>
    <x v="1"/>
    <x v="6"/>
    <n v="0"/>
    <x v="13"/>
  </r>
  <r>
    <n v="3486"/>
    <s v="GOVT. OF NCT OF DELHI"/>
    <d v="2022-10-29T00:00:00"/>
    <x v="1"/>
    <d v="2022-10-29T00:00:00"/>
    <d v="2022-10-29T00:00:00"/>
    <n v="22029058"/>
    <n v="2237952"/>
    <n v="1000853411"/>
    <s v="SOMA"/>
    <x v="43"/>
    <n v="0"/>
    <n v="1610"/>
    <n v="0"/>
    <n v="1610"/>
    <x v="1"/>
    <x v="6"/>
    <n v="0"/>
    <x v="13"/>
  </r>
  <r>
    <n v="3487"/>
    <s v="Delhi Arogya kosh"/>
    <d v="2022-10-28T00:00:00"/>
    <x v="1"/>
    <d v="2022-10-28T00:00:00"/>
    <d v="2022-10-28T00:00:00"/>
    <n v="22028979"/>
    <n v="2237867"/>
    <n v="10013520283"/>
    <s v="DEVI RANI"/>
    <x v="243"/>
    <n v="0"/>
    <n v="1274"/>
    <n v="0"/>
    <n v="1274"/>
    <x v="1"/>
    <x v="6"/>
    <n v="0"/>
    <x v="13"/>
  </r>
  <r>
    <n v="3488"/>
    <s v="CGHS ( CREDIT)"/>
    <d v="2022-10-05T00:00:00"/>
    <x v="1"/>
    <d v="2022-10-05T00:00:00"/>
    <d v="2022-10-05T00:00:00"/>
    <n v="22025717"/>
    <n v="2234715"/>
    <n v="10013514225"/>
    <s v="PUSHPA ARORA"/>
    <x v="43"/>
    <n v="0"/>
    <n v="1610"/>
    <n v="0"/>
    <n v="1610"/>
    <x v="1"/>
    <x v="6"/>
    <n v="0"/>
    <x v="13"/>
  </r>
  <r>
    <n v="3489"/>
    <s v="MEDI ASSIST"/>
    <d v="2022-10-11T00:00:00"/>
    <x v="1"/>
    <d v="2022-10-11T00:00:00"/>
    <d v="2022-10-11T00:00:00"/>
    <n v="22026560"/>
    <n v="2235540"/>
    <n v="10013511637"/>
    <s v="MANJU KOHLI"/>
    <x v="75"/>
    <n v="0"/>
    <n v="2200"/>
    <n v="0"/>
    <n v="2200"/>
    <x v="1"/>
    <x v="12"/>
    <n v="0"/>
    <x v="13"/>
  </r>
  <r>
    <n v="3490"/>
    <s v="Delhi Arogya kosh"/>
    <d v="2022-10-05T00:00:00"/>
    <x v="1"/>
    <d v="2022-10-05T00:00:00"/>
    <d v="2022-10-05T00:00:00"/>
    <n v="22025728"/>
    <n v="2234729"/>
    <n v="1000933464"/>
    <s v="SACHIN MITTAL"/>
    <x v="243"/>
    <n v="0"/>
    <n v="1274"/>
    <n v="0"/>
    <n v="1274"/>
    <x v="1"/>
    <x v="6"/>
    <n v="0"/>
    <x v="13"/>
  </r>
  <r>
    <n v="3491"/>
    <s v="INDIAN COUNCIL OF AGRICULTURAL RESEARCH"/>
    <d v="2022-10-06T00:00:00"/>
    <x v="1"/>
    <d v="2022-10-08T00:00:00"/>
    <d v="2022-10-08T00:00:00"/>
    <n v="22026121"/>
    <n v="2234936"/>
    <n v="10013528165"/>
    <s v="R.K BAWEJA"/>
    <x v="1813"/>
    <n v="0"/>
    <n v="29103"/>
    <n v="0"/>
    <n v="29103"/>
    <x v="1"/>
    <x v="1"/>
    <n v="0"/>
    <x v="5"/>
  </r>
  <r>
    <n v="3492"/>
    <s v="MD INDIA TPA PVT.LTD."/>
    <d v="2022-10-05T00:00:00"/>
    <x v="1"/>
    <d v="2022-10-12T00:00:00"/>
    <d v="2022-10-12T00:00:00"/>
    <n v="22026711"/>
    <n v="2234794"/>
    <n v="10013341016"/>
    <s v="TANU JINDAL"/>
    <x v="1814"/>
    <n v="7121"/>
    <n v="141407"/>
    <n v="0"/>
    <n v="141407"/>
    <x v="1"/>
    <x v="2"/>
    <n v="0"/>
    <x v="0"/>
  </r>
  <r>
    <n v="3493"/>
    <s v=" CGHS CREDIT"/>
    <d v="2022-10-14T00:00:00"/>
    <x v="1"/>
    <d v="2022-10-14T00:00:00"/>
    <d v="2022-10-14T00:00:00"/>
    <n v="22026979"/>
    <n v="2235909"/>
    <n v="1001802447"/>
    <s v="SHYAM LAL"/>
    <x v="43"/>
    <n v="0"/>
    <n v="1610"/>
    <n v="0"/>
    <n v="1610"/>
    <x v="1"/>
    <x v="6"/>
    <n v="0"/>
    <x v="13"/>
  </r>
  <r>
    <n v="3494"/>
    <s v=" CGHS CREDIT"/>
    <d v="2022-10-08T00:00:00"/>
    <x v="1"/>
    <d v="2022-10-08T00:00:00"/>
    <d v="2022-10-08T00:00:00"/>
    <n v="22026075"/>
    <n v="2235120"/>
    <n v="1001749543"/>
    <s v="DALEEP SINGH NEGI"/>
    <x v="43"/>
    <n v="0"/>
    <n v="1610"/>
    <n v="0"/>
    <n v="1610"/>
    <x v="1"/>
    <x v="6"/>
    <n v="0"/>
    <x v="13"/>
  </r>
  <r>
    <n v="3495"/>
    <s v="Delhi Arogya kosh"/>
    <d v="2022-10-15T00:00:00"/>
    <x v="1"/>
    <d v="2022-10-15T00:00:00"/>
    <d v="2022-10-15T00:00:00"/>
    <n v="22027255"/>
    <n v="2236170"/>
    <n v="10013387247"/>
    <s v="JANAKI PRASAD"/>
    <x v="243"/>
    <n v="0"/>
    <n v="1274"/>
    <n v="0"/>
    <n v="1274"/>
    <x v="1"/>
    <x v="6"/>
    <n v="0"/>
    <x v="13"/>
  </r>
  <r>
    <n v="3496"/>
    <s v="GOVT. OF NCT OF DELHI"/>
    <d v="2022-10-19T00:00:00"/>
    <x v="1"/>
    <d v="2022-10-19T00:00:00"/>
    <d v="2022-10-19T00:00:00"/>
    <n v="22027732"/>
    <n v="2236614"/>
    <n v="10013502614"/>
    <s v="RAM SAHAI"/>
    <x v="43"/>
    <n v="0"/>
    <n v="1610"/>
    <n v="0"/>
    <n v="1610"/>
    <x v="1"/>
    <x v="6"/>
    <n v="0"/>
    <x v="13"/>
  </r>
  <r>
    <n v="3497"/>
    <s v="ECHS"/>
    <d v="2022-10-07T00:00:00"/>
    <x v="1"/>
    <d v="2022-10-14T00:00:00"/>
    <d v="2022-10-14T00:00:00"/>
    <n v="22027013"/>
    <n v="2235029"/>
    <n v="10013248162"/>
    <s v="SUKH VANTI"/>
    <x v="1815"/>
    <n v="0"/>
    <n v="66588"/>
    <n v="0"/>
    <n v="66588"/>
    <x v="1"/>
    <x v="0"/>
    <n v="0"/>
    <x v="0"/>
  </r>
  <r>
    <n v="3498"/>
    <s v="Delhi Arogya kosh"/>
    <d v="2022-10-12T00:00:00"/>
    <x v="1"/>
    <d v="2022-10-12T00:00:00"/>
    <d v="2022-10-12T00:00:00"/>
    <n v="22026810"/>
    <n v="2235770"/>
    <n v="10013451090"/>
    <s v="MANJU SUNDRIYAL"/>
    <x v="243"/>
    <n v="0"/>
    <n v="1274"/>
    <n v="0"/>
    <n v="1274"/>
    <x v="1"/>
    <x v="6"/>
    <n v="0"/>
    <x v="13"/>
  </r>
  <r>
    <n v="3499"/>
    <s v=" DAK DIALYSIS"/>
    <d v="2022-10-18T00:00:00"/>
    <x v="1"/>
    <d v="2022-10-18T00:00:00"/>
    <d v="2022-10-18T00:00:00"/>
    <n v="22027620"/>
    <n v="2236524"/>
    <n v="1001777331"/>
    <s v="RAVI KUMAR SINGH"/>
    <x v="243"/>
    <n v="0"/>
    <n v="1274"/>
    <n v="0"/>
    <n v="1274"/>
    <x v="1"/>
    <x v="6"/>
    <n v="0"/>
    <x v="13"/>
  </r>
  <r>
    <n v="3500"/>
    <s v="CGHS ( CREDIT)"/>
    <d v="2022-10-15T00:00:00"/>
    <x v="1"/>
    <d v="2022-10-20T00:00:00"/>
    <d v="2022-10-20T00:00:00"/>
    <n v="22027884"/>
    <n v="2236199"/>
    <n v="10013543217"/>
    <s v="OLGA MAURYA"/>
    <x v="1816"/>
    <n v="0"/>
    <n v="80452"/>
    <n v="0"/>
    <n v="80452"/>
    <x v="1"/>
    <x v="0"/>
    <n v="0"/>
    <x v="0"/>
  </r>
  <r>
    <n v="3501"/>
    <s v=" DAK DIALYSIS"/>
    <d v="2022-10-12T00:00:00"/>
    <x v="1"/>
    <d v="2022-10-12T00:00:00"/>
    <d v="2022-10-12T00:00:00"/>
    <n v="22026767"/>
    <n v="2235722"/>
    <n v="1001657236"/>
    <s v="RAM KUMAR SINGH"/>
    <x v="243"/>
    <n v="0"/>
    <n v="1274"/>
    <n v="0"/>
    <n v="1274"/>
    <x v="1"/>
    <x v="6"/>
    <n v="0"/>
    <x v="13"/>
  </r>
  <r>
    <n v="3502"/>
    <s v=" CGHS CREDIT"/>
    <d v="2022-10-29T00:00:00"/>
    <x v="1"/>
    <d v="2022-10-29T00:00:00"/>
    <d v="2022-10-29T00:00:00"/>
    <n v="22029009"/>
    <n v="2237938"/>
    <n v="1001749543"/>
    <s v="DALEEP SINGH NEGI"/>
    <x v="43"/>
    <n v="0"/>
    <n v="1610"/>
    <n v="0"/>
    <n v="1610"/>
    <x v="1"/>
    <x v="6"/>
    <n v="0"/>
    <x v="13"/>
  </r>
  <r>
    <n v="3503"/>
    <s v=" RAKSHA TPA PVT.LTD."/>
    <d v="2022-10-12T00:00:00"/>
    <x v="1"/>
    <d v="2022-10-13T00:00:00"/>
    <d v="2022-10-13T00:00:00"/>
    <n v="22026892"/>
    <n v="2235694"/>
    <n v="1001802528"/>
    <s v="PRAMOD KUMAR"/>
    <x v="1817"/>
    <n v="0"/>
    <n v="27675"/>
    <n v="0"/>
    <n v="27675"/>
    <x v="1"/>
    <x v="5"/>
    <n v="0"/>
    <x v="5"/>
  </r>
  <r>
    <n v="3504"/>
    <s v=" DAK DIALYSIS"/>
    <d v="2022-10-13T00:00:00"/>
    <x v="1"/>
    <d v="2022-10-13T00:00:00"/>
    <d v="2022-10-13T00:00:00"/>
    <n v="22026824"/>
    <n v="2235808"/>
    <n v="1001680001"/>
    <s v="BIPIN KUMAR"/>
    <x v="243"/>
    <n v="0"/>
    <n v="1274"/>
    <n v="0"/>
    <n v="1274"/>
    <x v="1"/>
    <x v="6"/>
    <n v="0"/>
    <x v="13"/>
  </r>
  <r>
    <n v="3505"/>
    <s v="HDFC ERGO General Insurance Co. Ltd."/>
    <d v="2022-10-22T00:00:00"/>
    <x v="1"/>
    <d v="2022-10-22T00:00:00"/>
    <d v="2022-10-22T00:00:00"/>
    <n v="22028173"/>
    <n v="2237013"/>
    <n v="10013477952"/>
    <s v="NEEMA GOEL"/>
    <x v="254"/>
    <n v="0"/>
    <n v="2240"/>
    <n v="0"/>
    <n v="2240"/>
    <x v="1"/>
    <x v="6"/>
    <n v="0"/>
    <x v="13"/>
  </r>
  <r>
    <n v="3506"/>
    <s v=" ECHS CREDIT"/>
    <d v="2022-10-08T00:00:00"/>
    <x v="1"/>
    <d v="2022-10-08T00:00:00"/>
    <d v="2022-10-08T00:00:00"/>
    <n v="22026072"/>
    <n v="2235123"/>
    <n v="1001781083"/>
    <s v="MITHILESH KUMAR SRIVASTAVA"/>
    <x v="43"/>
    <n v="0"/>
    <n v="1610"/>
    <n v="0"/>
    <n v="1610"/>
    <x v="1"/>
    <x v="6"/>
    <n v="0"/>
    <x v="13"/>
  </r>
  <r>
    <n v="3507"/>
    <s v="Delhi Arogya kosh"/>
    <d v="2022-10-06T00:00:00"/>
    <x v="1"/>
    <d v="2022-10-06T00:00:00"/>
    <d v="2022-10-06T00:00:00"/>
    <n v="22025904"/>
    <n v="2234917"/>
    <n v="1001208331"/>
    <s v="PREM"/>
    <x v="243"/>
    <n v="0"/>
    <n v="1274"/>
    <n v="0"/>
    <n v="1274"/>
    <x v="1"/>
    <x v="6"/>
    <n v="0"/>
    <x v="13"/>
  </r>
  <r>
    <n v="3508"/>
    <s v="HEALTH INDIA"/>
    <d v="2022-10-05T00:00:00"/>
    <x v="1"/>
    <d v="2022-10-05T00:00:00"/>
    <d v="2022-10-05T00:00:00"/>
    <n v="22025790"/>
    <n v="2234799"/>
    <n v="1001456152"/>
    <s v="VIRENDER KUMAR ATRI"/>
    <x v="75"/>
    <n v="0"/>
    <n v="2200"/>
    <n v="0"/>
    <n v="2200"/>
    <x v="1"/>
    <x v="12"/>
    <n v="0"/>
    <x v="13"/>
  </r>
  <r>
    <n v="3509"/>
    <s v=" CGHS CREDIT"/>
    <d v="2022-10-28T00:00:00"/>
    <x v="1"/>
    <d v="2022-10-28T00:00:00"/>
    <d v="2022-10-28T00:00:00"/>
    <n v="22028919"/>
    <n v="2237816"/>
    <n v="1001692673"/>
    <s v="AMRIT PAL SHUKLA"/>
    <x v="43"/>
    <n v="0"/>
    <n v="1610"/>
    <n v="0"/>
    <n v="1610"/>
    <x v="1"/>
    <x v="6"/>
    <n v="0"/>
    <x v="13"/>
  </r>
  <r>
    <n v="3510"/>
    <s v="Delhi Arogya kosh"/>
    <d v="2022-10-28T00:00:00"/>
    <x v="1"/>
    <d v="2022-10-28T00:00:00"/>
    <d v="2022-10-28T00:00:00"/>
    <n v="22028980"/>
    <n v="2237868"/>
    <n v="1001039513"/>
    <s v="RITU"/>
    <x v="243"/>
    <n v="0"/>
    <n v="1274"/>
    <n v="0"/>
    <n v="1274"/>
    <x v="1"/>
    <x v="6"/>
    <n v="0"/>
    <x v="13"/>
  </r>
  <r>
    <n v="3511"/>
    <s v=" ECHS CREDIT"/>
    <d v="2022-10-18T00:00:00"/>
    <x v="1"/>
    <d v="2022-10-22T00:00:00"/>
    <d v="2022-10-22T00:00:00"/>
    <n v="22028247"/>
    <n v="2236559"/>
    <n v="1001160810"/>
    <s v="DIWAN SINGH PHOGAT"/>
    <x v="1818"/>
    <n v="0"/>
    <n v="24787"/>
    <n v="0"/>
    <n v="24787"/>
    <x v="1"/>
    <x v="1"/>
    <n v="0"/>
    <x v="0"/>
  </r>
  <r>
    <n v="3512"/>
    <s v="Delhi Arogya kosh"/>
    <d v="2022-10-10T00:00:00"/>
    <x v="1"/>
    <d v="2022-10-10T00:00:00"/>
    <d v="2022-10-10T00:00:00"/>
    <n v="22026482"/>
    <n v="2235453"/>
    <n v="10013437822"/>
    <s v="JOGINDER PAL"/>
    <x v="243"/>
    <n v="0"/>
    <n v="1274"/>
    <n v="0"/>
    <n v="1274"/>
    <x v="1"/>
    <x v="6"/>
    <n v="0"/>
    <x v="13"/>
  </r>
  <r>
    <n v="3513"/>
    <s v=" DAK DIALYSIS"/>
    <d v="2022-10-20T00:00:00"/>
    <x v="1"/>
    <d v="2022-10-20T00:00:00"/>
    <d v="2022-10-20T00:00:00"/>
    <n v="22027806"/>
    <n v="2236735"/>
    <n v="1001711925"/>
    <s v="SANJAY KUMAR"/>
    <x v="243"/>
    <n v="0"/>
    <n v="1274"/>
    <n v="0"/>
    <n v="1274"/>
    <x v="1"/>
    <x v="6"/>
    <n v="0"/>
    <x v="13"/>
  </r>
  <r>
    <n v="3514"/>
    <s v="MD INDIA TPA PVT.LTD."/>
    <d v="2022-10-17T00:00:00"/>
    <x v="1"/>
    <d v="2022-10-17T00:00:00"/>
    <d v="2022-10-17T00:00:00"/>
    <n v="22027451"/>
    <n v="2236324"/>
    <n v="1001468779"/>
    <s v="RAMESH KR BANSAL"/>
    <x v="75"/>
    <n v="0"/>
    <n v="2200"/>
    <n v="0"/>
    <n v="2200"/>
    <x v="1"/>
    <x v="12"/>
    <n v="0"/>
    <x v="13"/>
  </r>
  <r>
    <n v="3515"/>
    <s v=" CGHS CREDIT"/>
    <d v="2022-10-24T00:00:00"/>
    <x v="1"/>
    <d v="2022-10-24T00:00:00"/>
    <d v="2022-10-24T00:00:00"/>
    <n v="22028448"/>
    <n v="2237229"/>
    <n v="1001692673"/>
    <s v="AMRIT PAL SHUKLA"/>
    <x v="43"/>
    <n v="0"/>
    <n v="1610"/>
    <n v="0"/>
    <n v="1610"/>
    <x v="1"/>
    <x v="6"/>
    <n v="0"/>
    <x v="13"/>
  </r>
  <r>
    <n v="3516"/>
    <s v="Delhi Arogya kosh"/>
    <d v="2022-10-12T00:00:00"/>
    <x v="1"/>
    <d v="2022-10-13T00:00:00"/>
    <d v="2022-10-13T00:00:00"/>
    <n v="22026845"/>
    <n v="2235686"/>
    <n v="10013542611"/>
    <s v="KISHOR"/>
    <x v="538"/>
    <n v="0"/>
    <n v="99394"/>
    <n v="0"/>
    <n v="99394"/>
    <x v="1"/>
    <x v="15"/>
    <n v="0"/>
    <x v="4"/>
  </r>
  <r>
    <n v="3517"/>
    <s v="RAKSHA (TPA)"/>
    <d v="2022-10-27T00:00:00"/>
    <x v="1"/>
    <d v="2022-10-27T00:00:00"/>
    <d v="2022-10-27T00:00:00"/>
    <n v="22028802"/>
    <n v="2237608"/>
    <n v="10013497993"/>
    <s v="KESHAV BIYANI"/>
    <x v="75"/>
    <n v="0"/>
    <n v="2200"/>
    <n v="0"/>
    <n v="2200"/>
    <x v="1"/>
    <x v="12"/>
    <n v="0"/>
    <x v="13"/>
  </r>
  <r>
    <n v="3518"/>
    <s v=" ECHS CREDIT"/>
    <d v="2022-10-04T00:00:00"/>
    <x v="1"/>
    <d v="2022-10-04T00:00:00"/>
    <d v="2022-10-04T00:00:00"/>
    <n v="22025490"/>
    <n v="2234504"/>
    <n v="1001781083"/>
    <s v="MITHILESH KUMAR SRIVASTAVA"/>
    <x v="43"/>
    <n v="0"/>
    <n v="1610"/>
    <n v="0"/>
    <n v="1610"/>
    <x v="1"/>
    <x v="6"/>
    <n v="0"/>
    <x v="13"/>
  </r>
  <r>
    <n v="3519"/>
    <s v="Delhi Arogya kosh"/>
    <d v="2022-10-14T00:00:00"/>
    <x v="1"/>
    <d v="2022-10-14T00:00:00"/>
    <d v="2022-10-14T00:00:00"/>
    <n v="22027042"/>
    <n v="2235969"/>
    <n v="10013457170"/>
    <s v="MANOJ                   II"/>
    <x v="243"/>
    <n v="0"/>
    <n v="1274"/>
    <n v="0"/>
    <n v="1274"/>
    <x v="1"/>
    <x v="6"/>
    <n v="0"/>
    <x v="13"/>
  </r>
  <r>
    <n v="3520"/>
    <s v="Delhi Arogya kosh"/>
    <d v="2022-10-29T00:00:00"/>
    <x v="1"/>
    <d v="2022-10-29T00:00:00"/>
    <d v="2022-10-29T00:00:00"/>
    <n v="22029166"/>
    <n v="2238043"/>
    <n v="1000857532"/>
    <s v="HARI BABU"/>
    <x v="243"/>
    <n v="0"/>
    <n v="1274"/>
    <n v="0"/>
    <n v="1274"/>
    <x v="1"/>
    <x v="6"/>
    <n v="0"/>
    <x v="13"/>
  </r>
  <r>
    <n v="3521"/>
    <s v="Delhi Arogya kosh"/>
    <d v="2022-10-21T00:00:00"/>
    <x v="1"/>
    <d v="2022-10-21T00:00:00"/>
    <d v="2022-10-21T00:00:00"/>
    <n v="22028112"/>
    <n v="2236966"/>
    <n v="1000891068"/>
    <s v="SUSHIL SHARMA"/>
    <x v="243"/>
    <n v="0"/>
    <n v="1274"/>
    <n v="0"/>
    <n v="1274"/>
    <x v="1"/>
    <x v="6"/>
    <n v="0"/>
    <x v="13"/>
  </r>
  <r>
    <n v="3522"/>
    <s v=" DAK DIALYSIS"/>
    <d v="2022-10-10T00:00:00"/>
    <x v="1"/>
    <d v="2022-10-10T00:00:00"/>
    <d v="2022-10-10T00:00:00"/>
    <n v="22026351"/>
    <n v="2235348"/>
    <n v="1001680001"/>
    <s v="BIPIN KUMAR"/>
    <x v="243"/>
    <n v="0"/>
    <n v="1274"/>
    <n v="0"/>
    <n v="1274"/>
    <x v="1"/>
    <x v="6"/>
    <n v="0"/>
    <x v="13"/>
  </r>
  <r>
    <n v="3523"/>
    <s v=" DAK DIALYSIS"/>
    <d v="2022-10-22T00:00:00"/>
    <x v="1"/>
    <d v="2022-10-22T00:00:00"/>
    <d v="2022-10-22T00:00:00"/>
    <n v="22028203"/>
    <n v="2237042"/>
    <n v="1001712791"/>
    <s v="PAWAN SINGH"/>
    <x v="243"/>
    <n v="0"/>
    <n v="1274"/>
    <n v="0"/>
    <n v="1274"/>
    <x v="1"/>
    <x v="6"/>
    <n v="0"/>
    <x v="13"/>
  </r>
  <r>
    <n v="3524"/>
    <s v=" CGHS CREDIT"/>
    <d v="2022-10-18T00:00:00"/>
    <x v="1"/>
    <d v="2022-10-18T00:00:00"/>
    <d v="2022-10-18T00:00:00"/>
    <n v="22027587"/>
    <n v="2236492"/>
    <n v="1001681903"/>
    <s v="OM PRAKASH"/>
    <x v="43"/>
    <n v="0"/>
    <n v="1610"/>
    <n v="0"/>
    <n v="1610"/>
    <x v="1"/>
    <x v="6"/>
    <n v="0"/>
    <x v="13"/>
  </r>
  <r>
    <n v="3525"/>
    <s v="Delhi Arogya kosh"/>
    <d v="2022-10-13T00:00:00"/>
    <x v="1"/>
    <d v="2022-10-13T00:00:00"/>
    <d v="2022-10-13T00:00:00"/>
    <n v="22026837"/>
    <n v="2235812"/>
    <n v="10013435866"/>
    <s v="SUSHIL KUMAR AGGARWAL"/>
    <x v="243"/>
    <n v="0"/>
    <n v="1274"/>
    <n v="0"/>
    <n v="1274"/>
    <x v="1"/>
    <x v="6"/>
    <n v="0"/>
    <x v="13"/>
  </r>
  <r>
    <n v="3526"/>
    <s v="Delhi Arogya kosh"/>
    <d v="2022-10-19T00:00:00"/>
    <x v="1"/>
    <d v="2022-10-19T00:00:00"/>
    <d v="2022-10-19T00:00:00"/>
    <n v="22027801"/>
    <n v="2236692"/>
    <n v="10013528076"/>
    <s v="MANENDER DESHWAL"/>
    <x v="243"/>
    <n v="0"/>
    <n v="1274"/>
    <n v="0"/>
    <n v="1274"/>
    <x v="1"/>
    <x v="6"/>
    <n v="0"/>
    <x v="13"/>
  </r>
  <r>
    <n v="3527"/>
    <s v="Delhi Arogya kosh"/>
    <d v="2022-10-20T00:00:00"/>
    <x v="1"/>
    <d v="2022-10-20T00:00:00"/>
    <d v="2022-10-20T00:00:00"/>
    <n v="22027891"/>
    <n v="2236789"/>
    <n v="1000933464"/>
    <s v="SACHIN MITTAL"/>
    <x v="243"/>
    <n v="0"/>
    <n v="1274"/>
    <n v="0"/>
    <n v="1274"/>
    <x v="1"/>
    <x v="6"/>
    <n v="0"/>
    <x v="13"/>
  </r>
  <r>
    <n v="3528"/>
    <s v=" DAK MLC"/>
    <d v="2022-10-07T00:00:00"/>
    <x v="1"/>
    <d v="2022-10-10T00:00:00"/>
    <d v="2022-10-10T00:00:00"/>
    <n v="22026422"/>
    <n v="2235106"/>
    <n v="1001803147"/>
    <s v="PRAVEEN KUMAR"/>
    <x v="1819"/>
    <n v="0"/>
    <n v="24044"/>
    <n v="0"/>
    <n v="24044"/>
    <x v="1"/>
    <x v="1"/>
    <n v="0"/>
    <x v="16"/>
  </r>
  <r>
    <n v="3529"/>
    <s v="Safeway Mediclaim Services Pvt. Ltd."/>
    <d v="2022-10-25T00:00:00"/>
    <x v="1"/>
    <d v="2022-10-25T00:00:00"/>
    <d v="2022-10-25T00:00:00"/>
    <n v="22028531"/>
    <n v="2237299"/>
    <n v="1001020879"/>
    <s v="KUSUM LATA"/>
    <x v="75"/>
    <n v="0"/>
    <n v="2200"/>
    <n v="0"/>
    <n v="2200"/>
    <x v="1"/>
    <x v="12"/>
    <n v="0"/>
    <x v="13"/>
  </r>
  <r>
    <n v="3530"/>
    <s v=" ECHS CREDIT"/>
    <d v="2022-10-28T00:00:00"/>
    <x v="1"/>
    <d v="2022-10-28T00:00:00"/>
    <d v="2022-10-28T00:00:00"/>
    <n v="22028966"/>
    <n v="2237851"/>
    <n v="1001763340"/>
    <s v="ASHOK KUMAR"/>
    <x v="43"/>
    <n v="0"/>
    <n v="1610"/>
    <n v="0"/>
    <n v="1610"/>
    <x v="1"/>
    <x v="6"/>
    <n v="0"/>
    <x v="13"/>
  </r>
  <r>
    <n v="3531"/>
    <s v="ECHS"/>
    <d v="2022-10-27T00:00:00"/>
    <x v="1"/>
    <d v="2022-10-28T00:00:00"/>
    <d v="2022-10-28T00:00:00"/>
    <n v="22028907"/>
    <n v="2237597"/>
    <n v="1001206243"/>
    <s v="SUBHASH CHANDER"/>
    <x v="1820"/>
    <n v="0"/>
    <n v="129428"/>
    <n v="0"/>
    <n v="129428"/>
    <x v="1"/>
    <x v="1"/>
    <n v="0"/>
    <x v="4"/>
  </r>
  <r>
    <n v="3532"/>
    <s v="CGHS ( CREDIT)"/>
    <d v="2022-10-03T00:00:00"/>
    <x v="1"/>
    <d v="2022-10-03T00:00:00"/>
    <d v="2022-10-03T00:00:00"/>
    <n v="22025335"/>
    <n v="2234360"/>
    <n v="10013401847"/>
    <s v="TIRLOCHAN SINGH"/>
    <x v="43"/>
    <n v="0"/>
    <n v="1610"/>
    <n v="0"/>
    <n v="1610"/>
    <x v="1"/>
    <x v="6"/>
    <n v="0"/>
    <x v="13"/>
  </r>
  <r>
    <n v="3533"/>
    <s v=" ECHS CREDIT"/>
    <d v="2022-10-15T00:00:00"/>
    <x v="1"/>
    <d v="2022-10-15T00:00:00"/>
    <d v="2022-10-15T00:00:00"/>
    <n v="22027227"/>
    <n v="2236150"/>
    <n v="1001797077"/>
    <s v="DURGA DEVI"/>
    <x v="43"/>
    <n v="0"/>
    <n v="1610"/>
    <n v="0"/>
    <n v="1610"/>
    <x v="1"/>
    <x v="6"/>
    <n v="0"/>
    <x v="13"/>
  </r>
  <r>
    <n v="3534"/>
    <s v=" CGHS CREDIT"/>
    <d v="2022-10-11T00:00:00"/>
    <x v="1"/>
    <d v="2022-10-11T00:00:00"/>
    <d v="2022-10-11T00:00:00"/>
    <n v="22026613"/>
    <n v="2235568"/>
    <n v="1001802852"/>
    <s v="GIRISH CANDER"/>
    <x v="43"/>
    <n v="0"/>
    <n v="1610"/>
    <n v="0"/>
    <n v="1610"/>
    <x v="1"/>
    <x v="6"/>
    <n v="0"/>
    <x v="13"/>
  </r>
  <r>
    <n v="3535"/>
    <s v="Delhi Arogya kosh"/>
    <d v="2022-10-08T00:00:00"/>
    <x v="1"/>
    <d v="2022-10-08T00:00:00"/>
    <d v="2022-10-08T00:00:00"/>
    <n v="22026212"/>
    <n v="2235209"/>
    <n v="10013506167"/>
    <s v="KETAN GOEL"/>
    <x v="243"/>
    <n v="0"/>
    <n v="1274"/>
    <n v="0"/>
    <n v="1274"/>
    <x v="1"/>
    <x v="6"/>
    <n v="0"/>
    <x v="13"/>
  </r>
  <r>
    <n v="3536"/>
    <s v="CGHS ( CREDIT)"/>
    <d v="2022-10-01T00:00:00"/>
    <x v="1"/>
    <d v="2022-10-01T00:00:00"/>
    <d v="2022-10-01T00:00:00"/>
    <n v="22025202"/>
    <n v="2234224"/>
    <n v="1001300172"/>
    <s v="SWARN LATA KINDRA"/>
    <x v="43"/>
    <n v="0"/>
    <n v="1610"/>
    <n v="0"/>
    <n v="1610"/>
    <x v="1"/>
    <x v="6"/>
    <n v="0"/>
    <x v="13"/>
  </r>
  <r>
    <n v="3537"/>
    <s v=" CGHS Cash"/>
    <d v="2022-10-29T00:00:00"/>
    <x v="1"/>
    <d v="2022-10-29T00:00:00"/>
    <d v="2022-10-29T00:00:00"/>
    <n v="22029142"/>
    <n v="2237977"/>
    <n v="1001783673"/>
    <s v="ANWAR MEHDI ZAIDI"/>
    <x v="16"/>
    <n v="0"/>
    <n v="0"/>
    <n v="0"/>
    <n v="0"/>
    <x v="1"/>
    <x v="6"/>
    <e v="#DIV/0!"/>
    <x v="13"/>
  </r>
  <r>
    <n v="3538"/>
    <s v="Delhi Arogya kosh"/>
    <d v="2022-10-22T00:00:00"/>
    <x v="1"/>
    <d v="2022-10-22T00:00:00"/>
    <d v="2022-10-22T00:00:00"/>
    <n v="22028295"/>
    <n v="2237095"/>
    <n v="10013507516"/>
    <s v="AMIT NAGAR"/>
    <x v="243"/>
    <n v="0"/>
    <n v="1274"/>
    <n v="0"/>
    <n v="1274"/>
    <x v="1"/>
    <x v="6"/>
    <n v="0"/>
    <x v="13"/>
  </r>
  <r>
    <n v="3539"/>
    <s v="Delhi Arogya kosh"/>
    <d v="2022-10-23T00:00:00"/>
    <x v="1"/>
    <d v="2022-10-23T00:00:00"/>
    <d v="2022-10-23T00:00:00"/>
    <n v="22028396"/>
    <n v="2237177"/>
    <n v="1000961855"/>
    <s v="SHASHI BALA"/>
    <x v="243"/>
    <n v="0"/>
    <n v="1274"/>
    <n v="0"/>
    <n v="1274"/>
    <x v="1"/>
    <x v="6"/>
    <n v="0"/>
    <x v="13"/>
  </r>
  <r>
    <n v="3540"/>
    <s v=" CGHS CREDIT"/>
    <d v="2022-10-11T00:00:00"/>
    <x v="1"/>
    <d v="2022-10-11T00:00:00"/>
    <d v="2022-10-11T00:00:00"/>
    <n v="22026610"/>
    <n v="2235569"/>
    <n v="1001681903"/>
    <s v="OM PRAKASH"/>
    <x v="43"/>
    <n v="0"/>
    <n v="1610"/>
    <n v="0"/>
    <n v="1610"/>
    <x v="1"/>
    <x v="6"/>
    <n v="0"/>
    <x v="13"/>
  </r>
  <r>
    <n v="3541"/>
    <s v="Delhi Arogya kosh"/>
    <d v="2022-10-05T00:00:00"/>
    <x v="1"/>
    <d v="2022-10-05T00:00:00"/>
    <d v="2022-10-05T00:00:00"/>
    <n v="22025649"/>
    <n v="2234690"/>
    <n v="10013475917"/>
    <s v="meena srivastav"/>
    <x v="243"/>
    <n v="0"/>
    <n v="1274"/>
    <n v="0"/>
    <n v="1274"/>
    <x v="1"/>
    <x v="6"/>
    <n v="0"/>
    <x v="13"/>
  </r>
  <r>
    <n v="3542"/>
    <s v="Delhi Arogya kosh"/>
    <d v="2022-10-18T00:00:00"/>
    <x v="1"/>
    <d v="2022-10-18T00:00:00"/>
    <d v="2022-10-18T00:00:00"/>
    <n v="22027533"/>
    <n v="2236454"/>
    <n v="1001307852"/>
    <s v="MEERA DEVI"/>
    <x v="243"/>
    <n v="0"/>
    <n v="1274"/>
    <n v="0"/>
    <n v="1274"/>
    <x v="1"/>
    <x v="6"/>
    <n v="0"/>
    <x v="13"/>
  </r>
  <r>
    <n v="3543"/>
    <s v=" DAK DIALYSIS"/>
    <d v="2022-10-01T00:00:00"/>
    <x v="1"/>
    <d v="2022-10-01T00:00:00"/>
    <d v="2022-10-01T00:00:00"/>
    <n v="22025232"/>
    <n v="2234251"/>
    <n v="1001777331"/>
    <s v="RAVI KUMAR SINGH"/>
    <x v="243"/>
    <n v="0"/>
    <n v="1274"/>
    <n v="0"/>
    <n v="1274"/>
    <x v="1"/>
    <x v="6"/>
    <n v="0"/>
    <x v="13"/>
  </r>
  <r>
    <n v="3544"/>
    <s v="Delhi Arogya kosh"/>
    <d v="2022-10-17T00:00:00"/>
    <x v="1"/>
    <d v="2022-10-17T00:00:00"/>
    <d v="2022-10-17T00:00:00"/>
    <n v="22027505"/>
    <n v="2236414"/>
    <n v="1001237257"/>
    <s v="RAJPATI"/>
    <x v="243"/>
    <n v="0"/>
    <n v="1274"/>
    <n v="0"/>
    <n v="1274"/>
    <x v="1"/>
    <x v="6"/>
    <n v="0"/>
    <x v="13"/>
  </r>
  <r>
    <n v="3545"/>
    <s v=" STAR HEALTH TPA"/>
    <d v="2022-10-03T00:00:00"/>
    <x v="1"/>
    <d v="2022-10-05T00:00:00"/>
    <d v="2022-10-05T00:00:00"/>
    <n v="22025730"/>
    <n v="2234433"/>
    <n v="1001680175"/>
    <s v="HARISH JAIN"/>
    <x v="1821"/>
    <n v="0"/>
    <n v="15445"/>
    <n v="0"/>
    <n v="15445"/>
    <x v="1"/>
    <x v="1"/>
    <n v="0"/>
    <x v="0"/>
  </r>
  <r>
    <n v="3546"/>
    <s v=" Council of Scientific and Industrial Research (CSIR)"/>
    <d v="2022-10-05T00:00:00"/>
    <x v="1"/>
    <d v="2022-10-05T00:00:00"/>
    <d v="2022-10-05T00:00:00"/>
    <n v="22025737"/>
    <n v="2234721"/>
    <n v="1001729640"/>
    <s v="BRIJ MOHAN"/>
    <x v="43"/>
    <n v="0"/>
    <n v="1610"/>
    <n v="0"/>
    <n v="1610"/>
    <x v="1"/>
    <x v="6"/>
    <n v="0"/>
    <x v="13"/>
  </r>
  <r>
    <n v="3547"/>
    <s v="VIPUL MED CORP PVT LTD"/>
    <d v="2022-10-22T00:00:00"/>
    <x v="1"/>
    <d v="2022-10-22T00:00:00"/>
    <d v="2022-10-22T00:00:00"/>
    <n v="22028264"/>
    <n v="2237067"/>
    <n v="10013519562"/>
    <s v="KAMLA SATI"/>
    <x v="75"/>
    <n v="0"/>
    <n v="2200"/>
    <n v="0"/>
    <n v="2200"/>
    <x v="1"/>
    <x v="12"/>
    <n v="0"/>
    <x v="13"/>
  </r>
  <r>
    <n v="3548"/>
    <s v="Delhi Arogya kosh"/>
    <d v="2022-10-04T00:00:00"/>
    <x v="1"/>
    <d v="2022-10-04T00:00:00"/>
    <d v="2022-10-04T00:00:00"/>
    <n v="22025610"/>
    <n v="2234609"/>
    <n v="10013449380"/>
    <s v="RAM NARAYAN MANDAL"/>
    <x v="243"/>
    <n v="0"/>
    <n v="1274"/>
    <n v="0"/>
    <n v="1274"/>
    <x v="1"/>
    <x v="6"/>
    <n v="0"/>
    <x v="13"/>
  </r>
  <r>
    <n v="3549"/>
    <s v=" ECHS CREDIT"/>
    <d v="2022-10-07T00:00:00"/>
    <x v="1"/>
    <d v="2022-10-07T00:00:00"/>
    <d v="2022-10-07T00:00:00"/>
    <n v="22026005"/>
    <n v="2235037"/>
    <n v="1001765693"/>
    <s v="SHRI PRAKASH PRAJAPATI"/>
    <x v="43"/>
    <n v="0"/>
    <n v="1610"/>
    <n v="0"/>
    <n v="1610"/>
    <x v="1"/>
    <x v="6"/>
    <n v="0"/>
    <x v="13"/>
  </r>
  <r>
    <n v="3550"/>
    <s v="ECHS"/>
    <d v="2022-10-11T00:00:00"/>
    <x v="1"/>
    <d v="2022-10-14T00:00:00"/>
    <d v="2022-10-14T00:00:00"/>
    <n v="22027036"/>
    <n v="2235479"/>
    <n v="1001390589"/>
    <s v="GULSHAN DEVI JUNEJA"/>
    <x v="1822"/>
    <n v="0"/>
    <n v="49087"/>
    <n v="0"/>
    <n v="49087"/>
    <x v="1"/>
    <x v="0"/>
    <n v="0"/>
    <x v="4"/>
  </r>
  <r>
    <n v="3551"/>
    <s v="MD INDIA TPA PVT.LTD."/>
    <d v="2022-10-17T00:00:00"/>
    <x v="1"/>
    <d v="2022-10-17T00:00:00"/>
    <d v="2022-10-17T00:00:00"/>
    <n v="22027453"/>
    <n v="2236326"/>
    <n v="10013359873"/>
    <s v="ANAND KUMAR SINGHAL"/>
    <x v="75"/>
    <n v="0"/>
    <n v="2200"/>
    <n v="0"/>
    <n v="2200"/>
    <x v="1"/>
    <x v="12"/>
    <n v="0"/>
    <x v="13"/>
  </r>
  <r>
    <n v="3552"/>
    <s v=" DAK DIALYSIS"/>
    <d v="2022-10-11T00:00:00"/>
    <x v="1"/>
    <d v="2022-10-11T00:00:00"/>
    <d v="2022-10-11T00:00:00"/>
    <n v="22026492"/>
    <n v="2235496"/>
    <n v="1001666089"/>
    <s v="PRADEEP BISHT"/>
    <x v="243"/>
    <n v="0"/>
    <n v="1274"/>
    <n v="0"/>
    <n v="1274"/>
    <x v="1"/>
    <x v="6"/>
    <n v="0"/>
    <x v="13"/>
  </r>
  <r>
    <n v="3553"/>
    <s v="CGHS ( CREDIT)"/>
    <d v="2022-10-07T00:00:00"/>
    <x v="1"/>
    <d v="2022-10-07T00:00:00"/>
    <d v="2022-10-07T00:00:00"/>
    <n v="22026040"/>
    <n v="2235061"/>
    <n v="10013442733"/>
    <s v="SAVITRI GOHLAN"/>
    <x v="43"/>
    <n v="0"/>
    <n v="1610"/>
    <n v="0"/>
    <n v="1610"/>
    <x v="1"/>
    <x v="6"/>
    <n v="0"/>
    <x v="13"/>
  </r>
  <r>
    <n v="3554"/>
    <s v="Delhi Arogya kosh"/>
    <d v="2022-10-18T00:00:00"/>
    <x v="1"/>
    <d v="2022-10-18T00:00:00"/>
    <d v="2022-10-18T00:00:00"/>
    <n v="22027540"/>
    <n v="2236447"/>
    <n v="1001033406"/>
    <s v="SURENDER GOEL"/>
    <x v="243"/>
    <n v="0"/>
    <n v="1274"/>
    <n v="0"/>
    <n v="1274"/>
    <x v="1"/>
    <x v="6"/>
    <n v="0"/>
    <x v="13"/>
  </r>
  <r>
    <n v="3555"/>
    <s v="Delhi Arogya kosh"/>
    <d v="2022-10-05T00:00:00"/>
    <x v="1"/>
    <d v="2022-10-05T00:00:00"/>
    <d v="2022-10-05T00:00:00"/>
    <n v="22025786"/>
    <n v="2234785"/>
    <n v="10013528076"/>
    <s v="MANENDER DESHWAL"/>
    <x v="243"/>
    <n v="0"/>
    <n v="1274"/>
    <n v="0"/>
    <n v="1274"/>
    <x v="1"/>
    <x v="6"/>
    <n v="0"/>
    <x v="13"/>
  </r>
  <r>
    <n v="3556"/>
    <s v=" ECHS CREDIT"/>
    <d v="2022-10-21T00:00:00"/>
    <x v="1"/>
    <d v="2022-10-21T00:00:00"/>
    <d v="2022-10-21T00:00:00"/>
    <n v="22028069"/>
    <n v="2236920"/>
    <n v="1001765693"/>
    <s v="SHRI PRAKASH PRAJAPATI"/>
    <x v="43"/>
    <n v="0"/>
    <n v="1610"/>
    <n v="0"/>
    <n v="1610"/>
    <x v="1"/>
    <x v="6"/>
    <n v="0"/>
    <x v="13"/>
  </r>
  <r>
    <n v="3557"/>
    <s v=" DAK DIALYSIS"/>
    <d v="2022-10-27T00:00:00"/>
    <x v="1"/>
    <d v="2022-10-27T00:00:00"/>
    <d v="2022-10-27T00:00:00"/>
    <n v="22028778"/>
    <n v="2237657"/>
    <n v="1001657236"/>
    <s v="RAM KUMAR SINGH"/>
    <x v="243"/>
    <n v="0"/>
    <n v="1274"/>
    <n v="0"/>
    <n v="1274"/>
    <x v="1"/>
    <x v="6"/>
    <n v="0"/>
    <x v="13"/>
  </r>
  <r>
    <n v="3558"/>
    <s v="VIPUL MED CORP PVT LTD"/>
    <d v="2022-10-19T00:00:00"/>
    <x v="1"/>
    <d v="2022-10-19T00:00:00"/>
    <d v="2022-10-19T00:00:00"/>
    <n v="22027733"/>
    <n v="2236623"/>
    <n v="10013469159"/>
    <s v="ANITA NANGIA"/>
    <x v="75"/>
    <n v="0"/>
    <n v="2200"/>
    <n v="0"/>
    <n v="2200"/>
    <x v="1"/>
    <x v="12"/>
    <n v="0"/>
    <x v="13"/>
  </r>
  <r>
    <n v="3559"/>
    <s v=" DAK DIALYSIS"/>
    <d v="2022-10-07T00:00:00"/>
    <x v="1"/>
    <d v="2022-10-07T00:00:00"/>
    <d v="2022-10-07T00:00:00"/>
    <n v="22026007"/>
    <n v="2235033"/>
    <n v="1001647517"/>
    <s v="RAJENDER PANDAY"/>
    <x v="243"/>
    <n v="0"/>
    <n v="1274"/>
    <n v="0"/>
    <n v="1274"/>
    <x v="1"/>
    <x v="6"/>
    <n v="0"/>
    <x v="13"/>
  </r>
  <r>
    <n v="3560"/>
    <s v=" ECHS CREDIT"/>
    <d v="2022-10-14T00:00:00"/>
    <x v="1"/>
    <d v="2022-10-14T00:00:00"/>
    <d v="2022-10-14T00:00:00"/>
    <n v="22027088"/>
    <n v="2236005"/>
    <n v="1001763340"/>
    <s v="ASHOK KUMAR"/>
    <x v="43"/>
    <n v="0"/>
    <n v="1610"/>
    <n v="0"/>
    <n v="1610"/>
    <x v="1"/>
    <x v="6"/>
    <n v="0"/>
    <x v="13"/>
  </r>
  <r>
    <n v="3561"/>
    <s v="Delhi Arogya kosh"/>
    <d v="2022-10-20T00:00:00"/>
    <x v="1"/>
    <d v="2022-10-20T00:00:00"/>
    <d v="2022-10-20T00:00:00"/>
    <n v="22027937"/>
    <n v="2236822"/>
    <n v="10013299539"/>
    <s v="SATISH MALIK"/>
    <x v="243"/>
    <n v="0"/>
    <n v="1274"/>
    <n v="0"/>
    <n v="1274"/>
    <x v="1"/>
    <x v="6"/>
    <n v="0"/>
    <x v="13"/>
  </r>
  <r>
    <n v="3562"/>
    <s v="Delhi Arogya kosh"/>
    <d v="2022-10-21T00:00:00"/>
    <x v="1"/>
    <d v="2022-10-21T00:00:00"/>
    <d v="2022-10-21T00:00:00"/>
    <n v="22028053"/>
    <n v="2236915"/>
    <n v="1001397167"/>
    <s v="SUNIL KUMAR AGGARWAL"/>
    <x v="243"/>
    <n v="0"/>
    <n v="1274"/>
    <n v="0"/>
    <n v="1274"/>
    <x v="1"/>
    <x v="6"/>
    <n v="0"/>
    <x v="13"/>
  </r>
  <r>
    <n v="3563"/>
    <s v="Delhi Arogya kosh"/>
    <d v="2022-10-19T00:00:00"/>
    <x v="1"/>
    <d v="2022-10-19T00:00:00"/>
    <d v="2022-10-19T00:00:00"/>
    <n v="22027796"/>
    <n v="2236693"/>
    <n v="10013499172"/>
    <s v="TUSHAR GOEL"/>
    <x v="243"/>
    <n v="0"/>
    <n v="1274"/>
    <n v="0"/>
    <n v="1274"/>
    <x v="1"/>
    <x v="6"/>
    <n v="0"/>
    <x v="13"/>
  </r>
  <r>
    <n v="3564"/>
    <s v="Delhi Arogya kosh"/>
    <d v="2022-10-03T00:00:00"/>
    <x v="1"/>
    <d v="2022-10-03T00:00:00"/>
    <d v="2022-10-03T00:00:00"/>
    <n v="22025352"/>
    <n v="2234369"/>
    <n v="1000899251"/>
    <s v="SURESH KUMAR"/>
    <x v="243"/>
    <n v="0"/>
    <n v="1274"/>
    <n v="0"/>
    <n v="1274"/>
    <x v="1"/>
    <x v="6"/>
    <n v="0"/>
    <x v="13"/>
  </r>
  <r>
    <n v="3565"/>
    <s v=" DAK DIALYSIS"/>
    <d v="2022-10-04T00:00:00"/>
    <x v="1"/>
    <d v="2022-10-04T00:00:00"/>
    <d v="2022-10-04T00:00:00"/>
    <n v="22025602"/>
    <n v="2234601"/>
    <n v="1001777331"/>
    <s v="RAVI KUMAR SINGH"/>
    <x v="243"/>
    <n v="0"/>
    <n v="1274"/>
    <n v="0"/>
    <n v="1274"/>
    <x v="1"/>
    <x v="6"/>
    <n v="0"/>
    <x v="13"/>
  </r>
  <r>
    <n v="3566"/>
    <s v=" DAK DIALYSIS"/>
    <d v="2022-10-18T00:00:00"/>
    <x v="1"/>
    <d v="2022-10-18T00:00:00"/>
    <d v="2022-10-18T00:00:00"/>
    <n v="22027529"/>
    <n v="2236442"/>
    <n v="1001751950"/>
    <s v="GITANJALI MOHAPATRA"/>
    <x v="243"/>
    <n v="0"/>
    <n v="1274"/>
    <n v="0"/>
    <n v="1274"/>
    <x v="1"/>
    <x v="6"/>
    <n v="0"/>
    <x v="13"/>
  </r>
  <r>
    <n v="3567"/>
    <s v=" DELHI AROGYA KOSH"/>
    <d v="2022-10-14T00:00:00"/>
    <x v="1"/>
    <d v="2022-10-16T00:00:00"/>
    <d v="2022-10-16T00:00:00"/>
    <n v="22027294"/>
    <n v="2235930"/>
    <n v="10013541339"/>
    <s v="BEENA"/>
    <x v="1823"/>
    <n v="0"/>
    <n v="12650"/>
    <n v="0"/>
    <n v="12650"/>
    <x v="1"/>
    <x v="1"/>
    <n v="0"/>
    <x v="11"/>
  </r>
  <r>
    <n v="3568"/>
    <s v="Delhi Arogya kosh"/>
    <d v="2022-10-26T00:00:00"/>
    <x v="1"/>
    <d v="2022-10-26T00:00:00"/>
    <d v="2022-10-26T00:00:00"/>
    <n v="22028663"/>
    <n v="2237505"/>
    <n v="10013241267"/>
    <s v="MANOJ KOHLI"/>
    <x v="243"/>
    <n v="0"/>
    <n v="1274"/>
    <n v="0"/>
    <n v="1274"/>
    <x v="1"/>
    <x v="6"/>
    <n v="0"/>
    <x v="13"/>
  </r>
  <r>
    <n v="3569"/>
    <s v="Delhi Arogya kosh"/>
    <d v="2022-10-30T00:00:00"/>
    <x v="1"/>
    <d v="2022-10-31T00:00:00"/>
    <d v="2022-10-31T00:00:00"/>
    <n v="22029256"/>
    <n v="2238083"/>
    <n v="1001807134"/>
    <s v="NAVEEN BANSAL"/>
    <x v="538"/>
    <n v="0"/>
    <n v="99394"/>
    <n v="0"/>
    <n v="99394"/>
    <x v="1"/>
    <x v="15"/>
    <n v="0"/>
    <x v="4"/>
  </r>
  <r>
    <n v="3570"/>
    <s v=" DAK DIALYSIS"/>
    <d v="2022-10-12T00:00:00"/>
    <x v="1"/>
    <d v="2022-10-12T00:00:00"/>
    <d v="2022-10-12T00:00:00"/>
    <n v="22026658"/>
    <n v="2235646"/>
    <n v="1001367923"/>
    <s v="PRIYANKA KUMARI"/>
    <x v="243"/>
    <n v="0"/>
    <n v="1274"/>
    <n v="0"/>
    <n v="1274"/>
    <x v="1"/>
    <x v="6"/>
    <n v="0"/>
    <x v="13"/>
  </r>
  <r>
    <n v="3571"/>
    <s v="Delhi Arogya kosh"/>
    <d v="2022-10-07T00:00:00"/>
    <x v="1"/>
    <d v="2022-10-07T00:00:00"/>
    <d v="2022-10-07T00:00:00"/>
    <n v="22025939"/>
    <n v="2234997"/>
    <n v="1000889533"/>
    <s v="MANJU AGGARWAL"/>
    <x v="243"/>
    <n v="0"/>
    <n v="1274"/>
    <n v="0"/>
    <n v="1274"/>
    <x v="1"/>
    <x v="6"/>
    <n v="0"/>
    <x v="13"/>
  </r>
  <r>
    <n v="3572"/>
    <s v="Safeway Mediclaim Services Pvt. Ltd."/>
    <d v="2022-10-14T00:00:00"/>
    <x v="1"/>
    <d v="2022-10-14T00:00:00"/>
    <d v="2022-10-14T00:00:00"/>
    <n v="22026971"/>
    <n v="2235920"/>
    <n v="1001020879"/>
    <s v="KUSUM LATA"/>
    <x v="75"/>
    <n v="0"/>
    <n v="2200"/>
    <n v="0"/>
    <n v="2200"/>
    <x v="1"/>
    <x v="12"/>
    <n v="0"/>
    <x v="13"/>
  </r>
  <r>
    <n v="3573"/>
    <s v="Delhi Arogya kosh"/>
    <d v="2022-10-28T00:00:00"/>
    <x v="1"/>
    <d v="2022-10-28T00:00:00"/>
    <d v="2022-10-28T00:00:00"/>
    <n v="22028866"/>
    <n v="2237764"/>
    <n v="1000889533"/>
    <s v="MANJU AGGARWAL"/>
    <x v="243"/>
    <n v="0"/>
    <n v="1274"/>
    <n v="0"/>
    <n v="1274"/>
    <x v="1"/>
    <x v="6"/>
    <n v="0"/>
    <x v="13"/>
  </r>
  <r>
    <n v="3574"/>
    <s v="Delhi Arogya kosh"/>
    <d v="2022-10-26T00:00:00"/>
    <x v="1"/>
    <d v="2022-10-26T00:00:00"/>
    <d v="2022-10-26T00:00:00"/>
    <n v="22028687"/>
    <n v="2237533"/>
    <n v="10013385641"/>
    <s v="KAMLESH MISHRA"/>
    <x v="243"/>
    <n v="0"/>
    <n v="1274"/>
    <n v="0"/>
    <n v="1274"/>
    <x v="1"/>
    <x v="6"/>
    <n v="0"/>
    <x v="13"/>
  </r>
  <r>
    <n v="3575"/>
    <s v=" DGEHS (CREDIT)"/>
    <d v="2022-10-13T00:00:00"/>
    <x v="1"/>
    <d v="2022-10-13T00:00:00"/>
    <d v="2022-10-13T00:00:00"/>
    <n v="22026921"/>
    <n v="2235849"/>
    <n v="1001756832"/>
    <s v="VIJAY DEVI"/>
    <x v="43"/>
    <n v="0"/>
    <n v="1610"/>
    <n v="0"/>
    <n v="1610"/>
    <x v="1"/>
    <x v="6"/>
    <n v="0"/>
    <x v="13"/>
  </r>
  <r>
    <n v="3576"/>
    <s v=" VIDAL HEALTH TPA"/>
    <d v="2022-10-15T00:00:00"/>
    <x v="1"/>
    <d v="2022-10-15T00:00:00"/>
    <d v="2022-10-15T00:00:00"/>
    <n v="22027263"/>
    <n v="2236164"/>
    <n v="1001753780"/>
    <s v="DAU DAYAL VARSHNEY"/>
    <x v="141"/>
    <n v="0"/>
    <n v="2950"/>
    <n v="0"/>
    <n v="2950"/>
    <x v="1"/>
    <x v="6"/>
    <n v="0"/>
    <x v="13"/>
  </r>
  <r>
    <n v="3577"/>
    <s v="ECHS"/>
    <d v="2022-10-12T00:00:00"/>
    <x v="1"/>
    <d v="2022-10-15T00:00:00"/>
    <d v="2022-10-15T00:00:00"/>
    <n v="22027183"/>
    <n v="2235733"/>
    <n v="1000881577"/>
    <s v="RAJ KUMAR"/>
    <x v="1824"/>
    <n v="0"/>
    <n v="31583"/>
    <n v="0"/>
    <n v="31583"/>
    <x v="1"/>
    <x v="1"/>
    <n v="0"/>
    <x v="0"/>
  </r>
  <r>
    <n v="3578"/>
    <s v="Delhi Arogya kosh"/>
    <d v="2022-10-04T00:00:00"/>
    <x v="1"/>
    <d v="2022-10-04T00:00:00"/>
    <d v="2022-10-04T00:00:00"/>
    <n v="22025614"/>
    <n v="2234614"/>
    <n v="1001039513"/>
    <s v="RITU"/>
    <x v="243"/>
    <n v="0"/>
    <n v="1274"/>
    <n v="0"/>
    <n v="1274"/>
    <x v="1"/>
    <x v="6"/>
    <n v="0"/>
    <x v="13"/>
  </r>
  <r>
    <n v="3579"/>
    <s v=" DAK DIALYSIS"/>
    <d v="2022-10-10T00:00:00"/>
    <x v="1"/>
    <d v="2022-10-10T00:00:00"/>
    <d v="2022-10-10T00:00:00"/>
    <n v="22026433"/>
    <n v="2235402"/>
    <n v="1001647517"/>
    <s v="RAJENDER PANDAY"/>
    <x v="243"/>
    <n v="0"/>
    <n v="1274"/>
    <n v="0"/>
    <n v="1274"/>
    <x v="1"/>
    <x v="6"/>
    <n v="0"/>
    <x v="13"/>
  </r>
  <r>
    <n v="3580"/>
    <s v="Delhi Arogya kosh"/>
    <d v="2022-10-04T00:00:00"/>
    <x v="1"/>
    <d v="2022-10-04T00:00:00"/>
    <d v="2022-10-04T00:00:00"/>
    <n v="22025627"/>
    <n v="2234637"/>
    <n v="10013316109"/>
    <s v="GAURAV PAWAR"/>
    <x v="243"/>
    <n v="0"/>
    <n v="1274"/>
    <n v="0"/>
    <n v="1274"/>
    <x v="1"/>
    <x v="6"/>
    <n v="0"/>
    <x v="13"/>
  </r>
  <r>
    <n v="3581"/>
    <s v="Delhi Arogya kosh"/>
    <d v="2022-10-04T00:00:00"/>
    <x v="1"/>
    <d v="2022-10-04T00:00:00"/>
    <d v="2022-10-04T00:00:00"/>
    <n v="22025491"/>
    <n v="2234522"/>
    <n v="10013471316"/>
    <s v="SANJAY MADAN"/>
    <x v="243"/>
    <n v="0"/>
    <n v="1274"/>
    <n v="0"/>
    <n v="1274"/>
    <x v="1"/>
    <x v="6"/>
    <n v="0"/>
    <x v="13"/>
  </r>
  <r>
    <n v="3582"/>
    <s v="Delhi Arogya kosh"/>
    <d v="2022-10-17T00:00:00"/>
    <x v="1"/>
    <d v="2022-10-17T00:00:00"/>
    <d v="2022-10-17T00:00:00"/>
    <n v="22027491"/>
    <n v="2236381"/>
    <n v="10013513950"/>
    <s v="RAJENDRA PRASAD AGARWAL"/>
    <x v="243"/>
    <n v="0"/>
    <n v="1274"/>
    <n v="0"/>
    <n v="1274"/>
    <x v="1"/>
    <x v="6"/>
    <n v="0"/>
    <x v="13"/>
  </r>
  <r>
    <n v="3583"/>
    <s v="Delhi Arogya kosh"/>
    <d v="2022-10-18T00:00:00"/>
    <x v="1"/>
    <d v="2022-10-18T00:00:00"/>
    <d v="2022-10-18T00:00:00"/>
    <n v="22027635"/>
    <n v="2236545"/>
    <n v="1000891355"/>
    <s v="PRAHLAD"/>
    <x v="243"/>
    <n v="0"/>
    <n v="1274"/>
    <n v="0"/>
    <n v="1274"/>
    <x v="1"/>
    <x v="6"/>
    <n v="0"/>
    <x v="13"/>
  </r>
  <r>
    <n v="3584"/>
    <s v=" CGHS CREDIT"/>
    <d v="2022-10-03T00:00:00"/>
    <x v="1"/>
    <d v="2022-10-03T00:00:00"/>
    <d v="2022-10-03T00:00:00"/>
    <n v="22025442"/>
    <n v="2234444"/>
    <n v="1001789044"/>
    <s v="JAGDISH PARCHA"/>
    <x v="43"/>
    <n v="0"/>
    <n v="1610"/>
    <n v="0"/>
    <n v="1610"/>
    <x v="1"/>
    <x v="6"/>
    <n v="0"/>
    <x v="13"/>
  </r>
  <r>
    <n v="3585"/>
    <s v="Delhi Arogya kosh"/>
    <d v="2022-10-26T00:00:00"/>
    <x v="1"/>
    <d v="2022-10-26T00:00:00"/>
    <d v="2022-10-26T00:00:00"/>
    <n v="22028699"/>
    <n v="2237569"/>
    <n v="10013453025"/>
    <s v="VIRENDER SINGH"/>
    <x v="243"/>
    <n v="0"/>
    <n v="1274"/>
    <n v="0"/>
    <n v="1274"/>
    <x v="1"/>
    <x v="6"/>
    <n v="0"/>
    <x v="13"/>
  </r>
  <r>
    <n v="3586"/>
    <s v="VIPUL MED CORP PVT LTD"/>
    <d v="2022-10-17T00:00:00"/>
    <x v="1"/>
    <d v="2022-10-17T00:00:00"/>
    <d v="2022-10-17T00:00:00"/>
    <n v="22027497"/>
    <n v="2236382"/>
    <n v="10013332282"/>
    <s v="SANGEETA"/>
    <x v="75"/>
    <n v="0"/>
    <n v="2200"/>
    <n v="0"/>
    <n v="2200"/>
    <x v="1"/>
    <x v="12"/>
    <n v="0"/>
    <x v="13"/>
  </r>
  <r>
    <n v="3587"/>
    <s v="Delhi Arogya kosh"/>
    <d v="2022-10-26T00:00:00"/>
    <x v="1"/>
    <d v="2022-10-26T00:00:00"/>
    <d v="2022-10-26T00:00:00"/>
    <n v="22028689"/>
    <n v="2237534"/>
    <n v="10013387247"/>
    <s v="JANAKI PRASAD"/>
    <x v="243"/>
    <n v="0"/>
    <n v="1274"/>
    <n v="0"/>
    <n v="1274"/>
    <x v="1"/>
    <x v="6"/>
    <n v="0"/>
    <x v="13"/>
  </r>
  <r>
    <n v="3588"/>
    <s v=" DAK DIALYSIS"/>
    <d v="2022-10-18T00:00:00"/>
    <x v="1"/>
    <d v="2022-10-18T00:00:00"/>
    <d v="2022-10-18T00:00:00"/>
    <n v="22027617"/>
    <n v="2236520"/>
    <n v="1001527101"/>
    <s v="SURENDER SHARMA"/>
    <x v="243"/>
    <n v="0"/>
    <n v="1274"/>
    <n v="0"/>
    <n v="1274"/>
    <x v="1"/>
    <x v="6"/>
    <n v="0"/>
    <x v="13"/>
  </r>
  <r>
    <n v="3589"/>
    <s v=" CGHS CREDIT"/>
    <d v="2022-10-07T00:00:00"/>
    <x v="1"/>
    <d v="2022-10-07T00:00:00"/>
    <d v="2022-10-07T00:00:00"/>
    <n v="22026016"/>
    <n v="2235022"/>
    <n v="1001681903"/>
    <s v="OM PRAKASH"/>
    <x v="43"/>
    <n v="0"/>
    <n v="1610"/>
    <n v="0"/>
    <n v="1610"/>
    <x v="1"/>
    <x v="6"/>
    <n v="0"/>
    <x v="13"/>
  </r>
  <r>
    <n v="3590"/>
    <s v=" Council of Scientific and Industrial Research (CSIR)"/>
    <d v="2022-10-31T00:00:00"/>
    <x v="1"/>
    <d v="2022-10-31T00:00:00"/>
    <d v="2022-10-31T00:00:00"/>
    <n v="22029350"/>
    <n v="2238213"/>
    <n v="1001729640"/>
    <s v="BRIJ MOHAN"/>
    <x v="43"/>
    <n v="0"/>
    <n v="1610"/>
    <n v="0"/>
    <n v="1610"/>
    <x v="1"/>
    <x v="6"/>
    <n v="0"/>
    <x v="13"/>
  </r>
  <r>
    <n v="3591"/>
    <s v="Delhi Arogya kosh"/>
    <d v="2022-10-04T00:00:00"/>
    <x v="1"/>
    <d v="2022-10-04T00:00:00"/>
    <d v="2022-10-04T00:00:00"/>
    <n v="22025628"/>
    <n v="2234640"/>
    <n v="1000891068"/>
    <s v="SUSHIL SHARMA"/>
    <x v="243"/>
    <n v="0"/>
    <n v="1274"/>
    <n v="0"/>
    <n v="1274"/>
    <x v="1"/>
    <x v="6"/>
    <n v="0"/>
    <x v="13"/>
  </r>
  <r>
    <n v="3592"/>
    <s v="Delhi Arogya kosh"/>
    <d v="2022-10-03T00:00:00"/>
    <x v="1"/>
    <d v="2022-10-03T00:00:00"/>
    <d v="2022-10-03T00:00:00"/>
    <n v="22025438"/>
    <n v="2234450"/>
    <n v="1000961855"/>
    <s v="SHASHI BALA"/>
    <x v="243"/>
    <n v="0"/>
    <n v="1274"/>
    <n v="0"/>
    <n v="1274"/>
    <x v="1"/>
    <x v="6"/>
    <n v="0"/>
    <x v="13"/>
  </r>
  <r>
    <n v="3593"/>
    <s v="RAKSHA (TPA)"/>
    <d v="2022-10-10T00:00:00"/>
    <x v="1"/>
    <d v="2022-10-10T00:00:00"/>
    <d v="2022-10-10T00:00:00"/>
    <n v="22026334"/>
    <n v="2235335"/>
    <n v="10013497993"/>
    <s v="KESHAV BIYANI"/>
    <x v="75"/>
    <n v="0"/>
    <n v="2200"/>
    <n v="0"/>
    <n v="2200"/>
    <x v="1"/>
    <x v="12"/>
    <n v="0"/>
    <x v="13"/>
  </r>
  <r>
    <n v="3594"/>
    <s v=" DAK DIALYSIS"/>
    <d v="2022-10-17T00:00:00"/>
    <x v="1"/>
    <d v="2022-10-17T00:00:00"/>
    <d v="2022-10-17T00:00:00"/>
    <n v="22027486"/>
    <n v="2236387"/>
    <n v="1001684202"/>
    <s v="RAM NIWAS"/>
    <x v="243"/>
    <n v="0"/>
    <n v="1274"/>
    <n v="0"/>
    <n v="1274"/>
    <x v="1"/>
    <x v="6"/>
    <n v="0"/>
    <x v="13"/>
  </r>
  <r>
    <n v="3595"/>
    <s v="HDFC ERGO General Insurance Co. Ltd."/>
    <d v="2022-10-17T00:00:00"/>
    <x v="1"/>
    <d v="2022-10-17T00:00:00"/>
    <d v="2022-10-17T00:00:00"/>
    <n v="22027374"/>
    <n v="2236295"/>
    <n v="10013477952"/>
    <s v="NEEMA GOEL"/>
    <x v="254"/>
    <n v="0"/>
    <n v="2240"/>
    <n v="0"/>
    <n v="2240"/>
    <x v="1"/>
    <x v="6"/>
    <n v="0"/>
    <x v="13"/>
  </r>
  <r>
    <n v="3596"/>
    <s v="GOVT. OF NCT OF DELHI"/>
    <d v="2022-10-29T00:00:00"/>
    <x v="1"/>
    <d v="2022-10-29T00:00:00"/>
    <d v="2022-10-29T00:00:00"/>
    <n v="22029070"/>
    <n v="2237956"/>
    <n v="1000979923"/>
    <s v="SAROJ"/>
    <x v="43"/>
    <n v="0"/>
    <n v="1610"/>
    <n v="0"/>
    <n v="1610"/>
    <x v="1"/>
    <x v="6"/>
    <n v="0"/>
    <x v="13"/>
  </r>
  <r>
    <n v="3597"/>
    <s v="CGHS ( CREDIT)"/>
    <d v="2022-10-04T00:00:00"/>
    <x v="1"/>
    <d v="2022-10-04T00:00:00"/>
    <d v="2022-10-04T00:00:00"/>
    <n v="22025563"/>
    <n v="2234546"/>
    <n v="10013335004"/>
    <s v="GIRDHARA SINGH"/>
    <x v="43"/>
    <n v="0"/>
    <n v="1610"/>
    <n v="0"/>
    <n v="1610"/>
    <x v="1"/>
    <x v="6"/>
    <n v="0"/>
    <x v="13"/>
  </r>
  <r>
    <n v="3598"/>
    <s v="Delhi Arogya kosh"/>
    <d v="2022-10-29T00:00:00"/>
    <x v="1"/>
    <d v="2022-10-29T00:00:00"/>
    <d v="2022-10-29T00:00:00"/>
    <n v="22029155"/>
    <n v="2238011"/>
    <n v="10013422914"/>
    <s v="ANJUM"/>
    <x v="243"/>
    <n v="0"/>
    <n v="1274"/>
    <n v="0"/>
    <n v="1274"/>
    <x v="1"/>
    <x v="6"/>
    <n v="0"/>
    <x v="13"/>
  </r>
  <r>
    <n v="3599"/>
    <s v=" DAK DIALYSIS"/>
    <d v="2022-10-29T00:00:00"/>
    <x v="1"/>
    <d v="2022-10-29T00:00:00"/>
    <d v="2022-10-29T00:00:00"/>
    <n v="22029100"/>
    <n v="2237983"/>
    <n v="1001657236"/>
    <s v="RAM KUMAR SINGH"/>
    <x v="243"/>
    <n v="0"/>
    <n v="1274"/>
    <n v="0"/>
    <n v="1274"/>
    <x v="1"/>
    <x v="6"/>
    <n v="0"/>
    <x v="13"/>
  </r>
  <r>
    <n v="3600"/>
    <s v="CGHS ( CREDIT)"/>
    <d v="2022-10-25T00:00:00"/>
    <x v="1"/>
    <d v="2022-10-25T00:00:00"/>
    <d v="2022-10-25T00:00:00"/>
    <n v="22028468"/>
    <n v="2237266"/>
    <n v="10013453991"/>
    <s v="RAJENDER"/>
    <x v="43"/>
    <n v="0"/>
    <n v="1610"/>
    <n v="0"/>
    <n v="1610"/>
    <x v="1"/>
    <x v="6"/>
    <n v="0"/>
    <x v="13"/>
  </r>
  <r>
    <n v="3601"/>
    <s v="Delhi Arogya kosh"/>
    <d v="2022-10-11T00:00:00"/>
    <x v="1"/>
    <d v="2022-10-11T00:00:00"/>
    <d v="2022-10-11T00:00:00"/>
    <n v="22026612"/>
    <n v="2235592"/>
    <n v="1001074266"/>
    <s v="VINAY JAIN"/>
    <x v="243"/>
    <n v="0"/>
    <n v="1274"/>
    <n v="0"/>
    <n v="1274"/>
    <x v="1"/>
    <x v="6"/>
    <n v="0"/>
    <x v="13"/>
  </r>
  <r>
    <n v="3602"/>
    <s v="CGHS ( CREDIT)"/>
    <d v="2022-10-08T00:00:00"/>
    <x v="1"/>
    <d v="2022-10-14T00:00:00"/>
    <d v="2022-10-14T00:00:00"/>
    <n v="22027069"/>
    <n v="2235218"/>
    <n v="10013542213"/>
    <s v="KANTA KUMAR"/>
    <x v="1825"/>
    <n v="0"/>
    <n v="64305"/>
    <n v="0"/>
    <n v="64305"/>
    <x v="1"/>
    <x v="2"/>
    <n v="0"/>
    <x v="0"/>
  </r>
  <r>
    <n v="3603"/>
    <s v="Delhi Arogya kosh"/>
    <d v="2022-10-27T00:00:00"/>
    <x v="1"/>
    <d v="2022-10-27T00:00:00"/>
    <d v="2022-10-27T00:00:00"/>
    <n v="22028833"/>
    <n v="2237705"/>
    <n v="1001004027"/>
    <s v="PARTAP SINGH"/>
    <x v="243"/>
    <n v="0"/>
    <n v="1274"/>
    <n v="0"/>
    <n v="1274"/>
    <x v="1"/>
    <x v="6"/>
    <n v="0"/>
    <x v="13"/>
  </r>
  <r>
    <n v="3604"/>
    <s v="Delhi Arogya kosh"/>
    <d v="2022-10-13T00:00:00"/>
    <x v="1"/>
    <d v="2022-10-13T00:00:00"/>
    <d v="2022-10-13T00:00:00"/>
    <n v="22026953"/>
    <n v="2235879"/>
    <n v="1001004027"/>
    <s v="PARTAP SINGH"/>
    <x v="243"/>
    <n v="0"/>
    <n v="1274"/>
    <n v="0"/>
    <n v="1274"/>
    <x v="1"/>
    <x v="6"/>
    <n v="0"/>
    <x v="13"/>
  </r>
  <r>
    <n v="3605"/>
    <s v="Delhi Arogya kosh"/>
    <d v="2022-10-20T00:00:00"/>
    <x v="1"/>
    <d v="2022-10-22T00:00:00"/>
    <d v="2022-10-22T00:00:00"/>
    <n v="22028158"/>
    <n v="2236814"/>
    <n v="1001805416"/>
    <s v="JAIWATI JAIN"/>
    <x v="821"/>
    <n v="0"/>
    <n v="130994"/>
    <n v="0"/>
    <n v="130994"/>
    <x v="1"/>
    <x v="15"/>
    <n v="0"/>
    <x v="4"/>
  </r>
  <r>
    <n v="3606"/>
    <s v=" RAKSHA TPA PVT.LTD."/>
    <d v="2022-10-15T00:00:00"/>
    <x v="1"/>
    <d v="2022-10-15T00:00:00"/>
    <d v="2022-10-15T00:00:00"/>
    <n v="22027231"/>
    <n v="2236148"/>
    <n v="1001689981"/>
    <s v="RITIKA SINGH"/>
    <x v="141"/>
    <n v="0"/>
    <n v="2950"/>
    <n v="0"/>
    <n v="2950"/>
    <x v="1"/>
    <x v="6"/>
    <n v="0"/>
    <x v="13"/>
  </r>
  <r>
    <n v="3607"/>
    <s v="Delhi Arogya kosh"/>
    <d v="2022-10-03T00:00:00"/>
    <x v="1"/>
    <d v="2022-10-03T00:00:00"/>
    <d v="2022-10-03T00:00:00"/>
    <n v="22025466"/>
    <n v="2234477"/>
    <n v="1001004027"/>
    <s v="PARTAP SINGH"/>
    <x v="243"/>
    <n v="0"/>
    <n v="1274"/>
    <n v="0"/>
    <n v="1274"/>
    <x v="1"/>
    <x v="6"/>
    <n v="0"/>
    <x v="13"/>
  </r>
  <r>
    <n v="3608"/>
    <s v=" DAK DIALYSIS"/>
    <d v="2022-10-20T00:00:00"/>
    <x v="1"/>
    <d v="2022-10-20T00:00:00"/>
    <d v="2022-10-20T00:00:00"/>
    <n v="22027934"/>
    <n v="2236767"/>
    <n v="1001648223"/>
    <s v="BRIJ LAL KORI"/>
    <x v="243"/>
    <n v="0"/>
    <n v="1274"/>
    <n v="0"/>
    <n v="1274"/>
    <x v="1"/>
    <x v="6"/>
    <n v="0"/>
    <x v="13"/>
  </r>
  <r>
    <n v="3609"/>
    <s v="Delhi Arogya kosh"/>
    <d v="2022-10-06T00:00:00"/>
    <x v="1"/>
    <d v="2022-10-14T00:00:00"/>
    <d v="2022-10-14T00:00:00"/>
    <n v="22027080"/>
    <n v="2234914"/>
    <n v="10013541413"/>
    <s v="RAJA"/>
    <x v="1826"/>
    <n v="0"/>
    <n v="55607"/>
    <n v="0"/>
    <n v="55607"/>
    <x v="1"/>
    <x v="15"/>
    <n v="0"/>
    <x v="9"/>
  </r>
  <r>
    <n v="3610"/>
    <s v="HDFC ERGO General Insurance Co. Ltd."/>
    <d v="2022-10-18T00:00:00"/>
    <x v="1"/>
    <d v="2022-10-22T00:00:00"/>
    <d v="2022-10-22T00:00:00"/>
    <n v="22028129"/>
    <n v="2236562"/>
    <n v="10013543626"/>
    <s v="CHARVI MITTAL"/>
    <x v="1827"/>
    <n v="0"/>
    <n v="53527"/>
    <n v="0"/>
    <n v="53527"/>
    <x v="1"/>
    <x v="2"/>
    <n v="0"/>
    <x v="3"/>
  </r>
  <r>
    <n v="3611"/>
    <s v="Delhi Arogya kosh"/>
    <d v="2022-10-18T00:00:00"/>
    <x v="1"/>
    <d v="2022-10-18T00:00:00"/>
    <d v="2022-10-18T00:00:00"/>
    <n v="22027631"/>
    <n v="2236532"/>
    <n v="1001581259"/>
    <s v="NARENDER SINGH"/>
    <x v="243"/>
    <n v="0"/>
    <n v="1274"/>
    <n v="0"/>
    <n v="1274"/>
    <x v="1"/>
    <x v="6"/>
    <n v="0"/>
    <x v="13"/>
  </r>
  <r>
    <n v="3612"/>
    <s v=" ECHS CREDIT"/>
    <d v="2022-10-10T00:00:00"/>
    <x v="1"/>
    <d v="2022-10-12T00:00:00"/>
    <d v="2022-10-12T00:00:00"/>
    <n v="22026676"/>
    <n v="2235322"/>
    <n v="1001597587"/>
    <s v="VIJAI SINGH SHEKHAWAT"/>
    <x v="1828"/>
    <n v="0"/>
    <n v="21522"/>
    <n v="0"/>
    <n v="21522"/>
    <x v="1"/>
    <x v="0"/>
    <n v="0"/>
    <x v="11"/>
  </r>
  <r>
    <n v="3613"/>
    <s v="CGHS ( CREDIT)"/>
    <d v="2022-10-31T00:00:00"/>
    <x v="1"/>
    <d v="2022-10-31T00:00:00"/>
    <d v="2022-10-31T00:00:00"/>
    <n v="22029268"/>
    <n v="2238157"/>
    <n v="1001531709"/>
    <s v="TASVIR SINGH"/>
    <x v="43"/>
    <n v="0"/>
    <n v="1610"/>
    <n v="0"/>
    <n v="1610"/>
    <x v="1"/>
    <x v="6"/>
    <n v="0"/>
    <x v="13"/>
  </r>
  <r>
    <n v="3614"/>
    <s v=" DAK DIALYSIS"/>
    <d v="2022-10-15T00:00:00"/>
    <x v="1"/>
    <d v="2022-10-15T00:00:00"/>
    <d v="2022-10-15T00:00:00"/>
    <n v="22027132"/>
    <n v="2236075"/>
    <n v="1001711925"/>
    <s v="SANJAY KUMAR"/>
    <x v="243"/>
    <n v="0"/>
    <n v="1274"/>
    <n v="0"/>
    <n v="1274"/>
    <x v="1"/>
    <x v="6"/>
    <n v="0"/>
    <x v="13"/>
  </r>
  <r>
    <n v="3615"/>
    <s v=" CGHS CREDIT"/>
    <d v="2022-10-22T00:00:00"/>
    <x v="1"/>
    <d v="2022-10-22T00:00:00"/>
    <d v="2022-10-22T00:00:00"/>
    <n v="22028141"/>
    <n v="2237004"/>
    <n v="1001626180"/>
    <s v="KAMLA DEVI"/>
    <x v="43"/>
    <n v="0"/>
    <n v="1610"/>
    <n v="0"/>
    <n v="1610"/>
    <x v="1"/>
    <x v="6"/>
    <n v="0"/>
    <x v="13"/>
  </r>
  <r>
    <n v="3616"/>
    <s v=" CGHS CREDIT"/>
    <d v="2022-10-05T00:00:00"/>
    <x v="1"/>
    <d v="2022-10-05T00:00:00"/>
    <d v="2022-10-05T00:00:00"/>
    <n v="22025732"/>
    <n v="2234722"/>
    <n v="1001692673"/>
    <s v="AMRIT PAL SHUKLA"/>
    <x v="43"/>
    <n v="0"/>
    <n v="1610"/>
    <n v="0"/>
    <n v="1610"/>
    <x v="1"/>
    <x v="6"/>
    <n v="0"/>
    <x v="13"/>
  </r>
  <r>
    <n v="3617"/>
    <s v=" DAK DIALYSIS"/>
    <d v="2022-10-22T00:00:00"/>
    <x v="1"/>
    <d v="2022-10-22T00:00:00"/>
    <d v="2022-10-22T00:00:00"/>
    <n v="22028208"/>
    <n v="2237040"/>
    <n v="1001648223"/>
    <s v="BRIJ LAL KORI"/>
    <x v="243"/>
    <n v="0"/>
    <n v="1274"/>
    <n v="0"/>
    <n v="1274"/>
    <x v="1"/>
    <x v="6"/>
    <n v="0"/>
    <x v="13"/>
  </r>
  <r>
    <n v="3618"/>
    <s v="Delhi Arogya kosh"/>
    <d v="2022-10-20T00:00:00"/>
    <x v="1"/>
    <d v="2022-10-20T00:00:00"/>
    <d v="2022-10-20T00:00:00"/>
    <n v="22027957"/>
    <n v="2236839"/>
    <n v="10013413542"/>
    <s v="KAMLA DEVI"/>
    <x v="243"/>
    <n v="0"/>
    <n v="1274"/>
    <n v="0"/>
    <n v="1274"/>
    <x v="1"/>
    <x v="6"/>
    <n v="0"/>
    <x v="13"/>
  </r>
  <r>
    <n v="3619"/>
    <s v=" DAK DIALYSIS"/>
    <d v="2022-10-04T00:00:00"/>
    <x v="1"/>
    <d v="2022-10-04T00:00:00"/>
    <d v="2022-10-04T00:00:00"/>
    <n v="22025568"/>
    <n v="2234571"/>
    <n v="1001711925"/>
    <s v="SANJAY KUMAR"/>
    <x v="243"/>
    <n v="0"/>
    <n v="1274"/>
    <n v="0"/>
    <n v="1274"/>
    <x v="1"/>
    <x v="6"/>
    <n v="0"/>
    <x v="13"/>
  </r>
  <r>
    <n v="3620"/>
    <s v=" DAK DIALYSIS"/>
    <d v="2022-10-26T00:00:00"/>
    <x v="1"/>
    <d v="2022-10-26T00:00:00"/>
    <d v="2022-10-26T00:00:00"/>
    <n v="22028584"/>
    <n v="2237448"/>
    <n v="1001647517"/>
    <s v="RAJENDER PANDAY"/>
    <x v="243"/>
    <n v="0"/>
    <n v="1274"/>
    <n v="0"/>
    <n v="1274"/>
    <x v="1"/>
    <x v="6"/>
    <n v="0"/>
    <x v="13"/>
  </r>
  <r>
    <n v="3621"/>
    <s v=" DAK DIALYSIS"/>
    <d v="2022-10-22T00:00:00"/>
    <x v="1"/>
    <d v="2022-10-22T00:00:00"/>
    <d v="2022-10-22T00:00:00"/>
    <n v="22028259"/>
    <n v="2237053"/>
    <n v="1001686545"/>
    <s v="RAKESH KUMAR"/>
    <x v="243"/>
    <n v="0"/>
    <n v="1274"/>
    <n v="0"/>
    <n v="1274"/>
    <x v="1"/>
    <x v="6"/>
    <n v="0"/>
    <x v="13"/>
  </r>
  <r>
    <n v="3622"/>
    <s v="Delhi Arogya kosh"/>
    <d v="2022-10-20T00:00:00"/>
    <x v="1"/>
    <d v="2022-10-20T00:00:00"/>
    <d v="2022-10-20T00:00:00"/>
    <n v="22027956"/>
    <n v="2236840"/>
    <n v="1001092597"/>
    <s v="RAVI"/>
    <x v="243"/>
    <n v="0"/>
    <n v="1274"/>
    <n v="0"/>
    <n v="1274"/>
    <x v="1"/>
    <x v="6"/>
    <n v="0"/>
    <x v="13"/>
  </r>
  <r>
    <n v="3623"/>
    <s v="ECHS"/>
    <d v="2022-10-18T00:00:00"/>
    <x v="1"/>
    <d v="2022-10-22T00:00:00"/>
    <d v="2022-10-22T00:00:00"/>
    <n v="22028130"/>
    <n v="2236527"/>
    <n v="10013533734"/>
    <s v="SATISH"/>
    <x v="1829"/>
    <n v="0"/>
    <n v="42055"/>
    <n v="0"/>
    <n v="42055"/>
    <x v="1"/>
    <x v="1"/>
    <n v="0"/>
    <x v="0"/>
  </r>
  <r>
    <n v="3624"/>
    <s v="CGHS ( CREDIT)"/>
    <d v="2022-10-17T00:00:00"/>
    <x v="1"/>
    <d v="2022-10-17T00:00:00"/>
    <d v="2022-10-17T00:00:00"/>
    <n v="22027459"/>
    <n v="2236323"/>
    <n v="1001300172"/>
    <s v="SWARN LATA KINDRA"/>
    <x v="43"/>
    <n v="0"/>
    <n v="1610"/>
    <n v="0"/>
    <n v="1610"/>
    <x v="1"/>
    <x v="6"/>
    <n v="0"/>
    <x v="13"/>
  </r>
  <r>
    <n v="3625"/>
    <s v="Delhi Arogya kosh"/>
    <d v="2022-10-22T00:00:00"/>
    <x v="1"/>
    <d v="2022-10-22T00:00:00"/>
    <d v="2022-10-22T00:00:00"/>
    <n v="22028278"/>
    <n v="2237056"/>
    <n v="10013347178"/>
    <s v="BABITA"/>
    <x v="243"/>
    <n v="0"/>
    <n v="1274"/>
    <n v="0"/>
    <n v="1274"/>
    <x v="1"/>
    <x v="6"/>
    <n v="0"/>
    <x v="13"/>
  </r>
  <r>
    <n v="3626"/>
    <s v="Delhi Arogya kosh"/>
    <d v="2022-10-14T00:00:00"/>
    <x v="1"/>
    <d v="2022-10-14T00:00:00"/>
    <d v="2022-10-14T00:00:00"/>
    <n v="22027096"/>
    <n v="2236012"/>
    <n v="1001082290"/>
    <s v="SUSHMA"/>
    <x v="243"/>
    <n v="0"/>
    <n v="1274"/>
    <n v="0"/>
    <n v="1274"/>
    <x v="1"/>
    <x v="6"/>
    <n v="0"/>
    <x v="13"/>
  </r>
  <r>
    <n v="3627"/>
    <s v="CGHS"/>
    <d v="2022-10-04T00:00:00"/>
    <x v="1"/>
    <d v="2022-10-06T00:00:00"/>
    <d v="2022-10-06T00:00:00"/>
    <n v="22025817"/>
    <n v="2234584"/>
    <n v="1001801732"/>
    <s v="RENU FEMALE BABY SINHMAR"/>
    <x v="1830"/>
    <n v="0"/>
    <n v="8130"/>
    <n v="8130"/>
    <n v="0"/>
    <x v="0"/>
    <x v="0"/>
    <n v="1"/>
    <x v="3"/>
  </r>
  <r>
    <n v="3628"/>
    <s v="NIVA BUPA"/>
    <d v="2022-10-04T00:00:00"/>
    <x v="1"/>
    <d v="2022-10-09T00:00:00"/>
    <d v="2022-10-09T00:00:00"/>
    <n v="22026244"/>
    <n v="2234610"/>
    <n v="10013541577"/>
    <s v="JITEN KUMAR"/>
    <x v="1831"/>
    <n v="8302"/>
    <n v="76112"/>
    <n v="9382"/>
    <n v="66730"/>
    <x v="1"/>
    <x v="1"/>
    <n v="0.12326571368509565"/>
    <x v="3"/>
  </r>
  <r>
    <n v="3629"/>
    <s v="GENERAL PATIENT"/>
    <d v="2022-10-06T00:00:00"/>
    <x v="1"/>
    <d v="2022-10-07T00:00:00"/>
    <d v="2022-10-07T00:00:00"/>
    <n v="22025966"/>
    <n v="2234870"/>
    <n v="1001802786"/>
    <s v="AKHTARI BEGAM"/>
    <x v="1832"/>
    <n v="6169"/>
    <n v="30923"/>
    <n v="30923"/>
    <n v="0"/>
    <x v="0"/>
    <x v="1"/>
    <n v="1"/>
    <x v="2"/>
  </r>
  <r>
    <n v="3630"/>
    <s v="GENERAL PATIENT"/>
    <d v="2022-10-17T00:00:00"/>
    <x v="1"/>
    <d v="2022-10-19T00:00:00"/>
    <d v="2022-10-19T00:00:00"/>
    <n v="22027696"/>
    <n v="2236383"/>
    <n v="1001754902"/>
    <s v="MALE BABY OF SHIKHA BATRA"/>
    <x v="1833"/>
    <n v="1312"/>
    <n v="12950"/>
    <n v="12950"/>
    <n v="0"/>
    <x v="0"/>
    <x v="1"/>
    <n v="1"/>
    <x v="3"/>
  </r>
  <r>
    <n v="3631"/>
    <s v="NIVA BUPA"/>
    <d v="2022-10-12T00:00:00"/>
    <x v="1"/>
    <d v="2022-10-17T00:00:00"/>
    <d v="2022-10-17T00:00:00"/>
    <n v="22027370"/>
    <n v="2235630"/>
    <n v="10013542640"/>
    <s v="RAVI SHARMA"/>
    <x v="1834"/>
    <n v="10141"/>
    <n v="84773"/>
    <n v="6115"/>
    <n v="78658"/>
    <x v="1"/>
    <x v="1"/>
    <n v="7.2133816191476061E-2"/>
    <x v="0"/>
  </r>
  <r>
    <n v="3632"/>
    <s v="MEDI ASSIST"/>
    <d v="2022-10-17T00:00:00"/>
    <x v="1"/>
    <d v="2022-10-22T00:00:00"/>
    <d v="2022-10-22T00:00:00"/>
    <n v="22028243"/>
    <n v="2236404"/>
    <n v="10013543456"/>
    <s v="RAMESH CHAND"/>
    <x v="1835"/>
    <n v="0"/>
    <n v="390984"/>
    <n v="34500"/>
    <n v="356484"/>
    <x v="1"/>
    <x v="3"/>
    <n v="8.8238904916825248E-2"/>
    <x v="0"/>
  </r>
  <r>
    <n v="3633"/>
    <s v="GENERAL PATIENT"/>
    <d v="2022-10-18T00:00:00"/>
    <x v="1"/>
    <d v="2022-10-18T00:00:00"/>
    <d v="2022-10-18T00:00:00"/>
    <n v="22027598"/>
    <n v="2236458"/>
    <n v="1001221265"/>
    <s v="SHASHI GARG"/>
    <x v="1836"/>
    <n v="2077"/>
    <n v="15157"/>
    <n v="15157"/>
    <n v="0"/>
    <x v="0"/>
    <x v="6"/>
    <n v="1"/>
    <x v="1"/>
  </r>
  <r>
    <n v="3634"/>
    <s v="RAKSHA (TPA)"/>
    <d v="2022-10-18T00:00:00"/>
    <x v="1"/>
    <d v="2022-10-25T00:00:00"/>
    <d v="2022-10-25T00:00:00"/>
    <n v="22028490"/>
    <n v="2236541"/>
    <n v="1001758774"/>
    <s v="OM PARKASH"/>
    <x v="1837"/>
    <n v="27774"/>
    <n v="400081"/>
    <n v="281871"/>
    <n v="118210"/>
    <x v="1"/>
    <x v="4"/>
    <n v="0.70453483169658149"/>
    <x v="0"/>
  </r>
  <r>
    <n v="3635"/>
    <s v="Staff DEPENDENT"/>
    <d v="2022-10-29T00:00:00"/>
    <x v="1"/>
    <d v="2022-10-31T00:00:00"/>
    <d v="2022-10-31T00:00:00"/>
    <n v="22029303"/>
    <n v="2238002"/>
    <n v="1001745866"/>
    <s v="AARAV"/>
    <x v="1838"/>
    <n v="51166"/>
    <n v="0"/>
    <n v="0"/>
    <n v="0"/>
    <x v="0"/>
    <x v="1"/>
    <e v="#DIV/0!"/>
    <x v="3"/>
  </r>
  <r>
    <n v="3636"/>
    <s v="NIVA BUPA"/>
    <d v="2022-10-25T00:00:00"/>
    <x v="1"/>
    <d v="2022-10-26T00:00:00"/>
    <d v="2022-10-26T00:00:00"/>
    <n v="22028644"/>
    <n v="2237257"/>
    <n v="10013544328"/>
    <s v="MANJU JAIN"/>
    <x v="1839"/>
    <n v="14056"/>
    <n v="86335"/>
    <n v="3426"/>
    <n v="82909"/>
    <x v="1"/>
    <x v="1"/>
    <n v="3.9682631609428393E-2"/>
    <x v="6"/>
  </r>
  <r>
    <n v="3637"/>
    <s v="CGHS"/>
    <d v="2022-10-06T00:00:00"/>
    <x v="1"/>
    <d v="2022-10-06T00:00:00"/>
    <d v="2022-10-06T00:00:00"/>
    <n v="22025898"/>
    <n v="2234869"/>
    <n v="1001802801"/>
    <s v="MAHESH"/>
    <x v="1840"/>
    <n v="0"/>
    <n v="7285"/>
    <n v="7285"/>
    <n v="0"/>
    <x v="0"/>
    <x v="2"/>
    <n v="1"/>
    <x v="4"/>
  </r>
  <r>
    <n v="3638"/>
    <s v="CGHS ( CREDIT)"/>
    <d v="2022-10-15T00:00:00"/>
    <x v="1"/>
    <d v="2022-10-21T00:00:00"/>
    <d v="2022-10-21T00:00:00"/>
    <n v="22028041"/>
    <n v="2236184"/>
    <n v="10013543213"/>
    <s v="PUSHPA DEVI"/>
    <x v="1841"/>
    <n v="0"/>
    <n v="88971"/>
    <n v="1671"/>
    <n v="87300"/>
    <x v="1"/>
    <x v="1"/>
    <n v="1.8781400681120816E-2"/>
    <x v="0"/>
  </r>
  <r>
    <n v="3639"/>
    <s v="GENERAL PATIENT"/>
    <d v="2022-09-30T00:00:00"/>
    <x v="0"/>
    <d v="2022-10-04T00:00:00"/>
    <d v="2022-10-04T00:00:00"/>
    <n v="22025535"/>
    <n v="2234047"/>
    <n v="10013540936"/>
    <s v="DHANVIR MANDAL"/>
    <x v="1842"/>
    <n v="21939"/>
    <n v="115927"/>
    <n v="115927"/>
    <n v="0"/>
    <x v="0"/>
    <x v="8"/>
    <n v="1"/>
    <x v="0"/>
  </r>
  <r>
    <n v="3640"/>
    <s v="GENERAL PATIENT"/>
    <d v="2022-10-26T00:00:00"/>
    <x v="1"/>
    <d v="2022-10-27T00:00:00"/>
    <d v="2022-10-27T00:00:00"/>
    <n v="22028716"/>
    <n v="2237472"/>
    <n v="1001806274"/>
    <s v="MTPB - 26.22.128"/>
    <x v="1843"/>
    <n v="5653"/>
    <n v="38564"/>
    <n v="38564"/>
    <n v="0"/>
    <x v="0"/>
    <x v="0"/>
    <n v="1"/>
    <x v="1"/>
  </r>
  <r>
    <n v="3641"/>
    <s v=" CGHS Cash"/>
    <d v="2022-10-11T00:00:00"/>
    <x v="1"/>
    <d v="2022-10-11T00:00:00"/>
    <d v="2022-10-11T00:00:00"/>
    <n v="22026617"/>
    <n v="2235546"/>
    <n v="1001797549"/>
    <s v="ASHOK KUMAR"/>
    <x v="43"/>
    <n v="0"/>
    <n v="1610"/>
    <n v="1610"/>
    <n v="0"/>
    <x v="0"/>
    <x v="6"/>
    <n v="1"/>
    <x v="13"/>
  </r>
  <r>
    <n v="3642"/>
    <s v="VIDAL HEALTH INSURANCE LIMITED"/>
    <d v="2022-10-15T00:00:00"/>
    <x v="1"/>
    <d v="2022-10-16T00:00:00"/>
    <d v="2022-10-16T00:00:00"/>
    <n v="22027347"/>
    <n v="2236157"/>
    <n v="10013391663"/>
    <s v="MANISHA SAINI"/>
    <x v="1844"/>
    <n v="2164"/>
    <n v="13430"/>
    <n v="3233"/>
    <n v="10197"/>
    <x v="1"/>
    <x v="5"/>
    <n v="0.24072970960536114"/>
    <x v="1"/>
  </r>
  <r>
    <n v="3643"/>
    <s v="GENERAL PATIENT"/>
    <d v="2022-10-03T00:00:00"/>
    <x v="1"/>
    <d v="2022-10-05T00:00:00"/>
    <d v="2022-10-05T00:00:00"/>
    <n v="22025660"/>
    <n v="2234381"/>
    <n v="10013541221"/>
    <s v="AMIT TANEJA"/>
    <x v="1845"/>
    <n v="712"/>
    <n v="328089"/>
    <n v="328089"/>
    <n v="0"/>
    <x v="0"/>
    <x v="1"/>
    <n v="1"/>
    <x v="4"/>
  </r>
  <r>
    <n v="3644"/>
    <s v="GENERAL PATIENT"/>
    <d v="2022-10-22T00:00:00"/>
    <x v="1"/>
    <d v="2022-10-22T00:00:00"/>
    <d v="2022-10-22T00:00:00"/>
    <n v="22028250"/>
    <n v="2237027"/>
    <n v="10013339576"/>
    <s v="RAKESH GUPTA"/>
    <x v="41"/>
    <n v="2794"/>
    <n v="0"/>
    <n v="0"/>
    <n v="0"/>
    <x v="0"/>
    <x v="9"/>
    <e v="#DIV/0!"/>
    <x v="13"/>
  </r>
  <r>
    <n v="3645"/>
    <s v="Max Bhupa Health Insurance Co Ltd."/>
    <d v="2022-10-20T00:00:00"/>
    <x v="1"/>
    <d v="2022-10-22T00:00:00"/>
    <d v="2022-10-22T00:00:00"/>
    <n v="22028212"/>
    <n v="2236713"/>
    <n v="10013543807"/>
    <s v="POONAM MASSEY"/>
    <x v="1846"/>
    <n v="8609"/>
    <n v="79477"/>
    <n v="88085"/>
    <n v="-8608"/>
    <x v="1"/>
    <x v="1"/>
    <n v="1.1083080639681921"/>
    <x v="0"/>
  </r>
  <r>
    <n v="3646"/>
    <s v="GENERAL PATIENT"/>
    <d v="2022-10-22T00:00:00"/>
    <x v="1"/>
    <d v="2022-10-22T00:00:00"/>
    <d v="2022-10-22T00:00:00"/>
    <n v="22028182"/>
    <n v="2236994"/>
    <n v="1001805720"/>
    <s v="RAGINI"/>
    <x v="1847"/>
    <n v="2227"/>
    <n v="15571"/>
    <n v="15571"/>
    <n v="0"/>
    <x v="0"/>
    <x v="6"/>
    <n v="1"/>
    <x v="1"/>
  </r>
  <r>
    <n v="3647"/>
    <s v="CGHS ( CREDIT)"/>
    <d v="2022-10-22T00:00:00"/>
    <x v="1"/>
    <d v="2022-10-23T00:00:00"/>
    <d v="2022-10-23T00:00:00"/>
    <n v="22028312"/>
    <n v="2237023"/>
    <n v="1001805764"/>
    <s v="JARNAIL SINGH"/>
    <x v="1848"/>
    <n v="0"/>
    <n v="180789"/>
    <n v="24420"/>
    <n v="156369"/>
    <x v="1"/>
    <x v="0"/>
    <n v="0.13507458971508221"/>
    <x v="4"/>
  </r>
  <r>
    <n v="3648"/>
    <s v="PARK MED CLAIM LTD"/>
    <d v="2022-10-13T00:00:00"/>
    <x v="1"/>
    <d v="2022-10-17T00:00:00"/>
    <d v="2022-10-17T00:00:00"/>
    <n v="22027408"/>
    <n v="2235888"/>
    <n v="1001272201"/>
    <s v="JAI RANI"/>
    <x v="1849"/>
    <n v="18884"/>
    <n v="115687"/>
    <n v="11664"/>
    <n v="104023"/>
    <x v="1"/>
    <x v="3"/>
    <n v="0.10082377449497351"/>
    <x v="0"/>
  </r>
  <r>
    <n v="3649"/>
    <s v="STAR HEALTH CARE  (CREDIT)"/>
    <d v="2022-10-09T00:00:00"/>
    <x v="1"/>
    <d v="2022-10-16T00:00:00"/>
    <d v="2022-10-16T00:00:00"/>
    <n v="22027331"/>
    <n v="2235281"/>
    <n v="10013542289"/>
    <s v="KRISH AGGARWAL"/>
    <x v="1850"/>
    <n v="28240"/>
    <n v="181131"/>
    <n v="22221"/>
    <n v="158910"/>
    <x v="1"/>
    <x v="1"/>
    <n v="0.12267916590754757"/>
    <x v="0"/>
  </r>
  <r>
    <n v="3650"/>
    <s v="CARE HEALTH INSURANCE LIMITED"/>
    <d v="2022-10-17T00:00:00"/>
    <x v="1"/>
    <d v="2022-10-18T00:00:00"/>
    <d v="2022-10-18T00:00:00"/>
    <n v="22027517"/>
    <n v="2236406"/>
    <n v="10013543466"/>
    <s v="DEEPAK RANA"/>
    <x v="1851"/>
    <n v="8129"/>
    <n v="89324"/>
    <n v="1500"/>
    <n v="87824"/>
    <x v="1"/>
    <x v="1"/>
    <n v="1.6792799247682594E-2"/>
    <x v="0"/>
  </r>
  <r>
    <n v="3651"/>
    <s v="GENERAL PATIENT"/>
    <d v="2022-10-17T00:00:00"/>
    <x v="1"/>
    <d v="2022-10-20T00:00:00"/>
    <d v="2022-10-20T00:00:00"/>
    <n v="22027850"/>
    <n v="2236352"/>
    <n v="10013542423"/>
    <s v="GARV GARG"/>
    <x v="1852"/>
    <n v="45128"/>
    <n v="100127"/>
    <n v="100127"/>
    <n v="0"/>
    <x v="0"/>
    <x v="7"/>
    <n v="1"/>
    <x v="16"/>
  </r>
  <r>
    <n v="3652"/>
    <s v=" CGHS Cash"/>
    <d v="2022-10-15T00:00:00"/>
    <x v="1"/>
    <d v="2022-10-19T00:00:00"/>
    <d v="2022-10-19T00:00:00"/>
    <n v="22027773"/>
    <n v="2236068"/>
    <n v="1001684408"/>
    <s v="SURAJ PRAKASH"/>
    <x v="1853"/>
    <n v="0"/>
    <n v="164765"/>
    <n v="164765"/>
    <n v="0"/>
    <x v="0"/>
    <x v="1"/>
    <n v="1"/>
    <x v="0"/>
  </r>
  <r>
    <n v="3653"/>
    <s v=" Paramount Health Services and Insurance TPA Pvt.Ltd."/>
    <d v="2022-10-18T00:00:00"/>
    <x v="1"/>
    <d v="2022-10-22T00:00:00"/>
    <d v="2022-10-22T00:00:00"/>
    <n v="22028151"/>
    <n v="2236501"/>
    <n v="1001805057"/>
    <s v="ANITA KUMARI"/>
    <x v="1854"/>
    <n v="10706"/>
    <n v="67792"/>
    <n v="6505"/>
    <n v="61287"/>
    <x v="1"/>
    <x v="3"/>
    <n v="9.5955274958697198E-2"/>
    <x v="0"/>
  </r>
  <r>
    <n v="3654"/>
    <s v="GENERAL PATIENT"/>
    <d v="2022-09-27T00:00:00"/>
    <x v="0"/>
    <d v="2022-10-01T00:00:00"/>
    <d v="2022-10-01T00:00:00"/>
    <n v="22025125"/>
    <n v="2233630"/>
    <n v="1001632856"/>
    <s v="RAJ RANI"/>
    <x v="1855"/>
    <n v="19825"/>
    <n v="142413"/>
    <n v="142413"/>
    <n v="0"/>
    <x v="0"/>
    <x v="1"/>
    <n v="1"/>
    <x v="4"/>
  </r>
  <r>
    <n v="3655"/>
    <s v="GENERAL PATIENT"/>
    <d v="2022-09-26T00:00:00"/>
    <x v="0"/>
    <d v="2022-10-06T00:00:00"/>
    <d v="2022-10-06T00:00:00"/>
    <n v="22025843"/>
    <n v="2233562"/>
    <n v="10013540357"/>
    <s v="LADHA RAM"/>
    <x v="1654"/>
    <n v="56338"/>
    <n v="324959"/>
    <n v="324959"/>
    <n v="0"/>
    <x v="0"/>
    <x v="7"/>
    <n v="1"/>
    <x v="5"/>
  </r>
  <r>
    <n v="3656"/>
    <s v="Safeway Mediclaim Services Pvt. Ltd."/>
    <d v="2022-10-08T00:00:00"/>
    <x v="1"/>
    <d v="2022-10-09T00:00:00"/>
    <d v="2022-10-09T00:00:00"/>
    <n v="22026258"/>
    <n v="2235176"/>
    <n v="1001144593"/>
    <s v="RAJ KUMAR GOYAL"/>
    <x v="491"/>
    <n v="0"/>
    <n v="202335"/>
    <n v="42750"/>
    <n v="159585"/>
    <x v="1"/>
    <x v="4"/>
    <n v="0.21128326784787604"/>
    <x v="4"/>
  </r>
  <r>
    <n v="3657"/>
    <s v="GENERAL PATIENT"/>
    <d v="2022-10-06T00:00:00"/>
    <x v="1"/>
    <d v="2022-10-08T00:00:00"/>
    <d v="2022-10-08T00:00:00"/>
    <n v="22026107"/>
    <n v="2234895"/>
    <n v="10013228230"/>
    <s v="SHAM SUNDER BANSAL"/>
    <x v="1856"/>
    <n v="9592"/>
    <n v="36478"/>
    <n v="36478"/>
    <n v="0"/>
    <x v="0"/>
    <x v="1"/>
    <n v="1"/>
    <x v="0"/>
  </r>
  <r>
    <n v="3658"/>
    <s v="HARAYANA GOVT."/>
    <d v="2022-10-08T00:00:00"/>
    <x v="1"/>
    <d v="2022-10-09T00:00:00"/>
    <d v="2022-10-09T00:00:00"/>
    <n v="22026314"/>
    <n v="2235197"/>
    <n v="1001803304"/>
    <s v="BIMLA DEVI"/>
    <x v="1857"/>
    <n v="0"/>
    <n v="162910"/>
    <n v="162910"/>
    <n v="0"/>
    <x v="0"/>
    <x v="1"/>
    <n v="1"/>
    <x v="4"/>
  </r>
  <r>
    <n v="3659"/>
    <s v="Paramount Health Services (TPA) Private Limited"/>
    <d v="2022-10-15T00:00:00"/>
    <x v="1"/>
    <d v="2022-10-16T00:00:00"/>
    <d v="2022-10-16T00:00:00"/>
    <n v="22027296"/>
    <n v="2236071"/>
    <n v="1001804443"/>
    <s v="RINKI RANI"/>
    <x v="1858"/>
    <n v="0"/>
    <n v="46275"/>
    <n v="1500"/>
    <n v="44775"/>
    <x v="1"/>
    <x v="3"/>
    <n v="3.2414910858995137E-2"/>
    <x v="1"/>
  </r>
  <r>
    <n v="3660"/>
    <s v="STAR HEALTH CARE  (CREDIT)"/>
    <d v="2022-09-28T00:00:00"/>
    <x v="0"/>
    <d v="2022-10-04T00:00:00"/>
    <d v="2022-10-04T00:00:00"/>
    <n v="22025503"/>
    <n v="2233865"/>
    <n v="1000901313"/>
    <s v="HARSH GUPTA"/>
    <x v="1859"/>
    <n v="14525"/>
    <n v="95432"/>
    <n v="20409"/>
    <n v="75023"/>
    <x v="1"/>
    <x v="2"/>
    <n v="0.21385908290720093"/>
    <x v="0"/>
  </r>
  <r>
    <n v="3661"/>
    <s v="FHPL-ACKO"/>
    <d v="2022-10-10T00:00:00"/>
    <x v="1"/>
    <d v="2022-10-12T00:00:00"/>
    <d v="2022-10-12T00:00:00"/>
    <n v="22026710"/>
    <n v="2235396"/>
    <n v="1001803587"/>
    <s v="SAKSHI MALE BABY AGGARWAL"/>
    <x v="1860"/>
    <n v="0"/>
    <n v="21614"/>
    <n v="21614"/>
    <n v="0"/>
    <x v="0"/>
    <x v="2"/>
    <n v="1"/>
    <x v="3"/>
  </r>
  <r>
    <n v="3662"/>
    <s v="GENERAL PATIENT"/>
    <d v="2022-10-10T00:00:00"/>
    <x v="1"/>
    <d v="2022-10-19T00:00:00"/>
    <d v="2022-10-19T00:00:00"/>
    <n v="22027643"/>
    <n v="2235407"/>
    <n v="1001803595"/>
    <s v="PRIYANKA FEMALE BABY BATRA"/>
    <x v="1861"/>
    <n v="82855"/>
    <n v="415072"/>
    <n v="421958"/>
    <n v="-6886"/>
    <x v="0"/>
    <x v="18"/>
    <n v="1.0165898928378692"/>
    <x v="3"/>
  </r>
  <r>
    <n v="3663"/>
    <s v="PARK MED CLAIM LTD"/>
    <d v="2022-10-15T00:00:00"/>
    <x v="1"/>
    <d v="2022-10-21T00:00:00"/>
    <d v="2022-10-21T00:00:00"/>
    <n v="22028055"/>
    <n v="2236209"/>
    <n v="10013543227"/>
    <s v="SURINDER JAIN"/>
    <x v="1862"/>
    <n v="14526"/>
    <n v="209331"/>
    <n v="130207"/>
    <n v="79124"/>
    <x v="1"/>
    <x v="5"/>
    <n v="0.62201489507048646"/>
    <x v="0"/>
  </r>
  <r>
    <n v="3664"/>
    <s v="ICICI Lombard General Insurance"/>
    <d v="2022-10-20T00:00:00"/>
    <x v="1"/>
    <d v="2022-10-22T00:00:00"/>
    <d v="2022-10-22T00:00:00"/>
    <n v="22028197"/>
    <n v="2236723"/>
    <n v="10013542801"/>
    <s v="SARIKA PANDEY"/>
    <x v="1863"/>
    <n v="6500"/>
    <n v="130249"/>
    <n v="3073"/>
    <n v="127176"/>
    <x v="1"/>
    <x v="1"/>
    <n v="2.3593271349492125E-2"/>
    <x v="11"/>
  </r>
  <r>
    <n v="3665"/>
    <s v=" STAR HEALTH TPA"/>
    <d v="2022-10-17T00:00:00"/>
    <x v="1"/>
    <d v="2022-10-18T00:00:00"/>
    <d v="2022-10-18T00:00:00"/>
    <n v="22027609"/>
    <n v="2236294"/>
    <n v="1001804726"/>
    <s v="DUSHYANT KUMAR"/>
    <x v="1864"/>
    <n v="0"/>
    <n v="97112"/>
    <n v="7236"/>
    <n v="89876"/>
    <x v="1"/>
    <x v="2"/>
    <n v="7.4511903781201094E-2"/>
    <x v="14"/>
  </r>
  <r>
    <n v="3666"/>
    <s v=" RELIGARE HEALTH INSURANCE"/>
    <d v="2022-10-13T00:00:00"/>
    <x v="1"/>
    <d v="2022-10-19T00:00:00"/>
    <d v="2022-10-19T00:00:00"/>
    <n v="22027760"/>
    <n v="2235858"/>
    <n v="1001730808"/>
    <s v="GEETA PANDEY"/>
    <x v="1865"/>
    <n v="11406"/>
    <n v="67130"/>
    <n v="5150"/>
    <n v="61980"/>
    <x v="1"/>
    <x v="1"/>
    <n v="7.6716818114106952E-2"/>
    <x v="0"/>
  </r>
  <r>
    <n v="3667"/>
    <s v="GENERAL PATIENT"/>
    <d v="2022-10-19T00:00:00"/>
    <x v="1"/>
    <d v="2022-10-21T00:00:00"/>
    <d v="2022-10-21T00:00:00"/>
    <n v="22028058"/>
    <n v="2236705"/>
    <n v="10013543792"/>
    <s v="KRISHAN KUMAR GOYAL"/>
    <x v="1866"/>
    <n v="32140"/>
    <n v="88955"/>
    <n v="88955"/>
    <n v="0"/>
    <x v="0"/>
    <x v="8"/>
    <n v="1"/>
    <x v="9"/>
  </r>
  <r>
    <n v="3668"/>
    <s v="DGHS (DELHI GOVT.)"/>
    <d v="2022-10-07T00:00:00"/>
    <x v="1"/>
    <d v="2022-10-08T00:00:00"/>
    <d v="2022-10-08T00:00:00"/>
    <n v="22026163"/>
    <n v="2234982"/>
    <n v="10013541917"/>
    <s v="PAPPU LAL"/>
    <x v="1867"/>
    <n v="0"/>
    <n v="18686"/>
    <n v="18686"/>
    <n v="0"/>
    <x v="0"/>
    <x v="1"/>
    <n v="1"/>
    <x v="16"/>
  </r>
  <r>
    <n v="3669"/>
    <s v="PARK MED CLAIM LTD"/>
    <d v="2022-10-10T00:00:00"/>
    <x v="1"/>
    <d v="2022-10-12T00:00:00"/>
    <d v="2022-10-12T00:00:00"/>
    <n v="22026720"/>
    <n v="2235388"/>
    <n v="10013542203"/>
    <s v="NIDHI CHOPRA"/>
    <x v="1868"/>
    <n v="11617"/>
    <n v="71873"/>
    <n v="5032"/>
    <n v="66841"/>
    <x v="1"/>
    <x v="5"/>
    <n v="7.0012382953264785E-2"/>
    <x v="15"/>
  </r>
  <r>
    <n v="3670"/>
    <s v="HARAYANA GOVT."/>
    <d v="2022-10-11T00:00:00"/>
    <x v="1"/>
    <d v="2022-10-11T00:00:00"/>
    <d v="2022-10-11T00:00:00"/>
    <n v="22026607"/>
    <n v="2235510"/>
    <n v="1001306803"/>
    <s v="JAGDISH CHANDER"/>
    <x v="1869"/>
    <n v="0"/>
    <n v="37950"/>
    <n v="37950"/>
    <n v="0"/>
    <x v="0"/>
    <x v="1"/>
    <n v="1"/>
    <x v="22"/>
  </r>
  <r>
    <n v="3671"/>
    <s v="ICICI Lombard General Insurance"/>
    <d v="2022-10-11T00:00:00"/>
    <x v="1"/>
    <d v="2022-10-13T00:00:00"/>
    <d v="2022-10-13T00:00:00"/>
    <n v="22026841"/>
    <n v="2235567"/>
    <n v="1001803792"/>
    <s v="BHUMIKA FEMALE BABY SACHDEVA"/>
    <x v="1870"/>
    <n v="0"/>
    <n v="9019"/>
    <n v="9019"/>
    <n v="0"/>
    <x v="0"/>
    <x v="2"/>
    <n v="1"/>
    <x v="3"/>
  </r>
  <r>
    <n v="3672"/>
    <s v="GENERAL PATIENT"/>
    <d v="2022-10-27T00:00:00"/>
    <x v="1"/>
    <d v="2022-10-27T00:00:00"/>
    <d v="2022-10-27T00:00:00"/>
    <n v="22028790"/>
    <n v="2237600"/>
    <n v="10013487271"/>
    <s v="BHAVIKA"/>
    <x v="1871"/>
    <n v="4473"/>
    <n v="29740"/>
    <n v="29740"/>
    <n v="0"/>
    <x v="0"/>
    <x v="6"/>
    <n v="1"/>
    <x v="6"/>
  </r>
  <r>
    <n v="3673"/>
    <s v=" CGHS Cash"/>
    <d v="2022-10-06T00:00:00"/>
    <x v="1"/>
    <d v="2022-10-22T00:00:00"/>
    <d v="2022-10-22T00:00:00"/>
    <n v="22028260"/>
    <n v="2234841"/>
    <n v="1001802666"/>
    <s v="M C JAIN"/>
    <x v="1872"/>
    <n v="0"/>
    <n v="120350"/>
    <n v="120350"/>
    <n v="0"/>
    <x v="0"/>
    <x v="1"/>
    <n v="1"/>
    <x v="0"/>
  </r>
  <r>
    <n v="3674"/>
    <s v="GENERAL PATIENT"/>
    <d v="2022-10-26T00:00:00"/>
    <x v="1"/>
    <d v="2022-10-26T00:00:00"/>
    <d v="2022-10-26T00:00:00"/>
    <n v="22028593"/>
    <n v="2237461"/>
    <n v="1000891450"/>
    <s v="MANOJ KUMAR SINHA"/>
    <x v="59"/>
    <n v="1518"/>
    <n v="2001"/>
    <n v="2001"/>
    <n v="0"/>
    <x v="0"/>
    <x v="6"/>
    <n v="1"/>
    <x v="13"/>
  </r>
  <r>
    <n v="3675"/>
    <s v="GENERAL PATIENT"/>
    <d v="2022-10-28T00:00:00"/>
    <x v="1"/>
    <d v="2022-10-30T00:00:00"/>
    <d v="2022-10-30T00:00:00"/>
    <n v="22029231"/>
    <n v="2237815"/>
    <n v="1001806815"/>
    <s v="SHYAM KUMAR JHA"/>
    <x v="1873"/>
    <n v="7946"/>
    <n v="68634"/>
    <n v="68634"/>
    <n v="0"/>
    <x v="0"/>
    <x v="1"/>
    <n v="1"/>
    <x v="0"/>
  </r>
  <r>
    <n v="3676"/>
    <s v="HARAYANA GOVT."/>
    <d v="2022-10-19T00:00:00"/>
    <x v="1"/>
    <d v="2022-10-19T00:00:00"/>
    <d v="2022-10-19T00:00:00"/>
    <n v="22027793"/>
    <n v="2236674"/>
    <n v="1001439428"/>
    <s v="DR.S.P.SHARMA"/>
    <x v="99"/>
    <n v="0"/>
    <n v="2758"/>
    <n v="2758"/>
    <n v="0"/>
    <x v="0"/>
    <x v="6"/>
    <n v="1"/>
    <x v="13"/>
  </r>
  <r>
    <n v="3677"/>
    <s v="GOVT. OF NCT OF DELHI"/>
    <d v="2022-10-19T00:00:00"/>
    <x v="1"/>
    <d v="2022-10-19T00:00:00"/>
    <d v="2022-10-19T00:00:00"/>
    <n v="22027802"/>
    <n v="2236704"/>
    <n v="1000915662"/>
    <s v="RAJ KUMAR"/>
    <x v="43"/>
    <n v="0"/>
    <n v="1610"/>
    <n v="1610"/>
    <n v="0"/>
    <x v="0"/>
    <x v="6"/>
    <n v="1"/>
    <x v="13"/>
  </r>
  <r>
    <n v="3678"/>
    <s v="DDA"/>
    <d v="2022-10-25T00:00:00"/>
    <x v="1"/>
    <d v="2022-10-27T00:00:00"/>
    <d v="2022-10-27T00:00:00"/>
    <n v="22028747"/>
    <n v="2237268"/>
    <n v="10013541112"/>
    <s v="RAJ RANI"/>
    <x v="1874"/>
    <n v="0"/>
    <n v="58872"/>
    <n v="58872"/>
    <n v="0"/>
    <x v="0"/>
    <x v="1"/>
    <n v="1"/>
    <x v="7"/>
  </r>
  <r>
    <n v="3679"/>
    <s v="BAJAJ ALLIANZ INSURANCE"/>
    <d v="2022-10-18T00:00:00"/>
    <x v="1"/>
    <d v="2022-10-22T00:00:00"/>
    <d v="2022-10-22T00:00:00"/>
    <n v="22028213"/>
    <n v="2236511"/>
    <n v="1000984777"/>
    <s v="ASHOK SHA WANKHADE"/>
    <x v="1875"/>
    <n v="4971"/>
    <n v="59509"/>
    <n v="3455"/>
    <n v="56054"/>
    <x v="1"/>
    <x v="1"/>
    <n v="5.8058444941101343E-2"/>
    <x v="0"/>
  </r>
  <r>
    <n v="3680"/>
    <s v="GENERAL PATIENT"/>
    <d v="2022-10-22T00:00:00"/>
    <x v="1"/>
    <d v="2022-10-23T00:00:00"/>
    <d v="2022-10-23T00:00:00"/>
    <n v="22028361"/>
    <n v="2237093"/>
    <n v="10013542062"/>
    <s v="SWETA"/>
    <x v="1876"/>
    <n v="5587"/>
    <n v="38260"/>
    <n v="38260"/>
    <n v="0"/>
    <x v="0"/>
    <x v="0"/>
    <n v="1"/>
    <x v="1"/>
  </r>
  <r>
    <n v="3681"/>
    <s v="DDA"/>
    <d v="2022-10-15T00:00:00"/>
    <x v="1"/>
    <d v="2022-10-25T00:00:00"/>
    <d v="2022-10-25T00:00:00"/>
    <n v="22028463"/>
    <n v="2236201"/>
    <n v="1001158203"/>
    <s v="BIMLA"/>
    <x v="1877"/>
    <n v="0"/>
    <n v="260220"/>
    <n v="260220"/>
    <n v="0"/>
    <x v="0"/>
    <x v="0"/>
    <n v="1"/>
    <x v="0"/>
  </r>
  <r>
    <n v="3682"/>
    <s v="M.C.D"/>
    <d v="2022-10-20T00:00:00"/>
    <x v="1"/>
    <d v="2022-10-23T00:00:00"/>
    <d v="2022-10-23T00:00:00"/>
    <n v="22028367"/>
    <n v="2236805"/>
    <n v="10013537638"/>
    <s v="RAMWATI"/>
    <x v="1878"/>
    <n v="0"/>
    <n v="14984"/>
    <n v="14984"/>
    <n v="0"/>
    <x v="0"/>
    <x v="1"/>
    <n v="1"/>
    <x v="15"/>
  </r>
  <r>
    <n v="3683"/>
    <s v="GENERAL PATIENT"/>
    <d v="2022-10-16T00:00:00"/>
    <x v="1"/>
    <d v="2022-10-20T00:00:00"/>
    <d v="2022-10-20T00:00:00"/>
    <n v="22027874"/>
    <n v="2236255"/>
    <n v="1001804695"/>
    <s v="MANOHAR LAL SHARMA"/>
    <x v="1879"/>
    <n v="8750"/>
    <n v="75682"/>
    <n v="75682"/>
    <n v="0"/>
    <x v="0"/>
    <x v="1"/>
    <n v="1"/>
    <x v="0"/>
  </r>
  <r>
    <n v="3684"/>
    <s v="GENERAL PATIENT"/>
    <d v="2022-10-22T00:00:00"/>
    <x v="1"/>
    <d v="2022-10-23T00:00:00"/>
    <d v="2022-10-23T00:00:00"/>
    <n v="22028325"/>
    <n v="2237024"/>
    <n v="1001149450"/>
    <s v="KRISHNA MITRA"/>
    <x v="166"/>
    <n v="0"/>
    <n v="184154"/>
    <n v="184154"/>
    <n v="0"/>
    <x v="0"/>
    <x v="1"/>
    <n v="1"/>
    <x v="4"/>
  </r>
  <r>
    <n v="3685"/>
    <s v="Paramount Health Services (TPA) Private Limited"/>
    <d v="2022-10-22T00:00:00"/>
    <x v="1"/>
    <d v="2022-10-26T00:00:00"/>
    <d v="2022-10-26T00:00:00"/>
    <n v="22028580"/>
    <n v="2237063"/>
    <n v="10013544087"/>
    <s v="RINKI"/>
    <x v="1880"/>
    <n v="0"/>
    <n v="66565"/>
    <n v="16565"/>
    <n v="50000"/>
    <x v="1"/>
    <x v="3"/>
    <n v="0.24885450311725382"/>
    <x v="1"/>
  </r>
  <r>
    <n v="3686"/>
    <s v="GENERAL PATIENT"/>
    <d v="2022-10-11T00:00:00"/>
    <x v="1"/>
    <d v="2022-10-13T00:00:00"/>
    <d v="2022-10-13T00:00:00"/>
    <n v="22026878"/>
    <n v="2235609"/>
    <n v="10013534557"/>
    <s v="RAJA RAM TIWARI"/>
    <x v="1881"/>
    <n v="30833"/>
    <n v="88321"/>
    <n v="88321"/>
    <n v="0"/>
    <x v="0"/>
    <x v="1"/>
    <n v="1"/>
    <x v="5"/>
  </r>
  <r>
    <n v="3687"/>
    <s v="GENERAL PATIENT"/>
    <d v="2022-10-26T00:00:00"/>
    <x v="1"/>
    <d v="2022-10-27T00:00:00"/>
    <d v="2022-10-27T00:00:00"/>
    <n v="22028814"/>
    <n v="2237521"/>
    <n v="1000965868"/>
    <s v="HARISH GOYAL"/>
    <x v="1882"/>
    <n v="0"/>
    <n v="189030"/>
    <n v="189030"/>
    <n v="0"/>
    <x v="0"/>
    <x v="1"/>
    <n v="1"/>
    <x v="4"/>
  </r>
  <r>
    <n v="3688"/>
    <s v="EAST-WEST ASSIST."/>
    <d v="2022-10-29T00:00:00"/>
    <x v="1"/>
    <d v="2022-10-29T00:00:00"/>
    <d v="2022-10-29T00:00:00"/>
    <n v="22029138"/>
    <n v="2237906"/>
    <n v="10013545004"/>
    <s v="RAKSHIT VIJAY"/>
    <x v="1883"/>
    <n v="6470"/>
    <n v="56265"/>
    <n v="3190"/>
    <n v="53075"/>
    <x v="1"/>
    <x v="3"/>
    <n v="5.6695992179863146E-2"/>
    <x v="3"/>
  </r>
  <r>
    <n v="3689"/>
    <s v=" CGHS Cash"/>
    <d v="2022-10-25T00:00:00"/>
    <x v="1"/>
    <d v="2022-10-25T00:00:00"/>
    <d v="2022-10-25T00:00:00"/>
    <n v="22028517"/>
    <n v="2237326"/>
    <n v="1001797549"/>
    <s v="ASHOK KUMAR"/>
    <x v="43"/>
    <n v="0"/>
    <n v="1610"/>
    <n v="1610"/>
    <n v="0"/>
    <x v="0"/>
    <x v="6"/>
    <n v="1"/>
    <x v="13"/>
  </r>
  <r>
    <n v="3690"/>
    <s v="CGHS"/>
    <d v="2022-10-25T00:00:00"/>
    <x v="1"/>
    <d v="2022-10-25T00:00:00"/>
    <d v="2022-10-25T00:00:00"/>
    <n v="22028501"/>
    <n v="2237319"/>
    <n v="10013519440"/>
    <s v="RAJENDER KUMAR"/>
    <x v="43"/>
    <n v="0"/>
    <n v="1610"/>
    <n v="1610"/>
    <n v="0"/>
    <x v="0"/>
    <x v="6"/>
    <n v="1"/>
    <x v="13"/>
  </r>
  <r>
    <n v="3691"/>
    <s v="GENERAL PATIENT"/>
    <d v="2022-10-28T00:00:00"/>
    <x v="1"/>
    <d v="2022-10-30T00:00:00"/>
    <d v="2022-10-30T00:00:00"/>
    <n v="22029237"/>
    <n v="2237869"/>
    <n v="1001806854"/>
    <s v="RAJESH KUMAR MISHRA"/>
    <x v="1884"/>
    <n v="4430"/>
    <n v="26040"/>
    <n v="26040"/>
    <n v="0"/>
    <x v="0"/>
    <x v="0"/>
    <n v="1"/>
    <x v="9"/>
  </r>
  <r>
    <n v="3692"/>
    <s v="GENERAL PATIENT"/>
    <d v="2022-10-29T00:00:00"/>
    <x v="1"/>
    <d v="2022-10-30T00:00:00"/>
    <d v="2022-10-30T00:00:00"/>
    <n v="22029188"/>
    <n v="2237907"/>
    <n v="1001806891"/>
    <s v="EKTA SAINI"/>
    <x v="1885"/>
    <n v="6133"/>
    <n v="42763"/>
    <n v="42763"/>
    <n v="0"/>
    <x v="0"/>
    <x v="2"/>
    <n v="1"/>
    <x v="1"/>
  </r>
  <r>
    <n v="3693"/>
    <s v="STAR HEALTH CARE  (CREDIT)"/>
    <d v="2022-10-04T00:00:00"/>
    <x v="1"/>
    <d v="2022-10-04T00:00:00"/>
    <d v="2022-10-04T00:00:00"/>
    <n v="22025596"/>
    <n v="2234526"/>
    <n v="1001039951"/>
    <s v="ANKUR JAIN"/>
    <x v="809"/>
    <n v="0"/>
    <n v="17300"/>
    <n v="17300"/>
    <n v="0"/>
    <x v="0"/>
    <x v="6"/>
    <n v="1"/>
    <x v="5"/>
  </r>
  <r>
    <n v="3694"/>
    <s v="STAR HEALTH CARE  (CREDIT)"/>
    <d v="2022-09-29T00:00:00"/>
    <x v="0"/>
    <d v="2022-10-04T00:00:00"/>
    <d v="2022-10-04T00:00:00"/>
    <n v="22025528"/>
    <n v="2233991"/>
    <n v="1001801564"/>
    <s v="PANKAJ GUPTA"/>
    <x v="1886"/>
    <n v="24835"/>
    <n v="404964"/>
    <n v="99500"/>
    <n v="305464"/>
    <x v="1"/>
    <x v="1"/>
    <n v="0.24570085242144982"/>
    <x v="4"/>
  </r>
  <r>
    <n v="3695"/>
    <s v="GENERAL PATIENT"/>
    <d v="2022-10-07T00:00:00"/>
    <x v="1"/>
    <d v="2022-10-12T00:00:00"/>
    <d v="2022-10-12T00:00:00"/>
    <n v="22026718"/>
    <n v="2235052"/>
    <n v="10013542063"/>
    <s v="REEMA GHAI"/>
    <x v="1887"/>
    <n v="48058"/>
    <n v="122492"/>
    <n v="122492"/>
    <n v="0"/>
    <x v="0"/>
    <x v="7"/>
    <n v="1"/>
    <x v="0"/>
  </r>
  <r>
    <n v="3696"/>
    <s v="GENERAL PATIENT"/>
    <d v="2022-10-25T00:00:00"/>
    <x v="1"/>
    <d v="2022-10-30T00:00:00"/>
    <d v="2022-10-30T00:00:00"/>
    <n v="22029199"/>
    <n v="2237304"/>
    <n v="10013398486"/>
    <s v="AMARJEET SINGH"/>
    <x v="1888"/>
    <n v="69419"/>
    <n v="143616"/>
    <n v="143616"/>
    <n v="0"/>
    <x v="0"/>
    <x v="13"/>
    <n v="1"/>
    <x v="9"/>
  </r>
  <r>
    <n v="3697"/>
    <s v="GENERAL PATIENT"/>
    <d v="2022-10-29T00:00:00"/>
    <x v="1"/>
    <d v="2022-10-29T00:00:00"/>
    <d v="2022-10-29T00:00:00"/>
    <n v="22028999"/>
    <n v="2237914"/>
    <n v="10013407139"/>
    <s v="SITO DEVI"/>
    <x v="73"/>
    <n v="286"/>
    <n v="2558"/>
    <n v="2558"/>
    <n v="0"/>
    <x v="0"/>
    <x v="6"/>
    <n v="1"/>
    <x v="13"/>
  </r>
  <r>
    <n v="3698"/>
    <s v="GENERAL PATIENT"/>
    <d v="2022-10-12T00:00:00"/>
    <x v="1"/>
    <d v="2022-10-15T00:00:00"/>
    <d v="2022-10-15T00:00:00"/>
    <n v="22027187"/>
    <n v="2235761"/>
    <n v="1001804018"/>
    <s v="GUNJAN MALE BABY GUPTA"/>
    <x v="1889"/>
    <n v="2820"/>
    <n v="18761"/>
    <n v="18761"/>
    <n v="0"/>
    <x v="0"/>
    <x v="2"/>
    <n v="1"/>
    <x v="3"/>
  </r>
  <r>
    <n v="3699"/>
    <s v=" RELIGARE HEALTH INSURANCE"/>
    <d v="2022-10-04T00:00:00"/>
    <x v="1"/>
    <d v="2022-10-05T00:00:00"/>
    <d v="2022-10-05T00:00:00"/>
    <n v="22025724"/>
    <n v="2234577"/>
    <n v="1001802434"/>
    <s v="ARYA KUMARI"/>
    <x v="1890"/>
    <n v="0"/>
    <n v="36085"/>
    <n v="2000"/>
    <n v="34085"/>
    <x v="1"/>
    <x v="2"/>
    <n v="5.542469170015242E-2"/>
    <x v="11"/>
  </r>
  <r>
    <n v="3700"/>
    <s v="GENERAL PATIENT"/>
    <d v="2022-10-13T00:00:00"/>
    <x v="1"/>
    <d v="2022-10-13T00:00:00"/>
    <d v="2022-10-13T00:00:00"/>
    <n v="22026893"/>
    <n v="2235839"/>
    <n v="1000919979"/>
    <s v="HEMA  BHAGAT"/>
    <x v="73"/>
    <n v="310"/>
    <n v="2534"/>
    <n v="2534"/>
    <n v="0"/>
    <x v="0"/>
    <x v="6"/>
    <n v="1"/>
    <x v="13"/>
  </r>
  <r>
    <n v="3701"/>
    <s v="GENERAL PATIENT"/>
    <d v="2022-10-13T00:00:00"/>
    <x v="1"/>
    <d v="2022-10-13T00:00:00"/>
    <d v="2022-10-13T00:00:00"/>
    <n v="22026910"/>
    <n v="2235845"/>
    <n v="1000891310"/>
    <s v="MUKESH"/>
    <x v="190"/>
    <n v="3288"/>
    <n v="0"/>
    <n v="0"/>
    <n v="0"/>
    <x v="0"/>
    <x v="9"/>
    <e v="#DIV/0!"/>
    <x v="13"/>
  </r>
  <r>
    <n v="3702"/>
    <s v="HARAYANA GOVT."/>
    <d v="2022-10-04T00:00:00"/>
    <x v="1"/>
    <d v="2022-10-13T00:00:00"/>
    <d v="2022-10-13T00:00:00"/>
    <n v="22026913"/>
    <n v="2234548"/>
    <n v="1001802383"/>
    <s v="BHAL SINGH"/>
    <x v="1891"/>
    <n v="0"/>
    <n v="222550"/>
    <n v="222550"/>
    <n v="0"/>
    <x v="1"/>
    <x v="1"/>
    <n v="1"/>
    <x v="10"/>
  </r>
  <r>
    <n v="3703"/>
    <s v="PARK MED CLAIM LTD"/>
    <d v="2022-10-29T00:00:00"/>
    <x v="1"/>
    <d v="2022-10-30T00:00:00"/>
    <d v="2022-10-30T00:00:00"/>
    <n v="22029209"/>
    <n v="2237986"/>
    <n v="1001807020"/>
    <s v="SUBHASH CHANDER"/>
    <x v="1892"/>
    <n v="0"/>
    <n v="245309"/>
    <n v="58434"/>
    <n v="186875"/>
    <x v="1"/>
    <x v="4"/>
    <n v="0.23820569159712851"/>
    <x v="4"/>
  </r>
  <r>
    <n v="3704"/>
    <s v="GENERAL PATIENT"/>
    <d v="2022-10-28T00:00:00"/>
    <x v="1"/>
    <d v="2022-10-31T00:00:00"/>
    <d v="2022-10-31T00:00:00"/>
    <n v="22029293"/>
    <n v="2237776"/>
    <n v="1001289179"/>
    <s v="MADHU MANISHA"/>
    <x v="1893"/>
    <n v="11234"/>
    <n v="83513"/>
    <n v="83513"/>
    <n v="0"/>
    <x v="0"/>
    <x v="0"/>
    <n v="1"/>
    <x v="1"/>
  </r>
  <r>
    <n v="3705"/>
    <s v="HEALTH INDIA"/>
    <d v="2022-10-28T00:00:00"/>
    <x v="1"/>
    <d v="2022-10-29T00:00:00"/>
    <d v="2022-10-29T00:00:00"/>
    <n v="22029022"/>
    <n v="2237798"/>
    <n v="1001798590"/>
    <s v="SUNIL MALIK"/>
    <x v="1894"/>
    <n v="0"/>
    <n v="223169"/>
    <n v="42750"/>
    <n v="180419"/>
    <x v="1"/>
    <x v="4"/>
    <n v="0.1915588634622192"/>
    <x v="4"/>
  </r>
  <r>
    <n v="3706"/>
    <s v="STAR HEALTH CARE  (CREDIT)"/>
    <d v="2022-10-28T00:00:00"/>
    <x v="1"/>
    <d v="2022-10-30T00:00:00"/>
    <d v="2022-10-30T00:00:00"/>
    <n v="22029193"/>
    <n v="2237795"/>
    <n v="10013544853"/>
    <s v="AMAR NATH"/>
    <x v="1895"/>
    <n v="0"/>
    <n v="336099"/>
    <n v="28400"/>
    <n v="307699"/>
    <x v="1"/>
    <x v="1"/>
    <n v="8.4498912522798342E-2"/>
    <x v="4"/>
  </r>
  <r>
    <n v="3707"/>
    <s v=" RAKSHA TPA PVT.LTD."/>
    <d v="2022-10-25T00:00:00"/>
    <x v="1"/>
    <d v="2022-10-29T00:00:00"/>
    <d v="2022-10-29T00:00:00"/>
    <n v="22029041"/>
    <n v="2237361"/>
    <n v="1001802528"/>
    <s v="PRAMOD KUMAR"/>
    <x v="1896"/>
    <n v="9430"/>
    <n v="44603"/>
    <n v="601"/>
    <n v="44002"/>
    <x v="1"/>
    <x v="0"/>
    <n v="1.3474429971078179E-2"/>
    <x v="0"/>
  </r>
  <r>
    <n v="3708"/>
    <s v="Heritage Health TPA Private Limited"/>
    <d v="2022-10-08T00:00:00"/>
    <x v="1"/>
    <d v="2022-10-11T00:00:00"/>
    <d v="2022-10-11T00:00:00"/>
    <n v="22026532"/>
    <n v="2235227"/>
    <n v="10013515599"/>
    <s v="PRIYANKA  JAIN"/>
    <x v="194"/>
    <n v="0"/>
    <n v="70925"/>
    <n v="19925"/>
    <n v="51000"/>
    <x v="1"/>
    <x v="2"/>
    <n v="0.28093056045118081"/>
    <x v="1"/>
  </r>
  <r>
    <n v="3709"/>
    <s v="Aditya Birla Health Insurance Co. Limited"/>
    <d v="2022-10-04T00:00:00"/>
    <x v="1"/>
    <d v="2022-10-10T00:00:00"/>
    <d v="2022-10-10T00:00:00"/>
    <n v="22026360"/>
    <n v="2234587"/>
    <n v="1001802444"/>
    <s v="SARVESH"/>
    <x v="1897"/>
    <n v="3703"/>
    <n v="108753"/>
    <n v="4549"/>
    <n v="104204"/>
    <x v="1"/>
    <x v="1"/>
    <n v="4.1828731161439224E-2"/>
    <x v="0"/>
  </r>
  <r>
    <n v="3710"/>
    <s v="GENERAL PATIENT"/>
    <d v="2022-10-28T00:00:00"/>
    <x v="1"/>
    <d v="2022-10-31T00:00:00"/>
    <d v="2022-10-31T00:00:00"/>
    <n v="22029301"/>
    <n v="2237772"/>
    <n v="1001806719"/>
    <s v="TANVEER BEDI"/>
    <x v="1898"/>
    <n v="17883"/>
    <n v="118338"/>
    <n v="118338"/>
    <n v="0"/>
    <x v="0"/>
    <x v="11"/>
    <n v="1"/>
    <x v="1"/>
  </r>
  <r>
    <n v="3711"/>
    <s v="CGHS ( CREDIT)"/>
    <d v="2022-10-28T00:00:00"/>
    <x v="1"/>
    <d v="2022-10-31T00:00:00"/>
    <d v="2022-10-31T00:00:00"/>
    <n v="22029290"/>
    <n v="2237737"/>
    <n v="1001224419"/>
    <s v="RAMESH KUMAR"/>
    <x v="1899"/>
    <n v="0"/>
    <n v="38545"/>
    <n v="1998"/>
    <n v="36547"/>
    <x v="1"/>
    <x v="1"/>
    <n v="5.1835516928265664E-2"/>
    <x v="4"/>
  </r>
  <r>
    <n v="3712"/>
    <s v="STAR HEALTH CARE  (CREDIT)"/>
    <d v="2022-09-29T00:00:00"/>
    <x v="0"/>
    <d v="2022-10-04T00:00:00"/>
    <d v="2022-10-04T00:00:00"/>
    <n v="22025522"/>
    <n v="2233867"/>
    <n v="10013540086"/>
    <s v="TWINKLE"/>
    <x v="1900"/>
    <n v="19565"/>
    <n v="124831"/>
    <n v="5282"/>
    <n v="119549"/>
    <x v="1"/>
    <x v="1"/>
    <n v="4.2313207456481164E-2"/>
    <x v="11"/>
  </r>
  <r>
    <n v="3713"/>
    <s v="HDFC ERGO General Insurance Co. Ltd."/>
    <d v="2022-10-17T00:00:00"/>
    <x v="1"/>
    <d v="2022-10-18T00:00:00"/>
    <d v="2022-10-18T00:00:00"/>
    <n v="22027565"/>
    <n v="2236269"/>
    <n v="1001460117"/>
    <s v="RAJESH GUPTA"/>
    <x v="1901"/>
    <n v="135"/>
    <n v="264099"/>
    <n v="1500"/>
    <n v="262599"/>
    <x v="1"/>
    <x v="4"/>
    <n v="5.679688298706167E-3"/>
    <x v="4"/>
  </r>
  <r>
    <n v="3714"/>
    <s v="STAR HEALTH CARE  (CREDIT)"/>
    <d v="2022-10-13T00:00:00"/>
    <x v="1"/>
    <d v="2022-10-18T00:00:00"/>
    <d v="2022-10-18T00:00:00"/>
    <n v="22027553"/>
    <n v="2235872"/>
    <n v="10013542889"/>
    <s v="VIKAS GARG"/>
    <x v="1902"/>
    <n v="10087"/>
    <n v="77710"/>
    <n v="7331"/>
    <n v="70379"/>
    <x v="1"/>
    <x v="0"/>
    <n v="9.4337923047226865E-2"/>
    <x v="0"/>
  </r>
  <r>
    <n v="3715"/>
    <s v="DGHS (DELHI GOVT.)"/>
    <d v="2022-10-26T00:00:00"/>
    <x v="1"/>
    <d v="2022-10-30T00:00:00"/>
    <d v="2022-10-30T00:00:00"/>
    <n v="22029196"/>
    <n v="2237517"/>
    <n v="1001325365"/>
    <s v="USHA RANI DHINGRA"/>
    <x v="1903"/>
    <n v="0"/>
    <n v="31387"/>
    <n v="1484"/>
    <n v="29903"/>
    <x v="1"/>
    <x v="2"/>
    <n v="4.7280721317743017E-2"/>
    <x v="11"/>
  </r>
  <r>
    <n v="3716"/>
    <s v="CGHS ( CREDIT)"/>
    <d v="2022-10-20T00:00:00"/>
    <x v="1"/>
    <d v="2022-10-31T00:00:00"/>
    <d v="2022-10-31T00:00:00"/>
    <n v="22029342"/>
    <n v="2236833"/>
    <n v="1000941682"/>
    <s v="MEENA BISHT"/>
    <x v="1904"/>
    <n v="0"/>
    <n v="147110"/>
    <n v="6901"/>
    <n v="140209"/>
    <x v="1"/>
    <x v="2"/>
    <n v="4.6910475154646185E-2"/>
    <x v="0"/>
  </r>
  <r>
    <n v="3717"/>
    <s v="STAR HEALTH CARE  (CREDIT)"/>
    <d v="2022-10-23T00:00:00"/>
    <x v="1"/>
    <d v="2022-10-31T00:00:00"/>
    <d v="2022-10-31T00:00:00"/>
    <n v="22029294"/>
    <n v="2237139"/>
    <n v="10013484205"/>
    <s v="POOJA YADAV"/>
    <x v="1905"/>
    <n v="29866"/>
    <n v="188948"/>
    <n v="10325"/>
    <n v="178623"/>
    <x v="1"/>
    <x v="2"/>
    <n v="5.4644664140398418E-2"/>
    <x v="0"/>
  </r>
  <r>
    <n v="3718"/>
    <s v=" AIRPORTS AUTHORITY OF INDIA"/>
    <d v="2022-10-07T00:00:00"/>
    <x v="1"/>
    <d v="2022-10-14T00:00:00"/>
    <d v="2022-10-14T00:00:00"/>
    <n v="22027048"/>
    <n v="2235019"/>
    <n v="1001688119"/>
    <s v="RAN SINGH"/>
    <x v="1906"/>
    <n v="18129"/>
    <n v="138319"/>
    <n v="11375"/>
    <n v="126944"/>
    <x v="1"/>
    <x v="1"/>
    <n v="8.2237436650062543E-2"/>
    <x v="0"/>
  </r>
  <r>
    <n v="3719"/>
    <s v="PARK MED CLAIM LTD"/>
    <d v="2022-10-15T00:00:00"/>
    <x v="1"/>
    <d v="2022-10-18T00:00:00"/>
    <d v="2022-10-18T00:00:00"/>
    <n v="22027549"/>
    <n v="2236066"/>
    <n v="10013465050"/>
    <s v="AJAY KSHATRIYA"/>
    <x v="1907"/>
    <n v="13940"/>
    <n v="95333"/>
    <n v="2272"/>
    <n v="93061"/>
    <x v="1"/>
    <x v="2"/>
    <n v="2.383225116171735E-2"/>
    <x v="0"/>
  </r>
  <r>
    <n v="3720"/>
    <s v="IFFCO TOKIO GENERAL INSURANCE COMPANY LIMITED"/>
    <d v="2022-10-15T00:00:00"/>
    <x v="1"/>
    <d v="2022-10-18T00:00:00"/>
    <d v="2022-10-18T00:00:00"/>
    <n v="22027578"/>
    <n v="2236064"/>
    <n v="10013543082"/>
    <s v="KAUSHALAYA DEVI"/>
    <x v="1908"/>
    <n v="6190"/>
    <n v="174761"/>
    <n v="24761"/>
    <n v="150000"/>
    <x v="1"/>
    <x v="1"/>
    <n v="0.14168492970399574"/>
    <x v="16"/>
  </r>
  <r>
    <n v="3721"/>
    <s v="MEDI ASSIST"/>
    <d v="2022-10-08T00:00:00"/>
    <x v="1"/>
    <d v="2022-10-08T00:00:00"/>
    <d v="2022-10-08T00:00:00"/>
    <n v="22026184"/>
    <n v="2235170"/>
    <n v="1001564406"/>
    <s v="RAVI BATURA"/>
    <x v="75"/>
    <n v="0"/>
    <n v="2200"/>
    <n v="330"/>
    <n v="1870"/>
    <x v="1"/>
    <x v="12"/>
    <n v="0.15"/>
    <x v="13"/>
  </r>
  <r>
    <n v="3722"/>
    <s v="Safeway Mediclaim Services Pvt. Ltd."/>
    <d v="2022-10-08T00:00:00"/>
    <x v="1"/>
    <d v="2022-10-10T00:00:00"/>
    <d v="2022-10-10T00:00:00"/>
    <n v="22026331"/>
    <n v="2235230"/>
    <n v="1001259715"/>
    <s v="PREETI SETH"/>
    <x v="1909"/>
    <n v="4280"/>
    <n v="26751"/>
    <n v="2259"/>
    <n v="24492"/>
    <x v="1"/>
    <x v="3"/>
    <n v="8.4445441291914322E-2"/>
    <x v="0"/>
  </r>
  <r>
    <n v="3723"/>
    <s v="CENTRAL WAREHOUSING CORP. LTD (CREDIT)"/>
    <d v="2022-10-27T00:00:00"/>
    <x v="1"/>
    <d v="2022-10-30T00:00:00"/>
    <d v="2022-10-30T00:00:00"/>
    <n v="22029238"/>
    <n v="2237592"/>
    <n v="1001806460"/>
    <s v="SHREEJA GARG"/>
    <x v="1910"/>
    <n v="0"/>
    <n v="25641"/>
    <n v="1723"/>
    <n v="23918"/>
    <x v="1"/>
    <x v="2"/>
    <n v="6.7197067197067195E-2"/>
    <x v="3"/>
  </r>
  <r>
    <n v="3724"/>
    <s v="DGHS (DELHI GOVT.)"/>
    <d v="2022-10-03T00:00:00"/>
    <x v="1"/>
    <d v="2022-10-05T00:00:00"/>
    <d v="2022-10-05T00:00:00"/>
    <n v="22025721"/>
    <n v="2234488"/>
    <n v="10013507935"/>
    <s v="RUBY RATHEE"/>
    <x v="1911"/>
    <n v="0"/>
    <n v="10391"/>
    <n v="10391"/>
    <n v="0"/>
    <x v="0"/>
    <x v="1"/>
    <n v="1"/>
    <x v="1"/>
  </r>
  <r>
    <n v="3725"/>
    <s v="GENERAL PATIENT"/>
    <d v="2022-10-03T00:00:00"/>
    <x v="1"/>
    <d v="2022-10-21T00:00:00"/>
    <d v="2022-10-21T00:00:00"/>
    <n v="22028077"/>
    <n v="2234490"/>
    <n v="10013541434"/>
    <s v="DAYA SAGAR"/>
    <x v="1912"/>
    <n v="109488"/>
    <n v="513030"/>
    <n v="513030"/>
    <n v="0"/>
    <x v="0"/>
    <x v="1"/>
    <n v="1"/>
    <x v="0"/>
  </r>
  <r>
    <n v="3726"/>
    <s v="HDFC ERGO General Insurance Co. Ltd."/>
    <d v="2022-10-05T00:00:00"/>
    <x v="1"/>
    <d v="2022-10-10T00:00:00"/>
    <d v="2022-10-10T00:00:00"/>
    <n v="22026389"/>
    <n v="2234797"/>
    <n v="10013541672"/>
    <s v="RIYA TAYAL"/>
    <x v="1913"/>
    <n v="5991"/>
    <n v="63862"/>
    <n v="2400"/>
    <n v="61462"/>
    <x v="1"/>
    <x v="2"/>
    <n v="3.7581034104788448E-2"/>
    <x v="0"/>
  </r>
  <r>
    <n v="3727"/>
    <s v="DGHS (DELHI GOVT.)"/>
    <d v="2022-10-24T00:00:00"/>
    <x v="1"/>
    <d v="2022-10-31T00:00:00"/>
    <d v="2022-10-31T00:00:00"/>
    <n v="22029357"/>
    <n v="2237220"/>
    <n v="1001328899"/>
    <s v="KITAB KAUR"/>
    <x v="1914"/>
    <n v="0"/>
    <n v="121614"/>
    <n v="3617"/>
    <n v="117997"/>
    <x v="1"/>
    <x v="2"/>
    <n v="2.974164158731725E-2"/>
    <x v="0"/>
  </r>
  <r>
    <n v="3728"/>
    <s v="GENERAL PATIENT"/>
    <d v="2022-10-31T00:00:00"/>
    <x v="1"/>
    <d v="2022-10-31T00:00:00"/>
    <d v="2022-10-31T00:00:00"/>
    <n v="22029402"/>
    <n v="2238274"/>
    <n v="1001491648"/>
    <s v="SURESH"/>
    <x v="41"/>
    <n v="2794"/>
    <n v="0"/>
    <n v="0"/>
    <n v="0"/>
    <x v="0"/>
    <x v="9"/>
    <e v="#DIV/0!"/>
    <x v="13"/>
  </r>
  <r>
    <n v="3729"/>
    <s v="GENERAL PATIENT"/>
    <d v="2022-10-08T00:00:00"/>
    <x v="1"/>
    <d v="2022-10-16T00:00:00"/>
    <d v="2022-10-16T00:00:00"/>
    <n v="22027308"/>
    <n v="2235153"/>
    <n v="1001394601"/>
    <s v="MAHIMA GARG"/>
    <x v="1915"/>
    <n v="35259"/>
    <n v="289141"/>
    <n v="199500"/>
    <n v="89641"/>
    <x v="1"/>
    <x v="10"/>
    <n v="0.68997478738746842"/>
    <x v="1"/>
  </r>
  <r>
    <n v="3730"/>
    <s v="GENERAL PATIENT"/>
    <d v="2022-10-05T00:00:00"/>
    <x v="1"/>
    <d v="2022-10-10T00:00:00"/>
    <d v="2022-10-10T00:00:00"/>
    <n v="22026436"/>
    <n v="2234780"/>
    <n v="10013541655"/>
    <s v="HARMEET SINGH GILL"/>
    <x v="1916"/>
    <n v="62181"/>
    <n v="0"/>
    <n v="0"/>
    <n v="0"/>
    <x v="0"/>
    <x v="9"/>
    <e v="#DIV/0!"/>
    <x v="0"/>
  </r>
  <r>
    <n v="3731"/>
    <s v="STAR HEALTH CARE  (CREDIT)"/>
    <d v="2022-10-12T00:00:00"/>
    <x v="1"/>
    <d v="2022-10-15T00:00:00"/>
    <d v="2022-10-15T00:00:00"/>
    <n v="22027225"/>
    <n v="2235705"/>
    <n v="1001159136"/>
    <s v="VEENA CHHABRA"/>
    <x v="1917"/>
    <n v="16963"/>
    <n v="102737"/>
    <n v="102737"/>
    <n v="0"/>
    <x v="0"/>
    <x v="1"/>
    <n v="1"/>
    <x v="9"/>
  </r>
  <r>
    <n v="3732"/>
    <s v="CGHS"/>
    <d v="2022-10-01T00:00:00"/>
    <x v="1"/>
    <d v="2022-10-08T00:00:00"/>
    <d v="2022-10-08T00:00:00"/>
    <n v="22026129"/>
    <n v="2234291"/>
    <n v="1001801962"/>
    <s v="SANYA SEHGAL"/>
    <x v="1918"/>
    <n v="0"/>
    <n v="74365"/>
    <n v="74365"/>
    <n v="0"/>
    <x v="0"/>
    <x v="1"/>
    <n v="1"/>
    <x v="0"/>
  </r>
  <r>
    <n v="3733"/>
    <s v="NIVA BUPA"/>
    <d v="2022-10-06T00:00:00"/>
    <x v="1"/>
    <d v="2022-10-10T00:00:00"/>
    <d v="2022-10-10T00:00:00"/>
    <n v="22026381"/>
    <n v="2234879"/>
    <n v="10013505542"/>
    <s v="REENA SHARMA"/>
    <x v="1919"/>
    <n v="10190"/>
    <n v="105308"/>
    <n v="3076"/>
    <n v="102232"/>
    <x v="1"/>
    <x v="2"/>
    <n v="2.9209556728833515E-2"/>
    <x v="1"/>
  </r>
  <r>
    <n v="3734"/>
    <s v="VIDAL HEALTH INSURANCE LIMITED"/>
    <d v="2022-10-27T00:00:00"/>
    <x v="1"/>
    <d v="2022-10-31T00:00:00"/>
    <d v="2022-10-31T00:00:00"/>
    <n v="22029308"/>
    <n v="2237707"/>
    <n v="1001806644"/>
    <s v="ISHMEET SINGH"/>
    <x v="1920"/>
    <n v="9000"/>
    <n v="82015"/>
    <n v="4808"/>
    <n v="77207"/>
    <x v="1"/>
    <x v="2"/>
    <n v="5.8623422544656467E-2"/>
    <x v="3"/>
  </r>
  <r>
    <n v="3735"/>
    <s v="HDFC ERGO General Insurance Co. Ltd."/>
    <d v="2022-10-03T00:00:00"/>
    <x v="1"/>
    <d v="2022-10-11T00:00:00"/>
    <d v="2022-10-11T00:00:00"/>
    <n v="22026606"/>
    <n v="2234436"/>
    <n v="10013541401"/>
    <s v="BINA VIJAY"/>
    <x v="1921"/>
    <n v="0"/>
    <n v="158173"/>
    <n v="11648"/>
    <n v="146525"/>
    <x v="1"/>
    <x v="1"/>
    <n v="7.3640886877027051E-2"/>
    <x v="2"/>
  </r>
  <r>
    <n v="3736"/>
    <s v="EAST-WEST ASSIST."/>
    <d v="2022-10-13T00:00:00"/>
    <x v="1"/>
    <d v="2022-10-19T00:00:00"/>
    <d v="2022-10-19T00:00:00"/>
    <n v="22027682"/>
    <n v="2235877"/>
    <n v="1001272862"/>
    <s v="HARSHIT"/>
    <x v="1922"/>
    <n v="9232"/>
    <n v="72880"/>
    <n v="26509"/>
    <n v="46371"/>
    <x v="1"/>
    <x v="3"/>
    <n v="0.36373490669593855"/>
    <x v="0"/>
  </r>
  <r>
    <n v="3737"/>
    <s v="GENERAL PATIENT"/>
    <d v="2022-10-04T00:00:00"/>
    <x v="1"/>
    <d v="2022-10-12T00:00:00"/>
    <d v="2022-10-12T00:00:00"/>
    <n v="22026719"/>
    <n v="2234649"/>
    <n v="10013541596"/>
    <s v="RAMSARAN"/>
    <x v="1923"/>
    <n v="17298"/>
    <n v="243552"/>
    <n v="243552"/>
    <n v="0"/>
    <x v="0"/>
    <x v="1"/>
    <n v="1"/>
    <x v="10"/>
  </r>
  <r>
    <n v="3738"/>
    <s v="GENERAL PATIENT"/>
    <d v="2022-10-13T00:00:00"/>
    <x v="1"/>
    <d v="2022-10-13T00:00:00"/>
    <d v="2022-10-13T00:00:00"/>
    <n v="22026839"/>
    <n v="2235805"/>
    <n v="10013424453"/>
    <s v="ASHWANI KUMAR GUPTA"/>
    <x v="415"/>
    <n v="291"/>
    <n v="3375"/>
    <n v="3375"/>
    <n v="0"/>
    <x v="0"/>
    <x v="6"/>
    <n v="1"/>
    <x v="13"/>
  </r>
  <r>
    <n v="3739"/>
    <s v="GENERAL PATIENT"/>
    <d v="2022-10-14T00:00:00"/>
    <x v="1"/>
    <d v="2022-10-16T00:00:00"/>
    <d v="2022-10-16T00:00:00"/>
    <n v="22027324"/>
    <n v="2235949"/>
    <n v="10013542746"/>
    <s v="SEEMA"/>
    <x v="1924"/>
    <n v="10541"/>
    <n v="74561"/>
    <n v="74561"/>
    <n v="0"/>
    <x v="0"/>
    <x v="0"/>
    <n v="1"/>
    <x v="1"/>
  </r>
  <r>
    <n v="3740"/>
    <s v=" CGHS Cash"/>
    <d v="2022-10-14T00:00:00"/>
    <x v="1"/>
    <d v="2022-10-14T00:00:00"/>
    <d v="2022-10-14T00:00:00"/>
    <n v="22027089"/>
    <n v="2235997"/>
    <n v="1001758739"/>
    <s v="HEMLATA"/>
    <x v="137"/>
    <n v="0"/>
    <n v="2560"/>
    <n v="2560"/>
    <n v="0"/>
    <x v="0"/>
    <x v="6"/>
    <n v="1"/>
    <x v="13"/>
  </r>
  <r>
    <n v="3741"/>
    <s v="T.T.K"/>
    <d v="2022-10-14T00:00:00"/>
    <x v="1"/>
    <d v="2022-10-14T00:00:00"/>
    <d v="2022-10-14T00:00:00"/>
    <n v="22027034"/>
    <n v="2235954"/>
    <n v="10013376566"/>
    <s v="RAJEEV BHATIA"/>
    <x v="75"/>
    <n v="0"/>
    <n v="2200"/>
    <n v="440"/>
    <n v="1760"/>
    <x v="1"/>
    <x v="12"/>
    <n v="0.2"/>
    <x v="13"/>
  </r>
  <r>
    <n v="3742"/>
    <s v="GENERAL PATIENT"/>
    <d v="2022-10-17T00:00:00"/>
    <x v="1"/>
    <d v="2022-10-21T00:00:00"/>
    <d v="2022-10-21T00:00:00"/>
    <n v="22028019"/>
    <n v="2236359"/>
    <n v="10013543429"/>
    <s v="MOHIT SHARMA"/>
    <x v="1925"/>
    <n v="82229"/>
    <n v="0"/>
    <n v="0"/>
    <n v="0"/>
    <x v="0"/>
    <x v="9"/>
    <e v="#DIV/0!"/>
    <x v="0"/>
  </r>
  <r>
    <n v="3743"/>
    <s v="STAR HEALTH CARE  (CREDIT)"/>
    <d v="2022-10-05T00:00:00"/>
    <x v="1"/>
    <d v="2022-10-07T00:00:00"/>
    <d v="2022-10-07T00:00:00"/>
    <n v="22025991"/>
    <n v="2234731"/>
    <n v="10013537958"/>
    <s v="SUJAL"/>
    <x v="1005"/>
    <n v="0"/>
    <n v="52500"/>
    <n v="1500"/>
    <n v="51000"/>
    <x v="1"/>
    <x v="1"/>
    <n v="2.8571428571428571E-2"/>
    <x v="14"/>
  </r>
  <r>
    <n v="3744"/>
    <s v="Safeway Mediclaim Services Pvt. Ltd."/>
    <d v="2022-09-26T00:00:00"/>
    <x v="0"/>
    <d v="2022-10-14T00:00:00"/>
    <d v="2022-10-14T00:00:00"/>
    <n v="22027074"/>
    <n v="2233547"/>
    <n v="1001250654"/>
    <s v="VEENA RANI"/>
    <x v="1926"/>
    <n v="76389"/>
    <n v="518373"/>
    <n v="78498"/>
    <n v="439875"/>
    <x v="1"/>
    <x v="3"/>
    <n v="0.15143149816830737"/>
    <x v="0"/>
  </r>
  <r>
    <n v="3745"/>
    <s v="GENERAL PATIENT"/>
    <d v="2022-09-22T00:00:00"/>
    <x v="0"/>
    <d v="2022-10-01T00:00:00"/>
    <d v="2022-10-01T00:00:00"/>
    <n v="22025136"/>
    <n v="2233027"/>
    <n v="10013539909"/>
    <s v="B/O RUNJHUN SINGHAL"/>
    <x v="1927"/>
    <n v="19014"/>
    <n v="166218"/>
    <n v="166218"/>
    <n v="0"/>
    <x v="0"/>
    <x v="2"/>
    <n v="1"/>
    <x v="3"/>
  </r>
  <r>
    <n v="3746"/>
    <s v="GENERAL PATIENT"/>
    <d v="2022-10-21T00:00:00"/>
    <x v="1"/>
    <d v="2022-10-24T00:00:00"/>
    <d v="2022-10-24T00:00:00"/>
    <n v="22028453"/>
    <n v="2236858"/>
    <n v="1001805553"/>
    <s v="KIRAN"/>
    <x v="1928"/>
    <n v="12500"/>
    <n v="42535"/>
    <n v="42535"/>
    <n v="0"/>
    <x v="0"/>
    <x v="1"/>
    <n v="1"/>
    <x v="0"/>
  </r>
  <r>
    <n v="3747"/>
    <s v="MEDI ASSIST"/>
    <d v="2022-09-27T00:00:00"/>
    <x v="0"/>
    <d v="2022-10-04T00:00:00"/>
    <d v="2022-10-04T00:00:00"/>
    <n v="22025590"/>
    <n v="2233641"/>
    <n v="10013540525"/>
    <s v="ASHOK GARG"/>
    <x v="1929"/>
    <n v="43417"/>
    <n v="270766"/>
    <n v="4091"/>
    <n v="266675"/>
    <x v="1"/>
    <x v="2"/>
    <n v="1.5108987095868758E-2"/>
    <x v="27"/>
  </r>
  <r>
    <n v="3748"/>
    <s v="GENERAL PATIENT"/>
    <d v="2022-09-29T00:00:00"/>
    <x v="0"/>
    <d v="2022-10-07T00:00:00"/>
    <d v="2022-10-07T00:00:00"/>
    <n v="22025949"/>
    <n v="2233869"/>
    <n v="1001146792"/>
    <s v="DEVRAJ"/>
    <x v="1930"/>
    <n v="53009"/>
    <n v="242165"/>
    <n v="242165"/>
    <n v="0"/>
    <x v="0"/>
    <x v="2"/>
    <n v="1"/>
    <x v="0"/>
  </r>
  <r>
    <n v="3749"/>
    <s v="MEDI ASSIST"/>
    <d v="2022-10-25T00:00:00"/>
    <x v="1"/>
    <d v="2022-10-29T00:00:00"/>
    <d v="2022-10-29T00:00:00"/>
    <n v="22029091"/>
    <n v="2237286"/>
    <n v="10013544247"/>
    <s v="RAJINDER SINGH"/>
    <x v="1931"/>
    <n v="13142"/>
    <n v="116272"/>
    <n v="13492"/>
    <n v="102780"/>
    <x v="1"/>
    <x v="3"/>
    <n v="0.11603825512591165"/>
    <x v="0"/>
  </r>
  <r>
    <n v="3750"/>
    <s v="HDFC ERGO General Insurance Co. Ltd."/>
    <d v="2022-10-25T00:00:00"/>
    <x v="1"/>
    <d v="2022-10-29T00:00:00"/>
    <d v="2022-10-29T00:00:00"/>
    <n v="22029097"/>
    <n v="2237409"/>
    <n v="1001198350"/>
    <s v="JAI KRISHAN SHARMA"/>
    <x v="1932"/>
    <n v="0"/>
    <n v="110973"/>
    <n v="5641"/>
    <n v="105332"/>
    <x v="1"/>
    <x v="1"/>
    <n v="5.0832184405215683E-2"/>
    <x v="12"/>
  </r>
  <r>
    <n v="3751"/>
    <s v="HDFC ERGO General Insurance Co. Ltd."/>
    <d v="2022-10-13T00:00:00"/>
    <x v="1"/>
    <d v="2022-10-14T00:00:00"/>
    <d v="2022-10-14T00:00:00"/>
    <n v="22027000"/>
    <n v="2235820"/>
    <n v="10013542788"/>
    <s v="NAVIN L SHARMA"/>
    <x v="1933"/>
    <n v="0"/>
    <n v="207810"/>
    <n v="0"/>
    <n v="207810"/>
    <x v="1"/>
    <x v="4"/>
    <n v="0"/>
    <x v="4"/>
  </r>
  <r>
    <n v="3752"/>
    <s v=" Paramount Health Services and Insurance TPA Pvt.Ltd."/>
    <d v="2022-10-12T00:00:00"/>
    <x v="1"/>
    <d v="2022-10-13T00:00:00"/>
    <d v="2022-10-13T00:00:00"/>
    <n v="22026919"/>
    <n v="2235718"/>
    <n v="1001798133"/>
    <s v="MANJU RANI"/>
    <x v="48"/>
    <n v="0"/>
    <n v="24400"/>
    <n v="1900"/>
    <n v="22500"/>
    <x v="1"/>
    <x v="3"/>
    <n v="7.7868852459016397E-2"/>
    <x v="1"/>
  </r>
  <r>
    <n v="3753"/>
    <s v="CGHS ( CREDIT)"/>
    <d v="2022-10-12T00:00:00"/>
    <x v="1"/>
    <d v="2022-10-15T00:00:00"/>
    <d v="2022-10-15T00:00:00"/>
    <n v="22027196"/>
    <n v="2235688"/>
    <n v="10013542601"/>
    <s v="VINOD KUMAR"/>
    <x v="1934"/>
    <n v="0"/>
    <n v="37580"/>
    <n v="1144"/>
    <n v="36436"/>
    <x v="1"/>
    <x v="2"/>
    <n v="3.044172432144758E-2"/>
    <x v="0"/>
  </r>
  <r>
    <n v="3754"/>
    <s v="MEDI ASSIST"/>
    <d v="2022-10-03T00:00:00"/>
    <x v="1"/>
    <d v="2022-10-05T00:00:00"/>
    <d v="2022-10-05T00:00:00"/>
    <n v="22025665"/>
    <n v="2234413"/>
    <n v="1001802210"/>
    <s v="NEHA MALE BABY KUMARI"/>
    <x v="1935"/>
    <n v="0"/>
    <n v="6109"/>
    <n v="6109"/>
    <n v="0"/>
    <x v="0"/>
    <x v="3"/>
    <n v="1"/>
    <x v="3"/>
  </r>
  <r>
    <n v="3755"/>
    <s v="CGHS"/>
    <d v="2022-10-18T00:00:00"/>
    <x v="1"/>
    <d v="2022-10-18T00:00:00"/>
    <d v="2022-10-18T00:00:00"/>
    <n v="22027575"/>
    <n v="2236469"/>
    <n v="10013487696"/>
    <s v="SANTOSH GROVER"/>
    <x v="43"/>
    <n v="0"/>
    <n v="1610"/>
    <n v="1610"/>
    <n v="0"/>
    <x v="0"/>
    <x v="6"/>
    <n v="1"/>
    <x v="13"/>
  </r>
  <r>
    <n v="3756"/>
    <s v="GENERAL PATIENT"/>
    <d v="2022-10-18T00:00:00"/>
    <x v="1"/>
    <d v="2022-10-18T00:00:00"/>
    <d v="2022-10-18T00:00:00"/>
    <n v="22027604"/>
    <n v="2236485"/>
    <n v="10013339576"/>
    <s v="RAKESH GUPTA"/>
    <x v="41"/>
    <n v="2794"/>
    <n v="0"/>
    <n v="0"/>
    <n v="0"/>
    <x v="0"/>
    <x v="9"/>
    <e v="#DIV/0!"/>
    <x v="13"/>
  </r>
  <r>
    <n v="3757"/>
    <s v="GENERAL PATIENT"/>
    <d v="2022-10-03T00:00:00"/>
    <x v="1"/>
    <d v="2022-10-05T00:00:00"/>
    <d v="2022-10-05T00:00:00"/>
    <n v="22025735"/>
    <n v="2234346"/>
    <n v="1001802068"/>
    <s v="SAKSHI  MALE BABY WATWANI"/>
    <x v="1936"/>
    <n v="2353"/>
    <n v="16305"/>
    <n v="16305"/>
    <n v="0"/>
    <x v="0"/>
    <x v="2"/>
    <n v="1"/>
    <x v="3"/>
  </r>
  <r>
    <n v="3758"/>
    <s v="GENERAL PATIENT"/>
    <d v="2022-10-08T00:00:00"/>
    <x v="1"/>
    <d v="2022-10-12T00:00:00"/>
    <d v="2022-10-12T00:00:00"/>
    <n v="22026677"/>
    <n v="2235164"/>
    <n v="10013529939"/>
    <s v="RIYANSHI BANSAL"/>
    <x v="1937"/>
    <n v="18092"/>
    <n v="40106"/>
    <n v="40106"/>
    <n v="0"/>
    <x v="0"/>
    <x v="7"/>
    <n v="1"/>
    <x v="1"/>
  </r>
  <r>
    <n v="3759"/>
    <s v="Aditya Birla Health Insurance Co. Limited"/>
    <d v="2022-10-09T00:00:00"/>
    <x v="1"/>
    <d v="2022-10-12T00:00:00"/>
    <d v="2022-10-12T00:00:00"/>
    <n v="22026779"/>
    <n v="2235257"/>
    <n v="10013524046"/>
    <s v="LILY SHARMA"/>
    <x v="1938"/>
    <n v="4452"/>
    <n v="66703"/>
    <n v="1850"/>
    <n v="64853"/>
    <x v="1"/>
    <x v="2"/>
    <n v="2.7734884487954064E-2"/>
    <x v="0"/>
  </r>
  <r>
    <n v="3760"/>
    <s v="FHPL-KOTAK"/>
    <d v="2022-10-09T00:00:00"/>
    <x v="1"/>
    <d v="2022-10-12T00:00:00"/>
    <d v="2022-10-12T00:00:00"/>
    <n v="22026733"/>
    <n v="2235301"/>
    <n v="10013542168"/>
    <s v="SANJEEV KUMAR"/>
    <x v="1939"/>
    <n v="9887"/>
    <n v="106577"/>
    <n v="3895"/>
    <n v="102682"/>
    <x v="1"/>
    <x v="1"/>
    <n v="3.6546346772755846E-2"/>
    <x v="16"/>
  </r>
  <r>
    <n v="3761"/>
    <s v="GENERAL PATIENT"/>
    <d v="2022-09-27T00:00:00"/>
    <x v="0"/>
    <d v="2022-10-03T00:00:00"/>
    <d v="2022-10-03T00:00:00"/>
    <n v="22025351"/>
    <n v="2233685"/>
    <n v="10013540555"/>
    <s v="AARUSH"/>
    <x v="1940"/>
    <n v="14446"/>
    <n v="92763"/>
    <n v="92763"/>
    <n v="0"/>
    <x v="0"/>
    <x v="2"/>
    <n v="1"/>
    <x v="3"/>
  </r>
  <r>
    <n v="3762"/>
    <s v=" CGHS CREDIT"/>
    <d v="2022-10-05T00:00:00"/>
    <x v="1"/>
    <d v="2022-10-10T00:00:00"/>
    <d v="2022-10-10T00:00:00"/>
    <n v="22026446"/>
    <n v="2234804"/>
    <n v="1001802610"/>
    <s v="LILA DEVI"/>
    <x v="1941"/>
    <n v="0"/>
    <n v="96352"/>
    <n v="0"/>
    <n v="96352"/>
    <x v="1"/>
    <x v="1"/>
    <n v="0"/>
    <x v="16"/>
  </r>
  <r>
    <n v="3763"/>
    <s v="GENERAL PATIENT"/>
    <d v="2022-10-17T00:00:00"/>
    <x v="1"/>
    <d v="2022-10-19T00:00:00"/>
    <d v="2022-10-19T00:00:00"/>
    <n v="22027694"/>
    <n v="2236297"/>
    <n v="1001754902"/>
    <s v="SHIKHA BATRA"/>
    <x v="1942"/>
    <n v="9565"/>
    <n v="59660"/>
    <n v="59660"/>
    <n v="0"/>
    <x v="0"/>
    <x v="1"/>
    <n v="1"/>
    <x v="1"/>
  </r>
  <r>
    <n v="3764"/>
    <s v="GENERAL PATIENT"/>
    <d v="2022-10-21T00:00:00"/>
    <x v="1"/>
    <d v="2022-10-24T00:00:00"/>
    <d v="2022-10-24T00:00:00"/>
    <n v="22028450"/>
    <n v="2236957"/>
    <n v="10013544059"/>
    <s v="RANJEET SINGH"/>
    <x v="1943"/>
    <n v="20071"/>
    <n v="101079"/>
    <n v="101079"/>
    <n v="0"/>
    <x v="0"/>
    <x v="7"/>
    <n v="1"/>
    <x v="9"/>
  </r>
  <r>
    <n v="3765"/>
    <s v="Heritage Health TPA Private Limited"/>
    <d v="2022-10-11T00:00:00"/>
    <x v="1"/>
    <d v="2022-10-15T00:00:00"/>
    <d v="2022-10-15T00:00:00"/>
    <n v="22027198"/>
    <n v="2235618"/>
    <n v="10013542615"/>
    <s v="POONAM GUPTA"/>
    <x v="1040"/>
    <n v="10939"/>
    <n v="72871"/>
    <n v="23711"/>
    <n v="49160"/>
    <x v="1"/>
    <x v="5"/>
    <n v="0.32538321142841459"/>
    <x v="0"/>
  </r>
  <r>
    <n v="3766"/>
    <s v="MEDI ASSIST"/>
    <d v="2022-10-23T00:00:00"/>
    <x v="1"/>
    <d v="2022-10-23T00:00:00"/>
    <d v="2022-10-23T00:00:00"/>
    <n v="22028383"/>
    <n v="2237156"/>
    <n v="1001564406"/>
    <s v="RAVI BATURA"/>
    <x v="75"/>
    <n v="0"/>
    <n v="2200"/>
    <n v="330"/>
    <n v="1870"/>
    <x v="1"/>
    <x v="12"/>
    <n v="0.15"/>
    <x v="13"/>
  </r>
  <r>
    <n v="3767"/>
    <s v="GOVT. OF NCT OF DELHI"/>
    <d v="2022-10-26T00:00:00"/>
    <x v="1"/>
    <d v="2022-10-26T00:00:00"/>
    <d v="2022-10-26T00:00:00"/>
    <n v="22028577"/>
    <n v="2237449"/>
    <n v="10013386841"/>
    <s v="LEELA DEVI"/>
    <x v="43"/>
    <n v="0"/>
    <n v="1610"/>
    <n v="1610"/>
    <n v="0"/>
    <x v="0"/>
    <x v="6"/>
    <n v="1"/>
    <x v="13"/>
  </r>
  <r>
    <n v="3768"/>
    <s v="RAKSHA (TPA)"/>
    <d v="2022-10-26T00:00:00"/>
    <x v="1"/>
    <d v="2022-10-27T00:00:00"/>
    <d v="2022-10-27T00:00:00"/>
    <n v="22028740"/>
    <n v="2237537"/>
    <n v="10013544638"/>
    <s v="RAJARAM MAURYA"/>
    <x v="491"/>
    <n v="0"/>
    <n v="202335"/>
    <n v="42751"/>
    <n v="159584"/>
    <x v="1"/>
    <x v="4"/>
    <n v="0.21128821014653915"/>
    <x v="4"/>
  </r>
  <r>
    <n v="3769"/>
    <s v="MEDI ASSIST"/>
    <d v="2022-10-20T00:00:00"/>
    <x v="1"/>
    <d v="2022-10-20T00:00:00"/>
    <d v="2022-10-20T00:00:00"/>
    <n v="22027892"/>
    <n v="2236781"/>
    <n v="1001206152"/>
    <s v="JITENDRA GARG"/>
    <x v="75"/>
    <n v="0"/>
    <n v="2200"/>
    <n v="440"/>
    <n v="1760"/>
    <x v="1"/>
    <x v="12"/>
    <n v="0.2"/>
    <x v="13"/>
  </r>
  <r>
    <n v="3770"/>
    <s v="GENERAL PATIENT"/>
    <d v="2022-10-14T00:00:00"/>
    <x v="1"/>
    <d v="2022-10-14T00:00:00"/>
    <d v="2022-10-14T00:00:00"/>
    <n v="22026966"/>
    <n v="2235927"/>
    <n v="1000975940"/>
    <s v="PROMILA KANSAL"/>
    <x v="45"/>
    <n v="444"/>
    <n v="4546"/>
    <n v="4546"/>
    <n v="0"/>
    <x v="0"/>
    <x v="6"/>
    <n v="1"/>
    <x v="13"/>
  </r>
  <r>
    <n v="3771"/>
    <s v="DGHS (DELHI GOVT.)"/>
    <d v="2022-10-10T00:00:00"/>
    <x v="1"/>
    <d v="2022-10-15T00:00:00"/>
    <d v="2022-10-15T00:00:00"/>
    <n v="22027188"/>
    <n v="2235441"/>
    <n v="1000896927"/>
    <s v="AMIT ARORA"/>
    <x v="1944"/>
    <n v="0"/>
    <n v="18681"/>
    <n v="18681"/>
    <n v="0"/>
    <x v="0"/>
    <x v="0"/>
    <n v="1"/>
    <x v="0"/>
  </r>
  <r>
    <n v="3772"/>
    <s v="ICICI Lombard General Insurance"/>
    <d v="2022-10-11T00:00:00"/>
    <x v="1"/>
    <d v="2022-10-11T00:00:00"/>
    <d v="2022-10-11T00:00:00"/>
    <n v="22026552"/>
    <n v="2235522"/>
    <n v="1000973737"/>
    <s v="AJAY GUPTA"/>
    <x v="1945"/>
    <n v="0"/>
    <n v="27620"/>
    <n v="27619"/>
    <n v="1"/>
    <x v="1"/>
    <x v="4"/>
    <n v="0.99996379435191884"/>
    <x v="4"/>
  </r>
  <r>
    <n v="3773"/>
    <s v="HARAYANA GOVT."/>
    <d v="2022-10-04T00:00:00"/>
    <x v="1"/>
    <d v="2022-10-08T00:00:00"/>
    <d v="2022-10-08T00:00:00"/>
    <n v="22026123"/>
    <n v="2234652"/>
    <n v="1001164234"/>
    <s v="GAURAV"/>
    <x v="1946"/>
    <n v="0"/>
    <n v="30293"/>
    <n v="30293"/>
    <n v="0"/>
    <x v="0"/>
    <x v="0"/>
    <n v="1"/>
    <x v="3"/>
  </r>
  <r>
    <n v="3774"/>
    <s v="DGHS (DELHI GOVT.)"/>
    <d v="2022-10-07T00:00:00"/>
    <x v="1"/>
    <d v="2022-10-12T00:00:00"/>
    <d v="2022-10-12T00:00:00"/>
    <n v="22026766"/>
    <n v="2235051"/>
    <n v="10013540948"/>
    <s v="JAYASHREE"/>
    <x v="1947"/>
    <n v="0"/>
    <n v="354450"/>
    <n v="354450"/>
    <n v="0"/>
    <x v="0"/>
    <x v="2"/>
    <n v="1"/>
    <x v="16"/>
  </r>
  <r>
    <n v="3775"/>
    <s v="GENERAL PATIENT"/>
    <d v="2022-10-06T00:00:00"/>
    <x v="1"/>
    <d v="2022-10-06T00:00:00"/>
    <d v="2022-10-06T00:00:00"/>
    <n v="22025867"/>
    <n v="2234865"/>
    <n v="10013526375"/>
    <s v="BIRBHAN GARG"/>
    <x v="45"/>
    <n v="450"/>
    <n v="4540"/>
    <n v="4540"/>
    <n v="0"/>
    <x v="0"/>
    <x v="6"/>
    <n v="1"/>
    <x v="13"/>
  </r>
  <r>
    <n v="3776"/>
    <s v="HDFC ERGO General Insurance Co. Ltd."/>
    <d v="2022-10-05T00:00:00"/>
    <x v="1"/>
    <d v="2022-10-08T00:00:00"/>
    <d v="2022-10-08T00:00:00"/>
    <n v="22026136"/>
    <n v="2234670"/>
    <n v="10013539977"/>
    <s v="SAVITRI DEVI"/>
    <x v="1948"/>
    <n v="10279"/>
    <n v="123844"/>
    <n v="6313"/>
    <n v="117531"/>
    <x v="1"/>
    <x v="1"/>
    <n v="5.0975420690546169E-2"/>
    <x v="0"/>
  </r>
  <r>
    <n v="3777"/>
    <s v=" CGHS Cash"/>
    <d v="2022-10-27T00:00:00"/>
    <x v="1"/>
    <d v="2022-10-27T00:00:00"/>
    <d v="2022-10-27T00:00:00"/>
    <n v="22028787"/>
    <n v="2237662"/>
    <n v="1001755099"/>
    <s v="SUSHILA DEVI"/>
    <x v="43"/>
    <n v="0"/>
    <n v="1610"/>
    <n v="1610"/>
    <n v="0"/>
    <x v="0"/>
    <x v="6"/>
    <n v="1"/>
    <x v="13"/>
  </r>
  <r>
    <n v="3778"/>
    <s v="CGHS"/>
    <d v="2022-10-17T00:00:00"/>
    <x v="1"/>
    <d v="2022-10-22T00:00:00"/>
    <d v="2022-10-22T00:00:00"/>
    <n v="22028191"/>
    <n v="2236356"/>
    <n v="10013543415"/>
    <s v="URMILA DEVI"/>
    <x v="1949"/>
    <n v="0"/>
    <n v="28875"/>
    <n v="28875"/>
    <n v="0"/>
    <x v="0"/>
    <x v="1"/>
    <n v="1"/>
    <x v="0"/>
  </r>
  <r>
    <n v="3779"/>
    <s v="Universal Sompo Gen.Insu.Co.Ltd."/>
    <d v="2022-10-02T00:00:00"/>
    <x v="1"/>
    <d v="2022-10-06T00:00:00"/>
    <d v="2022-10-06T00:00:00"/>
    <n v="22025830"/>
    <n v="2234298"/>
    <n v="10013541189"/>
    <s v="VEDANSHI SINGH"/>
    <x v="1950"/>
    <n v="11476"/>
    <n v="167362"/>
    <n v="4869"/>
    <n v="162493"/>
    <x v="1"/>
    <x v="2"/>
    <n v="2.9092625566138071E-2"/>
    <x v="0"/>
  </r>
  <r>
    <n v="3780"/>
    <s v=" MCD CASH"/>
    <d v="2022-10-13T00:00:00"/>
    <x v="1"/>
    <d v="2022-10-17T00:00:00"/>
    <d v="2022-10-17T00:00:00"/>
    <n v="22027460"/>
    <n v="2235842"/>
    <n v="1001804115"/>
    <s v="ATTAR SINGH"/>
    <x v="1951"/>
    <n v="0"/>
    <n v="35444"/>
    <n v="35444"/>
    <n v="0"/>
    <x v="0"/>
    <x v="1"/>
    <n v="1"/>
    <x v="0"/>
  </r>
  <r>
    <n v="3781"/>
    <s v="GENERAL PATIENT"/>
    <d v="2022-10-10T00:00:00"/>
    <x v="1"/>
    <d v="2022-10-10T00:00:00"/>
    <d v="2022-10-10T00:00:00"/>
    <n v="22026488"/>
    <n v="2235459"/>
    <n v="1001491648"/>
    <s v="SURESH"/>
    <x v="447"/>
    <n v="3319"/>
    <n v="0"/>
    <n v="0"/>
    <n v="0"/>
    <x v="0"/>
    <x v="9"/>
    <e v="#DIV/0!"/>
    <x v="13"/>
  </r>
  <r>
    <n v="3782"/>
    <s v="STAR HEALTH CARE  (CREDIT)"/>
    <d v="2022-10-21T00:00:00"/>
    <x v="1"/>
    <d v="2022-10-24T00:00:00"/>
    <d v="2022-10-24T00:00:00"/>
    <n v="22028435"/>
    <n v="2236974"/>
    <n v="1001805686"/>
    <s v="PAKHI"/>
    <x v="1952"/>
    <n v="10818"/>
    <n v="65147"/>
    <n v="5651"/>
    <n v="59496"/>
    <x v="1"/>
    <x v="1"/>
    <n v="8.6742290512226192E-2"/>
    <x v="3"/>
  </r>
  <r>
    <n v="3783"/>
    <s v="STAR HEALTH CARE  (CREDIT)"/>
    <d v="2022-10-21T00:00:00"/>
    <x v="1"/>
    <d v="2022-10-24T00:00:00"/>
    <d v="2022-10-24T00:00:00"/>
    <n v="22028441"/>
    <n v="2236977"/>
    <n v="10013544082"/>
    <s v="MOHAMMED ASADUDDEN KHAN"/>
    <x v="1953"/>
    <n v="9417"/>
    <n v="57173"/>
    <n v="5151"/>
    <n v="52022"/>
    <x v="1"/>
    <x v="1"/>
    <n v="9.0094974900739866E-2"/>
    <x v="3"/>
  </r>
  <r>
    <n v="3784"/>
    <s v="CGHS"/>
    <d v="2022-10-23T00:00:00"/>
    <x v="1"/>
    <d v="2022-10-23T00:00:00"/>
    <d v="2022-10-23T00:00:00"/>
    <n v="22028313"/>
    <n v="2237120"/>
    <n v="1001644664"/>
    <s v="P C. BHATT"/>
    <x v="43"/>
    <n v="0"/>
    <n v="1610"/>
    <n v="1610"/>
    <n v="0"/>
    <x v="0"/>
    <x v="6"/>
    <n v="1"/>
    <x v="13"/>
  </r>
  <r>
    <n v="3785"/>
    <s v="Paramount Health Services (TPA) Private Limited"/>
    <d v="2022-10-15T00:00:00"/>
    <x v="1"/>
    <d v="2022-10-16T00:00:00"/>
    <d v="2022-10-16T00:00:00"/>
    <n v="22027298"/>
    <n v="2236114"/>
    <n v="1001804515"/>
    <s v="RINKI MALE BABY  RANI"/>
    <x v="1954"/>
    <n v="0"/>
    <n v="8215"/>
    <n v="8215"/>
    <n v="0"/>
    <x v="0"/>
    <x v="3"/>
    <n v="1"/>
    <x v="3"/>
  </r>
  <r>
    <n v="3786"/>
    <s v="GENERAL PATIENT"/>
    <d v="2022-10-15T00:00:00"/>
    <x v="1"/>
    <d v="2022-10-15T00:00:00"/>
    <d v="2022-10-15T00:00:00"/>
    <n v="22027201"/>
    <n v="2236131"/>
    <n v="10013460950"/>
    <s v="PREM CHAND"/>
    <x v="73"/>
    <n v="308"/>
    <n v="2536"/>
    <n v="2536"/>
    <n v="0"/>
    <x v="0"/>
    <x v="6"/>
    <n v="1"/>
    <x v="13"/>
  </r>
  <r>
    <n v="3787"/>
    <s v="GENERAL PATIENT"/>
    <d v="2022-10-25T00:00:00"/>
    <x v="1"/>
    <d v="2022-10-25T00:00:00"/>
    <d v="2022-10-25T00:00:00"/>
    <n v="22028561"/>
    <n v="2237255"/>
    <n v="1001806003"/>
    <s v="SHUBHAM JAIN"/>
    <x v="1955"/>
    <n v="8428"/>
    <n v="50826"/>
    <n v="50826"/>
    <n v="0"/>
    <x v="0"/>
    <x v="1"/>
    <n v="1"/>
    <x v="6"/>
  </r>
  <r>
    <n v="3788"/>
    <s v="STAR HEALTH CARE  (CREDIT)"/>
    <d v="2022-10-26T00:00:00"/>
    <x v="1"/>
    <d v="2022-10-28T00:00:00"/>
    <d v="2022-10-28T00:00:00"/>
    <n v="22028871"/>
    <n v="2237578"/>
    <n v="10013352490"/>
    <s v="ADITYA BANSAL"/>
    <x v="1956"/>
    <n v="2771"/>
    <n v="18707"/>
    <n v="2645"/>
    <n v="16062"/>
    <x v="1"/>
    <x v="1"/>
    <n v="0.14139092318383492"/>
    <x v="3"/>
  </r>
  <r>
    <n v="3789"/>
    <s v="GENERAL PATIENT"/>
    <d v="2022-10-15T00:00:00"/>
    <x v="1"/>
    <d v="2022-10-18T00:00:00"/>
    <d v="2022-10-18T00:00:00"/>
    <n v="22027519"/>
    <n v="2236180"/>
    <n v="1001804597"/>
    <s v="PRIYANKA MALE BABY GARG-I"/>
    <x v="1957"/>
    <n v="2271"/>
    <n v="16264"/>
    <n v="16264"/>
    <n v="0"/>
    <x v="0"/>
    <x v="1"/>
    <n v="1"/>
    <x v="3"/>
  </r>
  <r>
    <n v="3790"/>
    <s v="Heritage Health TPA Private Limited"/>
    <d v="2022-10-19T00:00:00"/>
    <x v="1"/>
    <d v="2022-10-21T00:00:00"/>
    <d v="2022-10-21T00:00:00"/>
    <n v="22028013"/>
    <n v="2236604"/>
    <n v="1001022894"/>
    <s v="PREM LATA"/>
    <x v="1958"/>
    <n v="0"/>
    <n v="47224"/>
    <n v="47220"/>
    <n v="4"/>
    <x v="1"/>
    <x v="3"/>
    <n v="0.99991529730645434"/>
    <x v="15"/>
  </r>
  <r>
    <n v="3791"/>
    <s v="STAR HEALTH CARE  (CREDIT)"/>
    <d v="2022-10-13T00:00:00"/>
    <x v="1"/>
    <d v="2022-10-14T00:00:00"/>
    <d v="2022-10-14T00:00:00"/>
    <n v="22027003"/>
    <n v="2235787"/>
    <n v="1001368856"/>
    <s v="MOHIT SHARMA"/>
    <x v="1959"/>
    <n v="0"/>
    <n v="244134"/>
    <n v="3250"/>
    <n v="240884"/>
    <x v="1"/>
    <x v="1"/>
    <n v="1.3312361244234723E-2"/>
    <x v="4"/>
  </r>
  <r>
    <n v="3792"/>
    <s v="CGHS ( CREDIT)"/>
    <d v="2022-10-27T00:00:00"/>
    <x v="1"/>
    <d v="2022-10-28T00:00:00"/>
    <d v="2022-10-28T00:00:00"/>
    <n v="22028859"/>
    <n v="2237686"/>
    <n v="10013542609"/>
    <s v="PRAKASH DEVI"/>
    <x v="1960"/>
    <n v="0"/>
    <n v="44383"/>
    <n v="3842"/>
    <n v="40541"/>
    <x v="1"/>
    <x v="1"/>
    <n v="8.6564675664105625E-2"/>
    <x v="0"/>
  </r>
  <r>
    <n v="3793"/>
    <s v="RAKSHA (TPA)"/>
    <d v="2022-10-26T00:00:00"/>
    <x v="1"/>
    <d v="2022-10-28T00:00:00"/>
    <d v="2022-10-28T00:00:00"/>
    <n v="22028864"/>
    <n v="2237550"/>
    <n v="1001806413"/>
    <s v="AYUSH CHOPRA"/>
    <x v="1961"/>
    <n v="5900"/>
    <n v="36226"/>
    <n v="15132"/>
    <n v="21094"/>
    <x v="1"/>
    <x v="2"/>
    <n v="0.41771103627229061"/>
    <x v="0"/>
  </r>
  <r>
    <n v="3794"/>
    <s v="GENERAL PATIENT"/>
    <d v="2022-10-26T00:00:00"/>
    <x v="1"/>
    <d v="2022-10-28T00:00:00"/>
    <d v="2022-10-28T00:00:00"/>
    <n v="22028940"/>
    <n v="2237445"/>
    <n v="10013544500"/>
    <s v="MOHD FURKAN"/>
    <x v="1962"/>
    <n v="11482"/>
    <n v="68311"/>
    <n v="68311"/>
    <n v="0"/>
    <x v="0"/>
    <x v="1"/>
    <n v="1"/>
    <x v="11"/>
  </r>
  <r>
    <n v="3795"/>
    <s v="M.C.D"/>
    <d v="2022-10-17T00:00:00"/>
    <x v="1"/>
    <d v="2022-10-21T00:00:00"/>
    <d v="2022-10-21T00:00:00"/>
    <n v="22028025"/>
    <n v="2236272"/>
    <n v="10013543312"/>
    <s v="PREM SINGH"/>
    <x v="1963"/>
    <n v="0"/>
    <n v="54198"/>
    <n v="54198"/>
    <n v="0"/>
    <x v="0"/>
    <x v="1"/>
    <n v="1"/>
    <x v="12"/>
  </r>
  <r>
    <n v="3796"/>
    <s v=" RAKSHA TPA PVT.LTD."/>
    <d v="2022-10-08T00:00:00"/>
    <x v="1"/>
    <d v="2022-10-08T00:00:00"/>
    <d v="2022-10-08T00:00:00"/>
    <n v="22026188"/>
    <n v="2235183"/>
    <n v="1001689981"/>
    <s v="RITIKA SINGH"/>
    <x v="141"/>
    <n v="0"/>
    <n v="2950"/>
    <n v="167"/>
    <n v="2783"/>
    <x v="1"/>
    <x v="12"/>
    <n v="5.6610169491525426E-2"/>
    <x v="13"/>
  </r>
  <r>
    <n v="3797"/>
    <s v=" CGHS CREDIT"/>
    <d v="2022-10-06T00:00:00"/>
    <x v="1"/>
    <d v="2022-10-16T00:00:00"/>
    <d v="2022-10-18T00:00:00"/>
    <n v="22027610"/>
    <n v="2234939"/>
    <n v="1001802892"/>
    <s v="RAM SAGAR"/>
    <x v="1964"/>
    <n v="0"/>
    <n v="83664"/>
    <n v="7888"/>
    <n v="75776"/>
    <x v="1"/>
    <x v="1"/>
    <n v="9.4281889462612359E-2"/>
    <x v="0"/>
  </r>
  <r>
    <n v="3798"/>
    <s v="GENERAL PATIENT"/>
    <d v="2022-09-30T00:00:00"/>
    <x v="0"/>
    <d v="2022-10-02T00:00:00"/>
    <d v="2022-10-02T00:00:00"/>
    <n v="22025275"/>
    <n v="2234033"/>
    <n v="10013540830"/>
    <s v="KANTA SHARMA"/>
    <x v="1965"/>
    <n v="14480"/>
    <n v="309572"/>
    <n v="309572"/>
    <n v="0"/>
    <x v="0"/>
    <x v="1"/>
    <n v="1"/>
    <x v="4"/>
  </r>
  <r>
    <n v="3799"/>
    <s v="HDFC ERGO General Insurance Co. Ltd."/>
    <d v="2022-10-26T00:00:00"/>
    <x v="1"/>
    <d v="2022-10-28T00:00:00"/>
    <d v="2022-10-28T00:00:00"/>
    <n v="22028888"/>
    <n v="2237487"/>
    <n v="10013544547"/>
    <s v="ASHISH BATRA"/>
    <x v="1966"/>
    <n v="0"/>
    <n v="78316"/>
    <n v="0"/>
    <n v="78316"/>
    <x v="1"/>
    <x v="10"/>
    <n v="0"/>
    <x v="11"/>
  </r>
  <r>
    <n v="3800"/>
    <s v="NIVA BUPA"/>
    <d v="2022-10-26T00:00:00"/>
    <x v="1"/>
    <d v="2022-10-28T00:00:00"/>
    <d v="2022-10-28T00:00:00"/>
    <n v="22028884"/>
    <n v="2237519"/>
    <n v="10013544573"/>
    <s v="ANITA GUPTA"/>
    <x v="1967"/>
    <n v="4315"/>
    <n v="37226"/>
    <n v="2523"/>
    <n v="34703"/>
    <x v="1"/>
    <x v="0"/>
    <n v="6.7775210874120237E-2"/>
    <x v="0"/>
  </r>
  <r>
    <n v="3801"/>
    <s v="GENERAL PATIENT"/>
    <d v="2022-10-13T00:00:00"/>
    <x v="1"/>
    <d v="2022-10-28T00:00:00"/>
    <d v="2022-10-28T00:00:00"/>
    <n v="22028958"/>
    <n v="2235887"/>
    <n v="10013539646"/>
    <s v="RAJ KUMAR"/>
    <x v="1968"/>
    <n v="368838"/>
    <n v="0"/>
    <n v="0"/>
    <n v="0"/>
    <x v="0"/>
    <x v="9"/>
    <e v="#DIV/0!"/>
    <x v="2"/>
  </r>
  <r>
    <n v="3802"/>
    <s v="HDFC ERGO General Insurance Co. Ltd."/>
    <d v="2022-10-06T00:00:00"/>
    <x v="1"/>
    <d v="2022-10-09T00:00:00"/>
    <d v="2022-10-09T00:00:00"/>
    <n v="22026282"/>
    <n v="2234963"/>
    <n v="10013541899"/>
    <s v="HITESH CHOPRA"/>
    <x v="1969"/>
    <n v="0"/>
    <n v="42583"/>
    <n v="25000"/>
    <n v="17583"/>
    <x v="1"/>
    <x v="2"/>
    <n v="0.58708874433459357"/>
    <x v="0"/>
  </r>
  <r>
    <n v="3803"/>
    <s v=" DGEHS (CREDIT)"/>
    <d v="2022-10-11T00:00:00"/>
    <x v="1"/>
    <d v="2022-10-16T00:00:00"/>
    <d v="2022-10-16T00:00:00"/>
    <n v="22027283"/>
    <n v="2235529"/>
    <n v="1001467470"/>
    <s v="SHARDA DEVI"/>
    <x v="1970"/>
    <n v="0"/>
    <n v="30343"/>
    <n v="1500"/>
    <n v="28843"/>
    <x v="1"/>
    <x v="0"/>
    <n v="4.9434795504729262E-2"/>
    <x v="0"/>
  </r>
  <r>
    <n v="3804"/>
    <s v=" CGHS CREDIT"/>
    <d v="2022-09-27T00:00:00"/>
    <x v="0"/>
    <d v="2022-10-03T00:00:00"/>
    <d v="2022-10-03T00:00:00"/>
    <n v="22025383"/>
    <n v="2233574"/>
    <n v="1001800891"/>
    <s v="KAMLA ADHIKARI"/>
    <x v="1971"/>
    <n v="0"/>
    <n v="44020"/>
    <n v="1998"/>
    <n v="42022"/>
    <x v="1"/>
    <x v="0"/>
    <n v="4.5388459791004088E-2"/>
    <x v="0"/>
  </r>
  <r>
    <n v="3805"/>
    <s v="DDA"/>
    <d v="2022-10-26T00:00:00"/>
    <x v="1"/>
    <d v="2022-10-28T00:00:00"/>
    <d v="2022-10-28T00:00:00"/>
    <n v="22028933"/>
    <n v="2237476"/>
    <n v="10013452150"/>
    <s v="MEER SINGH"/>
    <x v="1972"/>
    <n v="0"/>
    <n v="104769"/>
    <n v="104769"/>
    <n v="0"/>
    <x v="0"/>
    <x v="0"/>
    <n v="1"/>
    <x v="16"/>
  </r>
  <r>
    <n v="3806"/>
    <s v="GENERAL PATIENT"/>
    <d v="2022-10-31T00:00:00"/>
    <x v="1"/>
    <d v="2022-10-31T00:00:00"/>
    <d v="2022-10-31T00:00:00"/>
    <n v="22029391"/>
    <n v="2238164"/>
    <n v="1001807287"/>
    <s v="SUKHBIR KAUR BHATIA"/>
    <x v="19"/>
    <n v="0"/>
    <n v="14000"/>
    <n v="14000"/>
    <n v="0"/>
    <x v="0"/>
    <x v="6"/>
    <n v="1"/>
    <x v="4"/>
  </r>
  <r>
    <n v="3807"/>
    <s v="GENERAL PATIENT"/>
    <d v="2022-10-09T00:00:00"/>
    <x v="1"/>
    <d v="2022-10-09T00:00:00"/>
    <d v="2022-10-09T00:00:00"/>
    <n v="22026271"/>
    <n v="2235269"/>
    <n v="10013241267"/>
    <s v="MANOJ KOHLI"/>
    <x v="212"/>
    <n v="258"/>
    <n v="3332"/>
    <n v="3332"/>
    <n v="0"/>
    <x v="0"/>
    <x v="6"/>
    <n v="1"/>
    <x v="13"/>
  </r>
  <r>
    <n v="3808"/>
    <s v="Good Health Plan Limited"/>
    <d v="2022-10-04T00:00:00"/>
    <x v="1"/>
    <d v="2022-10-04T00:00:00"/>
    <d v="2022-10-04T00:00:00"/>
    <n v="22025549"/>
    <n v="2234553"/>
    <n v="10013471499"/>
    <s v="MOHAN LAL KATARIA"/>
    <x v="75"/>
    <n v="0"/>
    <n v="2200"/>
    <n v="220"/>
    <n v="1980"/>
    <x v="1"/>
    <x v="12"/>
    <n v="0.1"/>
    <x v="13"/>
  </r>
  <r>
    <n v="3809"/>
    <s v="GENERAL PATIENT"/>
    <d v="2022-10-04T00:00:00"/>
    <x v="1"/>
    <d v="2022-10-04T00:00:00"/>
    <d v="2022-10-04T00:00:00"/>
    <n v="22025576"/>
    <n v="2234581"/>
    <n v="10013372212"/>
    <s v="V. K.  SURI"/>
    <x v="45"/>
    <n v="417"/>
    <n v="4573"/>
    <n v="4573"/>
    <n v="0"/>
    <x v="0"/>
    <x v="6"/>
    <n v="1"/>
    <x v="13"/>
  </r>
  <r>
    <n v="3810"/>
    <s v="GENERAL PATIENT"/>
    <d v="2022-10-04T00:00:00"/>
    <x v="1"/>
    <d v="2022-10-04T00:00:00"/>
    <d v="2022-10-04T00:00:00"/>
    <n v="22025577"/>
    <n v="2234580"/>
    <n v="10013527702"/>
    <s v="RAJENDER TAYAL"/>
    <x v="45"/>
    <n v="417"/>
    <n v="4573"/>
    <n v="4573"/>
    <n v="0"/>
    <x v="0"/>
    <x v="6"/>
    <n v="1"/>
    <x v="13"/>
  </r>
  <r>
    <n v="3811"/>
    <s v="CGHS"/>
    <d v="2022-10-04T00:00:00"/>
    <x v="1"/>
    <d v="2022-10-04T00:00:00"/>
    <d v="2022-10-04T00:00:00"/>
    <n v="22025586"/>
    <n v="2234543"/>
    <n v="10013487696"/>
    <s v="SANTOSH GROVER"/>
    <x v="43"/>
    <n v="0"/>
    <n v="1610"/>
    <n v="1610"/>
    <n v="0"/>
    <x v="0"/>
    <x v="6"/>
    <n v="1"/>
    <x v="13"/>
  </r>
  <r>
    <n v="3812"/>
    <s v="CGHS ( CREDIT)"/>
    <d v="2022-10-23T00:00:00"/>
    <x v="1"/>
    <d v="2022-10-26T00:00:00"/>
    <d v="2022-10-26T00:00:00"/>
    <n v="22028634"/>
    <n v="2237113"/>
    <n v="1001435209"/>
    <s v="RAM KUMAR DABAS"/>
    <x v="1973"/>
    <n v="0"/>
    <n v="43657"/>
    <n v="1781"/>
    <n v="41876"/>
    <x v="1"/>
    <x v="1"/>
    <n v="4.0795290560505758E-2"/>
    <x v="4"/>
  </r>
  <r>
    <n v="3813"/>
    <s v=" STAR HEALTH TPA"/>
    <d v="2022-10-01T00:00:00"/>
    <x v="1"/>
    <d v="2022-10-01T00:00:00"/>
    <d v="2022-10-01T00:00:00"/>
    <n v="22025227"/>
    <n v="2234185"/>
    <n v="1001801863"/>
    <s v="LAKSHAY ANAND"/>
    <x v="1974"/>
    <n v="1980"/>
    <n v="30621"/>
    <n v="500"/>
    <n v="30121"/>
    <x v="1"/>
    <x v="0"/>
    <n v="1.6328663335619345E-2"/>
    <x v="11"/>
  </r>
  <r>
    <n v="3814"/>
    <s v="STAR HEALTH CARE  (CREDIT)"/>
    <d v="2022-10-01T00:00:00"/>
    <x v="1"/>
    <d v="2022-10-04T00:00:00"/>
    <d v="2022-10-04T00:00:00"/>
    <n v="22025514"/>
    <n v="2234204"/>
    <n v="1001483317"/>
    <s v="SUSHILA  BISHT"/>
    <x v="1975"/>
    <n v="10371"/>
    <n v="60926"/>
    <n v="8587"/>
    <n v="52339"/>
    <x v="1"/>
    <x v="1"/>
    <n v="0.1409414699799757"/>
    <x v="0"/>
  </r>
  <r>
    <n v="3815"/>
    <s v="GENERAL PATIENT"/>
    <d v="2022-10-03T00:00:00"/>
    <x v="1"/>
    <d v="2022-10-03T00:00:00"/>
    <d v="2022-10-03T00:00:00"/>
    <n v="22025410"/>
    <n v="2234412"/>
    <n v="1000891310"/>
    <s v="MUKESH"/>
    <x v="447"/>
    <n v="3319"/>
    <n v="0"/>
    <n v="0"/>
    <n v="0"/>
    <x v="0"/>
    <x v="9"/>
    <e v="#DIV/0!"/>
    <x v="13"/>
  </r>
  <r>
    <n v="3816"/>
    <s v="GENERAL PATIENT"/>
    <d v="2022-10-26T00:00:00"/>
    <x v="1"/>
    <d v="2022-10-26T00:00:00"/>
    <d v="2022-10-26T00:00:00"/>
    <n v="22028655"/>
    <n v="2237498"/>
    <n v="10013230754"/>
    <s v="SANTOSH AGGARWAL"/>
    <x v="45"/>
    <n v="1545"/>
    <n v="3445"/>
    <n v="3445"/>
    <n v="0"/>
    <x v="0"/>
    <x v="6"/>
    <n v="1"/>
    <x v="13"/>
  </r>
  <r>
    <n v="3817"/>
    <s v="CARE HEALTH INSURANCE LIMITED"/>
    <d v="2022-10-23T00:00:00"/>
    <x v="1"/>
    <d v="2022-10-26T00:00:00"/>
    <d v="2022-10-26T00:00:00"/>
    <n v="22028647"/>
    <n v="2237145"/>
    <n v="10013544221"/>
    <s v="AKANSHA SINGH"/>
    <x v="1976"/>
    <n v="11158"/>
    <n v="67962"/>
    <n v="2915"/>
    <n v="65047"/>
    <x v="1"/>
    <x v="1"/>
    <n v="4.2891615903004623E-2"/>
    <x v="0"/>
  </r>
  <r>
    <n v="3818"/>
    <s v="RCare Health"/>
    <d v="2022-10-21T00:00:00"/>
    <x v="1"/>
    <d v="2022-10-26T00:00:00"/>
    <d v="2022-10-26T00:00:00"/>
    <n v="22028652"/>
    <n v="2236927"/>
    <n v="10013542867"/>
    <s v="KRIPA SHANKER YADAV"/>
    <x v="1977"/>
    <n v="0"/>
    <n v="146427"/>
    <n v="4095"/>
    <n v="142332"/>
    <x v="1"/>
    <x v="0"/>
    <n v="2.7966153783113769E-2"/>
    <x v="15"/>
  </r>
  <r>
    <n v="3819"/>
    <s v="GENERAL PATIENT"/>
    <d v="2022-10-21T00:00:00"/>
    <x v="1"/>
    <d v="2022-10-26T00:00:00"/>
    <d v="2022-10-26T00:00:00"/>
    <n v="22028688"/>
    <n v="2236976"/>
    <n v="10013541434"/>
    <s v="DAYASAGAR"/>
    <x v="1978"/>
    <n v="167829"/>
    <n v="0"/>
    <n v="0"/>
    <n v="0"/>
    <x v="0"/>
    <x v="9"/>
    <e v="#DIV/0!"/>
    <x v="0"/>
  </r>
  <r>
    <n v="3820"/>
    <s v="CGHS ( CREDIT)"/>
    <d v="2022-10-18T00:00:00"/>
    <x v="1"/>
    <d v="2022-10-21T00:00:00"/>
    <d v="2022-10-21T00:00:00"/>
    <n v="22028020"/>
    <n v="2236434"/>
    <n v="1001129289"/>
    <s v="INDIRA VATI"/>
    <x v="1979"/>
    <n v="0"/>
    <n v="35952"/>
    <n v="461"/>
    <n v="35491"/>
    <x v="1"/>
    <x v="1"/>
    <n v="1.2822652425456164E-2"/>
    <x v="4"/>
  </r>
  <r>
    <n v="3821"/>
    <s v="GENERAL PATIENT"/>
    <d v="2022-10-19T00:00:00"/>
    <x v="1"/>
    <d v="2022-10-21T00:00:00"/>
    <d v="2022-10-21T00:00:00"/>
    <n v="22028057"/>
    <n v="2236649"/>
    <n v="1001225873"/>
    <s v="RAMEHSHWARI MAHLA"/>
    <x v="1980"/>
    <n v="10303"/>
    <n v="63669"/>
    <n v="63669"/>
    <n v="0"/>
    <x v="0"/>
    <x v="0"/>
    <n v="1"/>
    <x v="15"/>
  </r>
  <r>
    <n v="3822"/>
    <s v="GENERAL PATIENT"/>
    <d v="2022-10-07T00:00:00"/>
    <x v="1"/>
    <d v="2022-10-09T00:00:00"/>
    <d v="2022-10-09T00:00:00"/>
    <n v="22026296"/>
    <n v="2235000"/>
    <n v="10013530182"/>
    <s v="MUSKAN"/>
    <x v="1981"/>
    <n v="47179"/>
    <n v="0"/>
    <n v="0"/>
    <n v="0"/>
    <x v="0"/>
    <x v="9"/>
    <e v="#DIV/0!"/>
    <x v="1"/>
  </r>
  <r>
    <n v="3823"/>
    <s v="BAJAJ ALLIANZ INSURANCE"/>
    <d v="2022-10-07T00:00:00"/>
    <x v="1"/>
    <d v="2022-10-09T00:00:00"/>
    <d v="2022-10-09T00:00:00"/>
    <n v="22026306"/>
    <n v="2235098"/>
    <n v="1000943657"/>
    <s v="MADAN LAL AGGARWAL"/>
    <x v="1982"/>
    <n v="4092"/>
    <n v="64388"/>
    <n v="710"/>
    <n v="63678"/>
    <x v="1"/>
    <x v="1"/>
    <n v="1.1026899422252594E-2"/>
    <x v="0"/>
  </r>
  <r>
    <n v="3824"/>
    <s v="CGHS"/>
    <d v="2022-10-02T00:00:00"/>
    <x v="1"/>
    <d v="2022-10-05T00:00:00"/>
    <d v="2022-10-05T00:00:00"/>
    <n v="22025701"/>
    <n v="2234311"/>
    <n v="10013541229"/>
    <s v="DEEPANSHI"/>
    <x v="1983"/>
    <n v="0"/>
    <n v="13845"/>
    <n v="13845"/>
    <n v="0"/>
    <x v="0"/>
    <x v="1"/>
    <n v="1"/>
    <x v="0"/>
  </r>
  <r>
    <n v="3825"/>
    <s v="Universal Sompo Gen.Insu.Co.Ltd."/>
    <d v="2022-10-06T00:00:00"/>
    <x v="1"/>
    <d v="2022-10-09T00:00:00"/>
    <d v="2022-10-09T00:00:00"/>
    <n v="22026290"/>
    <n v="2234883"/>
    <n v="1001802833"/>
    <s v="AYUSH"/>
    <x v="1984"/>
    <n v="2836"/>
    <n v="29773"/>
    <n v="2762"/>
    <n v="27011"/>
    <x v="1"/>
    <x v="1"/>
    <n v="9.2768615860007383E-2"/>
    <x v="0"/>
  </r>
  <r>
    <n v="3826"/>
    <s v="FHPL-ACKO"/>
    <d v="2022-10-10T00:00:00"/>
    <x v="1"/>
    <d v="2022-10-12T00:00:00"/>
    <d v="2022-10-12T00:00:00"/>
    <n v="22026680"/>
    <n v="2235356"/>
    <n v="10013541396"/>
    <s v="SAKSHI AGGARWAL"/>
    <x v="1985"/>
    <n v="0"/>
    <n v="106745"/>
    <n v="31745"/>
    <n v="75000"/>
    <x v="1"/>
    <x v="2"/>
    <n v="0.29739097850016394"/>
    <x v="1"/>
  </r>
  <r>
    <n v="3827"/>
    <s v="HDFC ERGO General Insurance Co. Ltd."/>
    <d v="2022-09-30T00:00:00"/>
    <x v="0"/>
    <d v="2022-10-03T00:00:00"/>
    <d v="2022-10-03T00:00:00"/>
    <n v="22025413"/>
    <n v="2234009"/>
    <n v="10013540922"/>
    <s v="DHEERAJ"/>
    <x v="1986"/>
    <n v="9367"/>
    <n v="101811"/>
    <n v="0"/>
    <n v="101811"/>
    <x v="1"/>
    <x v="0"/>
    <n v="0"/>
    <x v="2"/>
  </r>
  <r>
    <n v="3828"/>
    <s v=" SSYAMA CASH"/>
    <d v="2022-09-26T00:00:00"/>
    <x v="0"/>
    <d v="2022-10-04T00:00:00"/>
    <d v="2022-10-04T00:00:00"/>
    <n v="22025517"/>
    <n v="2233541"/>
    <n v="1001800864"/>
    <s v="RAJENDER PRASAD JAIN"/>
    <x v="1987"/>
    <n v="0"/>
    <n v="58031"/>
    <n v="58031"/>
    <n v="0"/>
    <x v="0"/>
    <x v="1"/>
    <n v="1"/>
    <x v="0"/>
  </r>
  <r>
    <n v="3829"/>
    <s v=" RELIGARE HEALTH INSURANCE"/>
    <d v="2022-09-30T00:00:00"/>
    <x v="0"/>
    <d v="2022-10-07T00:00:00"/>
    <d v="2022-10-07T00:00:00"/>
    <n v="22025951"/>
    <n v="2234130"/>
    <n v="1001444986"/>
    <s v="DEVRAJ TANWAR"/>
    <x v="1988"/>
    <n v="13956"/>
    <n v="87795"/>
    <n v="11750"/>
    <n v="76045"/>
    <x v="1"/>
    <x v="2"/>
    <n v="0.13383450082578735"/>
    <x v="0"/>
  </r>
  <r>
    <n v="3830"/>
    <s v="GENERAL PATIENT"/>
    <d v="2022-10-21T00:00:00"/>
    <x v="1"/>
    <d v="2022-10-22T00:00:00"/>
    <d v="2022-10-22T00:00:00"/>
    <n v="22028231"/>
    <n v="2236887"/>
    <n v="10013543988"/>
    <s v="SIVKAN KAUR ARORA"/>
    <x v="1989"/>
    <n v="3135"/>
    <n v="19214"/>
    <n v="19214"/>
    <n v="0"/>
    <x v="0"/>
    <x v="2"/>
    <n v="1"/>
    <x v="9"/>
  </r>
  <r>
    <n v="3831"/>
    <s v="DGHS (DELHI GOVT.)"/>
    <d v="2022-09-29T00:00:00"/>
    <x v="0"/>
    <d v="2022-10-03T00:00:00"/>
    <d v="2022-10-03T00:00:00"/>
    <n v="22025377"/>
    <n v="2233975"/>
    <n v="10013540886"/>
    <s v="SHASHI KALA"/>
    <x v="1990"/>
    <n v="0"/>
    <n v="39446"/>
    <n v="39446"/>
    <n v="0"/>
    <x v="0"/>
    <x v="0"/>
    <n v="1"/>
    <x v="0"/>
  </r>
  <r>
    <n v="3832"/>
    <s v=" CGHS Cash"/>
    <d v="2022-10-04T00:00:00"/>
    <x v="1"/>
    <d v="2022-10-04T00:00:00"/>
    <d v="2022-10-04T00:00:00"/>
    <n v="22025555"/>
    <n v="2234573"/>
    <n v="1001735831"/>
    <s v="MOHAN KUMARI BHATIA"/>
    <x v="137"/>
    <n v="0"/>
    <n v="2560"/>
    <n v="2560"/>
    <n v="0"/>
    <x v="0"/>
    <x v="6"/>
    <n v="1"/>
    <x v="13"/>
  </r>
  <r>
    <n v="3833"/>
    <s v="CGHS"/>
    <d v="2022-10-05T00:00:00"/>
    <x v="1"/>
    <d v="2022-10-05T00:00:00"/>
    <d v="2022-10-05T00:00:00"/>
    <n v="22025705"/>
    <n v="2234711"/>
    <n v="1001644664"/>
    <s v="P C. BHATT"/>
    <x v="43"/>
    <n v="0"/>
    <n v="1610"/>
    <n v="1610"/>
    <n v="0"/>
    <x v="0"/>
    <x v="6"/>
    <n v="1"/>
    <x v="13"/>
  </r>
  <r>
    <n v="3834"/>
    <s v="GENERAL PATIENT"/>
    <d v="2022-10-05T00:00:00"/>
    <x v="1"/>
    <d v="2022-10-05T00:00:00"/>
    <d v="2022-10-05T00:00:00"/>
    <n v="22025707"/>
    <n v="2234716"/>
    <n v="10013533576"/>
    <s v="G. CHANDER SHEKHAR"/>
    <x v="73"/>
    <n v="308"/>
    <n v="2536"/>
    <n v="2536"/>
    <n v="0"/>
    <x v="0"/>
    <x v="6"/>
    <n v="1"/>
    <x v="13"/>
  </r>
  <r>
    <n v="3835"/>
    <s v="GENERAL PATIENT"/>
    <d v="2022-10-05T00:00:00"/>
    <x v="1"/>
    <d v="2022-10-05T00:00:00"/>
    <d v="2022-10-05T00:00:00"/>
    <n v="22025703"/>
    <n v="2234707"/>
    <n v="10013460950"/>
    <s v="PREM CHAND"/>
    <x v="73"/>
    <n v="308"/>
    <n v="2536"/>
    <n v="2536"/>
    <n v="0"/>
    <x v="0"/>
    <x v="6"/>
    <n v="1"/>
    <x v="13"/>
  </r>
  <r>
    <n v="3836"/>
    <s v="GENERAL PATIENT"/>
    <d v="2022-10-19T00:00:00"/>
    <x v="1"/>
    <d v="2022-10-22T00:00:00"/>
    <d v="2022-10-22T00:00:00"/>
    <n v="22028134"/>
    <n v="2236600"/>
    <n v="1001360698"/>
    <s v="REETIKA BANSAL"/>
    <x v="1991"/>
    <n v="13015"/>
    <n v="90175"/>
    <n v="90175"/>
    <n v="0"/>
    <x v="0"/>
    <x v="2"/>
    <n v="1"/>
    <x v="1"/>
  </r>
  <r>
    <n v="3837"/>
    <s v="National Cooperative Development Corporation"/>
    <d v="2022-10-10T00:00:00"/>
    <x v="1"/>
    <d v="2022-10-14T00:00:00"/>
    <d v="2022-10-14T00:00:00"/>
    <n v="22026994"/>
    <n v="2235367"/>
    <n v="10013459868"/>
    <s v="RAJNI GARG"/>
    <x v="1992"/>
    <n v="0"/>
    <n v="44190"/>
    <n v="44190"/>
    <n v="0"/>
    <x v="0"/>
    <x v="2"/>
    <n v="1"/>
    <x v="11"/>
  </r>
  <r>
    <n v="3838"/>
    <s v="HDFC ERGO General Insurance Co. Ltd."/>
    <d v="2022-10-06T00:00:00"/>
    <x v="1"/>
    <d v="2022-10-09T00:00:00"/>
    <d v="2022-10-09T00:00:00"/>
    <n v="22026285"/>
    <n v="2234912"/>
    <n v="10013541868"/>
    <s v="SWATI BANSAL"/>
    <x v="1993"/>
    <n v="3318"/>
    <n v="36700"/>
    <n v="0"/>
    <n v="36700"/>
    <x v="1"/>
    <x v="2"/>
    <n v="0"/>
    <x v="0"/>
  </r>
  <r>
    <n v="3839"/>
    <s v="HARAYANA GOVT."/>
    <d v="2022-10-07T00:00:00"/>
    <x v="1"/>
    <d v="2022-10-07T00:00:00"/>
    <d v="2022-10-07T00:00:00"/>
    <n v="22025924"/>
    <n v="2234990"/>
    <n v="10013461113"/>
    <s v="DHARMVEER SINGH"/>
    <x v="520"/>
    <n v="0"/>
    <n v="2949"/>
    <n v="2949"/>
    <n v="0"/>
    <x v="0"/>
    <x v="6"/>
    <n v="1"/>
    <x v="13"/>
  </r>
  <r>
    <n v="3840"/>
    <s v="Health Insurance TPA of India Ltd."/>
    <d v="2022-10-03T00:00:00"/>
    <x v="1"/>
    <d v="2022-10-05T00:00:00"/>
    <d v="2022-10-05T00:00:00"/>
    <n v="22025672"/>
    <n v="2234406"/>
    <n v="10013541360"/>
    <s v="RAVI GUPTA"/>
    <x v="55"/>
    <n v="0"/>
    <n v="238169"/>
    <n v="26250"/>
    <n v="211919"/>
    <x v="1"/>
    <x v="4"/>
    <n v="0.11021585512808132"/>
    <x v="4"/>
  </r>
  <r>
    <n v="3841"/>
    <s v="Medvantage Insurance TPA Private Limited"/>
    <d v="2022-10-09T00:00:00"/>
    <x v="1"/>
    <d v="2022-10-13T00:00:00"/>
    <d v="2022-10-13T00:00:00"/>
    <n v="22026875"/>
    <n v="2235289"/>
    <n v="10013542251"/>
    <s v="SURINDER SINGH DHINGRA"/>
    <x v="1994"/>
    <n v="12994"/>
    <n v="78387"/>
    <n v="2125"/>
    <n v="76262"/>
    <x v="1"/>
    <x v="1"/>
    <n v="2.7109086965950987E-2"/>
    <x v="9"/>
  </r>
  <r>
    <n v="3842"/>
    <s v="CARE HEALTH INSURANCE LIMITED"/>
    <d v="2022-10-10T00:00:00"/>
    <x v="1"/>
    <d v="2022-10-13T00:00:00"/>
    <d v="2022-10-13T00:00:00"/>
    <n v="22026844"/>
    <n v="2235406"/>
    <n v="1001803591"/>
    <s v="RAJINDER KHANNA"/>
    <x v="1995"/>
    <n v="0"/>
    <n v="131623"/>
    <n v="4224"/>
    <n v="127399"/>
    <x v="1"/>
    <x v="2"/>
    <n v="3.2091655713667067E-2"/>
    <x v="16"/>
  </r>
  <r>
    <n v="3843"/>
    <s v="STAR HEALTH CARE  (CREDIT)"/>
    <d v="2022-10-11T00:00:00"/>
    <x v="1"/>
    <d v="2022-10-13T00:00:00"/>
    <d v="2022-10-13T00:00:00"/>
    <n v="22026876"/>
    <n v="2235514"/>
    <n v="1001803700"/>
    <s v="MAYUR GOEL"/>
    <x v="1996"/>
    <n v="6134"/>
    <n v="40158"/>
    <n v="3157"/>
    <n v="37001"/>
    <x v="1"/>
    <x v="0"/>
    <n v="7.8614472832312363E-2"/>
    <x v="3"/>
  </r>
  <r>
    <n v="3844"/>
    <s v="GENERAL PATIENT"/>
    <d v="2022-10-13T00:00:00"/>
    <x v="1"/>
    <d v="2022-10-13T00:00:00"/>
    <d v="2022-10-13T00:00:00"/>
    <n v="22026936"/>
    <n v="2235853"/>
    <n v="10013541891"/>
    <s v="MANPREET KAUR"/>
    <x v="59"/>
    <n v="306"/>
    <n v="3213"/>
    <n v="3213"/>
    <n v="0"/>
    <x v="0"/>
    <x v="6"/>
    <n v="1"/>
    <x v="13"/>
  </r>
  <r>
    <n v="3845"/>
    <s v="GENERAL PATIENT"/>
    <d v="2022-10-07T00:00:00"/>
    <x v="1"/>
    <d v="2022-10-07T00:00:00"/>
    <d v="2022-10-07T00:00:00"/>
    <n v="22026031"/>
    <n v="2235004"/>
    <n v="1001802547"/>
    <s v="MANORMA DEVI"/>
    <x v="1997"/>
    <n v="0"/>
    <n v="16500"/>
    <n v="16500"/>
    <n v="0"/>
    <x v="0"/>
    <x v="6"/>
    <n v="1"/>
    <x v="4"/>
  </r>
  <r>
    <n v="3846"/>
    <s v="GENERAL PATIENT"/>
    <d v="2022-10-07T00:00:00"/>
    <x v="1"/>
    <d v="2022-10-07T00:00:00"/>
    <d v="2022-10-07T00:00:00"/>
    <n v="22026052"/>
    <n v="2235064"/>
    <n v="1001202559"/>
    <s v="SURINDER KUMAR CHAWLA"/>
    <x v="73"/>
    <n v="610"/>
    <n v="2234"/>
    <n v="2234"/>
    <n v="0"/>
    <x v="0"/>
    <x v="6"/>
    <n v="1"/>
    <x v="13"/>
  </r>
  <r>
    <n v="3847"/>
    <s v="GENERAL PATIENT"/>
    <d v="2022-10-07T00:00:00"/>
    <x v="1"/>
    <d v="2022-10-07T00:00:00"/>
    <d v="2022-10-07T00:00:00"/>
    <n v="22026057"/>
    <n v="2235097"/>
    <n v="1001327108"/>
    <s v="POOJA"/>
    <x v="41"/>
    <n v="2794"/>
    <n v="0"/>
    <n v="0"/>
    <n v="0"/>
    <x v="0"/>
    <x v="9"/>
    <e v="#DIV/0!"/>
    <x v="13"/>
  </r>
  <r>
    <n v="3848"/>
    <s v="GENERAL PATIENT"/>
    <d v="2022-10-07T00:00:00"/>
    <x v="1"/>
    <d v="2022-10-07T00:00:00"/>
    <d v="2022-10-07T00:00:00"/>
    <n v="22026059"/>
    <n v="2235095"/>
    <n v="1001110018"/>
    <s v="RUPENDER KAUR"/>
    <x v="41"/>
    <n v="2794"/>
    <n v="0"/>
    <n v="0"/>
    <n v="0"/>
    <x v="0"/>
    <x v="9"/>
    <e v="#DIV/0!"/>
    <x v="13"/>
  </r>
  <r>
    <n v="3849"/>
    <s v="CGHS ( CREDIT)"/>
    <d v="2022-10-10T00:00:00"/>
    <x v="1"/>
    <d v="2022-10-15T00:00:00"/>
    <d v="2022-10-15T00:00:00"/>
    <n v="22027215"/>
    <n v="2235418"/>
    <n v="10013490499"/>
    <s v="SANTOSH KUMAR"/>
    <x v="1998"/>
    <n v="0"/>
    <n v="79445"/>
    <n v="520"/>
    <n v="78925"/>
    <x v="1"/>
    <x v="2"/>
    <n v="6.5454087733652216E-3"/>
    <x v="12"/>
  </r>
  <r>
    <n v="3850"/>
    <s v="GENERAL PATIENT"/>
    <d v="2022-10-04T00:00:00"/>
    <x v="1"/>
    <d v="2022-10-04T00:00:00"/>
    <d v="2022-10-04T00:00:00"/>
    <n v="22025487"/>
    <n v="2234520"/>
    <n v="10013451851"/>
    <s v="SHASHI JAIN"/>
    <x v="45"/>
    <n v="442"/>
    <n v="4548"/>
    <n v="4548"/>
    <n v="0"/>
    <x v="0"/>
    <x v="6"/>
    <n v="1"/>
    <x v="13"/>
  </r>
  <r>
    <n v="3851"/>
    <s v="GENERAL PATIENT"/>
    <d v="2022-10-04T00:00:00"/>
    <x v="1"/>
    <d v="2022-10-04T00:00:00"/>
    <d v="2022-10-04T00:00:00"/>
    <n v="22025631"/>
    <n v="2234638"/>
    <n v="1001074324"/>
    <s v="RAMESH CHAND NIGAM"/>
    <x v="73"/>
    <n v="308"/>
    <n v="2536"/>
    <n v="2536"/>
    <n v="0"/>
    <x v="0"/>
    <x v="6"/>
    <n v="1"/>
    <x v="13"/>
  </r>
  <r>
    <n v="3852"/>
    <s v="GENERAL PATIENT"/>
    <d v="2022-10-04T00:00:00"/>
    <x v="1"/>
    <d v="2022-10-04T00:00:00"/>
    <d v="2022-10-04T00:00:00"/>
    <n v="22025630"/>
    <n v="2234634"/>
    <n v="1001327108"/>
    <s v="POOJA"/>
    <x v="41"/>
    <n v="2794"/>
    <n v="0"/>
    <n v="0"/>
    <n v="0"/>
    <x v="0"/>
    <x v="9"/>
    <e v="#DIV/0!"/>
    <x v="13"/>
  </r>
  <r>
    <n v="3853"/>
    <s v="M.C.D"/>
    <d v="2022-10-03T00:00:00"/>
    <x v="1"/>
    <d v="2022-10-05T00:00:00"/>
    <d v="2022-10-05T00:00:00"/>
    <n v="22025710"/>
    <n v="2234384"/>
    <n v="1000840841"/>
    <s v="KUSHAL RAM"/>
    <x v="1999"/>
    <n v="0"/>
    <n v="31496"/>
    <n v="31496"/>
    <n v="0"/>
    <x v="0"/>
    <x v="1"/>
    <n v="1"/>
    <x v="12"/>
  </r>
  <r>
    <n v="3854"/>
    <s v="STAR HEALTH CARE  (CREDIT)"/>
    <d v="2022-10-25T00:00:00"/>
    <x v="1"/>
    <d v="2022-10-25T00:00:00"/>
    <d v="2022-10-25T00:00:00"/>
    <n v="22028557"/>
    <n v="2237374"/>
    <n v="10013481278"/>
    <s v="NEELAM GUPTA"/>
    <x v="158"/>
    <n v="0"/>
    <n v="2500"/>
    <n v="2500"/>
    <n v="0"/>
    <x v="0"/>
    <x v="6"/>
    <n v="1"/>
    <x v="13"/>
  </r>
  <r>
    <n v="3855"/>
    <s v="GENERAL PATIENT"/>
    <d v="2022-10-25T00:00:00"/>
    <x v="1"/>
    <d v="2022-10-25T00:00:00"/>
    <d v="2022-10-25T00:00:00"/>
    <n v="22028563"/>
    <n v="2237405"/>
    <n v="1001110018"/>
    <s v="RUPENDER KAUR"/>
    <x v="41"/>
    <n v="2794"/>
    <n v="0"/>
    <n v="0"/>
    <n v="0"/>
    <x v="0"/>
    <x v="9"/>
    <e v="#DIV/0!"/>
    <x v="13"/>
  </r>
  <r>
    <n v="3856"/>
    <s v="GENERAL PATIENT"/>
    <d v="2022-10-25T00:00:00"/>
    <x v="1"/>
    <d v="2022-10-25T00:00:00"/>
    <d v="2022-10-25T00:00:00"/>
    <n v="22028572"/>
    <n v="2237396"/>
    <n v="1001074324"/>
    <s v="RAMESH CHAND NIGAM"/>
    <x v="73"/>
    <n v="281"/>
    <n v="2563"/>
    <n v="2563"/>
    <n v="0"/>
    <x v="0"/>
    <x v="6"/>
    <n v="1"/>
    <x v="13"/>
  </r>
  <r>
    <n v="3857"/>
    <s v="Heritage Health TPA Private Limited"/>
    <d v="2022-10-11T00:00:00"/>
    <x v="1"/>
    <d v="2022-10-14T00:00:00"/>
    <d v="2022-10-14T00:00:00"/>
    <n v="22027018"/>
    <n v="2235517"/>
    <n v="1001803711"/>
    <s v="RAJNI MALE BABY"/>
    <x v="2000"/>
    <n v="0"/>
    <n v="8490"/>
    <n v="8489"/>
    <n v="1"/>
    <x v="1"/>
    <x v="2"/>
    <n v="0.99988221436984692"/>
    <x v="3"/>
  </r>
  <r>
    <n v="3858"/>
    <s v="HDFC ERGO General Insurance Co. Ltd."/>
    <d v="2022-10-05T00:00:00"/>
    <x v="1"/>
    <d v="2022-10-06T00:00:00"/>
    <d v="2022-10-06T00:00:00"/>
    <n v="22025802"/>
    <n v="2234795"/>
    <n v="10013541669"/>
    <s v="MAMTA"/>
    <x v="2001"/>
    <n v="0"/>
    <n v="36309"/>
    <n v="36309"/>
    <n v="0"/>
    <x v="0"/>
    <x v="1"/>
    <n v="1"/>
    <x v="1"/>
  </r>
  <r>
    <n v="3859"/>
    <s v="GENERAL PATIENT"/>
    <d v="2022-10-12T00:00:00"/>
    <x v="1"/>
    <d v="2022-10-12T00:00:00"/>
    <d v="2022-10-12T00:00:00"/>
    <n v="22026747"/>
    <n v="2235707"/>
    <n v="10013230754"/>
    <s v="SANTOSH AGGARWAL"/>
    <x v="45"/>
    <n v="1647"/>
    <n v="3343"/>
    <n v="3343"/>
    <n v="0"/>
    <x v="0"/>
    <x v="6"/>
    <n v="1"/>
    <x v="13"/>
  </r>
  <r>
    <n v="3860"/>
    <s v="GENERAL PATIENT"/>
    <d v="2022-10-12T00:00:00"/>
    <x v="1"/>
    <d v="2022-10-12T00:00:00"/>
    <d v="2022-10-12T00:00:00"/>
    <n v="22026728"/>
    <n v="2235689"/>
    <n v="10013509533"/>
    <s v="ANKIT BINDRA"/>
    <x v="73"/>
    <n v="308"/>
    <n v="2536"/>
    <n v="2536"/>
    <n v="0"/>
    <x v="0"/>
    <x v="6"/>
    <n v="1"/>
    <x v="13"/>
  </r>
  <r>
    <n v="3861"/>
    <s v="Safeway Mediclaim Services Pvt. Ltd."/>
    <d v="2022-10-01T00:00:00"/>
    <x v="1"/>
    <d v="2022-10-04T00:00:00"/>
    <d v="2022-10-04T00:00:00"/>
    <n v="22025537"/>
    <n v="2234234"/>
    <n v="10013541148"/>
    <s v="USHA GARG"/>
    <x v="2002"/>
    <n v="5892"/>
    <n v="46353"/>
    <n v="14057"/>
    <n v="32296"/>
    <x v="1"/>
    <x v="5"/>
    <n v="0.30325976743684335"/>
    <x v="0"/>
  </r>
  <r>
    <n v="3862"/>
    <s v="Staff DEPENDENT"/>
    <d v="2022-10-04T00:00:00"/>
    <x v="1"/>
    <d v="2022-10-05T00:00:00"/>
    <d v="2022-10-05T00:00:00"/>
    <n v="22025696"/>
    <n v="2234537"/>
    <n v="10013539428"/>
    <s v="RAMIT KUMAR"/>
    <x v="2003"/>
    <n v="36782"/>
    <n v="0"/>
    <n v="0"/>
    <n v="0"/>
    <x v="0"/>
    <x v="9"/>
    <e v="#DIV/0!"/>
    <x v="11"/>
  </r>
  <r>
    <n v="3863"/>
    <s v="GENERAL PATIENT"/>
    <d v="2022-10-10T00:00:00"/>
    <x v="1"/>
    <d v="2022-10-10T00:00:00"/>
    <d v="2022-10-10T00:00:00"/>
    <n v="22026412"/>
    <n v="2235387"/>
    <n v="10013531598"/>
    <s v="OMWATI"/>
    <x v="45"/>
    <n v="413"/>
    <n v="4577"/>
    <n v="4577"/>
    <n v="0"/>
    <x v="0"/>
    <x v="6"/>
    <n v="1"/>
    <x v="13"/>
  </r>
  <r>
    <n v="3864"/>
    <s v="GENERAL PATIENT"/>
    <d v="2022-10-10T00:00:00"/>
    <x v="1"/>
    <d v="2022-10-10T00:00:00"/>
    <d v="2022-10-10T00:00:00"/>
    <n v="22026410"/>
    <n v="2235391"/>
    <n v="10013526375"/>
    <s v="BIRBHAN GARG"/>
    <x v="45"/>
    <n v="413"/>
    <n v="4577"/>
    <n v="4577"/>
    <n v="0"/>
    <x v="0"/>
    <x v="6"/>
    <n v="1"/>
    <x v="13"/>
  </r>
  <r>
    <n v="3865"/>
    <s v="GENERAL PATIENT"/>
    <d v="2022-10-19T00:00:00"/>
    <x v="1"/>
    <d v="2022-10-19T00:00:00"/>
    <d v="2022-10-19T00:00:00"/>
    <n v="22027648"/>
    <n v="2236575"/>
    <n v="10013407139"/>
    <s v="SITO DEVI"/>
    <x v="143"/>
    <n v="286"/>
    <n v="3443"/>
    <n v="3443"/>
    <n v="0"/>
    <x v="0"/>
    <x v="6"/>
    <n v="1"/>
    <x v="13"/>
  </r>
  <r>
    <n v="3866"/>
    <s v="GENERAL PATIENT"/>
    <d v="2022-09-24T00:00:00"/>
    <x v="0"/>
    <d v="2022-10-04T00:00:00"/>
    <d v="2022-10-04T00:00:00"/>
    <n v="22025550"/>
    <n v="2233362"/>
    <n v="10013539933"/>
    <s v="DALIP KUMAR MALHOTRA"/>
    <x v="2004"/>
    <n v="123016"/>
    <n v="0"/>
    <n v="0"/>
    <n v="0"/>
    <x v="0"/>
    <x v="9"/>
    <e v="#DIV/0!"/>
    <x v="0"/>
  </r>
  <r>
    <n v="3867"/>
    <s v="GENERAL PATIENT"/>
    <d v="2022-10-19T00:00:00"/>
    <x v="1"/>
    <d v="2022-10-23T00:00:00"/>
    <d v="2022-10-23T00:00:00"/>
    <n v="22028345"/>
    <n v="2236656"/>
    <n v="10013543762"/>
    <s v="KRISHNA RANI"/>
    <x v="2005"/>
    <n v="29243"/>
    <n v="146425"/>
    <n v="146425"/>
    <n v="0"/>
    <x v="0"/>
    <x v="2"/>
    <n v="1"/>
    <x v="4"/>
  </r>
  <r>
    <n v="3868"/>
    <s v="GENERAL PATIENT"/>
    <d v="2022-10-14T00:00:00"/>
    <x v="1"/>
    <d v="2022-10-18T00:00:00"/>
    <d v="2022-10-18T00:00:00"/>
    <n v="22027548"/>
    <n v="2236030"/>
    <n v="10013543064"/>
    <s v="ANIKET"/>
    <x v="2006"/>
    <n v="39401"/>
    <n v="49017"/>
    <n v="49017"/>
    <n v="0"/>
    <x v="0"/>
    <x v="7"/>
    <n v="1"/>
    <x v="2"/>
  </r>
  <r>
    <n v="3869"/>
    <s v="GENERAL PATIENT"/>
    <d v="2022-10-06T00:00:00"/>
    <x v="1"/>
    <d v="2022-10-07T00:00:00"/>
    <d v="2022-10-07T00:00:00"/>
    <n v="22026055"/>
    <n v="2234810"/>
    <n v="10013541704"/>
    <s v="IKBAL"/>
    <x v="2007"/>
    <n v="18064"/>
    <n v="95031"/>
    <n v="95031"/>
    <n v="0"/>
    <x v="0"/>
    <x v="8"/>
    <n v="1"/>
    <x v="0"/>
  </r>
  <r>
    <n v="3870"/>
    <s v="CGHS"/>
    <d v="2022-10-08T00:00:00"/>
    <x v="1"/>
    <d v="2022-10-08T00:00:00"/>
    <d v="2022-10-08T00:00:00"/>
    <n v="22026094"/>
    <n v="2235130"/>
    <n v="10013480632"/>
    <s v="MANJU GUPTA"/>
    <x v="43"/>
    <n v="0"/>
    <n v="1610"/>
    <n v="1610"/>
    <n v="0"/>
    <x v="0"/>
    <x v="6"/>
    <n v="1"/>
    <x v="13"/>
  </r>
  <r>
    <n v="3871"/>
    <s v="GENERAL PATIENT"/>
    <d v="2022-10-17T00:00:00"/>
    <x v="1"/>
    <d v="2022-10-20T00:00:00"/>
    <d v="2022-10-20T00:00:00"/>
    <n v="22027840"/>
    <n v="2236425"/>
    <n v="10013543253"/>
    <s v="ABHISHEK"/>
    <x v="2008"/>
    <n v="37955"/>
    <n v="0"/>
    <n v="0"/>
    <n v="0"/>
    <x v="0"/>
    <x v="9"/>
    <e v="#DIV/0!"/>
    <x v="0"/>
  </r>
  <r>
    <n v="3872"/>
    <s v="HDFC ERGO General Insurance Co. Ltd."/>
    <d v="2022-10-22T00:00:00"/>
    <x v="1"/>
    <d v="2022-10-29T00:00:00"/>
    <d v="2022-10-29T00:00:00"/>
    <n v="22029025"/>
    <n v="2237107"/>
    <n v="10013544184"/>
    <s v="KANISHKA AGARWAL"/>
    <x v="2009"/>
    <n v="0"/>
    <n v="109951"/>
    <n v="39951"/>
    <n v="70000"/>
    <x v="1"/>
    <x v="2"/>
    <n v="0.36335276623223073"/>
    <x v="0"/>
  </r>
  <r>
    <n v="3873"/>
    <s v="STAR HEALTH CARE  (CREDIT)"/>
    <d v="2022-10-10T00:00:00"/>
    <x v="1"/>
    <d v="2022-10-13T00:00:00"/>
    <d v="2022-10-13T00:00:00"/>
    <n v="22026847"/>
    <n v="2235408"/>
    <n v="10013541382"/>
    <s v="DAKSH GAHLAUT"/>
    <x v="2010"/>
    <n v="5708"/>
    <n v="138781"/>
    <n v="6662"/>
    <n v="132119"/>
    <x v="1"/>
    <x v="2"/>
    <n v="4.8003689265821693E-2"/>
    <x v="16"/>
  </r>
  <r>
    <n v="3874"/>
    <s v="Cholamandlam General Insurance Co. Ltd."/>
    <d v="2022-09-26T00:00:00"/>
    <x v="0"/>
    <d v="2022-10-02T00:00:00"/>
    <d v="2022-10-02T00:00:00"/>
    <n v="22025301"/>
    <n v="2233569"/>
    <n v="10013539974"/>
    <s v="ANITA JINDAL"/>
    <x v="2011"/>
    <n v="10998"/>
    <n v="104152"/>
    <n v="17035"/>
    <n v="87117"/>
    <x v="1"/>
    <x v="2"/>
    <n v="0.16355902911129888"/>
    <x v="0"/>
  </r>
  <r>
    <n v="3875"/>
    <s v=" CGHS CREDIT"/>
    <d v="2022-10-19T00:00:00"/>
    <x v="1"/>
    <d v="2022-10-23T00:00:00"/>
    <d v="2022-10-23T00:00:00"/>
    <n v="22028388"/>
    <n v="2236657"/>
    <n v="1001805008"/>
    <s v="TANISHQ"/>
    <x v="2012"/>
    <n v="0"/>
    <n v="14121"/>
    <n v="520"/>
    <n v="13601"/>
    <x v="1"/>
    <x v="1"/>
    <n v="3.6824587493803553E-2"/>
    <x v="3"/>
  </r>
  <r>
    <n v="3876"/>
    <s v="CGHS"/>
    <d v="2022-10-12T00:00:00"/>
    <x v="1"/>
    <d v="2022-10-13T00:00:00"/>
    <d v="2022-10-13T00:00:00"/>
    <n v="22026931"/>
    <n v="2235632"/>
    <n v="10013259673"/>
    <s v="VIBHUTI YADAV"/>
    <x v="2013"/>
    <n v="0"/>
    <n v="25094"/>
    <n v="25094"/>
    <n v="0"/>
    <x v="0"/>
    <x v="2"/>
    <n v="1"/>
    <x v="11"/>
  </r>
  <r>
    <n v="3877"/>
    <s v="M.C.D"/>
    <d v="2022-10-12T00:00:00"/>
    <x v="1"/>
    <d v="2022-10-16T00:00:00"/>
    <d v="2022-10-16T00:00:00"/>
    <n v="22027318"/>
    <n v="2235623"/>
    <n v="10013542633"/>
    <s v="RITU"/>
    <x v="2014"/>
    <n v="0"/>
    <n v="32337"/>
    <n v="32337"/>
    <n v="0"/>
    <x v="0"/>
    <x v="0"/>
    <n v="1"/>
    <x v="0"/>
  </r>
  <r>
    <n v="3878"/>
    <s v=" CAPF"/>
    <d v="2022-10-21T00:00:00"/>
    <x v="1"/>
    <d v="2022-10-23T00:00:00"/>
    <d v="2022-10-23T00:00:00"/>
    <n v="22028354"/>
    <n v="2236975"/>
    <n v="1001803275"/>
    <s v="GANDA RANI"/>
    <x v="2015"/>
    <n v="0"/>
    <n v="31270"/>
    <n v="3000"/>
    <n v="28270"/>
    <x v="1"/>
    <x v="1"/>
    <n v="9.5938599296450267E-2"/>
    <x v="14"/>
  </r>
  <r>
    <n v="3879"/>
    <s v="CGHS ( CREDIT)"/>
    <d v="2022-10-22T00:00:00"/>
    <x v="1"/>
    <d v="2022-10-25T00:00:00"/>
    <d v="2022-10-25T00:00:00"/>
    <n v="22028503"/>
    <n v="2237106"/>
    <n v="10013544192"/>
    <s v="RAM MEHAR SINGH"/>
    <x v="2016"/>
    <n v="0"/>
    <n v="33539"/>
    <n v="572"/>
    <n v="32967"/>
    <x v="1"/>
    <x v="1"/>
    <n v="1.7054772056411937E-2"/>
    <x v="0"/>
  </r>
  <r>
    <n v="3880"/>
    <s v="DGHS (DELHI GOVT.)"/>
    <d v="2022-09-24T00:00:00"/>
    <x v="0"/>
    <d v="2022-10-04T00:00:00"/>
    <d v="2022-10-04T00:00:00"/>
    <n v="22025552"/>
    <n v="2233284"/>
    <n v="10013540141"/>
    <s v="KHAJAN SINGH"/>
    <x v="2017"/>
    <n v="0"/>
    <n v="150020"/>
    <n v="150020"/>
    <n v="0"/>
    <x v="0"/>
    <x v="1"/>
    <n v="1"/>
    <x v="0"/>
  </r>
  <r>
    <n v="3881"/>
    <s v="Medvantage Insurance TPA Private Limited"/>
    <d v="2022-10-10T00:00:00"/>
    <x v="1"/>
    <d v="2022-10-13T00:00:00"/>
    <d v="2022-10-13T00:00:00"/>
    <n v="22026911"/>
    <n v="2235352"/>
    <n v="10013531199"/>
    <s v="SOUMYA GOYAL"/>
    <x v="2018"/>
    <n v="0"/>
    <n v="74075"/>
    <n v="1500"/>
    <n v="72575"/>
    <x v="1"/>
    <x v="10"/>
    <n v="2.0249746878164023E-2"/>
    <x v="1"/>
  </r>
  <r>
    <n v="3882"/>
    <s v="GENERAL PATIENT"/>
    <d v="2022-10-26T00:00:00"/>
    <x v="1"/>
    <d v="2022-10-26T00:00:00"/>
    <d v="2022-10-26T00:00:00"/>
    <n v="22028646"/>
    <n v="2237501"/>
    <n v="10013460950"/>
    <s v="PREM CHAND"/>
    <x v="73"/>
    <n v="289"/>
    <n v="2555"/>
    <n v="2555"/>
    <n v="0"/>
    <x v="0"/>
    <x v="6"/>
    <n v="1"/>
    <x v="13"/>
  </r>
  <r>
    <n v="3883"/>
    <s v="MEDI ASSIST"/>
    <d v="2022-10-26T00:00:00"/>
    <x v="1"/>
    <d v="2022-10-26T00:00:00"/>
    <d v="2022-10-26T00:00:00"/>
    <n v="22028660"/>
    <n v="2237499"/>
    <n v="1001564406"/>
    <s v="RAVI BATURA"/>
    <x v="75"/>
    <n v="0"/>
    <n v="2200"/>
    <n v="330"/>
    <n v="1870"/>
    <x v="1"/>
    <x v="12"/>
    <n v="0.15"/>
    <x v="13"/>
  </r>
  <r>
    <n v="3884"/>
    <s v="GENERAL PATIENT"/>
    <d v="2022-10-26T00:00:00"/>
    <x v="1"/>
    <d v="2022-10-27T00:00:00"/>
    <d v="2022-10-27T00:00:00"/>
    <n v="22028706"/>
    <n v="2237585"/>
    <n v="10013544658"/>
    <s v="K.SUNDARAM"/>
    <x v="2019"/>
    <n v="1976"/>
    <n v="22451"/>
    <n v="22451"/>
    <n v="0"/>
    <x v="0"/>
    <x v="1"/>
    <n v="1"/>
    <x v="4"/>
  </r>
  <r>
    <n v="3885"/>
    <s v="CGHS ( CREDIT)"/>
    <d v="2022-10-25T00:00:00"/>
    <x v="1"/>
    <d v="2022-10-27T00:00:00"/>
    <d v="2022-10-27T00:00:00"/>
    <n v="22028766"/>
    <n v="2237392"/>
    <n v="10013544468"/>
    <s v="INDRA JIT RAO"/>
    <x v="2020"/>
    <n v="0"/>
    <n v="228143"/>
    <n v="69140"/>
    <n v="159003"/>
    <x v="1"/>
    <x v="1"/>
    <n v="0.30305553972727634"/>
    <x v="4"/>
  </r>
  <r>
    <n v="3886"/>
    <s v="DELHI TRANSCO LTD."/>
    <d v="2022-10-29T00:00:00"/>
    <x v="1"/>
    <d v="2022-10-29T00:00:00"/>
    <d v="2022-10-29T00:00:00"/>
    <n v="22029079"/>
    <n v="2237940"/>
    <n v="10013545026"/>
    <s v="MANGAT RAM"/>
    <x v="261"/>
    <n v="0"/>
    <n v="11903"/>
    <n v="11903"/>
    <n v="0"/>
    <x v="0"/>
    <x v="1"/>
    <n v="1"/>
    <x v="4"/>
  </r>
  <r>
    <n v="3887"/>
    <s v="GENERAL PATIENT"/>
    <d v="2022-09-30T00:00:00"/>
    <x v="0"/>
    <d v="2022-10-01T00:00:00"/>
    <d v="2022-10-01T00:00:00"/>
    <n v="22025265"/>
    <n v="2234132"/>
    <n v="10013541008"/>
    <s v="ASHA DEVI"/>
    <x v="2021"/>
    <n v="87688"/>
    <n v="59500"/>
    <n v="59500"/>
    <n v="0"/>
    <x v="0"/>
    <x v="8"/>
    <n v="1"/>
    <x v="0"/>
  </r>
  <r>
    <n v="3888"/>
    <s v="GENERAL PATIENT"/>
    <d v="2022-10-21T00:00:00"/>
    <x v="1"/>
    <d v="2022-10-21T00:00:00"/>
    <d v="2022-10-21T00:00:00"/>
    <n v="22027961"/>
    <n v="2236852"/>
    <n v="10013543960"/>
    <s v="AARAV SHARMA"/>
    <x v="16"/>
    <n v="0"/>
    <n v="0"/>
    <n v="0"/>
    <n v="0"/>
    <x v="0"/>
    <x v="1"/>
    <e v="#DIV/0!"/>
    <x v="0"/>
  </r>
  <r>
    <n v="3889"/>
    <s v="CGHS ( CREDIT)"/>
    <d v="2022-10-17T00:00:00"/>
    <x v="1"/>
    <d v="2022-10-27T00:00:00"/>
    <d v="2022-10-27T00:00:00"/>
    <n v="22028750"/>
    <n v="2236401"/>
    <n v="10013447213"/>
    <s v="KANCHAN SINGH"/>
    <x v="2022"/>
    <n v="0"/>
    <n v="132205"/>
    <n v="6093"/>
    <n v="126112"/>
    <x v="1"/>
    <x v="1"/>
    <n v="4.6087515600771532E-2"/>
    <x v="0"/>
  </r>
  <r>
    <n v="3890"/>
    <s v="M.C.D"/>
    <d v="2022-09-30T00:00:00"/>
    <x v="0"/>
    <d v="2022-10-02T00:00:00"/>
    <d v="2022-10-02T00:00:00"/>
    <n v="22025326"/>
    <n v="2234064"/>
    <n v="1001801700"/>
    <s v="POOJA MALE BABY"/>
    <x v="2023"/>
    <n v="0"/>
    <n v="4443"/>
    <n v="4443"/>
    <n v="0"/>
    <x v="0"/>
    <x v="1"/>
    <n v="1"/>
    <x v="3"/>
  </r>
  <r>
    <n v="3891"/>
    <s v="GENERAL PATIENT"/>
    <d v="2022-10-14T00:00:00"/>
    <x v="1"/>
    <d v="2022-10-16T00:00:00"/>
    <d v="2022-10-16T00:00:00"/>
    <n v="22027288"/>
    <n v="2236045"/>
    <n v="1001803792"/>
    <s v="B\O BHUMIKA SACHDEVA"/>
    <x v="2024"/>
    <n v="2625"/>
    <n v="20177"/>
    <n v="20177"/>
    <n v="0"/>
    <x v="0"/>
    <x v="1"/>
    <n v="1"/>
    <x v="3"/>
  </r>
  <r>
    <n v="3892"/>
    <s v="DGHS (DELHI GOVT.)"/>
    <d v="2022-09-29T00:00:00"/>
    <x v="0"/>
    <d v="2022-10-04T00:00:00"/>
    <d v="2022-10-04T00:00:00"/>
    <n v="22025544"/>
    <n v="2233993"/>
    <n v="10013540898"/>
    <s v="UMRAWATI"/>
    <x v="2025"/>
    <n v="0"/>
    <n v="35928"/>
    <n v="2139"/>
    <n v="33789"/>
    <x v="1"/>
    <x v="2"/>
    <n v="5.9535738142952571E-2"/>
    <x v="0"/>
  </r>
  <r>
    <n v="3893"/>
    <s v="GENERAL PATIENT"/>
    <d v="2022-10-14T00:00:00"/>
    <x v="1"/>
    <d v="2022-10-16T00:00:00"/>
    <d v="2022-10-16T00:00:00"/>
    <n v="22027285"/>
    <n v="2236043"/>
    <n v="10013543069"/>
    <s v="B/O REENA"/>
    <x v="2026"/>
    <n v="3980"/>
    <n v="25935"/>
    <n v="25935"/>
    <n v="0"/>
    <x v="0"/>
    <x v="1"/>
    <n v="1"/>
    <x v="3"/>
  </r>
  <r>
    <n v="3894"/>
    <s v="GENERAL PATIENT"/>
    <d v="2022-10-14T00:00:00"/>
    <x v="1"/>
    <d v="2022-10-16T00:00:00"/>
    <d v="2022-10-16T00:00:00"/>
    <n v="22027334"/>
    <n v="2236057"/>
    <n v="10013543075"/>
    <s v="GURLEEN KAUR"/>
    <x v="2027"/>
    <n v="2383"/>
    <n v="15585"/>
    <n v="15585"/>
    <n v="0"/>
    <x v="0"/>
    <x v="1"/>
    <n v="1"/>
    <x v="1"/>
  </r>
  <r>
    <n v="3895"/>
    <s v="MEDI ASSIST"/>
    <d v="2022-10-03T00:00:00"/>
    <x v="1"/>
    <d v="2022-10-04T00:00:00"/>
    <d v="2022-10-04T00:00:00"/>
    <n v="22025470"/>
    <n v="2234340"/>
    <n v="1001796550"/>
    <s v="LILA RAM AGGARWAL"/>
    <x v="2028"/>
    <n v="11286"/>
    <n v="84739"/>
    <n v="3119"/>
    <n v="81620"/>
    <x v="1"/>
    <x v="4"/>
    <n v="3.6807137209549319E-2"/>
    <x v="4"/>
  </r>
  <r>
    <n v="3896"/>
    <s v="Staff DEPENDENT"/>
    <d v="2022-10-08T00:00:00"/>
    <x v="1"/>
    <d v="2022-10-10T00:00:00"/>
    <d v="2022-10-10T00:00:00"/>
    <n v="22026383"/>
    <n v="2235152"/>
    <n v="10013274948"/>
    <s v="KIRAN"/>
    <x v="2029"/>
    <n v="66422"/>
    <n v="0"/>
    <n v="0"/>
    <n v="0"/>
    <x v="0"/>
    <x v="1"/>
    <e v="#DIV/0!"/>
    <x v="1"/>
  </r>
  <r>
    <n v="3897"/>
    <s v="GENERAL PATIENT"/>
    <d v="2022-10-09T00:00:00"/>
    <x v="1"/>
    <d v="2022-10-12T00:00:00"/>
    <d v="2022-10-12T00:00:00"/>
    <n v="22026792"/>
    <n v="2235284"/>
    <n v="10013541787"/>
    <s v="SATVINDER KAUR"/>
    <x v="2030"/>
    <n v="123843"/>
    <n v="0"/>
    <n v="0"/>
    <n v="0"/>
    <x v="0"/>
    <x v="9"/>
    <e v="#DIV/0!"/>
    <x v="5"/>
  </r>
  <r>
    <n v="3898"/>
    <s v="GENERAL PATIENT"/>
    <d v="2022-10-18T00:00:00"/>
    <x v="1"/>
    <d v="2022-10-21T00:00:00"/>
    <d v="2022-10-21T00:00:00"/>
    <n v="22028089"/>
    <n v="2236517"/>
    <n v="1001803147"/>
    <s v="PRAVEEN"/>
    <x v="2031"/>
    <n v="124387"/>
    <n v="0"/>
    <n v="0"/>
    <n v="0"/>
    <x v="0"/>
    <x v="9"/>
    <e v="#DIV/0!"/>
    <x v="16"/>
  </r>
  <r>
    <n v="3899"/>
    <s v="GENERAL PATIENT"/>
    <d v="2022-10-05T00:00:00"/>
    <x v="1"/>
    <d v="2022-10-05T00:00:00"/>
    <d v="2022-10-05T00:00:00"/>
    <n v="22025639"/>
    <n v="2234676"/>
    <n v="1001575947"/>
    <s v="MANISH RAJPUT"/>
    <x v="73"/>
    <n v="310"/>
    <n v="2534"/>
    <n v="2534"/>
    <n v="0"/>
    <x v="0"/>
    <x v="6"/>
    <n v="1"/>
    <x v="13"/>
  </r>
  <r>
    <n v="3900"/>
    <s v="GENERAL PATIENT"/>
    <d v="2022-10-05T00:00:00"/>
    <x v="1"/>
    <d v="2022-10-05T00:00:00"/>
    <d v="2022-10-05T00:00:00"/>
    <n v="22025650"/>
    <n v="2234689"/>
    <n v="1000891450"/>
    <s v="MANOJ KUMAR SINHA"/>
    <x v="59"/>
    <n v="1503"/>
    <n v="2016"/>
    <n v="2016"/>
    <n v="0"/>
    <x v="0"/>
    <x v="6"/>
    <n v="1"/>
    <x v="13"/>
  </r>
  <r>
    <n v="3901"/>
    <s v="CGHS"/>
    <d v="2022-10-05T00:00:00"/>
    <x v="1"/>
    <d v="2022-10-05T00:00:00"/>
    <d v="2022-10-05T00:00:00"/>
    <n v="22025640"/>
    <n v="2234677"/>
    <n v="10013401198"/>
    <s v="RAM KUMAR"/>
    <x v="43"/>
    <n v="0"/>
    <n v="1610"/>
    <n v="1610"/>
    <n v="0"/>
    <x v="0"/>
    <x v="6"/>
    <n v="1"/>
    <x v="13"/>
  </r>
  <r>
    <n v="3902"/>
    <s v=" CGHS Cash"/>
    <d v="2022-10-26T00:00:00"/>
    <x v="1"/>
    <d v="2022-10-26T00:00:00"/>
    <d v="2022-10-26T00:00:00"/>
    <n v="22028645"/>
    <n v="2237516"/>
    <n v="1001789044"/>
    <s v="JAGDISH PARCHA"/>
    <x v="137"/>
    <n v="0"/>
    <n v="2560"/>
    <n v="2560"/>
    <n v="0"/>
    <x v="0"/>
    <x v="6"/>
    <n v="1"/>
    <x v="13"/>
  </r>
  <r>
    <n v="3903"/>
    <s v=" CGHS Cash"/>
    <d v="2022-10-26T00:00:00"/>
    <x v="1"/>
    <d v="2022-10-26T00:00:00"/>
    <d v="2022-10-26T00:00:00"/>
    <n v="22028679"/>
    <n v="2237545"/>
    <n v="1001758739"/>
    <s v="HEMLATA"/>
    <x v="137"/>
    <n v="0"/>
    <n v="2560"/>
    <n v="2560"/>
    <n v="0"/>
    <x v="0"/>
    <x v="6"/>
    <n v="1"/>
    <x v="13"/>
  </r>
  <r>
    <n v="3904"/>
    <s v="RAKSHA (TPA)"/>
    <d v="2022-10-19T00:00:00"/>
    <x v="1"/>
    <d v="2022-10-27T00:00:00"/>
    <d v="2022-10-27T00:00:00"/>
    <n v="22028737"/>
    <n v="2236570"/>
    <n v="10013472131"/>
    <s v="ATUL GOEL"/>
    <x v="2032"/>
    <n v="31004"/>
    <n v="279967"/>
    <n v="5318"/>
    <n v="274649"/>
    <x v="1"/>
    <x v="2"/>
    <n v="1.8995095850582389E-2"/>
    <x v="0"/>
  </r>
  <r>
    <n v="3905"/>
    <s v="CGHS"/>
    <d v="2022-10-26T00:00:00"/>
    <x v="1"/>
    <d v="2022-10-26T00:00:00"/>
    <d v="2022-10-26T00:00:00"/>
    <n v="22028582"/>
    <n v="2237439"/>
    <n v="10013540183"/>
    <s v="TARUN HURIA"/>
    <x v="43"/>
    <n v="0"/>
    <n v="1610"/>
    <n v="1610"/>
    <n v="0"/>
    <x v="0"/>
    <x v="6"/>
    <n v="1"/>
    <x v="13"/>
  </r>
  <r>
    <n v="3906"/>
    <s v="GOVT. OF NCT OF DELHI"/>
    <d v="2022-10-20T00:00:00"/>
    <x v="1"/>
    <d v="2022-10-20T00:00:00"/>
    <d v="2022-10-20T00:00:00"/>
    <n v="22027819"/>
    <n v="2236742"/>
    <n v="10013269857"/>
    <s v="JAI BHAGWAN"/>
    <x v="43"/>
    <n v="0"/>
    <n v="1610"/>
    <n v="1610"/>
    <n v="0"/>
    <x v="0"/>
    <x v="6"/>
    <n v="1"/>
    <x v="13"/>
  </r>
  <r>
    <n v="3907"/>
    <s v=" CGHS Cash"/>
    <d v="2022-10-18T00:00:00"/>
    <x v="1"/>
    <d v="2022-10-18T00:00:00"/>
    <d v="2022-10-18T00:00:00"/>
    <n v="22027591"/>
    <n v="2236493"/>
    <n v="1001735831"/>
    <s v="MOHAN KUMARI BHATIA"/>
    <x v="137"/>
    <n v="0"/>
    <n v="2560"/>
    <n v="2560"/>
    <n v="0"/>
    <x v="0"/>
    <x v="6"/>
    <n v="1"/>
    <x v="13"/>
  </r>
  <r>
    <n v="3908"/>
    <s v=" CGHS Cash"/>
    <d v="2022-10-22T00:00:00"/>
    <x v="1"/>
    <d v="2022-10-22T00:00:00"/>
    <d v="2022-10-22T00:00:00"/>
    <n v="22028214"/>
    <n v="2237041"/>
    <n v="1001797549"/>
    <s v="ASHOK KUMAR"/>
    <x v="43"/>
    <n v="0"/>
    <n v="1610"/>
    <n v="1610"/>
    <n v="0"/>
    <x v="0"/>
    <x v="6"/>
    <n v="1"/>
    <x v="13"/>
  </r>
  <r>
    <n v="3909"/>
    <s v=" DGEHS (CREDIT)"/>
    <d v="2022-10-16T00:00:00"/>
    <x v="1"/>
    <d v="2022-10-22T00:00:00"/>
    <d v="2022-10-22T00:00:00"/>
    <n v="22028160"/>
    <n v="2236216"/>
    <n v="1001767367"/>
    <s v="SANIYA"/>
    <x v="2033"/>
    <n v="0"/>
    <n v="22699"/>
    <n v="600"/>
    <n v="22099"/>
    <x v="1"/>
    <x v="1"/>
    <n v="2.6432882505837262E-2"/>
    <x v="0"/>
  </r>
  <r>
    <n v="3910"/>
    <s v="HARAYANA GOVT."/>
    <d v="2022-10-26T00:00:00"/>
    <x v="1"/>
    <d v="2022-10-29T00:00:00"/>
    <d v="2022-10-29T00:00:00"/>
    <n v="22029038"/>
    <n v="2237525"/>
    <n v="1000976448"/>
    <s v="HARKAUR"/>
    <x v="2034"/>
    <n v="0"/>
    <n v="101152"/>
    <n v="101152"/>
    <n v="0"/>
    <x v="0"/>
    <x v="1"/>
    <n v="1"/>
    <x v="16"/>
  </r>
  <r>
    <n v="3911"/>
    <s v="GENERAL PATIENT"/>
    <d v="2022-10-06T00:00:00"/>
    <x v="1"/>
    <d v="2022-10-08T00:00:00"/>
    <d v="2022-10-08T00:00:00"/>
    <n v="22026113"/>
    <n v="2234905"/>
    <n v="10013541679"/>
    <s v="SANYA BANSAL"/>
    <x v="2035"/>
    <n v="5911"/>
    <n v="38453"/>
    <n v="38453"/>
    <n v="0"/>
    <x v="0"/>
    <x v="2"/>
    <n v="1"/>
    <x v="0"/>
  </r>
  <r>
    <n v="3912"/>
    <s v="GENERAL PATIENT"/>
    <d v="2022-10-18T00:00:00"/>
    <x v="1"/>
    <d v="2022-10-18T00:00:00"/>
    <d v="2022-10-18T00:00:00"/>
    <n v="22027640"/>
    <n v="2236549"/>
    <n v="1001327108"/>
    <s v="POOJA"/>
    <x v="41"/>
    <n v="2794"/>
    <n v="0"/>
    <n v="0"/>
    <n v="0"/>
    <x v="0"/>
    <x v="9"/>
    <e v="#DIV/0!"/>
    <x v="13"/>
  </r>
  <r>
    <n v="3913"/>
    <s v="STAR HEALTH CARE  (CREDIT)"/>
    <d v="2022-09-26T00:00:00"/>
    <x v="0"/>
    <d v="2022-10-04T00:00:00"/>
    <d v="2022-10-04T00:00:00"/>
    <n v="22025524"/>
    <n v="2233466"/>
    <n v="1000996327"/>
    <s v="PUSHPA DEVI"/>
    <x v="2036"/>
    <n v="157"/>
    <n v="352795"/>
    <n v="1500"/>
    <n v="351295"/>
    <x v="1"/>
    <x v="1"/>
    <n v="4.2517609376550121E-3"/>
    <x v="4"/>
  </r>
  <r>
    <n v="3914"/>
    <s v="FHPL-MAX BUPA"/>
    <d v="2022-10-03T00:00:00"/>
    <x v="1"/>
    <d v="2022-10-06T00:00:00"/>
    <d v="2022-10-06T00:00:00"/>
    <n v="22025829"/>
    <n v="2234380"/>
    <n v="1001802141"/>
    <s v="POONAM CHHABRA"/>
    <x v="2037"/>
    <n v="0"/>
    <n v="104369"/>
    <n v="34369"/>
    <n v="70000"/>
    <x v="1"/>
    <x v="0"/>
    <n v="0.32930276231448036"/>
    <x v="1"/>
  </r>
  <r>
    <n v="3915"/>
    <s v="GENERAL PATIENT"/>
    <d v="2022-10-08T00:00:00"/>
    <x v="1"/>
    <d v="2022-10-08T00:00:00"/>
    <d v="2022-10-08T00:00:00"/>
    <n v="22026202"/>
    <n v="2235205"/>
    <n v="10013518452"/>
    <s v="RAJESH WADHERA"/>
    <x v="45"/>
    <n v="413"/>
    <n v="4577"/>
    <n v="4577"/>
    <n v="0"/>
    <x v="0"/>
    <x v="6"/>
    <n v="1"/>
    <x v="13"/>
  </r>
  <r>
    <n v="3916"/>
    <s v="GENERAL PATIENT"/>
    <d v="2022-10-07T00:00:00"/>
    <x v="1"/>
    <d v="2022-10-07T00:00:00"/>
    <d v="2022-10-07T00:00:00"/>
    <n v="22025986"/>
    <n v="2235025"/>
    <n v="1000975940"/>
    <s v="PROMILA KANSAL"/>
    <x v="45"/>
    <n v="419"/>
    <n v="4571"/>
    <n v="4571"/>
    <n v="0"/>
    <x v="0"/>
    <x v="6"/>
    <n v="1"/>
    <x v="13"/>
  </r>
  <r>
    <n v="3917"/>
    <s v="CGHS ( CREDIT)"/>
    <d v="2022-10-20T00:00:00"/>
    <x v="1"/>
    <d v="2022-10-22T00:00:00"/>
    <d v="2022-10-22T00:00:00"/>
    <n v="22028161"/>
    <n v="2236718"/>
    <n v="1001135777"/>
    <s v="KAMLA DEVI"/>
    <x v="2038"/>
    <n v="0"/>
    <n v="42712"/>
    <n v="689"/>
    <n v="42023"/>
    <x v="1"/>
    <x v="0"/>
    <n v="1.6131297995879378E-2"/>
    <x v="4"/>
  </r>
  <r>
    <n v="3918"/>
    <s v="Max Bhupa Health Insurance Co Ltd."/>
    <d v="2022-10-05T00:00:00"/>
    <x v="1"/>
    <d v="2022-10-11T00:00:00"/>
    <d v="2022-10-11T00:00:00"/>
    <n v="22026504"/>
    <n v="2234713"/>
    <n v="1001753468"/>
    <s v="SUMAN DEVI"/>
    <x v="2039"/>
    <n v="23893"/>
    <n v="88429"/>
    <n v="3821"/>
    <n v="84608"/>
    <x v="1"/>
    <x v="2"/>
    <n v="4.32098067376087E-2"/>
    <x v="0"/>
  </r>
  <r>
    <n v="3919"/>
    <s v=" CGHS Cash"/>
    <d v="2022-10-12T00:00:00"/>
    <x v="1"/>
    <d v="2022-10-12T00:00:00"/>
    <d v="2022-10-12T00:00:00"/>
    <n v="22026797"/>
    <n v="2235748"/>
    <n v="1001758739"/>
    <s v="HEMLATA"/>
    <x v="137"/>
    <n v="0"/>
    <n v="2560"/>
    <n v="2560"/>
    <n v="0"/>
    <x v="0"/>
    <x v="6"/>
    <n v="1"/>
    <x v="13"/>
  </r>
  <r>
    <n v="3920"/>
    <s v="GENERAL PATIENT"/>
    <d v="2022-10-31T00:00:00"/>
    <x v="1"/>
    <d v="2022-10-31T00:00:00"/>
    <d v="2022-10-31T00:00:00"/>
    <n v="22029265"/>
    <n v="2238147"/>
    <n v="10013484177"/>
    <s v="R.S DUBEY"/>
    <x v="73"/>
    <n v="286"/>
    <n v="2558"/>
    <n v="2558"/>
    <n v="0"/>
    <x v="0"/>
    <x v="6"/>
    <n v="1"/>
    <x v="13"/>
  </r>
  <r>
    <n v="3921"/>
    <s v="DDA"/>
    <d v="2022-10-31T00:00:00"/>
    <x v="1"/>
    <d v="2022-10-31T00:00:00"/>
    <d v="2022-10-31T00:00:00"/>
    <n v="22029260"/>
    <n v="2238148"/>
    <n v="10013524248"/>
    <s v="KRISHNA DEVI"/>
    <x v="43"/>
    <n v="0"/>
    <n v="1610"/>
    <n v="1610"/>
    <n v="0"/>
    <x v="0"/>
    <x v="6"/>
    <n v="1"/>
    <x v="13"/>
  </r>
  <r>
    <n v="3922"/>
    <s v="GENERAL PATIENT"/>
    <d v="2022-10-20T00:00:00"/>
    <x v="1"/>
    <d v="2022-10-21T00:00:00"/>
    <d v="2022-10-21T00:00:00"/>
    <n v="22027979"/>
    <n v="2236755"/>
    <n v="1001805387"/>
    <s v="VISHNU KUMAR"/>
    <x v="2040"/>
    <n v="9680"/>
    <n v="212037"/>
    <n v="212037"/>
    <n v="0"/>
    <x v="0"/>
    <x v="1"/>
    <n v="1"/>
    <x v="4"/>
  </r>
  <r>
    <n v="3923"/>
    <s v="GENERAL PATIENT"/>
    <d v="2022-10-28T00:00:00"/>
    <x v="1"/>
    <d v="2022-10-28T00:00:00"/>
    <d v="2022-10-28T00:00:00"/>
    <n v="22028921"/>
    <n v="2237805"/>
    <n v="1001615161"/>
    <s v="ARCHNA"/>
    <x v="64"/>
    <n v="0"/>
    <n v="3630"/>
    <n v="3630"/>
    <n v="0"/>
    <x v="0"/>
    <x v="6"/>
    <n v="1"/>
    <x v="13"/>
  </r>
  <r>
    <n v="3924"/>
    <s v="GENERAL PATIENT (MAH)"/>
    <d v="2022-10-20T00:00:00"/>
    <x v="1"/>
    <d v="2022-10-20T00:00:00"/>
    <d v="2022-10-20T00:00:00"/>
    <n v="22027947"/>
    <n v="2236815"/>
    <n v="1001087967"/>
    <s v="SUKH NAND KUMAR JAIN"/>
    <x v="112"/>
    <n v="3488"/>
    <n v="0"/>
    <n v="0"/>
    <n v="0"/>
    <x v="0"/>
    <x v="6"/>
    <e v="#DIV/0!"/>
    <x v="13"/>
  </r>
  <r>
    <n v="3925"/>
    <s v="CGHS ( CREDIT)"/>
    <d v="2022-10-26T00:00:00"/>
    <x v="1"/>
    <d v="2022-10-27T00:00:00"/>
    <d v="2022-10-27T00:00:00"/>
    <n v="22028761"/>
    <n v="2237481"/>
    <n v="10013536810"/>
    <s v="HARBANS SINGH"/>
    <x v="1445"/>
    <n v="0"/>
    <n v="202298"/>
    <n v="24420"/>
    <n v="177878"/>
    <x v="1"/>
    <x v="2"/>
    <n v="0.12071300754332717"/>
    <x v="4"/>
  </r>
  <r>
    <n v="3926"/>
    <s v="HARAYANA GOVT."/>
    <d v="2022-10-18T00:00:00"/>
    <x v="1"/>
    <d v="2022-10-18T00:00:00"/>
    <d v="2022-10-18T00:00:00"/>
    <n v="22027521"/>
    <n v="2236436"/>
    <n v="10013461113"/>
    <s v="DHARMVEER SINGH"/>
    <x v="96"/>
    <n v="0"/>
    <n v="2064"/>
    <n v="2064"/>
    <n v="0"/>
    <x v="0"/>
    <x v="6"/>
    <n v="1"/>
    <x v="13"/>
  </r>
  <r>
    <n v="3927"/>
    <s v="GENERAL PATIENT"/>
    <d v="2022-10-14T00:00:00"/>
    <x v="1"/>
    <d v="2022-10-14T00:00:00"/>
    <d v="2022-10-14T00:00:00"/>
    <n v="22026962"/>
    <n v="2235910"/>
    <n v="1000891305"/>
    <s v="MRIDULA SUNEJA"/>
    <x v="73"/>
    <n v="310"/>
    <n v="2534"/>
    <n v="2534"/>
    <n v="0"/>
    <x v="0"/>
    <x v="6"/>
    <n v="1"/>
    <x v="13"/>
  </r>
  <r>
    <n v="3928"/>
    <s v="GENERAL PATIENT"/>
    <d v="2022-10-28T00:00:00"/>
    <x v="1"/>
    <d v="2022-10-28T00:00:00"/>
    <d v="2022-10-28T00:00:00"/>
    <n v="22028845"/>
    <n v="2237752"/>
    <n v="1000891305"/>
    <s v="MRIDULA SUNEJA"/>
    <x v="73"/>
    <n v="287"/>
    <n v="2557"/>
    <n v="2557"/>
    <n v="0"/>
    <x v="0"/>
    <x v="6"/>
    <n v="1"/>
    <x v="13"/>
  </r>
  <r>
    <n v="3929"/>
    <s v="GENERAL PATIENT"/>
    <d v="2022-10-23T00:00:00"/>
    <x v="1"/>
    <d v="2022-10-23T00:00:00"/>
    <d v="2022-10-23T00:00:00"/>
    <n v="22028384"/>
    <n v="2237159"/>
    <n v="1000891310"/>
    <s v="MUKESH"/>
    <x v="447"/>
    <n v="3319"/>
    <n v="0"/>
    <n v="0"/>
    <n v="0"/>
    <x v="0"/>
    <x v="9"/>
    <e v="#DIV/0!"/>
    <x v="13"/>
  </r>
  <r>
    <n v="3930"/>
    <s v="CGHS ( CREDIT)"/>
    <d v="2022-09-28T00:00:00"/>
    <x v="0"/>
    <d v="2022-10-02T00:00:00"/>
    <d v="2022-10-02T00:00:00"/>
    <n v="22025315"/>
    <n v="2233850"/>
    <n v="1001235202"/>
    <s v="LEELA WATI"/>
    <x v="2041"/>
    <n v="0"/>
    <n v="44321"/>
    <n v="2534"/>
    <n v="41787"/>
    <x v="1"/>
    <x v="1"/>
    <n v="5.717380023013921E-2"/>
    <x v="0"/>
  </r>
  <r>
    <n v="3931"/>
    <s v=" HDFC ERGO General Insurance Company Limited"/>
    <d v="2022-09-28T00:00:00"/>
    <x v="0"/>
    <d v="2022-10-02T00:00:00"/>
    <d v="2022-10-02T00:00:00"/>
    <n v="22025319"/>
    <n v="2233745"/>
    <n v="1001801203"/>
    <s v="LAKSHYA PRATAP SINGH"/>
    <x v="2042"/>
    <n v="1834"/>
    <n v="32324"/>
    <n v="1730"/>
    <n v="30594"/>
    <x v="1"/>
    <x v="1"/>
    <n v="5.3520603885657714E-2"/>
    <x v="3"/>
  </r>
  <r>
    <n v="3932"/>
    <s v="Delhi Arogya kosh"/>
    <d v="2022-10-28T00:00:00"/>
    <x v="1"/>
    <d v="2022-10-28T00:00:00"/>
    <d v="2022-10-28T00:00:00"/>
    <n v="22028858"/>
    <n v="2237769"/>
    <n v="1001033406"/>
    <s v="SURENDER GOEL"/>
    <x v="243"/>
    <n v="0"/>
    <n v="1274"/>
    <n v="0"/>
    <n v="1274"/>
    <x v="1"/>
    <x v="6"/>
    <n v="0"/>
    <x v="13"/>
  </r>
  <r>
    <n v="3933"/>
    <s v="Delhi Arogya kosh"/>
    <d v="2022-10-06T00:00:00"/>
    <x v="1"/>
    <d v="2022-10-06T00:00:00"/>
    <d v="2022-10-06T00:00:00"/>
    <n v="22025862"/>
    <n v="2234858"/>
    <n v="1000947753"/>
    <s v="DHARAMPAL GUPTA"/>
    <x v="243"/>
    <n v="0"/>
    <n v="1274"/>
    <n v="0"/>
    <n v="1274"/>
    <x v="1"/>
    <x v="6"/>
    <n v="0"/>
    <x v="13"/>
  </r>
  <r>
    <n v="3934"/>
    <s v="HDFC ERGO General Insurance Co. Ltd."/>
    <d v="2022-10-21T00:00:00"/>
    <x v="1"/>
    <d v="2022-10-23T00:00:00"/>
    <d v="2022-10-23T00:00:00"/>
    <n v="22028402"/>
    <n v="2236930"/>
    <n v="1001186868"/>
    <s v="MANISH KUMAR GARG"/>
    <x v="2043"/>
    <n v="3678"/>
    <n v="53627"/>
    <n v="0"/>
    <n v="53627"/>
    <x v="1"/>
    <x v="2"/>
    <n v="0"/>
    <x v="0"/>
  </r>
  <r>
    <n v="3935"/>
    <s v=" CGHS CREDIT"/>
    <d v="2022-10-03T00:00:00"/>
    <x v="1"/>
    <d v="2022-10-03T00:00:00"/>
    <d v="2022-10-03T00:00:00"/>
    <n v="22025428"/>
    <n v="2234389"/>
    <n v="1001801530"/>
    <s v="UMA BISHT"/>
    <x v="43"/>
    <n v="0"/>
    <n v="1610"/>
    <n v="0"/>
    <n v="1610"/>
    <x v="1"/>
    <x v="6"/>
    <n v="0"/>
    <x v="13"/>
  </r>
  <r>
    <n v="3936"/>
    <s v="GENERAL PATIENT"/>
    <d v="2022-09-30T00:00:00"/>
    <x v="0"/>
    <d v="2022-10-05T00:00:00"/>
    <d v="2022-10-05T00:00:00"/>
    <n v="22025759"/>
    <n v="2234113"/>
    <n v="10013540989"/>
    <s v="KAMLESH"/>
    <x v="2044"/>
    <n v="20650"/>
    <n v="40383"/>
    <n v="0"/>
    <n v="40383"/>
    <x v="1"/>
    <x v="7"/>
    <n v="0"/>
    <x v="0"/>
  </r>
  <r>
    <n v="3937"/>
    <s v="Safeway Mediclaim Services Pvt. Ltd."/>
    <d v="2022-10-11T00:00:00"/>
    <x v="1"/>
    <d v="2022-10-11T00:00:00"/>
    <d v="2022-10-11T00:00:00"/>
    <n v="22026576"/>
    <n v="2235501"/>
    <n v="1001020879"/>
    <s v="KUSUM LATA"/>
    <x v="75"/>
    <n v="0"/>
    <n v="2200"/>
    <n v="0"/>
    <n v="2200"/>
    <x v="1"/>
    <x v="12"/>
    <n v="0"/>
    <x v="13"/>
  </r>
  <r>
    <n v="3938"/>
    <s v="Delhi Arogya kosh"/>
    <d v="2022-10-07T00:00:00"/>
    <x v="1"/>
    <d v="2022-10-07T00:00:00"/>
    <d v="2022-10-07T00:00:00"/>
    <n v="22026038"/>
    <n v="2235059"/>
    <n v="10013520283"/>
    <s v="DEVI RANI"/>
    <x v="243"/>
    <n v="0"/>
    <n v="1274"/>
    <n v="0"/>
    <n v="1274"/>
    <x v="1"/>
    <x v="6"/>
    <n v="0"/>
    <x v="13"/>
  </r>
  <r>
    <n v="3939"/>
    <s v="Health Insurance TPA of India Ltd."/>
    <d v="2022-10-23T00:00:00"/>
    <x v="1"/>
    <d v="2022-10-23T00:00:00"/>
    <d v="2022-10-23T00:00:00"/>
    <n v="22028373"/>
    <n v="2237161"/>
    <n v="1001199995"/>
    <s v="JITENDER NARULA"/>
    <x v="75"/>
    <n v="0"/>
    <n v="2200"/>
    <n v="0"/>
    <n v="2200"/>
    <x v="1"/>
    <x v="12"/>
    <n v="0"/>
    <x v="13"/>
  </r>
  <r>
    <n v="3940"/>
    <s v=" CGHS CREDIT"/>
    <d v="2022-10-10T00:00:00"/>
    <x v="1"/>
    <d v="2022-10-10T00:00:00"/>
    <d v="2022-10-10T00:00:00"/>
    <n v="22026431"/>
    <n v="2235400"/>
    <n v="1001777526"/>
    <s v="PRADEEP KUMAR MALIK"/>
    <x v="43"/>
    <n v="0"/>
    <n v="1610"/>
    <n v="0"/>
    <n v="1610"/>
    <x v="1"/>
    <x v="6"/>
    <n v="0"/>
    <x v="13"/>
  </r>
  <r>
    <n v="3941"/>
    <s v=" DAK DIALYSIS"/>
    <d v="2022-10-11T00:00:00"/>
    <x v="1"/>
    <d v="2022-10-11T00:00:00"/>
    <d v="2022-10-11T00:00:00"/>
    <n v="22026629"/>
    <n v="2235581"/>
    <n v="1001686545"/>
    <s v="RAKESH KUMAR"/>
    <x v="243"/>
    <n v="0"/>
    <n v="1274"/>
    <n v="0"/>
    <n v="1274"/>
    <x v="1"/>
    <x v="6"/>
    <n v="0"/>
    <x v="13"/>
  </r>
  <r>
    <n v="3942"/>
    <s v="Delhi Arogya kosh"/>
    <d v="2022-10-05T00:00:00"/>
    <x v="1"/>
    <d v="2022-10-05T00:00:00"/>
    <d v="2022-10-05T00:00:00"/>
    <n v="22025777"/>
    <n v="2234761"/>
    <n v="10013506167"/>
    <s v="KETAN GOEL"/>
    <x v="243"/>
    <n v="0"/>
    <n v="1274"/>
    <n v="0"/>
    <n v="1274"/>
    <x v="1"/>
    <x v="6"/>
    <n v="0"/>
    <x v="13"/>
  </r>
  <r>
    <n v="3943"/>
    <s v="Health Insurance TPA of India Ltd."/>
    <d v="2022-10-23T00:00:00"/>
    <x v="1"/>
    <d v="2022-10-23T00:00:00"/>
    <d v="2022-10-23T00:00:00"/>
    <n v="22028333"/>
    <n v="2237131"/>
    <n v="10013415573"/>
    <s v="SANJEEV KUKERJA"/>
    <x v="75"/>
    <n v="0"/>
    <n v="2200"/>
    <n v="0"/>
    <n v="2200"/>
    <x v="1"/>
    <x v="12"/>
    <n v="0"/>
    <x v="13"/>
  </r>
  <r>
    <n v="3944"/>
    <s v="Delhi Arogya kosh"/>
    <d v="2022-10-28T00:00:00"/>
    <x v="1"/>
    <d v="2022-10-28T00:00:00"/>
    <d v="2022-10-28T00:00:00"/>
    <n v="22028867"/>
    <n v="2237765"/>
    <n v="1001307852"/>
    <s v="MEERA DEVI"/>
    <x v="243"/>
    <n v="0"/>
    <n v="1274"/>
    <n v="0"/>
    <n v="1274"/>
    <x v="1"/>
    <x v="6"/>
    <n v="0"/>
    <x v="13"/>
  </r>
  <r>
    <n v="3945"/>
    <s v="Delhi Arogya kosh"/>
    <d v="2022-10-07T00:00:00"/>
    <x v="1"/>
    <d v="2022-10-07T00:00:00"/>
    <d v="2022-10-07T00:00:00"/>
    <n v="22026010"/>
    <n v="2235040"/>
    <n v="10013457170"/>
    <s v="MANOJ                   II"/>
    <x v="243"/>
    <n v="0"/>
    <n v="1274"/>
    <n v="0"/>
    <n v="1274"/>
    <x v="1"/>
    <x v="6"/>
    <n v="0"/>
    <x v="13"/>
  </r>
  <r>
    <n v="3946"/>
    <s v="Delhi Arogya kosh"/>
    <d v="2022-10-04T00:00:00"/>
    <x v="1"/>
    <d v="2022-10-04T00:00:00"/>
    <d v="2022-10-04T00:00:00"/>
    <n v="22025620"/>
    <n v="2234619"/>
    <n v="10013371134"/>
    <s v="RADHA GOEL"/>
    <x v="243"/>
    <n v="0"/>
    <n v="1274"/>
    <n v="0"/>
    <n v="1274"/>
    <x v="1"/>
    <x v="6"/>
    <n v="0"/>
    <x v="13"/>
  </r>
  <r>
    <n v="3947"/>
    <s v=" DAK DIALYSIS"/>
    <d v="2022-10-14T00:00:00"/>
    <x v="1"/>
    <d v="2022-10-14T00:00:00"/>
    <d v="2022-10-14T00:00:00"/>
    <n v="22027085"/>
    <n v="2235998"/>
    <n v="1001767553"/>
    <s v="VIJAY SINGH NEGI"/>
    <x v="243"/>
    <n v="0"/>
    <n v="1274"/>
    <n v="0"/>
    <n v="1274"/>
    <x v="1"/>
    <x v="6"/>
    <n v="0"/>
    <x v="13"/>
  </r>
  <r>
    <n v="3948"/>
    <s v="Safeway Mediclaim Services Pvt. Ltd."/>
    <d v="2022-10-10T00:00:00"/>
    <x v="1"/>
    <d v="2022-10-10T00:00:00"/>
    <d v="2022-10-10T00:00:00"/>
    <n v="22026406"/>
    <n v="2235378"/>
    <n v="1001684515"/>
    <s v="SHIV NARAYAN BANSAL"/>
    <x v="75"/>
    <n v="0"/>
    <n v="2200"/>
    <n v="0"/>
    <n v="2200"/>
    <x v="1"/>
    <x v="12"/>
    <n v="0"/>
    <x v="13"/>
  </r>
  <r>
    <n v="3949"/>
    <s v="Delhi Arogya kosh"/>
    <d v="2022-10-05T00:00:00"/>
    <x v="1"/>
    <d v="2022-10-05T00:00:00"/>
    <d v="2022-10-05T00:00:00"/>
    <n v="22025778"/>
    <n v="2234762"/>
    <n v="10013387247"/>
    <s v="JANAKI PRASAD"/>
    <x v="243"/>
    <n v="0"/>
    <n v="1274"/>
    <n v="0"/>
    <n v="1274"/>
    <x v="1"/>
    <x v="6"/>
    <n v="0"/>
    <x v="13"/>
  </r>
  <r>
    <n v="3950"/>
    <s v="CGHS ( CREDIT)"/>
    <d v="2022-10-12T00:00:00"/>
    <x v="1"/>
    <d v="2022-10-12T00:00:00"/>
    <d v="2022-10-12T00:00:00"/>
    <n v="22026732"/>
    <n v="2235690"/>
    <n v="1001300172"/>
    <s v="SWARN LATA KINDRA"/>
    <x v="43"/>
    <n v="0"/>
    <n v="1610"/>
    <n v="0"/>
    <n v="1610"/>
    <x v="1"/>
    <x v="6"/>
    <n v="0"/>
    <x v="13"/>
  </r>
  <r>
    <n v="3951"/>
    <s v="Delhi Arogya kosh"/>
    <d v="2022-10-06T00:00:00"/>
    <x v="1"/>
    <d v="2022-10-06T00:00:00"/>
    <d v="2022-10-06T00:00:00"/>
    <n v="22025914"/>
    <n v="2234945"/>
    <n v="10013292990"/>
    <s v="SONU YADAV"/>
    <x v="243"/>
    <n v="0"/>
    <n v="1274"/>
    <n v="0"/>
    <n v="1274"/>
    <x v="1"/>
    <x v="6"/>
    <n v="0"/>
    <x v="13"/>
  </r>
  <r>
    <n v="3952"/>
    <s v=" CGHS CREDIT"/>
    <d v="2022-10-28T00:00:00"/>
    <x v="1"/>
    <d v="2022-10-28T00:00:00"/>
    <d v="2022-10-28T00:00:00"/>
    <n v="22028915"/>
    <n v="2237812"/>
    <n v="1001803044"/>
    <s v="GOVIND SINGH"/>
    <x v="43"/>
    <n v="0"/>
    <n v="1610"/>
    <n v="0"/>
    <n v="1610"/>
    <x v="1"/>
    <x v="6"/>
    <n v="0"/>
    <x v="13"/>
  </r>
  <r>
    <n v="3953"/>
    <s v="Delhi Arogya kosh"/>
    <d v="2022-10-13T00:00:00"/>
    <x v="1"/>
    <d v="2022-10-13T00:00:00"/>
    <d v="2022-10-13T00:00:00"/>
    <n v="22026834"/>
    <n v="2235811"/>
    <n v="1000891036"/>
    <s v="RAKIKESH KUMAR"/>
    <x v="243"/>
    <n v="0"/>
    <n v="1274"/>
    <n v="0"/>
    <n v="1274"/>
    <x v="1"/>
    <x v="6"/>
    <n v="0"/>
    <x v="13"/>
  </r>
  <r>
    <n v="3954"/>
    <s v="HEALTH INDIA"/>
    <d v="2022-10-12T00:00:00"/>
    <x v="1"/>
    <d v="2022-10-12T00:00:00"/>
    <d v="2022-10-12T00:00:00"/>
    <n v="22026807"/>
    <n v="2235772"/>
    <n v="1001456152"/>
    <s v="VIRENDER KUMAR ATRI"/>
    <x v="75"/>
    <n v="0"/>
    <n v="2200"/>
    <n v="0"/>
    <n v="2200"/>
    <x v="1"/>
    <x v="12"/>
    <n v="0"/>
    <x v="13"/>
  </r>
  <r>
    <n v="3955"/>
    <s v=" RAKSHA TPA PVT.LTD."/>
    <d v="2022-10-31T00:00:00"/>
    <x v="1"/>
    <d v="2022-10-31T00:00:00"/>
    <d v="2022-10-31T00:00:00"/>
    <n v="22029375"/>
    <n v="2238189"/>
    <n v="1001802528"/>
    <s v="PRAMOD KUMAR"/>
    <x v="2045"/>
    <n v="254"/>
    <n v="23571"/>
    <n v="0"/>
    <n v="23571"/>
    <x v="1"/>
    <x v="5"/>
    <n v="0"/>
    <x v="5"/>
  </r>
  <r>
    <n v="3956"/>
    <s v=" DAK DIALYSIS"/>
    <d v="2022-10-11T00:00:00"/>
    <x v="1"/>
    <d v="2022-10-11T00:00:00"/>
    <d v="2022-10-11T00:00:00"/>
    <n v="22026635"/>
    <n v="2235558"/>
    <n v="1001711925"/>
    <s v="SANJAY KUMAR"/>
    <x v="243"/>
    <n v="0"/>
    <n v="1274"/>
    <n v="0"/>
    <n v="1274"/>
    <x v="1"/>
    <x v="6"/>
    <n v="0"/>
    <x v="13"/>
  </r>
  <r>
    <n v="3957"/>
    <s v="Delhi Arogya kosh"/>
    <d v="2022-10-22T00:00:00"/>
    <x v="1"/>
    <d v="2022-10-22T00:00:00"/>
    <d v="2022-10-22T00:00:00"/>
    <n v="22028294"/>
    <n v="2237090"/>
    <n v="10013528076"/>
    <s v="MANENDER DESHWAL"/>
    <x v="243"/>
    <n v="0"/>
    <n v="1274"/>
    <n v="0"/>
    <n v="1274"/>
    <x v="1"/>
    <x v="6"/>
    <n v="0"/>
    <x v="13"/>
  </r>
  <r>
    <n v="3958"/>
    <s v="Delhi Arogya kosh"/>
    <d v="2022-10-25T00:00:00"/>
    <x v="1"/>
    <d v="2022-10-25T00:00:00"/>
    <d v="2022-10-25T00:00:00"/>
    <n v="22028548"/>
    <n v="2237370"/>
    <n v="10013276269"/>
    <s v="DAYA SHANKAR"/>
    <x v="243"/>
    <n v="0"/>
    <n v="1274"/>
    <n v="0"/>
    <n v="1274"/>
    <x v="1"/>
    <x v="6"/>
    <n v="0"/>
    <x v="13"/>
  </r>
  <r>
    <n v="3959"/>
    <s v=" CGHS CREDIT"/>
    <d v="2022-10-05T00:00:00"/>
    <x v="1"/>
    <d v="2022-10-05T00:00:00"/>
    <d v="2022-10-05T00:00:00"/>
    <n v="22025766"/>
    <n v="2234765"/>
    <n v="1001777526"/>
    <s v="PRADEEP KUMAR MALIK"/>
    <x v="43"/>
    <n v="0"/>
    <n v="1610"/>
    <n v="0"/>
    <n v="1610"/>
    <x v="1"/>
    <x v="6"/>
    <n v="0"/>
    <x v="13"/>
  </r>
  <r>
    <n v="3960"/>
    <s v=" ECHS CASH"/>
    <d v="2022-09-29T00:00:00"/>
    <x v="0"/>
    <d v="2022-10-03T00:00:00"/>
    <d v="2022-10-03T00:00:00"/>
    <n v="22025418"/>
    <n v="2233898"/>
    <n v="1000845661"/>
    <s v="RAM KARAN"/>
    <x v="2046"/>
    <n v="0"/>
    <n v="29219"/>
    <n v="0"/>
    <n v="29219"/>
    <x v="1"/>
    <x v="0"/>
    <n v="0"/>
    <x v="0"/>
  </r>
  <r>
    <n v="3961"/>
    <s v="HDFC ERGO General Insurance Co. Ltd."/>
    <d v="2022-10-15T00:00:00"/>
    <x v="1"/>
    <d v="2022-10-21T00:00:00"/>
    <d v="2022-10-21T00:00:00"/>
    <n v="22028090"/>
    <n v="2236211"/>
    <n v="1001141022"/>
    <s v="PUNEET KUMAR MONGA"/>
    <x v="2047"/>
    <n v="8807"/>
    <n v="118098"/>
    <n v="0"/>
    <n v="118098"/>
    <x v="1"/>
    <x v="10"/>
    <n v="0"/>
    <x v="0"/>
  </r>
  <r>
    <n v="3962"/>
    <s v="Delhi Arogya kosh"/>
    <d v="2022-10-01T00:00:00"/>
    <x v="1"/>
    <d v="2022-10-01T00:00:00"/>
    <d v="2022-10-01T00:00:00"/>
    <n v="22025255"/>
    <n v="2234279"/>
    <n v="10013516483"/>
    <s v="CHANCHAL RANI"/>
    <x v="243"/>
    <n v="0"/>
    <n v="1274"/>
    <n v="0"/>
    <n v="1274"/>
    <x v="1"/>
    <x v="6"/>
    <n v="0"/>
    <x v="13"/>
  </r>
  <r>
    <n v="3963"/>
    <s v=" Council of Scientific and Industrial Research (CSIR)"/>
    <d v="2022-10-24T00:00:00"/>
    <x v="1"/>
    <d v="2022-10-24T00:00:00"/>
    <d v="2022-10-24T00:00:00"/>
    <n v="22028420"/>
    <n v="2237211"/>
    <n v="1001729640"/>
    <s v="BRIJ MOHAN"/>
    <x v="43"/>
    <n v="0"/>
    <n v="1610"/>
    <n v="0"/>
    <n v="1610"/>
    <x v="1"/>
    <x v="6"/>
    <n v="0"/>
    <x v="13"/>
  </r>
  <r>
    <n v="3964"/>
    <s v="Delhi Arogya kosh"/>
    <d v="2022-10-17T00:00:00"/>
    <x v="1"/>
    <d v="2022-10-17T00:00:00"/>
    <d v="2022-10-17T00:00:00"/>
    <n v="22027509"/>
    <n v="2236412"/>
    <n v="10013223537"/>
    <s v="GOVIND"/>
    <x v="243"/>
    <n v="0"/>
    <n v="1274"/>
    <n v="0"/>
    <n v="1274"/>
    <x v="1"/>
    <x v="6"/>
    <n v="0"/>
    <x v="13"/>
  </r>
  <r>
    <n v="3965"/>
    <s v=" DAK DIALYSIS"/>
    <d v="2022-10-20T00:00:00"/>
    <x v="1"/>
    <d v="2022-10-20T00:00:00"/>
    <d v="2022-10-20T00:00:00"/>
    <n v="22027815"/>
    <n v="2236731"/>
    <n v="1001712791"/>
    <s v="PAWAN SINGH"/>
    <x v="243"/>
    <n v="0"/>
    <n v="1274"/>
    <n v="0"/>
    <n v="1274"/>
    <x v="1"/>
    <x v="6"/>
    <n v="0"/>
    <x v="13"/>
  </r>
  <r>
    <n v="3966"/>
    <s v=" DAK DIALYSIS"/>
    <d v="2022-10-20T00:00:00"/>
    <x v="1"/>
    <d v="2022-10-20T00:00:00"/>
    <d v="2022-10-20T00:00:00"/>
    <n v="22027927"/>
    <n v="2236797"/>
    <n v="1001677731"/>
    <s v="HIMANSHU GOYAL"/>
    <x v="243"/>
    <n v="0"/>
    <n v="1274"/>
    <n v="0"/>
    <n v="1274"/>
    <x v="1"/>
    <x v="6"/>
    <n v="0"/>
    <x v="13"/>
  </r>
  <r>
    <n v="3967"/>
    <s v="CARE HEALTH INSURANCE LIMITED"/>
    <d v="2022-10-28T00:00:00"/>
    <x v="1"/>
    <d v="2022-10-31T00:00:00"/>
    <d v="2022-10-31T00:00:00"/>
    <n v="22029373"/>
    <n v="2237834"/>
    <n v="10013446270"/>
    <s v="RAJNI MADAN"/>
    <x v="2048"/>
    <n v="7390"/>
    <n v="103238"/>
    <n v="0"/>
    <n v="103238"/>
    <x v="1"/>
    <x v="2"/>
    <n v="0"/>
    <x v="11"/>
  </r>
  <r>
    <n v="3968"/>
    <s v=" CGHS CREDIT"/>
    <d v="2022-10-04T00:00:00"/>
    <x v="1"/>
    <d v="2022-10-04T00:00:00"/>
    <d v="2022-10-04T00:00:00"/>
    <n v="22025560"/>
    <n v="2234566"/>
    <n v="1001681903"/>
    <s v="OM PRAKASH"/>
    <x v="43"/>
    <n v="0"/>
    <n v="1610"/>
    <n v="0"/>
    <n v="1610"/>
    <x v="1"/>
    <x v="6"/>
    <n v="0"/>
    <x v="13"/>
  </r>
  <r>
    <n v="3969"/>
    <s v="CGHS ( CREDIT)"/>
    <d v="2022-10-01T00:00:00"/>
    <x v="1"/>
    <d v="2022-10-01T00:00:00"/>
    <d v="2022-10-01T00:00:00"/>
    <n v="22025226"/>
    <n v="2234219"/>
    <n v="10013539580"/>
    <s v="DAYAWATI"/>
    <x v="261"/>
    <n v="0"/>
    <n v="11903"/>
    <n v="0"/>
    <n v="11903"/>
    <x v="1"/>
    <x v="1"/>
    <n v="0"/>
    <x v="4"/>
  </r>
  <r>
    <n v="3970"/>
    <s v="Delhi Arogya kosh"/>
    <d v="2022-10-08T00:00:00"/>
    <x v="1"/>
    <d v="2022-10-08T00:00:00"/>
    <d v="2022-10-08T00:00:00"/>
    <n v="22026230"/>
    <n v="2235236"/>
    <n v="1001188488"/>
    <s v="PARVEEN"/>
    <x v="243"/>
    <n v="0"/>
    <n v="1274"/>
    <n v="0"/>
    <n v="1274"/>
    <x v="1"/>
    <x v="6"/>
    <n v="0"/>
    <x v="13"/>
  </r>
  <r>
    <n v="3971"/>
    <s v="Delhi Arogya kosh"/>
    <d v="2022-10-12T00:00:00"/>
    <x v="1"/>
    <d v="2022-10-12T00:00:00"/>
    <d v="2022-10-12T00:00:00"/>
    <n v="22026783"/>
    <n v="2235738"/>
    <n v="10013276269"/>
    <s v="DAYA SHANKAR"/>
    <x v="243"/>
    <n v="0"/>
    <n v="1274"/>
    <n v="0"/>
    <n v="1274"/>
    <x v="1"/>
    <x v="6"/>
    <n v="0"/>
    <x v="13"/>
  </r>
  <r>
    <n v="3972"/>
    <s v="HDFC ERGO General Insurance Co. Ltd."/>
    <d v="2022-10-04T00:00:00"/>
    <x v="1"/>
    <d v="2022-10-04T00:00:00"/>
    <d v="2022-10-04T00:00:00"/>
    <n v="22025483"/>
    <n v="2234517"/>
    <n v="10013477952"/>
    <s v="NEEMA GOEL"/>
    <x v="254"/>
    <n v="0"/>
    <n v="2240"/>
    <n v="0"/>
    <n v="2240"/>
    <x v="1"/>
    <x v="6"/>
    <n v="0"/>
    <x v="13"/>
  </r>
  <r>
    <n v="3973"/>
    <s v=" DAK DIALYSIS"/>
    <d v="2022-10-14T00:00:00"/>
    <x v="1"/>
    <d v="2022-10-14T00:00:00"/>
    <d v="2022-10-14T00:00:00"/>
    <n v="22026974"/>
    <n v="2235921"/>
    <n v="1001751950"/>
    <s v="GITANJALI MOHAPATRA"/>
    <x v="243"/>
    <n v="0"/>
    <n v="1274"/>
    <n v="0"/>
    <n v="1274"/>
    <x v="1"/>
    <x v="6"/>
    <n v="0"/>
    <x v="13"/>
  </r>
  <r>
    <n v="3974"/>
    <s v=" DAK DIALYSIS"/>
    <d v="2022-10-04T00:00:00"/>
    <x v="1"/>
    <d v="2022-10-04T00:00:00"/>
    <d v="2022-10-04T00:00:00"/>
    <n v="22025603"/>
    <n v="2234603"/>
    <n v="1001527101"/>
    <s v="SURENDER SHARMA"/>
    <x v="243"/>
    <n v="0"/>
    <n v="1274"/>
    <n v="0"/>
    <n v="1274"/>
    <x v="1"/>
    <x v="6"/>
    <n v="0"/>
    <x v="13"/>
  </r>
  <r>
    <n v="3975"/>
    <s v="Delhi Arogya kosh"/>
    <d v="2022-10-31T00:00:00"/>
    <x v="1"/>
    <d v="2022-10-31T00:00:00"/>
    <d v="2022-10-31T00:00:00"/>
    <n v="22029382"/>
    <n v="2238253"/>
    <n v="1000961855"/>
    <s v="SHASHI BALA"/>
    <x v="243"/>
    <n v="0"/>
    <n v="1274"/>
    <n v="0"/>
    <n v="1274"/>
    <x v="1"/>
    <x v="6"/>
    <n v="0"/>
    <x v="13"/>
  </r>
  <r>
    <n v="3976"/>
    <s v="Delhi Arogya kosh"/>
    <d v="2022-10-01T00:00:00"/>
    <x v="1"/>
    <d v="2022-10-01T00:00:00"/>
    <d v="2022-10-01T00:00:00"/>
    <n v="22025246"/>
    <n v="2234259"/>
    <n v="10013276269"/>
    <s v="DAYA SHANKAR"/>
    <x v="243"/>
    <n v="0"/>
    <n v="1274"/>
    <n v="0"/>
    <n v="1274"/>
    <x v="1"/>
    <x v="6"/>
    <n v="0"/>
    <x v="13"/>
  </r>
  <r>
    <n v="3977"/>
    <s v="Delhi Arogya kosh"/>
    <d v="2022-10-07T00:00:00"/>
    <x v="1"/>
    <d v="2022-10-07T00:00:00"/>
    <d v="2022-10-07T00:00:00"/>
    <n v="22026035"/>
    <n v="2235057"/>
    <n v="1001039513"/>
    <s v="RITU"/>
    <x v="243"/>
    <n v="0"/>
    <n v="1274"/>
    <n v="0"/>
    <n v="1274"/>
    <x v="1"/>
    <x v="6"/>
    <n v="0"/>
    <x v="13"/>
  </r>
  <r>
    <n v="3978"/>
    <s v="Safeway Mediclaim Services Pvt. Ltd."/>
    <d v="2022-10-14T00:00:00"/>
    <x v="1"/>
    <d v="2022-10-14T00:00:00"/>
    <d v="2022-10-14T00:00:00"/>
    <n v="22026969"/>
    <n v="2235916"/>
    <n v="1000992104"/>
    <s v="SARITA GOEL"/>
    <x v="75"/>
    <n v="0"/>
    <n v="2200"/>
    <n v="0"/>
    <n v="2200"/>
    <x v="1"/>
    <x v="12"/>
    <n v="0"/>
    <x v="13"/>
  </r>
  <r>
    <n v="3979"/>
    <s v=" DAK DIALYSIS"/>
    <d v="2022-10-04T00:00:00"/>
    <x v="1"/>
    <d v="2022-10-04T00:00:00"/>
    <d v="2022-10-04T00:00:00"/>
    <n v="22025600"/>
    <n v="2234600"/>
    <n v="1001686545"/>
    <s v="RAKESH KUMAR"/>
    <x v="243"/>
    <n v="0"/>
    <n v="1274"/>
    <n v="0"/>
    <n v="1274"/>
    <x v="1"/>
    <x v="6"/>
    <n v="0"/>
    <x v="13"/>
  </r>
  <r>
    <n v="3980"/>
    <s v=" CGHS CREDIT"/>
    <d v="2022-10-31T00:00:00"/>
    <x v="1"/>
    <d v="2022-10-31T00:00:00"/>
    <d v="2022-10-31T00:00:00"/>
    <n v="22029348"/>
    <n v="2238218"/>
    <n v="1001736024"/>
    <s v="RADHIKA"/>
    <x v="43"/>
    <n v="0"/>
    <n v="1610"/>
    <n v="0"/>
    <n v="1610"/>
    <x v="1"/>
    <x v="6"/>
    <n v="0"/>
    <x v="13"/>
  </r>
  <r>
    <n v="3981"/>
    <s v=" DAK DIALYSIS"/>
    <d v="2022-10-06T00:00:00"/>
    <x v="1"/>
    <d v="2022-10-06T00:00:00"/>
    <d v="2022-10-06T00:00:00"/>
    <n v="22025814"/>
    <n v="2234831"/>
    <n v="1001711925"/>
    <s v="SANJAY KUMAR"/>
    <x v="243"/>
    <n v="0"/>
    <n v="1274"/>
    <n v="0"/>
    <n v="1274"/>
    <x v="1"/>
    <x v="6"/>
    <n v="0"/>
    <x v="13"/>
  </r>
  <r>
    <n v="3982"/>
    <s v="Delhi Arogya kosh"/>
    <d v="2022-10-31T00:00:00"/>
    <x v="1"/>
    <d v="2022-10-31T00:00:00"/>
    <d v="2022-10-31T00:00:00"/>
    <n v="22029401"/>
    <n v="2238266"/>
    <n v="10013292990"/>
    <s v="SONU YADAV"/>
    <x v="243"/>
    <n v="0"/>
    <n v="1274"/>
    <n v="0"/>
    <n v="1274"/>
    <x v="1"/>
    <x v="6"/>
    <n v="0"/>
    <x v="13"/>
  </r>
  <r>
    <n v="3983"/>
    <s v="HDFC ERGO General Insurance Co. Ltd."/>
    <d v="2022-10-19T00:00:00"/>
    <x v="1"/>
    <d v="2022-10-22T00:00:00"/>
    <d v="2022-10-22T00:00:00"/>
    <n v="22028132"/>
    <n v="2236686"/>
    <n v="10013543782"/>
    <s v="ISHAN GOEL"/>
    <x v="2049"/>
    <n v="0"/>
    <n v="53314"/>
    <n v="0"/>
    <n v="53314"/>
    <x v="1"/>
    <x v="2"/>
    <n v="0"/>
    <x v="0"/>
  </r>
  <r>
    <n v="3984"/>
    <s v="Delhi Arogya kosh"/>
    <d v="2022-10-03T00:00:00"/>
    <x v="1"/>
    <d v="2022-10-03T00:00:00"/>
    <d v="2022-10-03T00:00:00"/>
    <n v="22025350"/>
    <n v="2234371"/>
    <n v="1000891036"/>
    <s v="RAKIKESH KUMAR"/>
    <x v="243"/>
    <n v="0"/>
    <n v="1274"/>
    <n v="0"/>
    <n v="1274"/>
    <x v="1"/>
    <x v="6"/>
    <n v="0"/>
    <x v="13"/>
  </r>
  <r>
    <n v="3985"/>
    <s v="Delhi Arogya kosh"/>
    <d v="2022-10-06T00:00:00"/>
    <x v="1"/>
    <d v="2022-10-06T00:00:00"/>
    <d v="2022-10-06T00:00:00"/>
    <n v="22025871"/>
    <n v="2234876"/>
    <n v="10013241267"/>
    <s v="MANOJ KOHLI"/>
    <x v="243"/>
    <n v="0"/>
    <n v="1274"/>
    <n v="0"/>
    <n v="1274"/>
    <x v="1"/>
    <x v="6"/>
    <n v="0"/>
    <x v="13"/>
  </r>
  <r>
    <n v="3986"/>
    <s v=" DAK DIALYSIS"/>
    <d v="2022-10-15T00:00:00"/>
    <x v="1"/>
    <d v="2022-10-15T00:00:00"/>
    <d v="2022-10-15T00:00:00"/>
    <n v="22027232"/>
    <n v="2236145"/>
    <n v="1001677731"/>
    <s v="HIMANSHU GOYAL"/>
    <x v="243"/>
    <n v="0"/>
    <n v="1274"/>
    <n v="0"/>
    <n v="1274"/>
    <x v="1"/>
    <x v="6"/>
    <n v="0"/>
    <x v="13"/>
  </r>
  <r>
    <n v="3987"/>
    <s v=" DAK DIALYSIS"/>
    <d v="2022-10-05T00:00:00"/>
    <x v="1"/>
    <d v="2022-10-05T00:00:00"/>
    <d v="2022-10-05T00:00:00"/>
    <n v="22025740"/>
    <n v="2234737"/>
    <n v="1001684202"/>
    <s v="RAM NIWAS"/>
    <x v="243"/>
    <n v="0"/>
    <n v="1274"/>
    <n v="0"/>
    <n v="1274"/>
    <x v="1"/>
    <x v="6"/>
    <n v="0"/>
    <x v="13"/>
  </r>
  <r>
    <n v="3988"/>
    <s v=" CGHS CREDIT"/>
    <d v="2022-10-07T00:00:00"/>
    <x v="1"/>
    <d v="2022-10-07T00:00:00"/>
    <d v="2022-10-07T00:00:00"/>
    <n v="22025936"/>
    <n v="2234996"/>
    <n v="1001802447"/>
    <s v="SHYAM LAL"/>
    <x v="43"/>
    <n v="0"/>
    <n v="1610"/>
    <n v="0"/>
    <n v="1610"/>
    <x v="1"/>
    <x v="6"/>
    <n v="0"/>
    <x v="13"/>
  </r>
  <r>
    <n v="3989"/>
    <s v="MD INDIA TPA PVT.LTD."/>
    <d v="2022-10-06T00:00:00"/>
    <x v="1"/>
    <d v="2022-10-06T00:00:00"/>
    <d v="2022-10-06T00:00:00"/>
    <n v="22025855"/>
    <n v="2234857"/>
    <n v="10013359873"/>
    <s v="ANAND KUMAR SINGHAL"/>
    <x v="75"/>
    <n v="0"/>
    <n v="2200"/>
    <n v="0"/>
    <n v="2200"/>
    <x v="1"/>
    <x v="12"/>
    <n v="0"/>
    <x v="13"/>
  </r>
  <r>
    <n v="3990"/>
    <s v="Delhi Arogya kosh"/>
    <d v="2022-10-29T00:00:00"/>
    <x v="1"/>
    <d v="2022-10-29T00:00:00"/>
    <d v="2022-10-29T00:00:00"/>
    <n v="22029018"/>
    <n v="2237928"/>
    <n v="10013385641"/>
    <s v="KAMLESH MISHRA"/>
    <x v="243"/>
    <n v="0"/>
    <n v="1274"/>
    <n v="0"/>
    <n v="1274"/>
    <x v="1"/>
    <x v="6"/>
    <n v="0"/>
    <x v="13"/>
  </r>
  <r>
    <n v="3991"/>
    <s v="CGHS ( CREDIT)"/>
    <d v="2022-10-29T00:00:00"/>
    <x v="1"/>
    <d v="2022-10-29T00:00:00"/>
    <d v="2022-10-29T00:00:00"/>
    <n v="22029001"/>
    <n v="2237929"/>
    <n v="10013373132"/>
    <s v="DEVI RANI"/>
    <x v="43"/>
    <n v="0"/>
    <n v="1610"/>
    <n v="0"/>
    <n v="1610"/>
    <x v="1"/>
    <x v="6"/>
    <n v="0"/>
    <x v="13"/>
  </r>
  <r>
    <n v="3992"/>
    <s v="RAKSHA (TPA)"/>
    <d v="2022-10-03T00:00:00"/>
    <x v="1"/>
    <d v="2022-10-03T00:00:00"/>
    <d v="2022-10-03T00:00:00"/>
    <n v="22025341"/>
    <n v="2234358"/>
    <n v="10013497993"/>
    <s v="KESHAV BIYANI"/>
    <x v="75"/>
    <n v="0"/>
    <n v="2200"/>
    <n v="0"/>
    <n v="2200"/>
    <x v="1"/>
    <x v="12"/>
    <n v="0"/>
    <x v="13"/>
  </r>
  <r>
    <n v="3993"/>
    <s v="Delhi Arogya kosh"/>
    <d v="2022-10-13T00:00:00"/>
    <x v="1"/>
    <d v="2022-10-13T00:00:00"/>
    <d v="2022-10-13T00:00:00"/>
    <n v="22026950"/>
    <n v="2235866"/>
    <n v="10013513950"/>
    <s v="RAJENDRA PRASAD AGARWAL"/>
    <x v="243"/>
    <n v="0"/>
    <n v="1274"/>
    <n v="0"/>
    <n v="1274"/>
    <x v="1"/>
    <x v="6"/>
    <n v="0"/>
    <x v="13"/>
  </r>
  <r>
    <n v="3994"/>
    <s v="SMILE TRAIN"/>
    <d v="2022-10-25T00:00:00"/>
    <x v="1"/>
    <d v="2022-10-27T00:00:00"/>
    <d v="2022-10-27T00:00:00"/>
    <n v="22028748"/>
    <n v="2237407"/>
    <n v="10013454650"/>
    <s v="HIMANSHI"/>
    <x v="2050"/>
    <n v="30276"/>
    <n v="30000"/>
    <n v="0"/>
    <n v="30000"/>
    <x v="1"/>
    <x v="1"/>
    <n v="0"/>
    <x v="6"/>
  </r>
  <r>
    <n v="3995"/>
    <s v=" DAK DIALYSIS"/>
    <d v="2022-10-18T00:00:00"/>
    <x v="1"/>
    <d v="2022-10-18T00:00:00"/>
    <d v="2022-10-18T00:00:00"/>
    <n v="22027618"/>
    <n v="2236522"/>
    <n v="1001677731"/>
    <s v="HIMANSHU GOYAL"/>
    <x v="243"/>
    <n v="0"/>
    <n v="1274"/>
    <n v="0"/>
    <n v="1274"/>
    <x v="1"/>
    <x v="6"/>
    <n v="0"/>
    <x v="13"/>
  </r>
  <r>
    <n v="3996"/>
    <s v=" ECHS CREDIT"/>
    <d v="2022-10-15T00:00:00"/>
    <x v="1"/>
    <d v="2022-10-15T00:00:00"/>
    <d v="2022-10-15T00:00:00"/>
    <n v="22027126"/>
    <n v="2236093"/>
    <n v="1001781083"/>
    <s v="MITHILESH KUMAR SRIVASTAVA"/>
    <x v="43"/>
    <n v="0"/>
    <n v="1610"/>
    <n v="0"/>
    <n v="1610"/>
    <x v="1"/>
    <x v="6"/>
    <n v="0"/>
    <x v="13"/>
  </r>
  <r>
    <n v="3997"/>
    <s v="Delhi Arogya kosh"/>
    <d v="2022-10-14T00:00:00"/>
    <x v="1"/>
    <d v="2022-10-14T00:00:00"/>
    <d v="2022-10-14T00:00:00"/>
    <n v="22027101"/>
    <n v="2236017"/>
    <n v="1001039513"/>
    <s v="RITU"/>
    <x v="243"/>
    <n v="0"/>
    <n v="1274"/>
    <n v="0"/>
    <n v="1274"/>
    <x v="1"/>
    <x v="6"/>
    <n v="0"/>
    <x v="13"/>
  </r>
  <r>
    <n v="3998"/>
    <s v=" DAK DIALYSIS"/>
    <d v="2022-10-13T00:00:00"/>
    <x v="1"/>
    <d v="2022-10-13T00:00:00"/>
    <d v="2022-10-13T00:00:00"/>
    <n v="22026825"/>
    <n v="2235810"/>
    <n v="1001711925"/>
    <s v="SANJAY KUMAR"/>
    <x v="243"/>
    <n v="0"/>
    <n v="1274"/>
    <n v="0"/>
    <n v="1274"/>
    <x v="1"/>
    <x v="6"/>
    <n v="0"/>
    <x v="13"/>
  </r>
  <r>
    <n v="3999"/>
    <s v="Delhi Arogya kosh"/>
    <d v="2022-10-17T00:00:00"/>
    <x v="1"/>
    <d v="2022-10-17T00:00:00"/>
    <d v="2022-10-17T00:00:00"/>
    <n v="22027457"/>
    <n v="2236332"/>
    <n v="1000947753"/>
    <s v="DHARAMPAL GUPTA"/>
    <x v="243"/>
    <n v="0"/>
    <n v="1274"/>
    <n v="0"/>
    <n v="1274"/>
    <x v="1"/>
    <x v="6"/>
    <n v="0"/>
    <x v="13"/>
  </r>
  <r>
    <n v="4000"/>
    <s v="Health Insurance TPA of India Ltd."/>
    <d v="2022-10-04T00:00:00"/>
    <x v="1"/>
    <d v="2022-10-04T00:00:00"/>
    <d v="2022-10-04T00:00:00"/>
    <n v="22025567"/>
    <n v="2234552"/>
    <n v="1000947591"/>
    <s v="KULBHUSHAN AGGARWAL"/>
    <x v="75"/>
    <n v="0"/>
    <n v="2200"/>
    <n v="0"/>
    <n v="2200"/>
    <x v="1"/>
    <x v="12"/>
    <n v="0"/>
    <x v="13"/>
  </r>
  <r>
    <n v="4001"/>
    <s v=" CGHS CREDIT"/>
    <d v="2022-10-15T00:00:00"/>
    <x v="1"/>
    <d v="2022-10-15T00:00:00"/>
    <d v="2022-10-15T00:00:00"/>
    <n v="22027130"/>
    <n v="2236091"/>
    <n v="1001626180"/>
    <s v="KAMLA DEVI"/>
    <x v="43"/>
    <n v="0"/>
    <n v="1610"/>
    <n v="0"/>
    <n v="1610"/>
    <x v="1"/>
    <x v="6"/>
    <n v="0"/>
    <x v="13"/>
  </r>
  <r>
    <n v="4002"/>
    <s v=" CGHS CREDIT"/>
    <d v="2022-10-20T00:00:00"/>
    <x v="1"/>
    <d v="2022-10-20T00:00:00"/>
    <d v="2022-10-20T00:00:00"/>
    <n v="22027811"/>
    <n v="2236724"/>
    <n v="1001626180"/>
    <s v="KAMLA DEVI"/>
    <x v="43"/>
    <n v="0"/>
    <n v="1610"/>
    <n v="0"/>
    <n v="1610"/>
    <x v="1"/>
    <x v="6"/>
    <n v="0"/>
    <x v="13"/>
  </r>
  <r>
    <n v="4003"/>
    <s v=" DELHI AROGYA KOSH"/>
    <d v="2022-10-26T00:00:00"/>
    <x v="1"/>
    <d v="2022-10-27T00:00:00"/>
    <d v="2022-10-27T00:00:00"/>
    <n v="22028819"/>
    <n v="2237586"/>
    <n v="10013544643"/>
    <s v="MAHENDRI DEVI"/>
    <x v="2051"/>
    <n v="0"/>
    <n v="82959"/>
    <n v="0"/>
    <n v="82959"/>
    <x v="1"/>
    <x v="1"/>
    <n v="0"/>
    <x v="4"/>
  </r>
  <r>
    <n v="4004"/>
    <s v=" CGHS CREDIT"/>
    <d v="2022-10-21T00:00:00"/>
    <x v="1"/>
    <d v="2022-10-21T00:00:00"/>
    <d v="2022-10-21T00:00:00"/>
    <n v="22028099"/>
    <n v="2236953"/>
    <n v="1001777526"/>
    <s v="PRADEEP KUMAR MALIK"/>
    <x v="43"/>
    <n v="0"/>
    <n v="1610"/>
    <n v="0"/>
    <n v="1610"/>
    <x v="1"/>
    <x v="6"/>
    <n v="0"/>
    <x v="13"/>
  </r>
  <r>
    <n v="4005"/>
    <s v="Delhi Arogya kosh"/>
    <d v="2022-10-06T00:00:00"/>
    <x v="1"/>
    <d v="2022-10-06T00:00:00"/>
    <d v="2022-10-06T00:00:00"/>
    <n v="22025903"/>
    <n v="2234916"/>
    <n v="1000891592"/>
    <s v="MANOJ"/>
    <x v="243"/>
    <n v="0"/>
    <n v="1274"/>
    <n v="0"/>
    <n v="1274"/>
    <x v="1"/>
    <x v="6"/>
    <n v="0"/>
    <x v="13"/>
  </r>
  <r>
    <n v="4006"/>
    <s v="CGHS ( CREDIT)"/>
    <d v="2022-10-08T00:00:00"/>
    <x v="1"/>
    <d v="2022-10-08T00:00:00"/>
    <d v="2022-10-08T00:00:00"/>
    <n v="22026099"/>
    <n v="2235140"/>
    <n v="10013373132"/>
    <s v="DEVI RANI"/>
    <x v="43"/>
    <n v="0"/>
    <n v="1610"/>
    <n v="0"/>
    <n v="1610"/>
    <x v="1"/>
    <x v="6"/>
    <n v="0"/>
    <x v="13"/>
  </r>
  <r>
    <n v="4007"/>
    <s v="Health Insurance TPA of India Ltd."/>
    <d v="2022-10-31T00:00:00"/>
    <x v="1"/>
    <d v="2022-10-31T00:00:00"/>
    <d v="2022-10-31T00:00:00"/>
    <n v="22029270"/>
    <n v="2238158"/>
    <n v="1001199995"/>
    <s v="JITENDER NARULA"/>
    <x v="75"/>
    <n v="0"/>
    <n v="2200"/>
    <n v="0"/>
    <n v="2200"/>
    <x v="1"/>
    <x v="12"/>
    <n v="0"/>
    <x v="13"/>
  </r>
  <r>
    <n v="4008"/>
    <s v="ECHS"/>
    <d v="2022-10-06T00:00:00"/>
    <x v="1"/>
    <d v="2022-10-11T00:00:00"/>
    <d v="2022-10-11T00:00:00"/>
    <n v="22026515"/>
    <n v="2234953"/>
    <n v="10013540454"/>
    <s v="OM PARKASH"/>
    <x v="2052"/>
    <n v="0"/>
    <n v="62036"/>
    <n v="0"/>
    <n v="62036"/>
    <x v="1"/>
    <x v="1"/>
    <n v="0"/>
    <x v="0"/>
  </r>
  <r>
    <n v="4009"/>
    <s v=" CGHS CREDIT"/>
    <d v="2022-10-25T00:00:00"/>
    <x v="1"/>
    <d v="2022-10-25T00:00:00"/>
    <d v="2022-10-25T00:00:00"/>
    <n v="22028478"/>
    <n v="2237273"/>
    <n v="1001626180"/>
    <s v="KAMLA DEVI"/>
    <x v="43"/>
    <n v="0"/>
    <n v="1610"/>
    <n v="0"/>
    <n v="1610"/>
    <x v="1"/>
    <x v="6"/>
    <n v="0"/>
    <x v="13"/>
  </r>
  <r>
    <n v="4010"/>
    <s v="STAR HEALTH CARE  (CREDIT)"/>
    <d v="2022-10-17T00:00:00"/>
    <x v="1"/>
    <d v="2022-10-19T00:00:00"/>
    <d v="2022-10-19T00:00:00"/>
    <n v="22027718"/>
    <n v="2236423"/>
    <n v="10013543490"/>
    <s v="ENAYA GOEL"/>
    <x v="2053"/>
    <n v="6464"/>
    <n v="41053"/>
    <n v="0"/>
    <n v="41053"/>
    <x v="1"/>
    <x v="10"/>
    <n v="0"/>
    <x v="3"/>
  </r>
  <r>
    <n v="4011"/>
    <s v="GENERAL PATIENT"/>
    <d v="2022-10-17T00:00:00"/>
    <x v="1"/>
    <d v="2022-10-22T00:00:00"/>
    <d v="2022-10-22T00:00:00"/>
    <n v="22028123"/>
    <n v="2236400"/>
    <n v="1001182239"/>
    <s v="GAURI SHANKAR MITTAL"/>
    <x v="2054"/>
    <n v="191561"/>
    <n v="0"/>
    <n v="0"/>
    <n v="0"/>
    <x v="1"/>
    <x v="9"/>
    <e v="#DIV/0!"/>
    <x v="4"/>
  </r>
  <r>
    <n v="4012"/>
    <s v="Delhi Arogya kosh"/>
    <d v="2022-10-17T00:00:00"/>
    <x v="1"/>
    <d v="2022-10-17T00:00:00"/>
    <d v="2022-10-17T00:00:00"/>
    <n v="22027380"/>
    <n v="2236288"/>
    <n v="1000891036"/>
    <s v="RAKIKESH KUMAR"/>
    <x v="243"/>
    <n v="0"/>
    <n v="1274"/>
    <n v="0"/>
    <n v="1274"/>
    <x v="1"/>
    <x v="6"/>
    <n v="0"/>
    <x v="13"/>
  </r>
  <r>
    <n v="4013"/>
    <s v="Delhi Arogya kosh"/>
    <d v="2022-10-03T00:00:00"/>
    <x v="1"/>
    <d v="2022-10-03T00:00:00"/>
    <d v="2022-10-03T00:00:00"/>
    <n v="22025404"/>
    <n v="2234395"/>
    <n v="1000947753"/>
    <s v="DHARAMPAL GUPTA"/>
    <x v="243"/>
    <n v="0"/>
    <n v="1274"/>
    <n v="0"/>
    <n v="1274"/>
    <x v="1"/>
    <x v="6"/>
    <n v="0"/>
    <x v="13"/>
  </r>
  <r>
    <n v="4014"/>
    <s v=" DAK DIALYSIS"/>
    <d v="2022-10-27T00:00:00"/>
    <x v="1"/>
    <d v="2022-10-27T00:00:00"/>
    <d v="2022-10-27T00:00:00"/>
    <n v="22028727"/>
    <n v="2237615"/>
    <n v="1001666089"/>
    <s v="PRADEEP BISHT"/>
    <x v="243"/>
    <n v="0"/>
    <n v="1274"/>
    <n v="0"/>
    <n v="1274"/>
    <x v="1"/>
    <x v="6"/>
    <n v="0"/>
    <x v="13"/>
  </r>
  <r>
    <n v="4015"/>
    <s v="Delhi Arogya kosh"/>
    <d v="2022-10-03T00:00:00"/>
    <x v="1"/>
    <d v="2022-10-03T00:00:00"/>
    <d v="2022-10-03T00:00:00"/>
    <n v="22025457"/>
    <n v="2234474"/>
    <n v="10013292990"/>
    <s v="SONU YADAV"/>
    <x v="243"/>
    <n v="0"/>
    <n v="1274"/>
    <n v="0"/>
    <n v="1274"/>
    <x v="1"/>
    <x v="6"/>
    <n v="0"/>
    <x v="13"/>
  </r>
  <r>
    <n v="4016"/>
    <s v=" DGEHS (CREDIT)"/>
    <d v="2022-10-10T00:00:00"/>
    <x v="1"/>
    <d v="2022-10-10T00:00:00"/>
    <d v="2022-10-10T00:00:00"/>
    <n v="22026428"/>
    <n v="2235403"/>
    <n v="1001756832"/>
    <s v="VIJAY DEVI"/>
    <x v="43"/>
    <n v="0"/>
    <n v="1610"/>
    <n v="0"/>
    <n v="1610"/>
    <x v="1"/>
    <x v="6"/>
    <n v="0"/>
    <x v="13"/>
  </r>
  <r>
    <n v="4017"/>
    <s v="HEALTH INDIA"/>
    <d v="2022-10-20T00:00:00"/>
    <x v="1"/>
    <d v="2022-10-20T00:00:00"/>
    <d v="2022-10-20T00:00:00"/>
    <n v="22027959"/>
    <n v="2236834"/>
    <n v="1001456152"/>
    <s v="VIRENDER KUMAR ATRI"/>
    <x v="75"/>
    <n v="0"/>
    <n v="2200"/>
    <n v="0"/>
    <n v="2200"/>
    <x v="1"/>
    <x v="12"/>
    <n v="0"/>
    <x v="13"/>
  </r>
  <r>
    <n v="4018"/>
    <s v=" DAK DIALYSIS"/>
    <d v="2022-10-01T00:00:00"/>
    <x v="1"/>
    <d v="2022-10-01T00:00:00"/>
    <d v="2022-10-01T00:00:00"/>
    <n v="22025235"/>
    <n v="2234248"/>
    <n v="1001677731"/>
    <s v="HIMANSHU GOYAL"/>
    <x v="243"/>
    <n v="0"/>
    <n v="1274"/>
    <n v="0"/>
    <n v="1274"/>
    <x v="1"/>
    <x v="6"/>
    <n v="0"/>
    <x v="13"/>
  </r>
  <r>
    <n v="4019"/>
    <s v=" DAK DIALYSIS"/>
    <d v="2022-10-29T00:00:00"/>
    <x v="1"/>
    <d v="2022-10-29T00:00:00"/>
    <d v="2022-10-29T00:00:00"/>
    <n v="22029151"/>
    <n v="2238013"/>
    <n v="1001777331"/>
    <s v="RAVI KUMAR SINGH"/>
    <x v="243"/>
    <n v="0"/>
    <n v="1274"/>
    <n v="0"/>
    <n v="1274"/>
    <x v="1"/>
    <x v="6"/>
    <n v="0"/>
    <x v="13"/>
  </r>
  <r>
    <n v="4020"/>
    <s v="Delhi Arogya kosh"/>
    <d v="2022-10-06T00:00:00"/>
    <x v="1"/>
    <d v="2022-10-06T00:00:00"/>
    <d v="2022-10-06T00:00:00"/>
    <n v="22025916"/>
    <n v="2234947"/>
    <n v="1001092597"/>
    <s v="RAVI"/>
    <x v="243"/>
    <n v="0"/>
    <n v="1274"/>
    <n v="0"/>
    <n v="1274"/>
    <x v="1"/>
    <x v="6"/>
    <n v="0"/>
    <x v="13"/>
  </r>
  <r>
    <n v="4021"/>
    <s v=" DAK DIALYSIS"/>
    <d v="2022-10-25T00:00:00"/>
    <x v="1"/>
    <d v="2022-10-25T00:00:00"/>
    <d v="2022-10-25T00:00:00"/>
    <n v="22028558"/>
    <n v="2237377"/>
    <n v="1001527101"/>
    <s v="SURENDER SHARMA"/>
    <x v="243"/>
    <n v="0"/>
    <n v="1274"/>
    <n v="0"/>
    <n v="1274"/>
    <x v="1"/>
    <x v="6"/>
    <n v="0"/>
    <x v="13"/>
  </r>
  <r>
    <n v="4022"/>
    <s v=" DAK DIALYSIS"/>
    <d v="2022-10-21T00:00:00"/>
    <x v="1"/>
    <d v="2022-10-21T00:00:00"/>
    <d v="2022-10-21T00:00:00"/>
    <n v="22027976"/>
    <n v="2236871"/>
    <n v="1001449196"/>
    <s v="RAKESH JAIN"/>
    <x v="243"/>
    <n v="0"/>
    <n v="1274"/>
    <n v="0"/>
    <n v="1274"/>
    <x v="1"/>
    <x v="6"/>
    <n v="0"/>
    <x v="13"/>
  </r>
  <r>
    <n v="4023"/>
    <s v="HEALTH INDIA"/>
    <d v="2022-10-17T00:00:00"/>
    <x v="1"/>
    <d v="2022-10-17T00:00:00"/>
    <d v="2022-10-17T00:00:00"/>
    <n v="22027504"/>
    <n v="2236420"/>
    <n v="1001456152"/>
    <s v="VIRENDER KUMAR ATRI"/>
    <x v="75"/>
    <n v="0"/>
    <n v="2200"/>
    <n v="0"/>
    <n v="2200"/>
    <x v="1"/>
    <x v="12"/>
    <n v="0"/>
    <x v="13"/>
  </r>
  <r>
    <n v="4024"/>
    <s v=" CGHS CREDIT"/>
    <d v="2022-10-19T00:00:00"/>
    <x v="1"/>
    <d v="2022-10-19T00:00:00"/>
    <d v="2022-10-19T00:00:00"/>
    <n v="22027743"/>
    <n v="2236631"/>
    <n v="1001736024"/>
    <s v="RADHIKA"/>
    <x v="43"/>
    <n v="0"/>
    <n v="1610"/>
    <n v="0"/>
    <n v="1610"/>
    <x v="1"/>
    <x v="6"/>
    <n v="0"/>
    <x v="13"/>
  </r>
  <r>
    <n v="4025"/>
    <s v=" CGHS CREDIT"/>
    <d v="2022-10-04T00:00:00"/>
    <x v="1"/>
    <d v="2022-10-04T00:00:00"/>
    <d v="2022-10-04T00:00:00"/>
    <n v="22025492"/>
    <n v="2234506"/>
    <n v="10013503569"/>
    <s v="SURENDER KUMAR"/>
    <x v="43"/>
    <n v="0"/>
    <n v="1610"/>
    <n v="0"/>
    <n v="1610"/>
    <x v="1"/>
    <x v="6"/>
    <n v="0"/>
    <x v="13"/>
  </r>
  <r>
    <n v="4026"/>
    <s v=" CGHS CREDIT"/>
    <d v="2022-10-17T00:00:00"/>
    <x v="1"/>
    <d v="2022-10-17T00:00:00"/>
    <d v="2022-10-17T00:00:00"/>
    <n v="22027446"/>
    <n v="2236346"/>
    <n v="1001692673"/>
    <s v="AMRIT PAL SHUKLA"/>
    <x v="43"/>
    <n v="0"/>
    <n v="1610"/>
    <n v="0"/>
    <n v="1610"/>
    <x v="1"/>
    <x v="6"/>
    <n v="0"/>
    <x v="13"/>
  </r>
  <r>
    <n v="4027"/>
    <s v="Delhi Arogya kosh"/>
    <d v="2022-10-23T00:00:00"/>
    <x v="1"/>
    <d v="2022-10-23T00:00:00"/>
    <d v="2022-10-23T00:00:00"/>
    <n v="22028410"/>
    <n v="2237197"/>
    <n v="1001004027"/>
    <s v="PARTAP SINGH"/>
    <x v="243"/>
    <n v="0"/>
    <n v="1274"/>
    <n v="0"/>
    <n v="1274"/>
    <x v="1"/>
    <x v="6"/>
    <n v="0"/>
    <x v="13"/>
  </r>
  <r>
    <n v="4028"/>
    <s v="HDFC ERGO General Insurance Co. Ltd."/>
    <d v="2022-10-28T00:00:00"/>
    <x v="1"/>
    <d v="2022-10-28T00:00:00"/>
    <d v="2022-10-28T00:00:00"/>
    <n v="22028849"/>
    <n v="2237761"/>
    <n v="10013477952"/>
    <s v="NEEMA GOEL"/>
    <x v="254"/>
    <n v="0"/>
    <n v="2240"/>
    <n v="0"/>
    <n v="2240"/>
    <x v="1"/>
    <x v="6"/>
    <n v="0"/>
    <x v="13"/>
  </r>
  <r>
    <n v="4029"/>
    <s v="GENERAL PATIENT"/>
    <d v="2022-10-05T00:00:00"/>
    <x v="1"/>
    <d v="2022-10-05T00:00:00"/>
    <d v="2022-10-05T00:00:00"/>
    <n v="22025729"/>
    <n v="2234725"/>
    <n v="10013230754"/>
    <s v="SANTOSH AGGARWAL"/>
    <x v="45"/>
    <n v="1176"/>
    <n v="3814"/>
    <n v="0"/>
    <n v="3814"/>
    <x v="1"/>
    <x v="6"/>
    <n v="0"/>
    <x v="13"/>
  </r>
  <r>
    <n v="4030"/>
    <s v="BUREAU OF INDIAN STANDARDS"/>
    <d v="2022-10-22T00:00:00"/>
    <x v="1"/>
    <d v="2022-10-22T00:00:00"/>
    <d v="2022-10-22T00:00:00"/>
    <n v="22028255"/>
    <n v="2237052"/>
    <n v="1001078094"/>
    <s v="DR RAJ KISHORE SINGH"/>
    <x v="388"/>
    <n v="0"/>
    <n v="15209"/>
    <n v="0"/>
    <n v="15209"/>
    <x v="1"/>
    <x v="2"/>
    <n v="0"/>
    <x v="4"/>
  </r>
  <r>
    <n v="4031"/>
    <s v=" ECHS CREDIT"/>
    <d v="2022-10-18T00:00:00"/>
    <x v="1"/>
    <d v="2022-10-18T00:00:00"/>
    <d v="2022-10-18T00:00:00"/>
    <n v="22027593"/>
    <n v="2236491"/>
    <n v="1001797077"/>
    <s v="DURGA DEVI"/>
    <x v="43"/>
    <n v="0"/>
    <n v="1610"/>
    <n v="0"/>
    <n v="1610"/>
    <x v="1"/>
    <x v="6"/>
    <n v="0"/>
    <x v="13"/>
  </r>
  <r>
    <n v="4032"/>
    <s v="Delhi Arogya kosh"/>
    <d v="2022-10-26T00:00:00"/>
    <x v="1"/>
    <d v="2022-10-26T00:00:00"/>
    <d v="2022-10-26T00:00:00"/>
    <n v="22028659"/>
    <n v="2237467"/>
    <n v="10013436995"/>
    <s v="URVASHI"/>
    <x v="243"/>
    <n v="0"/>
    <n v="1274"/>
    <n v="0"/>
    <n v="1274"/>
    <x v="1"/>
    <x v="6"/>
    <n v="0"/>
    <x v="13"/>
  </r>
  <r>
    <n v="4033"/>
    <s v="Delhi Arogya kosh"/>
    <d v="2022-10-26T00:00:00"/>
    <x v="1"/>
    <d v="2022-10-26T00:00:00"/>
    <d v="2022-10-26T00:00:00"/>
    <n v="22028698"/>
    <n v="2237571"/>
    <n v="10013528076"/>
    <s v="MANENDER DESHWAL"/>
    <x v="243"/>
    <n v="0"/>
    <n v="1274"/>
    <n v="0"/>
    <n v="1274"/>
    <x v="1"/>
    <x v="6"/>
    <n v="0"/>
    <x v="13"/>
  </r>
  <r>
    <n v="4034"/>
    <s v="Delhi Arogya kosh"/>
    <d v="2022-10-25T00:00:00"/>
    <x v="1"/>
    <d v="2022-10-25T00:00:00"/>
    <d v="2022-10-25T00:00:00"/>
    <n v="22028568"/>
    <n v="2237401"/>
    <n v="1000891068"/>
    <s v="SUSHIL SHARMA"/>
    <x v="243"/>
    <n v="0"/>
    <n v="1274"/>
    <n v="0"/>
    <n v="1274"/>
    <x v="1"/>
    <x v="6"/>
    <n v="0"/>
    <x v="13"/>
  </r>
  <r>
    <n v="4035"/>
    <s v=" CGHS CREDIT"/>
    <d v="2022-10-07T00:00:00"/>
    <x v="1"/>
    <d v="2022-10-07T00:00:00"/>
    <d v="2022-10-07T00:00:00"/>
    <n v="22026013"/>
    <n v="2235031"/>
    <n v="1001736024"/>
    <s v="RADHIKA"/>
    <x v="43"/>
    <n v="0"/>
    <n v="1610"/>
    <n v="0"/>
    <n v="1610"/>
    <x v="1"/>
    <x v="6"/>
    <n v="0"/>
    <x v="13"/>
  </r>
  <r>
    <n v="4036"/>
    <s v="MD INDIA TPA PVT.LTD."/>
    <d v="2022-10-25T00:00:00"/>
    <x v="1"/>
    <d v="2022-10-25T00:00:00"/>
    <d v="2022-10-25T00:00:00"/>
    <n v="22028518"/>
    <n v="2237307"/>
    <n v="1001468779"/>
    <s v="RAMESH KR BANSAL"/>
    <x v="75"/>
    <n v="0"/>
    <n v="2200"/>
    <n v="0"/>
    <n v="2200"/>
    <x v="1"/>
    <x v="12"/>
    <n v="0"/>
    <x v="13"/>
  </r>
  <r>
    <n v="4037"/>
    <s v="CGHS ( CREDIT)"/>
    <d v="2022-10-11T00:00:00"/>
    <x v="1"/>
    <d v="2022-10-11T00:00:00"/>
    <d v="2022-10-11T00:00:00"/>
    <n v="22026637"/>
    <n v="2235606"/>
    <n v="10013453991"/>
    <s v="RAJENDER"/>
    <x v="43"/>
    <n v="0"/>
    <n v="1610"/>
    <n v="0"/>
    <n v="1610"/>
    <x v="1"/>
    <x v="6"/>
    <n v="0"/>
    <x v="13"/>
  </r>
  <r>
    <n v="4038"/>
    <s v="GOVT. OF NCT OF DELHI"/>
    <d v="2022-10-05T00:00:00"/>
    <x v="1"/>
    <d v="2022-10-05T00:00:00"/>
    <d v="2022-10-05T00:00:00"/>
    <n v="22025771"/>
    <n v="2234755"/>
    <n v="1000979923"/>
    <s v="SAROJ"/>
    <x v="43"/>
    <n v="0"/>
    <n v="1610"/>
    <n v="0"/>
    <n v="1610"/>
    <x v="1"/>
    <x v="6"/>
    <n v="0"/>
    <x v="13"/>
  </r>
  <r>
    <n v="4039"/>
    <s v="Delhi Arogya kosh"/>
    <d v="2022-10-01T00:00:00"/>
    <x v="1"/>
    <d v="2022-10-01T00:00:00"/>
    <d v="2022-10-01T00:00:00"/>
    <n v="22025244"/>
    <n v="2234257"/>
    <n v="10013385641"/>
    <s v="KAMLESH MISHRA"/>
    <x v="243"/>
    <n v="0"/>
    <n v="1274"/>
    <n v="0"/>
    <n v="1274"/>
    <x v="1"/>
    <x v="6"/>
    <n v="0"/>
    <x v="13"/>
  </r>
  <r>
    <n v="4040"/>
    <s v="CGHS ( CREDIT)"/>
    <d v="2022-10-08T00:00:00"/>
    <x v="1"/>
    <d v="2022-10-08T00:00:00"/>
    <d v="2022-10-08T00:00:00"/>
    <n v="22026098"/>
    <n v="2235141"/>
    <n v="10013401847"/>
    <s v="TIRLOCHAN SINGH"/>
    <x v="43"/>
    <n v="0"/>
    <n v="1610"/>
    <n v="0"/>
    <n v="1610"/>
    <x v="1"/>
    <x v="6"/>
    <n v="0"/>
    <x v="13"/>
  </r>
  <r>
    <n v="4041"/>
    <s v="Delhi Arogya kosh"/>
    <d v="2022-10-14T00:00:00"/>
    <x v="1"/>
    <d v="2022-10-14T00:00:00"/>
    <d v="2022-10-14T00:00:00"/>
    <n v="22026975"/>
    <n v="2235922"/>
    <n v="1000889533"/>
    <s v="MANJU AGGARWAL"/>
    <x v="243"/>
    <n v="0"/>
    <n v="1274"/>
    <n v="0"/>
    <n v="1274"/>
    <x v="1"/>
    <x v="6"/>
    <n v="0"/>
    <x v="13"/>
  </r>
  <r>
    <n v="4042"/>
    <s v="Delhi Arogya kosh"/>
    <d v="2022-10-15T00:00:00"/>
    <x v="1"/>
    <d v="2022-10-15T00:00:00"/>
    <d v="2022-10-15T00:00:00"/>
    <n v="22027252"/>
    <n v="2236168"/>
    <n v="10013385641"/>
    <s v="KAMLESH MISHRA"/>
    <x v="243"/>
    <n v="0"/>
    <n v="1274"/>
    <n v="0"/>
    <n v="1274"/>
    <x v="1"/>
    <x v="6"/>
    <n v="0"/>
    <x v="13"/>
  </r>
  <r>
    <n v="4043"/>
    <s v=" DAK DIALYSIS"/>
    <d v="2022-10-31T00:00:00"/>
    <x v="1"/>
    <d v="2022-10-31T00:00:00"/>
    <d v="2022-10-31T00:00:00"/>
    <n v="22029242"/>
    <n v="2238132"/>
    <n v="1001680001"/>
    <s v="BIPIN KUMAR"/>
    <x v="243"/>
    <n v="0"/>
    <n v="1274"/>
    <n v="0"/>
    <n v="1274"/>
    <x v="1"/>
    <x v="6"/>
    <n v="0"/>
    <x v="13"/>
  </r>
  <r>
    <n v="4044"/>
    <s v="GENERAL PATIENT"/>
    <d v="2022-10-22T00:00:00"/>
    <x v="1"/>
    <d v="2022-10-24T00:00:00"/>
    <d v="2022-10-24T00:00:00"/>
    <n v="22028458"/>
    <n v="2237060"/>
    <n v="1001804627"/>
    <s v="NISHU SHARMA"/>
    <x v="2055"/>
    <n v="9075"/>
    <n v="66607"/>
    <n v="0"/>
    <n v="66607"/>
    <x v="1"/>
    <x v="1"/>
    <n v="0"/>
    <x v="1"/>
  </r>
  <r>
    <n v="4045"/>
    <s v=" DAK DIALYSIS"/>
    <d v="2022-10-01T00:00:00"/>
    <x v="1"/>
    <d v="2022-10-01T00:00:00"/>
    <d v="2022-10-01T00:00:00"/>
    <n v="22025179"/>
    <n v="2234200"/>
    <n v="1001686545"/>
    <s v="RAKESH KUMAR"/>
    <x v="243"/>
    <n v="0"/>
    <n v="1274"/>
    <n v="0"/>
    <n v="1274"/>
    <x v="1"/>
    <x v="6"/>
    <n v="0"/>
    <x v="13"/>
  </r>
  <r>
    <n v="4046"/>
    <s v="Heritage Health TPA Private Limited"/>
    <d v="2022-10-28T00:00:00"/>
    <x v="1"/>
    <d v="2022-10-28T00:00:00"/>
    <d v="2022-10-28T00:00:00"/>
    <n v="22028848"/>
    <n v="2237762"/>
    <n v="1001183341"/>
    <s v="KAMLESH JAIN"/>
    <x v="75"/>
    <n v="0"/>
    <n v="2200"/>
    <n v="0"/>
    <n v="2200"/>
    <x v="1"/>
    <x v="12"/>
    <n v="0"/>
    <x v="13"/>
  </r>
  <r>
    <n v="4047"/>
    <s v="VIPUL MED CORP PVT LTD"/>
    <d v="2022-10-08T00:00:00"/>
    <x v="1"/>
    <d v="2022-10-08T00:00:00"/>
    <d v="2022-10-08T00:00:00"/>
    <n v="22026169"/>
    <n v="2235172"/>
    <n v="10013469159"/>
    <s v="ANITA NANGIA"/>
    <x v="75"/>
    <n v="0"/>
    <n v="2200"/>
    <n v="0"/>
    <n v="2200"/>
    <x v="1"/>
    <x v="12"/>
    <n v="0"/>
    <x v="13"/>
  </r>
  <r>
    <n v="4048"/>
    <s v="Delhi Arogya kosh"/>
    <d v="2022-10-26T00:00:00"/>
    <x v="1"/>
    <d v="2022-10-26T00:00:00"/>
    <d v="2022-10-26T00:00:00"/>
    <n v="22028701"/>
    <n v="2237567"/>
    <n v="10013507516"/>
    <s v="AMIT NAGAR"/>
    <x v="243"/>
    <n v="0"/>
    <n v="1274"/>
    <n v="0"/>
    <n v="1274"/>
    <x v="1"/>
    <x v="6"/>
    <n v="0"/>
    <x v="13"/>
  </r>
  <r>
    <n v="4049"/>
    <s v="Delhi Arogya kosh"/>
    <d v="2022-10-25T00:00:00"/>
    <x v="1"/>
    <d v="2022-10-25T00:00:00"/>
    <d v="2022-10-25T00:00:00"/>
    <n v="22028535"/>
    <n v="2237291"/>
    <n v="1001033406"/>
    <s v="SURENDER GOEL"/>
    <x v="243"/>
    <n v="0"/>
    <n v="1274"/>
    <n v="0"/>
    <n v="1274"/>
    <x v="1"/>
    <x v="6"/>
    <n v="0"/>
    <x v="13"/>
  </r>
  <r>
    <n v="4050"/>
    <s v=" CGHS CREDIT"/>
    <d v="2022-10-26T00:00:00"/>
    <x v="1"/>
    <d v="2022-10-26T00:00:00"/>
    <d v="2022-10-26T00:00:00"/>
    <n v="22028678"/>
    <n v="2237543"/>
    <n v="1001803044"/>
    <s v="GOVIND SINGH"/>
    <x v="43"/>
    <n v="0"/>
    <n v="1610"/>
    <n v="0"/>
    <n v="1610"/>
    <x v="1"/>
    <x v="6"/>
    <n v="0"/>
    <x v="13"/>
  </r>
  <r>
    <n v="4051"/>
    <s v="Delhi Arogya kosh"/>
    <d v="2022-10-25T00:00:00"/>
    <x v="1"/>
    <d v="2022-10-25T00:00:00"/>
    <d v="2022-10-25T00:00:00"/>
    <n v="22028533"/>
    <n v="2237300"/>
    <n v="1000889533"/>
    <s v="MANJU AGGARWAL"/>
    <x v="243"/>
    <n v="0"/>
    <n v="1274"/>
    <n v="0"/>
    <n v="1274"/>
    <x v="1"/>
    <x v="6"/>
    <n v="0"/>
    <x v="13"/>
  </r>
  <r>
    <n v="4052"/>
    <s v="Delhi Arogya kosh"/>
    <d v="2022-10-05T00:00:00"/>
    <x v="1"/>
    <d v="2022-10-05T00:00:00"/>
    <d v="2022-10-05T00:00:00"/>
    <n v="22025726"/>
    <n v="2234728"/>
    <n v="10013347178"/>
    <s v="BABITA"/>
    <x v="243"/>
    <n v="0"/>
    <n v="1274"/>
    <n v="0"/>
    <n v="1274"/>
    <x v="1"/>
    <x v="6"/>
    <n v="0"/>
    <x v="13"/>
  </r>
  <r>
    <n v="4053"/>
    <s v="Delhi Arogya kosh"/>
    <d v="2022-10-08T00:00:00"/>
    <x v="1"/>
    <d v="2022-10-08T00:00:00"/>
    <d v="2022-10-08T00:00:00"/>
    <n v="22026192"/>
    <n v="2235180"/>
    <n v="1000933464"/>
    <s v="SACHIN MITTAL"/>
    <x v="243"/>
    <n v="0"/>
    <n v="1274"/>
    <n v="0"/>
    <n v="1274"/>
    <x v="1"/>
    <x v="6"/>
    <n v="0"/>
    <x v="13"/>
  </r>
  <r>
    <n v="4054"/>
    <s v=" DELHI AROGYA KOSH"/>
    <d v="2022-10-11T00:00:00"/>
    <x v="1"/>
    <d v="2022-10-13T00:00:00"/>
    <d v="2022-10-13T00:00:00"/>
    <n v="22026853"/>
    <n v="2235509"/>
    <n v="1001800210"/>
    <s v="CHANDER PRABHA"/>
    <x v="1823"/>
    <n v="0"/>
    <n v="12650"/>
    <n v="0"/>
    <n v="12650"/>
    <x v="1"/>
    <x v="1"/>
    <n v="0"/>
    <x v="11"/>
  </r>
  <r>
    <n v="4055"/>
    <s v=" CGHS CREDIT"/>
    <d v="2022-10-08T00:00:00"/>
    <x v="1"/>
    <d v="2022-10-08T00:00:00"/>
    <d v="2022-10-08T00:00:00"/>
    <n v="22026208"/>
    <n v="2235220"/>
    <n v="1001722362"/>
    <s v="PAWANA DEVI"/>
    <x v="43"/>
    <n v="0"/>
    <n v="1610"/>
    <n v="0"/>
    <n v="1610"/>
    <x v="1"/>
    <x v="6"/>
    <n v="0"/>
    <x v="13"/>
  </r>
  <r>
    <n v="4056"/>
    <s v="VIPUL MED CORP PVT LTD"/>
    <d v="2022-10-01T00:00:00"/>
    <x v="1"/>
    <d v="2022-10-01T00:00:00"/>
    <d v="2022-10-01T00:00:00"/>
    <n v="22025183"/>
    <n v="2234211"/>
    <n v="10013469159"/>
    <s v="ANITA NANGIA"/>
    <x v="75"/>
    <n v="0"/>
    <n v="2200"/>
    <n v="0"/>
    <n v="2200"/>
    <x v="1"/>
    <x v="12"/>
    <n v="0"/>
    <x v="13"/>
  </r>
  <r>
    <n v="4057"/>
    <s v=" DAK DIALYSIS"/>
    <d v="2022-10-03T00:00:00"/>
    <x v="1"/>
    <d v="2022-10-03T00:00:00"/>
    <d v="2022-10-03T00:00:00"/>
    <n v="22025348"/>
    <n v="2234349"/>
    <n v="1001680001"/>
    <s v="BIPIN KUMAR"/>
    <x v="243"/>
    <n v="0"/>
    <n v="1274"/>
    <n v="0"/>
    <n v="1274"/>
    <x v="1"/>
    <x v="6"/>
    <n v="0"/>
    <x v="13"/>
  </r>
  <r>
    <n v="4058"/>
    <s v="CGHS ( CREDIT)"/>
    <d v="2022-10-08T00:00:00"/>
    <x v="1"/>
    <d v="2022-10-08T00:00:00"/>
    <d v="2022-10-08T00:00:00"/>
    <n v="22026167"/>
    <n v="2235178"/>
    <n v="10013514225"/>
    <s v="PUSHPA ARORA"/>
    <x v="43"/>
    <n v="0"/>
    <n v="1610"/>
    <n v="0"/>
    <n v="1610"/>
    <x v="1"/>
    <x v="6"/>
    <n v="0"/>
    <x v="13"/>
  </r>
  <r>
    <n v="4059"/>
    <s v="CGHS ( CREDIT)"/>
    <d v="2022-10-12T00:00:00"/>
    <x v="1"/>
    <d v="2022-10-12T00:00:00"/>
    <d v="2022-10-12T00:00:00"/>
    <n v="22026731"/>
    <n v="2235693"/>
    <n v="10013514225"/>
    <s v="PUSHPA ARORA"/>
    <x v="43"/>
    <n v="0"/>
    <n v="1610"/>
    <n v="0"/>
    <n v="1610"/>
    <x v="1"/>
    <x v="6"/>
    <n v="0"/>
    <x v="13"/>
  </r>
  <r>
    <n v="4060"/>
    <s v=" DAK DIALYSIS"/>
    <d v="2022-10-25T00:00:00"/>
    <x v="1"/>
    <d v="2022-10-25T00:00:00"/>
    <d v="2022-10-25T00:00:00"/>
    <n v="22028481"/>
    <n v="2237276"/>
    <n v="1001666089"/>
    <s v="PRADEEP BISHT"/>
    <x v="243"/>
    <n v="0"/>
    <n v="1274"/>
    <n v="0"/>
    <n v="1274"/>
    <x v="1"/>
    <x v="6"/>
    <n v="0"/>
    <x v="13"/>
  </r>
  <r>
    <n v="4061"/>
    <s v=" DAK DIALYSIS"/>
    <d v="2022-10-06T00:00:00"/>
    <x v="1"/>
    <d v="2022-10-06T00:00:00"/>
    <d v="2022-10-06T00:00:00"/>
    <n v="22025889"/>
    <n v="2234900"/>
    <n v="1001686545"/>
    <s v="RAKESH KUMAR"/>
    <x v="243"/>
    <n v="0"/>
    <n v="1274"/>
    <n v="0"/>
    <n v="1274"/>
    <x v="1"/>
    <x v="6"/>
    <n v="0"/>
    <x v="13"/>
  </r>
  <r>
    <n v="4062"/>
    <s v="EAST-WEST ASSIST."/>
    <d v="2022-10-04T00:00:00"/>
    <x v="1"/>
    <d v="2022-10-06T00:00:00"/>
    <d v="2022-10-06T00:00:00"/>
    <n v="22025840"/>
    <n v="2234653"/>
    <n v="10013463465"/>
    <s v="PARMOD KUMAR AGGARWAL"/>
    <x v="2056"/>
    <n v="27834"/>
    <n v="196901"/>
    <n v="0"/>
    <n v="196901"/>
    <x v="1"/>
    <x v="4"/>
    <n v="0"/>
    <x v="4"/>
  </r>
  <r>
    <n v="4063"/>
    <s v=" DAK DIALYSIS"/>
    <d v="2022-10-10T00:00:00"/>
    <x v="1"/>
    <d v="2022-10-10T00:00:00"/>
    <d v="2022-10-10T00:00:00"/>
    <n v="22026459"/>
    <n v="2235436"/>
    <n v="1001684202"/>
    <s v="RAM NIWAS"/>
    <x v="243"/>
    <n v="0"/>
    <n v="1274"/>
    <n v="0"/>
    <n v="1274"/>
    <x v="1"/>
    <x v="6"/>
    <n v="0"/>
    <x v="13"/>
  </r>
  <r>
    <n v="4064"/>
    <s v=" DAK DIALYSIS"/>
    <d v="2022-10-15T00:00:00"/>
    <x v="1"/>
    <d v="2022-10-15T00:00:00"/>
    <d v="2022-10-15T00:00:00"/>
    <n v="22027123"/>
    <n v="2236078"/>
    <n v="1001680001"/>
    <s v="BIPIN KUMAR"/>
    <x v="243"/>
    <n v="0"/>
    <n v="1274"/>
    <n v="0"/>
    <n v="1274"/>
    <x v="1"/>
    <x v="6"/>
    <n v="0"/>
    <x v="13"/>
  </r>
  <r>
    <n v="4065"/>
    <s v="Delhi Arogya kosh"/>
    <d v="2022-10-14T00:00:00"/>
    <x v="1"/>
    <d v="2022-10-14T00:00:00"/>
    <d v="2022-10-14T00:00:00"/>
    <n v="22027097"/>
    <n v="2236013"/>
    <n v="1001397167"/>
    <s v="SUNIL KUMAR AGGARWAL"/>
    <x v="243"/>
    <n v="0"/>
    <n v="1274"/>
    <n v="0"/>
    <n v="1274"/>
    <x v="1"/>
    <x v="6"/>
    <n v="0"/>
    <x v="13"/>
  </r>
  <r>
    <n v="4066"/>
    <s v="VIPUL MED CORP PVT LTD"/>
    <d v="2022-10-15T00:00:00"/>
    <x v="1"/>
    <d v="2022-10-15T00:00:00"/>
    <d v="2022-10-15T00:00:00"/>
    <n v="22027213"/>
    <n v="2236134"/>
    <n v="10013469159"/>
    <s v="ANITA NANGIA"/>
    <x v="75"/>
    <n v="0"/>
    <n v="2200"/>
    <n v="0"/>
    <n v="2200"/>
    <x v="1"/>
    <x v="12"/>
    <n v="0"/>
    <x v="13"/>
  </r>
  <r>
    <n v="4067"/>
    <s v=" DAK DIALYSIS"/>
    <d v="2022-10-31T00:00:00"/>
    <x v="1"/>
    <d v="2022-10-31T00:00:00"/>
    <d v="2022-10-31T00:00:00"/>
    <n v="22029368"/>
    <n v="2238233"/>
    <n v="1001648223"/>
    <s v="BRIJ LAL KORI"/>
    <x v="243"/>
    <n v="0"/>
    <n v="1274"/>
    <n v="0"/>
    <n v="1274"/>
    <x v="1"/>
    <x v="6"/>
    <n v="0"/>
    <x v="13"/>
  </r>
  <r>
    <n v="4068"/>
    <s v=" DAK DIALYSIS"/>
    <d v="2022-10-11T00:00:00"/>
    <x v="1"/>
    <d v="2022-10-11T00:00:00"/>
    <d v="2022-10-11T00:00:00"/>
    <n v="22026628"/>
    <n v="2235598"/>
    <n v="1001777331"/>
    <s v="RAVI KUMAR SINGH"/>
    <x v="243"/>
    <n v="0"/>
    <n v="1274"/>
    <n v="0"/>
    <n v="1274"/>
    <x v="1"/>
    <x v="6"/>
    <n v="0"/>
    <x v="13"/>
  </r>
  <r>
    <n v="4069"/>
    <s v="GENERAL PATIENT(MAHSRC)"/>
    <d v="2022-10-07T00:00:00"/>
    <x v="1"/>
    <d v="2022-10-17T00:00:00"/>
    <d v="2022-10-17T00:00:00"/>
    <n v="22027427"/>
    <n v="2235084"/>
    <n v="1001045893"/>
    <s v="RAGBIR SINGH"/>
    <x v="2057"/>
    <n v="0"/>
    <n v="214119"/>
    <n v="0"/>
    <n v="214119"/>
    <x v="1"/>
    <x v="2"/>
    <n v="0"/>
    <x v="0"/>
  </r>
  <r>
    <n v="4070"/>
    <s v=" DAK DIALYSIS"/>
    <d v="2022-10-14T00:00:00"/>
    <x v="1"/>
    <d v="2022-10-14T00:00:00"/>
    <d v="2022-10-14T00:00:00"/>
    <n v="22026984"/>
    <n v="2235935"/>
    <n v="1001648223"/>
    <s v="BRIJ LAL KORI"/>
    <x v="243"/>
    <n v="0"/>
    <n v="1274"/>
    <n v="0"/>
    <n v="1274"/>
    <x v="1"/>
    <x v="6"/>
    <n v="0"/>
    <x v="13"/>
  </r>
  <r>
    <n v="4071"/>
    <s v=" DGEHS (CREDIT)"/>
    <d v="2022-10-31T00:00:00"/>
    <x v="1"/>
    <d v="2022-10-31T00:00:00"/>
    <d v="2022-10-31T00:00:00"/>
    <n v="22029347"/>
    <n v="2238212"/>
    <n v="1001756832"/>
    <s v="VIJAY DEVI"/>
    <x v="43"/>
    <n v="0"/>
    <n v="1610"/>
    <n v="0"/>
    <n v="1610"/>
    <x v="1"/>
    <x v="6"/>
    <n v="0"/>
    <x v="13"/>
  </r>
  <r>
    <n v="4072"/>
    <s v="ECHS"/>
    <d v="2022-09-29T00:00:00"/>
    <x v="0"/>
    <d v="2022-10-01T00:00:00"/>
    <d v="2022-10-02T00:00:00"/>
    <n v="22025322"/>
    <n v="2233938"/>
    <n v="10013540454"/>
    <s v="OM PARKASH"/>
    <x v="1088"/>
    <n v="0"/>
    <n v="27615"/>
    <n v="0"/>
    <n v="27615"/>
    <x v="1"/>
    <x v="1"/>
    <n v="0"/>
    <x v="5"/>
  </r>
  <r>
    <n v="4073"/>
    <s v="Delhi Arogya kosh"/>
    <d v="2022-10-03T00:00:00"/>
    <x v="1"/>
    <d v="2022-10-03T00:00:00"/>
    <d v="2022-10-03T00:00:00"/>
    <n v="22025408"/>
    <n v="2234410"/>
    <n v="10013241267"/>
    <s v="MANOJ KOHLI"/>
    <x v="243"/>
    <n v="0"/>
    <n v="1274"/>
    <n v="0"/>
    <n v="1274"/>
    <x v="1"/>
    <x v="6"/>
    <n v="0"/>
    <x v="13"/>
  </r>
  <r>
    <n v="4074"/>
    <s v="Delhi Arogya kosh"/>
    <d v="2022-10-12T00:00:00"/>
    <x v="1"/>
    <d v="2022-10-12T00:00:00"/>
    <d v="2022-10-12T00:00:00"/>
    <n v="22026787"/>
    <n v="2235744"/>
    <n v="10013385641"/>
    <s v="KAMLESH MISHRA"/>
    <x v="243"/>
    <n v="0"/>
    <n v="1274"/>
    <n v="0"/>
    <n v="1274"/>
    <x v="1"/>
    <x v="6"/>
    <n v="0"/>
    <x v="13"/>
  </r>
  <r>
    <n v="4075"/>
    <s v=" ECHS CREDIT"/>
    <d v="2022-10-01T00:00:00"/>
    <x v="1"/>
    <d v="2022-10-01T00:00:00"/>
    <d v="2022-10-01T00:00:00"/>
    <n v="22025191"/>
    <n v="2234213"/>
    <n v="1001765693"/>
    <s v="SHRI PRAKASH PRAJAPATI"/>
    <x v="43"/>
    <n v="0"/>
    <n v="1610"/>
    <n v="0"/>
    <n v="1610"/>
    <x v="1"/>
    <x v="6"/>
    <n v="0"/>
    <x v="13"/>
  </r>
  <r>
    <n v="4076"/>
    <s v="Safeway Mediclaim Services Pvt. Ltd."/>
    <d v="2022-10-04T00:00:00"/>
    <x v="1"/>
    <d v="2022-10-04T00:00:00"/>
    <d v="2022-10-04T00:00:00"/>
    <n v="22025554"/>
    <n v="2234556"/>
    <n v="1001684515"/>
    <s v="SHIV NARAYAN BANSAL"/>
    <x v="75"/>
    <n v="0"/>
    <n v="2200"/>
    <n v="0"/>
    <n v="2200"/>
    <x v="1"/>
    <x v="12"/>
    <n v="0"/>
    <x v="13"/>
  </r>
  <r>
    <n v="4077"/>
    <s v="CGHS ( CREDIT)"/>
    <d v="2022-10-20T00:00:00"/>
    <x v="1"/>
    <d v="2022-10-20T00:00:00"/>
    <d v="2022-10-20T00:00:00"/>
    <n v="22027946"/>
    <n v="2236813"/>
    <n v="10013442733"/>
    <s v="SAVITRI GOHLAN"/>
    <x v="43"/>
    <n v="0"/>
    <n v="1610"/>
    <n v="0"/>
    <n v="1610"/>
    <x v="1"/>
    <x v="6"/>
    <n v="0"/>
    <x v="13"/>
  </r>
  <r>
    <n v="4078"/>
    <s v=" CGHS CREDIT"/>
    <d v="2022-10-21T00:00:00"/>
    <x v="1"/>
    <d v="2022-10-21T00:00:00"/>
    <d v="2022-10-21T00:00:00"/>
    <n v="22027973"/>
    <n v="2236869"/>
    <n v="1001801530"/>
    <s v="UMA BISHT"/>
    <x v="43"/>
    <n v="0"/>
    <n v="1610"/>
    <n v="0"/>
    <n v="1610"/>
    <x v="1"/>
    <x v="6"/>
    <n v="0"/>
    <x v="13"/>
  </r>
  <r>
    <n v="4079"/>
    <s v="MD INDIA TPA PVT.LTD."/>
    <d v="2022-10-06T00:00:00"/>
    <x v="1"/>
    <d v="2022-10-06T00:00:00"/>
    <d v="2022-10-06T00:00:00"/>
    <n v="22025851"/>
    <n v="2234851"/>
    <n v="1001468779"/>
    <s v="RAMESH KR BANSAL"/>
    <x v="75"/>
    <n v="0"/>
    <n v="2200"/>
    <n v="0"/>
    <n v="2200"/>
    <x v="1"/>
    <x v="12"/>
    <n v="0"/>
    <x v="13"/>
  </r>
  <r>
    <n v="4080"/>
    <s v="Delhi Arogya kosh"/>
    <d v="2022-10-27T00:00:00"/>
    <x v="1"/>
    <d v="2022-10-27T00:00:00"/>
    <d v="2022-10-27T00:00:00"/>
    <n v="22028840"/>
    <n v="2237708"/>
    <n v="10013223537"/>
    <s v="GOVIND"/>
    <x v="243"/>
    <n v="0"/>
    <n v="1274"/>
    <n v="0"/>
    <n v="1274"/>
    <x v="1"/>
    <x v="6"/>
    <n v="0"/>
    <x v="13"/>
  </r>
  <r>
    <n v="4081"/>
    <s v="CGHS ( CREDIT)"/>
    <d v="2022-10-26T00:00:00"/>
    <x v="1"/>
    <d v="2022-10-26T00:00:00"/>
    <d v="2022-10-26T00:00:00"/>
    <n v="22028658"/>
    <n v="2237464"/>
    <n v="10013373132"/>
    <s v="DEVI RANI"/>
    <x v="43"/>
    <n v="0"/>
    <n v="1610"/>
    <n v="0"/>
    <n v="1610"/>
    <x v="1"/>
    <x v="6"/>
    <n v="0"/>
    <x v="13"/>
  </r>
  <r>
    <n v="4082"/>
    <s v="Delhi Arogya kosh"/>
    <d v="2022-10-08T00:00:00"/>
    <x v="1"/>
    <d v="2022-10-08T00:00:00"/>
    <d v="2022-10-08T00:00:00"/>
    <n v="22026211"/>
    <n v="2235211"/>
    <n v="1001590721"/>
    <s v="MAMTA"/>
    <x v="243"/>
    <n v="0"/>
    <n v="1274"/>
    <n v="0"/>
    <n v="1274"/>
    <x v="1"/>
    <x v="6"/>
    <n v="0"/>
    <x v="13"/>
  </r>
  <r>
    <n v="4083"/>
    <s v="Delhi Arogya kosh"/>
    <d v="2022-10-31T00:00:00"/>
    <x v="1"/>
    <d v="2022-10-31T00:00:00"/>
    <d v="2022-10-31T00:00:00"/>
    <n v="22029395"/>
    <n v="2238272"/>
    <n v="1001237257"/>
    <s v="RAJPATI"/>
    <x v="243"/>
    <n v="0"/>
    <n v="1274"/>
    <n v="0"/>
    <n v="1274"/>
    <x v="1"/>
    <x v="6"/>
    <n v="0"/>
    <x v="13"/>
  </r>
  <r>
    <n v="4084"/>
    <s v=" ECHS CREDIT"/>
    <d v="2022-10-11T00:00:00"/>
    <x v="1"/>
    <d v="2022-10-11T00:00:00"/>
    <d v="2022-10-11T00:00:00"/>
    <n v="22026496"/>
    <n v="2235493"/>
    <n v="1001781083"/>
    <s v="MITHILESH KUMAR SRIVASTAVA"/>
    <x v="43"/>
    <n v="0"/>
    <n v="1610"/>
    <n v="0"/>
    <n v="1610"/>
    <x v="1"/>
    <x v="6"/>
    <n v="0"/>
    <x v="13"/>
  </r>
  <r>
    <n v="4085"/>
    <s v="Delhi Arogya kosh"/>
    <d v="2022-10-15T00:00:00"/>
    <x v="1"/>
    <d v="2022-10-15T00:00:00"/>
    <d v="2022-10-15T00:00:00"/>
    <n v="22027270"/>
    <n v="2236191"/>
    <n v="10013371548"/>
    <s v="AMRIK SINGH"/>
    <x v="243"/>
    <n v="0"/>
    <n v="1274"/>
    <n v="0"/>
    <n v="1274"/>
    <x v="1"/>
    <x v="6"/>
    <n v="0"/>
    <x v="13"/>
  </r>
  <r>
    <n v="4086"/>
    <s v=" CGHS CREDIT"/>
    <d v="2022-10-28T00:00:00"/>
    <x v="1"/>
    <d v="2022-10-28T00:00:00"/>
    <d v="2022-10-28T00:00:00"/>
    <n v="22028854"/>
    <n v="2237751"/>
    <n v="1001801530"/>
    <s v="UMA BISHT"/>
    <x v="43"/>
    <n v="0"/>
    <n v="1610"/>
    <n v="0"/>
    <n v="1610"/>
    <x v="1"/>
    <x v="6"/>
    <n v="0"/>
    <x v="13"/>
  </r>
  <r>
    <n v="4087"/>
    <s v="Delhi Arogya kosh"/>
    <d v="2022-10-19T00:00:00"/>
    <x v="1"/>
    <d v="2022-10-19T00:00:00"/>
    <d v="2022-10-19T00:00:00"/>
    <n v="22027795"/>
    <n v="2236694"/>
    <n v="10013451090"/>
    <s v="MANJU SUNDRIYAL"/>
    <x v="243"/>
    <n v="0"/>
    <n v="1274"/>
    <n v="0"/>
    <n v="1274"/>
    <x v="1"/>
    <x v="6"/>
    <n v="0"/>
    <x v="13"/>
  </r>
  <r>
    <n v="4088"/>
    <s v="SMILE TRAIN"/>
    <d v="2022-10-18T00:00:00"/>
    <x v="1"/>
    <d v="2022-10-20T00:00:00"/>
    <d v="2022-10-20T00:00:00"/>
    <n v="22027918"/>
    <n v="2236488"/>
    <n v="10013458204"/>
    <s v="TAKSHASHIL"/>
    <x v="2058"/>
    <n v="28507"/>
    <n v="30000"/>
    <n v="0"/>
    <n v="30000"/>
    <x v="1"/>
    <x v="1"/>
    <n v="0"/>
    <x v="6"/>
  </r>
  <r>
    <n v="4089"/>
    <s v="Delhi Arogya kosh"/>
    <d v="2022-10-17T00:00:00"/>
    <x v="1"/>
    <d v="2022-10-17T00:00:00"/>
    <d v="2022-10-17T00:00:00"/>
    <n v="22027506"/>
    <n v="2236416"/>
    <n v="10013292990"/>
    <s v="SONU YADAV"/>
    <x v="243"/>
    <n v="0"/>
    <n v="1274"/>
    <n v="0"/>
    <n v="1274"/>
    <x v="1"/>
    <x v="6"/>
    <n v="0"/>
    <x v="13"/>
  </r>
  <r>
    <n v="4090"/>
    <s v="Delhi Arogya kosh"/>
    <d v="2022-10-29T00:00:00"/>
    <x v="1"/>
    <d v="2022-10-29T00:00:00"/>
    <d v="2022-10-29T00:00:00"/>
    <n v="22029168"/>
    <n v="2238039"/>
    <n v="10013370253"/>
    <s v="USHA RANI"/>
    <x v="243"/>
    <n v="0"/>
    <n v="1274"/>
    <n v="0"/>
    <n v="1274"/>
    <x v="1"/>
    <x v="6"/>
    <n v="0"/>
    <x v="13"/>
  </r>
  <r>
    <n v="4091"/>
    <s v="Delhi Arogya kosh"/>
    <d v="2022-10-27T00:00:00"/>
    <x v="1"/>
    <d v="2022-10-27T00:00:00"/>
    <d v="2022-10-27T00:00:00"/>
    <n v="22028839"/>
    <n v="2237713"/>
    <n v="1001237257"/>
    <s v="RAJPATI"/>
    <x v="243"/>
    <n v="0"/>
    <n v="1274"/>
    <n v="0"/>
    <n v="1274"/>
    <x v="1"/>
    <x v="6"/>
    <n v="0"/>
    <x v="13"/>
  </r>
  <r>
    <n v="4092"/>
    <s v="CGHS ( CREDIT)"/>
    <d v="2022-10-24T00:00:00"/>
    <x v="1"/>
    <d v="2022-10-27T00:00:00"/>
    <d v="2022-10-27T00:00:00"/>
    <n v="22028811"/>
    <n v="2237236"/>
    <n v="10013544301"/>
    <s v="BAISI DEVI"/>
    <x v="2059"/>
    <n v="0"/>
    <n v="75090"/>
    <n v="0"/>
    <n v="75090"/>
    <x v="1"/>
    <x v="1"/>
    <n v="0"/>
    <x v="16"/>
  </r>
  <r>
    <n v="4093"/>
    <s v="GENERAL PATIENT"/>
    <d v="2022-09-08T00:00:00"/>
    <x v="0"/>
    <d v="2022-10-10T00:00:00"/>
    <d v="2022-10-10T00:00:00"/>
    <n v="22026417"/>
    <n v="2231177"/>
    <n v="10013537697"/>
    <s v="BIKRAM JEET SHARMA"/>
    <x v="2060"/>
    <n v="1197205"/>
    <n v="0"/>
    <n v="0"/>
    <n v="0"/>
    <x v="1"/>
    <x v="9"/>
    <e v="#DIV/0!"/>
    <x v="0"/>
  </r>
  <r>
    <n v="4094"/>
    <s v="Delhi Arogya kosh"/>
    <d v="2022-10-22T00:00:00"/>
    <x v="1"/>
    <d v="2022-10-22T00:00:00"/>
    <d v="2022-10-22T00:00:00"/>
    <n v="22028289"/>
    <n v="2237097"/>
    <n v="10013499172"/>
    <s v="TUSHAR GOEL"/>
    <x v="243"/>
    <n v="0"/>
    <n v="1274"/>
    <n v="0"/>
    <n v="1274"/>
    <x v="1"/>
    <x v="6"/>
    <n v="0"/>
    <x v="13"/>
  </r>
  <r>
    <n v="4095"/>
    <s v=" DAK DIALYSIS"/>
    <d v="2022-10-07T00:00:00"/>
    <x v="1"/>
    <d v="2022-10-07T00:00:00"/>
    <d v="2022-10-07T00:00:00"/>
    <n v="22025931"/>
    <n v="2234988"/>
    <n v="1001449196"/>
    <s v="RAKESH JAIN"/>
    <x v="243"/>
    <n v="0"/>
    <n v="1274"/>
    <n v="0"/>
    <n v="1274"/>
    <x v="1"/>
    <x v="6"/>
    <n v="0"/>
    <x v="13"/>
  </r>
  <r>
    <n v="4096"/>
    <s v=" CGHS CREDIT"/>
    <d v="2022-10-26T00:00:00"/>
    <x v="1"/>
    <d v="2022-10-26T00:00:00"/>
    <d v="2022-10-26T00:00:00"/>
    <n v="22028590"/>
    <n v="2237446"/>
    <n v="1001749543"/>
    <s v="DALEEP SINGH NEGI"/>
    <x v="43"/>
    <n v="0"/>
    <n v="1610"/>
    <n v="0"/>
    <n v="1610"/>
    <x v="1"/>
    <x v="6"/>
    <n v="0"/>
    <x v="13"/>
  </r>
  <r>
    <n v="4097"/>
    <s v=" ECHS CREDIT"/>
    <d v="2022-10-01T00:00:00"/>
    <x v="1"/>
    <d v="2022-10-01T00:00:00"/>
    <d v="2022-10-01T00:00:00"/>
    <n v="22025116"/>
    <n v="2234181"/>
    <n v="1001781083"/>
    <s v="MITHILESH KUMAR SRIVASTAVA"/>
    <x v="43"/>
    <n v="0"/>
    <n v="1610"/>
    <n v="0"/>
    <n v="1610"/>
    <x v="1"/>
    <x v="6"/>
    <n v="0"/>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75ED5C-82BC-43AF-8FA4-0EB73AACEFF9}" name="PivotTable9"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9">
    <pivotField showAll="0"/>
    <pivotField showAll="0"/>
    <pivotField numFmtId="15" showAll="0"/>
    <pivotField showAll="0">
      <items count="4">
        <item x="2"/>
        <item x="0"/>
        <item x="1"/>
        <item t="default"/>
      </items>
    </pivotField>
    <pivotField numFmtId="15" showAll="0"/>
    <pivotField numFmtId="15" showAll="0"/>
    <pivotField showAll="0"/>
    <pivotField showAll="0"/>
    <pivotField showAll="0"/>
    <pivotField showAll="0"/>
    <pivotField numFmtId="44" showAll="0"/>
    <pivotField dataField="1" numFmtId="44" showAll="0"/>
    <pivotField numFmtId="44" showAll="0"/>
    <pivotField numFmtId="44" showAll="0"/>
    <pivotField numFmtId="44" showAll="0"/>
    <pivotField showAll="0">
      <items count="3">
        <item x="1"/>
        <item x="0"/>
        <item t="default"/>
      </items>
    </pivotField>
    <pivotField showAll="0">
      <items count="23">
        <item x="21"/>
        <item x="6"/>
        <item x="15"/>
        <item x="10"/>
        <item x="1"/>
        <item x="9"/>
        <item x="7"/>
        <item x="18"/>
        <item x="12"/>
        <item x="14"/>
        <item x="3"/>
        <item x="5"/>
        <item x="20"/>
        <item x="13"/>
        <item x="4"/>
        <item x="8"/>
        <item x="17"/>
        <item x="16"/>
        <item x="2"/>
        <item x="0"/>
        <item x="11"/>
        <item x="19"/>
        <item t="default"/>
      </items>
    </pivotField>
    <pivotField showAll="0"/>
    <pivotField showAll="0">
      <items count="29">
        <item x="25"/>
        <item x="10"/>
        <item x="4"/>
        <item x="26"/>
        <item x="20"/>
        <item x="24"/>
        <item x="14"/>
        <item x="19"/>
        <item x="7"/>
        <item x="15"/>
        <item x="17"/>
        <item x="1"/>
        <item x="27"/>
        <item x="8"/>
        <item x="0"/>
        <item x="13"/>
        <item x="2"/>
        <item x="9"/>
        <item x="22"/>
        <item x="16"/>
        <item x="21"/>
        <item x="3"/>
        <item x="23"/>
        <item x="6"/>
        <item x="12"/>
        <item x="18"/>
        <item x="11"/>
        <item x="5"/>
        <item t="default"/>
      </items>
    </pivotField>
  </pivotFields>
  <rowItems count="1">
    <i/>
  </rowItems>
  <colItems count="1">
    <i/>
  </colItems>
  <dataFields count="1">
    <dataField name="Sum of Discount Amount" fld="11" baseField="0" baseItem="0" numFmtId="44"/>
  </dataFields>
  <formats count="1">
    <format dxfId="1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3A17E2-55CB-4AB2-B630-328B5A97E302}" name="PivotTable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showAll="0"/>
    <pivotField numFmtId="15" showAll="0"/>
    <pivotField showAll="0">
      <items count="4">
        <item x="2"/>
        <item x="0"/>
        <item x="1"/>
        <item t="default"/>
      </items>
    </pivotField>
    <pivotField numFmtId="15" showAll="0"/>
    <pivotField numFmtId="15" showAll="0"/>
    <pivotField showAll="0"/>
    <pivotField showAll="0"/>
    <pivotField showAll="0"/>
    <pivotField showAll="0"/>
    <pivotField dataField="1" numFmtId="44" showAll="0"/>
    <pivotField numFmtId="44" showAll="0"/>
    <pivotField numFmtId="44" showAll="0"/>
    <pivotField numFmtId="44" showAll="0"/>
    <pivotField numFmtId="44" showAll="0"/>
    <pivotField showAll="0">
      <items count="3">
        <item x="1"/>
        <item x="0"/>
        <item t="default"/>
      </items>
    </pivotField>
    <pivotField showAll="0">
      <items count="23">
        <item x="21"/>
        <item x="6"/>
        <item x="15"/>
        <item x="10"/>
        <item x="1"/>
        <item x="9"/>
        <item x="7"/>
        <item x="18"/>
        <item x="12"/>
        <item x="14"/>
        <item x="3"/>
        <item x="5"/>
        <item x="20"/>
        <item x="13"/>
        <item x="4"/>
        <item x="8"/>
        <item x="17"/>
        <item x="16"/>
        <item x="2"/>
        <item x="0"/>
        <item x="11"/>
        <item x="19"/>
        <item t="default"/>
      </items>
    </pivotField>
    <pivotField showAll="0"/>
    <pivotField showAll="0">
      <items count="29">
        <item x="25"/>
        <item x="10"/>
        <item x="4"/>
        <item x="26"/>
        <item x="20"/>
        <item x="24"/>
        <item x="14"/>
        <item x="19"/>
        <item x="7"/>
        <item x="15"/>
        <item x="17"/>
        <item x="1"/>
        <item x="27"/>
        <item x="8"/>
        <item x="0"/>
        <item x="13"/>
        <item x="2"/>
        <item x="9"/>
        <item x="22"/>
        <item x="16"/>
        <item x="21"/>
        <item x="3"/>
        <item x="23"/>
        <item x="6"/>
        <item x="12"/>
        <item x="18"/>
        <item x="11"/>
        <item x="5"/>
        <item t="default"/>
      </items>
    </pivotField>
  </pivotFields>
  <rowItems count="1">
    <i/>
  </rowItems>
  <colItems count="1">
    <i/>
  </colItems>
  <dataFields count="1">
    <dataField name="Sum of Bill Amount"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BA1728-D2D8-4F81-A9C5-B82AB74915E5}" name="PivotTable6"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8:E11" firstHeaderRow="1" firstDataRow="1" firstDataCol="1"/>
  <pivotFields count="19">
    <pivotField showAll="0"/>
    <pivotField showAll="0"/>
    <pivotField numFmtId="15" showAll="0"/>
    <pivotField showAll="0">
      <items count="4">
        <item x="2"/>
        <item x="0"/>
        <item x="1"/>
        <item t="default"/>
      </items>
    </pivotField>
    <pivotField numFmtId="15" showAll="0"/>
    <pivotField numFmtId="15" showAll="0"/>
    <pivotField showAll="0"/>
    <pivotField showAll="0"/>
    <pivotField showAll="0"/>
    <pivotField showAll="0"/>
    <pivotField numFmtId="44" showAll="0"/>
    <pivotField numFmtId="44" showAll="0"/>
    <pivotField dataField="1" numFmtId="44" showAll="0"/>
    <pivotField numFmtId="44" showAll="0"/>
    <pivotField numFmtId="44" showAll="0"/>
    <pivotField axis="axisRow" showAll="0">
      <items count="3">
        <item x="1"/>
        <item x="0"/>
        <item t="default"/>
      </items>
    </pivotField>
    <pivotField showAll="0">
      <items count="23">
        <item x="21"/>
        <item x="6"/>
        <item x="15"/>
        <item x="10"/>
        <item x="1"/>
        <item x="9"/>
        <item x="7"/>
        <item x="18"/>
        <item x="12"/>
        <item x="14"/>
        <item x="3"/>
        <item x="5"/>
        <item x="20"/>
        <item x="13"/>
        <item x="4"/>
        <item x="8"/>
        <item x="17"/>
        <item x="16"/>
        <item x="2"/>
        <item x="0"/>
        <item x="11"/>
        <item x="19"/>
        <item t="default"/>
      </items>
    </pivotField>
    <pivotField showAll="0"/>
    <pivotField showAll="0">
      <items count="29">
        <item x="25"/>
        <item x="10"/>
        <item x="4"/>
        <item x="26"/>
        <item x="20"/>
        <item x="24"/>
        <item x="14"/>
        <item x="19"/>
        <item x="7"/>
        <item x="15"/>
        <item x="17"/>
        <item x="1"/>
        <item x="27"/>
        <item x="8"/>
        <item x="0"/>
        <item x="13"/>
        <item x="2"/>
        <item x="9"/>
        <item x="22"/>
        <item x="16"/>
        <item x="21"/>
        <item x="3"/>
        <item x="23"/>
        <item x="6"/>
        <item x="12"/>
        <item x="18"/>
        <item x="11"/>
        <item x="5"/>
        <item t="default"/>
      </items>
    </pivotField>
  </pivotFields>
  <rowFields count="1">
    <field x="15"/>
  </rowFields>
  <rowItems count="3">
    <i>
      <x/>
    </i>
    <i>
      <x v="1"/>
    </i>
    <i t="grand">
      <x/>
    </i>
  </rowItems>
  <colItems count="1">
    <i/>
  </colItems>
  <dataFields count="1">
    <dataField name="Sum of NET Amount" fld="12" baseField="0" baseItem="0" numFmtId="164"/>
  </dataFields>
  <formats count="1">
    <format dxfId="13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28B13F-8039-4CA9-8930-39CB57267AB7}" name="PivotTable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C14" firstHeaderRow="0" firstDataRow="1" firstDataCol="1"/>
  <pivotFields count="19">
    <pivotField showAll="0"/>
    <pivotField showAll="0"/>
    <pivotField numFmtId="15" showAll="0"/>
    <pivotField showAll="0">
      <items count="4">
        <item x="2"/>
        <item x="0"/>
        <item x="1"/>
        <item t="default"/>
      </items>
    </pivotField>
    <pivotField numFmtId="15" showAll="0"/>
    <pivotField numFmtId="15" showAll="0"/>
    <pivotField showAll="0"/>
    <pivotField showAll="0"/>
    <pivotField showAll="0"/>
    <pivotField showAll="0"/>
    <pivotField dataField="1" numFmtId="44" showAll="0"/>
    <pivotField numFmtId="44" showAll="0"/>
    <pivotField dataField="1" numFmtId="44" showAll="0"/>
    <pivotField numFmtId="44" showAll="0"/>
    <pivotField numFmtId="44" showAll="0"/>
    <pivotField showAll="0">
      <items count="3">
        <item x="1"/>
        <item x="0"/>
        <item t="default"/>
      </items>
    </pivotField>
    <pivotField showAll="0">
      <items count="23">
        <item x="21"/>
        <item x="6"/>
        <item x="15"/>
        <item x="10"/>
        <item x="1"/>
        <item x="9"/>
        <item x="7"/>
        <item x="18"/>
        <item x="12"/>
        <item x="14"/>
        <item x="3"/>
        <item x="5"/>
        <item x="20"/>
        <item x="13"/>
        <item x="4"/>
        <item x="8"/>
        <item x="17"/>
        <item x="16"/>
        <item x="2"/>
        <item x="0"/>
        <item x="11"/>
        <item x="19"/>
        <item t="default"/>
      </items>
    </pivotField>
    <pivotField showAll="0"/>
    <pivotField axis="axisRow" showAll="0" measureFilter="1">
      <items count="29">
        <item x="25"/>
        <item x="10"/>
        <item x="4"/>
        <item x="26"/>
        <item x="20"/>
        <item x="24"/>
        <item x="14"/>
        <item x="19"/>
        <item x="7"/>
        <item x="15"/>
        <item x="17"/>
        <item x="1"/>
        <item x="27"/>
        <item x="8"/>
        <item x="0"/>
        <item x="13"/>
        <item x="2"/>
        <item x="9"/>
        <item x="22"/>
        <item x="16"/>
        <item x="21"/>
        <item x="3"/>
        <item x="23"/>
        <item x="6"/>
        <item x="12"/>
        <item x="18"/>
        <item x="11"/>
        <item x="5"/>
        <item t="default"/>
      </items>
    </pivotField>
  </pivotFields>
  <rowFields count="1">
    <field x="18"/>
  </rowFields>
  <rowItems count="6">
    <i>
      <x v="2"/>
    </i>
    <i>
      <x v="11"/>
    </i>
    <i>
      <x v="14"/>
    </i>
    <i>
      <x v="16"/>
    </i>
    <i>
      <x v="21"/>
    </i>
    <i t="grand">
      <x/>
    </i>
  </rowItems>
  <colFields count="1">
    <field x="-2"/>
  </colFields>
  <colItems count="2">
    <i>
      <x/>
    </i>
    <i i="1">
      <x v="1"/>
    </i>
  </colItems>
  <dataFields count="2">
    <dataField name="Sum of Bill Amount" fld="10" baseField="20" baseItem="0" numFmtId="44"/>
    <dataField name="Sum of NET Amount" fld="12" baseField="0" baseItem="0" numFmtId="44"/>
  </dataFields>
  <formats count="1">
    <format dxfId="135">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C38CB5-A0CA-43ED-8A1F-EF5F75156C62}" name="PivotTable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9">
    <pivotField showAll="0"/>
    <pivotField showAll="0"/>
    <pivotField numFmtId="15" showAll="0"/>
    <pivotField showAll="0">
      <items count="4">
        <item x="2"/>
        <item x="0"/>
        <item x="1"/>
        <item t="default"/>
      </items>
    </pivotField>
    <pivotField numFmtId="15" showAll="0"/>
    <pivotField numFmtId="15" showAll="0"/>
    <pivotField showAll="0"/>
    <pivotField showAll="0"/>
    <pivotField showAll="0"/>
    <pivotField showAll="0"/>
    <pivotField numFmtId="44" showAll="0"/>
    <pivotField dataField="1" numFmtId="44" showAll="0"/>
    <pivotField numFmtId="44" showAll="0"/>
    <pivotField numFmtId="44" showAll="0"/>
    <pivotField numFmtId="44" showAll="0"/>
    <pivotField showAll="0">
      <items count="3">
        <item x="1"/>
        <item x="0"/>
        <item t="default"/>
      </items>
    </pivotField>
    <pivotField showAll="0">
      <items count="23">
        <item x="21"/>
        <item x="6"/>
        <item x="15"/>
        <item x="10"/>
        <item x="1"/>
        <item x="9"/>
        <item x="7"/>
        <item x="18"/>
        <item x="12"/>
        <item x="14"/>
        <item x="3"/>
        <item x="5"/>
        <item x="20"/>
        <item x="13"/>
        <item x="4"/>
        <item x="8"/>
        <item x="17"/>
        <item x="16"/>
        <item x="2"/>
        <item x="0"/>
        <item x="11"/>
        <item x="19"/>
        <item t="default"/>
      </items>
    </pivotField>
    <pivotField showAll="0"/>
    <pivotField showAll="0">
      <items count="29">
        <item x="25"/>
        <item x="10"/>
        <item x="4"/>
        <item x="26"/>
        <item x="20"/>
        <item x="24"/>
        <item x="14"/>
        <item x="19"/>
        <item x="7"/>
        <item x="15"/>
        <item x="17"/>
        <item x="1"/>
        <item x="27"/>
        <item x="8"/>
        <item x="0"/>
        <item x="13"/>
        <item x="2"/>
        <item x="9"/>
        <item x="22"/>
        <item x="16"/>
        <item x="21"/>
        <item x="3"/>
        <item x="23"/>
        <item x="6"/>
        <item x="12"/>
        <item x="18"/>
        <item x="11"/>
        <item x="5"/>
        <item t="default"/>
      </items>
    </pivotField>
  </pivotFields>
  <rowItems count="1">
    <i/>
  </rowItems>
  <colItems count="1">
    <i/>
  </colItems>
  <dataFields count="1">
    <dataField name="Sum of Discount Amount" fld="11" baseField="0" baseItem="0" numFmtId="44"/>
  </dataFields>
  <formats count="1">
    <format dxfId="1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97F206-0B95-4B4E-9EE5-FBC172D1A02A}" name="PivotTable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9">
    <pivotField showAll="0"/>
    <pivotField showAll="0"/>
    <pivotField numFmtId="15" showAll="0"/>
    <pivotField showAll="0">
      <items count="4">
        <item x="2"/>
        <item x="0"/>
        <item x="1"/>
        <item t="default"/>
      </items>
    </pivotField>
    <pivotField numFmtId="15" showAll="0"/>
    <pivotField numFmtId="15" showAll="0"/>
    <pivotField showAll="0"/>
    <pivotField showAll="0"/>
    <pivotField showAll="0"/>
    <pivotField showAll="0"/>
    <pivotField numFmtId="44" showAll="0"/>
    <pivotField numFmtId="44" showAll="0"/>
    <pivotField dataField="1" numFmtId="44" showAll="0"/>
    <pivotField numFmtId="44" showAll="0"/>
    <pivotField numFmtId="44" showAll="0"/>
    <pivotField showAll="0">
      <items count="3">
        <item x="1"/>
        <item x="0"/>
        <item t="default"/>
      </items>
    </pivotField>
    <pivotField showAll="0">
      <items count="23">
        <item x="21"/>
        <item x="6"/>
        <item x="15"/>
        <item x="10"/>
        <item x="1"/>
        <item x="9"/>
        <item x="7"/>
        <item x="18"/>
        <item x="12"/>
        <item x="14"/>
        <item x="3"/>
        <item x="5"/>
        <item x="20"/>
        <item x="13"/>
        <item x="4"/>
        <item x="8"/>
        <item x="17"/>
        <item x="16"/>
        <item x="2"/>
        <item x="0"/>
        <item x="11"/>
        <item x="19"/>
        <item t="default"/>
      </items>
    </pivotField>
    <pivotField showAll="0"/>
    <pivotField showAll="0">
      <items count="29">
        <item x="25"/>
        <item x="10"/>
        <item x="4"/>
        <item x="26"/>
        <item x="20"/>
        <item x="24"/>
        <item x="14"/>
        <item x="19"/>
        <item x="7"/>
        <item x="15"/>
        <item x="17"/>
        <item x="1"/>
        <item x="27"/>
        <item x="8"/>
        <item x="0"/>
        <item x="13"/>
        <item x="2"/>
        <item x="9"/>
        <item x="22"/>
        <item x="16"/>
        <item x="21"/>
        <item x="3"/>
        <item x="23"/>
        <item x="6"/>
        <item x="12"/>
        <item x="18"/>
        <item x="11"/>
        <item x="5"/>
        <item t="default"/>
      </items>
    </pivotField>
  </pivotFields>
  <rowItems count="1">
    <i/>
  </rowItems>
  <colItems count="1">
    <i/>
  </colItems>
  <dataFields count="1">
    <dataField name="Sum of NET Amount" fld="12" baseField="0" baseItem="0" numFmtId="44"/>
  </dataFields>
  <formats count="1">
    <format dxfId="1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30EA25-870F-4ACB-92D2-EB3C3796CBEB}" name="PivotTable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9">
    <pivotField showAll="0"/>
    <pivotField showAll="0"/>
    <pivotField numFmtId="15" showAll="0"/>
    <pivotField showAll="0">
      <items count="4">
        <item x="2"/>
        <item x="0"/>
        <item x="1"/>
        <item t="default"/>
      </items>
    </pivotField>
    <pivotField numFmtId="15" showAll="0"/>
    <pivotField numFmtId="15" showAll="0"/>
    <pivotField showAll="0"/>
    <pivotField showAll="0"/>
    <pivotField showAll="0"/>
    <pivotField showAll="0"/>
    <pivotField numFmtId="44" showAll="0"/>
    <pivotField numFmtId="44" showAll="0"/>
    <pivotField numFmtId="44" showAll="0"/>
    <pivotField dataField="1" numFmtId="44" showAll="0"/>
    <pivotField numFmtId="44" showAll="0"/>
    <pivotField showAll="0">
      <items count="3">
        <item x="1"/>
        <item x="0"/>
        <item t="default"/>
      </items>
    </pivotField>
    <pivotField showAll="0">
      <items count="23">
        <item x="21"/>
        <item x="6"/>
        <item x="15"/>
        <item x="10"/>
        <item x="1"/>
        <item x="9"/>
        <item x="7"/>
        <item x="18"/>
        <item x="12"/>
        <item x="14"/>
        <item x="3"/>
        <item x="5"/>
        <item x="20"/>
        <item x="13"/>
        <item x="4"/>
        <item x="8"/>
        <item x="17"/>
        <item x="16"/>
        <item x="2"/>
        <item x="0"/>
        <item x="11"/>
        <item x="19"/>
        <item t="default"/>
      </items>
    </pivotField>
    <pivotField showAll="0"/>
    <pivotField showAll="0">
      <items count="29">
        <item x="25"/>
        <item x="10"/>
        <item x="4"/>
        <item x="26"/>
        <item x="20"/>
        <item x="24"/>
        <item x="14"/>
        <item x="19"/>
        <item x="7"/>
        <item x="15"/>
        <item x="17"/>
        <item x="1"/>
        <item x="27"/>
        <item x="8"/>
        <item x="0"/>
        <item x="13"/>
        <item x="2"/>
        <item x="9"/>
        <item x="22"/>
        <item x="16"/>
        <item x="21"/>
        <item x="3"/>
        <item x="23"/>
        <item x="6"/>
        <item x="12"/>
        <item x="18"/>
        <item x="11"/>
        <item x="5"/>
        <item t="default"/>
      </items>
    </pivotField>
  </pivotFields>
  <rowItems count="1">
    <i/>
  </rowItems>
  <colItems count="1">
    <i/>
  </colItems>
  <dataFields count="1">
    <dataField name="Sum of Paid Amount" fld="13" baseField="0" baseItem="0" numFmtId="44"/>
  </dataFields>
  <formats count="1">
    <format dxfId="1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B55606-2DAA-4714-BDE8-1E17D48E839A}" name="PivotTable10"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8:J12" firstHeaderRow="1" firstDataRow="1" firstDataCol="1"/>
  <pivotFields count="19">
    <pivotField showAll="0"/>
    <pivotField showAll="0"/>
    <pivotField numFmtId="15" showAll="0"/>
    <pivotField axis="axisRow" showAll="0">
      <items count="4">
        <item x="2"/>
        <item x="0"/>
        <item x="1"/>
        <item t="default"/>
      </items>
    </pivotField>
    <pivotField numFmtId="15" showAll="0"/>
    <pivotField numFmtId="15" showAll="0"/>
    <pivotField showAll="0"/>
    <pivotField showAll="0"/>
    <pivotField showAll="0"/>
    <pivotField showAll="0"/>
    <pivotField numFmtId="44" showAll="0"/>
    <pivotField numFmtId="44" showAll="0"/>
    <pivotField dataField="1" numFmtId="44" showAll="0"/>
    <pivotField numFmtId="44" showAll="0"/>
    <pivotField numFmtId="44" showAll="0"/>
    <pivotField showAll="0">
      <items count="3">
        <item x="1"/>
        <item x="0"/>
        <item t="default"/>
      </items>
    </pivotField>
    <pivotField showAll="0">
      <items count="23">
        <item x="21"/>
        <item x="6"/>
        <item x="15"/>
        <item x="10"/>
        <item x="1"/>
        <item x="9"/>
        <item x="7"/>
        <item x="18"/>
        <item x="12"/>
        <item x="14"/>
        <item x="3"/>
        <item x="5"/>
        <item x="20"/>
        <item x="13"/>
        <item x="4"/>
        <item x="8"/>
        <item x="17"/>
        <item x="16"/>
        <item x="2"/>
        <item x="0"/>
        <item x="11"/>
        <item x="19"/>
        <item t="default"/>
      </items>
    </pivotField>
    <pivotField showAll="0"/>
    <pivotField showAll="0">
      <items count="29">
        <item x="25"/>
        <item x="10"/>
        <item x="4"/>
        <item x="26"/>
        <item x="20"/>
        <item x="24"/>
        <item x="14"/>
        <item x="19"/>
        <item x="7"/>
        <item x="15"/>
        <item x="17"/>
        <item x="1"/>
        <item x="27"/>
        <item x="8"/>
        <item x="0"/>
        <item x="13"/>
        <item x="2"/>
        <item x="9"/>
        <item x="22"/>
        <item x="16"/>
        <item x="21"/>
        <item x="3"/>
        <item x="23"/>
        <item x="6"/>
        <item x="12"/>
        <item x="18"/>
        <item x="11"/>
        <item x="5"/>
        <item t="default"/>
      </items>
    </pivotField>
  </pivotFields>
  <rowFields count="1">
    <field x="3"/>
  </rowFields>
  <rowItems count="4">
    <i>
      <x/>
    </i>
    <i>
      <x v="1"/>
    </i>
    <i>
      <x v="2"/>
    </i>
    <i t="grand">
      <x/>
    </i>
  </rowItems>
  <colItems count="1">
    <i/>
  </colItems>
  <dataFields count="1">
    <dataField name="Sum of NET Amount" fld="12" baseField="0" baseItem="0" numFmtId="44"/>
  </dataFields>
  <formats count="1">
    <format dxfId="13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Month" xr10:uid="{432E02CD-8D85-41F7-9318-BD4138AA31B0}" sourceName="Admission Month">
  <pivotTables>
    <pivotTable tabId="2" name="PivotTable1"/>
    <pivotTable tabId="2" name="PivotTable2"/>
    <pivotTable tabId="2" name="PivotTable3"/>
    <pivotTable tabId="2" name="PivotTable4"/>
    <pivotTable tabId="2" name="PivotTable5"/>
    <pivotTable tabId="2" name="PivotTable6"/>
    <pivotTable tabId="2" name="PivotTable9"/>
    <pivotTable tabId="2" name="PivotTable10"/>
  </pivotTables>
  <data>
    <tabular pivotCacheId="13953124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8E65C08-4711-4D6E-89C2-9AFCE236F2AB}" sourceName="Status">
  <pivotTables>
    <pivotTable tabId="2" name="PivotTable1"/>
    <pivotTable tabId="2" name="PivotTable2"/>
    <pivotTable tabId="2" name="PivotTable3"/>
    <pivotTable tabId="2" name="PivotTable4"/>
    <pivotTable tabId="2" name="PivotTable5"/>
    <pivotTable tabId="2" name="PivotTable6"/>
    <pivotTable tabId="2" name="PivotTable9"/>
    <pivotTable tabId="2" name="PivotTable10"/>
  </pivotTables>
  <data>
    <tabular pivotCacheId="13953124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TYPE" xr10:uid="{DB72BBF0-F5D3-45E7-A092-591D40E32940}" sourceName="PAYTYPE">
  <pivotTables>
    <pivotTable tabId="2" name="PivotTable1"/>
    <pivotTable tabId="2" name="PivotTable2"/>
    <pivotTable tabId="2" name="PivotTable3"/>
    <pivotTable tabId="2" name="PivotTable4"/>
    <pivotTable tabId="2" name="PivotTable5"/>
    <pivotTable tabId="2" name="PivotTable6"/>
    <pivotTable tabId="2" name="PivotTable9"/>
    <pivotTable tabId="2" name="PivotTable10"/>
  </pivotTables>
  <data>
    <tabular pivotCacheId="139531244">
      <items count="22">
        <i x="21" s="1"/>
        <i x="6" s="1"/>
        <i x="15" s="1"/>
        <i x="10" s="1"/>
        <i x="1" s="1"/>
        <i x="9" s="1"/>
        <i x="7" s="1"/>
        <i x="18" s="1"/>
        <i x="12" s="1"/>
        <i x="14" s="1"/>
        <i x="3" s="1"/>
        <i x="5" s="1"/>
        <i x="20" s="1"/>
        <i x="13" s="1"/>
        <i x="4" s="1"/>
        <i x="8" s="1"/>
        <i x="17" s="1"/>
        <i x="16" s="1"/>
        <i x="2" s="1"/>
        <i x="0" s="1"/>
        <i x="11" s="1"/>
        <i x="1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L" xr10:uid="{E20D7BDA-2BC5-43BF-B2C4-B1D450A0558B}" sourceName="SPL">
  <pivotTables>
    <pivotTable tabId="2" name="PivotTable10"/>
    <pivotTable tabId="2" name="PivotTable1"/>
    <pivotTable tabId="2" name="PivotTable2"/>
    <pivotTable tabId="2" name="PivotTable3"/>
    <pivotTable tabId="2" name="PivotTable4"/>
    <pivotTable tabId="2" name="PivotTable6"/>
    <pivotTable tabId="2" name="PivotTable9"/>
  </pivotTables>
  <data>
    <tabular pivotCacheId="139531244">
      <items count="28">
        <i x="25" s="1"/>
        <i x="10" s="1"/>
        <i x="4" s="1"/>
        <i x="26" s="1"/>
        <i x="20" s="1"/>
        <i x="24" s="1"/>
        <i x="14" s="1"/>
        <i x="19" s="1"/>
        <i x="7" s="1"/>
        <i x="15" s="1"/>
        <i x="17" s="1"/>
        <i x="1" s="1"/>
        <i x="27" s="1"/>
        <i x="8" s="1"/>
        <i x="0" s="1"/>
        <i x="13" s="1"/>
        <i x="2" s="1"/>
        <i x="9" s="1"/>
        <i x="22" s="1"/>
        <i x="16" s="1"/>
        <i x="21" s="1"/>
        <i x="3" s="1"/>
        <i x="23" s="1"/>
        <i x="6" s="1"/>
        <i x="12" s="1"/>
        <i x="18" s="1"/>
        <i x="1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dmission Month" xr10:uid="{01C42C66-72D7-44D0-906A-67DE27BC9EDC}" cache="Slicer_Admission_Month" caption="Admission Month" rowHeight="234950"/>
  <slicer name="Status" xr10:uid="{F223CA5E-82AF-4D52-B3D0-897AA2665E90}" cache="Slicer_Status" caption="Status" rowHeight="234950"/>
  <slicer name="PAYTYPE" xr10:uid="{936FCD87-86B5-4DB9-A069-8AA8DC6713FA}" cache="Slicer_PAYTYPE" caption="PAYTYPE" rowHeight="234950"/>
  <slicer name="SPL" xr10:uid="{69FFE32C-7686-4157-BBB7-972E818760A2}" cache="Slicer_SPL" caption="SP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8B53F1-CD91-4C9A-A3BA-EA900E18F26F}" name="Table1" displayName="Table1" ref="A2:S4099" totalsRowShown="0" headerRowDxfId="131" headerRowBorderDxfId="130" tableBorderDxfId="129" totalsRowBorderDxfId="128">
  <autoFilter ref="A2:S4099" xr:uid="{BE8B53F1-CD91-4C9A-A3BA-EA900E18F26F}"/>
  <tableColumns count="19">
    <tableColumn id="1" xr3:uid="{833F5143-2F55-4356-B54E-7B44DC30C6E0}" name="Sl.No" dataDxfId="127"/>
    <tableColumn id="2" xr3:uid="{9DD185C7-9AAD-4768-83DA-5E4BC1699A5E}" name="Panel Name" dataDxfId="126"/>
    <tableColumn id="3" xr3:uid="{A8E3DB80-87FA-48DC-9544-DC9D4A384ADE}" name="Admission Date" dataDxfId="125"/>
    <tableColumn id="21" xr3:uid="{39002205-3565-405A-817C-E0627C591670}" name="Admission Month" dataDxfId="124">
      <calculatedColumnFormula>TEXT(Table1[[#This Row],[Admission Date]],"MMMM")</calculatedColumnFormula>
    </tableColumn>
    <tableColumn id="4" xr3:uid="{1004AE89-DE49-4807-BFF2-C518E885E16D}" name="Discharge Date" dataDxfId="123"/>
    <tableColumn id="5" xr3:uid="{8E10D4F9-05E1-4458-AB31-C8346FB7B277}" name="Bill Date" dataDxfId="122"/>
    <tableColumn id="6" xr3:uid="{F9F47E11-B7A0-44EA-B248-0FD162693B9A}" name="Bill No" dataDxfId="121"/>
    <tableColumn id="7" xr3:uid="{5279990D-DFE4-425A-843A-EF1905BD656E}" name="I.P. No" dataDxfId="120"/>
    <tableColumn id="8" xr3:uid="{546292C3-210D-4B9E-8515-5CE0563EA077}" name="MR No" dataDxfId="119"/>
    <tableColumn id="9" xr3:uid="{4E140AEA-1DEC-4E4F-8B88-BCB1DB8FE81A}" name="Pt. Name" dataDxfId="118"/>
    <tableColumn id="10" xr3:uid="{9018E68D-23AF-4AD0-B86B-CCAA06B3A469}" name="Bill Amount" dataDxfId="117"/>
    <tableColumn id="11" xr3:uid="{BF98EAEF-5659-4658-83AB-6B7668DEF9DF}" name="Discount Amount" dataDxfId="116"/>
    <tableColumn id="12" xr3:uid="{E5ADF6EA-E22D-4476-88E1-1B2368C4091D}" name="NET Amount" dataDxfId="115"/>
    <tableColumn id="13" xr3:uid="{70E5C07D-A338-499F-A333-3A7864446E6F}" name="Paid Amount" dataDxfId="114"/>
    <tableColumn id="16" xr3:uid="{6EC6334C-6750-47B8-8493-30050FA5D6E2}" name="Total Outstanding Amount" dataDxfId="113">
      <calculatedColumnFormula>Table1[[#This Row],[NET Amount]]-Table1[[#This Row],[Paid Amount]]</calculatedColumnFormula>
    </tableColumn>
    <tableColumn id="17" xr3:uid="{2E8CC332-2437-4C58-954A-170A3744BCD8}" name="Status" dataDxfId="112"/>
    <tableColumn id="18" xr3:uid="{2677D937-E89C-4DEC-BB26-8B3FB579CCFF}" name="PAYTYPE" dataDxfId="111"/>
    <tableColumn id="14" xr3:uid="{CD5A8847-1064-4938-8891-B05E8567B3D7}" name="Collection Efficiency" dataDxfId="73" dataCellStyle="Percent">
      <calculatedColumnFormula>(Table1[[#This Row],[NET Amount]]-Table1[[#This Row],[Total Outstanding Amount]])/Table1[[#This Row],[NET Amount]]</calculatedColumnFormula>
    </tableColumn>
    <tableColumn id="19" xr3:uid="{C89B2704-5C3F-4FCA-A8CE-2F19B7A11C15}" name="SPL" dataDxfId="11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8">
    <wetp:webextensionref xmlns:r="http://schemas.openxmlformats.org/officeDocument/2006/relationships" r:id="rId2"/>
  </wetp:taskpane>
</wetp:taskpanes>
</file>

<file path=xl/webextensions/webextension1.xml><?xml version="1.0" encoding="utf-8"?>
<we:webextension xmlns:we="http://schemas.microsoft.com/office/webextensions/webextension/2010/11" id="{EB4D9065-80A8-4E31-8452-55B1479AB951}">
  <we:reference id="wa104380955" version="3.16.2.1" store="en-US" storeType="OMEX"/>
  <we:alternateReferences>
    <we:reference id="wa104380955" version="3.16.2.1" store="en-US"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8A98D7FE-D8AD-4A5A-B877-45DF475BB5D0}">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AC338-F52D-4D4E-831C-3717B1EE58F2}">
  <dimension ref="A1:C6"/>
  <sheetViews>
    <sheetView showGridLines="0" tabSelected="1" zoomScale="83" zoomScaleNormal="88" workbookViewId="0">
      <selection activeCell="C34" sqref="C34"/>
    </sheetView>
  </sheetViews>
  <sheetFormatPr defaultRowHeight="14.4" x14ac:dyDescent="0.3"/>
  <sheetData>
    <row r="1" spans="1:3" x14ac:dyDescent="0.3">
      <c r="A1" s="12"/>
      <c r="B1" s="12"/>
      <c r="C1" s="12"/>
    </row>
    <row r="2" spans="1:3" x14ac:dyDescent="0.3">
      <c r="A2" s="12"/>
      <c r="B2" s="12"/>
      <c r="C2" s="12"/>
    </row>
    <row r="3" spans="1:3" x14ac:dyDescent="0.3">
      <c r="A3" s="12"/>
      <c r="B3" s="12"/>
      <c r="C3" s="12"/>
    </row>
    <row r="4" spans="1:3" x14ac:dyDescent="0.3">
      <c r="A4" s="12"/>
      <c r="B4" s="12"/>
      <c r="C4" s="12"/>
    </row>
    <row r="5" spans="1:3" x14ac:dyDescent="0.3">
      <c r="A5" s="12"/>
      <c r="B5" s="12"/>
      <c r="C5" s="12"/>
    </row>
    <row r="6" spans="1:3" x14ac:dyDescent="0.3">
      <c r="A6" s="12"/>
      <c r="B6" s="12"/>
      <c r="C6"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71050-5F70-43C6-9BDF-DBD516A47A90}">
  <dimension ref="A3:J15"/>
  <sheetViews>
    <sheetView workbookViewId="0">
      <selection activeCell="D17" sqref="D17"/>
    </sheetView>
  </sheetViews>
  <sheetFormatPr defaultRowHeight="14.4" x14ac:dyDescent="0.3"/>
  <cols>
    <col min="1" max="1" width="13.33203125" bestFit="1" customWidth="1"/>
    <col min="2" max="2" width="17.44140625" bestFit="1" customWidth="1"/>
    <col min="3" max="3" width="18.33203125" bestFit="1" customWidth="1"/>
    <col min="4" max="4" width="22.44140625" bestFit="1" customWidth="1"/>
    <col min="5" max="7" width="18.33203125" bestFit="1" customWidth="1"/>
    <col min="8" max="8" width="18.6640625" bestFit="1" customWidth="1"/>
    <col min="9" max="9" width="12.5546875" bestFit="1" customWidth="1"/>
    <col min="10" max="11" width="18.33203125" bestFit="1" customWidth="1"/>
  </cols>
  <sheetData>
    <row r="3" spans="1:10" x14ac:dyDescent="0.3">
      <c r="A3" t="s">
        <v>2230</v>
      </c>
      <c r="D3" t="s">
        <v>2231</v>
      </c>
      <c r="F3" t="s">
        <v>2232</v>
      </c>
      <c r="H3" t="s">
        <v>2233</v>
      </c>
      <c r="J3" t="s">
        <v>2231</v>
      </c>
    </row>
    <row r="4" spans="1:10" x14ac:dyDescent="0.3">
      <c r="A4" s="15">
        <v>251251628</v>
      </c>
      <c r="D4" s="15">
        <v>38982171</v>
      </c>
      <c r="F4" s="15">
        <v>212269431</v>
      </c>
      <c r="H4" s="15">
        <v>92889180</v>
      </c>
      <c r="J4" s="15">
        <v>38982171</v>
      </c>
    </row>
    <row r="7" spans="1:10" x14ac:dyDescent="0.3">
      <c r="A7" t="s">
        <v>2234</v>
      </c>
      <c r="D7" t="s">
        <v>2240</v>
      </c>
      <c r="I7" t="s">
        <v>2239</v>
      </c>
    </row>
    <row r="8" spans="1:10" x14ac:dyDescent="0.3">
      <c r="A8" s="13" t="s">
        <v>2228</v>
      </c>
      <c r="B8" t="s">
        <v>2230</v>
      </c>
      <c r="C8" t="s">
        <v>2232</v>
      </c>
      <c r="D8" s="13" t="s">
        <v>2228</v>
      </c>
      <c r="E8" t="s">
        <v>2232</v>
      </c>
      <c r="I8" s="13" t="s">
        <v>2228</v>
      </c>
      <c r="J8" t="s">
        <v>2232</v>
      </c>
    </row>
    <row r="9" spans="1:10" x14ac:dyDescent="0.3">
      <c r="A9" s="14" t="s">
        <v>39</v>
      </c>
      <c r="B9" s="15">
        <v>48067742</v>
      </c>
      <c r="C9" s="15">
        <v>45874215</v>
      </c>
      <c r="D9" s="14" t="s">
        <v>23</v>
      </c>
      <c r="E9" s="15">
        <v>138040443</v>
      </c>
      <c r="I9" s="14" t="s">
        <v>2236</v>
      </c>
      <c r="J9" s="15">
        <v>4901780</v>
      </c>
    </row>
    <row r="10" spans="1:10" x14ac:dyDescent="0.3">
      <c r="A10" s="14" t="s">
        <v>27</v>
      </c>
      <c r="B10" s="15">
        <v>14620253</v>
      </c>
      <c r="C10" s="15">
        <v>12561792</v>
      </c>
      <c r="D10" s="14" t="s">
        <v>18</v>
      </c>
      <c r="E10" s="15">
        <v>74228988</v>
      </c>
      <c r="I10" s="14" t="s">
        <v>2237</v>
      </c>
      <c r="J10" s="15">
        <v>41508272</v>
      </c>
    </row>
    <row r="11" spans="1:10" x14ac:dyDescent="0.3">
      <c r="A11" s="14" t="s">
        <v>20</v>
      </c>
      <c r="B11" s="15">
        <v>108177461</v>
      </c>
      <c r="C11" s="15">
        <v>87598961</v>
      </c>
      <c r="D11" s="14" t="s">
        <v>2229</v>
      </c>
      <c r="E11" s="15">
        <v>212269431</v>
      </c>
      <c r="I11" s="14" t="s">
        <v>2238</v>
      </c>
      <c r="J11" s="15">
        <v>165859379</v>
      </c>
    </row>
    <row r="12" spans="1:10" x14ac:dyDescent="0.3">
      <c r="A12" s="14" t="s">
        <v>32</v>
      </c>
      <c r="B12" s="15">
        <v>11116264</v>
      </c>
      <c r="C12" s="15">
        <v>7512180</v>
      </c>
      <c r="I12" s="14" t="s">
        <v>2229</v>
      </c>
      <c r="J12" s="15">
        <v>212269431</v>
      </c>
    </row>
    <row r="13" spans="1:10" x14ac:dyDescent="0.3">
      <c r="A13" s="14" t="s">
        <v>37</v>
      </c>
      <c r="B13" s="15">
        <v>10605011</v>
      </c>
      <c r="C13" s="15">
        <v>8800359</v>
      </c>
    </row>
    <row r="14" spans="1:10" x14ac:dyDescent="0.3">
      <c r="A14" s="14" t="s">
        <v>2229</v>
      </c>
      <c r="B14" s="15">
        <v>192586731</v>
      </c>
      <c r="C14" s="15">
        <v>162347507</v>
      </c>
    </row>
    <row r="15" spans="1:10" x14ac:dyDescent="0.3">
      <c r="I15"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099"/>
  <sheetViews>
    <sheetView workbookViewId="0">
      <selection activeCell="R8" sqref="R8"/>
    </sheetView>
  </sheetViews>
  <sheetFormatPr defaultRowHeight="14.4" x14ac:dyDescent="0.3"/>
  <cols>
    <col min="1" max="1" width="7.33203125" customWidth="1"/>
    <col min="2" max="2" width="49.21875" bestFit="1" customWidth="1"/>
    <col min="3" max="3" width="15.88671875" customWidth="1"/>
    <col min="4" max="4" width="15.33203125" customWidth="1"/>
    <col min="5" max="6" width="9.6640625" customWidth="1"/>
    <col min="7" max="7" width="9" bestFit="1" customWidth="1"/>
    <col min="8" max="8" width="8.5546875" customWidth="1"/>
    <col min="9" max="9" width="12" bestFit="1" customWidth="1"/>
    <col min="10" max="10" width="41.109375" bestFit="1" customWidth="1"/>
    <col min="11" max="11" width="12.6640625" customWidth="1"/>
    <col min="12" max="13" width="13.88671875" bestFit="1" customWidth="1"/>
    <col min="14" max="14" width="13.88671875" customWidth="1"/>
    <col min="15" max="15" width="17" customWidth="1"/>
    <col min="16" max="16" width="11.6640625" bestFit="1" customWidth="1"/>
    <col min="17" max="17" width="22.33203125" bestFit="1" customWidth="1"/>
    <col min="18" max="18" width="22.33203125" customWidth="1"/>
    <col min="19" max="19" width="26.88671875" bestFit="1" customWidth="1"/>
    <col min="20" max="21" width="11.33203125" bestFit="1" customWidth="1"/>
  </cols>
  <sheetData>
    <row r="1" spans="1:19" x14ac:dyDescent="0.3">
      <c r="B1" s="1" t="s">
        <v>0</v>
      </c>
    </row>
    <row r="2" spans="1:19" x14ac:dyDescent="0.3">
      <c r="A2" s="5" t="s">
        <v>1</v>
      </c>
      <c r="B2" s="6" t="s">
        <v>2</v>
      </c>
      <c r="C2" s="6" t="s">
        <v>3</v>
      </c>
      <c r="D2" s="6" t="s">
        <v>2227</v>
      </c>
      <c r="E2" s="6" t="s">
        <v>4</v>
      </c>
      <c r="F2" s="6" t="s">
        <v>5</v>
      </c>
      <c r="G2" s="6" t="s">
        <v>6</v>
      </c>
      <c r="H2" s="6" t="s">
        <v>7</v>
      </c>
      <c r="I2" s="6" t="s">
        <v>8</v>
      </c>
      <c r="J2" s="6" t="s">
        <v>9</v>
      </c>
      <c r="K2" s="6" t="s">
        <v>10</v>
      </c>
      <c r="L2" s="6" t="s">
        <v>11</v>
      </c>
      <c r="M2" s="6" t="s">
        <v>12</v>
      </c>
      <c r="N2" s="6" t="s">
        <v>13</v>
      </c>
      <c r="O2" s="6" t="s">
        <v>2235</v>
      </c>
      <c r="P2" s="6" t="s">
        <v>14</v>
      </c>
      <c r="Q2" s="6" t="s">
        <v>15</v>
      </c>
      <c r="R2" s="6" t="s">
        <v>2241</v>
      </c>
      <c r="S2" s="6" t="s">
        <v>16</v>
      </c>
    </row>
    <row r="3" spans="1:19" x14ac:dyDescent="0.3">
      <c r="A3" s="4">
        <v>1</v>
      </c>
      <c r="B3" s="2" t="s">
        <v>2244</v>
      </c>
      <c r="C3" s="3">
        <v>44821</v>
      </c>
      <c r="D3" s="3" t="str">
        <f>TEXT(Table1[[#This Row],[Admission Date]],"MMMM")</f>
        <v>September</v>
      </c>
      <c r="E3" s="3">
        <v>44836</v>
      </c>
      <c r="F3" s="3">
        <v>44836</v>
      </c>
      <c r="G3" s="2">
        <v>22025268</v>
      </c>
      <c r="H3" s="2">
        <v>2232371</v>
      </c>
      <c r="I3" s="2">
        <v>1001799253</v>
      </c>
      <c r="J3" s="2" t="s">
        <v>17</v>
      </c>
      <c r="K3" s="10">
        <v>314146</v>
      </c>
      <c r="L3" s="10">
        <v>0</v>
      </c>
      <c r="M3" s="10">
        <v>314146</v>
      </c>
      <c r="N3" s="10">
        <v>314146</v>
      </c>
      <c r="O3" s="10">
        <f>Table1[[#This Row],[NET Amount]]-Table1[[#This Row],[Paid Amount]]</f>
        <v>0</v>
      </c>
      <c r="P3" s="2" t="s">
        <v>18</v>
      </c>
      <c r="Q3" s="2" t="s">
        <v>19</v>
      </c>
      <c r="R3" s="16">
        <f>(Table1[[#This Row],[NET Amount]]-Table1[[#This Row],[Total Outstanding Amount]])/Table1[[#This Row],[NET Amount]]</f>
        <v>1</v>
      </c>
      <c r="S3" s="2" t="s">
        <v>20</v>
      </c>
    </row>
    <row r="4" spans="1:19" x14ac:dyDescent="0.3">
      <c r="A4" s="4">
        <v>2</v>
      </c>
      <c r="B4" s="2" t="s">
        <v>21</v>
      </c>
      <c r="C4" s="3">
        <v>44807</v>
      </c>
      <c r="D4" s="3" t="str">
        <f>TEXT(Table1[[#This Row],[Admission Date]],"MMMM")</f>
        <v>September</v>
      </c>
      <c r="E4" s="3">
        <v>44837</v>
      </c>
      <c r="F4" s="3">
        <v>44837</v>
      </c>
      <c r="G4" s="2">
        <v>22025447</v>
      </c>
      <c r="H4" s="2">
        <v>2230451</v>
      </c>
      <c r="I4" s="2">
        <v>10013536805</v>
      </c>
      <c r="J4" s="2" t="s">
        <v>22</v>
      </c>
      <c r="K4" s="10">
        <v>848924</v>
      </c>
      <c r="L4" s="10">
        <v>0</v>
      </c>
      <c r="M4" s="10">
        <v>848924</v>
      </c>
      <c r="N4" s="10">
        <v>748500</v>
      </c>
      <c r="O4" s="10">
        <f>Table1[[#This Row],[NET Amount]]-Table1[[#This Row],[Paid Amount]]</f>
        <v>100424</v>
      </c>
      <c r="P4" s="2" t="s">
        <v>23</v>
      </c>
      <c r="Q4" s="2" t="s">
        <v>24</v>
      </c>
      <c r="R4" s="16">
        <f>(Table1[[#This Row],[NET Amount]]-Table1[[#This Row],[Total Outstanding Amount]])/Table1[[#This Row],[NET Amount]]</f>
        <v>0.88170436929572027</v>
      </c>
      <c r="S4" s="2" t="s">
        <v>20</v>
      </c>
    </row>
    <row r="5" spans="1:19" x14ac:dyDescent="0.3">
      <c r="A5" s="4">
        <v>3</v>
      </c>
      <c r="B5" s="2" t="s">
        <v>25</v>
      </c>
      <c r="C5" s="3">
        <v>44838</v>
      </c>
      <c r="D5" s="3" t="str">
        <f>TEXT(Table1[[#This Row],[Admission Date]],"MMMM")</f>
        <v>October</v>
      </c>
      <c r="E5" s="3">
        <v>44841</v>
      </c>
      <c r="F5" s="3">
        <v>44841</v>
      </c>
      <c r="G5" s="2">
        <v>22025945</v>
      </c>
      <c r="H5" s="2">
        <v>2234626</v>
      </c>
      <c r="I5" s="2">
        <v>10013508512</v>
      </c>
      <c r="J5" s="2" t="s">
        <v>26</v>
      </c>
      <c r="K5" s="10">
        <v>100804</v>
      </c>
      <c r="L5" s="10">
        <v>12044</v>
      </c>
      <c r="M5" s="10">
        <v>88760</v>
      </c>
      <c r="N5" s="10">
        <v>88760</v>
      </c>
      <c r="O5" s="10">
        <f>Table1[[#This Row],[NET Amount]]-Table1[[#This Row],[Paid Amount]]</f>
        <v>0</v>
      </c>
      <c r="P5" s="2" t="s">
        <v>18</v>
      </c>
      <c r="Q5" s="2" t="s">
        <v>19</v>
      </c>
      <c r="R5" s="16">
        <f>(Table1[[#This Row],[NET Amount]]-Table1[[#This Row],[Total Outstanding Amount]])/Table1[[#This Row],[NET Amount]]</f>
        <v>1</v>
      </c>
      <c r="S5" s="2" t="s">
        <v>27</v>
      </c>
    </row>
    <row r="6" spans="1:19" x14ac:dyDescent="0.3">
      <c r="A6" s="4">
        <v>4</v>
      </c>
      <c r="B6" s="2" t="s">
        <v>28</v>
      </c>
      <c r="C6" s="3">
        <v>44838</v>
      </c>
      <c r="D6" s="3" t="str">
        <f>TEXT(Table1[[#This Row],[Admission Date]],"MMMM")</f>
        <v>October</v>
      </c>
      <c r="E6" s="3">
        <v>44843</v>
      </c>
      <c r="F6" s="3">
        <v>44843</v>
      </c>
      <c r="G6" s="2">
        <v>22026284</v>
      </c>
      <c r="H6" s="2">
        <v>2234631</v>
      </c>
      <c r="I6" s="2">
        <v>10013541481</v>
      </c>
      <c r="J6" s="2" t="s">
        <v>29</v>
      </c>
      <c r="K6" s="10">
        <v>65248</v>
      </c>
      <c r="L6" s="10">
        <v>7252</v>
      </c>
      <c r="M6" s="10">
        <v>57996</v>
      </c>
      <c r="N6" s="10">
        <v>1850</v>
      </c>
      <c r="O6" s="10">
        <f>Table1[[#This Row],[NET Amount]]-Table1[[#This Row],[Paid Amount]]</f>
        <v>56146</v>
      </c>
      <c r="P6" s="2" t="s">
        <v>23</v>
      </c>
      <c r="Q6" s="2" t="s">
        <v>30</v>
      </c>
      <c r="R6" s="16">
        <f>(Table1[[#This Row],[NET Amount]]-Table1[[#This Row],[Total Outstanding Amount]])/Table1[[#This Row],[NET Amount]]</f>
        <v>3.1898751638044003E-2</v>
      </c>
      <c r="S6" s="2" t="s">
        <v>20</v>
      </c>
    </row>
    <row r="7" spans="1:19" x14ac:dyDescent="0.3">
      <c r="A7" s="4">
        <v>5</v>
      </c>
      <c r="B7" s="2" t="s">
        <v>25</v>
      </c>
      <c r="C7" s="3">
        <v>44840</v>
      </c>
      <c r="D7" s="3" t="str">
        <f>TEXT(Table1[[#This Row],[Admission Date]],"MMMM")</f>
        <v>October</v>
      </c>
      <c r="E7" s="3">
        <v>44844</v>
      </c>
      <c r="F7" s="3">
        <v>44844</v>
      </c>
      <c r="G7" s="2">
        <v>22026372</v>
      </c>
      <c r="H7" s="2">
        <v>2234889</v>
      </c>
      <c r="I7" s="2">
        <v>10013527842</v>
      </c>
      <c r="J7" s="2" t="s">
        <v>31</v>
      </c>
      <c r="K7" s="10">
        <v>214957</v>
      </c>
      <c r="L7" s="10">
        <v>28110</v>
      </c>
      <c r="M7" s="10">
        <v>186847</v>
      </c>
      <c r="N7" s="10">
        <v>186847</v>
      </c>
      <c r="O7" s="10">
        <f>Table1[[#This Row],[NET Amount]]-Table1[[#This Row],[Paid Amount]]</f>
        <v>0</v>
      </c>
      <c r="P7" s="2" t="s">
        <v>18</v>
      </c>
      <c r="Q7" s="2" t="s">
        <v>24</v>
      </c>
      <c r="R7" s="16">
        <f>(Table1[[#This Row],[NET Amount]]-Table1[[#This Row],[Total Outstanding Amount]])/Table1[[#This Row],[NET Amount]]</f>
        <v>1</v>
      </c>
      <c r="S7" s="2" t="s">
        <v>32</v>
      </c>
    </row>
    <row r="8" spans="1:19" x14ac:dyDescent="0.3">
      <c r="A8" s="4">
        <v>6</v>
      </c>
      <c r="B8" s="2" t="s">
        <v>25</v>
      </c>
      <c r="C8" s="3">
        <v>44847</v>
      </c>
      <c r="D8" s="3" t="str">
        <f>TEXT(Table1[[#This Row],[Admission Date]],"MMMM")</f>
        <v>October</v>
      </c>
      <c r="E8" s="3">
        <v>44853</v>
      </c>
      <c r="F8" s="3">
        <v>44853</v>
      </c>
      <c r="G8" s="2">
        <v>22027753</v>
      </c>
      <c r="H8" s="2">
        <v>2235893</v>
      </c>
      <c r="I8" s="2">
        <v>10013542334</v>
      </c>
      <c r="J8" s="2" t="s">
        <v>33</v>
      </c>
      <c r="K8" s="10">
        <v>170799</v>
      </c>
      <c r="L8" s="10">
        <v>30952</v>
      </c>
      <c r="M8" s="10">
        <v>139846</v>
      </c>
      <c r="N8" s="10">
        <v>139846</v>
      </c>
      <c r="O8" s="10">
        <f>Table1[[#This Row],[NET Amount]]-Table1[[#This Row],[Paid Amount]]</f>
        <v>0</v>
      </c>
      <c r="P8" s="2" t="s">
        <v>18</v>
      </c>
      <c r="Q8" s="2" t="s">
        <v>24</v>
      </c>
      <c r="R8" s="16">
        <f>(Table1[[#This Row],[NET Amount]]-Table1[[#This Row],[Total Outstanding Amount]])/Table1[[#This Row],[NET Amount]]</f>
        <v>1</v>
      </c>
      <c r="S8" s="2" t="s">
        <v>20</v>
      </c>
    </row>
    <row r="9" spans="1:19" x14ac:dyDescent="0.3">
      <c r="A9" s="4">
        <v>7</v>
      </c>
      <c r="B9" s="2" t="s">
        <v>25</v>
      </c>
      <c r="C9" s="3">
        <v>44847</v>
      </c>
      <c r="D9" s="3" t="str">
        <f>TEXT(Table1[[#This Row],[Admission Date]],"MMMM")</f>
        <v>October</v>
      </c>
      <c r="E9" s="3">
        <v>44857</v>
      </c>
      <c r="F9" s="3">
        <v>44857</v>
      </c>
      <c r="G9" s="2">
        <v>22028324</v>
      </c>
      <c r="H9" s="2">
        <v>2235890</v>
      </c>
      <c r="I9" s="2">
        <v>1001804199</v>
      </c>
      <c r="J9" s="2" t="s">
        <v>34</v>
      </c>
      <c r="K9" s="10">
        <v>266779</v>
      </c>
      <c r="L9" s="10">
        <v>52279</v>
      </c>
      <c r="M9" s="10">
        <v>214500</v>
      </c>
      <c r="N9" s="10">
        <v>214500</v>
      </c>
      <c r="O9" s="10">
        <f>Table1[[#This Row],[NET Amount]]-Table1[[#This Row],[Paid Amount]]</f>
        <v>0</v>
      </c>
      <c r="P9" s="2" t="s">
        <v>18</v>
      </c>
      <c r="Q9" s="2" t="s">
        <v>24</v>
      </c>
      <c r="R9" s="16">
        <f>(Table1[[#This Row],[NET Amount]]-Table1[[#This Row],[Total Outstanding Amount]])/Table1[[#This Row],[NET Amount]]</f>
        <v>1</v>
      </c>
      <c r="S9" s="2" t="s">
        <v>20</v>
      </c>
    </row>
    <row r="10" spans="1:19" x14ac:dyDescent="0.3">
      <c r="A10" s="4">
        <v>8</v>
      </c>
      <c r="B10" s="2" t="s">
        <v>35</v>
      </c>
      <c r="C10" s="3">
        <v>44851</v>
      </c>
      <c r="D10" s="3" t="str">
        <f>TEXT(Table1[[#This Row],[Admission Date]],"MMMM")</f>
        <v>October</v>
      </c>
      <c r="E10" s="3">
        <v>44853</v>
      </c>
      <c r="F10" s="3">
        <v>44853</v>
      </c>
      <c r="G10" s="2">
        <v>22027700</v>
      </c>
      <c r="H10" s="2">
        <v>2236385</v>
      </c>
      <c r="I10" s="2">
        <v>1001804898</v>
      </c>
      <c r="J10" s="2" t="s">
        <v>36</v>
      </c>
      <c r="K10" s="10">
        <v>4926</v>
      </c>
      <c r="L10" s="10">
        <v>0</v>
      </c>
      <c r="M10" s="10">
        <v>4926</v>
      </c>
      <c r="N10" s="10">
        <v>4926</v>
      </c>
      <c r="O10" s="10">
        <f>Table1[[#This Row],[NET Amount]]-Table1[[#This Row],[Paid Amount]]</f>
        <v>0</v>
      </c>
      <c r="P10" s="2" t="s">
        <v>18</v>
      </c>
      <c r="Q10" s="2" t="s">
        <v>24</v>
      </c>
      <c r="R10" s="16">
        <f>(Table1[[#This Row],[NET Amount]]-Table1[[#This Row],[Total Outstanding Amount]])/Table1[[#This Row],[NET Amount]]</f>
        <v>1</v>
      </c>
      <c r="S10" s="2" t="s">
        <v>37</v>
      </c>
    </row>
    <row r="11" spans="1:19" x14ac:dyDescent="0.3">
      <c r="A11" s="4">
        <v>9</v>
      </c>
      <c r="B11" s="2" t="s">
        <v>25</v>
      </c>
      <c r="C11" s="3">
        <v>44849</v>
      </c>
      <c r="D11" s="3" t="str">
        <f>TEXT(Table1[[#This Row],[Admission Date]],"MMMM")</f>
        <v>October</v>
      </c>
      <c r="E11" s="3">
        <v>44851</v>
      </c>
      <c r="F11" s="3">
        <v>44851</v>
      </c>
      <c r="G11" s="2">
        <v>22027410</v>
      </c>
      <c r="H11" s="2">
        <v>2236069</v>
      </c>
      <c r="I11" s="2">
        <v>1001182239</v>
      </c>
      <c r="J11" s="2" t="s">
        <v>38</v>
      </c>
      <c r="K11" s="10">
        <v>103522</v>
      </c>
      <c r="L11" s="10">
        <v>13268</v>
      </c>
      <c r="M11" s="10">
        <v>90253</v>
      </c>
      <c r="N11" s="10">
        <v>90253</v>
      </c>
      <c r="O11" s="10">
        <f>Table1[[#This Row],[NET Amount]]-Table1[[#This Row],[Paid Amount]]</f>
        <v>0</v>
      </c>
      <c r="P11" s="2" t="s">
        <v>18</v>
      </c>
      <c r="Q11" s="2" t="s">
        <v>24</v>
      </c>
      <c r="R11" s="16">
        <f>(Table1[[#This Row],[NET Amount]]-Table1[[#This Row],[Total Outstanding Amount]])/Table1[[#This Row],[NET Amount]]</f>
        <v>1</v>
      </c>
      <c r="S11" s="2" t="s">
        <v>39</v>
      </c>
    </row>
    <row r="12" spans="1:19" x14ac:dyDescent="0.3">
      <c r="A12" s="4">
        <v>10</v>
      </c>
      <c r="B12" s="2" t="s">
        <v>40</v>
      </c>
      <c r="C12" s="3">
        <v>44851</v>
      </c>
      <c r="D12" s="3" t="str">
        <f>TEXT(Table1[[#This Row],[Admission Date]],"MMMM")</f>
        <v>October</v>
      </c>
      <c r="E12" s="3">
        <v>44860</v>
      </c>
      <c r="F12" s="3">
        <v>44860</v>
      </c>
      <c r="G12" s="2">
        <v>22028622</v>
      </c>
      <c r="H12" s="2">
        <v>2236399</v>
      </c>
      <c r="I12" s="2">
        <v>10013543462</v>
      </c>
      <c r="J12" s="2" t="s">
        <v>41</v>
      </c>
      <c r="K12" s="10">
        <v>514101</v>
      </c>
      <c r="L12" s="10">
        <v>7711</v>
      </c>
      <c r="M12" s="10">
        <v>506390</v>
      </c>
      <c r="N12" s="10">
        <v>413837</v>
      </c>
      <c r="O12" s="10">
        <f>Table1[[#This Row],[NET Amount]]-Table1[[#This Row],[Paid Amount]]</f>
        <v>92553</v>
      </c>
      <c r="P12" s="2" t="s">
        <v>23</v>
      </c>
      <c r="Q12" s="2" t="s">
        <v>42</v>
      </c>
      <c r="R12" s="16">
        <f>(Table1[[#This Row],[NET Amount]]-Table1[[#This Row],[Total Outstanding Amount]])/Table1[[#This Row],[NET Amount]]</f>
        <v>0.81722980311617532</v>
      </c>
      <c r="S12" s="2" t="s">
        <v>43</v>
      </c>
    </row>
    <row r="13" spans="1:19" x14ac:dyDescent="0.3">
      <c r="A13" s="4">
        <v>11</v>
      </c>
      <c r="B13" s="2" t="s">
        <v>40</v>
      </c>
      <c r="C13" s="3">
        <v>44840</v>
      </c>
      <c r="D13" s="3" t="str">
        <f>TEXT(Table1[[#This Row],[Admission Date]],"MMMM")</f>
        <v>October</v>
      </c>
      <c r="E13" s="3">
        <v>44843</v>
      </c>
      <c r="F13" s="3">
        <v>44843</v>
      </c>
      <c r="G13" s="2">
        <v>22026249</v>
      </c>
      <c r="H13" s="2">
        <v>2234850</v>
      </c>
      <c r="I13" s="2">
        <v>10013278800</v>
      </c>
      <c r="J13" s="2" t="s">
        <v>44</v>
      </c>
      <c r="K13" s="10">
        <v>59250</v>
      </c>
      <c r="L13" s="10">
        <v>8123</v>
      </c>
      <c r="M13" s="10">
        <v>51127</v>
      </c>
      <c r="N13" s="10">
        <v>9624</v>
      </c>
      <c r="O13" s="10">
        <f>Table1[[#This Row],[NET Amount]]-Table1[[#This Row],[Paid Amount]]</f>
        <v>41503</v>
      </c>
      <c r="P13" s="2" t="s">
        <v>23</v>
      </c>
      <c r="Q13" s="2" t="s">
        <v>30</v>
      </c>
      <c r="R13" s="16">
        <f>(Table1[[#This Row],[NET Amount]]-Table1[[#This Row],[Total Outstanding Amount]])/Table1[[#This Row],[NET Amount]]</f>
        <v>0.18823713497760478</v>
      </c>
      <c r="S13" s="2" t="s">
        <v>20</v>
      </c>
    </row>
    <row r="14" spans="1:19" x14ac:dyDescent="0.3">
      <c r="A14" s="4">
        <v>12</v>
      </c>
      <c r="B14" s="2" t="s">
        <v>45</v>
      </c>
      <c r="C14" s="3">
        <v>44860</v>
      </c>
      <c r="D14" s="3" t="str">
        <f>TEXT(Table1[[#This Row],[Admission Date]],"MMMM")</f>
        <v>October</v>
      </c>
      <c r="E14" s="3">
        <v>44860</v>
      </c>
      <c r="F14" s="3">
        <v>44860</v>
      </c>
      <c r="G14" s="2">
        <v>22028672</v>
      </c>
      <c r="H14" s="2">
        <v>2237471</v>
      </c>
      <c r="I14" s="2">
        <v>1001806270</v>
      </c>
      <c r="J14" s="2" t="s">
        <v>46</v>
      </c>
      <c r="K14" s="10">
        <v>22500</v>
      </c>
      <c r="L14" s="10">
        <v>0</v>
      </c>
      <c r="M14" s="10">
        <v>22500</v>
      </c>
      <c r="N14" s="10">
        <v>1500</v>
      </c>
      <c r="O14" s="10">
        <f>Table1[[#This Row],[NET Amount]]-Table1[[#This Row],[Paid Amount]]</f>
        <v>21000</v>
      </c>
      <c r="P14" s="2" t="s">
        <v>23</v>
      </c>
      <c r="Q14" s="2" t="s">
        <v>47</v>
      </c>
      <c r="R14" s="16">
        <f>(Table1[[#This Row],[NET Amount]]-Table1[[#This Row],[Total Outstanding Amount]])/Table1[[#This Row],[NET Amount]]</f>
        <v>6.6666666666666666E-2</v>
      </c>
      <c r="S14" s="2" t="s">
        <v>39</v>
      </c>
    </row>
    <row r="15" spans="1:19" x14ac:dyDescent="0.3">
      <c r="A15" s="4">
        <v>13</v>
      </c>
      <c r="B15" s="2" t="s">
        <v>25</v>
      </c>
      <c r="C15" s="3">
        <v>44836</v>
      </c>
      <c r="D15" s="3" t="str">
        <f>TEXT(Table1[[#This Row],[Admission Date]],"MMMM")</f>
        <v>October</v>
      </c>
      <c r="E15" s="3">
        <v>44839</v>
      </c>
      <c r="F15" s="3">
        <v>44839</v>
      </c>
      <c r="G15" s="2">
        <v>22025636</v>
      </c>
      <c r="H15" s="2">
        <v>2234319</v>
      </c>
      <c r="I15" s="2">
        <v>10013541238</v>
      </c>
      <c r="J15" s="2" t="s">
        <v>48</v>
      </c>
      <c r="K15" s="10">
        <v>92791</v>
      </c>
      <c r="L15" s="10">
        <v>11474</v>
      </c>
      <c r="M15" s="10">
        <v>81316</v>
      </c>
      <c r="N15" s="10">
        <v>81316</v>
      </c>
      <c r="O15" s="10">
        <f>Table1[[#This Row],[NET Amount]]-Table1[[#This Row],[Paid Amount]]</f>
        <v>0</v>
      </c>
      <c r="P15" s="2" t="s">
        <v>18</v>
      </c>
      <c r="Q15" s="2" t="s">
        <v>30</v>
      </c>
      <c r="R15" s="16">
        <f>(Table1[[#This Row],[NET Amount]]-Table1[[#This Row],[Total Outstanding Amount]])/Table1[[#This Row],[NET Amount]]</f>
        <v>1</v>
      </c>
      <c r="S15" s="2" t="s">
        <v>20</v>
      </c>
    </row>
    <row r="16" spans="1:19" x14ac:dyDescent="0.3">
      <c r="A16" s="4">
        <v>14</v>
      </c>
      <c r="B16" s="2" t="s">
        <v>25</v>
      </c>
      <c r="C16" s="3">
        <v>44825</v>
      </c>
      <c r="D16" s="3" t="str">
        <f>TEXT(Table1[[#This Row],[Admission Date]],"MMMM")</f>
        <v>September</v>
      </c>
      <c r="E16" s="3">
        <v>44844</v>
      </c>
      <c r="F16" s="3">
        <v>44844</v>
      </c>
      <c r="G16" s="2">
        <v>22026356</v>
      </c>
      <c r="H16" s="2">
        <v>2232814</v>
      </c>
      <c r="I16" s="2">
        <v>10013539654</v>
      </c>
      <c r="J16" s="2" t="s">
        <v>49</v>
      </c>
      <c r="K16" s="10">
        <v>1049046</v>
      </c>
      <c r="L16" s="10">
        <v>212524</v>
      </c>
      <c r="M16" s="10">
        <v>836522</v>
      </c>
      <c r="N16" s="10">
        <v>836522</v>
      </c>
      <c r="O16" s="10">
        <f>Table1[[#This Row],[NET Amount]]-Table1[[#This Row],[Paid Amount]]</f>
        <v>0</v>
      </c>
      <c r="P16" s="2" t="s">
        <v>18</v>
      </c>
      <c r="Q16" s="2" t="s">
        <v>24</v>
      </c>
      <c r="R16" s="16">
        <f>(Table1[[#This Row],[NET Amount]]-Table1[[#This Row],[Total Outstanding Amount]])/Table1[[#This Row],[NET Amount]]</f>
        <v>1</v>
      </c>
      <c r="S16" s="2" t="s">
        <v>20</v>
      </c>
    </row>
    <row r="17" spans="1:19" x14ac:dyDescent="0.3">
      <c r="A17" s="4">
        <v>15</v>
      </c>
      <c r="B17" s="2" t="s">
        <v>50</v>
      </c>
      <c r="C17" s="3">
        <v>44830</v>
      </c>
      <c r="D17" s="3" t="str">
        <f>TEXT(Table1[[#This Row],[Admission Date]],"MMMM")</f>
        <v>September</v>
      </c>
      <c r="E17" s="3">
        <v>44837</v>
      </c>
      <c r="F17" s="3">
        <v>44837</v>
      </c>
      <c r="G17" s="2">
        <v>22025416</v>
      </c>
      <c r="H17" s="2">
        <v>2233514</v>
      </c>
      <c r="I17" s="2">
        <v>1000954717</v>
      </c>
      <c r="J17" s="2" t="s">
        <v>51</v>
      </c>
      <c r="K17" s="10">
        <v>191512</v>
      </c>
      <c r="L17" s="10">
        <v>21573</v>
      </c>
      <c r="M17" s="10">
        <v>169939</v>
      </c>
      <c r="N17" s="10">
        <v>21838</v>
      </c>
      <c r="O17" s="10">
        <f>Table1[[#This Row],[NET Amount]]-Table1[[#This Row],[Paid Amount]]</f>
        <v>148101</v>
      </c>
      <c r="P17" s="2" t="s">
        <v>18</v>
      </c>
      <c r="Q17" s="2" t="s">
        <v>52</v>
      </c>
      <c r="R17" s="16">
        <f>(Table1[[#This Row],[NET Amount]]-Table1[[#This Row],[Total Outstanding Amount]])/Table1[[#This Row],[NET Amount]]</f>
        <v>0.12850493412342076</v>
      </c>
      <c r="S17" s="2" t="s">
        <v>20</v>
      </c>
    </row>
    <row r="18" spans="1:19" x14ac:dyDescent="0.3">
      <c r="A18" s="4">
        <v>16</v>
      </c>
      <c r="B18" s="2" t="s">
        <v>35</v>
      </c>
      <c r="C18" s="3">
        <v>44838</v>
      </c>
      <c r="D18" s="3" t="str">
        <f>TEXT(Table1[[#This Row],[Admission Date]],"MMMM")</f>
        <v>October</v>
      </c>
      <c r="E18" s="3">
        <v>44839</v>
      </c>
      <c r="F18" s="3">
        <v>44839</v>
      </c>
      <c r="G18" s="2">
        <v>22025676</v>
      </c>
      <c r="H18" s="2">
        <v>2234496</v>
      </c>
      <c r="I18" s="2">
        <v>10013541445</v>
      </c>
      <c r="J18" s="2" t="s">
        <v>48</v>
      </c>
      <c r="K18" s="10">
        <v>16240</v>
      </c>
      <c r="L18" s="10">
        <v>0</v>
      </c>
      <c r="M18" s="10">
        <v>16240</v>
      </c>
      <c r="N18" s="10">
        <v>0</v>
      </c>
      <c r="O18" s="10">
        <f>Table1[[#This Row],[NET Amount]]-Table1[[#This Row],[Paid Amount]]</f>
        <v>16240</v>
      </c>
      <c r="P18" s="2" t="s">
        <v>23</v>
      </c>
      <c r="Q18" s="2" t="s">
        <v>24</v>
      </c>
      <c r="R18" s="16">
        <f>(Table1[[#This Row],[NET Amount]]-Table1[[#This Row],[Total Outstanding Amount]])/Table1[[#This Row],[NET Amount]]</f>
        <v>0</v>
      </c>
      <c r="S18" s="2" t="s">
        <v>39</v>
      </c>
    </row>
    <row r="19" spans="1:19" x14ac:dyDescent="0.3">
      <c r="A19" s="4">
        <v>17</v>
      </c>
      <c r="B19" s="2" t="s">
        <v>25</v>
      </c>
      <c r="C19" s="3">
        <v>44854</v>
      </c>
      <c r="D19" s="3" t="str">
        <f>TEXT(Table1[[#This Row],[Admission Date]],"MMMM")</f>
        <v>October</v>
      </c>
      <c r="E19" s="3">
        <v>44854</v>
      </c>
      <c r="F19" s="3">
        <v>44854</v>
      </c>
      <c r="G19" s="2">
        <v>22027831</v>
      </c>
      <c r="H19" s="2">
        <v>2236756</v>
      </c>
      <c r="I19" s="2">
        <v>1001331180</v>
      </c>
      <c r="J19" s="2" t="s">
        <v>53</v>
      </c>
      <c r="K19" s="10">
        <v>0</v>
      </c>
      <c r="L19" s="10">
        <v>0</v>
      </c>
      <c r="M19" s="10">
        <v>0</v>
      </c>
      <c r="N19" s="10">
        <v>0</v>
      </c>
      <c r="O19" s="10">
        <f>Table1[[#This Row],[NET Amount]]-Table1[[#This Row],[Paid Amount]]</f>
        <v>0</v>
      </c>
      <c r="P19" s="2" t="s">
        <v>18</v>
      </c>
      <c r="Q19" s="2" t="s">
        <v>54</v>
      </c>
      <c r="R19" s="16" t="e">
        <f>(Table1[[#This Row],[NET Amount]]-Table1[[#This Row],[Total Outstanding Amount]])/Table1[[#This Row],[NET Amount]]</f>
        <v>#DIV/0!</v>
      </c>
      <c r="S19" s="2" t="s">
        <v>55</v>
      </c>
    </row>
    <row r="20" spans="1:19" x14ac:dyDescent="0.3">
      <c r="A20" s="4">
        <v>18</v>
      </c>
      <c r="B20" s="2" t="s">
        <v>25</v>
      </c>
      <c r="C20" s="3">
        <v>44855</v>
      </c>
      <c r="D20" s="3" t="str">
        <f>TEXT(Table1[[#This Row],[Admission Date]],"MMMM")</f>
        <v>October</v>
      </c>
      <c r="E20" s="3">
        <v>44856</v>
      </c>
      <c r="F20" s="3">
        <v>44856</v>
      </c>
      <c r="G20" s="2">
        <v>22028238</v>
      </c>
      <c r="H20" s="2">
        <v>2236862</v>
      </c>
      <c r="I20" s="2">
        <v>10013543946</v>
      </c>
      <c r="J20" s="2" t="s">
        <v>56</v>
      </c>
      <c r="K20" s="10">
        <v>210760</v>
      </c>
      <c r="L20" s="10">
        <v>30940</v>
      </c>
      <c r="M20" s="10">
        <v>179820</v>
      </c>
      <c r="N20" s="10">
        <v>179820</v>
      </c>
      <c r="O20" s="10">
        <f>Table1[[#This Row],[NET Amount]]-Table1[[#This Row],[Paid Amount]]</f>
        <v>0</v>
      </c>
      <c r="P20" s="2" t="s">
        <v>18</v>
      </c>
      <c r="Q20" s="2" t="s">
        <v>24</v>
      </c>
      <c r="R20" s="16">
        <f>(Table1[[#This Row],[NET Amount]]-Table1[[#This Row],[Total Outstanding Amount]])/Table1[[#This Row],[NET Amount]]</f>
        <v>1</v>
      </c>
      <c r="S20" s="2" t="s">
        <v>57</v>
      </c>
    </row>
    <row r="21" spans="1:19" x14ac:dyDescent="0.3">
      <c r="A21" s="4">
        <v>19</v>
      </c>
      <c r="B21" s="2" t="s">
        <v>25</v>
      </c>
      <c r="C21" s="3">
        <v>44851</v>
      </c>
      <c r="D21" s="3" t="str">
        <f>TEXT(Table1[[#This Row],[Admission Date]],"MMMM")</f>
        <v>October</v>
      </c>
      <c r="E21" s="3">
        <v>44851</v>
      </c>
      <c r="F21" s="3">
        <v>44851</v>
      </c>
      <c r="G21" s="2">
        <v>22027500</v>
      </c>
      <c r="H21" s="2">
        <v>2236361</v>
      </c>
      <c r="I21" s="2">
        <v>10013543432</v>
      </c>
      <c r="J21" s="2" t="s">
        <v>58</v>
      </c>
      <c r="K21" s="10">
        <v>106948</v>
      </c>
      <c r="L21" s="10">
        <v>8882</v>
      </c>
      <c r="M21" s="10">
        <v>98066</v>
      </c>
      <c r="N21" s="10">
        <v>98066</v>
      </c>
      <c r="O21" s="10">
        <f>Table1[[#This Row],[NET Amount]]-Table1[[#This Row],[Paid Amount]]</f>
        <v>0</v>
      </c>
      <c r="P21" s="2" t="s">
        <v>18</v>
      </c>
      <c r="Q21" s="2" t="s">
        <v>54</v>
      </c>
      <c r="R21" s="16">
        <f>(Table1[[#This Row],[NET Amount]]-Table1[[#This Row],[Total Outstanding Amount]])/Table1[[#This Row],[NET Amount]]</f>
        <v>1</v>
      </c>
      <c r="S21" s="2" t="s">
        <v>59</v>
      </c>
    </row>
    <row r="22" spans="1:19" x14ac:dyDescent="0.3">
      <c r="A22" s="4">
        <v>20</v>
      </c>
      <c r="B22" s="2" t="s">
        <v>25</v>
      </c>
      <c r="C22" s="3">
        <v>44842</v>
      </c>
      <c r="D22" s="3" t="str">
        <f>TEXT(Table1[[#This Row],[Admission Date]],"MMMM")</f>
        <v>October</v>
      </c>
      <c r="E22" s="3">
        <v>44842</v>
      </c>
      <c r="F22" s="3">
        <v>44842</v>
      </c>
      <c r="G22" s="2">
        <v>22026191</v>
      </c>
      <c r="H22" s="2">
        <v>2235188</v>
      </c>
      <c r="I22" s="2">
        <v>1001803291</v>
      </c>
      <c r="J22" s="2" t="s">
        <v>60</v>
      </c>
      <c r="K22" s="10">
        <v>14000</v>
      </c>
      <c r="L22" s="10">
        <v>0</v>
      </c>
      <c r="M22" s="10">
        <v>14000</v>
      </c>
      <c r="N22" s="10">
        <v>14000</v>
      </c>
      <c r="O22" s="10">
        <f>Table1[[#This Row],[NET Amount]]-Table1[[#This Row],[Paid Amount]]</f>
        <v>0</v>
      </c>
      <c r="P22" s="2" t="s">
        <v>18</v>
      </c>
      <c r="Q22" s="2" t="s">
        <v>54</v>
      </c>
      <c r="R22" s="16">
        <f>(Table1[[#This Row],[NET Amount]]-Table1[[#This Row],[Total Outstanding Amount]])/Table1[[#This Row],[NET Amount]]</f>
        <v>1</v>
      </c>
      <c r="S22" s="2" t="s">
        <v>39</v>
      </c>
    </row>
    <row r="23" spans="1:19" x14ac:dyDescent="0.3">
      <c r="A23" s="4">
        <v>21</v>
      </c>
      <c r="B23" s="2" t="s">
        <v>61</v>
      </c>
      <c r="C23" s="3">
        <v>44830</v>
      </c>
      <c r="D23" s="3" t="str">
        <f>TEXT(Table1[[#This Row],[Admission Date]],"MMMM")</f>
        <v>September</v>
      </c>
      <c r="E23" s="3">
        <v>44841</v>
      </c>
      <c r="F23" s="3">
        <v>44841</v>
      </c>
      <c r="G23" s="2">
        <v>22026069</v>
      </c>
      <c r="H23" s="2">
        <v>2233571</v>
      </c>
      <c r="I23" s="2">
        <v>10013540383</v>
      </c>
      <c r="J23" s="2" t="s">
        <v>62</v>
      </c>
      <c r="K23" s="10">
        <v>914175</v>
      </c>
      <c r="L23" s="10">
        <v>98554</v>
      </c>
      <c r="M23" s="10">
        <v>815621</v>
      </c>
      <c r="N23" s="10">
        <v>28989</v>
      </c>
      <c r="O23" s="10">
        <f>Table1[[#This Row],[NET Amount]]-Table1[[#This Row],[Paid Amount]]</f>
        <v>786632</v>
      </c>
      <c r="P23" s="2" t="s">
        <v>23</v>
      </c>
      <c r="Q23" s="2" t="s">
        <v>42</v>
      </c>
      <c r="R23" s="16">
        <f>(Table1[[#This Row],[NET Amount]]-Table1[[#This Row],[Total Outstanding Amount]])/Table1[[#This Row],[NET Amount]]</f>
        <v>3.5542243272304173E-2</v>
      </c>
      <c r="S23" s="2" t="s">
        <v>20</v>
      </c>
    </row>
    <row r="24" spans="1:19" x14ac:dyDescent="0.3">
      <c r="A24" s="4">
        <v>22</v>
      </c>
      <c r="B24" s="2" t="s">
        <v>25</v>
      </c>
      <c r="C24" s="3">
        <v>44841</v>
      </c>
      <c r="D24" s="3" t="str">
        <f>TEXT(Table1[[#This Row],[Admission Date]],"MMMM")</f>
        <v>October</v>
      </c>
      <c r="E24" s="3">
        <v>44842</v>
      </c>
      <c r="F24" s="3">
        <v>44842</v>
      </c>
      <c r="G24" s="2">
        <v>22026131</v>
      </c>
      <c r="H24" s="2">
        <v>2235082</v>
      </c>
      <c r="I24" s="2">
        <v>1001803131</v>
      </c>
      <c r="J24" s="2" t="s">
        <v>63</v>
      </c>
      <c r="K24" s="10">
        <v>9661</v>
      </c>
      <c r="L24" s="10">
        <v>1180</v>
      </c>
      <c r="M24" s="10">
        <v>8481</v>
      </c>
      <c r="N24" s="10">
        <v>8481</v>
      </c>
      <c r="O24" s="10">
        <f>Table1[[#This Row],[NET Amount]]-Table1[[#This Row],[Paid Amount]]</f>
        <v>0</v>
      </c>
      <c r="P24" s="2" t="s">
        <v>18</v>
      </c>
      <c r="Q24" s="2" t="s">
        <v>19</v>
      </c>
      <c r="R24" s="16">
        <f>(Table1[[#This Row],[NET Amount]]-Table1[[#This Row],[Total Outstanding Amount]])/Table1[[#This Row],[NET Amount]]</f>
        <v>1</v>
      </c>
      <c r="S24" s="2" t="s">
        <v>37</v>
      </c>
    </row>
    <row r="25" spans="1:19" x14ac:dyDescent="0.3">
      <c r="A25" s="4">
        <v>23</v>
      </c>
      <c r="B25" s="2" t="s">
        <v>25</v>
      </c>
      <c r="C25" s="3">
        <v>44833</v>
      </c>
      <c r="D25" s="3" t="str">
        <f>TEXT(Table1[[#This Row],[Admission Date]],"MMMM")</f>
        <v>September</v>
      </c>
      <c r="E25" s="3">
        <v>44842</v>
      </c>
      <c r="F25" s="3">
        <v>44842</v>
      </c>
      <c r="G25" s="2">
        <v>22026145</v>
      </c>
      <c r="H25" s="2">
        <v>2233967</v>
      </c>
      <c r="I25" s="2">
        <v>10013540861</v>
      </c>
      <c r="J25" s="2" t="s">
        <v>64</v>
      </c>
      <c r="K25" s="10">
        <v>236747</v>
      </c>
      <c r="L25" s="10">
        <v>49155</v>
      </c>
      <c r="M25" s="10">
        <v>187592</v>
      </c>
      <c r="N25" s="10">
        <v>187592</v>
      </c>
      <c r="O25" s="10">
        <f>Table1[[#This Row],[NET Amount]]-Table1[[#This Row],[Paid Amount]]</f>
        <v>0</v>
      </c>
      <c r="P25" s="2" t="s">
        <v>18</v>
      </c>
      <c r="Q25" s="2" t="s">
        <v>30</v>
      </c>
      <c r="R25" s="16">
        <f>(Table1[[#This Row],[NET Amount]]-Table1[[#This Row],[Total Outstanding Amount]])/Table1[[#This Row],[NET Amount]]</f>
        <v>1</v>
      </c>
      <c r="S25" s="2" t="s">
        <v>65</v>
      </c>
    </row>
    <row r="26" spans="1:19" x14ac:dyDescent="0.3">
      <c r="A26" s="4">
        <v>24</v>
      </c>
      <c r="B26" s="2" t="s">
        <v>25</v>
      </c>
      <c r="C26" s="3">
        <v>44848</v>
      </c>
      <c r="D26" s="3" t="str">
        <f>TEXT(Table1[[#This Row],[Admission Date]],"MMMM")</f>
        <v>October</v>
      </c>
      <c r="E26" s="3">
        <v>44849</v>
      </c>
      <c r="F26" s="3">
        <v>44849</v>
      </c>
      <c r="G26" s="2">
        <v>22027168</v>
      </c>
      <c r="H26" s="2">
        <v>2236007</v>
      </c>
      <c r="I26" s="2">
        <v>10013543045</v>
      </c>
      <c r="J26" s="2" t="s">
        <v>66</v>
      </c>
      <c r="K26" s="10">
        <v>32791</v>
      </c>
      <c r="L26" s="10">
        <v>7216</v>
      </c>
      <c r="M26" s="10">
        <v>25575</v>
      </c>
      <c r="N26" s="10">
        <v>25575</v>
      </c>
      <c r="O26" s="10">
        <f>Table1[[#This Row],[NET Amount]]-Table1[[#This Row],[Paid Amount]]</f>
        <v>0</v>
      </c>
      <c r="P26" s="2" t="s">
        <v>18</v>
      </c>
      <c r="Q26" s="2" t="s">
        <v>30</v>
      </c>
      <c r="R26" s="16">
        <f>(Table1[[#This Row],[NET Amount]]-Table1[[#This Row],[Total Outstanding Amount]])/Table1[[#This Row],[NET Amount]]</f>
        <v>1</v>
      </c>
      <c r="S26" s="2" t="s">
        <v>39</v>
      </c>
    </row>
    <row r="27" spans="1:19" x14ac:dyDescent="0.3">
      <c r="A27" s="4">
        <v>25</v>
      </c>
      <c r="B27" s="2" t="s">
        <v>50</v>
      </c>
      <c r="C27" s="3">
        <v>44845</v>
      </c>
      <c r="D27" s="3" t="str">
        <f>TEXT(Table1[[#This Row],[Admission Date]],"MMMM")</f>
        <v>October</v>
      </c>
      <c r="E27" s="3">
        <v>44850</v>
      </c>
      <c r="F27" s="3">
        <v>44850</v>
      </c>
      <c r="G27" s="2">
        <v>22027286</v>
      </c>
      <c r="H27" s="2">
        <v>2235524</v>
      </c>
      <c r="I27" s="2">
        <v>1001333137</v>
      </c>
      <c r="J27" s="2" t="s">
        <v>67</v>
      </c>
      <c r="K27" s="10">
        <v>107799</v>
      </c>
      <c r="L27" s="10">
        <v>14806</v>
      </c>
      <c r="M27" s="10">
        <v>92993</v>
      </c>
      <c r="N27" s="10">
        <v>2287</v>
      </c>
      <c r="O27" s="10">
        <f>Table1[[#This Row],[NET Amount]]-Table1[[#This Row],[Paid Amount]]</f>
        <v>90706</v>
      </c>
      <c r="P27" s="2" t="s">
        <v>23</v>
      </c>
      <c r="Q27" s="2" t="s">
        <v>52</v>
      </c>
      <c r="R27" s="16">
        <f>(Table1[[#This Row],[NET Amount]]-Table1[[#This Row],[Total Outstanding Amount]])/Table1[[#This Row],[NET Amount]]</f>
        <v>2.4593248954222362E-2</v>
      </c>
      <c r="S27" s="2" t="s">
        <v>20</v>
      </c>
    </row>
    <row r="28" spans="1:19" x14ac:dyDescent="0.3">
      <c r="A28" s="4">
        <v>26</v>
      </c>
      <c r="B28" s="2" t="s">
        <v>25</v>
      </c>
      <c r="C28" s="3">
        <v>44844</v>
      </c>
      <c r="D28" s="3" t="str">
        <f>TEXT(Table1[[#This Row],[Admission Date]],"MMMM")</f>
        <v>October</v>
      </c>
      <c r="E28" s="3">
        <v>44851</v>
      </c>
      <c r="F28" s="3">
        <v>44851</v>
      </c>
      <c r="G28" s="2">
        <v>22027455</v>
      </c>
      <c r="H28" s="2">
        <v>2235468</v>
      </c>
      <c r="I28" s="2">
        <v>10013542473</v>
      </c>
      <c r="J28" s="2" t="s">
        <v>68</v>
      </c>
      <c r="K28" s="10">
        <v>252400</v>
      </c>
      <c r="L28" s="10">
        <v>22400</v>
      </c>
      <c r="M28" s="10">
        <v>230000</v>
      </c>
      <c r="N28" s="10">
        <v>230000</v>
      </c>
      <c r="O28" s="10">
        <f>Table1[[#This Row],[NET Amount]]-Table1[[#This Row],[Paid Amount]]</f>
        <v>0</v>
      </c>
      <c r="P28" s="2" t="s">
        <v>18</v>
      </c>
      <c r="Q28" s="2" t="s">
        <v>69</v>
      </c>
      <c r="R28" s="16">
        <f>(Table1[[#This Row],[NET Amount]]-Table1[[#This Row],[Total Outstanding Amount]])/Table1[[#This Row],[NET Amount]]</f>
        <v>1</v>
      </c>
      <c r="S28" s="2" t="s">
        <v>70</v>
      </c>
    </row>
    <row r="29" spans="1:19" x14ac:dyDescent="0.3">
      <c r="A29" s="4">
        <v>27</v>
      </c>
      <c r="B29" s="2" t="s">
        <v>35</v>
      </c>
      <c r="C29" s="3">
        <v>44838</v>
      </c>
      <c r="D29" s="3" t="str">
        <f>TEXT(Table1[[#This Row],[Admission Date]],"MMMM")</f>
        <v>October</v>
      </c>
      <c r="E29" s="3">
        <v>44843</v>
      </c>
      <c r="F29" s="3">
        <v>44843</v>
      </c>
      <c r="G29" s="2">
        <v>22026275</v>
      </c>
      <c r="H29" s="2">
        <v>2234576</v>
      </c>
      <c r="I29" s="2">
        <v>10013512843</v>
      </c>
      <c r="J29" s="2" t="s">
        <v>71</v>
      </c>
      <c r="K29" s="10">
        <v>15908</v>
      </c>
      <c r="L29" s="10">
        <v>0</v>
      </c>
      <c r="M29" s="10">
        <v>15908</v>
      </c>
      <c r="N29" s="10">
        <v>15908</v>
      </c>
      <c r="O29" s="10">
        <f>Table1[[#This Row],[NET Amount]]-Table1[[#This Row],[Paid Amount]]</f>
        <v>0</v>
      </c>
      <c r="P29" s="2" t="s">
        <v>18</v>
      </c>
      <c r="Q29" s="2" t="s">
        <v>24</v>
      </c>
      <c r="R29" s="16">
        <f>(Table1[[#This Row],[NET Amount]]-Table1[[#This Row],[Total Outstanding Amount]])/Table1[[#This Row],[NET Amount]]</f>
        <v>1</v>
      </c>
      <c r="S29" s="2" t="s">
        <v>27</v>
      </c>
    </row>
    <row r="30" spans="1:19" x14ac:dyDescent="0.3">
      <c r="A30" s="4">
        <v>28</v>
      </c>
      <c r="B30" s="2" t="s">
        <v>72</v>
      </c>
      <c r="C30" s="3">
        <v>44853</v>
      </c>
      <c r="D30" s="3" t="str">
        <f>TEXT(Table1[[#This Row],[Admission Date]],"MMMM")</f>
        <v>October</v>
      </c>
      <c r="E30" s="3">
        <v>44856</v>
      </c>
      <c r="F30" s="3">
        <v>44856</v>
      </c>
      <c r="G30" s="2">
        <v>22028181</v>
      </c>
      <c r="H30" s="2">
        <v>2236655</v>
      </c>
      <c r="I30" s="2">
        <v>10013543753</v>
      </c>
      <c r="J30" s="2" t="s">
        <v>73</v>
      </c>
      <c r="K30" s="10">
        <v>71517</v>
      </c>
      <c r="L30" s="10">
        <v>8238</v>
      </c>
      <c r="M30" s="10">
        <v>63279</v>
      </c>
      <c r="N30" s="10">
        <v>15939</v>
      </c>
      <c r="O30" s="10">
        <f>Table1[[#This Row],[NET Amount]]-Table1[[#This Row],[Paid Amount]]</f>
        <v>47340</v>
      </c>
      <c r="P30" s="2" t="s">
        <v>23</v>
      </c>
      <c r="Q30" s="2" t="s">
        <v>52</v>
      </c>
      <c r="R30" s="16">
        <f>(Table1[[#This Row],[NET Amount]]-Table1[[#This Row],[Total Outstanding Amount]])/Table1[[#This Row],[NET Amount]]</f>
        <v>0.25188451144929597</v>
      </c>
      <c r="S30" s="2" t="s">
        <v>20</v>
      </c>
    </row>
    <row r="31" spans="1:19" x14ac:dyDescent="0.3">
      <c r="A31" s="4">
        <v>29</v>
      </c>
      <c r="B31" s="2" t="s">
        <v>25</v>
      </c>
      <c r="C31" s="3">
        <v>44846</v>
      </c>
      <c r="D31" s="3" t="str">
        <f>TEXT(Table1[[#This Row],[Admission Date]],"MMMM")</f>
        <v>October</v>
      </c>
      <c r="E31" s="3">
        <v>44847</v>
      </c>
      <c r="F31" s="3">
        <v>44847</v>
      </c>
      <c r="G31" s="2">
        <v>22026902</v>
      </c>
      <c r="H31" s="2">
        <v>2235672</v>
      </c>
      <c r="I31" s="2">
        <v>10013351869</v>
      </c>
      <c r="J31" s="2" t="s">
        <v>74</v>
      </c>
      <c r="K31" s="10">
        <v>45999</v>
      </c>
      <c r="L31" s="10">
        <v>5652</v>
      </c>
      <c r="M31" s="10">
        <v>40346</v>
      </c>
      <c r="N31" s="10">
        <v>40346</v>
      </c>
      <c r="O31" s="10">
        <f>Table1[[#This Row],[NET Amount]]-Table1[[#This Row],[Paid Amount]]</f>
        <v>0</v>
      </c>
      <c r="P31" s="2" t="s">
        <v>18</v>
      </c>
      <c r="Q31" s="2" t="s">
        <v>30</v>
      </c>
      <c r="R31" s="16">
        <f>(Table1[[#This Row],[NET Amount]]-Table1[[#This Row],[Total Outstanding Amount]])/Table1[[#This Row],[NET Amount]]</f>
        <v>1</v>
      </c>
      <c r="S31" s="2" t="s">
        <v>27</v>
      </c>
    </row>
    <row r="32" spans="1:19" x14ac:dyDescent="0.3">
      <c r="A32" s="4">
        <v>30</v>
      </c>
      <c r="B32" s="2" t="s">
        <v>75</v>
      </c>
      <c r="C32" s="3">
        <v>44840</v>
      </c>
      <c r="D32" s="3" t="str">
        <f>TEXT(Table1[[#This Row],[Admission Date]],"MMMM")</f>
        <v>October</v>
      </c>
      <c r="E32" s="3">
        <v>44851</v>
      </c>
      <c r="F32" s="3">
        <v>44851</v>
      </c>
      <c r="G32" s="2">
        <v>22027472</v>
      </c>
      <c r="H32" s="2">
        <v>2234932</v>
      </c>
      <c r="I32" s="2">
        <v>1001222192</v>
      </c>
      <c r="J32" s="2" t="s">
        <v>76</v>
      </c>
      <c r="K32" s="10">
        <v>105208</v>
      </c>
      <c r="L32" s="10">
        <v>0</v>
      </c>
      <c r="M32" s="10">
        <v>105208</v>
      </c>
      <c r="N32" s="10">
        <v>3011</v>
      </c>
      <c r="O32" s="10">
        <f>Table1[[#This Row],[NET Amount]]-Table1[[#This Row],[Paid Amount]]</f>
        <v>102197</v>
      </c>
      <c r="P32" s="2" t="s">
        <v>23</v>
      </c>
      <c r="Q32" s="2" t="s">
        <v>19</v>
      </c>
      <c r="R32" s="16">
        <f>(Table1[[#This Row],[NET Amount]]-Table1[[#This Row],[Total Outstanding Amount]])/Table1[[#This Row],[NET Amount]]</f>
        <v>2.8619496616226904E-2</v>
      </c>
      <c r="S32" s="2" t="s">
        <v>77</v>
      </c>
    </row>
    <row r="33" spans="1:19" x14ac:dyDescent="0.3">
      <c r="A33" s="4">
        <v>31</v>
      </c>
      <c r="B33" s="2" t="s">
        <v>25</v>
      </c>
      <c r="C33" s="3">
        <v>44824</v>
      </c>
      <c r="D33" s="3" t="str">
        <f>TEXT(Table1[[#This Row],[Admission Date]],"MMMM")</f>
        <v>September</v>
      </c>
      <c r="E33" s="3">
        <v>44835</v>
      </c>
      <c r="F33" s="3">
        <v>44835</v>
      </c>
      <c r="G33" s="2">
        <v>22025185</v>
      </c>
      <c r="H33" s="2">
        <v>2232781</v>
      </c>
      <c r="I33" s="2">
        <v>10013539635</v>
      </c>
      <c r="J33" s="2" t="s">
        <v>78</v>
      </c>
      <c r="K33" s="10">
        <v>372000</v>
      </c>
      <c r="L33" s="10">
        <v>97621</v>
      </c>
      <c r="M33" s="10">
        <v>274379</v>
      </c>
      <c r="N33" s="10">
        <v>274379</v>
      </c>
      <c r="O33" s="10">
        <f>Table1[[#This Row],[NET Amount]]-Table1[[#This Row],[Paid Amount]]</f>
        <v>0</v>
      </c>
      <c r="P33" s="2" t="s">
        <v>18</v>
      </c>
      <c r="Q33" s="2" t="s">
        <v>69</v>
      </c>
      <c r="R33" s="16">
        <f>(Table1[[#This Row],[NET Amount]]-Table1[[#This Row],[Total Outstanding Amount]])/Table1[[#This Row],[NET Amount]]</f>
        <v>1</v>
      </c>
      <c r="S33" s="2" t="s">
        <v>20</v>
      </c>
    </row>
    <row r="34" spans="1:19" x14ac:dyDescent="0.3">
      <c r="A34" s="4">
        <v>32</v>
      </c>
      <c r="B34" s="2" t="s">
        <v>2245</v>
      </c>
      <c r="C34" s="3">
        <v>44848</v>
      </c>
      <c r="D34" s="3" t="str">
        <f>TEXT(Table1[[#This Row],[Admission Date]],"MMMM")</f>
        <v>October</v>
      </c>
      <c r="E34" s="3">
        <v>44855</v>
      </c>
      <c r="F34" s="3">
        <v>44855</v>
      </c>
      <c r="G34" s="2">
        <v>22028028</v>
      </c>
      <c r="H34" s="2">
        <v>2235966</v>
      </c>
      <c r="I34" s="2">
        <v>1001804316</v>
      </c>
      <c r="J34" s="2" t="s">
        <v>79</v>
      </c>
      <c r="K34" s="10">
        <v>27925</v>
      </c>
      <c r="L34" s="10">
        <v>0</v>
      </c>
      <c r="M34" s="10">
        <v>27925</v>
      </c>
      <c r="N34" s="10">
        <v>1195</v>
      </c>
      <c r="O34" s="10">
        <f>Table1[[#This Row],[NET Amount]]-Table1[[#This Row],[Paid Amount]]</f>
        <v>26730</v>
      </c>
      <c r="P34" s="2" t="s">
        <v>23</v>
      </c>
      <c r="Q34" s="2" t="s">
        <v>24</v>
      </c>
      <c r="R34" s="16">
        <f>(Table1[[#This Row],[NET Amount]]-Table1[[#This Row],[Total Outstanding Amount]])/Table1[[#This Row],[NET Amount]]</f>
        <v>4.279319606087735E-2</v>
      </c>
      <c r="S34" s="2" t="s">
        <v>37</v>
      </c>
    </row>
    <row r="35" spans="1:19" x14ac:dyDescent="0.3">
      <c r="A35" s="4">
        <v>33</v>
      </c>
      <c r="B35" s="2" t="s">
        <v>80</v>
      </c>
      <c r="C35" s="3">
        <v>44839</v>
      </c>
      <c r="D35" s="3" t="str">
        <f>TEXT(Table1[[#This Row],[Admission Date]],"MMMM")</f>
        <v>October</v>
      </c>
      <c r="E35" s="3">
        <v>44842</v>
      </c>
      <c r="F35" s="3">
        <v>44842</v>
      </c>
      <c r="G35" s="2">
        <v>22026087</v>
      </c>
      <c r="H35" s="2">
        <v>2234740</v>
      </c>
      <c r="I35" s="2">
        <v>10013541639</v>
      </c>
      <c r="J35" s="2" t="s">
        <v>81</v>
      </c>
      <c r="K35" s="10">
        <v>51763</v>
      </c>
      <c r="L35" s="10">
        <v>3794</v>
      </c>
      <c r="M35" s="10">
        <v>47969</v>
      </c>
      <c r="N35" s="10">
        <v>2897</v>
      </c>
      <c r="O35" s="10">
        <f>Table1[[#This Row],[NET Amount]]-Table1[[#This Row],[Paid Amount]]</f>
        <v>45072</v>
      </c>
      <c r="P35" s="2" t="s">
        <v>23</v>
      </c>
      <c r="Q35" s="2" t="s">
        <v>24</v>
      </c>
      <c r="R35" s="16">
        <f>(Table1[[#This Row],[NET Amount]]-Table1[[#This Row],[Total Outstanding Amount]])/Table1[[#This Row],[NET Amount]]</f>
        <v>6.0393170589338949E-2</v>
      </c>
      <c r="S35" s="2" t="s">
        <v>20</v>
      </c>
    </row>
    <row r="36" spans="1:19" x14ac:dyDescent="0.3">
      <c r="A36" s="4">
        <v>34</v>
      </c>
      <c r="B36" s="2" t="s">
        <v>2246</v>
      </c>
      <c r="C36" s="3">
        <v>44856</v>
      </c>
      <c r="D36" s="3" t="str">
        <f>TEXT(Table1[[#This Row],[Admission Date]],"MMMM")</f>
        <v>October</v>
      </c>
      <c r="E36" s="3">
        <v>44865</v>
      </c>
      <c r="F36" s="3">
        <v>44865</v>
      </c>
      <c r="G36" s="2">
        <v>22029296</v>
      </c>
      <c r="H36" s="2">
        <v>2237028</v>
      </c>
      <c r="I36" s="2">
        <v>1001805732</v>
      </c>
      <c r="J36" s="2" t="s">
        <v>82</v>
      </c>
      <c r="K36" s="10">
        <v>66796</v>
      </c>
      <c r="L36" s="10">
        <v>0</v>
      </c>
      <c r="M36" s="10">
        <v>66796</v>
      </c>
      <c r="N36" s="10">
        <v>66796</v>
      </c>
      <c r="O36" s="10">
        <f>Table1[[#This Row],[NET Amount]]-Table1[[#This Row],[Paid Amount]]</f>
        <v>0</v>
      </c>
      <c r="P36" s="2" t="s">
        <v>18</v>
      </c>
      <c r="Q36" s="2" t="s">
        <v>24</v>
      </c>
      <c r="R36" s="16">
        <f>(Table1[[#This Row],[NET Amount]]-Table1[[#This Row],[Total Outstanding Amount]])/Table1[[#This Row],[NET Amount]]</f>
        <v>1</v>
      </c>
      <c r="S36" s="2" t="s">
        <v>20</v>
      </c>
    </row>
    <row r="37" spans="1:19" x14ac:dyDescent="0.3">
      <c r="A37" s="4">
        <v>35</v>
      </c>
      <c r="B37" s="2" t="s">
        <v>2247</v>
      </c>
      <c r="C37" s="3">
        <v>44863</v>
      </c>
      <c r="D37" s="3" t="str">
        <f>TEXT(Table1[[#This Row],[Admission Date]],"MMMM")</f>
        <v>October</v>
      </c>
      <c r="E37" s="3">
        <v>44865</v>
      </c>
      <c r="F37" s="3">
        <v>44865</v>
      </c>
      <c r="G37" s="2">
        <v>22029310</v>
      </c>
      <c r="H37" s="2">
        <v>2238028</v>
      </c>
      <c r="I37" s="2">
        <v>1001807081</v>
      </c>
      <c r="J37" s="2" t="s">
        <v>83</v>
      </c>
      <c r="K37" s="10">
        <v>28449</v>
      </c>
      <c r="L37" s="10">
        <v>4197</v>
      </c>
      <c r="M37" s="10">
        <v>24252</v>
      </c>
      <c r="N37" s="10">
        <v>2410</v>
      </c>
      <c r="O37" s="10">
        <f>Table1[[#This Row],[NET Amount]]-Table1[[#This Row],[Paid Amount]]</f>
        <v>21842</v>
      </c>
      <c r="P37" s="2" t="s">
        <v>23</v>
      </c>
      <c r="Q37" s="2" t="s">
        <v>42</v>
      </c>
      <c r="R37" s="16">
        <f>(Table1[[#This Row],[NET Amount]]-Table1[[#This Row],[Total Outstanding Amount]])/Table1[[#This Row],[NET Amount]]</f>
        <v>9.9373247567210957E-2</v>
      </c>
      <c r="S37" s="2" t="s">
        <v>77</v>
      </c>
    </row>
    <row r="38" spans="1:19" x14ac:dyDescent="0.3">
      <c r="A38" s="4">
        <v>36</v>
      </c>
      <c r="B38" s="2" t="s">
        <v>25</v>
      </c>
      <c r="C38" s="3">
        <v>44864</v>
      </c>
      <c r="D38" s="3" t="str">
        <f>TEXT(Table1[[#This Row],[Admission Date]],"MMMM")</f>
        <v>October</v>
      </c>
      <c r="E38" s="3">
        <v>44864</v>
      </c>
      <c r="F38" s="3">
        <v>44864</v>
      </c>
      <c r="G38" s="2">
        <v>22029212</v>
      </c>
      <c r="H38" s="2">
        <v>2238074</v>
      </c>
      <c r="I38" s="2">
        <v>1001807134</v>
      </c>
      <c r="J38" s="2" t="s">
        <v>84</v>
      </c>
      <c r="K38" s="10">
        <v>14000</v>
      </c>
      <c r="L38" s="10">
        <v>825</v>
      </c>
      <c r="M38" s="10">
        <v>13175</v>
      </c>
      <c r="N38" s="10">
        <v>13175</v>
      </c>
      <c r="O38" s="10">
        <f>Table1[[#This Row],[NET Amount]]-Table1[[#This Row],[Paid Amount]]</f>
        <v>0</v>
      </c>
      <c r="P38" s="2" t="s">
        <v>23</v>
      </c>
      <c r="Q38" s="2" t="s">
        <v>69</v>
      </c>
      <c r="R38" s="16">
        <f>(Table1[[#This Row],[NET Amount]]-Table1[[#This Row],[Total Outstanding Amount]])/Table1[[#This Row],[NET Amount]]</f>
        <v>1</v>
      </c>
      <c r="S38" s="2" t="s">
        <v>39</v>
      </c>
    </row>
    <row r="39" spans="1:19" x14ac:dyDescent="0.3">
      <c r="A39" s="4">
        <v>37</v>
      </c>
      <c r="B39" s="2" t="s">
        <v>25</v>
      </c>
      <c r="C39" s="3">
        <v>44826</v>
      </c>
      <c r="D39" s="3" t="str">
        <f>TEXT(Table1[[#This Row],[Admission Date]],"MMMM")</f>
        <v>September</v>
      </c>
      <c r="E39" s="3">
        <v>44854</v>
      </c>
      <c r="F39" s="3">
        <v>44854</v>
      </c>
      <c r="G39" s="2">
        <v>22027910</v>
      </c>
      <c r="H39" s="2">
        <v>2233082</v>
      </c>
      <c r="I39" s="2">
        <v>10013534524</v>
      </c>
      <c r="J39" s="2" t="s">
        <v>85</v>
      </c>
      <c r="K39" s="10">
        <v>716813</v>
      </c>
      <c r="L39" s="10">
        <v>203204</v>
      </c>
      <c r="M39" s="10">
        <v>513609</v>
      </c>
      <c r="N39" s="10">
        <v>513609</v>
      </c>
      <c r="O39" s="10">
        <f>Table1[[#This Row],[NET Amount]]-Table1[[#This Row],[Paid Amount]]</f>
        <v>0</v>
      </c>
      <c r="P39" s="2" t="s">
        <v>18</v>
      </c>
      <c r="Q39" s="2" t="s">
        <v>69</v>
      </c>
      <c r="R39" s="16">
        <f>(Table1[[#This Row],[NET Amount]]-Table1[[#This Row],[Total Outstanding Amount]])/Table1[[#This Row],[NET Amount]]</f>
        <v>1</v>
      </c>
      <c r="S39" s="2" t="s">
        <v>20</v>
      </c>
    </row>
    <row r="40" spans="1:19" x14ac:dyDescent="0.3">
      <c r="A40" s="4">
        <v>38</v>
      </c>
      <c r="B40" s="2" t="s">
        <v>25</v>
      </c>
      <c r="C40" s="3">
        <v>44838</v>
      </c>
      <c r="D40" s="3" t="str">
        <f>TEXT(Table1[[#This Row],[Admission Date]],"MMMM")</f>
        <v>October</v>
      </c>
      <c r="E40" s="3">
        <v>44840</v>
      </c>
      <c r="F40" s="3">
        <v>44840</v>
      </c>
      <c r="G40" s="2">
        <v>22025833</v>
      </c>
      <c r="H40" s="2">
        <v>2234529</v>
      </c>
      <c r="I40" s="2">
        <v>1001802328</v>
      </c>
      <c r="J40" s="2" t="s">
        <v>86</v>
      </c>
      <c r="K40" s="10">
        <v>107278</v>
      </c>
      <c r="L40" s="10">
        <v>18946</v>
      </c>
      <c r="M40" s="10">
        <v>88332</v>
      </c>
      <c r="N40" s="10">
        <v>88332</v>
      </c>
      <c r="O40" s="10">
        <f>Table1[[#This Row],[NET Amount]]-Table1[[#This Row],[Paid Amount]]</f>
        <v>0</v>
      </c>
      <c r="P40" s="2" t="s">
        <v>18</v>
      </c>
      <c r="Q40" s="2" t="s">
        <v>30</v>
      </c>
      <c r="R40" s="16">
        <f>(Table1[[#This Row],[NET Amount]]-Table1[[#This Row],[Total Outstanding Amount]])/Table1[[#This Row],[NET Amount]]</f>
        <v>1</v>
      </c>
      <c r="S40" s="2" t="s">
        <v>27</v>
      </c>
    </row>
    <row r="41" spans="1:19" x14ac:dyDescent="0.3">
      <c r="A41" s="4">
        <v>39</v>
      </c>
      <c r="B41" s="2" t="s">
        <v>25</v>
      </c>
      <c r="C41" s="3">
        <v>44853</v>
      </c>
      <c r="D41" s="3" t="str">
        <f>TEXT(Table1[[#This Row],[Admission Date]],"MMMM")</f>
        <v>October</v>
      </c>
      <c r="E41" s="3">
        <v>44858</v>
      </c>
      <c r="F41" s="3">
        <v>44858</v>
      </c>
      <c r="G41" s="2">
        <v>22028460</v>
      </c>
      <c r="H41" s="2">
        <v>2236682</v>
      </c>
      <c r="I41" s="2">
        <v>10013543778</v>
      </c>
      <c r="J41" s="2" t="s">
        <v>87</v>
      </c>
      <c r="K41" s="10">
        <v>241787</v>
      </c>
      <c r="L41" s="10">
        <v>51684</v>
      </c>
      <c r="M41" s="10">
        <v>190103</v>
      </c>
      <c r="N41" s="10">
        <v>190103</v>
      </c>
      <c r="O41" s="10">
        <f>Table1[[#This Row],[NET Amount]]-Table1[[#This Row],[Paid Amount]]</f>
        <v>0</v>
      </c>
      <c r="P41" s="2" t="s">
        <v>18</v>
      </c>
      <c r="Q41" s="2" t="s">
        <v>88</v>
      </c>
      <c r="R41" s="16">
        <f>(Table1[[#This Row],[NET Amount]]-Table1[[#This Row],[Total Outstanding Amount]])/Table1[[#This Row],[NET Amount]]</f>
        <v>1</v>
      </c>
      <c r="S41" s="2" t="s">
        <v>32</v>
      </c>
    </row>
    <row r="42" spans="1:19" x14ac:dyDescent="0.3">
      <c r="A42" s="4">
        <v>40</v>
      </c>
      <c r="B42" s="2" t="s">
        <v>25</v>
      </c>
      <c r="C42" s="3">
        <v>44838</v>
      </c>
      <c r="D42" s="3" t="str">
        <f>TEXT(Table1[[#This Row],[Admission Date]],"MMMM")</f>
        <v>October</v>
      </c>
      <c r="E42" s="3">
        <v>44838</v>
      </c>
      <c r="F42" s="3">
        <v>44838</v>
      </c>
      <c r="G42" s="2">
        <v>22025604</v>
      </c>
      <c r="H42" s="2">
        <v>2234534</v>
      </c>
      <c r="I42" s="2">
        <v>10013523188</v>
      </c>
      <c r="J42" s="2" t="s">
        <v>89</v>
      </c>
      <c r="K42" s="10">
        <v>13205</v>
      </c>
      <c r="L42" s="10">
        <v>13205</v>
      </c>
      <c r="M42" s="10">
        <v>0</v>
      </c>
      <c r="N42" s="10">
        <v>0</v>
      </c>
      <c r="O42" s="10">
        <f>Table1[[#This Row],[NET Amount]]-Table1[[#This Row],[Paid Amount]]</f>
        <v>0</v>
      </c>
      <c r="P42" s="2" t="s">
        <v>18</v>
      </c>
      <c r="Q42" s="2" t="s">
        <v>90</v>
      </c>
      <c r="R42" s="16" t="e">
        <f>(Table1[[#This Row],[NET Amount]]-Table1[[#This Row],[Total Outstanding Amount]])/Table1[[#This Row],[NET Amount]]</f>
        <v>#DIV/0!</v>
      </c>
      <c r="S42" s="2" t="s">
        <v>77</v>
      </c>
    </row>
    <row r="43" spans="1:19" x14ac:dyDescent="0.3">
      <c r="A43" s="4">
        <v>41</v>
      </c>
      <c r="B43" s="2" t="s">
        <v>91</v>
      </c>
      <c r="C43" s="3">
        <v>44838</v>
      </c>
      <c r="D43" s="3" t="str">
        <f>TEXT(Table1[[#This Row],[Admission Date]],"MMMM")</f>
        <v>October</v>
      </c>
      <c r="E43" s="3">
        <v>44838</v>
      </c>
      <c r="F43" s="3">
        <v>44838</v>
      </c>
      <c r="G43" s="2">
        <v>22025599</v>
      </c>
      <c r="H43" s="2">
        <v>2234525</v>
      </c>
      <c r="I43" s="2">
        <v>1001801813</v>
      </c>
      <c r="J43" s="2" t="s">
        <v>92</v>
      </c>
      <c r="K43" s="10">
        <v>32985</v>
      </c>
      <c r="L43" s="10">
        <v>1277</v>
      </c>
      <c r="M43" s="10">
        <v>31708</v>
      </c>
      <c r="N43" s="10">
        <v>28672</v>
      </c>
      <c r="O43" s="10">
        <f>Table1[[#This Row],[NET Amount]]-Table1[[#This Row],[Paid Amount]]</f>
        <v>3036</v>
      </c>
      <c r="P43" s="2" t="s">
        <v>18</v>
      </c>
      <c r="Q43" s="2" t="s">
        <v>54</v>
      </c>
      <c r="R43" s="16">
        <f>(Table1[[#This Row],[NET Amount]]-Table1[[#This Row],[Total Outstanding Amount]])/Table1[[#This Row],[NET Amount]]</f>
        <v>0.90425129304907281</v>
      </c>
      <c r="S43" s="2" t="s">
        <v>27</v>
      </c>
    </row>
    <row r="44" spans="1:19" x14ac:dyDescent="0.3">
      <c r="A44" s="4">
        <v>42</v>
      </c>
      <c r="B44" s="2" t="s">
        <v>93</v>
      </c>
      <c r="C44" s="3">
        <v>44847</v>
      </c>
      <c r="D44" s="3" t="str">
        <f>TEXT(Table1[[#This Row],[Admission Date]],"MMMM")</f>
        <v>October</v>
      </c>
      <c r="E44" s="3">
        <v>44856</v>
      </c>
      <c r="F44" s="3">
        <v>44856</v>
      </c>
      <c r="G44" s="2">
        <v>22028241</v>
      </c>
      <c r="H44" s="2">
        <v>2235873</v>
      </c>
      <c r="I44" s="2">
        <v>10013334779</v>
      </c>
      <c r="J44" s="2" t="s">
        <v>94</v>
      </c>
      <c r="K44" s="10">
        <v>243438</v>
      </c>
      <c r="L44" s="10">
        <v>41832</v>
      </c>
      <c r="M44" s="10">
        <v>201606</v>
      </c>
      <c r="N44" s="10">
        <v>41432</v>
      </c>
      <c r="O44" s="10">
        <f>Table1[[#This Row],[NET Amount]]-Table1[[#This Row],[Paid Amount]]</f>
        <v>160174</v>
      </c>
      <c r="P44" s="2" t="s">
        <v>23</v>
      </c>
      <c r="Q44" s="2" t="s">
        <v>52</v>
      </c>
      <c r="R44" s="16">
        <f>(Table1[[#This Row],[NET Amount]]-Table1[[#This Row],[Total Outstanding Amount]])/Table1[[#This Row],[NET Amount]]</f>
        <v>0.20550975665406784</v>
      </c>
      <c r="S44" s="2" t="s">
        <v>95</v>
      </c>
    </row>
    <row r="45" spans="1:19" x14ac:dyDescent="0.3">
      <c r="A45" s="4">
        <v>43</v>
      </c>
      <c r="B45" s="2" t="s">
        <v>25</v>
      </c>
      <c r="C45" s="3">
        <v>44857</v>
      </c>
      <c r="D45" s="3" t="str">
        <f>TEXT(Table1[[#This Row],[Admission Date]],"MMMM")</f>
        <v>October</v>
      </c>
      <c r="E45" s="3">
        <v>44857</v>
      </c>
      <c r="F45" s="3">
        <v>44857</v>
      </c>
      <c r="G45" s="2">
        <v>22028401</v>
      </c>
      <c r="H45" s="2">
        <v>2237186</v>
      </c>
      <c r="I45" s="2">
        <v>10013440543</v>
      </c>
      <c r="J45" s="2" t="s">
        <v>96</v>
      </c>
      <c r="K45" s="10">
        <v>2794</v>
      </c>
      <c r="L45" s="10">
        <v>2794</v>
      </c>
      <c r="M45" s="10">
        <v>0</v>
      </c>
      <c r="N45" s="10">
        <v>0</v>
      </c>
      <c r="O45" s="10">
        <f>Table1[[#This Row],[NET Amount]]-Table1[[#This Row],[Paid Amount]]</f>
        <v>0</v>
      </c>
      <c r="P45" s="2" t="s">
        <v>18</v>
      </c>
      <c r="Q45" s="2" t="s">
        <v>90</v>
      </c>
      <c r="R45" s="16" t="e">
        <f>(Table1[[#This Row],[NET Amount]]-Table1[[#This Row],[Total Outstanding Amount]])/Table1[[#This Row],[NET Amount]]</f>
        <v>#DIV/0!</v>
      </c>
      <c r="S45" s="2" t="s">
        <v>97</v>
      </c>
    </row>
    <row r="46" spans="1:19" x14ac:dyDescent="0.3">
      <c r="A46" s="4">
        <v>44</v>
      </c>
      <c r="B46" s="2" t="s">
        <v>40</v>
      </c>
      <c r="C46" s="3">
        <v>44847</v>
      </c>
      <c r="D46" s="3" t="str">
        <f>TEXT(Table1[[#This Row],[Admission Date]],"MMMM")</f>
        <v>October</v>
      </c>
      <c r="E46" s="3">
        <v>44857</v>
      </c>
      <c r="F46" s="3">
        <v>44857</v>
      </c>
      <c r="G46" s="2">
        <v>22028368</v>
      </c>
      <c r="H46" s="2">
        <v>2235790</v>
      </c>
      <c r="I46" s="2">
        <v>10013542780</v>
      </c>
      <c r="J46" s="2" t="s">
        <v>98</v>
      </c>
      <c r="K46" s="10">
        <v>249093</v>
      </c>
      <c r="L46" s="10">
        <v>12611</v>
      </c>
      <c r="M46" s="10">
        <v>236483</v>
      </c>
      <c r="N46" s="10">
        <v>165111</v>
      </c>
      <c r="O46" s="10">
        <f>Table1[[#This Row],[NET Amount]]-Table1[[#This Row],[Paid Amount]]</f>
        <v>71372</v>
      </c>
      <c r="P46" s="2" t="s">
        <v>23</v>
      </c>
      <c r="Q46" s="2" t="s">
        <v>42</v>
      </c>
      <c r="R46" s="16">
        <f>(Table1[[#This Row],[NET Amount]]-Table1[[#This Row],[Total Outstanding Amount]])/Table1[[#This Row],[NET Amount]]</f>
        <v>0.69819395051652766</v>
      </c>
      <c r="S46" s="2" t="s">
        <v>20</v>
      </c>
    </row>
    <row r="47" spans="1:19" x14ac:dyDescent="0.3">
      <c r="A47" s="4">
        <v>45</v>
      </c>
      <c r="B47" s="2" t="s">
        <v>35</v>
      </c>
      <c r="C47" s="3">
        <v>44856</v>
      </c>
      <c r="D47" s="3" t="str">
        <f>TEXT(Table1[[#This Row],[Admission Date]],"MMMM")</f>
        <v>October</v>
      </c>
      <c r="E47" s="3">
        <v>44856</v>
      </c>
      <c r="F47" s="3">
        <v>44856</v>
      </c>
      <c r="G47" s="2">
        <v>22028125</v>
      </c>
      <c r="H47" s="2">
        <v>2237007</v>
      </c>
      <c r="I47" s="2">
        <v>10013540183</v>
      </c>
      <c r="J47" s="2" t="s">
        <v>99</v>
      </c>
      <c r="K47" s="10">
        <v>1610</v>
      </c>
      <c r="L47" s="10">
        <v>0</v>
      </c>
      <c r="M47" s="10">
        <v>1610</v>
      </c>
      <c r="N47" s="10">
        <v>1610</v>
      </c>
      <c r="O47" s="10">
        <f>Table1[[#This Row],[NET Amount]]-Table1[[#This Row],[Paid Amount]]</f>
        <v>0</v>
      </c>
      <c r="P47" s="2" t="s">
        <v>18</v>
      </c>
      <c r="Q47" s="2" t="s">
        <v>54</v>
      </c>
      <c r="R47" s="16">
        <f>(Table1[[#This Row],[NET Amount]]-Table1[[#This Row],[Total Outstanding Amount]])/Table1[[#This Row],[NET Amount]]</f>
        <v>1</v>
      </c>
      <c r="S47" s="2" t="s">
        <v>97</v>
      </c>
    </row>
    <row r="48" spans="1:19" x14ac:dyDescent="0.3">
      <c r="A48" s="4">
        <v>46</v>
      </c>
      <c r="B48" s="2" t="s">
        <v>25</v>
      </c>
      <c r="C48" s="3">
        <v>44862</v>
      </c>
      <c r="D48" s="3" t="str">
        <f>TEXT(Table1[[#This Row],[Admission Date]],"MMMM")</f>
        <v>October</v>
      </c>
      <c r="E48" s="3">
        <v>44862</v>
      </c>
      <c r="F48" s="3">
        <v>44862</v>
      </c>
      <c r="G48" s="2">
        <v>22028941</v>
      </c>
      <c r="H48" s="2">
        <v>2237774</v>
      </c>
      <c r="I48" s="2">
        <v>10013226516</v>
      </c>
      <c r="J48" s="2" t="s">
        <v>100</v>
      </c>
      <c r="K48" s="10">
        <v>36135</v>
      </c>
      <c r="L48" s="10">
        <v>4613</v>
      </c>
      <c r="M48" s="10">
        <v>31522</v>
      </c>
      <c r="N48" s="10">
        <v>31522</v>
      </c>
      <c r="O48" s="10">
        <f>Table1[[#This Row],[NET Amount]]-Table1[[#This Row],[Paid Amount]]</f>
        <v>0</v>
      </c>
      <c r="P48" s="2" t="s">
        <v>18</v>
      </c>
      <c r="Q48" s="2" t="s">
        <v>54</v>
      </c>
      <c r="R48" s="16">
        <f>(Table1[[#This Row],[NET Amount]]-Table1[[#This Row],[Total Outstanding Amount]])/Table1[[#This Row],[NET Amount]]</f>
        <v>1</v>
      </c>
      <c r="S48" s="2" t="s">
        <v>27</v>
      </c>
    </row>
    <row r="49" spans="1:19" x14ac:dyDescent="0.3">
      <c r="A49" s="4">
        <v>47</v>
      </c>
      <c r="B49" s="2" t="s">
        <v>35</v>
      </c>
      <c r="C49" s="3">
        <v>44863</v>
      </c>
      <c r="D49" s="3" t="str">
        <f>TEXT(Table1[[#This Row],[Admission Date]],"MMMM")</f>
        <v>October</v>
      </c>
      <c r="E49" s="3">
        <v>44863</v>
      </c>
      <c r="F49" s="3">
        <v>44863</v>
      </c>
      <c r="G49" s="2">
        <v>22029052</v>
      </c>
      <c r="H49" s="2">
        <v>2237957</v>
      </c>
      <c r="I49" s="2">
        <v>1001644664</v>
      </c>
      <c r="J49" s="2" t="s">
        <v>101</v>
      </c>
      <c r="K49" s="10">
        <v>1610</v>
      </c>
      <c r="L49" s="10">
        <v>0</v>
      </c>
      <c r="M49" s="10">
        <v>1610</v>
      </c>
      <c r="N49" s="10">
        <v>1610</v>
      </c>
      <c r="O49" s="10">
        <f>Table1[[#This Row],[NET Amount]]-Table1[[#This Row],[Paid Amount]]</f>
        <v>0</v>
      </c>
      <c r="P49" s="2" t="s">
        <v>18</v>
      </c>
      <c r="Q49" s="2" t="s">
        <v>54</v>
      </c>
      <c r="R49" s="16">
        <f>(Table1[[#This Row],[NET Amount]]-Table1[[#This Row],[Total Outstanding Amount]])/Table1[[#This Row],[NET Amount]]</f>
        <v>1</v>
      </c>
      <c r="S49" s="2" t="s">
        <v>97</v>
      </c>
    </row>
    <row r="50" spans="1:19" x14ac:dyDescent="0.3">
      <c r="A50" s="4">
        <v>48</v>
      </c>
      <c r="B50" s="2" t="s">
        <v>25</v>
      </c>
      <c r="C50" s="3">
        <v>44863</v>
      </c>
      <c r="D50" s="3" t="str">
        <f>TEXT(Table1[[#This Row],[Admission Date]],"MMMM")</f>
        <v>October</v>
      </c>
      <c r="E50" s="3">
        <v>44863</v>
      </c>
      <c r="F50" s="3">
        <v>44863</v>
      </c>
      <c r="G50" s="2">
        <v>22029118</v>
      </c>
      <c r="H50" s="2">
        <v>2237972</v>
      </c>
      <c r="I50" s="2">
        <v>10013230754</v>
      </c>
      <c r="J50" s="2" t="s">
        <v>102</v>
      </c>
      <c r="K50" s="10">
        <v>4990</v>
      </c>
      <c r="L50" s="10">
        <v>1647</v>
      </c>
      <c r="M50" s="10">
        <v>3343</v>
      </c>
      <c r="N50" s="10">
        <v>3343</v>
      </c>
      <c r="O50" s="10">
        <f>Table1[[#This Row],[NET Amount]]-Table1[[#This Row],[Paid Amount]]</f>
        <v>0</v>
      </c>
      <c r="P50" s="2" t="s">
        <v>18</v>
      </c>
      <c r="Q50" s="2" t="s">
        <v>54</v>
      </c>
      <c r="R50" s="16">
        <f>(Table1[[#This Row],[NET Amount]]-Table1[[#This Row],[Total Outstanding Amount]])/Table1[[#This Row],[NET Amount]]</f>
        <v>1</v>
      </c>
      <c r="S50" s="2" t="s">
        <v>97</v>
      </c>
    </row>
    <row r="51" spans="1:19" x14ac:dyDescent="0.3">
      <c r="A51" s="4">
        <v>49</v>
      </c>
      <c r="B51" s="2" t="s">
        <v>25</v>
      </c>
      <c r="C51" s="3">
        <v>44859</v>
      </c>
      <c r="D51" s="3" t="str">
        <f>TEXT(Table1[[#This Row],[Admission Date]],"MMMM")</f>
        <v>October</v>
      </c>
      <c r="E51" s="3">
        <v>44861</v>
      </c>
      <c r="F51" s="3">
        <v>44861</v>
      </c>
      <c r="G51" s="2">
        <v>22028745</v>
      </c>
      <c r="H51" s="2">
        <v>2237331</v>
      </c>
      <c r="I51" s="2">
        <v>10013543908</v>
      </c>
      <c r="J51" s="2" t="s">
        <v>103</v>
      </c>
      <c r="K51" s="10">
        <v>157503</v>
      </c>
      <c r="L51" s="10">
        <v>18480</v>
      </c>
      <c r="M51" s="10">
        <v>139023</v>
      </c>
      <c r="N51" s="10">
        <v>139023</v>
      </c>
      <c r="O51" s="10">
        <f>Table1[[#This Row],[NET Amount]]-Table1[[#This Row],[Paid Amount]]</f>
        <v>0</v>
      </c>
      <c r="P51" s="2" t="s">
        <v>18</v>
      </c>
      <c r="Q51" s="2" t="s">
        <v>104</v>
      </c>
      <c r="R51" s="16">
        <f>(Table1[[#This Row],[NET Amount]]-Table1[[#This Row],[Total Outstanding Amount]])/Table1[[#This Row],[NET Amount]]</f>
        <v>1</v>
      </c>
      <c r="S51" s="2" t="s">
        <v>77</v>
      </c>
    </row>
    <row r="52" spans="1:19" x14ac:dyDescent="0.3">
      <c r="A52" s="4">
        <v>50</v>
      </c>
      <c r="B52" s="2" t="s">
        <v>45</v>
      </c>
      <c r="C52" s="3">
        <v>44864</v>
      </c>
      <c r="D52" s="3" t="str">
        <f>TEXT(Table1[[#This Row],[Admission Date]],"MMMM")</f>
        <v>October</v>
      </c>
      <c r="E52" s="3">
        <v>44865</v>
      </c>
      <c r="F52" s="3">
        <v>44865</v>
      </c>
      <c r="G52" s="2">
        <v>22029333</v>
      </c>
      <c r="H52" s="2">
        <v>2238078</v>
      </c>
      <c r="I52" s="2">
        <v>10013545199</v>
      </c>
      <c r="J52" s="2" t="s">
        <v>105</v>
      </c>
      <c r="K52" s="10">
        <v>68971</v>
      </c>
      <c r="L52" s="10">
        <v>8661</v>
      </c>
      <c r="M52" s="10">
        <v>60310</v>
      </c>
      <c r="N52" s="10">
        <v>17123</v>
      </c>
      <c r="O52" s="10">
        <f>Table1[[#This Row],[NET Amount]]-Table1[[#This Row],[Paid Amount]]</f>
        <v>43187</v>
      </c>
      <c r="P52" s="2" t="s">
        <v>23</v>
      </c>
      <c r="Q52" s="2" t="s">
        <v>47</v>
      </c>
      <c r="R52" s="16">
        <f>(Table1[[#This Row],[NET Amount]]-Table1[[#This Row],[Total Outstanding Amount]])/Table1[[#This Row],[NET Amount]]</f>
        <v>0.28391643176919251</v>
      </c>
      <c r="S52" s="2" t="s">
        <v>39</v>
      </c>
    </row>
    <row r="53" spans="1:19" x14ac:dyDescent="0.3">
      <c r="A53" s="4">
        <v>51</v>
      </c>
      <c r="B53" s="2" t="s">
        <v>2248</v>
      </c>
      <c r="C53" s="3">
        <v>44862</v>
      </c>
      <c r="D53" s="3" t="str">
        <f>TEXT(Table1[[#This Row],[Admission Date]],"MMMM")</f>
        <v>October</v>
      </c>
      <c r="E53" s="3">
        <v>44863</v>
      </c>
      <c r="F53" s="3">
        <v>44863</v>
      </c>
      <c r="G53" s="2">
        <v>22029060</v>
      </c>
      <c r="H53" s="2">
        <v>2237775</v>
      </c>
      <c r="I53" s="2">
        <v>1001806730</v>
      </c>
      <c r="J53" s="2" t="s">
        <v>106</v>
      </c>
      <c r="K53" s="10">
        <v>24400</v>
      </c>
      <c r="L53" s="10">
        <v>0</v>
      </c>
      <c r="M53" s="10">
        <v>24400</v>
      </c>
      <c r="N53" s="10">
        <v>1900</v>
      </c>
      <c r="O53" s="10">
        <f>Table1[[#This Row],[NET Amount]]-Table1[[#This Row],[Paid Amount]]</f>
        <v>22500</v>
      </c>
      <c r="P53" s="2" t="s">
        <v>23</v>
      </c>
      <c r="Q53" s="2" t="s">
        <v>24</v>
      </c>
      <c r="R53" s="16">
        <f>(Table1[[#This Row],[NET Amount]]-Table1[[#This Row],[Total Outstanding Amount]])/Table1[[#This Row],[NET Amount]]</f>
        <v>7.7868852459016397E-2</v>
      </c>
      <c r="S53" s="2" t="s">
        <v>27</v>
      </c>
    </row>
    <row r="54" spans="1:19" x14ac:dyDescent="0.3">
      <c r="A54" s="4">
        <v>52</v>
      </c>
      <c r="B54" s="2" t="s">
        <v>2246</v>
      </c>
      <c r="C54" s="3">
        <v>44839</v>
      </c>
      <c r="D54" s="3" t="str">
        <f>TEXT(Table1[[#This Row],[Admission Date]],"MMMM")</f>
        <v>October</v>
      </c>
      <c r="E54" s="3">
        <v>44839</v>
      </c>
      <c r="F54" s="3">
        <v>44839</v>
      </c>
      <c r="G54" s="2">
        <v>22025733</v>
      </c>
      <c r="H54" s="2">
        <v>2234724</v>
      </c>
      <c r="I54" s="2">
        <v>1001788579</v>
      </c>
      <c r="J54" s="2" t="s">
        <v>107</v>
      </c>
      <c r="K54" s="10">
        <v>2172</v>
      </c>
      <c r="L54" s="10">
        <v>0</v>
      </c>
      <c r="M54" s="10">
        <v>2172</v>
      </c>
      <c r="N54" s="10">
        <v>2172</v>
      </c>
      <c r="O54" s="10">
        <f>Table1[[#This Row],[NET Amount]]-Table1[[#This Row],[Paid Amount]]</f>
        <v>0</v>
      </c>
      <c r="P54" s="2" t="s">
        <v>18</v>
      </c>
      <c r="Q54" s="2" t="s">
        <v>54</v>
      </c>
      <c r="R54" s="16">
        <f>(Table1[[#This Row],[NET Amount]]-Table1[[#This Row],[Total Outstanding Amount]])/Table1[[#This Row],[NET Amount]]</f>
        <v>1</v>
      </c>
      <c r="S54" s="2" t="s">
        <v>97</v>
      </c>
    </row>
    <row r="55" spans="1:19" x14ac:dyDescent="0.3">
      <c r="A55" s="4">
        <v>53</v>
      </c>
      <c r="B55" s="2" t="s">
        <v>2249</v>
      </c>
      <c r="C55" s="3">
        <v>44839</v>
      </c>
      <c r="D55" s="3" t="str">
        <f>TEXT(Table1[[#This Row],[Admission Date]],"MMMM")</f>
        <v>October</v>
      </c>
      <c r="E55" s="3">
        <v>44841</v>
      </c>
      <c r="F55" s="3">
        <v>44841</v>
      </c>
      <c r="G55" s="2">
        <v>22025923</v>
      </c>
      <c r="H55" s="2">
        <v>2234779</v>
      </c>
      <c r="I55" s="2">
        <v>1001363079</v>
      </c>
      <c r="J55" s="2" t="s">
        <v>108</v>
      </c>
      <c r="K55" s="10">
        <v>77516</v>
      </c>
      <c r="L55" s="10">
        <v>3734</v>
      </c>
      <c r="M55" s="10">
        <v>73782</v>
      </c>
      <c r="N55" s="10">
        <v>20638</v>
      </c>
      <c r="O55" s="10">
        <f>Table1[[#This Row],[NET Amount]]-Table1[[#This Row],[Paid Amount]]</f>
        <v>53144</v>
      </c>
      <c r="P55" s="2" t="s">
        <v>23</v>
      </c>
      <c r="Q55" s="2" t="s">
        <v>30</v>
      </c>
      <c r="R55" s="16">
        <f>(Table1[[#This Row],[NET Amount]]-Table1[[#This Row],[Total Outstanding Amount]])/Table1[[#This Row],[NET Amount]]</f>
        <v>0.27971591987205552</v>
      </c>
      <c r="S55" s="2" t="s">
        <v>20</v>
      </c>
    </row>
    <row r="56" spans="1:19" x14ac:dyDescent="0.3">
      <c r="A56" s="4">
        <v>54</v>
      </c>
      <c r="B56" s="2" t="s">
        <v>75</v>
      </c>
      <c r="C56" s="3">
        <v>44846</v>
      </c>
      <c r="D56" s="3" t="str">
        <f>TEXT(Table1[[#This Row],[Admission Date]],"MMMM")</f>
        <v>October</v>
      </c>
      <c r="E56" s="3">
        <v>44848</v>
      </c>
      <c r="F56" s="3">
        <v>44848</v>
      </c>
      <c r="G56" s="2">
        <v>22027007</v>
      </c>
      <c r="H56" s="2">
        <v>2235626</v>
      </c>
      <c r="I56" s="2">
        <v>10013442733</v>
      </c>
      <c r="J56" s="2" t="s">
        <v>109</v>
      </c>
      <c r="K56" s="10">
        <v>39439</v>
      </c>
      <c r="L56" s="10">
        <v>0</v>
      </c>
      <c r="M56" s="10">
        <v>39439</v>
      </c>
      <c r="N56" s="10">
        <v>1181</v>
      </c>
      <c r="O56" s="10">
        <f>Table1[[#This Row],[NET Amount]]-Table1[[#This Row],[Paid Amount]]</f>
        <v>38258</v>
      </c>
      <c r="P56" s="2" t="s">
        <v>23</v>
      </c>
      <c r="Q56" s="2" t="s">
        <v>30</v>
      </c>
      <c r="R56" s="16">
        <f>(Table1[[#This Row],[NET Amount]]-Table1[[#This Row],[Total Outstanding Amount]])/Table1[[#This Row],[NET Amount]]</f>
        <v>2.9944978320951342E-2</v>
      </c>
      <c r="S56" s="2" t="s">
        <v>39</v>
      </c>
    </row>
    <row r="57" spans="1:19" x14ac:dyDescent="0.3">
      <c r="A57" s="4">
        <v>55</v>
      </c>
      <c r="B57" s="2" t="s">
        <v>110</v>
      </c>
      <c r="C57" s="3">
        <v>44863</v>
      </c>
      <c r="D57" s="3" t="str">
        <f>TEXT(Table1[[#This Row],[Admission Date]],"MMMM")</f>
        <v>October</v>
      </c>
      <c r="E57" s="3">
        <v>44865</v>
      </c>
      <c r="F57" s="3">
        <v>44865</v>
      </c>
      <c r="G57" s="2">
        <v>22029279</v>
      </c>
      <c r="H57" s="2">
        <v>2238024</v>
      </c>
      <c r="I57" s="2">
        <v>1001310803</v>
      </c>
      <c r="J57" s="2" t="s">
        <v>111</v>
      </c>
      <c r="K57" s="10">
        <v>99499</v>
      </c>
      <c r="L57" s="10">
        <v>1562</v>
      </c>
      <c r="M57" s="10">
        <v>97937</v>
      </c>
      <c r="N57" s="10">
        <v>1500</v>
      </c>
      <c r="O57" s="10">
        <f>Table1[[#This Row],[NET Amount]]-Table1[[#This Row],[Paid Amount]]</f>
        <v>96437</v>
      </c>
      <c r="P57" s="2" t="s">
        <v>23</v>
      </c>
      <c r="Q57" s="2" t="s">
        <v>24</v>
      </c>
      <c r="R57" s="16">
        <f>(Table1[[#This Row],[NET Amount]]-Table1[[#This Row],[Total Outstanding Amount]])/Table1[[#This Row],[NET Amount]]</f>
        <v>1.5315968428683746E-2</v>
      </c>
      <c r="S57" s="2" t="s">
        <v>55</v>
      </c>
    </row>
    <row r="58" spans="1:19" x14ac:dyDescent="0.3">
      <c r="A58" s="4">
        <v>56</v>
      </c>
      <c r="B58" s="2" t="s">
        <v>25</v>
      </c>
      <c r="C58" s="3">
        <v>44862</v>
      </c>
      <c r="D58" s="3" t="str">
        <f>TEXT(Table1[[#This Row],[Admission Date]],"MMMM")</f>
        <v>October</v>
      </c>
      <c r="E58" s="3">
        <v>44864</v>
      </c>
      <c r="F58" s="3">
        <v>44864</v>
      </c>
      <c r="G58" s="2">
        <v>22029184</v>
      </c>
      <c r="H58" s="2">
        <v>2237880</v>
      </c>
      <c r="I58" s="2">
        <v>10013245590</v>
      </c>
      <c r="J58" s="2" t="s">
        <v>112</v>
      </c>
      <c r="K58" s="10">
        <v>74073</v>
      </c>
      <c r="L58" s="10">
        <v>13364</v>
      </c>
      <c r="M58" s="10">
        <v>60709</v>
      </c>
      <c r="N58" s="10">
        <v>60709</v>
      </c>
      <c r="O58" s="10">
        <f>Table1[[#This Row],[NET Amount]]-Table1[[#This Row],[Paid Amount]]</f>
        <v>0</v>
      </c>
      <c r="P58" s="2" t="s">
        <v>18</v>
      </c>
      <c r="Q58" s="2" t="s">
        <v>24</v>
      </c>
      <c r="R58" s="16">
        <f>(Table1[[#This Row],[NET Amount]]-Table1[[#This Row],[Total Outstanding Amount]])/Table1[[#This Row],[NET Amount]]</f>
        <v>1</v>
      </c>
      <c r="S58" s="2" t="s">
        <v>39</v>
      </c>
    </row>
    <row r="59" spans="1:19" x14ac:dyDescent="0.3">
      <c r="A59" s="4">
        <v>57</v>
      </c>
      <c r="B59" s="2" t="s">
        <v>113</v>
      </c>
      <c r="C59" s="3">
        <v>44863</v>
      </c>
      <c r="D59" s="3" t="str">
        <f>TEXT(Table1[[#This Row],[Admission Date]],"MMMM")</f>
        <v>October</v>
      </c>
      <c r="E59" s="3">
        <v>44864</v>
      </c>
      <c r="F59" s="3">
        <v>44864</v>
      </c>
      <c r="G59" s="2">
        <v>22029187</v>
      </c>
      <c r="H59" s="2">
        <v>2237939</v>
      </c>
      <c r="I59" s="2">
        <v>10013528474</v>
      </c>
      <c r="J59" s="2" t="s">
        <v>114</v>
      </c>
      <c r="K59" s="10">
        <v>4729</v>
      </c>
      <c r="L59" s="10">
        <v>0</v>
      </c>
      <c r="M59" s="10">
        <v>4729</v>
      </c>
      <c r="N59" s="10">
        <v>4729</v>
      </c>
      <c r="O59" s="10">
        <f>Table1[[#This Row],[NET Amount]]-Table1[[#This Row],[Paid Amount]]</f>
        <v>0</v>
      </c>
      <c r="P59" s="2" t="s">
        <v>18</v>
      </c>
      <c r="Q59" s="2" t="s">
        <v>24</v>
      </c>
      <c r="R59" s="16">
        <f>(Table1[[#This Row],[NET Amount]]-Table1[[#This Row],[Total Outstanding Amount]])/Table1[[#This Row],[NET Amount]]</f>
        <v>1</v>
      </c>
      <c r="S59" s="2" t="s">
        <v>27</v>
      </c>
    </row>
    <row r="60" spans="1:19" x14ac:dyDescent="0.3">
      <c r="A60" s="4">
        <v>58</v>
      </c>
      <c r="B60" s="2" t="s">
        <v>115</v>
      </c>
      <c r="C60" s="3">
        <v>44863</v>
      </c>
      <c r="D60" s="3" t="str">
        <f>TEXT(Table1[[#This Row],[Admission Date]],"MMMM")</f>
        <v>October</v>
      </c>
      <c r="E60" s="3">
        <v>44864</v>
      </c>
      <c r="F60" s="3">
        <v>44864</v>
      </c>
      <c r="G60" s="2">
        <v>22029190</v>
      </c>
      <c r="H60" s="2">
        <v>2237944</v>
      </c>
      <c r="I60" s="2">
        <v>1001806969</v>
      </c>
      <c r="J60" s="2" t="s">
        <v>116</v>
      </c>
      <c r="K60" s="10">
        <v>238169</v>
      </c>
      <c r="L60" s="10">
        <v>0</v>
      </c>
      <c r="M60" s="10">
        <v>238169</v>
      </c>
      <c r="N60" s="10">
        <v>26250</v>
      </c>
      <c r="O60" s="10">
        <f>Table1[[#This Row],[NET Amount]]-Table1[[#This Row],[Paid Amount]]</f>
        <v>211919</v>
      </c>
      <c r="P60" s="2" t="s">
        <v>23</v>
      </c>
      <c r="Q60" s="2" t="s">
        <v>47</v>
      </c>
      <c r="R60" s="16">
        <f>(Table1[[#This Row],[NET Amount]]-Table1[[#This Row],[Total Outstanding Amount]])/Table1[[#This Row],[NET Amount]]</f>
        <v>0.11021585512808132</v>
      </c>
      <c r="S60" s="2" t="s">
        <v>39</v>
      </c>
    </row>
    <row r="61" spans="1:19" x14ac:dyDescent="0.3">
      <c r="A61" s="4">
        <v>59</v>
      </c>
      <c r="B61" s="2" t="s">
        <v>117</v>
      </c>
      <c r="C61" s="3">
        <v>44863</v>
      </c>
      <c r="D61" s="3" t="str">
        <f>TEXT(Table1[[#This Row],[Admission Date]],"MMMM")</f>
        <v>October</v>
      </c>
      <c r="E61" s="3">
        <v>44864</v>
      </c>
      <c r="F61" s="3">
        <v>44864</v>
      </c>
      <c r="G61" s="2">
        <v>22029216</v>
      </c>
      <c r="H61" s="2">
        <v>2237949</v>
      </c>
      <c r="I61" s="2">
        <v>10013544365</v>
      </c>
      <c r="J61" s="2" t="s">
        <v>118</v>
      </c>
      <c r="K61" s="10">
        <v>254128</v>
      </c>
      <c r="L61" s="10">
        <v>0</v>
      </c>
      <c r="M61" s="10">
        <v>254128</v>
      </c>
      <c r="N61" s="10">
        <v>254128</v>
      </c>
      <c r="O61" s="10">
        <f>Table1[[#This Row],[NET Amount]]-Table1[[#This Row],[Paid Amount]]</f>
        <v>0</v>
      </c>
      <c r="P61" s="2" t="s">
        <v>18</v>
      </c>
      <c r="Q61" s="2" t="s">
        <v>24</v>
      </c>
      <c r="R61" s="16">
        <f>(Table1[[#This Row],[NET Amount]]-Table1[[#This Row],[Total Outstanding Amount]])/Table1[[#This Row],[NET Amount]]</f>
        <v>1</v>
      </c>
      <c r="S61" s="2" t="s">
        <v>39</v>
      </c>
    </row>
    <row r="62" spans="1:19" x14ac:dyDescent="0.3">
      <c r="A62" s="4">
        <v>60</v>
      </c>
      <c r="B62" s="2" t="s">
        <v>25</v>
      </c>
      <c r="C62" s="3">
        <v>44862</v>
      </c>
      <c r="D62" s="3" t="str">
        <f>TEXT(Table1[[#This Row],[Admission Date]],"MMMM")</f>
        <v>October</v>
      </c>
      <c r="E62" s="3">
        <v>44862</v>
      </c>
      <c r="F62" s="3">
        <v>44862</v>
      </c>
      <c r="G62" s="2">
        <v>22028892</v>
      </c>
      <c r="H62" s="2">
        <v>2237779</v>
      </c>
      <c r="I62" s="2">
        <v>10013544904</v>
      </c>
      <c r="J62" s="2" t="s">
        <v>119</v>
      </c>
      <c r="K62" s="10">
        <v>14000</v>
      </c>
      <c r="L62" s="10">
        <v>780</v>
      </c>
      <c r="M62" s="10">
        <v>13220</v>
      </c>
      <c r="N62" s="10">
        <v>13220</v>
      </c>
      <c r="O62" s="10">
        <f>Table1[[#This Row],[NET Amount]]-Table1[[#This Row],[Paid Amount]]</f>
        <v>0</v>
      </c>
      <c r="P62" s="2" t="s">
        <v>18</v>
      </c>
      <c r="Q62" s="2" t="s">
        <v>54</v>
      </c>
      <c r="R62" s="16">
        <f>(Table1[[#This Row],[NET Amount]]-Table1[[#This Row],[Total Outstanding Amount]])/Table1[[#This Row],[NET Amount]]</f>
        <v>1</v>
      </c>
      <c r="S62" s="2" t="s">
        <v>39</v>
      </c>
    </row>
    <row r="63" spans="1:19" x14ac:dyDescent="0.3">
      <c r="A63" s="4">
        <v>61</v>
      </c>
      <c r="B63" s="2" t="s">
        <v>25</v>
      </c>
      <c r="C63" s="3">
        <v>44860</v>
      </c>
      <c r="D63" s="3" t="str">
        <f>TEXT(Table1[[#This Row],[Admission Date]],"MMMM")</f>
        <v>October</v>
      </c>
      <c r="E63" s="3">
        <v>44862</v>
      </c>
      <c r="F63" s="3">
        <v>44862</v>
      </c>
      <c r="G63" s="2">
        <v>22028881</v>
      </c>
      <c r="H63" s="2">
        <v>2237433</v>
      </c>
      <c r="I63" s="2">
        <v>1001639449</v>
      </c>
      <c r="J63" s="2" t="s">
        <v>120</v>
      </c>
      <c r="K63" s="10">
        <v>85741</v>
      </c>
      <c r="L63" s="10">
        <v>16982</v>
      </c>
      <c r="M63" s="10">
        <v>68759</v>
      </c>
      <c r="N63" s="10">
        <v>68759</v>
      </c>
      <c r="O63" s="10">
        <f>Table1[[#This Row],[NET Amount]]-Table1[[#This Row],[Paid Amount]]</f>
        <v>0</v>
      </c>
      <c r="P63" s="2" t="s">
        <v>18</v>
      </c>
      <c r="Q63" s="2" t="s">
        <v>88</v>
      </c>
      <c r="R63" s="16">
        <f>(Table1[[#This Row],[NET Amount]]-Table1[[#This Row],[Total Outstanding Amount]])/Table1[[#This Row],[NET Amount]]</f>
        <v>1</v>
      </c>
      <c r="S63" s="2" t="s">
        <v>32</v>
      </c>
    </row>
    <row r="64" spans="1:19" x14ac:dyDescent="0.3">
      <c r="A64" s="4">
        <v>62</v>
      </c>
      <c r="B64" s="2" t="s">
        <v>25</v>
      </c>
      <c r="C64" s="3">
        <v>44849</v>
      </c>
      <c r="D64" s="3" t="str">
        <f>TEXT(Table1[[#This Row],[Admission Date]],"MMMM")</f>
        <v>October</v>
      </c>
      <c r="E64" s="3">
        <v>44850</v>
      </c>
      <c r="F64" s="3">
        <v>44850</v>
      </c>
      <c r="G64" s="2">
        <v>22027319</v>
      </c>
      <c r="H64" s="2">
        <v>2236162</v>
      </c>
      <c r="I64" s="2">
        <v>1001804580</v>
      </c>
      <c r="J64" s="2" t="s">
        <v>121</v>
      </c>
      <c r="K64" s="10">
        <v>43560</v>
      </c>
      <c r="L64" s="10">
        <v>4333</v>
      </c>
      <c r="M64" s="10">
        <v>39227</v>
      </c>
      <c r="N64" s="10">
        <v>39227</v>
      </c>
      <c r="O64" s="10">
        <f>Table1[[#This Row],[NET Amount]]-Table1[[#This Row],[Paid Amount]]</f>
        <v>0</v>
      </c>
      <c r="P64" s="2" t="s">
        <v>18</v>
      </c>
      <c r="Q64" s="2" t="s">
        <v>24</v>
      </c>
      <c r="R64" s="16">
        <f>(Table1[[#This Row],[NET Amount]]-Table1[[#This Row],[Total Outstanding Amount]])/Table1[[#This Row],[NET Amount]]</f>
        <v>1</v>
      </c>
      <c r="S64" s="2" t="s">
        <v>39</v>
      </c>
    </row>
    <row r="65" spans="1:19" x14ac:dyDescent="0.3">
      <c r="A65" s="4">
        <v>63</v>
      </c>
      <c r="B65" s="2" t="s">
        <v>122</v>
      </c>
      <c r="C65" s="3">
        <v>44851</v>
      </c>
      <c r="D65" s="3" t="str">
        <f>TEXT(Table1[[#This Row],[Admission Date]],"MMMM")</f>
        <v>October</v>
      </c>
      <c r="E65" s="3">
        <v>44851</v>
      </c>
      <c r="F65" s="3">
        <v>44851</v>
      </c>
      <c r="G65" s="2">
        <v>22027499</v>
      </c>
      <c r="H65" s="2">
        <v>2236391</v>
      </c>
      <c r="I65" s="2">
        <v>1001087967</v>
      </c>
      <c r="J65" s="2" t="s">
        <v>123</v>
      </c>
      <c r="K65" s="10">
        <v>3519</v>
      </c>
      <c r="L65" s="10">
        <v>3519</v>
      </c>
      <c r="M65" s="10">
        <v>0</v>
      </c>
      <c r="N65" s="10">
        <v>0</v>
      </c>
      <c r="O65" s="10">
        <f>Table1[[#This Row],[NET Amount]]-Table1[[#This Row],[Paid Amount]]</f>
        <v>0</v>
      </c>
      <c r="P65" s="2" t="s">
        <v>18</v>
      </c>
      <c r="Q65" s="2" t="s">
        <v>54</v>
      </c>
      <c r="R65" s="16" t="e">
        <f>(Table1[[#This Row],[NET Amount]]-Table1[[#This Row],[Total Outstanding Amount]])/Table1[[#This Row],[NET Amount]]</f>
        <v>#DIV/0!</v>
      </c>
      <c r="S65" s="2" t="s">
        <v>97</v>
      </c>
    </row>
    <row r="66" spans="1:19" x14ac:dyDescent="0.3">
      <c r="A66" s="4">
        <v>64</v>
      </c>
      <c r="B66" s="2" t="s">
        <v>25</v>
      </c>
      <c r="C66" s="3">
        <v>44851</v>
      </c>
      <c r="D66" s="3" t="str">
        <f>TEXT(Table1[[#This Row],[Admission Date]],"MMMM")</f>
        <v>October</v>
      </c>
      <c r="E66" s="3">
        <v>44851</v>
      </c>
      <c r="F66" s="3">
        <v>44851</v>
      </c>
      <c r="G66" s="2">
        <v>22027514</v>
      </c>
      <c r="H66" s="2">
        <v>2236408</v>
      </c>
      <c r="I66" s="2">
        <v>1001491648</v>
      </c>
      <c r="J66" s="2" t="s">
        <v>124</v>
      </c>
      <c r="K66" s="10">
        <v>7494</v>
      </c>
      <c r="L66" s="10">
        <v>7494</v>
      </c>
      <c r="M66" s="10">
        <v>0</v>
      </c>
      <c r="N66" s="10">
        <v>0</v>
      </c>
      <c r="O66" s="10">
        <f>Table1[[#This Row],[NET Amount]]-Table1[[#This Row],[Paid Amount]]</f>
        <v>0</v>
      </c>
      <c r="P66" s="2" t="s">
        <v>18</v>
      </c>
      <c r="Q66" s="2" t="s">
        <v>90</v>
      </c>
      <c r="R66" s="16" t="e">
        <f>(Table1[[#This Row],[NET Amount]]-Table1[[#This Row],[Total Outstanding Amount]])/Table1[[#This Row],[NET Amount]]</f>
        <v>#DIV/0!</v>
      </c>
      <c r="S66" s="2" t="s">
        <v>97</v>
      </c>
    </row>
    <row r="67" spans="1:19" x14ac:dyDescent="0.3">
      <c r="A67" s="4">
        <v>65</v>
      </c>
      <c r="B67" s="2" t="s">
        <v>25</v>
      </c>
      <c r="C67" s="3">
        <v>44849</v>
      </c>
      <c r="D67" s="3" t="str">
        <f>TEXT(Table1[[#This Row],[Admission Date]],"MMMM")</f>
        <v>October</v>
      </c>
      <c r="E67" s="3">
        <v>44852</v>
      </c>
      <c r="F67" s="3">
        <v>44852</v>
      </c>
      <c r="G67" s="2">
        <v>22027545</v>
      </c>
      <c r="H67" s="2">
        <v>2236122</v>
      </c>
      <c r="I67" s="2">
        <v>1001804542</v>
      </c>
      <c r="J67" s="2" t="s">
        <v>125</v>
      </c>
      <c r="K67" s="10">
        <v>24133</v>
      </c>
      <c r="L67" s="10">
        <v>3068</v>
      </c>
      <c r="M67" s="10">
        <v>21065</v>
      </c>
      <c r="N67" s="10">
        <v>21065</v>
      </c>
      <c r="O67" s="10">
        <f>Table1[[#This Row],[NET Amount]]-Table1[[#This Row],[Paid Amount]]</f>
        <v>0</v>
      </c>
      <c r="P67" s="2" t="s">
        <v>18</v>
      </c>
      <c r="Q67" s="2" t="s">
        <v>30</v>
      </c>
      <c r="R67" s="16">
        <f>(Table1[[#This Row],[NET Amount]]-Table1[[#This Row],[Total Outstanding Amount]])/Table1[[#This Row],[NET Amount]]</f>
        <v>1</v>
      </c>
      <c r="S67" s="2" t="s">
        <v>37</v>
      </c>
    </row>
    <row r="68" spans="1:19" x14ac:dyDescent="0.3">
      <c r="A68" s="4">
        <v>66</v>
      </c>
      <c r="B68" s="2" t="s">
        <v>126</v>
      </c>
      <c r="C68" s="3">
        <v>44846</v>
      </c>
      <c r="D68" s="3" t="str">
        <f>TEXT(Table1[[#This Row],[Admission Date]],"MMMM")</f>
        <v>October</v>
      </c>
      <c r="E68" s="3">
        <v>44851</v>
      </c>
      <c r="F68" s="3">
        <v>44851</v>
      </c>
      <c r="G68" s="2">
        <v>22027413</v>
      </c>
      <c r="H68" s="2">
        <v>2235669</v>
      </c>
      <c r="I68" s="2">
        <v>1001238364</v>
      </c>
      <c r="J68" s="2" t="s">
        <v>127</v>
      </c>
      <c r="K68" s="10">
        <v>143983</v>
      </c>
      <c r="L68" s="10">
        <v>17282</v>
      </c>
      <c r="M68" s="10">
        <v>126701</v>
      </c>
      <c r="N68" s="10">
        <v>5344</v>
      </c>
      <c r="O68" s="10">
        <f>Table1[[#This Row],[NET Amount]]-Table1[[#This Row],[Paid Amount]]</f>
        <v>121357</v>
      </c>
      <c r="P68" s="2" t="s">
        <v>23</v>
      </c>
      <c r="Q68" s="2" t="s">
        <v>30</v>
      </c>
      <c r="R68" s="16">
        <f>(Table1[[#This Row],[NET Amount]]-Table1[[#This Row],[Total Outstanding Amount]])/Table1[[#This Row],[NET Amount]]</f>
        <v>4.2178041215144318E-2</v>
      </c>
      <c r="S68" s="2" t="s">
        <v>20</v>
      </c>
    </row>
    <row r="69" spans="1:19" x14ac:dyDescent="0.3">
      <c r="A69" s="4">
        <v>67</v>
      </c>
      <c r="B69" s="2" t="s">
        <v>25</v>
      </c>
      <c r="C69" s="3">
        <v>44863</v>
      </c>
      <c r="D69" s="3" t="str">
        <f>TEXT(Table1[[#This Row],[Admission Date]],"MMMM")</f>
        <v>October</v>
      </c>
      <c r="E69" s="3">
        <v>44864</v>
      </c>
      <c r="F69" s="3">
        <v>44864</v>
      </c>
      <c r="G69" s="2">
        <v>22029214</v>
      </c>
      <c r="H69" s="2">
        <v>2238033</v>
      </c>
      <c r="I69" s="2">
        <v>1001653684</v>
      </c>
      <c r="J69" s="2" t="s">
        <v>128</v>
      </c>
      <c r="K69" s="10">
        <v>14302</v>
      </c>
      <c r="L69" s="10">
        <v>2021</v>
      </c>
      <c r="M69" s="10">
        <v>12281</v>
      </c>
      <c r="N69" s="10">
        <v>12281</v>
      </c>
      <c r="O69" s="10">
        <f>Table1[[#This Row],[NET Amount]]-Table1[[#This Row],[Paid Amount]]</f>
        <v>0</v>
      </c>
      <c r="P69" s="2" t="s">
        <v>18</v>
      </c>
      <c r="Q69" s="2" t="s">
        <v>19</v>
      </c>
      <c r="R69" s="16">
        <f>(Table1[[#This Row],[NET Amount]]-Table1[[#This Row],[Total Outstanding Amount]])/Table1[[#This Row],[NET Amount]]</f>
        <v>1</v>
      </c>
      <c r="S69" s="2" t="s">
        <v>77</v>
      </c>
    </row>
    <row r="70" spans="1:19" x14ac:dyDescent="0.3">
      <c r="A70" s="4">
        <v>68</v>
      </c>
      <c r="B70" s="2" t="s">
        <v>25</v>
      </c>
      <c r="C70" s="3">
        <v>44865</v>
      </c>
      <c r="D70" s="3" t="str">
        <f>TEXT(Table1[[#This Row],[Admission Date]],"MMMM")</f>
        <v>October</v>
      </c>
      <c r="E70" s="3">
        <v>44865</v>
      </c>
      <c r="F70" s="3">
        <v>44865</v>
      </c>
      <c r="G70" s="2">
        <v>22029239</v>
      </c>
      <c r="H70" s="2">
        <v>2238133</v>
      </c>
      <c r="I70" s="2">
        <v>1001314823</v>
      </c>
      <c r="J70" s="2" t="s">
        <v>129</v>
      </c>
      <c r="K70" s="10">
        <v>3630</v>
      </c>
      <c r="L70" s="10">
        <v>342</v>
      </c>
      <c r="M70" s="10">
        <v>3288</v>
      </c>
      <c r="N70" s="10">
        <v>3288</v>
      </c>
      <c r="O70" s="10">
        <f>Table1[[#This Row],[NET Amount]]-Table1[[#This Row],[Paid Amount]]</f>
        <v>0</v>
      </c>
      <c r="P70" s="2" t="s">
        <v>18</v>
      </c>
      <c r="Q70" s="2" t="s">
        <v>54</v>
      </c>
      <c r="R70" s="16">
        <f>(Table1[[#This Row],[NET Amount]]-Table1[[#This Row],[Total Outstanding Amount]])/Table1[[#This Row],[NET Amount]]</f>
        <v>1</v>
      </c>
      <c r="S70" s="2" t="s">
        <v>97</v>
      </c>
    </row>
    <row r="71" spans="1:19" x14ac:dyDescent="0.3">
      <c r="A71" s="4">
        <v>69</v>
      </c>
      <c r="B71" s="2" t="s">
        <v>25</v>
      </c>
      <c r="C71" s="3">
        <v>44862</v>
      </c>
      <c r="D71" s="3" t="str">
        <f>TEXT(Table1[[#This Row],[Admission Date]],"MMMM")</f>
        <v>October</v>
      </c>
      <c r="E71" s="3">
        <v>44865</v>
      </c>
      <c r="F71" s="3">
        <v>44865</v>
      </c>
      <c r="G71" s="2">
        <v>22029306</v>
      </c>
      <c r="H71" s="2">
        <v>2237818</v>
      </c>
      <c r="I71" s="2">
        <v>1001806821</v>
      </c>
      <c r="J71" s="2" t="s">
        <v>130</v>
      </c>
      <c r="K71" s="10">
        <v>20672</v>
      </c>
      <c r="L71" s="10">
        <v>0</v>
      </c>
      <c r="M71" s="10">
        <v>20672</v>
      </c>
      <c r="N71" s="10">
        <v>20672</v>
      </c>
      <c r="O71" s="10">
        <f>Table1[[#This Row],[NET Amount]]-Table1[[#This Row],[Paid Amount]]</f>
        <v>0</v>
      </c>
      <c r="P71" s="2" t="s">
        <v>18</v>
      </c>
      <c r="Q71" s="2" t="s">
        <v>131</v>
      </c>
      <c r="R71" s="16">
        <f>(Table1[[#This Row],[NET Amount]]-Table1[[#This Row],[Total Outstanding Amount]])/Table1[[#This Row],[NET Amount]]</f>
        <v>1</v>
      </c>
      <c r="S71" s="2" t="s">
        <v>37</v>
      </c>
    </row>
    <row r="72" spans="1:19" x14ac:dyDescent="0.3">
      <c r="A72" s="4">
        <v>70</v>
      </c>
      <c r="B72" s="2" t="s">
        <v>35</v>
      </c>
      <c r="C72" s="3">
        <v>44841</v>
      </c>
      <c r="D72" s="3" t="str">
        <f>TEXT(Table1[[#This Row],[Admission Date]],"MMMM")</f>
        <v>October</v>
      </c>
      <c r="E72" s="3">
        <v>44841</v>
      </c>
      <c r="F72" s="3">
        <v>44841</v>
      </c>
      <c r="G72" s="2">
        <v>22025955</v>
      </c>
      <c r="H72" s="2">
        <v>2235001</v>
      </c>
      <c r="I72" s="2">
        <v>1001802997</v>
      </c>
      <c r="J72" s="2" t="s">
        <v>132</v>
      </c>
      <c r="K72" s="10">
        <v>13225</v>
      </c>
      <c r="L72" s="10">
        <v>0</v>
      </c>
      <c r="M72" s="10">
        <v>13225</v>
      </c>
      <c r="N72" s="10">
        <v>13225</v>
      </c>
      <c r="O72" s="10">
        <f>Table1[[#This Row],[NET Amount]]-Table1[[#This Row],[Paid Amount]]</f>
        <v>0</v>
      </c>
      <c r="P72" s="2" t="s">
        <v>18</v>
      </c>
      <c r="Q72" s="2" t="s">
        <v>19</v>
      </c>
      <c r="R72" s="16">
        <f>(Table1[[#This Row],[NET Amount]]-Table1[[#This Row],[Total Outstanding Amount]])/Table1[[#This Row],[NET Amount]]</f>
        <v>1</v>
      </c>
      <c r="S72" s="2" t="s">
        <v>39</v>
      </c>
    </row>
    <row r="73" spans="1:19" x14ac:dyDescent="0.3">
      <c r="A73" s="4">
        <v>71</v>
      </c>
      <c r="B73" s="2" t="s">
        <v>117</v>
      </c>
      <c r="C73" s="3">
        <v>44845</v>
      </c>
      <c r="D73" s="3" t="str">
        <f>TEXT(Table1[[#This Row],[Admission Date]],"MMMM")</f>
        <v>October</v>
      </c>
      <c r="E73" s="3">
        <v>44855</v>
      </c>
      <c r="F73" s="3">
        <v>44855</v>
      </c>
      <c r="G73" s="2">
        <v>22028005</v>
      </c>
      <c r="H73" s="2">
        <v>2235583</v>
      </c>
      <c r="I73" s="2">
        <v>1000848600</v>
      </c>
      <c r="J73" s="2" t="s">
        <v>133</v>
      </c>
      <c r="K73" s="10">
        <v>217904</v>
      </c>
      <c r="L73" s="10">
        <v>0</v>
      </c>
      <c r="M73" s="10">
        <v>217904</v>
      </c>
      <c r="N73" s="10">
        <v>217904</v>
      </c>
      <c r="O73" s="10">
        <f>Table1[[#This Row],[NET Amount]]-Table1[[#This Row],[Paid Amount]]</f>
        <v>0</v>
      </c>
      <c r="P73" s="2" t="s">
        <v>18</v>
      </c>
      <c r="Q73" s="2" t="s">
        <v>24</v>
      </c>
      <c r="R73" s="16">
        <f>(Table1[[#This Row],[NET Amount]]-Table1[[#This Row],[Total Outstanding Amount]])/Table1[[#This Row],[NET Amount]]</f>
        <v>1</v>
      </c>
      <c r="S73" s="2" t="s">
        <v>20</v>
      </c>
    </row>
    <row r="74" spans="1:19" x14ac:dyDescent="0.3">
      <c r="A74" s="4">
        <v>72</v>
      </c>
      <c r="B74" s="2" t="s">
        <v>2246</v>
      </c>
      <c r="C74" s="3">
        <v>44837</v>
      </c>
      <c r="D74" s="3" t="str">
        <f>TEXT(Table1[[#This Row],[Admission Date]],"MMMM")</f>
        <v>October</v>
      </c>
      <c r="E74" s="3">
        <v>44837</v>
      </c>
      <c r="F74" s="3">
        <v>44837</v>
      </c>
      <c r="G74" s="2">
        <v>22025345</v>
      </c>
      <c r="H74" s="2">
        <v>2234367</v>
      </c>
      <c r="I74" s="2">
        <v>1001788579</v>
      </c>
      <c r="J74" s="2" t="s">
        <v>107</v>
      </c>
      <c r="K74" s="10">
        <v>2172</v>
      </c>
      <c r="L74" s="10">
        <v>0</v>
      </c>
      <c r="M74" s="10">
        <v>2172</v>
      </c>
      <c r="N74" s="10">
        <v>2172</v>
      </c>
      <c r="O74" s="10">
        <f>Table1[[#This Row],[NET Amount]]-Table1[[#This Row],[Paid Amount]]</f>
        <v>0</v>
      </c>
      <c r="P74" s="2" t="s">
        <v>18</v>
      </c>
      <c r="Q74" s="2" t="s">
        <v>54</v>
      </c>
      <c r="R74" s="16">
        <f>(Table1[[#This Row],[NET Amount]]-Table1[[#This Row],[Total Outstanding Amount]])/Table1[[#This Row],[NET Amount]]</f>
        <v>1</v>
      </c>
      <c r="S74" s="2" t="s">
        <v>97</v>
      </c>
    </row>
    <row r="75" spans="1:19" x14ac:dyDescent="0.3">
      <c r="A75" s="4">
        <v>73</v>
      </c>
      <c r="B75" s="2" t="s">
        <v>25</v>
      </c>
      <c r="C75" s="3">
        <v>44841</v>
      </c>
      <c r="D75" s="3" t="str">
        <f>TEXT(Table1[[#This Row],[Admission Date]],"MMMM")</f>
        <v>October</v>
      </c>
      <c r="E75" s="3">
        <v>44844</v>
      </c>
      <c r="F75" s="3">
        <v>44844</v>
      </c>
      <c r="G75" s="2">
        <v>22026423</v>
      </c>
      <c r="H75" s="2">
        <v>2235008</v>
      </c>
      <c r="I75" s="2">
        <v>10013541517</v>
      </c>
      <c r="J75" s="2" t="s">
        <v>134</v>
      </c>
      <c r="K75" s="10">
        <v>179580</v>
      </c>
      <c r="L75" s="10">
        <v>24624</v>
      </c>
      <c r="M75" s="10">
        <v>154956</v>
      </c>
      <c r="N75" s="10">
        <v>154956</v>
      </c>
      <c r="O75" s="10">
        <f>Table1[[#This Row],[NET Amount]]-Table1[[#This Row],[Paid Amount]]</f>
        <v>0</v>
      </c>
      <c r="P75" s="2" t="s">
        <v>18</v>
      </c>
      <c r="Q75" s="2" t="s">
        <v>30</v>
      </c>
      <c r="R75" s="16">
        <f>(Table1[[#This Row],[NET Amount]]-Table1[[#This Row],[Total Outstanding Amount]])/Table1[[#This Row],[NET Amount]]</f>
        <v>1</v>
      </c>
      <c r="S75" s="2" t="s">
        <v>27</v>
      </c>
    </row>
    <row r="76" spans="1:19" x14ac:dyDescent="0.3">
      <c r="A76" s="4">
        <v>74</v>
      </c>
      <c r="B76" s="2" t="s">
        <v>2243</v>
      </c>
      <c r="C76" s="3">
        <v>44860</v>
      </c>
      <c r="D76" s="3" t="str">
        <f>TEXT(Table1[[#This Row],[Admission Date]],"MMMM")</f>
        <v>October</v>
      </c>
      <c r="E76" s="3">
        <v>44865</v>
      </c>
      <c r="F76" s="3">
        <v>44865</v>
      </c>
      <c r="G76" s="2">
        <v>22029316</v>
      </c>
      <c r="H76" s="2">
        <v>2237503</v>
      </c>
      <c r="I76" s="2">
        <v>1001756038</v>
      </c>
      <c r="J76" s="2" t="s">
        <v>135</v>
      </c>
      <c r="K76" s="10">
        <v>108309</v>
      </c>
      <c r="L76" s="10">
        <v>108309</v>
      </c>
      <c r="M76" s="10">
        <v>0</v>
      </c>
      <c r="N76" s="10">
        <v>0</v>
      </c>
      <c r="O76" s="10">
        <f>Table1[[#This Row],[NET Amount]]-Table1[[#This Row],[Paid Amount]]</f>
        <v>0</v>
      </c>
      <c r="P76" s="2" t="s">
        <v>18</v>
      </c>
      <c r="Q76" s="2" t="s">
        <v>24</v>
      </c>
      <c r="R76" s="16" t="e">
        <f>(Table1[[#This Row],[NET Amount]]-Table1[[#This Row],[Total Outstanding Amount]])/Table1[[#This Row],[NET Amount]]</f>
        <v>#DIV/0!</v>
      </c>
      <c r="S76" s="2" t="s">
        <v>37</v>
      </c>
    </row>
    <row r="77" spans="1:19" x14ac:dyDescent="0.3">
      <c r="A77" s="4">
        <v>75</v>
      </c>
      <c r="B77" s="2" t="s">
        <v>25</v>
      </c>
      <c r="C77" s="3">
        <v>44864</v>
      </c>
      <c r="D77" s="3" t="str">
        <f>TEXT(Table1[[#This Row],[Admission Date]],"MMMM")</f>
        <v>October</v>
      </c>
      <c r="E77" s="3">
        <v>44865</v>
      </c>
      <c r="F77" s="3">
        <v>44865</v>
      </c>
      <c r="G77" s="2">
        <v>22029361</v>
      </c>
      <c r="H77" s="2">
        <v>2238106</v>
      </c>
      <c r="I77" s="2">
        <v>10013545216</v>
      </c>
      <c r="J77" s="2" t="s">
        <v>136</v>
      </c>
      <c r="K77" s="10">
        <v>82617</v>
      </c>
      <c r="L77" s="10">
        <v>10587</v>
      </c>
      <c r="M77" s="10">
        <v>72030</v>
      </c>
      <c r="N77" s="10">
        <v>72030</v>
      </c>
      <c r="O77" s="10">
        <f>Table1[[#This Row],[NET Amount]]-Table1[[#This Row],[Paid Amount]]</f>
        <v>0</v>
      </c>
      <c r="P77" s="2" t="s">
        <v>18</v>
      </c>
      <c r="Q77" s="2" t="s">
        <v>88</v>
      </c>
      <c r="R77" s="16">
        <f>(Table1[[#This Row],[NET Amount]]-Table1[[#This Row],[Total Outstanding Amount]])/Table1[[#This Row],[NET Amount]]</f>
        <v>1</v>
      </c>
      <c r="S77" s="2" t="s">
        <v>20</v>
      </c>
    </row>
    <row r="78" spans="1:19" x14ac:dyDescent="0.3">
      <c r="A78" s="4">
        <v>76</v>
      </c>
      <c r="B78" s="2" t="s">
        <v>2250</v>
      </c>
      <c r="C78" s="3">
        <v>44840</v>
      </c>
      <c r="D78" s="3" t="str">
        <f>TEXT(Table1[[#This Row],[Admission Date]],"MMMM")</f>
        <v>October</v>
      </c>
      <c r="E78" s="3">
        <v>44841</v>
      </c>
      <c r="F78" s="3">
        <v>44841</v>
      </c>
      <c r="G78" s="2">
        <v>22025976</v>
      </c>
      <c r="H78" s="2">
        <v>2234890</v>
      </c>
      <c r="I78" s="2">
        <v>1001717217</v>
      </c>
      <c r="J78" s="2" t="s">
        <v>137</v>
      </c>
      <c r="K78" s="10">
        <v>17027</v>
      </c>
      <c r="L78" s="10">
        <v>2046</v>
      </c>
      <c r="M78" s="10">
        <v>14981</v>
      </c>
      <c r="N78" s="10">
        <v>5625</v>
      </c>
      <c r="O78" s="10">
        <f>Table1[[#This Row],[NET Amount]]-Table1[[#This Row],[Paid Amount]]</f>
        <v>9356</v>
      </c>
      <c r="P78" s="2" t="s">
        <v>23</v>
      </c>
      <c r="Q78" s="2" t="s">
        <v>24</v>
      </c>
      <c r="R78" s="16">
        <f>(Table1[[#This Row],[NET Amount]]-Table1[[#This Row],[Total Outstanding Amount]])/Table1[[#This Row],[NET Amount]]</f>
        <v>0.37547560242974432</v>
      </c>
      <c r="S78" s="2" t="s">
        <v>138</v>
      </c>
    </row>
    <row r="79" spans="1:19" x14ac:dyDescent="0.3">
      <c r="A79" s="4">
        <v>77</v>
      </c>
      <c r="B79" s="2" t="s">
        <v>139</v>
      </c>
      <c r="C79" s="3">
        <v>44842</v>
      </c>
      <c r="D79" s="3" t="str">
        <f>TEXT(Table1[[#This Row],[Admission Date]],"MMMM")</f>
        <v>October</v>
      </c>
      <c r="E79" s="3">
        <v>44842</v>
      </c>
      <c r="F79" s="3">
        <v>44842</v>
      </c>
      <c r="G79" s="2">
        <v>22026120</v>
      </c>
      <c r="H79" s="2">
        <v>2235147</v>
      </c>
      <c r="I79" s="2">
        <v>1001803214</v>
      </c>
      <c r="J79" s="2" t="s">
        <v>140</v>
      </c>
      <c r="K79" s="10">
        <v>22500</v>
      </c>
      <c r="L79" s="10">
        <v>0</v>
      </c>
      <c r="M79" s="10">
        <v>22500</v>
      </c>
      <c r="N79" s="10">
        <v>1500</v>
      </c>
      <c r="O79" s="10">
        <f>Table1[[#This Row],[NET Amount]]-Table1[[#This Row],[Paid Amount]]</f>
        <v>21000</v>
      </c>
      <c r="P79" s="2" t="s">
        <v>23</v>
      </c>
      <c r="Q79" s="2" t="s">
        <v>47</v>
      </c>
      <c r="R79" s="16">
        <f>(Table1[[#This Row],[NET Amount]]-Table1[[#This Row],[Total Outstanding Amount]])/Table1[[#This Row],[NET Amount]]</f>
        <v>6.6666666666666666E-2</v>
      </c>
      <c r="S79" s="2" t="s">
        <v>39</v>
      </c>
    </row>
    <row r="80" spans="1:19" x14ac:dyDescent="0.3">
      <c r="A80" s="4">
        <v>78</v>
      </c>
      <c r="B80" s="2" t="s">
        <v>141</v>
      </c>
      <c r="C80" s="3">
        <v>44861</v>
      </c>
      <c r="D80" s="3" t="str">
        <f>TEXT(Table1[[#This Row],[Admission Date]],"MMMM")</f>
        <v>October</v>
      </c>
      <c r="E80" s="3">
        <v>44864</v>
      </c>
      <c r="F80" s="3">
        <v>44864</v>
      </c>
      <c r="G80" s="2">
        <v>22029236</v>
      </c>
      <c r="H80" s="2">
        <v>2237732</v>
      </c>
      <c r="I80" s="2">
        <v>10013544832</v>
      </c>
      <c r="J80" s="2" t="s">
        <v>142</v>
      </c>
      <c r="K80" s="10">
        <v>55051</v>
      </c>
      <c r="L80" s="10">
        <v>7478</v>
      </c>
      <c r="M80" s="10">
        <v>47573</v>
      </c>
      <c r="N80" s="10">
        <v>6001</v>
      </c>
      <c r="O80" s="10">
        <f>Table1[[#This Row],[NET Amount]]-Table1[[#This Row],[Paid Amount]]</f>
        <v>41572</v>
      </c>
      <c r="P80" s="2" t="s">
        <v>23</v>
      </c>
      <c r="Q80" s="2" t="s">
        <v>42</v>
      </c>
      <c r="R80" s="16">
        <f>(Table1[[#This Row],[NET Amount]]-Table1[[#This Row],[Total Outstanding Amount]])/Table1[[#This Row],[NET Amount]]</f>
        <v>0.12614298026191326</v>
      </c>
      <c r="S80" s="2" t="s">
        <v>20</v>
      </c>
    </row>
    <row r="81" spans="1:19" x14ac:dyDescent="0.3">
      <c r="A81" s="4">
        <v>79</v>
      </c>
      <c r="B81" s="2" t="s">
        <v>25</v>
      </c>
      <c r="C81" s="3">
        <v>44842</v>
      </c>
      <c r="D81" s="3" t="str">
        <f>TEXT(Table1[[#This Row],[Admission Date]],"MMMM")</f>
        <v>October</v>
      </c>
      <c r="E81" s="3">
        <v>44842</v>
      </c>
      <c r="F81" s="3">
        <v>44842</v>
      </c>
      <c r="G81" s="2">
        <v>22026156</v>
      </c>
      <c r="H81" s="2">
        <v>2235159</v>
      </c>
      <c r="I81" s="2">
        <v>10013533576</v>
      </c>
      <c r="J81" s="2" t="s">
        <v>143</v>
      </c>
      <c r="K81" s="10">
        <v>2844</v>
      </c>
      <c r="L81" s="10">
        <v>286</v>
      </c>
      <c r="M81" s="10">
        <v>2558</v>
      </c>
      <c r="N81" s="10">
        <v>2558</v>
      </c>
      <c r="O81" s="10">
        <f>Table1[[#This Row],[NET Amount]]-Table1[[#This Row],[Paid Amount]]</f>
        <v>0</v>
      </c>
      <c r="P81" s="2" t="s">
        <v>18</v>
      </c>
      <c r="Q81" s="2" t="s">
        <v>54</v>
      </c>
      <c r="R81" s="16">
        <f>(Table1[[#This Row],[NET Amount]]-Table1[[#This Row],[Total Outstanding Amount]])/Table1[[#This Row],[NET Amount]]</f>
        <v>1</v>
      </c>
      <c r="S81" s="2" t="s">
        <v>97</v>
      </c>
    </row>
    <row r="82" spans="1:19" x14ac:dyDescent="0.3">
      <c r="A82" s="4">
        <v>80</v>
      </c>
      <c r="B82" s="2" t="s">
        <v>25</v>
      </c>
      <c r="C82" s="3">
        <v>44842</v>
      </c>
      <c r="D82" s="3" t="str">
        <f>TEXT(Table1[[#This Row],[Admission Date]],"MMMM")</f>
        <v>October</v>
      </c>
      <c r="E82" s="3">
        <v>44842</v>
      </c>
      <c r="F82" s="3">
        <v>44842</v>
      </c>
      <c r="G82" s="2">
        <v>22026173</v>
      </c>
      <c r="H82" s="2">
        <v>2235174</v>
      </c>
      <c r="I82" s="2">
        <v>10013230754</v>
      </c>
      <c r="J82" s="2" t="s">
        <v>102</v>
      </c>
      <c r="K82" s="10">
        <v>4990</v>
      </c>
      <c r="L82" s="10">
        <v>1417</v>
      </c>
      <c r="M82" s="10">
        <v>3573</v>
      </c>
      <c r="N82" s="10">
        <v>3573</v>
      </c>
      <c r="O82" s="10">
        <f>Table1[[#This Row],[NET Amount]]-Table1[[#This Row],[Paid Amount]]</f>
        <v>0</v>
      </c>
      <c r="P82" s="2" t="s">
        <v>18</v>
      </c>
      <c r="Q82" s="2" t="s">
        <v>54</v>
      </c>
      <c r="R82" s="16">
        <f>(Table1[[#This Row],[NET Amount]]-Table1[[#This Row],[Total Outstanding Amount]])/Table1[[#This Row],[NET Amount]]</f>
        <v>1</v>
      </c>
      <c r="S82" s="2" t="s">
        <v>97</v>
      </c>
    </row>
    <row r="83" spans="1:19" x14ac:dyDescent="0.3">
      <c r="A83" s="4">
        <v>81</v>
      </c>
      <c r="B83" s="2" t="s">
        <v>144</v>
      </c>
      <c r="C83" s="3">
        <v>44852</v>
      </c>
      <c r="D83" s="3" t="str">
        <f>TEXT(Table1[[#This Row],[Admission Date]],"MMMM")</f>
        <v>October</v>
      </c>
      <c r="E83" s="3">
        <v>44860</v>
      </c>
      <c r="F83" s="3">
        <v>44860</v>
      </c>
      <c r="G83" s="2">
        <v>22028656</v>
      </c>
      <c r="H83" s="2">
        <v>2236542</v>
      </c>
      <c r="I83" s="2">
        <v>10013542615</v>
      </c>
      <c r="J83" s="2" t="s">
        <v>145</v>
      </c>
      <c r="K83" s="10">
        <v>207703</v>
      </c>
      <c r="L83" s="10">
        <v>0</v>
      </c>
      <c r="M83" s="10">
        <v>207703</v>
      </c>
      <c r="N83" s="10">
        <v>52009</v>
      </c>
      <c r="O83" s="10">
        <f>Table1[[#This Row],[NET Amount]]-Table1[[#This Row],[Paid Amount]]</f>
        <v>155694</v>
      </c>
      <c r="P83" s="2" t="s">
        <v>23</v>
      </c>
      <c r="Q83" s="2" t="s">
        <v>52</v>
      </c>
      <c r="R83" s="16">
        <f>(Table1[[#This Row],[NET Amount]]-Table1[[#This Row],[Total Outstanding Amount]])/Table1[[#This Row],[NET Amount]]</f>
        <v>0.2504008126989018</v>
      </c>
      <c r="S83" s="2" t="s">
        <v>20</v>
      </c>
    </row>
    <row r="84" spans="1:19" x14ac:dyDescent="0.3">
      <c r="A84" s="4">
        <v>82</v>
      </c>
      <c r="B84" s="2" t="s">
        <v>139</v>
      </c>
      <c r="C84" s="3">
        <v>44865</v>
      </c>
      <c r="D84" s="3" t="str">
        <f>TEXT(Table1[[#This Row],[Admission Date]],"MMMM")</f>
        <v>October</v>
      </c>
      <c r="E84" s="3">
        <v>44865</v>
      </c>
      <c r="F84" s="3">
        <v>44865</v>
      </c>
      <c r="G84" s="2">
        <v>22029334</v>
      </c>
      <c r="H84" s="2">
        <v>2238186</v>
      </c>
      <c r="I84" s="2">
        <v>1000947591</v>
      </c>
      <c r="J84" s="2" t="s">
        <v>146</v>
      </c>
      <c r="K84" s="10">
        <v>2200</v>
      </c>
      <c r="L84" s="10">
        <v>0</v>
      </c>
      <c r="M84" s="10">
        <v>2200</v>
      </c>
      <c r="N84" s="10">
        <v>2200</v>
      </c>
      <c r="O84" s="10">
        <f>Table1[[#This Row],[NET Amount]]-Table1[[#This Row],[Paid Amount]]</f>
        <v>0</v>
      </c>
      <c r="P84" s="2" t="s">
        <v>18</v>
      </c>
      <c r="Q84" s="2" t="s">
        <v>147</v>
      </c>
      <c r="R84" s="16">
        <f>(Table1[[#This Row],[NET Amount]]-Table1[[#This Row],[Total Outstanding Amount]])/Table1[[#This Row],[NET Amount]]</f>
        <v>1</v>
      </c>
      <c r="S84" s="2" t="s">
        <v>97</v>
      </c>
    </row>
    <row r="85" spans="1:19" x14ac:dyDescent="0.3">
      <c r="A85" s="4">
        <v>83</v>
      </c>
      <c r="B85" s="2" t="s">
        <v>25</v>
      </c>
      <c r="C85" s="3">
        <v>44838</v>
      </c>
      <c r="D85" s="3" t="str">
        <f>TEXT(Table1[[#This Row],[Admission Date]],"MMMM")</f>
        <v>October</v>
      </c>
      <c r="E85" s="3">
        <v>44842</v>
      </c>
      <c r="F85" s="3">
        <v>44842</v>
      </c>
      <c r="G85" s="2">
        <v>22026096</v>
      </c>
      <c r="H85" s="2">
        <v>2234491</v>
      </c>
      <c r="I85" s="2">
        <v>10013431414</v>
      </c>
      <c r="J85" s="2" t="s">
        <v>148</v>
      </c>
      <c r="K85" s="10">
        <v>118009</v>
      </c>
      <c r="L85" s="10">
        <v>15295</v>
      </c>
      <c r="M85" s="10">
        <v>102714</v>
      </c>
      <c r="N85" s="10">
        <v>102714</v>
      </c>
      <c r="O85" s="10">
        <f>Table1[[#This Row],[NET Amount]]-Table1[[#This Row],[Paid Amount]]</f>
        <v>0</v>
      </c>
      <c r="P85" s="2" t="s">
        <v>18</v>
      </c>
      <c r="Q85" s="2" t="s">
        <v>19</v>
      </c>
      <c r="R85" s="16">
        <f>(Table1[[#This Row],[NET Amount]]-Table1[[#This Row],[Total Outstanding Amount]])/Table1[[#This Row],[NET Amount]]</f>
        <v>1</v>
      </c>
      <c r="S85" s="2" t="s">
        <v>27</v>
      </c>
    </row>
    <row r="86" spans="1:19" x14ac:dyDescent="0.3">
      <c r="A86" s="4">
        <v>84</v>
      </c>
      <c r="B86" s="2" t="s">
        <v>149</v>
      </c>
      <c r="C86" s="3">
        <v>44838</v>
      </c>
      <c r="D86" s="3" t="str">
        <f>TEXT(Table1[[#This Row],[Admission Date]],"MMMM")</f>
        <v>October</v>
      </c>
      <c r="E86" s="3">
        <v>44840</v>
      </c>
      <c r="F86" s="3">
        <v>44840</v>
      </c>
      <c r="G86" s="2">
        <v>22025857</v>
      </c>
      <c r="H86" s="2">
        <v>2234495</v>
      </c>
      <c r="I86" s="2">
        <v>1001119664</v>
      </c>
      <c r="J86" s="2" t="s">
        <v>150</v>
      </c>
      <c r="K86" s="10">
        <v>73693</v>
      </c>
      <c r="L86" s="10">
        <v>6832</v>
      </c>
      <c r="M86" s="10">
        <v>66861</v>
      </c>
      <c r="N86" s="10">
        <v>0</v>
      </c>
      <c r="O86" s="10">
        <f>Table1[[#This Row],[NET Amount]]-Table1[[#This Row],[Paid Amount]]</f>
        <v>66861</v>
      </c>
      <c r="P86" s="2" t="s">
        <v>23</v>
      </c>
      <c r="Q86" s="2" t="s">
        <v>47</v>
      </c>
      <c r="R86" s="16">
        <f>(Table1[[#This Row],[NET Amount]]-Table1[[#This Row],[Total Outstanding Amount]])/Table1[[#This Row],[NET Amount]]</f>
        <v>0</v>
      </c>
      <c r="S86" s="2" t="s">
        <v>39</v>
      </c>
    </row>
    <row r="87" spans="1:19" x14ac:dyDescent="0.3">
      <c r="A87" s="4">
        <v>85</v>
      </c>
      <c r="B87" s="2" t="s">
        <v>75</v>
      </c>
      <c r="C87" s="3">
        <v>44822</v>
      </c>
      <c r="D87" s="3" t="str">
        <f>TEXT(Table1[[#This Row],[Admission Date]],"MMMM")</f>
        <v>September</v>
      </c>
      <c r="E87" s="3">
        <v>44844</v>
      </c>
      <c r="F87" s="3">
        <v>44844</v>
      </c>
      <c r="G87" s="2">
        <v>22026441</v>
      </c>
      <c r="H87" s="2">
        <v>2232440</v>
      </c>
      <c r="I87" s="2">
        <v>10013539171</v>
      </c>
      <c r="J87" s="2" t="s">
        <v>151</v>
      </c>
      <c r="K87" s="10">
        <v>333630</v>
      </c>
      <c r="L87" s="10">
        <v>0</v>
      </c>
      <c r="M87" s="10">
        <v>333630</v>
      </c>
      <c r="N87" s="10">
        <v>4097</v>
      </c>
      <c r="O87" s="10">
        <f>Table1[[#This Row],[NET Amount]]-Table1[[#This Row],[Paid Amount]]</f>
        <v>329533</v>
      </c>
      <c r="P87" s="2" t="s">
        <v>23</v>
      </c>
      <c r="Q87" s="2" t="s">
        <v>30</v>
      </c>
      <c r="R87" s="16">
        <f>(Table1[[#This Row],[NET Amount]]-Table1[[#This Row],[Total Outstanding Amount]])/Table1[[#This Row],[NET Amount]]</f>
        <v>1.2280070737044031E-2</v>
      </c>
      <c r="S87" s="2" t="s">
        <v>20</v>
      </c>
    </row>
    <row r="88" spans="1:19" x14ac:dyDescent="0.3">
      <c r="A88" s="4">
        <v>86</v>
      </c>
      <c r="B88" s="2" t="s">
        <v>152</v>
      </c>
      <c r="C88" s="3">
        <v>44838</v>
      </c>
      <c r="D88" s="3" t="str">
        <f>TEXT(Table1[[#This Row],[Admission Date]],"MMMM")</f>
        <v>October</v>
      </c>
      <c r="E88" s="3">
        <v>44840</v>
      </c>
      <c r="F88" s="3">
        <v>44840</v>
      </c>
      <c r="G88" s="2">
        <v>22025853</v>
      </c>
      <c r="H88" s="2">
        <v>2234500</v>
      </c>
      <c r="I88" s="2">
        <v>10013356362</v>
      </c>
      <c r="J88" s="2" t="s">
        <v>153</v>
      </c>
      <c r="K88" s="10">
        <v>30983</v>
      </c>
      <c r="L88" s="10">
        <v>0</v>
      </c>
      <c r="M88" s="10">
        <v>30983</v>
      </c>
      <c r="N88" s="10">
        <v>30983</v>
      </c>
      <c r="O88" s="10">
        <f>Table1[[#This Row],[NET Amount]]-Table1[[#This Row],[Paid Amount]]</f>
        <v>0</v>
      </c>
      <c r="P88" s="2" t="s">
        <v>18</v>
      </c>
      <c r="Q88" s="2" t="s">
        <v>19</v>
      </c>
      <c r="R88" s="16">
        <f>(Table1[[#This Row],[NET Amount]]-Table1[[#This Row],[Total Outstanding Amount]])/Table1[[#This Row],[NET Amount]]</f>
        <v>1</v>
      </c>
      <c r="S88" s="2" t="s">
        <v>43</v>
      </c>
    </row>
    <row r="89" spans="1:19" x14ac:dyDescent="0.3">
      <c r="A89" s="4">
        <v>87</v>
      </c>
      <c r="B89" s="2" t="s">
        <v>25</v>
      </c>
      <c r="C89" s="3">
        <v>44838</v>
      </c>
      <c r="D89" s="3" t="str">
        <f>TEXT(Table1[[#This Row],[Admission Date]],"MMMM")</f>
        <v>October</v>
      </c>
      <c r="E89" s="3">
        <v>44846</v>
      </c>
      <c r="F89" s="3">
        <v>44846</v>
      </c>
      <c r="G89" s="2">
        <v>22026700</v>
      </c>
      <c r="H89" s="2">
        <v>2234585</v>
      </c>
      <c r="I89" s="2">
        <v>1001802442</v>
      </c>
      <c r="J89" s="2" t="s">
        <v>154</v>
      </c>
      <c r="K89" s="10">
        <v>106611</v>
      </c>
      <c r="L89" s="10">
        <v>13860</v>
      </c>
      <c r="M89" s="10">
        <v>92751</v>
      </c>
      <c r="N89" s="10">
        <v>92751</v>
      </c>
      <c r="O89" s="10">
        <f>Table1[[#This Row],[NET Amount]]-Table1[[#This Row],[Paid Amount]]</f>
        <v>0</v>
      </c>
      <c r="P89" s="2" t="s">
        <v>18</v>
      </c>
      <c r="Q89" s="2" t="s">
        <v>30</v>
      </c>
      <c r="R89" s="16">
        <f>(Table1[[#This Row],[NET Amount]]-Table1[[#This Row],[Total Outstanding Amount]])/Table1[[#This Row],[NET Amount]]</f>
        <v>1</v>
      </c>
      <c r="S89" s="2" t="s">
        <v>37</v>
      </c>
    </row>
    <row r="90" spans="1:19" x14ac:dyDescent="0.3">
      <c r="A90" s="4">
        <v>88</v>
      </c>
      <c r="B90" s="2" t="s">
        <v>155</v>
      </c>
      <c r="C90" s="3">
        <v>44840</v>
      </c>
      <c r="D90" s="3" t="str">
        <f>TEXT(Table1[[#This Row],[Admission Date]],"MMMM")</f>
        <v>October</v>
      </c>
      <c r="E90" s="3">
        <v>44840</v>
      </c>
      <c r="F90" s="3">
        <v>44840</v>
      </c>
      <c r="G90" s="2">
        <v>22025801</v>
      </c>
      <c r="H90" s="2">
        <v>2234824</v>
      </c>
      <c r="I90" s="2">
        <v>10013521425</v>
      </c>
      <c r="J90" s="2" t="s">
        <v>156</v>
      </c>
      <c r="K90" s="10">
        <v>1610</v>
      </c>
      <c r="L90" s="10">
        <v>0</v>
      </c>
      <c r="M90" s="10">
        <v>1610</v>
      </c>
      <c r="N90" s="10">
        <v>1610</v>
      </c>
      <c r="O90" s="10">
        <f>Table1[[#This Row],[NET Amount]]-Table1[[#This Row],[Paid Amount]]</f>
        <v>0</v>
      </c>
      <c r="P90" s="2" t="s">
        <v>18</v>
      </c>
      <c r="Q90" s="2" t="s">
        <v>54</v>
      </c>
      <c r="R90" s="16">
        <f>(Table1[[#This Row],[NET Amount]]-Table1[[#This Row],[Total Outstanding Amount]])/Table1[[#This Row],[NET Amount]]</f>
        <v>1</v>
      </c>
      <c r="S90" s="2" t="s">
        <v>97</v>
      </c>
    </row>
    <row r="91" spans="1:19" x14ac:dyDescent="0.3">
      <c r="A91" s="4">
        <v>89</v>
      </c>
      <c r="B91" s="2" t="s">
        <v>25</v>
      </c>
      <c r="C91" s="3">
        <v>44840</v>
      </c>
      <c r="D91" s="3" t="str">
        <f>TEXT(Table1[[#This Row],[Admission Date]],"MMMM")</f>
        <v>October</v>
      </c>
      <c r="E91" s="3">
        <v>44842</v>
      </c>
      <c r="F91" s="3">
        <v>44842</v>
      </c>
      <c r="G91" s="2">
        <v>22026172</v>
      </c>
      <c r="H91" s="2">
        <v>2234874</v>
      </c>
      <c r="I91" s="2">
        <v>1001802816</v>
      </c>
      <c r="J91" s="2" t="s">
        <v>157</v>
      </c>
      <c r="K91" s="10">
        <v>21824</v>
      </c>
      <c r="L91" s="10">
        <v>2713</v>
      </c>
      <c r="M91" s="10">
        <v>19111</v>
      </c>
      <c r="N91" s="10">
        <v>19111</v>
      </c>
      <c r="O91" s="10">
        <f>Table1[[#This Row],[NET Amount]]-Table1[[#This Row],[Paid Amount]]</f>
        <v>0</v>
      </c>
      <c r="P91" s="2" t="s">
        <v>18</v>
      </c>
      <c r="Q91" s="2" t="s">
        <v>104</v>
      </c>
      <c r="R91" s="16">
        <f>(Table1[[#This Row],[NET Amount]]-Table1[[#This Row],[Total Outstanding Amount]])/Table1[[#This Row],[NET Amount]]</f>
        <v>1</v>
      </c>
      <c r="S91" s="2" t="s">
        <v>37</v>
      </c>
    </row>
    <row r="92" spans="1:19" x14ac:dyDescent="0.3">
      <c r="A92" s="4">
        <v>90</v>
      </c>
      <c r="B92" s="2" t="s">
        <v>2251</v>
      </c>
      <c r="C92" s="3">
        <v>44841</v>
      </c>
      <c r="D92" s="3" t="str">
        <f>TEXT(Table1[[#This Row],[Admission Date]],"MMMM")</f>
        <v>October</v>
      </c>
      <c r="E92" s="3">
        <v>44844</v>
      </c>
      <c r="F92" s="3">
        <v>44844</v>
      </c>
      <c r="G92" s="2">
        <v>22026439</v>
      </c>
      <c r="H92" s="2">
        <v>2235046</v>
      </c>
      <c r="I92" s="2">
        <v>1001803103</v>
      </c>
      <c r="J92" s="2" t="s">
        <v>158</v>
      </c>
      <c r="K92" s="10">
        <v>60228</v>
      </c>
      <c r="L92" s="10">
        <v>8854</v>
      </c>
      <c r="M92" s="10">
        <v>51374</v>
      </c>
      <c r="N92" s="10">
        <v>5375</v>
      </c>
      <c r="O92" s="10">
        <f>Table1[[#This Row],[NET Amount]]-Table1[[#This Row],[Paid Amount]]</f>
        <v>45999</v>
      </c>
      <c r="P92" s="2" t="s">
        <v>23</v>
      </c>
      <c r="Q92" s="2" t="s">
        <v>42</v>
      </c>
      <c r="R92" s="16">
        <f>(Table1[[#This Row],[NET Amount]]-Table1[[#This Row],[Total Outstanding Amount]])/Table1[[#This Row],[NET Amount]]</f>
        <v>0.10462490754077938</v>
      </c>
      <c r="S92" s="2" t="s">
        <v>20</v>
      </c>
    </row>
    <row r="93" spans="1:19" x14ac:dyDescent="0.3">
      <c r="A93" s="4">
        <v>91</v>
      </c>
      <c r="B93" s="2" t="s">
        <v>159</v>
      </c>
      <c r="C93" s="3">
        <v>44859</v>
      </c>
      <c r="D93" s="3" t="str">
        <f>TEXT(Table1[[#This Row],[Admission Date]],"MMMM")</f>
        <v>October</v>
      </c>
      <c r="E93" s="3">
        <v>44865</v>
      </c>
      <c r="F93" s="3">
        <v>44865</v>
      </c>
      <c r="G93" s="2">
        <v>22029289</v>
      </c>
      <c r="H93" s="2">
        <v>2237344</v>
      </c>
      <c r="I93" s="2">
        <v>1001201220</v>
      </c>
      <c r="J93" s="2" t="s">
        <v>160</v>
      </c>
      <c r="K93" s="10">
        <v>129064</v>
      </c>
      <c r="L93" s="10">
        <v>9756</v>
      </c>
      <c r="M93" s="10">
        <v>119309</v>
      </c>
      <c r="N93" s="10">
        <v>6372</v>
      </c>
      <c r="O93" s="10">
        <f>Table1[[#This Row],[NET Amount]]-Table1[[#This Row],[Paid Amount]]</f>
        <v>112937</v>
      </c>
      <c r="P93" s="2" t="s">
        <v>23</v>
      </c>
      <c r="Q93" s="2" t="s">
        <v>30</v>
      </c>
      <c r="R93" s="16">
        <f>(Table1[[#This Row],[NET Amount]]-Table1[[#This Row],[Total Outstanding Amount]])/Table1[[#This Row],[NET Amount]]</f>
        <v>5.3407538408669922E-2</v>
      </c>
      <c r="S93" s="2" t="s">
        <v>20</v>
      </c>
    </row>
    <row r="94" spans="1:19" x14ac:dyDescent="0.3">
      <c r="A94" s="4">
        <v>92</v>
      </c>
      <c r="B94" s="2" t="s">
        <v>25</v>
      </c>
      <c r="C94" s="3">
        <v>44862</v>
      </c>
      <c r="D94" s="3" t="str">
        <f>TEXT(Table1[[#This Row],[Admission Date]],"MMMM")</f>
        <v>October</v>
      </c>
      <c r="E94" s="3">
        <v>44865</v>
      </c>
      <c r="F94" s="3">
        <v>44865</v>
      </c>
      <c r="G94" s="2">
        <v>22029383</v>
      </c>
      <c r="H94" s="2">
        <v>2237831</v>
      </c>
      <c r="I94" s="2">
        <v>10013539933</v>
      </c>
      <c r="J94" s="2" t="s">
        <v>161</v>
      </c>
      <c r="K94" s="10">
        <v>72899</v>
      </c>
      <c r="L94" s="10">
        <v>72899</v>
      </c>
      <c r="M94" s="10">
        <v>0</v>
      </c>
      <c r="N94" s="10">
        <v>0</v>
      </c>
      <c r="O94" s="10">
        <f>Table1[[#This Row],[NET Amount]]-Table1[[#This Row],[Paid Amount]]</f>
        <v>0</v>
      </c>
      <c r="P94" s="2" t="s">
        <v>18</v>
      </c>
      <c r="Q94" s="2" t="s">
        <v>90</v>
      </c>
      <c r="R94" s="16" t="e">
        <f>(Table1[[#This Row],[NET Amount]]-Table1[[#This Row],[Total Outstanding Amount]])/Table1[[#This Row],[NET Amount]]</f>
        <v>#DIV/0!</v>
      </c>
      <c r="S94" s="2" t="s">
        <v>162</v>
      </c>
    </row>
    <row r="95" spans="1:19" x14ac:dyDescent="0.3">
      <c r="A95" s="4">
        <v>93</v>
      </c>
      <c r="B95" s="2" t="s">
        <v>163</v>
      </c>
      <c r="C95" s="3">
        <v>44838</v>
      </c>
      <c r="D95" s="3" t="str">
        <f>TEXT(Table1[[#This Row],[Admission Date]],"MMMM")</f>
        <v>October</v>
      </c>
      <c r="E95" s="3">
        <v>44841</v>
      </c>
      <c r="F95" s="3">
        <v>44841</v>
      </c>
      <c r="G95" s="2">
        <v>22025993</v>
      </c>
      <c r="H95" s="2">
        <v>2234574</v>
      </c>
      <c r="I95" s="2">
        <v>10013243964</v>
      </c>
      <c r="J95" s="2" t="s">
        <v>164</v>
      </c>
      <c r="K95" s="10">
        <v>173913</v>
      </c>
      <c r="L95" s="10">
        <v>0</v>
      </c>
      <c r="M95" s="10">
        <v>173913</v>
      </c>
      <c r="N95" s="10">
        <v>37110</v>
      </c>
      <c r="O95" s="10">
        <f>Table1[[#This Row],[NET Amount]]-Table1[[#This Row],[Paid Amount]]</f>
        <v>136803</v>
      </c>
      <c r="P95" s="2" t="s">
        <v>23</v>
      </c>
      <c r="Q95" s="2" t="s">
        <v>24</v>
      </c>
      <c r="R95" s="16">
        <f>(Table1[[#This Row],[NET Amount]]-Table1[[#This Row],[Total Outstanding Amount]])/Table1[[#This Row],[NET Amount]]</f>
        <v>0.21338255334563833</v>
      </c>
      <c r="S95" s="2" t="s">
        <v>77</v>
      </c>
    </row>
    <row r="96" spans="1:19" x14ac:dyDescent="0.3">
      <c r="A96" s="4">
        <v>94</v>
      </c>
      <c r="B96" s="2" t="s">
        <v>91</v>
      </c>
      <c r="C96" s="3">
        <v>44851</v>
      </c>
      <c r="D96" s="3" t="str">
        <f>TEXT(Table1[[#This Row],[Admission Date]],"MMMM")</f>
        <v>October</v>
      </c>
      <c r="E96" s="3">
        <v>44853</v>
      </c>
      <c r="F96" s="3">
        <v>44853</v>
      </c>
      <c r="G96" s="2">
        <v>22027674</v>
      </c>
      <c r="H96" s="2">
        <v>2236268</v>
      </c>
      <c r="I96" s="2">
        <v>10013262630</v>
      </c>
      <c r="J96" s="2" t="s">
        <v>165</v>
      </c>
      <c r="K96" s="10">
        <v>327395</v>
      </c>
      <c r="L96" s="10">
        <v>0</v>
      </c>
      <c r="M96" s="10">
        <v>327395</v>
      </c>
      <c r="N96" s="10">
        <v>13399</v>
      </c>
      <c r="O96" s="10">
        <f>Table1[[#This Row],[NET Amount]]-Table1[[#This Row],[Paid Amount]]</f>
        <v>313996</v>
      </c>
      <c r="P96" s="2" t="s">
        <v>23</v>
      </c>
      <c r="Q96" s="2" t="s">
        <v>47</v>
      </c>
      <c r="R96" s="16">
        <f>(Table1[[#This Row],[NET Amount]]-Table1[[#This Row],[Total Outstanding Amount]])/Table1[[#This Row],[NET Amount]]</f>
        <v>4.0926098443775864E-2</v>
      </c>
      <c r="S96" s="2" t="s">
        <v>39</v>
      </c>
    </row>
    <row r="97" spans="1:19" x14ac:dyDescent="0.3">
      <c r="A97" s="4">
        <v>95</v>
      </c>
      <c r="B97" s="2" t="s">
        <v>166</v>
      </c>
      <c r="C97" s="3">
        <v>44844</v>
      </c>
      <c r="D97" s="3" t="str">
        <f>TEXT(Table1[[#This Row],[Admission Date]],"MMMM")</f>
        <v>October</v>
      </c>
      <c r="E97" s="3">
        <v>44846</v>
      </c>
      <c r="F97" s="3">
        <v>44846</v>
      </c>
      <c r="G97" s="2">
        <v>22026716</v>
      </c>
      <c r="H97" s="2">
        <v>2235471</v>
      </c>
      <c r="I97" s="2">
        <v>10013542476</v>
      </c>
      <c r="J97" s="2" t="s">
        <v>167</v>
      </c>
      <c r="K97" s="10">
        <v>35736</v>
      </c>
      <c r="L97" s="10">
        <v>0</v>
      </c>
      <c r="M97" s="10">
        <v>35736</v>
      </c>
      <c r="N97" s="10">
        <v>4668</v>
      </c>
      <c r="O97" s="10">
        <f>Table1[[#This Row],[NET Amount]]-Table1[[#This Row],[Paid Amount]]</f>
        <v>31068</v>
      </c>
      <c r="P97" s="2" t="s">
        <v>23</v>
      </c>
      <c r="Q97" s="2" t="s">
        <v>30</v>
      </c>
      <c r="R97" s="16">
        <f>(Table1[[#This Row],[NET Amount]]-Table1[[#This Row],[Total Outstanding Amount]])/Table1[[#This Row],[NET Amount]]</f>
        <v>0.13062458025520485</v>
      </c>
      <c r="S97" s="2" t="s">
        <v>20</v>
      </c>
    </row>
    <row r="98" spans="1:19" x14ac:dyDescent="0.3">
      <c r="A98" s="4">
        <v>96</v>
      </c>
      <c r="B98" s="2" t="s">
        <v>168</v>
      </c>
      <c r="C98" s="3">
        <v>44838</v>
      </c>
      <c r="D98" s="3" t="str">
        <f>TEXT(Table1[[#This Row],[Admission Date]],"MMMM")</f>
        <v>October</v>
      </c>
      <c r="E98" s="3">
        <v>44844</v>
      </c>
      <c r="F98" s="3">
        <v>44844</v>
      </c>
      <c r="G98" s="2">
        <v>22026368</v>
      </c>
      <c r="H98" s="2">
        <v>2234659</v>
      </c>
      <c r="I98" s="2">
        <v>10013541604</v>
      </c>
      <c r="J98" s="2" t="s">
        <v>169</v>
      </c>
      <c r="K98" s="10">
        <v>106159</v>
      </c>
      <c r="L98" s="10">
        <v>14553</v>
      </c>
      <c r="M98" s="10">
        <v>91606</v>
      </c>
      <c r="N98" s="10">
        <v>30263</v>
      </c>
      <c r="O98" s="10">
        <f>Table1[[#This Row],[NET Amount]]-Table1[[#This Row],[Paid Amount]]</f>
        <v>61343</v>
      </c>
      <c r="P98" s="2" t="s">
        <v>23</v>
      </c>
      <c r="Q98" s="2" t="s">
        <v>42</v>
      </c>
      <c r="R98" s="16">
        <f>(Table1[[#This Row],[NET Amount]]-Table1[[#This Row],[Total Outstanding Amount]])/Table1[[#This Row],[NET Amount]]</f>
        <v>0.33036045673864156</v>
      </c>
      <c r="S98" s="2" t="s">
        <v>37</v>
      </c>
    </row>
    <row r="99" spans="1:19" x14ac:dyDescent="0.3">
      <c r="A99" s="4">
        <v>97</v>
      </c>
      <c r="B99" s="2" t="s">
        <v>28</v>
      </c>
      <c r="C99" s="3">
        <v>44848</v>
      </c>
      <c r="D99" s="3" t="str">
        <f>TEXT(Table1[[#This Row],[Admission Date]],"MMMM")</f>
        <v>October</v>
      </c>
      <c r="E99" s="3">
        <v>44853</v>
      </c>
      <c r="F99" s="3">
        <v>44853</v>
      </c>
      <c r="G99" s="2">
        <v>22027705</v>
      </c>
      <c r="H99" s="2">
        <v>2235932</v>
      </c>
      <c r="I99" s="2">
        <v>1001279968</v>
      </c>
      <c r="J99" s="2" t="s">
        <v>170</v>
      </c>
      <c r="K99" s="10">
        <v>76972</v>
      </c>
      <c r="L99" s="10">
        <v>8517</v>
      </c>
      <c r="M99" s="10">
        <v>68455</v>
      </c>
      <c r="N99" s="10">
        <v>2415</v>
      </c>
      <c r="O99" s="10">
        <f>Table1[[#This Row],[NET Amount]]-Table1[[#This Row],[Paid Amount]]</f>
        <v>66040</v>
      </c>
      <c r="P99" s="2" t="s">
        <v>23</v>
      </c>
      <c r="Q99" s="2" t="s">
        <v>30</v>
      </c>
      <c r="R99" s="16">
        <f>(Table1[[#This Row],[NET Amount]]-Table1[[#This Row],[Total Outstanding Amount]])/Table1[[#This Row],[NET Amount]]</f>
        <v>3.5278650208165951E-2</v>
      </c>
      <c r="S99" s="2" t="s">
        <v>20</v>
      </c>
    </row>
    <row r="100" spans="1:19" x14ac:dyDescent="0.3">
      <c r="A100" s="4">
        <v>98</v>
      </c>
      <c r="B100" s="2" t="s">
        <v>75</v>
      </c>
      <c r="C100" s="3">
        <v>44849</v>
      </c>
      <c r="D100" s="3" t="str">
        <f>TEXT(Table1[[#This Row],[Admission Date]],"MMMM")</f>
        <v>October</v>
      </c>
      <c r="E100" s="3">
        <v>44853</v>
      </c>
      <c r="F100" s="3">
        <v>44853</v>
      </c>
      <c r="G100" s="2">
        <v>22027777</v>
      </c>
      <c r="H100" s="2">
        <v>2236065</v>
      </c>
      <c r="I100" s="2">
        <v>10013543087</v>
      </c>
      <c r="J100" s="2" t="s">
        <v>171</v>
      </c>
      <c r="K100" s="10">
        <v>26588</v>
      </c>
      <c r="L100" s="10">
        <v>0</v>
      </c>
      <c r="M100" s="10">
        <v>26588</v>
      </c>
      <c r="N100" s="10">
        <v>520</v>
      </c>
      <c r="O100" s="10">
        <f>Table1[[#This Row],[NET Amount]]-Table1[[#This Row],[Paid Amount]]</f>
        <v>26068</v>
      </c>
      <c r="P100" s="2" t="s">
        <v>23</v>
      </c>
      <c r="Q100" s="2" t="s">
        <v>24</v>
      </c>
      <c r="R100" s="16">
        <f>(Table1[[#This Row],[NET Amount]]-Table1[[#This Row],[Total Outstanding Amount]])/Table1[[#This Row],[NET Amount]]</f>
        <v>1.9557695200842485E-2</v>
      </c>
      <c r="S100" s="2" t="s">
        <v>65</v>
      </c>
    </row>
    <row r="101" spans="1:19" x14ac:dyDescent="0.3">
      <c r="A101" s="4">
        <v>99</v>
      </c>
      <c r="B101" s="2" t="s">
        <v>25</v>
      </c>
      <c r="C101" s="3">
        <v>44840</v>
      </c>
      <c r="D101" s="3" t="str">
        <f>TEXT(Table1[[#This Row],[Admission Date]],"MMMM")</f>
        <v>October</v>
      </c>
      <c r="E101" s="3">
        <v>44845</v>
      </c>
      <c r="F101" s="3">
        <v>44845</v>
      </c>
      <c r="G101" s="2">
        <v>22026506</v>
      </c>
      <c r="H101" s="2">
        <v>2234902</v>
      </c>
      <c r="I101" s="2">
        <v>10013541809</v>
      </c>
      <c r="J101" s="2" t="s">
        <v>172</v>
      </c>
      <c r="K101" s="10">
        <v>78958</v>
      </c>
      <c r="L101" s="10">
        <v>78958</v>
      </c>
      <c r="M101" s="10">
        <v>0</v>
      </c>
      <c r="N101" s="10">
        <v>0</v>
      </c>
      <c r="O101" s="10">
        <f>Table1[[#This Row],[NET Amount]]-Table1[[#This Row],[Paid Amount]]</f>
        <v>0</v>
      </c>
      <c r="P101" s="2" t="s">
        <v>18</v>
      </c>
      <c r="Q101" s="2" t="s">
        <v>90</v>
      </c>
      <c r="R101" s="16" t="e">
        <f>(Table1[[#This Row],[NET Amount]]-Table1[[#This Row],[Total Outstanding Amount]])/Table1[[#This Row],[NET Amount]]</f>
        <v>#DIV/0!</v>
      </c>
      <c r="S101" s="2" t="s">
        <v>20</v>
      </c>
    </row>
    <row r="102" spans="1:19" x14ac:dyDescent="0.3">
      <c r="A102" s="4">
        <v>100</v>
      </c>
      <c r="B102" s="2" t="s">
        <v>35</v>
      </c>
      <c r="C102" s="3">
        <v>44849</v>
      </c>
      <c r="D102" s="3" t="str">
        <f>TEXT(Table1[[#This Row],[Admission Date]],"MMMM")</f>
        <v>October</v>
      </c>
      <c r="E102" s="3">
        <v>44849</v>
      </c>
      <c r="F102" s="3">
        <v>44849</v>
      </c>
      <c r="G102" s="2">
        <v>22027120</v>
      </c>
      <c r="H102" s="2">
        <v>2236087</v>
      </c>
      <c r="I102" s="2">
        <v>10013514103</v>
      </c>
      <c r="J102" s="2" t="s">
        <v>173</v>
      </c>
      <c r="K102" s="10">
        <v>1610</v>
      </c>
      <c r="L102" s="10">
        <v>0</v>
      </c>
      <c r="M102" s="10">
        <v>1610</v>
      </c>
      <c r="N102" s="10">
        <v>1610</v>
      </c>
      <c r="O102" s="10">
        <f>Table1[[#This Row],[NET Amount]]-Table1[[#This Row],[Paid Amount]]</f>
        <v>0</v>
      </c>
      <c r="P102" s="2" t="s">
        <v>18</v>
      </c>
      <c r="Q102" s="2" t="s">
        <v>54</v>
      </c>
      <c r="R102" s="16">
        <f>(Table1[[#This Row],[NET Amount]]-Table1[[#This Row],[Total Outstanding Amount]])/Table1[[#This Row],[NET Amount]]</f>
        <v>1</v>
      </c>
      <c r="S102" s="2" t="s">
        <v>97</v>
      </c>
    </row>
    <row r="103" spans="1:19" x14ac:dyDescent="0.3">
      <c r="A103" s="4">
        <v>101</v>
      </c>
      <c r="B103" s="2" t="s">
        <v>25</v>
      </c>
      <c r="C103" s="3">
        <v>44847</v>
      </c>
      <c r="D103" s="3" t="str">
        <f>TEXT(Table1[[#This Row],[Admission Date]],"MMMM")</f>
        <v>October</v>
      </c>
      <c r="E103" s="3">
        <v>44847</v>
      </c>
      <c r="F103" s="3">
        <v>44847</v>
      </c>
      <c r="G103" s="2">
        <v>22026815</v>
      </c>
      <c r="H103" s="2">
        <v>2235800</v>
      </c>
      <c r="I103" s="2">
        <v>10013484177</v>
      </c>
      <c r="J103" s="2" t="s">
        <v>174</v>
      </c>
      <c r="K103" s="10">
        <v>2844</v>
      </c>
      <c r="L103" s="10">
        <v>310</v>
      </c>
      <c r="M103" s="10">
        <v>2534</v>
      </c>
      <c r="N103" s="10">
        <v>2534</v>
      </c>
      <c r="O103" s="10">
        <f>Table1[[#This Row],[NET Amount]]-Table1[[#This Row],[Paid Amount]]</f>
        <v>0</v>
      </c>
      <c r="P103" s="2" t="s">
        <v>18</v>
      </c>
      <c r="Q103" s="2" t="s">
        <v>54</v>
      </c>
      <c r="R103" s="16">
        <f>(Table1[[#This Row],[NET Amount]]-Table1[[#This Row],[Total Outstanding Amount]])/Table1[[#This Row],[NET Amount]]</f>
        <v>1</v>
      </c>
      <c r="S103" s="2" t="s">
        <v>97</v>
      </c>
    </row>
    <row r="104" spans="1:19" x14ac:dyDescent="0.3">
      <c r="A104" s="4">
        <v>102</v>
      </c>
      <c r="B104" s="2" t="s">
        <v>155</v>
      </c>
      <c r="C104" s="3">
        <v>44847</v>
      </c>
      <c r="D104" s="3" t="str">
        <f>TEXT(Table1[[#This Row],[Admission Date]],"MMMM")</f>
        <v>October</v>
      </c>
      <c r="E104" s="3">
        <v>44847</v>
      </c>
      <c r="F104" s="3">
        <v>44847</v>
      </c>
      <c r="G104" s="2">
        <v>22026817</v>
      </c>
      <c r="H104" s="2">
        <v>2235803</v>
      </c>
      <c r="I104" s="2">
        <v>10013269857</v>
      </c>
      <c r="J104" s="2" t="s">
        <v>175</v>
      </c>
      <c r="K104" s="10">
        <v>1610</v>
      </c>
      <c r="L104" s="10">
        <v>0</v>
      </c>
      <c r="M104" s="10">
        <v>1610</v>
      </c>
      <c r="N104" s="10">
        <v>1610</v>
      </c>
      <c r="O104" s="10">
        <f>Table1[[#This Row],[NET Amount]]-Table1[[#This Row],[Paid Amount]]</f>
        <v>0</v>
      </c>
      <c r="P104" s="2" t="s">
        <v>18</v>
      </c>
      <c r="Q104" s="2" t="s">
        <v>54</v>
      </c>
      <c r="R104" s="16">
        <f>(Table1[[#This Row],[NET Amount]]-Table1[[#This Row],[Total Outstanding Amount]])/Table1[[#This Row],[NET Amount]]</f>
        <v>1</v>
      </c>
      <c r="S104" s="2" t="s">
        <v>97</v>
      </c>
    </row>
    <row r="105" spans="1:19" x14ac:dyDescent="0.3">
      <c r="A105" s="4">
        <v>103</v>
      </c>
      <c r="B105" s="2" t="s">
        <v>25</v>
      </c>
      <c r="C105" s="3">
        <v>44847</v>
      </c>
      <c r="D105" s="3" t="str">
        <f>TEXT(Table1[[#This Row],[Admission Date]],"MMMM")</f>
        <v>October</v>
      </c>
      <c r="E105" s="3">
        <v>44847</v>
      </c>
      <c r="F105" s="3">
        <v>44847</v>
      </c>
      <c r="G105" s="2">
        <v>22026827</v>
      </c>
      <c r="H105" s="2">
        <v>2235817</v>
      </c>
      <c r="I105" s="2">
        <v>1001542684</v>
      </c>
      <c r="J105" s="2" t="s">
        <v>176</v>
      </c>
      <c r="K105" s="10">
        <v>4990</v>
      </c>
      <c r="L105" s="10">
        <v>409</v>
      </c>
      <c r="M105" s="10">
        <v>4581</v>
      </c>
      <c r="N105" s="10">
        <v>4581</v>
      </c>
      <c r="O105" s="10">
        <f>Table1[[#This Row],[NET Amount]]-Table1[[#This Row],[Paid Amount]]</f>
        <v>0</v>
      </c>
      <c r="P105" s="2" t="s">
        <v>18</v>
      </c>
      <c r="Q105" s="2" t="s">
        <v>54</v>
      </c>
      <c r="R105" s="16">
        <f>(Table1[[#This Row],[NET Amount]]-Table1[[#This Row],[Total Outstanding Amount]])/Table1[[#This Row],[NET Amount]]</f>
        <v>1</v>
      </c>
      <c r="S105" s="2" t="s">
        <v>97</v>
      </c>
    </row>
    <row r="106" spans="1:19" x14ac:dyDescent="0.3">
      <c r="A106" s="4">
        <v>104</v>
      </c>
      <c r="B106" s="2" t="s">
        <v>45</v>
      </c>
      <c r="C106" s="3">
        <v>44853</v>
      </c>
      <c r="D106" s="3" t="str">
        <f>TEXT(Table1[[#This Row],[Admission Date]],"MMMM")</f>
        <v>October</v>
      </c>
      <c r="E106" s="3">
        <v>44853</v>
      </c>
      <c r="F106" s="3">
        <v>44853</v>
      </c>
      <c r="G106" s="2">
        <v>22027744</v>
      </c>
      <c r="H106" s="2">
        <v>2236632</v>
      </c>
      <c r="I106" s="2">
        <v>1000837364</v>
      </c>
      <c r="J106" s="2" t="s">
        <v>177</v>
      </c>
      <c r="K106" s="10">
        <v>22500</v>
      </c>
      <c r="L106" s="10">
        <v>0</v>
      </c>
      <c r="M106" s="10">
        <v>22500</v>
      </c>
      <c r="N106" s="10">
        <v>1500</v>
      </c>
      <c r="O106" s="10">
        <f>Table1[[#This Row],[NET Amount]]-Table1[[#This Row],[Paid Amount]]</f>
        <v>21000</v>
      </c>
      <c r="P106" s="2" t="s">
        <v>23</v>
      </c>
      <c r="Q106" s="2" t="s">
        <v>47</v>
      </c>
      <c r="R106" s="16">
        <f>(Table1[[#This Row],[NET Amount]]-Table1[[#This Row],[Total Outstanding Amount]])/Table1[[#This Row],[NET Amount]]</f>
        <v>6.6666666666666666E-2</v>
      </c>
      <c r="S106" s="2" t="s">
        <v>39</v>
      </c>
    </row>
    <row r="107" spans="1:19" x14ac:dyDescent="0.3">
      <c r="A107" s="4">
        <v>105</v>
      </c>
      <c r="B107" s="2" t="s">
        <v>178</v>
      </c>
      <c r="C107" s="3">
        <v>44849</v>
      </c>
      <c r="D107" s="3" t="str">
        <f>TEXT(Table1[[#This Row],[Admission Date]],"MMMM")</f>
        <v>October</v>
      </c>
      <c r="E107" s="3">
        <v>44853</v>
      </c>
      <c r="F107" s="3">
        <v>44853</v>
      </c>
      <c r="G107" s="2">
        <v>22027730</v>
      </c>
      <c r="H107" s="2">
        <v>2236155</v>
      </c>
      <c r="I107" s="2">
        <v>10013504776</v>
      </c>
      <c r="J107" s="2" t="s">
        <v>179</v>
      </c>
      <c r="K107" s="10">
        <v>53735</v>
      </c>
      <c r="L107" s="10">
        <v>7029</v>
      </c>
      <c r="M107" s="10">
        <v>46706</v>
      </c>
      <c r="N107" s="10">
        <v>9275</v>
      </c>
      <c r="O107" s="10">
        <f>Table1[[#This Row],[NET Amount]]-Table1[[#This Row],[Paid Amount]]</f>
        <v>37431</v>
      </c>
      <c r="P107" s="2" t="s">
        <v>23</v>
      </c>
      <c r="Q107" s="2" t="s">
        <v>42</v>
      </c>
      <c r="R107" s="16">
        <f>(Table1[[#This Row],[NET Amount]]-Table1[[#This Row],[Total Outstanding Amount]])/Table1[[#This Row],[NET Amount]]</f>
        <v>0.19858262321757375</v>
      </c>
      <c r="S107" s="2" t="s">
        <v>77</v>
      </c>
    </row>
    <row r="108" spans="1:19" x14ac:dyDescent="0.3">
      <c r="A108" s="4">
        <v>106</v>
      </c>
      <c r="B108" s="2" t="s">
        <v>25</v>
      </c>
      <c r="C108" s="3">
        <v>44831</v>
      </c>
      <c r="D108" s="3" t="str">
        <f>TEXT(Table1[[#This Row],[Admission Date]],"MMMM")</f>
        <v>September</v>
      </c>
      <c r="E108" s="3">
        <v>44850</v>
      </c>
      <c r="F108" s="3">
        <v>44850</v>
      </c>
      <c r="G108" s="2">
        <v>22027352</v>
      </c>
      <c r="H108" s="2">
        <v>2233697</v>
      </c>
      <c r="I108" s="2">
        <v>10013540515</v>
      </c>
      <c r="J108" s="2" t="s">
        <v>180</v>
      </c>
      <c r="K108" s="10">
        <v>904778</v>
      </c>
      <c r="L108" s="10">
        <v>168045</v>
      </c>
      <c r="M108" s="10">
        <v>736733</v>
      </c>
      <c r="N108" s="10">
        <v>350000</v>
      </c>
      <c r="O108" s="10">
        <f>Table1[[#This Row],[NET Amount]]-Table1[[#This Row],[Paid Amount]]</f>
        <v>386733</v>
      </c>
      <c r="P108" s="2" t="s">
        <v>23</v>
      </c>
      <c r="Q108" s="2" t="s">
        <v>69</v>
      </c>
      <c r="R108" s="16">
        <f>(Table1[[#This Row],[NET Amount]]-Table1[[#This Row],[Total Outstanding Amount]])/Table1[[#This Row],[NET Amount]]</f>
        <v>0.47507034434455903</v>
      </c>
      <c r="S108" s="2" t="s">
        <v>32</v>
      </c>
    </row>
    <row r="109" spans="1:19" x14ac:dyDescent="0.3">
      <c r="A109" s="4">
        <v>107</v>
      </c>
      <c r="B109" s="2" t="s">
        <v>25</v>
      </c>
      <c r="C109" s="3">
        <v>44832</v>
      </c>
      <c r="D109" s="3" t="str">
        <f>TEXT(Table1[[#This Row],[Admission Date]],"MMMM")</f>
        <v>September</v>
      </c>
      <c r="E109" s="3">
        <v>44836</v>
      </c>
      <c r="F109" s="3">
        <v>44836</v>
      </c>
      <c r="G109" s="2">
        <v>22025307</v>
      </c>
      <c r="H109" s="2">
        <v>2233767</v>
      </c>
      <c r="I109" s="2">
        <v>10013540579</v>
      </c>
      <c r="J109" s="2" t="s">
        <v>181</v>
      </c>
      <c r="K109" s="10">
        <v>86822</v>
      </c>
      <c r="L109" s="10">
        <v>10492</v>
      </c>
      <c r="M109" s="10">
        <v>76330</v>
      </c>
      <c r="N109" s="10">
        <v>76330</v>
      </c>
      <c r="O109" s="10">
        <f>Table1[[#This Row],[NET Amount]]-Table1[[#This Row],[Paid Amount]]</f>
        <v>0</v>
      </c>
      <c r="P109" s="2" t="s">
        <v>18</v>
      </c>
      <c r="Q109" s="2" t="s">
        <v>19</v>
      </c>
      <c r="R109" s="16">
        <f>(Table1[[#This Row],[NET Amount]]-Table1[[#This Row],[Total Outstanding Amount]])/Table1[[#This Row],[NET Amount]]</f>
        <v>1</v>
      </c>
      <c r="S109" s="2" t="s">
        <v>20</v>
      </c>
    </row>
    <row r="110" spans="1:19" x14ac:dyDescent="0.3">
      <c r="A110" s="4">
        <v>108</v>
      </c>
      <c r="B110" s="2" t="s">
        <v>75</v>
      </c>
      <c r="C110" s="3">
        <v>44831</v>
      </c>
      <c r="D110" s="3" t="str">
        <f>TEXT(Table1[[#This Row],[Admission Date]],"MMMM")</f>
        <v>September</v>
      </c>
      <c r="E110" s="3">
        <v>44838</v>
      </c>
      <c r="F110" s="3">
        <v>44838</v>
      </c>
      <c r="G110" s="2">
        <v>22025519</v>
      </c>
      <c r="H110" s="2">
        <v>2233579</v>
      </c>
      <c r="I110" s="2">
        <v>10013540392</v>
      </c>
      <c r="J110" s="2" t="s">
        <v>182</v>
      </c>
      <c r="K110" s="10">
        <v>198967</v>
      </c>
      <c r="L110" s="10">
        <v>0</v>
      </c>
      <c r="M110" s="10">
        <v>198967</v>
      </c>
      <c r="N110" s="10">
        <v>12960</v>
      </c>
      <c r="O110" s="10">
        <f>Table1[[#This Row],[NET Amount]]-Table1[[#This Row],[Paid Amount]]</f>
        <v>186007</v>
      </c>
      <c r="P110" s="2" t="s">
        <v>23</v>
      </c>
      <c r="Q110" s="2" t="s">
        <v>19</v>
      </c>
      <c r="R110" s="16">
        <f>(Table1[[#This Row],[NET Amount]]-Table1[[#This Row],[Total Outstanding Amount]])/Table1[[#This Row],[NET Amount]]</f>
        <v>6.5136429659189712E-2</v>
      </c>
      <c r="S110" s="2" t="s">
        <v>39</v>
      </c>
    </row>
    <row r="111" spans="1:19" x14ac:dyDescent="0.3">
      <c r="A111" s="4">
        <v>109</v>
      </c>
      <c r="B111" s="2" t="s">
        <v>50</v>
      </c>
      <c r="C111" s="3">
        <v>44849</v>
      </c>
      <c r="D111" s="3" t="str">
        <f>TEXT(Table1[[#This Row],[Admission Date]],"MMMM")</f>
        <v>October</v>
      </c>
      <c r="E111" s="3">
        <v>44849</v>
      </c>
      <c r="F111" s="3">
        <v>44849</v>
      </c>
      <c r="G111" s="2">
        <v>22027206</v>
      </c>
      <c r="H111" s="2">
        <v>2236130</v>
      </c>
      <c r="I111" s="2">
        <v>1001564406</v>
      </c>
      <c r="J111" s="2" t="s">
        <v>183</v>
      </c>
      <c r="K111" s="10">
        <v>2200</v>
      </c>
      <c r="L111" s="10">
        <v>0</v>
      </c>
      <c r="M111" s="10">
        <v>2200</v>
      </c>
      <c r="N111" s="10">
        <v>330</v>
      </c>
      <c r="O111" s="10">
        <f>Table1[[#This Row],[NET Amount]]-Table1[[#This Row],[Paid Amount]]</f>
        <v>1870</v>
      </c>
      <c r="P111" s="2" t="s">
        <v>23</v>
      </c>
      <c r="Q111" s="2" t="s">
        <v>147</v>
      </c>
      <c r="R111" s="16">
        <f>(Table1[[#This Row],[NET Amount]]-Table1[[#This Row],[Total Outstanding Amount]])/Table1[[#This Row],[NET Amount]]</f>
        <v>0.15</v>
      </c>
      <c r="S111" s="2" t="s">
        <v>97</v>
      </c>
    </row>
    <row r="112" spans="1:19" x14ac:dyDescent="0.3">
      <c r="A112" s="4">
        <v>110</v>
      </c>
      <c r="B112" s="2" t="s">
        <v>117</v>
      </c>
      <c r="C112" s="3">
        <v>44848</v>
      </c>
      <c r="D112" s="3" t="str">
        <f>TEXT(Table1[[#This Row],[Admission Date]],"MMMM")</f>
        <v>October</v>
      </c>
      <c r="E112" s="3">
        <v>44848</v>
      </c>
      <c r="F112" s="3">
        <v>44848</v>
      </c>
      <c r="G112" s="2">
        <v>22027025</v>
      </c>
      <c r="H112" s="2">
        <v>2235952</v>
      </c>
      <c r="I112" s="2">
        <v>10013383005</v>
      </c>
      <c r="J112" s="2" t="s">
        <v>184</v>
      </c>
      <c r="K112" s="10">
        <v>2064</v>
      </c>
      <c r="L112" s="10">
        <v>0</v>
      </c>
      <c r="M112" s="10">
        <v>2064</v>
      </c>
      <c r="N112" s="10">
        <v>2064</v>
      </c>
      <c r="O112" s="10">
        <f>Table1[[#This Row],[NET Amount]]-Table1[[#This Row],[Paid Amount]]</f>
        <v>0</v>
      </c>
      <c r="P112" s="2" t="s">
        <v>18</v>
      </c>
      <c r="Q112" s="2" t="s">
        <v>54</v>
      </c>
      <c r="R112" s="16">
        <f>(Table1[[#This Row],[NET Amount]]-Table1[[#This Row],[Total Outstanding Amount]])/Table1[[#This Row],[NET Amount]]</f>
        <v>1</v>
      </c>
      <c r="S112" s="2" t="s">
        <v>97</v>
      </c>
    </row>
    <row r="113" spans="1:19" x14ac:dyDescent="0.3">
      <c r="A113" s="4">
        <v>111</v>
      </c>
      <c r="B113" s="2" t="s">
        <v>139</v>
      </c>
      <c r="C113" s="3">
        <v>44854</v>
      </c>
      <c r="D113" s="3" t="str">
        <f>TEXT(Table1[[#This Row],[Admission Date]],"MMMM")</f>
        <v>October</v>
      </c>
      <c r="E113" s="3">
        <v>44854</v>
      </c>
      <c r="F113" s="3">
        <v>44854</v>
      </c>
      <c r="G113" s="2">
        <v>22027860</v>
      </c>
      <c r="H113" s="2">
        <v>2236754</v>
      </c>
      <c r="I113" s="2">
        <v>1001805384</v>
      </c>
      <c r="J113" s="2" t="s">
        <v>185</v>
      </c>
      <c r="K113" s="10">
        <v>22500</v>
      </c>
      <c r="L113" s="10">
        <v>0</v>
      </c>
      <c r="M113" s="10">
        <v>22500</v>
      </c>
      <c r="N113" s="10">
        <v>3600</v>
      </c>
      <c r="O113" s="10">
        <f>Table1[[#This Row],[NET Amount]]-Table1[[#This Row],[Paid Amount]]</f>
        <v>18900</v>
      </c>
      <c r="P113" s="2" t="s">
        <v>23</v>
      </c>
      <c r="Q113" s="2" t="s">
        <v>47</v>
      </c>
      <c r="R113" s="16">
        <f>(Table1[[#This Row],[NET Amount]]-Table1[[#This Row],[Total Outstanding Amount]])/Table1[[#This Row],[NET Amount]]</f>
        <v>0.16</v>
      </c>
      <c r="S113" s="2" t="s">
        <v>39</v>
      </c>
    </row>
    <row r="114" spans="1:19" x14ac:dyDescent="0.3">
      <c r="A114" s="4">
        <v>112</v>
      </c>
      <c r="B114" s="2" t="s">
        <v>25</v>
      </c>
      <c r="C114" s="3">
        <v>44854</v>
      </c>
      <c r="D114" s="3" t="str">
        <f>TEXT(Table1[[#This Row],[Admission Date]],"MMMM")</f>
        <v>October</v>
      </c>
      <c r="E114" s="3">
        <v>44856</v>
      </c>
      <c r="F114" s="3">
        <v>44856</v>
      </c>
      <c r="G114" s="2">
        <v>22028205</v>
      </c>
      <c r="H114" s="2">
        <v>2236804</v>
      </c>
      <c r="I114" s="2">
        <v>10013543921</v>
      </c>
      <c r="J114" s="2" t="s">
        <v>186</v>
      </c>
      <c r="K114" s="10">
        <v>41582</v>
      </c>
      <c r="L114" s="10">
        <v>5581</v>
      </c>
      <c r="M114" s="10">
        <v>36001</v>
      </c>
      <c r="N114" s="10">
        <v>36001</v>
      </c>
      <c r="O114" s="10">
        <f>Table1[[#This Row],[NET Amount]]-Table1[[#This Row],[Paid Amount]]</f>
        <v>0</v>
      </c>
      <c r="P114" s="2" t="s">
        <v>18</v>
      </c>
      <c r="Q114" s="2" t="s">
        <v>30</v>
      </c>
      <c r="R114" s="16">
        <f>(Table1[[#This Row],[NET Amount]]-Table1[[#This Row],[Total Outstanding Amount]])/Table1[[#This Row],[NET Amount]]</f>
        <v>1</v>
      </c>
      <c r="S114" s="2" t="s">
        <v>20</v>
      </c>
    </row>
    <row r="115" spans="1:19" x14ac:dyDescent="0.3">
      <c r="A115" s="4">
        <v>113</v>
      </c>
      <c r="B115" s="2" t="s">
        <v>2243</v>
      </c>
      <c r="C115" s="3">
        <v>44848</v>
      </c>
      <c r="D115" s="3" t="str">
        <f>TEXT(Table1[[#This Row],[Admission Date]],"MMMM")</f>
        <v>October</v>
      </c>
      <c r="E115" s="3">
        <v>44848</v>
      </c>
      <c r="F115" s="3">
        <v>44848</v>
      </c>
      <c r="G115" s="2">
        <v>22027068</v>
      </c>
      <c r="H115" s="2">
        <v>2235963</v>
      </c>
      <c r="I115" s="2">
        <v>1000915528</v>
      </c>
      <c r="J115" s="2" t="s">
        <v>187</v>
      </c>
      <c r="K115" s="10">
        <v>5759</v>
      </c>
      <c r="L115" s="10">
        <v>5759</v>
      </c>
      <c r="M115" s="10">
        <v>0</v>
      </c>
      <c r="N115" s="10">
        <v>0</v>
      </c>
      <c r="O115" s="10">
        <f>Table1[[#This Row],[NET Amount]]-Table1[[#This Row],[Paid Amount]]</f>
        <v>0</v>
      </c>
      <c r="P115" s="2" t="s">
        <v>18</v>
      </c>
      <c r="Q115" s="2" t="s">
        <v>54</v>
      </c>
      <c r="R115" s="16" t="e">
        <f>(Table1[[#This Row],[NET Amount]]-Table1[[#This Row],[Total Outstanding Amount]])/Table1[[#This Row],[NET Amount]]</f>
        <v>#DIV/0!</v>
      </c>
      <c r="S115" s="2" t="s">
        <v>97</v>
      </c>
    </row>
    <row r="116" spans="1:19" x14ac:dyDescent="0.3">
      <c r="A116" s="4">
        <v>114</v>
      </c>
      <c r="B116" s="2" t="s">
        <v>155</v>
      </c>
      <c r="C116" s="3">
        <v>44849</v>
      </c>
      <c r="D116" s="3" t="str">
        <f>TEXT(Table1[[#This Row],[Admission Date]],"MMMM")</f>
        <v>October</v>
      </c>
      <c r="E116" s="3">
        <v>44849</v>
      </c>
      <c r="F116" s="3">
        <v>44849</v>
      </c>
      <c r="G116" s="2">
        <v>22027278</v>
      </c>
      <c r="H116" s="2">
        <v>2236198</v>
      </c>
      <c r="I116" s="2">
        <v>1000915662</v>
      </c>
      <c r="J116" s="2" t="s">
        <v>188</v>
      </c>
      <c r="K116" s="10">
        <v>1610</v>
      </c>
      <c r="L116" s="10">
        <v>0</v>
      </c>
      <c r="M116" s="10">
        <v>1610</v>
      </c>
      <c r="N116" s="10">
        <v>1610</v>
      </c>
      <c r="O116" s="10">
        <f>Table1[[#This Row],[NET Amount]]-Table1[[#This Row],[Paid Amount]]</f>
        <v>0</v>
      </c>
      <c r="P116" s="2" t="s">
        <v>18</v>
      </c>
      <c r="Q116" s="2" t="s">
        <v>54</v>
      </c>
      <c r="R116" s="16">
        <f>(Table1[[#This Row],[NET Amount]]-Table1[[#This Row],[Total Outstanding Amount]])/Table1[[#This Row],[NET Amount]]</f>
        <v>1</v>
      </c>
      <c r="S116" s="2" t="s">
        <v>97</v>
      </c>
    </row>
    <row r="117" spans="1:19" x14ac:dyDescent="0.3">
      <c r="A117" s="4">
        <v>115</v>
      </c>
      <c r="B117" s="2" t="s">
        <v>117</v>
      </c>
      <c r="C117" s="3">
        <v>44849</v>
      </c>
      <c r="D117" s="3" t="str">
        <f>TEXT(Table1[[#This Row],[Admission Date]],"MMMM")</f>
        <v>October</v>
      </c>
      <c r="E117" s="3">
        <v>44849</v>
      </c>
      <c r="F117" s="3">
        <v>44849</v>
      </c>
      <c r="G117" s="2">
        <v>22027277</v>
      </c>
      <c r="H117" s="2">
        <v>2236196</v>
      </c>
      <c r="I117" s="2">
        <v>1001439428</v>
      </c>
      <c r="J117" s="2" t="s">
        <v>189</v>
      </c>
      <c r="K117" s="10">
        <v>2758</v>
      </c>
      <c r="L117" s="10">
        <v>0</v>
      </c>
      <c r="M117" s="10">
        <v>2758</v>
      </c>
      <c r="N117" s="10">
        <v>2758</v>
      </c>
      <c r="O117" s="10">
        <f>Table1[[#This Row],[NET Amount]]-Table1[[#This Row],[Paid Amount]]</f>
        <v>0</v>
      </c>
      <c r="P117" s="2" t="s">
        <v>18</v>
      </c>
      <c r="Q117" s="2" t="s">
        <v>54</v>
      </c>
      <c r="R117" s="16">
        <f>(Table1[[#This Row],[NET Amount]]-Table1[[#This Row],[Total Outstanding Amount]])/Table1[[#This Row],[NET Amount]]</f>
        <v>1</v>
      </c>
      <c r="S117" s="2" t="s">
        <v>97</v>
      </c>
    </row>
    <row r="118" spans="1:19" x14ac:dyDescent="0.3">
      <c r="A118" s="4">
        <v>116</v>
      </c>
      <c r="B118" s="2" t="s">
        <v>21</v>
      </c>
      <c r="C118" s="3">
        <v>44857</v>
      </c>
      <c r="D118" s="3" t="str">
        <f>TEXT(Table1[[#This Row],[Admission Date]],"MMMM")</f>
        <v>October</v>
      </c>
      <c r="E118" s="3">
        <v>44859</v>
      </c>
      <c r="F118" s="3">
        <v>44859</v>
      </c>
      <c r="G118" s="2">
        <v>22028484</v>
      </c>
      <c r="H118" s="2">
        <v>2237140</v>
      </c>
      <c r="I118" s="2">
        <v>10013366821</v>
      </c>
      <c r="J118" s="2" t="s">
        <v>190</v>
      </c>
      <c r="K118" s="10">
        <v>230405</v>
      </c>
      <c r="L118" s="10">
        <v>0</v>
      </c>
      <c r="M118" s="10">
        <v>230405</v>
      </c>
      <c r="N118" s="10">
        <v>230405</v>
      </c>
      <c r="O118" s="10">
        <f>Table1[[#This Row],[NET Amount]]-Table1[[#This Row],[Paid Amount]]</f>
        <v>0</v>
      </c>
      <c r="P118" s="2" t="s">
        <v>18</v>
      </c>
      <c r="Q118" s="2" t="s">
        <v>24</v>
      </c>
      <c r="R118" s="16">
        <f>(Table1[[#This Row],[NET Amount]]-Table1[[#This Row],[Total Outstanding Amount]])/Table1[[#This Row],[NET Amount]]</f>
        <v>1</v>
      </c>
      <c r="S118" s="2" t="s">
        <v>39</v>
      </c>
    </row>
    <row r="119" spans="1:19" x14ac:dyDescent="0.3">
      <c r="A119" s="4">
        <v>117</v>
      </c>
      <c r="B119" s="2" t="s">
        <v>91</v>
      </c>
      <c r="C119" s="3">
        <v>44851</v>
      </c>
      <c r="D119" s="3" t="str">
        <f>TEXT(Table1[[#This Row],[Admission Date]],"MMMM")</f>
        <v>October</v>
      </c>
      <c r="E119" s="3">
        <v>44854</v>
      </c>
      <c r="F119" s="3">
        <v>44854</v>
      </c>
      <c r="G119" s="2">
        <v>22027848</v>
      </c>
      <c r="H119" s="2">
        <v>2236315</v>
      </c>
      <c r="I119" s="2">
        <v>10013543366</v>
      </c>
      <c r="J119" s="2" t="s">
        <v>191</v>
      </c>
      <c r="K119" s="10">
        <v>60596</v>
      </c>
      <c r="L119" s="10">
        <v>5352</v>
      </c>
      <c r="M119" s="10">
        <v>55244</v>
      </c>
      <c r="N119" s="10">
        <v>5855</v>
      </c>
      <c r="O119" s="10">
        <f>Table1[[#This Row],[NET Amount]]-Table1[[#This Row],[Paid Amount]]</f>
        <v>49389</v>
      </c>
      <c r="P119" s="2" t="s">
        <v>23</v>
      </c>
      <c r="Q119" s="2" t="s">
        <v>24</v>
      </c>
      <c r="R119" s="16">
        <f>(Table1[[#This Row],[NET Amount]]-Table1[[#This Row],[Total Outstanding Amount]])/Table1[[#This Row],[NET Amount]]</f>
        <v>0.10598436029252045</v>
      </c>
      <c r="S119" s="2" t="s">
        <v>37</v>
      </c>
    </row>
    <row r="120" spans="1:19" x14ac:dyDescent="0.3">
      <c r="A120" s="4">
        <v>118</v>
      </c>
      <c r="B120" s="2" t="s">
        <v>117</v>
      </c>
      <c r="C120" s="3">
        <v>44851</v>
      </c>
      <c r="D120" s="3" t="str">
        <f>TEXT(Table1[[#This Row],[Admission Date]],"MMMM")</f>
        <v>October</v>
      </c>
      <c r="E120" s="3">
        <v>44853</v>
      </c>
      <c r="F120" s="3">
        <v>44853</v>
      </c>
      <c r="G120" s="2">
        <v>22027681</v>
      </c>
      <c r="H120" s="2">
        <v>2236372</v>
      </c>
      <c r="I120" s="2">
        <v>10013540214</v>
      </c>
      <c r="J120" s="2" t="s">
        <v>192</v>
      </c>
      <c r="K120" s="10">
        <v>80266</v>
      </c>
      <c r="L120" s="10">
        <v>0</v>
      </c>
      <c r="M120" s="10">
        <v>80266</v>
      </c>
      <c r="N120" s="10">
        <v>80266</v>
      </c>
      <c r="O120" s="10">
        <f>Table1[[#This Row],[NET Amount]]-Table1[[#This Row],[Paid Amount]]</f>
        <v>0</v>
      </c>
      <c r="P120" s="2" t="s">
        <v>18</v>
      </c>
      <c r="Q120" s="2" t="s">
        <v>30</v>
      </c>
      <c r="R120" s="16">
        <f>(Table1[[#This Row],[NET Amount]]-Table1[[#This Row],[Total Outstanding Amount]])/Table1[[#This Row],[NET Amount]]</f>
        <v>1</v>
      </c>
      <c r="S120" s="2" t="s">
        <v>43</v>
      </c>
    </row>
    <row r="121" spans="1:19" x14ac:dyDescent="0.3">
      <c r="A121" s="4">
        <v>119</v>
      </c>
      <c r="B121" s="2" t="s">
        <v>50</v>
      </c>
      <c r="C121" s="3">
        <v>44841</v>
      </c>
      <c r="D121" s="3" t="str">
        <f>TEXT(Table1[[#This Row],[Admission Date]],"MMMM")</f>
        <v>October</v>
      </c>
      <c r="E121" s="3">
        <v>44845</v>
      </c>
      <c r="F121" s="3">
        <v>44845</v>
      </c>
      <c r="G121" s="2">
        <v>22026531</v>
      </c>
      <c r="H121" s="2">
        <v>2234968</v>
      </c>
      <c r="I121" s="2">
        <v>10013541909</v>
      </c>
      <c r="J121" s="2" t="s">
        <v>193</v>
      </c>
      <c r="K121" s="10">
        <v>194905</v>
      </c>
      <c r="L121" s="10">
        <v>12464</v>
      </c>
      <c r="M121" s="10">
        <v>182441</v>
      </c>
      <c r="N121" s="10">
        <v>55360</v>
      </c>
      <c r="O121" s="10">
        <f>Table1[[#This Row],[NET Amount]]-Table1[[#This Row],[Paid Amount]]</f>
        <v>127081</v>
      </c>
      <c r="P121" s="2" t="s">
        <v>23</v>
      </c>
      <c r="Q121" s="2" t="s">
        <v>42</v>
      </c>
      <c r="R121" s="16">
        <f>(Table1[[#This Row],[NET Amount]]-Table1[[#This Row],[Total Outstanding Amount]])/Table1[[#This Row],[NET Amount]]</f>
        <v>0.30344056434682992</v>
      </c>
      <c r="S121" s="2" t="s">
        <v>20</v>
      </c>
    </row>
    <row r="122" spans="1:19" x14ac:dyDescent="0.3">
      <c r="A122" s="4">
        <v>120</v>
      </c>
      <c r="B122" s="2" t="s">
        <v>2252</v>
      </c>
      <c r="C122" s="3">
        <v>44832</v>
      </c>
      <c r="D122" s="3" t="str">
        <f>TEXT(Table1[[#This Row],[Admission Date]],"MMMM")</f>
        <v>September</v>
      </c>
      <c r="E122" s="3">
        <v>44835</v>
      </c>
      <c r="F122" s="3">
        <v>44835</v>
      </c>
      <c r="G122" s="2">
        <v>22025131</v>
      </c>
      <c r="H122" s="2">
        <v>2233835</v>
      </c>
      <c r="I122" s="2">
        <v>1001223061</v>
      </c>
      <c r="J122" s="2" t="s">
        <v>194</v>
      </c>
      <c r="K122" s="10">
        <v>61139</v>
      </c>
      <c r="L122" s="10">
        <v>11072</v>
      </c>
      <c r="M122" s="10">
        <v>50067</v>
      </c>
      <c r="N122" s="10">
        <v>2346</v>
      </c>
      <c r="O122" s="10">
        <f>Table1[[#This Row],[NET Amount]]-Table1[[#This Row],[Paid Amount]]</f>
        <v>47721</v>
      </c>
      <c r="P122" s="2" t="s">
        <v>23</v>
      </c>
      <c r="Q122" s="2" t="s">
        <v>30</v>
      </c>
      <c r="R122" s="16">
        <f>(Table1[[#This Row],[NET Amount]]-Table1[[#This Row],[Total Outstanding Amount]])/Table1[[#This Row],[NET Amount]]</f>
        <v>4.6857211336808674E-2</v>
      </c>
      <c r="S122" s="2" t="s">
        <v>20</v>
      </c>
    </row>
    <row r="123" spans="1:19" x14ac:dyDescent="0.3">
      <c r="A123" s="4">
        <v>121</v>
      </c>
      <c r="B123" s="2" t="s">
        <v>25</v>
      </c>
      <c r="C123" s="3">
        <v>44841</v>
      </c>
      <c r="D123" s="3" t="str">
        <f>TEXT(Table1[[#This Row],[Admission Date]],"MMMM")</f>
        <v>October</v>
      </c>
      <c r="E123" s="3">
        <v>44841</v>
      </c>
      <c r="F123" s="3">
        <v>44841</v>
      </c>
      <c r="G123" s="2">
        <v>22026028</v>
      </c>
      <c r="H123" s="2">
        <v>2234992</v>
      </c>
      <c r="I123" s="2">
        <v>1001802962</v>
      </c>
      <c r="J123" s="2" t="s">
        <v>195</v>
      </c>
      <c r="K123" s="10">
        <v>34629</v>
      </c>
      <c r="L123" s="10">
        <v>4844</v>
      </c>
      <c r="M123" s="10">
        <v>29785</v>
      </c>
      <c r="N123" s="10">
        <v>29785</v>
      </c>
      <c r="O123" s="10">
        <f>Table1[[#This Row],[NET Amount]]-Table1[[#This Row],[Paid Amount]]</f>
        <v>0</v>
      </c>
      <c r="P123" s="2" t="s">
        <v>18</v>
      </c>
      <c r="Q123" s="2" t="s">
        <v>54</v>
      </c>
      <c r="R123" s="16">
        <f>(Table1[[#This Row],[NET Amount]]-Table1[[#This Row],[Total Outstanding Amount]])/Table1[[#This Row],[NET Amount]]</f>
        <v>1</v>
      </c>
      <c r="S123" s="2" t="s">
        <v>27</v>
      </c>
    </row>
    <row r="124" spans="1:19" x14ac:dyDescent="0.3">
      <c r="A124" s="4">
        <v>122</v>
      </c>
      <c r="B124" s="2" t="s">
        <v>152</v>
      </c>
      <c r="C124" s="3">
        <v>44848</v>
      </c>
      <c r="D124" s="3" t="str">
        <f>TEXT(Table1[[#This Row],[Admission Date]],"MMMM")</f>
        <v>October</v>
      </c>
      <c r="E124" s="3">
        <v>44849</v>
      </c>
      <c r="F124" s="3">
        <v>44849</v>
      </c>
      <c r="G124" s="2">
        <v>22027164</v>
      </c>
      <c r="H124" s="2">
        <v>2235994</v>
      </c>
      <c r="I124" s="2">
        <v>1001804386</v>
      </c>
      <c r="J124" s="2" t="s">
        <v>196</v>
      </c>
      <c r="K124" s="10">
        <v>786</v>
      </c>
      <c r="L124" s="10">
        <v>0</v>
      </c>
      <c r="M124" s="10">
        <v>786</v>
      </c>
      <c r="N124" s="10">
        <v>786</v>
      </c>
      <c r="O124" s="10">
        <f>Table1[[#This Row],[NET Amount]]-Table1[[#This Row],[Paid Amount]]</f>
        <v>0</v>
      </c>
      <c r="P124" s="2" t="s">
        <v>18</v>
      </c>
      <c r="Q124" s="2" t="s">
        <v>19</v>
      </c>
      <c r="R124" s="16">
        <f>(Table1[[#This Row],[NET Amount]]-Table1[[#This Row],[Total Outstanding Amount]])/Table1[[#This Row],[NET Amount]]</f>
        <v>1</v>
      </c>
      <c r="S124" s="2" t="s">
        <v>37</v>
      </c>
    </row>
    <row r="125" spans="1:19" x14ac:dyDescent="0.3">
      <c r="A125" s="4">
        <v>123</v>
      </c>
      <c r="B125" s="2" t="s">
        <v>35</v>
      </c>
      <c r="C125" s="3">
        <v>44835</v>
      </c>
      <c r="D125" s="3" t="str">
        <f>TEXT(Table1[[#This Row],[Admission Date]],"MMMM")</f>
        <v>October</v>
      </c>
      <c r="E125" s="3">
        <v>44845</v>
      </c>
      <c r="F125" s="3">
        <v>44845</v>
      </c>
      <c r="G125" s="2">
        <v>22026597</v>
      </c>
      <c r="H125" s="2">
        <v>2234236</v>
      </c>
      <c r="I125" s="2">
        <v>10013541149</v>
      </c>
      <c r="J125" s="2" t="s">
        <v>197</v>
      </c>
      <c r="K125" s="10">
        <v>107222</v>
      </c>
      <c r="L125" s="10">
        <v>0</v>
      </c>
      <c r="M125" s="10">
        <v>107222</v>
      </c>
      <c r="N125" s="10">
        <v>107222</v>
      </c>
      <c r="O125" s="10">
        <f>Table1[[#This Row],[NET Amount]]-Table1[[#This Row],[Paid Amount]]</f>
        <v>0</v>
      </c>
      <c r="P125" s="2" t="s">
        <v>18</v>
      </c>
      <c r="Q125" s="2" t="s">
        <v>24</v>
      </c>
      <c r="R125" s="16">
        <f>(Table1[[#This Row],[NET Amount]]-Table1[[#This Row],[Total Outstanding Amount]])/Table1[[#This Row],[NET Amount]]</f>
        <v>1</v>
      </c>
      <c r="S125" s="2" t="s">
        <v>37</v>
      </c>
    </row>
    <row r="126" spans="1:19" x14ac:dyDescent="0.3">
      <c r="A126" s="4">
        <v>124</v>
      </c>
      <c r="B126" s="2" t="s">
        <v>139</v>
      </c>
      <c r="C126" s="3">
        <v>44842</v>
      </c>
      <c r="D126" s="3" t="str">
        <f>TEXT(Table1[[#This Row],[Admission Date]],"MMMM")</f>
        <v>October</v>
      </c>
      <c r="E126" s="3">
        <v>44845</v>
      </c>
      <c r="F126" s="3">
        <v>44845</v>
      </c>
      <c r="G126" s="2">
        <v>22026588</v>
      </c>
      <c r="H126" s="2">
        <v>2235196</v>
      </c>
      <c r="I126" s="2">
        <v>10013542194</v>
      </c>
      <c r="J126" s="2" t="s">
        <v>198</v>
      </c>
      <c r="K126" s="10">
        <v>42764</v>
      </c>
      <c r="L126" s="10">
        <v>5494</v>
      </c>
      <c r="M126" s="10">
        <v>37270</v>
      </c>
      <c r="N126" s="10">
        <v>10384</v>
      </c>
      <c r="O126" s="10">
        <f>Table1[[#This Row],[NET Amount]]-Table1[[#This Row],[Paid Amount]]</f>
        <v>26886</v>
      </c>
      <c r="P126" s="2" t="s">
        <v>23</v>
      </c>
      <c r="Q126" s="2" t="s">
        <v>52</v>
      </c>
      <c r="R126" s="16">
        <f>(Table1[[#This Row],[NET Amount]]-Table1[[#This Row],[Total Outstanding Amount]])/Table1[[#This Row],[NET Amount]]</f>
        <v>0.27861550845183791</v>
      </c>
      <c r="S126" s="2" t="s">
        <v>37</v>
      </c>
    </row>
    <row r="127" spans="1:19" x14ac:dyDescent="0.3">
      <c r="A127" s="4">
        <v>125</v>
      </c>
      <c r="B127" s="2" t="s">
        <v>152</v>
      </c>
      <c r="C127" s="3">
        <v>44848</v>
      </c>
      <c r="D127" s="3" t="str">
        <f>TEXT(Table1[[#This Row],[Admission Date]],"MMMM")</f>
        <v>October</v>
      </c>
      <c r="E127" s="3">
        <v>44849</v>
      </c>
      <c r="F127" s="3">
        <v>44849</v>
      </c>
      <c r="G127" s="2">
        <v>22027159</v>
      </c>
      <c r="H127" s="2">
        <v>2235943</v>
      </c>
      <c r="I127" s="2">
        <v>10013452543</v>
      </c>
      <c r="J127" s="2" t="s">
        <v>199</v>
      </c>
      <c r="K127" s="10">
        <v>11212</v>
      </c>
      <c r="L127" s="10">
        <v>0</v>
      </c>
      <c r="M127" s="10">
        <v>11212</v>
      </c>
      <c r="N127" s="10">
        <v>11212</v>
      </c>
      <c r="O127" s="10">
        <f>Table1[[#This Row],[NET Amount]]-Table1[[#This Row],[Paid Amount]]</f>
        <v>0</v>
      </c>
      <c r="P127" s="2" t="s">
        <v>18</v>
      </c>
      <c r="Q127" s="2" t="s">
        <v>19</v>
      </c>
      <c r="R127" s="16">
        <f>(Table1[[#This Row],[NET Amount]]-Table1[[#This Row],[Total Outstanding Amount]])/Table1[[#This Row],[NET Amount]]</f>
        <v>1</v>
      </c>
      <c r="S127" s="2" t="s">
        <v>27</v>
      </c>
    </row>
    <row r="128" spans="1:19" x14ac:dyDescent="0.3">
      <c r="A128" s="4">
        <v>126</v>
      </c>
      <c r="B128" s="2" t="s">
        <v>168</v>
      </c>
      <c r="C128" s="3">
        <v>44848</v>
      </c>
      <c r="D128" s="3" t="str">
        <f>TEXT(Table1[[#This Row],[Admission Date]],"MMMM")</f>
        <v>October</v>
      </c>
      <c r="E128" s="3">
        <v>44849</v>
      </c>
      <c r="F128" s="3">
        <v>44849</v>
      </c>
      <c r="G128" s="2">
        <v>22027182</v>
      </c>
      <c r="H128" s="2">
        <v>2235906</v>
      </c>
      <c r="I128" s="2">
        <v>10013511190</v>
      </c>
      <c r="J128" s="2" t="s">
        <v>200</v>
      </c>
      <c r="K128" s="10">
        <v>58975</v>
      </c>
      <c r="L128" s="10">
        <v>0</v>
      </c>
      <c r="M128" s="10">
        <v>58975</v>
      </c>
      <c r="N128" s="10">
        <v>1975</v>
      </c>
      <c r="O128" s="10">
        <f>Table1[[#This Row],[NET Amount]]-Table1[[#This Row],[Paid Amount]]</f>
        <v>57000</v>
      </c>
      <c r="P128" s="2" t="s">
        <v>23</v>
      </c>
      <c r="Q128" s="2" t="s">
        <v>30</v>
      </c>
      <c r="R128" s="16">
        <f>(Table1[[#This Row],[NET Amount]]-Table1[[#This Row],[Total Outstanding Amount]])/Table1[[#This Row],[NET Amount]]</f>
        <v>3.3488766426451884E-2</v>
      </c>
      <c r="S128" s="2" t="s">
        <v>201</v>
      </c>
    </row>
    <row r="129" spans="1:19" x14ac:dyDescent="0.3">
      <c r="A129" s="4">
        <v>127</v>
      </c>
      <c r="B129" s="2" t="s">
        <v>40</v>
      </c>
      <c r="C129" s="3">
        <v>44852</v>
      </c>
      <c r="D129" s="3" t="str">
        <f>TEXT(Table1[[#This Row],[Admission Date]],"MMMM")</f>
        <v>October</v>
      </c>
      <c r="E129" s="3">
        <v>44852</v>
      </c>
      <c r="F129" s="3">
        <v>44852</v>
      </c>
      <c r="G129" s="2">
        <v>22027580</v>
      </c>
      <c r="H129" s="2">
        <v>2236481</v>
      </c>
      <c r="I129" s="2">
        <v>1001300227</v>
      </c>
      <c r="J129" s="2" t="s">
        <v>202</v>
      </c>
      <c r="K129" s="10">
        <v>2200</v>
      </c>
      <c r="L129" s="10">
        <v>0</v>
      </c>
      <c r="M129" s="10">
        <v>2200</v>
      </c>
      <c r="N129" s="10">
        <v>2200</v>
      </c>
      <c r="O129" s="10">
        <f>Table1[[#This Row],[NET Amount]]-Table1[[#This Row],[Paid Amount]]</f>
        <v>0</v>
      </c>
      <c r="P129" s="2" t="s">
        <v>18</v>
      </c>
      <c r="Q129" s="2" t="s">
        <v>147</v>
      </c>
      <c r="R129" s="16">
        <f>(Table1[[#This Row],[NET Amount]]-Table1[[#This Row],[Total Outstanding Amount]])/Table1[[#This Row],[NET Amount]]</f>
        <v>1</v>
      </c>
      <c r="S129" s="2" t="s">
        <v>97</v>
      </c>
    </row>
    <row r="130" spans="1:19" x14ac:dyDescent="0.3">
      <c r="A130" s="4">
        <v>128</v>
      </c>
      <c r="B130" s="2" t="s">
        <v>25</v>
      </c>
      <c r="C130" s="3">
        <v>44836</v>
      </c>
      <c r="D130" s="3" t="str">
        <f>TEXT(Table1[[#This Row],[Admission Date]],"MMMM")</f>
        <v>October</v>
      </c>
      <c r="E130" s="3">
        <v>44839</v>
      </c>
      <c r="F130" s="3">
        <v>44839</v>
      </c>
      <c r="G130" s="2">
        <v>22025719</v>
      </c>
      <c r="H130" s="2">
        <v>2234334</v>
      </c>
      <c r="I130" s="2">
        <v>1001802048</v>
      </c>
      <c r="J130" s="2" t="s">
        <v>203</v>
      </c>
      <c r="K130" s="10">
        <v>23824</v>
      </c>
      <c r="L130" s="10">
        <v>3099</v>
      </c>
      <c r="M130" s="10">
        <v>20725</v>
      </c>
      <c r="N130" s="10">
        <v>20725</v>
      </c>
      <c r="O130" s="10">
        <f>Table1[[#This Row],[NET Amount]]-Table1[[#This Row],[Paid Amount]]</f>
        <v>0</v>
      </c>
      <c r="P130" s="2" t="s">
        <v>18</v>
      </c>
      <c r="Q130" s="2" t="s">
        <v>104</v>
      </c>
      <c r="R130" s="16">
        <f>(Table1[[#This Row],[NET Amount]]-Table1[[#This Row],[Total Outstanding Amount]])/Table1[[#This Row],[NET Amount]]</f>
        <v>1</v>
      </c>
      <c r="S130" s="2" t="s">
        <v>37</v>
      </c>
    </row>
    <row r="131" spans="1:19" x14ac:dyDescent="0.3">
      <c r="A131" s="4">
        <v>129</v>
      </c>
      <c r="B131" s="2" t="s">
        <v>25</v>
      </c>
      <c r="C131" s="3">
        <v>44838</v>
      </c>
      <c r="D131" s="3" t="str">
        <f>TEXT(Table1[[#This Row],[Admission Date]],"MMMM")</f>
        <v>October</v>
      </c>
      <c r="E131" s="3">
        <v>44838</v>
      </c>
      <c r="F131" s="3">
        <v>44838</v>
      </c>
      <c r="G131" s="2">
        <v>22025612</v>
      </c>
      <c r="H131" s="2">
        <v>2234608</v>
      </c>
      <c r="I131" s="2">
        <v>10013352607</v>
      </c>
      <c r="J131" s="2" t="s">
        <v>204</v>
      </c>
      <c r="K131" s="10">
        <v>3488</v>
      </c>
      <c r="L131" s="10">
        <v>291</v>
      </c>
      <c r="M131" s="10">
        <v>3197</v>
      </c>
      <c r="N131" s="10">
        <v>3197</v>
      </c>
      <c r="O131" s="10">
        <f>Table1[[#This Row],[NET Amount]]-Table1[[#This Row],[Paid Amount]]</f>
        <v>0</v>
      </c>
      <c r="P131" s="2" t="s">
        <v>18</v>
      </c>
      <c r="Q131" s="2" t="s">
        <v>54</v>
      </c>
      <c r="R131" s="16">
        <f>(Table1[[#This Row],[NET Amount]]-Table1[[#This Row],[Total Outstanding Amount]])/Table1[[#This Row],[NET Amount]]</f>
        <v>1</v>
      </c>
      <c r="S131" s="2" t="s">
        <v>97</v>
      </c>
    </row>
    <row r="132" spans="1:19" x14ac:dyDescent="0.3">
      <c r="A132" s="4">
        <v>130</v>
      </c>
      <c r="B132" s="2" t="s">
        <v>2253</v>
      </c>
      <c r="C132" s="3">
        <v>44841</v>
      </c>
      <c r="D132" s="3" t="str">
        <f>TEXT(Table1[[#This Row],[Admission Date]],"MMMM")</f>
        <v>October</v>
      </c>
      <c r="E132" s="3">
        <v>44844</v>
      </c>
      <c r="F132" s="3">
        <v>44844</v>
      </c>
      <c r="G132" s="2">
        <v>22026375</v>
      </c>
      <c r="H132" s="2">
        <v>2235107</v>
      </c>
      <c r="I132" s="2">
        <v>1001803150</v>
      </c>
      <c r="J132" s="2" t="s">
        <v>205</v>
      </c>
      <c r="K132" s="10">
        <v>14617</v>
      </c>
      <c r="L132" s="10">
        <v>0</v>
      </c>
      <c r="M132" s="10">
        <v>14617</v>
      </c>
      <c r="N132" s="10">
        <v>1123</v>
      </c>
      <c r="O132" s="10">
        <f>Table1[[#This Row],[NET Amount]]-Table1[[#This Row],[Paid Amount]]</f>
        <v>13494</v>
      </c>
      <c r="P132" s="2" t="s">
        <v>23</v>
      </c>
      <c r="Q132" s="2" t="s">
        <v>24</v>
      </c>
      <c r="R132" s="16">
        <f>(Table1[[#This Row],[NET Amount]]-Table1[[#This Row],[Total Outstanding Amount]])/Table1[[#This Row],[NET Amount]]</f>
        <v>7.6828350550728605E-2</v>
      </c>
      <c r="S132" s="2" t="s">
        <v>20</v>
      </c>
    </row>
    <row r="133" spans="1:19" x14ac:dyDescent="0.3">
      <c r="A133" s="4">
        <v>131</v>
      </c>
      <c r="B133" s="2" t="s">
        <v>206</v>
      </c>
      <c r="C133" s="3">
        <v>44848</v>
      </c>
      <c r="D133" s="3" t="str">
        <f>TEXT(Table1[[#This Row],[Admission Date]],"MMMM")</f>
        <v>October</v>
      </c>
      <c r="E133" s="3">
        <v>44849</v>
      </c>
      <c r="F133" s="3">
        <v>44849</v>
      </c>
      <c r="G133" s="2">
        <v>22027259</v>
      </c>
      <c r="H133" s="2">
        <v>2236052</v>
      </c>
      <c r="I133" s="2">
        <v>1001804413</v>
      </c>
      <c r="J133" s="2" t="s">
        <v>207</v>
      </c>
      <c r="K133" s="10">
        <v>70678</v>
      </c>
      <c r="L133" s="10">
        <v>9389</v>
      </c>
      <c r="M133" s="10">
        <v>61289</v>
      </c>
      <c r="N133" s="10">
        <v>500</v>
      </c>
      <c r="O133" s="10">
        <f>Table1[[#This Row],[NET Amount]]-Table1[[#This Row],[Paid Amount]]</f>
        <v>60789</v>
      </c>
      <c r="P133" s="2" t="s">
        <v>23</v>
      </c>
      <c r="Q133" s="2" t="s">
        <v>30</v>
      </c>
      <c r="R133" s="16">
        <f>(Table1[[#This Row],[NET Amount]]-Table1[[#This Row],[Total Outstanding Amount]])/Table1[[#This Row],[NET Amount]]</f>
        <v>8.1580707794220823E-3</v>
      </c>
      <c r="S133" s="2" t="s">
        <v>77</v>
      </c>
    </row>
    <row r="134" spans="1:19" x14ac:dyDescent="0.3">
      <c r="A134" s="4">
        <v>132</v>
      </c>
      <c r="B134" s="2" t="s">
        <v>61</v>
      </c>
      <c r="C134" s="3">
        <v>44847</v>
      </c>
      <c r="D134" s="3" t="str">
        <f>TEXT(Table1[[#This Row],[Admission Date]],"MMMM")</f>
        <v>October</v>
      </c>
      <c r="E134" s="3">
        <v>44849</v>
      </c>
      <c r="F134" s="3">
        <v>44849</v>
      </c>
      <c r="G134" s="2">
        <v>22027147</v>
      </c>
      <c r="H134" s="2">
        <v>2235794</v>
      </c>
      <c r="I134" s="2">
        <v>1001804051</v>
      </c>
      <c r="J134" s="2" t="s">
        <v>208</v>
      </c>
      <c r="K134" s="10">
        <v>96000</v>
      </c>
      <c r="L134" s="10">
        <v>0</v>
      </c>
      <c r="M134" s="10">
        <v>96000</v>
      </c>
      <c r="N134" s="10">
        <v>1725</v>
      </c>
      <c r="O134" s="10">
        <f>Table1[[#This Row],[NET Amount]]-Table1[[#This Row],[Paid Amount]]</f>
        <v>94275</v>
      </c>
      <c r="P134" s="2" t="s">
        <v>23</v>
      </c>
      <c r="Q134" s="2" t="s">
        <v>42</v>
      </c>
      <c r="R134" s="16">
        <f>(Table1[[#This Row],[NET Amount]]-Table1[[#This Row],[Total Outstanding Amount]])/Table1[[#This Row],[NET Amount]]</f>
        <v>1.7968749999999999E-2</v>
      </c>
      <c r="S134" s="2" t="s">
        <v>43</v>
      </c>
    </row>
    <row r="135" spans="1:19" x14ac:dyDescent="0.3">
      <c r="A135" s="4">
        <v>133</v>
      </c>
      <c r="B135" s="2" t="s">
        <v>25</v>
      </c>
      <c r="C135" s="3">
        <v>44833</v>
      </c>
      <c r="D135" s="3" t="str">
        <f>TEXT(Table1[[#This Row],[Admission Date]],"MMMM")</f>
        <v>September</v>
      </c>
      <c r="E135" s="3">
        <v>44835</v>
      </c>
      <c r="F135" s="3">
        <v>44835</v>
      </c>
      <c r="G135" s="2">
        <v>22025169</v>
      </c>
      <c r="H135" s="2">
        <v>2233977</v>
      </c>
      <c r="I135" s="2">
        <v>10013540883</v>
      </c>
      <c r="J135" s="2" t="s">
        <v>209</v>
      </c>
      <c r="K135" s="10">
        <v>54254</v>
      </c>
      <c r="L135" s="10">
        <v>54254</v>
      </c>
      <c r="M135" s="10">
        <v>0</v>
      </c>
      <c r="N135" s="10">
        <v>0</v>
      </c>
      <c r="O135" s="10">
        <f>Table1[[#This Row],[NET Amount]]-Table1[[#This Row],[Paid Amount]]</f>
        <v>0</v>
      </c>
      <c r="P135" s="2" t="s">
        <v>18</v>
      </c>
      <c r="Q135" s="2" t="s">
        <v>90</v>
      </c>
      <c r="R135" s="16" t="e">
        <f>(Table1[[#This Row],[NET Amount]]-Table1[[#This Row],[Total Outstanding Amount]])/Table1[[#This Row],[NET Amount]]</f>
        <v>#DIV/0!</v>
      </c>
      <c r="S135" s="2" t="s">
        <v>70</v>
      </c>
    </row>
    <row r="136" spans="1:19" x14ac:dyDescent="0.3">
      <c r="A136" s="4">
        <v>134</v>
      </c>
      <c r="B136" s="2" t="s">
        <v>35</v>
      </c>
      <c r="C136" s="3">
        <v>44851</v>
      </c>
      <c r="D136" s="3" t="str">
        <f>TEXT(Table1[[#This Row],[Admission Date]],"MMMM")</f>
        <v>October</v>
      </c>
      <c r="E136" s="3">
        <v>44851</v>
      </c>
      <c r="F136" s="3">
        <v>44851</v>
      </c>
      <c r="G136" s="2">
        <v>22027362</v>
      </c>
      <c r="H136" s="2">
        <v>2236275</v>
      </c>
      <c r="I136" s="2">
        <v>10013480632</v>
      </c>
      <c r="J136" s="2" t="s">
        <v>210</v>
      </c>
      <c r="K136" s="10">
        <v>1610</v>
      </c>
      <c r="L136" s="10">
        <v>0</v>
      </c>
      <c r="M136" s="10">
        <v>1610</v>
      </c>
      <c r="N136" s="10">
        <v>1610</v>
      </c>
      <c r="O136" s="10">
        <f>Table1[[#This Row],[NET Amount]]-Table1[[#This Row],[Paid Amount]]</f>
        <v>0</v>
      </c>
      <c r="P136" s="2" t="s">
        <v>18</v>
      </c>
      <c r="Q136" s="2" t="s">
        <v>54</v>
      </c>
      <c r="R136" s="16">
        <f>(Table1[[#This Row],[NET Amount]]-Table1[[#This Row],[Total Outstanding Amount]])/Table1[[#This Row],[NET Amount]]</f>
        <v>1</v>
      </c>
      <c r="S136" s="2" t="s">
        <v>97</v>
      </c>
    </row>
    <row r="137" spans="1:19" x14ac:dyDescent="0.3">
      <c r="A137" s="4">
        <v>135</v>
      </c>
      <c r="B137" s="2" t="s">
        <v>113</v>
      </c>
      <c r="C137" s="3">
        <v>44851</v>
      </c>
      <c r="D137" s="3" t="str">
        <f>TEXT(Table1[[#This Row],[Admission Date]],"MMMM")</f>
        <v>October</v>
      </c>
      <c r="E137" s="3">
        <v>44851</v>
      </c>
      <c r="F137" s="3">
        <v>44851</v>
      </c>
      <c r="G137" s="2">
        <v>22027364</v>
      </c>
      <c r="H137" s="2">
        <v>2236282</v>
      </c>
      <c r="I137" s="2">
        <v>10013524248</v>
      </c>
      <c r="J137" s="2" t="s">
        <v>211</v>
      </c>
      <c r="K137" s="10">
        <v>1610</v>
      </c>
      <c r="L137" s="10">
        <v>0</v>
      </c>
      <c r="M137" s="10">
        <v>1610</v>
      </c>
      <c r="N137" s="10">
        <v>1610</v>
      </c>
      <c r="O137" s="10">
        <f>Table1[[#This Row],[NET Amount]]-Table1[[#This Row],[Paid Amount]]</f>
        <v>0</v>
      </c>
      <c r="P137" s="2" t="s">
        <v>18</v>
      </c>
      <c r="Q137" s="2" t="s">
        <v>54</v>
      </c>
      <c r="R137" s="16">
        <f>(Table1[[#This Row],[NET Amount]]-Table1[[#This Row],[Total Outstanding Amount]])/Table1[[#This Row],[NET Amount]]</f>
        <v>1</v>
      </c>
      <c r="S137" s="2" t="s">
        <v>97</v>
      </c>
    </row>
    <row r="138" spans="1:19" x14ac:dyDescent="0.3">
      <c r="A138" s="4">
        <v>136</v>
      </c>
      <c r="B138" s="2" t="s">
        <v>126</v>
      </c>
      <c r="C138" s="3">
        <v>44840</v>
      </c>
      <c r="D138" s="3" t="str">
        <f>TEXT(Table1[[#This Row],[Admission Date]],"MMMM")</f>
        <v>October</v>
      </c>
      <c r="E138" s="3">
        <v>44842</v>
      </c>
      <c r="F138" s="3">
        <v>44842</v>
      </c>
      <c r="G138" s="2">
        <v>22026144</v>
      </c>
      <c r="H138" s="2">
        <v>2234849</v>
      </c>
      <c r="I138" s="2">
        <v>1001802760</v>
      </c>
      <c r="J138" s="2" t="s">
        <v>212</v>
      </c>
      <c r="K138" s="10">
        <v>15152</v>
      </c>
      <c r="L138" s="10">
        <v>0</v>
      </c>
      <c r="M138" s="10">
        <v>15152</v>
      </c>
      <c r="N138" s="10">
        <v>15152</v>
      </c>
      <c r="O138" s="10">
        <f>Table1[[#This Row],[NET Amount]]-Table1[[#This Row],[Paid Amount]]</f>
        <v>0</v>
      </c>
      <c r="P138" s="2" t="s">
        <v>18</v>
      </c>
      <c r="Q138" s="2" t="s">
        <v>30</v>
      </c>
      <c r="R138" s="16">
        <f>(Table1[[#This Row],[NET Amount]]-Table1[[#This Row],[Total Outstanding Amount]])/Table1[[#This Row],[NET Amount]]</f>
        <v>1</v>
      </c>
      <c r="S138" s="2" t="s">
        <v>37</v>
      </c>
    </row>
    <row r="139" spans="1:19" x14ac:dyDescent="0.3">
      <c r="A139" s="4">
        <v>137</v>
      </c>
      <c r="B139" s="2" t="s">
        <v>35</v>
      </c>
      <c r="C139" s="3">
        <v>44842</v>
      </c>
      <c r="D139" s="3" t="str">
        <f>TEXT(Table1[[#This Row],[Admission Date]],"MMMM")</f>
        <v>October</v>
      </c>
      <c r="E139" s="3">
        <v>44842</v>
      </c>
      <c r="F139" s="3">
        <v>44842</v>
      </c>
      <c r="G139" s="2">
        <v>22026079</v>
      </c>
      <c r="H139" s="2">
        <v>2235126</v>
      </c>
      <c r="I139" s="2">
        <v>10013540183</v>
      </c>
      <c r="J139" s="2" t="s">
        <v>99</v>
      </c>
      <c r="K139" s="10">
        <v>1610</v>
      </c>
      <c r="L139" s="10">
        <v>0</v>
      </c>
      <c r="M139" s="10">
        <v>1610</v>
      </c>
      <c r="N139" s="10">
        <v>1610</v>
      </c>
      <c r="O139" s="10">
        <f>Table1[[#This Row],[NET Amount]]-Table1[[#This Row],[Paid Amount]]</f>
        <v>0</v>
      </c>
      <c r="P139" s="2" t="s">
        <v>18</v>
      </c>
      <c r="Q139" s="2" t="s">
        <v>54</v>
      </c>
      <c r="R139" s="16">
        <f>(Table1[[#This Row],[NET Amount]]-Table1[[#This Row],[Total Outstanding Amount]])/Table1[[#This Row],[NET Amount]]</f>
        <v>1</v>
      </c>
      <c r="S139" s="2" t="s">
        <v>97</v>
      </c>
    </row>
    <row r="140" spans="1:19" x14ac:dyDescent="0.3">
      <c r="A140" s="4">
        <v>138</v>
      </c>
      <c r="B140" s="2" t="s">
        <v>25</v>
      </c>
      <c r="C140" s="3">
        <v>44840</v>
      </c>
      <c r="D140" s="3" t="str">
        <f>TEXT(Table1[[#This Row],[Admission Date]],"MMMM")</f>
        <v>October</v>
      </c>
      <c r="E140" s="3">
        <v>44842</v>
      </c>
      <c r="F140" s="3">
        <v>44842</v>
      </c>
      <c r="G140" s="2">
        <v>22026134</v>
      </c>
      <c r="H140" s="2">
        <v>2234911</v>
      </c>
      <c r="I140" s="2">
        <v>1001802873</v>
      </c>
      <c r="J140" s="2" t="s">
        <v>213</v>
      </c>
      <c r="K140" s="10">
        <v>15159</v>
      </c>
      <c r="L140" s="10">
        <v>1991</v>
      </c>
      <c r="M140" s="10">
        <v>13168</v>
      </c>
      <c r="N140" s="10">
        <v>13168</v>
      </c>
      <c r="O140" s="10">
        <f>Table1[[#This Row],[NET Amount]]-Table1[[#This Row],[Paid Amount]]</f>
        <v>0</v>
      </c>
      <c r="P140" s="2" t="s">
        <v>18</v>
      </c>
      <c r="Q140" s="2" t="s">
        <v>19</v>
      </c>
      <c r="R140" s="16">
        <f>(Table1[[#This Row],[NET Amount]]-Table1[[#This Row],[Total Outstanding Amount]])/Table1[[#This Row],[NET Amount]]</f>
        <v>1</v>
      </c>
      <c r="S140" s="2" t="s">
        <v>37</v>
      </c>
    </row>
    <row r="141" spans="1:19" x14ac:dyDescent="0.3">
      <c r="A141" s="4">
        <v>139</v>
      </c>
      <c r="B141" s="2" t="s">
        <v>2244</v>
      </c>
      <c r="C141" s="3">
        <v>44851</v>
      </c>
      <c r="D141" s="3" t="str">
        <f>TEXT(Table1[[#This Row],[Admission Date]],"MMMM")</f>
        <v>October</v>
      </c>
      <c r="E141" s="3">
        <v>44857</v>
      </c>
      <c r="F141" s="3">
        <v>44857</v>
      </c>
      <c r="G141" s="2">
        <v>22028378</v>
      </c>
      <c r="H141" s="2">
        <v>2236405</v>
      </c>
      <c r="I141" s="2">
        <v>1001793874</v>
      </c>
      <c r="J141" s="2" t="s">
        <v>214</v>
      </c>
      <c r="K141" s="10">
        <v>40136</v>
      </c>
      <c r="L141" s="10">
        <v>0</v>
      </c>
      <c r="M141" s="10">
        <v>40136</v>
      </c>
      <c r="N141" s="10">
        <v>40136</v>
      </c>
      <c r="O141" s="10">
        <f>Table1[[#This Row],[NET Amount]]-Table1[[#This Row],[Paid Amount]]</f>
        <v>0</v>
      </c>
      <c r="P141" s="2" t="s">
        <v>18</v>
      </c>
      <c r="Q141" s="2" t="s">
        <v>30</v>
      </c>
      <c r="R141" s="16">
        <f>(Table1[[#This Row],[NET Amount]]-Table1[[#This Row],[Total Outstanding Amount]])/Table1[[#This Row],[NET Amount]]</f>
        <v>1</v>
      </c>
      <c r="S141" s="2" t="s">
        <v>20</v>
      </c>
    </row>
    <row r="142" spans="1:19" x14ac:dyDescent="0.3">
      <c r="A142" s="4">
        <v>140</v>
      </c>
      <c r="B142" s="2" t="s">
        <v>2246</v>
      </c>
      <c r="C142" s="3">
        <v>44855</v>
      </c>
      <c r="D142" s="3" t="str">
        <f>TEXT(Table1[[#This Row],[Admission Date]],"MMMM")</f>
        <v>October</v>
      </c>
      <c r="E142" s="3">
        <v>44858</v>
      </c>
      <c r="F142" s="3">
        <v>44858</v>
      </c>
      <c r="G142" s="2">
        <v>22028429</v>
      </c>
      <c r="H142" s="2">
        <v>2236936</v>
      </c>
      <c r="I142" s="2">
        <v>1001790494</v>
      </c>
      <c r="J142" s="2" t="s">
        <v>215</v>
      </c>
      <c r="K142" s="10">
        <v>25282</v>
      </c>
      <c r="L142" s="10">
        <v>0</v>
      </c>
      <c r="M142" s="10">
        <v>25282</v>
      </c>
      <c r="N142" s="10">
        <v>25282</v>
      </c>
      <c r="O142" s="10">
        <f>Table1[[#This Row],[NET Amount]]-Table1[[#This Row],[Paid Amount]]</f>
        <v>0</v>
      </c>
      <c r="P142" s="2" t="s">
        <v>18</v>
      </c>
      <c r="Q142" s="2" t="s">
        <v>24</v>
      </c>
      <c r="R142" s="16">
        <f>(Table1[[#This Row],[NET Amount]]-Table1[[#This Row],[Total Outstanding Amount]])/Table1[[#This Row],[NET Amount]]</f>
        <v>1</v>
      </c>
      <c r="S142" s="2" t="s">
        <v>27</v>
      </c>
    </row>
    <row r="143" spans="1:19" x14ac:dyDescent="0.3">
      <c r="A143" s="4">
        <v>141</v>
      </c>
      <c r="B143" s="2" t="s">
        <v>117</v>
      </c>
      <c r="C143" s="3">
        <v>44851</v>
      </c>
      <c r="D143" s="3" t="str">
        <f>TEXT(Table1[[#This Row],[Admission Date]],"MMMM")</f>
        <v>October</v>
      </c>
      <c r="E143" s="3">
        <v>44856</v>
      </c>
      <c r="F143" s="3">
        <v>44856</v>
      </c>
      <c r="G143" s="2">
        <v>22028204</v>
      </c>
      <c r="H143" s="2">
        <v>2236335</v>
      </c>
      <c r="I143" s="2">
        <v>10013543390</v>
      </c>
      <c r="J143" s="2" t="s">
        <v>216</v>
      </c>
      <c r="K143" s="10">
        <v>44005</v>
      </c>
      <c r="L143" s="10">
        <v>0</v>
      </c>
      <c r="M143" s="10">
        <v>44005</v>
      </c>
      <c r="N143" s="10">
        <v>44005</v>
      </c>
      <c r="O143" s="10">
        <f>Table1[[#This Row],[NET Amount]]-Table1[[#This Row],[Paid Amount]]</f>
        <v>0</v>
      </c>
      <c r="P143" s="2" t="s">
        <v>18</v>
      </c>
      <c r="Q143" s="2" t="s">
        <v>24</v>
      </c>
      <c r="R143" s="16">
        <f>(Table1[[#This Row],[NET Amount]]-Table1[[#This Row],[Total Outstanding Amount]])/Table1[[#This Row],[NET Amount]]</f>
        <v>1</v>
      </c>
      <c r="S143" s="2" t="s">
        <v>20</v>
      </c>
    </row>
    <row r="144" spans="1:19" x14ac:dyDescent="0.3">
      <c r="A144" s="4">
        <v>142</v>
      </c>
      <c r="B144" s="2" t="s">
        <v>152</v>
      </c>
      <c r="C144" s="3">
        <v>44860</v>
      </c>
      <c r="D144" s="3" t="str">
        <f>TEXT(Table1[[#This Row],[Admission Date]],"MMMM")</f>
        <v>October</v>
      </c>
      <c r="E144" s="3">
        <v>44865</v>
      </c>
      <c r="F144" s="3">
        <v>44865</v>
      </c>
      <c r="G144" s="2">
        <v>22029404</v>
      </c>
      <c r="H144" s="2">
        <v>2237539</v>
      </c>
      <c r="I144" s="2">
        <v>10013544633</v>
      </c>
      <c r="J144" s="2" t="s">
        <v>217</v>
      </c>
      <c r="K144" s="10">
        <v>125601</v>
      </c>
      <c r="L144" s="10">
        <v>0</v>
      </c>
      <c r="M144" s="10">
        <v>125601</v>
      </c>
      <c r="N144" s="10">
        <v>125601</v>
      </c>
      <c r="O144" s="10">
        <f>Table1[[#This Row],[NET Amount]]-Table1[[#This Row],[Paid Amount]]</f>
        <v>0</v>
      </c>
      <c r="P144" s="2" t="s">
        <v>18</v>
      </c>
      <c r="Q144" s="2" t="s">
        <v>24</v>
      </c>
      <c r="R144" s="16">
        <f>(Table1[[#This Row],[NET Amount]]-Table1[[#This Row],[Total Outstanding Amount]])/Table1[[#This Row],[NET Amount]]</f>
        <v>1</v>
      </c>
      <c r="S144" s="2" t="s">
        <v>32</v>
      </c>
    </row>
    <row r="145" spans="1:19" x14ac:dyDescent="0.3">
      <c r="A145" s="4">
        <v>143</v>
      </c>
      <c r="B145" s="2" t="s">
        <v>50</v>
      </c>
      <c r="C145" s="3">
        <v>44852</v>
      </c>
      <c r="D145" s="3" t="str">
        <f>TEXT(Table1[[#This Row],[Admission Date]],"MMMM")</f>
        <v>October</v>
      </c>
      <c r="E145" s="3">
        <v>44854</v>
      </c>
      <c r="F145" s="3">
        <v>44854</v>
      </c>
      <c r="G145" s="2">
        <v>22027827</v>
      </c>
      <c r="H145" s="2">
        <v>2236512</v>
      </c>
      <c r="I145" s="2">
        <v>1001803951</v>
      </c>
      <c r="J145" s="2" t="s">
        <v>218</v>
      </c>
      <c r="K145" s="10">
        <v>28490</v>
      </c>
      <c r="L145" s="10">
        <v>4123</v>
      </c>
      <c r="M145" s="10">
        <v>24367</v>
      </c>
      <c r="N145" s="10">
        <v>2820</v>
      </c>
      <c r="O145" s="10">
        <f>Table1[[#This Row],[NET Amount]]-Table1[[#This Row],[Paid Amount]]</f>
        <v>21547</v>
      </c>
      <c r="P145" s="2" t="s">
        <v>23</v>
      </c>
      <c r="Q145" s="2" t="s">
        <v>42</v>
      </c>
      <c r="R145" s="16">
        <f>(Table1[[#This Row],[NET Amount]]-Table1[[#This Row],[Total Outstanding Amount]])/Table1[[#This Row],[NET Amount]]</f>
        <v>0.11573029096729183</v>
      </c>
      <c r="S145" s="2" t="s">
        <v>37</v>
      </c>
    </row>
    <row r="146" spans="1:19" x14ac:dyDescent="0.3">
      <c r="A146" s="4">
        <v>144</v>
      </c>
      <c r="B146" s="2" t="s">
        <v>28</v>
      </c>
      <c r="C146" s="3">
        <v>44842</v>
      </c>
      <c r="D146" s="3" t="str">
        <f>TEXT(Table1[[#This Row],[Admission Date]],"MMMM")</f>
        <v>October</v>
      </c>
      <c r="E146" s="3">
        <v>44849</v>
      </c>
      <c r="F146" s="3">
        <v>44849</v>
      </c>
      <c r="G146" s="2">
        <v>22027233</v>
      </c>
      <c r="H146" s="2">
        <v>2235198</v>
      </c>
      <c r="I146" s="2">
        <v>10013538772</v>
      </c>
      <c r="J146" s="2" t="s">
        <v>219</v>
      </c>
      <c r="K146" s="10">
        <v>171943</v>
      </c>
      <c r="L146" s="10">
        <v>13406</v>
      </c>
      <c r="M146" s="10">
        <v>158537</v>
      </c>
      <c r="N146" s="10">
        <v>15964</v>
      </c>
      <c r="O146" s="10">
        <f>Table1[[#This Row],[NET Amount]]-Table1[[#This Row],[Paid Amount]]</f>
        <v>142573</v>
      </c>
      <c r="P146" s="2" t="s">
        <v>23</v>
      </c>
      <c r="Q146" s="2" t="s">
        <v>104</v>
      </c>
      <c r="R146" s="16">
        <f>(Table1[[#This Row],[NET Amount]]-Table1[[#This Row],[Total Outstanding Amount]])/Table1[[#This Row],[NET Amount]]</f>
        <v>0.10069573664191955</v>
      </c>
      <c r="S146" s="2" t="s">
        <v>95</v>
      </c>
    </row>
    <row r="147" spans="1:19" x14ac:dyDescent="0.3">
      <c r="A147" s="4">
        <v>145</v>
      </c>
      <c r="B147" s="2" t="s">
        <v>126</v>
      </c>
      <c r="C147" s="3">
        <v>44844</v>
      </c>
      <c r="D147" s="3" t="str">
        <f>TEXT(Table1[[#This Row],[Admission Date]],"MMMM")</f>
        <v>October</v>
      </c>
      <c r="E147" s="3">
        <v>44849</v>
      </c>
      <c r="F147" s="3">
        <v>44849</v>
      </c>
      <c r="G147" s="2">
        <v>22027212</v>
      </c>
      <c r="H147" s="2">
        <v>2235465</v>
      </c>
      <c r="I147" s="2">
        <v>10013542471</v>
      </c>
      <c r="J147" s="2" t="s">
        <v>220</v>
      </c>
      <c r="K147" s="10">
        <v>118887</v>
      </c>
      <c r="L147" s="10">
        <v>15505</v>
      </c>
      <c r="M147" s="10">
        <v>103382</v>
      </c>
      <c r="N147" s="10">
        <v>7390</v>
      </c>
      <c r="O147" s="10">
        <f>Table1[[#This Row],[NET Amount]]-Table1[[#This Row],[Paid Amount]]</f>
        <v>95992</v>
      </c>
      <c r="P147" s="2" t="s">
        <v>23</v>
      </c>
      <c r="Q147" s="2" t="s">
        <v>24</v>
      </c>
      <c r="R147" s="16">
        <f>(Table1[[#This Row],[NET Amount]]-Table1[[#This Row],[Total Outstanding Amount]])/Table1[[#This Row],[NET Amount]]</f>
        <v>7.1482463098024807E-2</v>
      </c>
      <c r="S147" s="2" t="s">
        <v>65</v>
      </c>
    </row>
    <row r="148" spans="1:19" x14ac:dyDescent="0.3">
      <c r="A148" s="4">
        <v>146</v>
      </c>
      <c r="B148" s="2" t="s">
        <v>75</v>
      </c>
      <c r="C148" s="3">
        <v>44839</v>
      </c>
      <c r="D148" s="3" t="str">
        <f>TEXT(Table1[[#This Row],[Admission Date]],"MMMM")</f>
        <v>October</v>
      </c>
      <c r="E148" s="3">
        <v>44845</v>
      </c>
      <c r="F148" s="3">
        <v>44845</v>
      </c>
      <c r="G148" s="2">
        <v>22026570</v>
      </c>
      <c r="H148" s="2">
        <v>2234801</v>
      </c>
      <c r="I148" s="2">
        <v>10013541681</v>
      </c>
      <c r="J148" s="2" t="s">
        <v>221</v>
      </c>
      <c r="K148" s="10">
        <v>88518</v>
      </c>
      <c r="L148" s="10">
        <v>0</v>
      </c>
      <c r="M148" s="10">
        <v>88518</v>
      </c>
      <c r="N148" s="10">
        <v>2832</v>
      </c>
      <c r="O148" s="10">
        <f>Table1[[#This Row],[NET Amount]]-Table1[[#This Row],[Paid Amount]]</f>
        <v>85686</v>
      </c>
      <c r="P148" s="2" t="s">
        <v>23</v>
      </c>
      <c r="Q148" s="2" t="s">
        <v>19</v>
      </c>
      <c r="R148" s="16">
        <f>(Table1[[#This Row],[NET Amount]]-Table1[[#This Row],[Total Outstanding Amount]])/Table1[[#This Row],[NET Amount]]</f>
        <v>3.1993492848912085E-2</v>
      </c>
      <c r="S148" s="2" t="s">
        <v>20</v>
      </c>
    </row>
    <row r="149" spans="1:19" x14ac:dyDescent="0.3">
      <c r="A149" s="4">
        <v>147</v>
      </c>
      <c r="B149" s="2" t="s">
        <v>25</v>
      </c>
      <c r="C149" s="3">
        <v>44861</v>
      </c>
      <c r="D149" s="3" t="str">
        <f>TEXT(Table1[[#This Row],[Admission Date]],"MMMM")</f>
        <v>October</v>
      </c>
      <c r="E149" s="3">
        <v>44861</v>
      </c>
      <c r="F149" s="3">
        <v>44861</v>
      </c>
      <c r="G149" s="2">
        <v>22028724</v>
      </c>
      <c r="H149" s="2">
        <v>2237618</v>
      </c>
      <c r="I149" s="2">
        <v>1001561182</v>
      </c>
      <c r="J149" s="2" t="s">
        <v>222</v>
      </c>
      <c r="K149" s="10">
        <v>2680</v>
      </c>
      <c r="L149" s="10">
        <v>0</v>
      </c>
      <c r="M149" s="10">
        <v>2680</v>
      </c>
      <c r="N149" s="10">
        <v>2680</v>
      </c>
      <c r="O149" s="10">
        <f>Table1[[#This Row],[NET Amount]]-Table1[[#This Row],[Paid Amount]]</f>
        <v>0</v>
      </c>
      <c r="P149" s="2" t="s">
        <v>18</v>
      </c>
      <c r="Q149" s="2" t="s">
        <v>54</v>
      </c>
      <c r="R149" s="16">
        <f>(Table1[[#This Row],[NET Amount]]-Table1[[#This Row],[Total Outstanding Amount]])/Table1[[#This Row],[NET Amount]]</f>
        <v>1</v>
      </c>
      <c r="S149" s="2" t="s">
        <v>97</v>
      </c>
    </row>
    <row r="150" spans="1:19" x14ac:dyDescent="0.3">
      <c r="A150" s="4">
        <v>148</v>
      </c>
      <c r="B150" s="2" t="s">
        <v>117</v>
      </c>
      <c r="C150" s="3">
        <v>44835</v>
      </c>
      <c r="D150" s="3" t="str">
        <f>TEXT(Table1[[#This Row],[Admission Date]],"MMMM")</f>
        <v>October</v>
      </c>
      <c r="E150" s="3">
        <v>44841</v>
      </c>
      <c r="F150" s="3">
        <v>44841</v>
      </c>
      <c r="G150" s="2">
        <v>22025996</v>
      </c>
      <c r="H150" s="2">
        <v>2234145</v>
      </c>
      <c r="I150" s="2">
        <v>10013420769</v>
      </c>
      <c r="J150" s="2" t="s">
        <v>223</v>
      </c>
      <c r="K150" s="10">
        <v>65096</v>
      </c>
      <c r="L150" s="10">
        <v>0</v>
      </c>
      <c r="M150" s="10">
        <v>65096</v>
      </c>
      <c r="N150" s="10">
        <v>65096</v>
      </c>
      <c r="O150" s="10">
        <f>Table1[[#This Row],[NET Amount]]-Table1[[#This Row],[Paid Amount]]</f>
        <v>0</v>
      </c>
      <c r="P150" s="2" t="s">
        <v>18</v>
      </c>
      <c r="Q150" s="2" t="s">
        <v>19</v>
      </c>
      <c r="R150" s="16">
        <f>(Table1[[#This Row],[NET Amount]]-Table1[[#This Row],[Total Outstanding Amount]])/Table1[[#This Row],[NET Amount]]</f>
        <v>1</v>
      </c>
      <c r="S150" s="2" t="s">
        <v>27</v>
      </c>
    </row>
    <row r="151" spans="1:19" x14ac:dyDescent="0.3">
      <c r="A151" s="4">
        <v>149</v>
      </c>
      <c r="B151" s="2" t="s">
        <v>155</v>
      </c>
      <c r="C151" s="3">
        <v>44846</v>
      </c>
      <c r="D151" s="3" t="str">
        <f>TEXT(Table1[[#This Row],[Admission Date]],"MMMM")</f>
        <v>October</v>
      </c>
      <c r="E151" s="3">
        <v>44846</v>
      </c>
      <c r="F151" s="3">
        <v>44846</v>
      </c>
      <c r="G151" s="2">
        <v>22026813</v>
      </c>
      <c r="H151" s="2">
        <v>2235776</v>
      </c>
      <c r="I151" s="2">
        <v>1000915662</v>
      </c>
      <c r="J151" s="2" t="s">
        <v>188</v>
      </c>
      <c r="K151" s="10">
        <v>3070</v>
      </c>
      <c r="L151" s="10">
        <v>0</v>
      </c>
      <c r="M151" s="10">
        <v>3070</v>
      </c>
      <c r="N151" s="10">
        <v>3070</v>
      </c>
      <c r="O151" s="10">
        <f>Table1[[#This Row],[NET Amount]]-Table1[[#This Row],[Paid Amount]]</f>
        <v>0</v>
      </c>
      <c r="P151" s="2" t="s">
        <v>18</v>
      </c>
      <c r="Q151" s="2" t="s">
        <v>54</v>
      </c>
      <c r="R151" s="16">
        <f>(Table1[[#This Row],[NET Amount]]-Table1[[#This Row],[Total Outstanding Amount]])/Table1[[#This Row],[NET Amount]]</f>
        <v>1</v>
      </c>
      <c r="S151" s="2" t="s">
        <v>97</v>
      </c>
    </row>
    <row r="152" spans="1:19" x14ac:dyDescent="0.3">
      <c r="A152" s="4">
        <v>150</v>
      </c>
      <c r="B152" s="2" t="s">
        <v>25</v>
      </c>
      <c r="C152" s="3">
        <v>44847</v>
      </c>
      <c r="D152" s="3" t="str">
        <f>TEXT(Table1[[#This Row],[Admission Date]],"MMMM")</f>
        <v>October</v>
      </c>
      <c r="E152" s="3">
        <v>44848</v>
      </c>
      <c r="F152" s="3">
        <v>44848</v>
      </c>
      <c r="G152" s="2">
        <v>22026960</v>
      </c>
      <c r="H152" s="2">
        <v>2235862</v>
      </c>
      <c r="I152" s="2">
        <v>10013504859</v>
      </c>
      <c r="J152" s="2" t="s">
        <v>224</v>
      </c>
      <c r="K152" s="10">
        <v>69926</v>
      </c>
      <c r="L152" s="10">
        <v>5678</v>
      </c>
      <c r="M152" s="10">
        <v>64248</v>
      </c>
      <c r="N152" s="10">
        <v>64248</v>
      </c>
      <c r="O152" s="10">
        <f>Table1[[#This Row],[NET Amount]]-Table1[[#This Row],[Paid Amount]]</f>
        <v>0</v>
      </c>
      <c r="P152" s="2" t="s">
        <v>18</v>
      </c>
      <c r="Q152" s="2" t="s">
        <v>225</v>
      </c>
      <c r="R152" s="16">
        <f>(Table1[[#This Row],[NET Amount]]-Table1[[#This Row],[Total Outstanding Amount]])/Table1[[#This Row],[NET Amount]]</f>
        <v>1</v>
      </c>
      <c r="S152" s="2" t="s">
        <v>20</v>
      </c>
    </row>
    <row r="153" spans="1:19" x14ac:dyDescent="0.3">
      <c r="A153" s="4">
        <v>151</v>
      </c>
      <c r="B153" s="2" t="s">
        <v>75</v>
      </c>
      <c r="C153" s="3">
        <v>44848</v>
      </c>
      <c r="D153" s="3" t="str">
        <f>TEXT(Table1[[#This Row],[Admission Date]],"MMMM")</f>
        <v>October</v>
      </c>
      <c r="E153" s="3">
        <v>44856</v>
      </c>
      <c r="F153" s="3">
        <v>44856</v>
      </c>
      <c r="G153" s="2">
        <v>22028215</v>
      </c>
      <c r="H153" s="2">
        <v>2235995</v>
      </c>
      <c r="I153" s="2">
        <v>10013543048</v>
      </c>
      <c r="J153" s="2" t="s">
        <v>226</v>
      </c>
      <c r="K153" s="10">
        <v>160006</v>
      </c>
      <c r="L153" s="10">
        <v>0</v>
      </c>
      <c r="M153" s="10">
        <v>160006</v>
      </c>
      <c r="N153" s="10">
        <v>1731</v>
      </c>
      <c r="O153" s="10">
        <f>Table1[[#This Row],[NET Amount]]-Table1[[#This Row],[Paid Amount]]</f>
        <v>158275</v>
      </c>
      <c r="P153" s="2" t="s">
        <v>23</v>
      </c>
      <c r="Q153" s="2" t="s">
        <v>30</v>
      </c>
      <c r="R153" s="16">
        <f>(Table1[[#This Row],[NET Amount]]-Table1[[#This Row],[Total Outstanding Amount]])/Table1[[#This Row],[NET Amount]]</f>
        <v>1.0818344312088297E-2</v>
      </c>
      <c r="S153" s="2" t="s">
        <v>20</v>
      </c>
    </row>
    <row r="154" spans="1:19" x14ac:dyDescent="0.3">
      <c r="A154" s="4">
        <v>152</v>
      </c>
      <c r="B154" s="2" t="s">
        <v>2254</v>
      </c>
      <c r="C154" s="3">
        <v>44833</v>
      </c>
      <c r="D154" s="3" t="str">
        <f>TEXT(Table1[[#This Row],[Admission Date]],"MMMM")</f>
        <v>September</v>
      </c>
      <c r="E154" s="3">
        <v>44838</v>
      </c>
      <c r="F154" s="3">
        <v>44838</v>
      </c>
      <c r="G154" s="2">
        <v>22025501</v>
      </c>
      <c r="H154" s="2">
        <v>2233871</v>
      </c>
      <c r="I154" s="2">
        <v>1001720080</v>
      </c>
      <c r="J154" s="2" t="s">
        <v>227</v>
      </c>
      <c r="K154" s="10">
        <v>70431</v>
      </c>
      <c r="L154" s="10">
        <v>6312</v>
      </c>
      <c r="M154" s="10">
        <v>64119</v>
      </c>
      <c r="N154" s="10">
        <v>5586</v>
      </c>
      <c r="O154" s="10">
        <f>Table1[[#This Row],[NET Amount]]-Table1[[#This Row],[Paid Amount]]</f>
        <v>58533</v>
      </c>
      <c r="P154" s="2" t="s">
        <v>23</v>
      </c>
      <c r="Q154" s="2" t="s">
        <v>24</v>
      </c>
      <c r="R154" s="16">
        <f>(Table1[[#This Row],[NET Amount]]-Table1[[#This Row],[Total Outstanding Amount]])/Table1[[#This Row],[NET Amount]]</f>
        <v>8.7119262621063953E-2</v>
      </c>
      <c r="S154" s="2" t="s">
        <v>20</v>
      </c>
    </row>
    <row r="155" spans="1:19" x14ac:dyDescent="0.3">
      <c r="A155" s="4">
        <v>153</v>
      </c>
      <c r="B155" s="2" t="s">
        <v>35</v>
      </c>
      <c r="C155" s="3">
        <v>44841</v>
      </c>
      <c r="D155" s="3" t="str">
        <f>TEXT(Table1[[#This Row],[Admission Date]],"MMMM")</f>
        <v>October</v>
      </c>
      <c r="E155" s="3">
        <v>44847</v>
      </c>
      <c r="F155" s="3">
        <v>44847</v>
      </c>
      <c r="G155" s="2">
        <v>22026879</v>
      </c>
      <c r="H155" s="2">
        <v>2235087</v>
      </c>
      <c r="I155" s="2">
        <v>10013507991</v>
      </c>
      <c r="J155" s="2" t="s">
        <v>228</v>
      </c>
      <c r="K155" s="10">
        <v>118761</v>
      </c>
      <c r="L155" s="10">
        <v>0</v>
      </c>
      <c r="M155" s="10">
        <v>118761</v>
      </c>
      <c r="N155" s="10">
        <v>118761</v>
      </c>
      <c r="O155" s="10">
        <f>Table1[[#This Row],[NET Amount]]-Table1[[#This Row],[Paid Amount]]</f>
        <v>0</v>
      </c>
      <c r="P155" s="2" t="s">
        <v>18</v>
      </c>
      <c r="Q155" s="2" t="s">
        <v>30</v>
      </c>
      <c r="R155" s="16">
        <f>(Table1[[#This Row],[NET Amount]]-Table1[[#This Row],[Total Outstanding Amount]])/Table1[[#This Row],[NET Amount]]</f>
        <v>1</v>
      </c>
      <c r="S155" s="2" t="s">
        <v>20</v>
      </c>
    </row>
    <row r="156" spans="1:19" x14ac:dyDescent="0.3">
      <c r="A156" s="4">
        <v>154</v>
      </c>
      <c r="B156" s="2" t="s">
        <v>35</v>
      </c>
      <c r="C156" s="3">
        <v>44843</v>
      </c>
      <c r="D156" s="3" t="str">
        <f>TEXT(Table1[[#This Row],[Admission Date]],"MMMM")</f>
        <v>October</v>
      </c>
      <c r="E156" s="3">
        <v>44845</v>
      </c>
      <c r="F156" s="3">
        <v>44845</v>
      </c>
      <c r="G156" s="2">
        <v>22026596</v>
      </c>
      <c r="H156" s="2">
        <v>2235299</v>
      </c>
      <c r="I156" s="2">
        <v>1001803435</v>
      </c>
      <c r="J156" s="2" t="s">
        <v>229</v>
      </c>
      <c r="K156" s="10">
        <v>3984</v>
      </c>
      <c r="L156" s="10">
        <v>0</v>
      </c>
      <c r="M156" s="10">
        <v>3984</v>
      </c>
      <c r="N156" s="10">
        <v>3984</v>
      </c>
      <c r="O156" s="10">
        <f>Table1[[#This Row],[NET Amount]]-Table1[[#This Row],[Paid Amount]]</f>
        <v>0</v>
      </c>
      <c r="P156" s="2" t="s">
        <v>18</v>
      </c>
      <c r="Q156" s="2" t="s">
        <v>24</v>
      </c>
      <c r="R156" s="16">
        <f>(Table1[[#This Row],[NET Amount]]-Table1[[#This Row],[Total Outstanding Amount]])/Table1[[#This Row],[NET Amount]]</f>
        <v>1</v>
      </c>
      <c r="S156" s="2" t="s">
        <v>37</v>
      </c>
    </row>
    <row r="157" spans="1:19" x14ac:dyDescent="0.3">
      <c r="A157" s="4">
        <v>155</v>
      </c>
      <c r="B157" s="2" t="s">
        <v>2254</v>
      </c>
      <c r="C157" s="3">
        <v>44847</v>
      </c>
      <c r="D157" s="3" t="str">
        <f>TEXT(Table1[[#This Row],[Admission Date]],"MMMM")</f>
        <v>October</v>
      </c>
      <c r="E157" s="3">
        <v>44849</v>
      </c>
      <c r="F157" s="3">
        <v>44849</v>
      </c>
      <c r="G157" s="2">
        <v>22027160</v>
      </c>
      <c r="H157" s="2">
        <v>2235822</v>
      </c>
      <c r="I157" s="2">
        <v>1001804054</v>
      </c>
      <c r="J157" s="2" t="s">
        <v>230</v>
      </c>
      <c r="K157" s="10">
        <v>78278</v>
      </c>
      <c r="L157" s="10">
        <v>10389</v>
      </c>
      <c r="M157" s="10">
        <v>67889</v>
      </c>
      <c r="N157" s="10">
        <v>1500</v>
      </c>
      <c r="O157" s="10">
        <f>Table1[[#This Row],[NET Amount]]-Table1[[#This Row],[Paid Amount]]</f>
        <v>66389</v>
      </c>
      <c r="P157" s="2" t="s">
        <v>23</v>
      </c>
      <c r="Q157" s="2" t="s">
        <v>24</v>
      </c>
      <c r="R157" s="16">
        <f>(Table1[[#This Row],[NET Amount]]-Table1[[#This Row],[Total Outstanding Amount]])/Table1[[#This Row],[NET Amount]]</f>
        <v>2.2094890188395763E-2</v>
      </c>
      <c r="S157" s="2" t="s">
        <v>43</v>
      </c>
    </row>
    <row r="158" spans="1:19" x14ac:dyDescent="0.3">
      <c r="A158" s="4">
        <v>156</v>
      </c>
      <c r="B158" s="2" t="s">
        <v>25</v>
      </c>
      <c r="C158" s="3">
        <v>44847</v>
      </c>
      <c r="D158" s="3" t="str">
        <f>TEXT(Table1[[#This Row],[Admission Date]],"MMMM")</f>
        <v>October</v>
      </c>
      <c r="E158" s="3">
        <v>44850</v>
      </c>
      <c r="F158" s="3">
        <v>44850</v>
      </c>
      <c r="G158" s="2">
        <v>22027329</v>
      </c>
      <c r="H158" s="2">
        <v>2235846</v>
      </c>
      <c r="I158" s="2">
        <v>1001800578</v>
      </c>
      <c r="J158" s="2" t="s">
        <v>231</v>
      </c>
      <c r="K158" s="10">
        <v>38326</v>
      </c>
      <c r="L158" s="10">
        <v>3750</v>
      </c>
      <c r="M158" s="10">
        <v>34576</v>
      </c>
      <c r="N158" s="10">
        <v>34576</v>
      </c>
      <c r="O158" s="10">
        <f>Table1[[#This Row],[NET Amount]]-Table1[[#This Row],[Paid Amount]]</f>
        <v>0</v>
      </c>
      <c r="P158" s="2" t="s">
        <v>18</v>
      </c>
      <c r="Q158" s="2" t="s">
        <v>24</v>
      </c>
      <c r="R158" s="16">
        <f>(Table1[[#This Row],[NET Amount]]-Table1[[#This Row],[Total Outstanding Amount]])/Table1[[#This Row],[NET Amount]]</f>
        <v>1</v>
      </c>
      <c r="S158" s="2" t="s">
        <v>20</v>
      </c>
    </row>
    <row r="159" spans="1:19" x14ac:dyDescent="0.3">
      <c r="A159" s="4">
        <v>157</v>
      </c>
      <c r="B159" s="2" t="s">
        <v>117</v>
      </c>
      <c r="C159" s="3">
        <v>44863</v>
      </c>
      <c r="D159" s="3" t="str">
        <f>TEXT(Table1[[#This Row],[Admission Date]],"MMMM")</f>
        <v>October</v>
      </c>
      <c r="E159" s="3">
        <v>44863</v>
      </c>
      <c r="F159" s="3">
        <v>44863</v>
      </c>
      <c r="G159" s="2">
        <v>22028996</v>
      </c>
      <c r="H159" s="2">
        <v>2237912</v>
      </c>
      <c r="I159" s="2">
        <v>1000891454</v>
      </c>
      <c r="J159" s="2" t="s">
        <v>232</v>
      </c>
      <c r="K159" s="10">
        <v>2064</v>
      </c>
      <c r="L159" s="10">
        <v>0</v>
      </c>
      <c r="M159" s="10">
        <v>2064</v>
      </c>
      <c r="N159" s="10">
        <v>2064</v>
      </c>
      <c r="O159" s="10">
        <f>Table1[[#This Row],[NET Amount]]-Table1[[#This Row],[Paid Amount]]</f>
        <v>0</v>
      </c>
      <c r="P159" s="2" t="s">
        <v>18</v>
      </c>
      <c r="Q159" s="2" t="s">
        <v>54</v>
      </c>
      <c r="R159" s="16">
        <f>(Table1[[#This Row],[NET Amount]]-Table1[[#This Row],[Total Outstanding Amount]])/Table1[[#This Row],[NET Amount]]</f>
        <v>1</v>
      </c>
      <c r="S159" s="2" t="s">
        <v>97</v>
      </c>
    </row>
    <row r="160" spans="1:19" x14ac:dyDescent="0.3">
      <c r="A160" s="4">
        <v>158</v>
      </c>
      <c r="B160" s="2" t="s">
        <v>2244</v>
      </c>
      <c r="C160" s="3">
        <v>44865</v>
      </c>
      <c r="D160" s="3" t="str">
        <f>TEXT(Table1[[#This Row],[Admission Date]],"MMMM")</f>
        <v>October</v>
      </c>
      <c r="E160" s="3">
        <v>44865</v>
      </c>
      <c r="F160" s="3">
        <v>44865</v>
      </c>
      <c r="G160" s="2">
        <v>22029371</v>
      </c>
      <c r="H160" s="2">
        <v>2238231</v>
      </c>
      <c r="I160" s="2">
        <v>1001758739</v>
      </c>
      <c r="J160" s="2" t="s">
        <v>233</v>
      </c>
      <c r="K160" s="10">
        <v>2560</v>
      </c>
      <c r="L160" s="10">
        <v>0</v>
      </c>
      <c r="M160" s="10">
        <v>2560</v>
      </c>
      <c r="N160" s="10">
        <v>2560</v>
      </c>
      <c r="O160" s="10">
        <f>Table1[[#This Row],[NET Amount]]-Table1[[#This Row],[Paid Amount]]</f>
        <v>0</v>
      </c>
      <c r="P160" s="2" t="s">
        <v>18</v>
      </c>
      <c r="Q160" s="2" t="s">
        <v>54</v>
      </c>
      <c r="R160" s="16">
        <f>(Table1[[#This Row],[NET Amount]]-Table1[[#This Row],[Total Outstanding Amount]])/Table1[[#This Row],[NET Amount]]</f>
        <v>1</v>
      </c>
      <c r="S160" s="2" t="s">
        <v>97</v>
      </c>
    </row>
    <row r="161" spans="1:19" x14ac:dyDescent="0.3">
      <c r="A161" s="4">
        <v>159</v>
      </c>
      <c r="B161" s="2" t="s">
        <v>2255</v>
      </c>
      <c r="C161" s="3">
        <v>44831</v>
      </c>
      <c r="D161" s="3" t="str">
        <f>TEXT(Table1[[#This Row],[Admission Date]],"MMMM")</f>
        <v>September</v>
      </c>
      <c r="E161" s="3">
        <v>44836</v>
      </c>
      <c r="F161" s="3">
        <v>44836</v>
      </c>
      <c r="G161" s="2">
        <v>22025318</v>
      </c>
      <c r="H161" s="2">
        <v>2233627</v>
      </c>
      <c r="I161" s="2">
        <v>1001801043</v>
      </c>
      <c r="J161" s="2" t="s">
        <v>234</v>
      </c>
      <c r="K161" s="10">
        <v>60427</v>
      </c>
      <c r="L161" s="10">
        <v>4188</v>
      </c>
      <c r="M161" s="10">
        <v>56239</v>
      </c>
      <c r="N161" s="10">
        <v>6500</v>
      </c>
      <c r="O161" s="10">
        <f>Table1[[#This Row],[NET Amount]]-Table1[[#This Row],[Paid Amount]]</f>
        <v>49739</v>
      </c>
      <c r="P161" s="2" t="s">
        <v>23</v>
      </c>
      <c r="Q161" s="2" t="s">
        <v>30</v>
      </c>
      <c r="R161" s="16">
        <f>(Table1[[#This Row],[NET Amount]]-Table1[[#This Row],[Total Outstanding Amount]])/Table1[[#This Row],[NET Amount]]</f>
        <v>0.1155781575063568</v>
      </c>
      <c r="S161" s="2" t="s">
        <v>20</v>
      </c>
    </row>
    <row r="162" spans="1:19" x14ac:dyDescent="0.3">
      <c r="A162" s="4">
        <v>160</v>
      </c>
      <c r="B162" s="2" t="s">
        <v>45</v>
      </c>
      <c r="C162" s="3">
        <v>44834</v>
      </c>
      <c r="D162" s="3" t="str">
        <f>TEXT(Table1[[#This Row],[Admission Date]],"MMMM")</f>
        <v>September</v>
      </c>
      <c r="E162" s="3">
        <v>44836</v>
      </c>
      <c r="F162" s="3">
        <v>44836</v>
      </c>
      <c r="G162" s="2">
        <v>22025291</v>
      </c>
      <c r="H162" s="2">
        <v>2234023</v>
      </c>
      <c r="I162" s="2">
        <v>1001801609</v>
      </c>
      <c r="J162" s="2" t="s">
        <v>235</v>
      </c>
      <c r="K162" s="10">
        <v>84305</v>
      </c>
      <c r="L162" s="10">
        <v>2344</v>
      </c>
      <c r="M162" s="10">
        <v>81961</v>
      </c>
      <c r="N162" s="10">
        <v>13189</v>
      </c>
      <c r="O162" s="10">
        <f>Table1[[#This Row],[NET Amount]]-Table1[[#This Row],[Paid Amount]]</f>
        <v>68772</v>
      </c>
      <c r="P162" s="2" t="s">
        <v>23</v>
      </c>
      <c r="Q162" s="2" t="s">
        <v>52</v>
      </c>
      <c r="R162" s="16">
        <f>(Table1[[#This Row],[NET Amount]]-Table1[[#This Row],[Total Outstanding Amount]])/Table1[[#This Row],[NET Amount]]</f>
        <v>0.16091799758421688</v>
      </c>
      <c r="S162" s="2" t="s">
        <v>27</v>
      </c>
    </row>
    <row r="163" spans="1:19" x14ac:dyDescent="0.3">
      <c r="A163" s="4">
        <v>161</v>
      </c>
      <c r="B163" s="2" t="s">
        <v>126</v>
      </c>
      <c r="C163" s="3">
        <v>44853</v>
      </c>
      <c r="D163" s="3" t="str">
        <f>TEXT(Table1[[#This Row],[Admission Date]],"MMMM")</f>
        <v>October</v>
      </c>
      <c r="E163" s="3">
        <v>44855</v>
      </c>
      <c r="F163" s="3">
        <v>44855</v>
      </c>
      <c r="G163" s="2">
        <v>22028015</v>
      </c>
      <c r="H163" s="2">
        <v>2236700</v>
      </c>
      <c r="I163" s="2">
        <v>1001805321</v>
      </c>
      <c r="J163" s="2" t="s">
        <v>236</v>
      </c>
      <c r="K163" s="10">
        <v>48297</v>
      </c>
      <c r="L163" s="10">
        <v>6646</v>
      </c>
      <c r="M163" s="10">
        <v>41651</v>
      </c>
      <c r="N163" s="10">
        <v>7319</v>
      </c>
      <c r="O163" s="10">
        <f>Table1[[#This Row],[NET Amount]]-Table1[[#This Row],[Paid Amount]]</f>
        <v>34332</v>
      </c>
      <c r="P163" s="2" t="s">
        <v>23</v>
      </c>
      <c r="Q163" s="2" t="s">
        <v>104</v>
      </c>
      <c r="R163" s="16">
        <f>(Table1[[#This Row],[NET Amount]]-Table1[[#This Row],[Total Outstanding Amount]])/Table1[[#This Row],[NET Amount]]</f>
        <v>0.17572207149888358</v>
      </c>
      <c r="S163" s="2" t="s">
        <v>20</v>
      </c>
    </row>
    <row r="164" spans="1:19" x14ac:dyDescent="0.3">
      <c r="A164" s="4">
        <v>162</v>
      </c>
      <c r="B164" s="2" t="s">
        <v>25</v>
      </c>
      <c r="C164" s="3">
        <v>44856</v>
      </c>
      <c r="D164" s="3" t="str">
        <f>TEXT(Table1[[#This Row],[Admission Date]],"MMMM")</f>
        <v>October</v>
      </c>
      <c r="E164" s="3">
        <v>44856</v>
      </c>
      <c r="F164" s="3">
        <v>44856</v>
      </c>
      <c r="G164" s="2">
        <v>22028119</v>
      </c>
      <c r="H164" s="2">
        <v>2236997</v>
      </c>
      <c r="I164" s="2">
        <v>10013407139</v>
      </c>
      <c r="J164" s="2" t="s">
        <v>237</v>
      </c>
      <c r="K164" s="10">
        <v>2844</v>
      </c>
      <c r="L164" s="10">
        <v>310</v>
      </c>
      <c r="M164" s="10">
        <v>2534</v>
      </c>
      <c r="N164" s="10">
        <v>2534</v>
      </c>
      <c r="O164" s="10">
        <f>Table1[[#This Row],[NET Amount]]-Table1[[#This Row],[Paid Amount]]</f>
        <v>0</v>
      </c>
      <c r="P164" s="2" t="s">
        <v>18</v>
      </c>
      <c r="Q164" s="2" t="s">
        <v>54</v>
      </c>
      <c r="R164" s="16">
        <f>(Table1[[#This Row],[NET Amount]]-Table1[[#This Row],[Total Outstanding Amount]])/Table1[[#This Row],[NET Amount]]</f>
        <v>1</v>
      </c>
      <c r="S164" s="2" t="s">
        <v>97</v>
      </c>
    </row>
    <row r="165" spans="1:19" x14ac:dyDescent="0.3">
      <c r="A165" s="4">
        <v>163</v>
      </c>
      <c r="B165" s="2" t="s">
        <v>2256</v>
      </c>
      <c r="C165" s="3">
        <v>44856</v>
      </c>
      <c r="D165" s="3" t="str">
        <f>TEXT(Table1[[#This Row],[Admission Date]],"MMMM")</f>
        <v>October</v>
      </c>
      <c r="E165" s="3">
        <v>44856</v>
      </c>
      <c r="F165" s="3">
        <v>44856</v>
      </c>
      <c r="G165" s="2">
        <v>22028275</v>
      </c>
      <c r="H165" s="2">
        <v>2237064</v>
      </c>
      <c r="I165" s="2">
        <v>1001658205</v>
      </c>
      <c r="J165" s="2" t="s">
        <v>238</v>
      </c>
      <c r="K165" s="10">
        <v>2950</v>
      </c>
      <c r="L165" s="10">
        <v>0</v>
      </c>
      <c r="M165" s="10">
        <v>2950</v>
      </c>
      <c r="N165" s="10">
        <v>319</v>
      </c>
      <c r="O165" s="10">
        <f>Table1[[#This Row],[NET Amount]]-Table1[[#This Row],[Paid Amount]]</f>
        <v>2631</v>
      </c>
      <c r="P165" s="2" t="s">
        <v>23</v>
      </c>
      <c r="Q165" s="2" t="s">
        <v>54</v>
      </c>
      <c r="R165" s="16">
        <f>(Table1[[#This Row],[NET Amount]]-Table1[[#This Row],[Total Outstanding Amount]])/Table1[[#This Row],[NET Amount]]</f>
        <v>0.10813559322033899</v>
      </c>
      <c r="S165" s="2" t="s">
        <v>97</v>
      </c>
    </row>
    <row r="166" spans="1:19" x14ac:dyDescent="0.3">
      <c r="A166" s="4">
        <v>164</v>
      </c>
      <c r="B166" s="2" t="s">
        <v>2250</v>
      </c>
      <c r="C166" s="3">
        <v>44846</v>
      </c>
      <c r="D166" s="3" t="str">
        <f>TEXT(Table1[[#This Row],[Admission Date]],"MMMM")</f>
        <v>October</v>
      </c>
      <c r="E166" s="3">
        <v>44848</v>
      </c>
      <c r="F166" s="3">
        <v>44848</v>
      </c>
      <c r="G166" s="2">
        <v>22027021</v>
      </c>
      <c r="H166" s="2">
        <v>2235695</v>
      </c>
      <c r="I166" s="2">
        <v>1001803946</v>
      </c>
      <c r="J166" s="2" t="s">
        <v>239</v>
      </c>
      <c r="K166" s="10">
        <v>43596</v>
      </c>
      <c r="L166" s="10">
        <v>4989</v>
      </c>
      <c r="M166" s="10">
        <v>38607</v>
      </c>
      <c r="N166" s="10">
        <v>800</v>
      </c>
      <c r="O166" s="10">
        <f>Table1[[#This Row],[NET Amount]]-Table1[[#This Row],[Paid Amount]]</f>
        <v>37807</v>
      </c>
      <c r="P166" s="2" t="s">
        <v>23</v>
      </c>
      <c r="Q166" s="2" t="s">
        <v>19</v>
      </c>
      <c r="R166" s="16">
        <f>(Table1[[#This Row],[NET Amount]]-Table1[[#This Row],[Total Outstanding Amount]])/Table1[[#This Row],[NET Amount]]</f>
        <v>2.0721630792343359E-2</v>
      </c>
      <c r="S166" s="2" t="s">
        <v>20</v>
      </c>
    </row>
    <row r="167" spans="1:19" x14ac:dyDescent="0.3">
      <c r="A167" s="4">
        <v>165</v>
      </c>
      <c r="B167" s="2" t="s">
        <v>25</v>
      </c>
      <c r="C167" s="3">
        <v>44849</v>
      </c>
      <c r="D167" s="3" t="str">
        <f>TEXT(Table1[[#This Row],[Admission Date]],"MMMM")</f>
        <v>October</v>
      </c>
      <c r="E167" s="3">
        <v>44849</v>
      </c>
      <c r="F167" s="3">
        <v>44849</v>
      </c>
      <c r="G167" s="2">
        <v>22027204</v>
      </c>
      <c r="H167" s="2">
        <v>2236126</v>
      </c>
      <c r="I167" s="2">
        <v>10013507561</v>
      </c>
      <c r="J167" s="2" t="s">
        <v>240</v>
      </c>
      <c r="K167" s="10">
        <v>3729</v>
      </c>
      <c r="L167" s="10">
        <v>290</v>
      </c>
      <c r="M167" s="10">
        <v>3439</v>
      </c>
      <c r="N167" s="10">
        <v>3439</v>
      </c>
      <c r="O167" s="10">
        <f>Table1[[#This Row],[NET Amount]]-Table1[[#This Row],[Paid Amount]]</f>
        <v>0</v>
      </c>
      <c r="P167" s="2" t="s">
        <v>18</v>
      </c>
      <c r="Q167" s="2" t="s">
        <v>54</v>
      </c>
      <c r="R167" s="16">
        <f>(Table1[[#This Row],[NET Amount]]-Table1[[#This Row],[Total Outstanding Amount]])/Table1[[#This Row],[NET Amount]]</f>
        <v>1</v>
      </c>
      <c r="S167" s="2" t="s">
        <v>97</v>
      </c>
    </row>
    <row r="168" spans="1:19" x14ac:dyDescent="0.3">
      <c r="A168" s="4">
        <v>166</v>
      </c>
      <c r="B168" s="2" t="s">
        <v>25</v>
      </c>
      <c r="C168" s="3">
        <v>44849</v>
      </c>
      <c r="D168" s="3" t="str">
        <f>TEXT(Table1[[#This Row],[Admission Date]],"MMMM")</f>
        <v>October</v>
      </c>
      <c r="E168" s="3">
        <v>44849</v>
      </c>
      <c r="F168" s="3">
        <v>44849</v>
      </c>
      <c r="G168" s="2">
        <v>22027194</v>
      </c>
      <c r="H168" s="2">
        <v>2236149</v>
      </c>
      <c r="I168" s="2">
        <v>10013526375</v>
      </c>
      <c r="J168" s="2" t="s">
        <v>241</v>
      </c>
      <c r="K168" s="10">
        <v>4990</v>
      </c>
      <c r="L168" s="10">
        <v>434</v>
      </c>
      <c r="M168" s="10">
        <v>4556</v>
      </c>
      <c r="N168" s="10">
        <v>4556</v>
      </c>
      <c r="O168" s="10">
        <f>Table1[[#This Row],[NET Amount]]-Table1[[#This Row],[Paid Amount]]</f>
        <v>0</v>
      </c>
      <c r="P168" s="2" t="s">
        <v>18</v>
      </c>
      <c r="Q168" s="2" t="s">
        <v>54</v>
      </c>
      <c r="R168" s="16">
        <f>(Table1[[#This Row],[NET Amount]]-Table1[[#This Row],[Total Outstanding Amount]])/Table1[[#This Row],[NET Amount]]</f>
        <v>1</v>
      </c>
      <c r="S168" s="2" t="s">
        <v>97</v>
      </c>
    </row>
    <row r="169" spans="1:19" x14ac:dyDescent="0.3">
      <c r="A169" s="4">
        <v>167</v>
      </c>
      <c r="B169" s="2" t="s">
        <v>25</v>
      </c>
      <c r="C169" s="3">
        <v>44849</v>
      </c>
      <c r="D169" s="3" t="str">
        <f>TEXT(Table1[[#This Row],[Admission Date]],"MMMM")</f>
        <v>October</v>
      </c>
      <c r="E169" s="3">
        <v>44849</v>
      </c>
      <c r="F169" s="3">
        <v>44849</v>
      </c>
      <c r="G169" s="2">
        <v>22027219</v>
      </c>
      <c r="H169" s="2">
        <v>2236141</v>
      </c>
      <c r="I169" s="2">
        <v>10013339576</v>
      </c>
      <c r="J169" s="2" t="s">
        <v>242</v>
      </c>
      <c r="K169" s="10">
        <v>2794</v>
      </c>
      <c r="L169" s="10">
        <v>2794</v>
      </c>
      <c r="M169" s="10">
        <v>0</v>
      </c>
      <c r="N169" s="10">
        <v>0</v>
      </c>
      <c r="O169" s="10">
        <f>Table1[[#This Row],[NET Amount]]-Table1[[#This Row],[Paid Amount]]</f>
        <v>0</v>
      </c>
      <c r="P169" s="2" t="s">
        <v>18</v>
      </c>
      <c r="Q169" s="2" t="s">
        <v>90</v>
      </c>
      <c r="R169" s="16" t="e">
        <f>(Table1[[#This Row],[NET Amount]]-Table1[[#This Row],[Total Outstanding Amount]])/Table1[[#This Row],[NET Amount]]</f>
        <v>#DIV/0!</v>
      </c>
      <c r="S169" s="2" t="s">
        <v>97</v>
      </c>
    </row>
    <row r="170" spans="1:19" x14ac:dyDescent="0.3">
      <c r="A170" s="4">
        <v>168</v>
      </c>
      <c r="B170" s="2" t="s">
        <v>139</v>
      </c>
      <c r="C170" s="3">
        <v>44859</v>
      </c>
      <c r="D170" s="3" t="str">
        <f>TEXT(Table1[[#This Row],[Admission Date]],"MMMM")</f>
        <v>October</v>
      </c>
      <c r="E170" s="3">
        <v>44863</v>
      </c>
      <c r="F170" s="3">
        <v>44863</v>
      </c>
      <c r="G170" s="2">
        <v>22029019</v>
      </c>
      <c r="H170" s="2">
        <v>2237411</v>
      </c>
      <c r="I170" s="2">
        <v>1001230297</v>
      </c>
      <c r="J170" s="2" t="s">
        <v>243</v>
      </c>
      <c r="K170" s="10">
        <v>68136</v>
      </c>
      <c r="L170" s="10">
        <v>0</v>
      </c>
      <c r="M170" s="10">
        <v>68136</v>
      </c>
      <c r="N170" s="10">
        <v>7887</v>
      </c>
      <c r="O170" s="10">
        <f>Table1[[#This Row],[NET Amount]]-Table1[[#This Row],[Paid Amount]]</f>
        <v>60249</v>
      </c>
      <c r="P170" s="2" t="s">
        <v>23</v>
      </c>
      <c r="Q170" s="2" t="s">
        <v>52</v>
      </c>
      <c r="R170" s="16">
        <f>(Table1[[#This Row],[NET Amount]]-Table1[[#This Row],[Total Outstanding Amount]])/Table1[[#This Row],[NET Amount]]</f>
        <v>0.11575378654455794</v>
      </c>
      <c r="S170" s="2" t="s">
        <v>20</v>
      </c>
    </row>
    <row r="171" spans="1:19" x14ac:dyDescent="0.3">
      <c r="A171" s="4">
        <v>169</v>
      </c>
      <c r="B171" s="2" t="s">
        <v>244</v>
      </c>
      <c r="C171" s="3">
        <v>44860</v>
      </c>
      <c r="D171" s="3" t="str">
        <f>TEXT(Table1[[#This Row],[Admission Date]],"MMMM")</f>
        <v>October</v>
      </c>
      <c r="E171" s="3">
        <v>44861</v>
      </c>
      <c r="F171" s="3">
        <v>44861</v>
      </c>
      <c r="G171" s="2">
        <v>22028763</v>
      </c>
      <c r="H171" s="2">
        <v>2237431</v>
      </c>
      <c r="I171" s="2">
        <v>10013544496</v>
      </c>
      <c r="J171" s="2" t="s">
        <v>245</v>
      </c>
      <c r="K171" s="10">
        <v>264819</v>
      </c>
      <c r="L171" s="10">
        <v>0</v>
      </c>
      <c r="M171" s="10">
        <v>264819</v>
      </c>
      <c r="N171" s="10">
        <v>78283</v>
      </c>
      <c r="O171" s="10">
        <f>Table1[[#This Row],[NET Amount]]-Table1[[#This Row],[Paid Amount]]</f>
        <v>186536</v>
      </c>
      <c r="P171" s="2" t="s">
        <v>23</v>
      </c>
      <c r="Q171" s="2" t="s">
        <v>47</v>
      </c>
      <c r="R171" s="16">
        <f>(Table1[[#This Row],[NET Amount]]-Table1[[#This Row],[Total Outstanding Amount]])/Table1[[#This Row],[NET Amount]]</f>
        <v>0.29560945400443323</v>
      </c>
      <c r="S171" s="2" t="s">
        <v>39</v>
      </c>
    </row>
    <row r="172" spans="1:19" x14ac:dyDescent="0.3">
      <c r="A172" s="4">
        <v>170</v>
      </c>
      <c r="B172" s="2" t="s">
        <v>25</v>
      </c>
      <c r="C172" s="3">
        <v>44859</v>
      </c>
      <c r="D172" s="3" t="str">
        <f>TEXT(Table1[[#This Row],[Admission Date]],"MMMM")</f>
        <v>October</v>
      </c>
      <c r="E172" s="3">
        <v>44859</v>
      </c>
      <c r="F172" s="3">
        <v>44859</v>
      </c>
      <c r="G172" s="2">
        <v>22028461</v>
      </c>
      <c r="H172" s="2">
        <v>2237254</v>
      </c>
      <c r="I172" s="2">
        <v>10013544329</v>
      </c>
      <c r="J172" s="2" t="s">
        <v>246</v>
      </c>
      <c r="K172" s="10">
        <v>0</v>
      </c>
      <c r="L172" s="10">
        <v>0</v>
      </c>
      <c r="M172" s="10">
        <v>0</v>
      </c>
      <c r="N172" s="10">
        <v>0</v>
      </c>
      <c r="O172" s="10">
        <f>Table1[[#This Row],[NET Amount]]-Table1[[#This Row],[Paid Amount]]</f>
        <v>0</v>
      </c>
      <c r="P172" s="2" t="s">
        <v>18</v>
      </c>
      <c r="Q172" s="2" t="s">
        <v>88</v>
      </c>
      <c r="R172" s="16" t="e">
        <f>(Table1[[#This Row],[NET Amount]]-Table1[[#This Row],[Total Outstanding Amount]])/Table1[[#This Row],[NET Amount]]</f>
        <v>#DIV/0!</v>
      </c>
      <c r="S172" s="2" t="s">
        <v>20</v>
      </c>
    </row>
    <row r="173" spans="1:19" x14ac:dyDescent="0.3">
      <c r="A173" s="4">
        <v>171</v>
      </c>
      <c r="B173" s="2" t="s">
        <v>35</v>
      </c>
      <c r="C173" s="3">
        <v>44856</v>
      </c>
      <c r="D173" s="3" t="str">
        <f>TEXT(Table1[[#This Row],[Admission Date]],"MMMM")</f>
        <v>October</v>
      </c>
      <c r="E173" s="3">
        <v>44862</v>
      </c>
      <c r="F173" s="3">
        <v>44862</v>
      </c>
      <c r="G173" s="2">
        <v>22028902</v>
      </c>
      <c r="H173" s="2">
        <v>2237058</v>
      </c>
      <c r="I173" s="2">
        <v>10013544166</v>
      </c>
      <c r="J173" s="2" t="s">
        <v>247</v>
      </c>
      <c r="K173" s="10">
        <v>49054</v>
      </c>
      <c r="L173" s="10">
        <v>0</v>
      </c>
      <c r="M173" s="10">
        <v>49054</v>
      </c>
      <c r="N173" s="10">
        <v>49054</v>
      </c>
      <c r="O173" s="10">
        <f>Table1[[#This Row],[NET Amount]]-Table1[[#This Row],[Paid Amount]]</f>
        <v>0</v>
      </c>
      <c r="P173" s="2" t="s">
        <v>18</v>
      </c>
      <c r="Q173" s="2" t="s">
        <v>30</v>
      </c>
      <c r="R173" s="16">
        <f>(Table1[[#This Row],[NET Amount]]-Table1[[#This Row],[Total Outstanding Amount]])/Table1[[#This Row],[NET Amount]]</f>
        <v>1</v>
      </c>
      <c r="S173" s="2" t="s">
        <v>20</v>
      </c>
    </row>
    <row r="174" spans="1:19" x14ac:dyDescent="0.3">
      <c r="A174" s="4">
        <v>172</v>
      </c>
      <c r="B174" s="2" t="s">
        <v>25</v>
      </c>
      <c r="C174" s="3">
        <v>44852</v>
      </c>
      <c r="D174" s="3" t="str">
        <f>TEXT(Table1[[#This Row],[Admission Date]],"MMMM")</f>
        <v>October</v>
      </c>
      <c r="E174" s="3">
        <v>44852</v>
      </c>
      <c r="F174" s="3">
        <v>44852</v>
      </c>
      <c r="G174" s="2">
        <v>22027595</v>
      </c>
      <c r="H174" s="2">
        <v>2236505</v>
      </c>
      <c r="I174" s="2">
        <v>10013460950</v>
      </c>
      <c r="J174" s="2" t="s">
        <v>248</v>
      </c>
      <c r="K174" s="10">
        <v>2844</v>
      </c>
      <c r="L174" s="10">
        <v>285</v>
      </c>
      <c r="M174" s="10">
        <v>2559</v>
      </c>
      <c r="N174" s="10">
        <v>2559</v>
      </c>
      <c r="O174" s="10">
        <f>Table1[[#This Row],[NET Amount]]-Table1[[#This Row],[Paid Amount]]</f>
        <v>0</v>
      </c>
      <c r="P174" s="2" t="s">
        <v>18</v>
      </c>
      <c r="Q174" s="2" t="s">
        <v>54</v>
      </c>
      <c r="R174" s="16">
        <f>(Table1[[#This Row],[NET Amount]]-Table1[[#This Row],[Total Outstanding Amount]])/Table1[[#This Row],[NET Amount]]</f>
        <v>1</v>
      </c>
      <c r="S174" s="2" t="s">
        <v>97</v>
      </c>
    </row>
    <row r="175" spans="1:19" x14ac:dyDescent="0.3">
      <c r="A175" s="4">
        <v>173</v>
      </c>
      <c r="B175" s="2" t="s">
        <v>91</v>
      </c>
      <c r="C175" s="3">
        <v>44846</v>
      </c>
      <c r="D175" s="3" t="str">
        <f>TEXT(Table1[[#This Row],[Admission Date]],"MMMM")</f>
        <v>October</v>
      </c>
      <c r="E175" s="3">
        <v>44849</v>
      </c>
      <c r="F175" s="3">
        <v>44849</v>
      </c>
      <c r="G175" s="2">
        <v>22027190</v>
      </c>
      <c r="H175" s="2">
        <v>2235780</v>
      </c>
      <c r="I175" s="2">
        <v>10013542768</v>
      </c>
      <c r="J175" s="2" t="s">
        <v>249</v>
      </c>
      <c r="K175" s="10">
        <v>45952</v>
      </c>
      <c r="L175" s="10">
        <v>0</v>
      </c>
      <c r="M175" s="10">
        <v>45952</v>
      </c>
      <c r="N175" s="10">
        <v>0</v>
      </c>
      <c r="O175" s="10">
        <f>Table1[[#This Row],[NET Amount]]-Table1[[#This Row],[Paid Amount]]</f>
        <v>45952</v>
      </c>
      <c r="P175" s="2" t="s">
        <v>23</v>
      </c>
      <c r="Q175" s="2" t="s">
        <v>30</v>
      </c>
      <c r="R175" s="16">
        <f>(Table1[[#This Row],[NET Amount]]-Table1[[#This Row],[Total Outstanding Amount]])/Table1[[#This Row],[NET Amount]]</f>
        <v>0</v>
      </c>
      <c r="S175" s="2" t="s">
        <v>20</v>
      </c>
    </row>
    <row r="176" spans="1:19" x14ac:dyDescent="0.3">
      <c r="A176" s="4">
        <v>174</v>
      </c>
      <c r="B176" s="2" t="s">
        <v>25</v>
      </c>
      <c r="C176" s="3">
        <v>44861</v>
      </c>
      <c r="D176" s="3" t="str">
        <f>TEXT(Table1[[#This Row],[Admission Date]],"MMMM")</f>
        <v>October</v>
      </c>
      <c r="E176" s="3">
        <v>44862</v>
      </c>
      <c r="F176" s="3">
        <v>44862</v>
      </c>
      <c r="G176" s="2">
        <v>22028910</v>
      </c>
      <c r="H176" s="2">
        <v>2237674</v>
      </c>
      <c r="I176" s="2">
        <v>1001806603</v>
      </c>
      <c r="J176" s="2" t="s">
        <v>250</v>
      </c>
      <c r="K176" s="10">
        <v>8190</v>
      </c>
      <c r="L176" s="10">
        <v>959</v>
      </c>
      <c r="M176" s="10">
        <v>7231</v>
      </c>
      <c r="N176" s="10">
        <v>7231</v>
      </c>
      <c r="O176" s="10">
        <f>Table1[[#This Row],[NET Amount]]-Table1[[#This Row],[Paid Amount]]</f>
        <v>0</v>
      </c>
      <c r="P176" s="2" t="s">
        <v>18</v>
      </c>
      <c r="Q176" s="2" t="s">
        <v>24</v>
      </c>
      <c r="R176" s="16">
        <f>(Table1[[#This Row],[NET Amount]]-Table1[[#This Row],[Total Outstanding Amount]])/Table1[[#This Row],[NET Amount]]</f>
        <v>1</v>
      </c>
      <c r="S176" s="2" t="s">
        <v>37</v>
      </c>
    </row>
    <row r="177" spans="1:19" x14ac:dyDescent="0.3">
      <c r="A177" s="4">
        <v>175</v>
      </c>
      <c r="B177" s="2" t="s">
        <v>75</v>
      </c>
      <c r="C177" s="3">
        <v>44843</v>
      </c>
      <c r="D177" s="3" t="str">
        <f>TEXT(Table1[[#This Row],[Admission Date]],"MMMM")</f>
        <v>October</v>
      </c>
      <c r="E177" s="3">
        <v>44853</v>
      </c>
      <c r="F177" s="3">
        <v>44853</v>
      </c>
      <c r="G177" s="2">
        <v>22027750</v>
      </c>
      <c r="H177" s="2">
        <v>2235262</v>
      </c>
      <c r="I177" s="2">
        <v>10013542268</v>
      </c>
      <c r="J177" s="2" t="s">
        <v>251</v>
      </c>
      <c r="K177" s="10">
        <v>112204</v>
      </c>
      <c r="L177" s="10">
        <v>0</v>
      </c>
      <c r="M177" s="10">
        <v>112204</v>
      </c>
      <c r="N177" s="10">
        <v>1040</v>
      </c>
      <c r="O177" s="10">
        <f>Table1[[#This Row],[NET Amount]]-Table1[[#This Row],[Paid Amount]]</f>
        <v>111164</v>
      </c>
      <c r="P177" s="2" t="s">
        <v>23</v>
      </c>
      <c r="Q177" s="2" t="s">
        <v>30</v>
      </c>
      <c r="R177" s="16">
        <f>(Table1[[#This Row],[NET Amount]]-Table1[[#This Row],[Total Outstanding Amount]])/Table1[[#This Row],[NET Amount]]</f>
        <v>9.2688317707033622E-3</v>
      </c>
      <c r="S177" s="2" t="s">
        <v>20</v>
      </c>
    </row>
    <row r="178" spans="1:19" x14ac:dyDescent="0.3">
      <c r="A178" s="4">
        <v>176</v>
      </c>
      <c r="B178" s="2" t="s">
        <v>25</v>
      </c>
      <c r="C178" s="3">
        <v>44853</v>
      </c>
      <c r="D178" s="3" t="str">
        <f>TEXT(Table1[[#This Row],[Admission Date]],"MMMM")</f>
        <v>October</v>
      </c>
      <c r="E178" s="3">
        <v>44853</v>
      </c>
      <c r="F178" s="3">
        <v>44853</v>
      </c>
      <c r="G178" s="2">
        <v>22027772</v>
      </c>
      <c r="H178" s="2">
        <v>2236653</v>
      </c>
      <c r="I178" s="2">
        <v>1001805289</v>
      </c>
      <c r="J178" s="2" t="s">
        <v>188</v>
      </c>
      <c r="K178" s="10">
        <v>14000</v>
      </c>
      <c r="L178" s="10">
        <v>0</v>
      </c>
      <c r="M178" s="10">
        <v>14000</v>
      </c>
      <c r="N178" s="10">
        <v>14000</v>
      </c>
      <c r="O178" s="10">
        <f>Table1[[#This Row],[NET Amount]]-Table1[[#This Row],[Paid Amount]]</f>
        <v>0</v>
      </c>
      <c r="P178" s="2" t="s">
        <v>18</v>
      </c>
      <c r="Q178" s="2" t="s">
        <v>54</v>
      </c>
      <c r="R178" s="16">
        <f>(Table1[[#This Row],[NET Amount]]-Table1[[#This Row],[Total Outstanding Amount]])/Table1[[#This Row],[NET Amount]]</f>
        <v>1</v>
      </c>
      <c r="S178" s="2" t="s">
        <v>39</v>
      </c>
    </row>
    <row r="179" spans="1:19" x14ac:dyDescent="0.3">
      <c r="A179" s="4">
        <v>177</v>
      </c>
      <c r="B179" s="2" t="s">
        <v>139</v>
      </c>
      <c r="C179" s="3">
        <v>44854</v>
      </c>
      <c r="D179" s="3" t="str">
        <f>TEXT(Table1[[#This Row],[Admission Date]],"MMMM")</f>
        <v>October</v>
      </c>
      <c r="E179" s="3">
        <v>44860</v>
      </c>
      <c r="F179" s="3">
        <v>44860</v>
      </c>
      <c r="G179" s="2">
        <v>22028573</v>
      </c>
      <c r="H179" s="2">
        <v>2236794</v>
      </c>
      <c r="I179" s="2">
        <v>10013543906</v>
      </c>
      <c r="J179" s="2" t="s">
        <v>252</v>
      </c>
      <c r="K179" s="10">
        <v>350760</v>
      </c>
      <c r="L179" s="10">
        <v>29942</v>
      </c>
      <c r="M179" s="10">
        <v>320818</v>
      </c>
      <c r="N179" s="10">
        <v>32911</v>
      </c>
      <c r="O179" s="10">
        <f>Table1[[#This Row],[NET Amount]]-Table1[[#This Row],[Paid Amount]]</f>
        <v>287907</v>
      </c>
      <c r="P179" s="2" t="s">
        <v>23</v>
      </c>
      <c r="Q179" s="2" t="s">
        <v>30</v>
      </c>
      <c r="R179" s="16">
        <f>(Table1[[#This Row],[NET Amount]]-Table1[[#This Row],[Total Outstanding Amount]])/Table1[[#This Row],[NET Amount]]</f>
        <v>0.1025846430063151</v>
      </c>
      <c r="S179" s="2" t="s">
        <v>20</v>
      </c>
    </row>
    <row r="180" spans="1:19" x14ac:dyDescent="0.3">
      <c r="A180" s="4">
        <v>178</v>
      </c>
      <c r="B180" s="2" t="s">
        <v>2257</v>
      </c>
      <c r="C180" s="3">
        <v>44844</v>
      </c>
      <c r="D180" s="3" t="str">
        <f>TEXT(Table1[[#This Row],[Admission Date]],"MMMM")</f>
        <v>October</v>
      </c>
      <c r="E180" s="3">
        <v>44844</v>
      </c>
      <c r="F180" s="3">
        <v>44844</v>
      </c>
      <c r="G180" s="2">
        <v>22026457</v>
      </c>
      <c r="H180" s="2">
        <v>2235430</v>
      </c>
      <c r="I180" s="2">
        <v>1001689981</v>
      </c>
      <c r="J180" s="2" t="s">
        <v>253</v>
      </c>
      <c r="K180" s="10">
        <v>2950</v>
      </c>
      <c r="L180" s="10">
        <v>0</v>
      </c>
      <c r="M180" s="10">
        <v>2950</v>
      </c>
      <c r="N180" s="10">
        <v>24</v>
      </c>
      <c r="O180" s="10">
        <f>Table1[[#This Row],[NET Amount]]-Table1[[#This Row],[Paid Amount]]</f>
        <v>2926</v>
      </c>
      <c r="P180" s="2" t="s">
        <v>23</v>
      </c>
      <c r="Q180" s="2" t="s">
        <v>54</v>
      </c>
      <c r="R180" s="16">
        <f>(Table1[[#This Row],[NET Amount]]-Table1[[#This Row],[Total Outstanding Amount]])/Table1[[#This Row],[NET Amount]]</f>
        <v>8.1355932203389832E-3</v>
      </c>
      <c r="S180" s="2" t="s">
        <v>97</v>
      </c>
    </row>
    <row r="181" spans="1:19" x14ac:dyDescent="0.3">
      <c r="A181" s="4">
        <v>179</v>
      </c>
      <c r="B181" s="2" t="s">
        <v>25</v>
      </c>
      <c r="C181" s="3">
        <v>44848</v>
      </c>
      <c r="D181" s="3" t="str">
        <f>TEXT(Table1[[#This Row],[Admission Date]],"MMMM")</f>
        <v>October</v>
      </c>
      <c r="E181" s="3">
        <v>44848</v>
      </c>
      <c r="F181" s="3">
        <v>44848</v>
      </c>
      <c r="G181" s="2">
        <v>22027107</v>
      </c>
      <c r="H181" s="2">
        <v>2236032</v>
      </c>
      <c r="I181" s="2">
        <v>1001110018</v>
      </c>
      <c r="J181" s="2" t="s">
        <v>254</v>
      </c>
      <c r="K181" s="10">
        <v>7494</v>
      </c>
      <c r="L181" s="10">
        <v>7494</v>
      </c>
      <c r="M181" s="10">
        <v>0</v>
      </c>
      <c r="N181" s="10">
        <v>0</v>
      </c>
      <c r="O181" s="10">
        <f>Table1[[#This Row],[NET Amount]]-Table1[[#This Row],[Paid Amount]]</f>
        <v>0</v>
      </c>
      <c r="P181" s="2" t="s">
        <v>18</v>
      </c>
      <c r="Q181" s="2" t="s">
        <v>90</v>
      </c>
      <c r="R181" s="16" t="e">
        <f>(Table1[[#This Row],[NET Amount]]-Table1[[#This Row],[Total Outstanding Amount]])/Table1[[#This Row],[NET Amount]]</f>
        <v>#DIV/0!</v>
      </c>
      <c r="S181" s="2" t="s">
        <v>97</v>
      </c>
    </row>
    <row r="182" spans="1:19" x14ac:dyDescent="0.3">
      <c r="A182" s="4">
        <v>180</v>
      </c>
      <c r="B182" s="2" t="s">
        <v>25</v>
      </c>
      <c r="C182" s="3">
        <v>44848</v>
      </c>
      <c r="D182" s="3" t="str">
        <f>TEXT(Table1[[#This Row],[Admission Date]],"MMMM")</f>
        <v>October</v>
      </c>
      <c r="E182" s="3">
        <v>44848</v>
      </c>
      <c r="F182" s="3">
        <v>44848</v>
      </c>
      <c r="G182" s="2">
        <v>22027108</v>
      </c>
      <c r="H182" s="2">
        <v>2236039</v>
      </c>
      <c r="I182" s="2">
        <v>1001074324</v>
      </c>
      <c r="J182" s="2" t="s">
        <v>255</v>
      </c>
      <c r="K182" s="10">
        <v>2844</v>
      </c>
      <c r="L182" s="10">
        <v>308</v>
      </c>
      <c r="M182" s="10">
        <v>2536</v>
      </c>
      <c r="N182" s="10">
        <v>2536</v>
      </c>
      <c r="O182" s="10">
        <f>Table1[[#This Row],[NET Amount]]-Table1[[#This Row],[Paid Amount]]</f>
        <v>0</v>
      </c>
      <c r="P182" s="2" t="s">
        <v>18</v>
      </c>
      <c r="Q182" s="2" t="s">
        <v>54</v>
      </c>
      <c r="R182" s="16">
        <f>(Table1[[#This Row],[NET Amount]]-Table1[[#This Row],[Total Outstanding Amount]])/Table1[[#This Row],[NET Amount]]</f>
        <v>1</v>
      </c>
      <c r="S182" s="2" t="s">
        <v>97</v>
      </c>
    </row>
    <row r="183" spans="1:19" x14ac:dyDescent="0.3">
      <c r="A183" s="4">
        <v>181</v>
      </c>
      <c r="B183" s="2" t="s">
        <v>25</v>
      </c>
      <c r="C183" s="3">
        <v>44838</v>
      </c>
      <c r="D183" s="3" t="str">
        <f>TEXT(Table1[[#This Row],[Admission Date]],"MMMM")</f>
        <v>October</v>
      </c>
      <c r="E183" s="3">
        <v>44849</v>
      </c>
      <c r="F183" s="3">
        <v>44849</v>
      </c>
      <c r="G183" s="2">
        <v>22027208</v>
      </c>
      <c r="H183" s="2">
        <v>2234657</v>
      </c>
      <c r="I183" s="2">
        <v>10013541599</v>
      </c>
      <c r="J183" s="2" t="s">
        <v>256</v>
      </c>
      <c r="K183" s="10">
        <v>308068</v>
      </c>
      <c r="L183" s="10">
        <v>308068</v>
      </c>
      <c r="M183" s="10">
        <v>0</v>
      </c>
      <c r="N183" s="10">
        <v>0</v>
      </c>
      <c r="O183" s="10">
        <f>Table1[[#This Row],[NET Amount]]-Table1[[#This Row],[Paid Amount]]</f>
        <v>0</v>
      </c>
      <c r="P183" s="2" t="s">
        <v>18</v>
      </c>
      <c r="Q183" s="2" t="s">
        <v>90</v>
      </c>
      <c r="R183" s="16" t="e">
        <f>(Table1[[#This Row],[NET Amount]]-Table1[[#This Row],[Total Outstanding Amount]])/Table1[[#This Row],[NET Amount]]</f>
        <v>#DIV/0!</v>
      </c>
      <c r="S183" s="2" t="s">
        <v>20</v>
      </c>
    </row>
    <row r="184" spans="1:19" x14ac:dyDescent="0.3">
      <c r="A184" s="4">
        <v>182</v>
      </c>
      <c r="B184" s="2" t="s">
        <v>25</v>
      </c>
      <c r="C184" s="3">
        <v>44854</v>
      </c>
      <c r="D184" s="3" t="str">
        <f>TEXT(Table1[[#This Row],[Admission Date]],"MMMM")</f>
        <v>October</v>
      </c>
      <c r="E184" s="3">
        <v>44856</v>
      </c>
      <c r="F184" s="3">
        <v>44856</v>
      </c>
      <c r="G184" s="2">
        <v>22028217</v>
      </c>
      <c r="H184" s="2">
        <v>2236764</v>
      </c>
      <c r="I184" s="2">
        <v>1001805437</v>
      </c>
      <c r="J184" s="2" t="s">
        <v>257</v>
      </c>
      <c r="K184" s="10">
        <v>16628</v>
      </c>
      <c r="L184" s="10">
        <v>2032</v>
      </c>
      <c r="M184" s="10">
        <v>14596</v>
      </c>
      <c r="N184" s="10">
        <v>14596</v>
      </c>
      <c r="O184" s="10">
        <f>Table1[[#This Row],[NET Amount]]-Table1[[#This Row],[Paid Amount]]</f>
        <v>0</v>
      </c>
      <c r="P184" s="2" t="s">
        <v>18</v>
      </c>
      <c r="Q184" s="2" t="s">
        <v>104</v>
      </c>
      <c r="R184" s="16">
        <f>(Table1[[#This Row],[NET Amount]]-Table1[[#This Row],[Total Outstanding Amount]])/Table1[[#This Row],[NET Amount]]</f>
        <v>1</v>
      </c>
      <c r="S184" s="2" t="s">
        <v>37</v>
      </c>
    </row>
    <row r="185" spans="1:19" x14ac:dyDescent="0.3">
      <c r="A185" s="4">
        <v>183</v>
      </c>
      <c r="B185" s="2" t="s">
        <v>139</v>
      </c>
      <c r="C185" s="3">
        <v>44859</v>
      </c>
      <c r="D185" s="3" t="str">
        <f>TEXT(Table1[[#This Row],[Admission Date]],"MMMM")</f>
        <v>October</v>
      </c>
      <c r="E185" s="3">
        <v>44862</v>
      </c>
      <c r="F185" s="3">
        <v>44862</v>
      </c>
      <c r="G185" s="2">
        <v>22028874</v>
      </c>
      <c r="H185" s="2">
        <v>2237298</v>
      </c>
      <c r="I185" s="2">
        <v>10013544357</v>
      </c>
      <c r="J185" s="2" t="s">
        <v>258</v>
      </c>
      <c r="K185" s="10">
        <v>96810</v>
      </c>
      <c r="L185" s="10">
        <v>10282</v>
      </c>
      <c r="M185" s="10">
        <v>86528</v>
      </c>
      <c r="N185" s="10">
        <v>20780</v>
      </c>
      <c r="O185" s="10">
        <f>Table1[[#This Row],[NET Amount]]-Table1[[#This Row],[Paid Amount]]</f>
        <v>65748</v>
      </c>
      <c r="P185" s="2" t="s">
        <v>23</v>
      </c>
      <c r="Q185" s="2" t="s">
        <v>30</v>
      </c>
      <c r="R185" s="16">
        <f>(Table1[[#This Row],[NET Amount]]-Table1[[#This Row],[Total Outstanding Amount]])/Table1[[#This Row],[NET Amount]]</f>
        <v>0.24015347633136094</v>
      </c>
      <c r="S185" s="2" t="s">
        <v>20</v>
      </c>
    </row>
    <row r="186" spans="1:19" x14ac:dyDescent="0.3">
      <c r="A186" s="4">
        <v>184</v>
      </c>
      <c r="B186" s="2" t="s">
        <v>259</v>
      </c>
      <c r="C186" s="3">
        <v>44860</v>
      </c>
      <c r="D186" s="3" t="str">
        <f>TEXT(Table1[[#This Row],[Admission Date]],"MMMM")</f>
        <v>October</v>
      </c>
      <c r="E186" s="3">
        <v>44862</v>
      </c>
      <c r="F186" s="3">
        <v>44862</v>
      </c>
      <c r="G186" s="2">
        <v>22028899</v>
      </c>
      <c r="H186" s="2">
        <v>2237479</v>
      </c>
      <c r="I186" s="2">
        <v>10013511657</v>
      </c>
      <c r="J186" s="2" t="s">
        <v>260</v>
      </c>
      <c r="K186" s="10">
        <v>55560</v>
      </c>
      <c r="L186" s="10">
        <v>0</v>
      </c>
      <c r="M186" s="10">
        <v>55560</v>
      </c>
      <c r="N186" s="10">
        <v>5560</v>
      </c>
      <c r="O186" s="10">
        <f>Table1[[#This Row],[NET Amount]]-Table1[[#This Row],[Paid Amount]]</f>
        <v>50000</v>
      </c>
      <c r="P186" s="2" t="s">
        <v>23</v>
      </c>
      <c r="Q186" s="2" t="s">
        <v>24</v>
      </c>
      <c r="R186" s="16">
        <f>(Table1[[#This Row],[NET Amount]]-Table1[[#This Row],[Total Outstanding Amount]])/Table1[[#This Row],[NET Amount]]</f>
        <v>0.10007199424046076</v>
      </c>
      <c r="S186" s="2" t="s">
        <v>27</v>
      </c>
    </row>
    <row r="187" spans="1:19" x14ac:dyDescent="0.3">
      <c r="A187" s="4">
        <v>185</v>
      </c>
      <c r="B187" s="2" t="s">
        <v>2247</v>
      </c>
      <c r="C187" s="3">
        <v>44851</v>
      </c>
      <c r="D187" s="3" t="str">
        <f>TEXT(Table1[[#This Row],[Admission Date]],"MMMM")</f>
        <v>October</v>
      </c>
      <c r="E187" s="3">
        <v>44857</v>
      </c>
      <c r="F187" s="3">
        <v>44857</v>
      </c>
      <c r="G187" s="2">
        <v>22028357</v>
      </c>
      <c r="H187" s="2">
        <v>2236427</v>
      </c>
      <c r="I187" s="2">
        <v>1001701830</v>
      </c>
      <c r="J187" s="2" t="s">
        <v>261</v>
      </c>
      <c r="K187" s="10">
        <v>55612</v>
      </c>
      <c r="L187" s="10">
        <v>8872</v>
      </c>
      <c r="M187" s="10">
        <v>46740</v>
      </c>
      <c r="N187" s="10">
        <v>4931</v>
      </c>
      <c r="O187" s="10">
        <f>Table1[[#This Row],[NET Amount]]-Table1[[#This Row],[Paid Amount]]</f>
        <v>41809</v>
      </c>
      <c r="P187" s="2" t="s">
        <v>23</v>
      </c>
      <c r="Q187" s="2" t="s">
        <v>42</v>
      </c>
      <c r="R187" s="16">
        <f>(Table1[[#This Row],[NET Amount]]-Table1[[#This Row],[Total Outstanding Amount]])/Table1[[#This Row],[NET Amount]]</f>
        <v>0.10549850235344459</v>
      </c>
      <c r="S187" s="2" t="s">
        <v>20</v>
      </c>
    </row>
    <row r="188" spans="1:19" x14ac:dyDescent="0.3">
      <c r="A188" s="4">
        <v>186</v>
      </c>
      <c r="B188" s="2" t="s">
        <v>25</v>
      </c>
      <c r="C188" s="3">
        <v>44850</v>
      </c>
      <c r="D188" s="3" t="str">
        <f>TEXT(Table1[[#This Row],[Admission Date]],"MMMM")</f>
        <v>October</v>
      </c>
      <c r="E188" s="3">
        <v>44855</v>
      </c>
      <c r="F188" s="3">
        <v>44855</v>
      </c>
      <c r="G188" s="2">
        <v>22028087</v>
      </c>
      <c r="H188" s="2">
        <v>2236226</v>
      </c>
      <c r="I188" s="2">
        <v>1001615161</v>
      </c>
      <c r="J188" s="2" t="s">
        <v>262</v>
      </c>
      <c r="K188" s="10">
        <v>197595</v>
      </c>
      <c r="L188" s="10">
        <v>35482</v>
      </c>
      <c r="M188" s="10">
        <v>162113</v>
      </c>
      <c r="N188" s="10">
        <v>162113</v>
      </c>
      <c r="O188" s="10">
        <f>Table1[[#This Row],[NET Amount]]-Table1[[#This Row],[Paid Amount]]</f>
        <v>0</v>
      </c>
      <c r="P188" s="2" t="s">
        <v>18</v>
      </c>
      <c r="Q188" s="2" t="s">
        <v>30</v>
      </c>
      <c r="R188" s="16">
        <f>(Table1[[#This Row],[NET Amount]]-Table1[[#This Row],[Total Outstanding Amount]])/Table1[[#This Row],[NET Amount]]</f>
        <v>1</v>
      </c>
      <c r="S188" s="2" t="s">
        <v>20</v>
      </c>
    </row>
    <row r="189" spans="1:19" x14ac:dyDescent="0.3">
      <c r="A189" s="4">
        <v>187</v>
      </c>
      <c r="B189" s="2" t="s">
        <v>50</v>
      </c>
      <c r="C189" s="3">
        <v>44835</v>
      </c>
      <c r="D189" s="3" t="str">
        <f>TEXT(Table1[[#This Row],[Admission Date]],"MMMM")</f>
        <v>October</v>
      </c>
      <c r="E189" s="3">
        <v>44835</v>
      </c>
      <c r="F189" s="3">
        <v>44835</v>
      </c>
      <c r="G189" s="2">
        <v>22025238</v>
      </c>
      <c r="H189" s="2">
        <v>2234254</v>
      </c>
      <c r="I189" s="2">
        <v>1001564406</v>
      </c>
      <c r="J189" s="2" t="s">
        <v>183</v>
      </c>
      <c r="K189" s="10">
        <v>2200</v>
      </c>
      <c r="L189" s="10">
        <v>0</v>
      </c>
      <c r="M189" s="10">
        <v>2200</v>
      </c>
      <c r="N189" s="10">
        <v>330</v>
      </c>
      <c r="O189" s="10">
        <f>Table1[[#This Row],[NET Amount]]-Table1[[#This Row],[Paid Amount]]</f>
        <v>1870</v>
      </c>
      <c r="P189" s="2" t="s">
        <v>23</v>
      </c>
      <c r="Q189" s="2" t="s">
        <v>147</v>
      </c>
      <c r="R189" s="16">
        <f>(Table1[[#This Row],[NET Amount]]-Table1[[#This Row],[Total Outstanding Amount]])/Table1[[#This Row],[NET Amount]]</f>
        <v>0.15</v>
      </c>
      <c r="S189" s="2" t="s">
        <v>97</v>
      </c>
    </row>
    <row r="190" spans="1:19" x14ac:dyDescent="0.3">
      <c r="A190" s="4">
        <v>188</v>
      </c>
      <c r="B190" s="2" t="s">
        <v>2258</v>
      </c>
      <c r="C190" s="3">
        <v>44817</v>
      </c>
      <c r="D190" s="3" t="str">
        <f>TEXT(Table1[[#This Row],[Admission Date]],"MMMM")</f>
        <v>September</v>
      </c>
      <c r="E190" s="3">
        <v>44837</v>
      </c>
      <c r="F190" s="3">
        <v>44837</v>
      </c>
      <c r="G190" s="2">
        <v>22025420</v>
      </c>
      <c r="H190" s="2">
        <v>2231871</v>
      </c>
      <c r="I190" s="2">
        <v>1001798464</v>
      </c>
      <c r="J190" s="2" t="s">
        <v>263</v>
      </c>
      <c r="K190" s="10">
        <v>97497</v>
      </c>
      <c r="L190" s="10">
        <v>0</v>
      </c>
      <c r="M190" s="10">
        <v>97497</v>
      </c>
      <c r="N190" s="10">
        <v>600</v>
      </c>
      <c r="O190" s="10">
        <f>Table1[[#This Row],[NET Amount]]-Table1[[#This Row],[Paid Amount]]</f>
        <v>96897</v>
      </c>
      <c r="P190" s="2" t="s">
        <v>23</v>
      </c>
      <c r="Q190" s="2" t="s">
        <v>19</v>
      </c>
      <c r="R190" s="16">
        <f>(Table1[[#This Row],[NET Amount]]-Table1[[#This Row],[Total Outstanding Amount]])/Table1[[#This Row],[NET Amount]]</f>
        <v>6.1540355087848853E-3</v>
      </c>
      <c r="S190" s="2" t="s">
        <v>20</v>
      </c>
    </row>
    <row r="191" spans="1:19" x14ac:dyDescent="0.3">
      <c r="A191" s="4">
        <v>189</v>
      </c>
      <c r="B191" s="2" t="s">
        <v>126</v>
      </c>
      <c r="C191" s="3">
        <v>44863</v>
      </c>
      <c r="D191" s="3" t="str">
        <f>TEXT(Table1[[#This Row],[Admission Date]],"MMMM")</f>
        <v>October</v>
      </c>
      <c r="E191" s="3">
        <v>44863</v>
      </c>
      <c r="F191" s="3">
        <v>44863</v>
      </c>
      <c r="G191" s="2">
        <v>22029148</v>
      </c>
      <c r="H191" s="2">
        <v>2238005</v>
      </c>
      <c r="I191" s="2">
        <v>10013481278</v>
      </c>
      <c r="J191" s="2" t="s">
        <v>264</v>
      </c>
      <c r="K191" s="10">
        <v>2500</v>
      </c>
      <c r="L191" s="10">
        <v>0</v>
      </c>
      <c r="M191" s="10">
        <v>2500</v>
      </c>
      <c r="N191" s="10">
        <v>2500</v>
      </c>
      <c r="O191" s="10">
        <f>Table1[[#This Row],[NET Amount]]-Table1[[#This Row],[Paid Amount]]</f>
        <v>0</v>
      </c>
      <c r="P191" s="2" t="s">
        <v>18</v>
      </c>
      <c r="Q191" s="2" t="s">
        <v>54</v>
      </c>
      <c r="R191" s="16">
        <f>(Table1[[#This Row],[NET Amount]]-Table1[[#This Row],[Total Outstanding Amount]])/Table1[[#This Row],[NET Amount]]</f>
        <v>1</v>
      </c>
      <c r="S191" s="2" t="s">
        <v>97</v>
      </c>
    </row>
    <row r="192" spans="1:19" x14ac:dyDescent="0.3">
      <c r="A192" s="4">
        <v>190</v>
      </c>
      <c r="B192" s="2" t="s">
        <v>25</v>
      </c>
      <c r="C192" s="3">
        <v>44842</v>
      </c>
      <c r="D192" s="3" t="str">
        <f>TEXT(Table1[[#This Row],[Admission Date]],"MMMM")</f>
        <v>October</v>
      </c>
      <c r="E192" s="3">
        <v>44843</v>
      </c>
      <c r="F192" s="3">
        <v>44843</v>
      </c>
      <c r="G192" s="2">
        <v>22026248</v>
      </c>
      <c r="H192" s="2">
        <v>2235151</v>
      </c>
      <c r="I192" s="2">
        <v>10013541792</v>
      </c>
      <c r="J192" s="2" t="s">
        <v>265</v>
      </c>
      <c r="K192" s="10">
        <v>47549</v>
      </c>
      <c r="L192" s="10">
        <v>16846</v>
      </c>
      <c r="M192" s="10">
        <v>30702</v>
      </c>
      <c r="N192" s="10">
        <v>30702</v>
      </c>
      <c r="O192" s="10">
        <f>Table1[[#This Row],[NET Amount]]-Table1[[#This Row],[Paid Amount]]</f>
        <v>0</v>
      </c>
      <c r="P192" s="2" t="s">
        <v>18</v>
      </c>
      <c r="Q192" s="2" t="s">
        <v>69</v>
      </c>
      <c r="R192" s="16">
        <f>(Table1[[#This Row],[NET Amount]]-Table1[[#This Row],[Total Outstanding Amount]])/Table1[[#This Row],[NET Amount]]</f>
        <v>1</v>
      </c>
      <c r="S192" s="2" t="s">
        <v>201</v>
      </c>
    </row>
    <row r="193" spans="1:19" x14ac:dyDescent="0.3">
      <c r="A193" s="4">
        <v>191</v>
      </c>
      <c r="B193" s="2" t="s">
        <v>25</v>
      </c>
      <c r="C193" s="3">
        <v>44819</v>
      </c>
      <c r="D193" s="3" t="str">
        <f>TEXT(Table1[[#This Row],[Admission Date]],"MMMM")</f>
        <v>September</v>
      </c>
      <c r="E193" s="3">
        <v>44846</v>
      </c>
      <c r="F193" s="3">
        <v>44846</v>
      </c>
      <c r="G193" s="2">
        <v>22026692</v>
      </c>
      <c r="H193" s="2">
        <v>2232156</v>
      </c>
      <c r="I193" s="2">
        <v>10013538448</v>
      </c>
      <c r="J193" s="2" t="s">
        <v>266</v>
      </c>
      <c r="K193" s="10">
        <v>700296</v>
      </c>
      <c r="L193" s="10">
        <v>700296</v>
      </c>
      <c r="M193" s="10">
        <v>0</v>
      </c>
      <c r="N193" s="10">
        <v>0</v>
      </c>
      <c r="O193" s="10">
        <f>Table1[[#This Row],[NET Amount]]-Table1[[#This Row],[Paid Amount]]</f>
        <v>0</v>
      </c>
      <c r="P193" s="2" t="s">
        <v>18</v>
      </c>
      <c r="Q193" s="2" t="s">
        <v>90</v>
      </c>
      <c r="R193" s="16" t="e">
        <f>(Table1[[#This Row],[NET Amount]]-Table1[[#This Row],[Total Outstanding Amount]])/Table1[[#This Row],[NET Amount]]</f>
        <v>#DIV/0!</v>
      </c>
      <c r="S193" s="2" t="s">
        <v>20</v>
      </c>
    </row>
    <row r="194" spans="1:19" x14ac:dyDescent="0.3">
      <c r="A194" s="4">
        <v>192</v>
      </c>
      <c r="B194" s="2" t="s">
        <v>35</v>
      </c>
      <c r="C194" s="3">
        <v>44848</v>
      </c>
      <c r="D194" s="3" t="str">
        <f>TEXT(Table1[[#This Row],[Admission Date]],"MMMM")</f>
        <v>October</v>
      </c>
      <c r="E194" s="3">
        <v>44851</v>
      </c>
      <c r="F194" s="3">
        <v>44851</v>
      </c>
      <c r="G194" s="2">
        <v>22027426</v>
      </c>
      <c r="H194" s="2">
        <v>2235938</v>
      </c>
      <c r="I194" s="2">
        <v>10013539712</v>
      </c>
      <c r="J194" s="2" t="s">
        <v>267</v>
      </c>
      <c r="K194" s="10">
        <v>22389</v>
      </c>
      <c r="L194" s="10">
        <v>0</v>
      </c>
      <c r="M194" s="10">
        <v>22389</v>
      </c>
      <c r="N194" s="10">
        <v>22389</v>
      </c>
      <c r="O194" s="10">
        <f>Table1[[#This Row],[NET Amount]]-Table1[[#This Row],[Paid Amount]]</f>
        <v>0</v>
      </c>
      <c r="P194" s="2" t="s">
        <v>18</v>
      </c>
      <c r="Q194" s="2" t="s">
        <v>24</v>
      </c>
      <c r="R194" s="16">
        <f>(Table1[[#This Row],[NET Amount]]-Table1[[#This Row],[Total Outstanding Amount]])/Table1[[#This Row],[NET Amount]]</f>
        <v>1</v>
      </c>
      <c r="S194" s="2" t="s">
        <v>77</v>
      </c>
    </row>
    <row r="195" spans="1:19" x14ac:dyDescent="0.3">
      <c r="A195" s="4">
        <v>193</v>
      </c>
      <c r="B195" s="2" t="s">
        <v>40</v>
      </c>
      <c r="C195" s="3">
        <v>44838</v>
      </c>
      <c r="D195" s="3" t="str">
        <f>TEXT(Table1[[#This Row],[Admission Date]],"MMMM")</f>
        <v>October</v>
      </c>
      <c r="E195" s="3">
        <v>44838</v>
      </c>
      <c r="F195" s="3">
        <v>44838</v>
      </c>
      <c r="G195" s="2">
        <v>22025546</v>
      </c>
      <c r="H195" s="2">
        <v>2234544</v>
      </c>
      <c r="I195" s="2">
        <v>1001300227</v>
      </c>
      <c r="J195" s="2" t="s">
        <v>202</v>
      </c>
      <c r="K195" s="10">
        <v>2200</v>
      </c>
      <c r="L195" s="10">
        <v>0</v>
      </c>
      <c r="M195" s="10">
        <v>2200</v>
      </c>
      <c r="N195" s="10">
        <v>2200</v>
      </c>
      <c r="O195" s="10">
        <f>Table1[[#This Row],[NET Amount]]-Table1[[#This Row],[Paid Amount]]</f>
        <v>0</v>
      </c>
      <c r="P195" s="2" t="s">
        <v>18</v>
      </c>
      <c r="Q195" s="2" t="s">
        <v>147</v>
      </c>
      <c r="R195" s="16">
        <f>(Table1[[#This Row],[NET Amount]]-Table1[[#This Row],[Total Outstanding Amount]])/Table1[[#This Row],[NET Amount]]</f>
        <v>1</v>
      </c>
      <c r="S195" s="2" t="s">
        <v>97</v>
      </c>
    </row>
    <row r="196" spans="1:19" x14ac:dyDescent="0.3">
      <c r="A196" s="4">
        <v>194</v>
      </c>
      <c r="B196" s="2" t="s">
        <v>25</v>
      </c>
      <c r="C196" s="3">
        <v>44857</v>
      </c>
      <c r="D196" s="3" t="str">
        <f>TEXT(Table1[[#This Row],[Admission Date]],"MMMM")</f>
        <v>October</v>
      </c>
      <c r="E196" s="3">
        <v>44863</v>
      </c>
      <c r="F196" s="3">
        <v>44863</v>
      </c>
      <c r="G196" s="2">
        <v>22029088</v>
      </c>
      <c r="H196" s="2">
        <v>2237174</v>
      </c>
      <c r="I196" s="2">
        <v>1001684398</v>
      </c>
      <c r="J196" s="2" t="s">
        <v>268</v>
      </c>
      <c r="K196" s="10">
        <v>155185</v>
      </c>
      <c r="L196" s="10">
        <v>25770</v>
      </c>
      <c r="M196" s="10">
        <v>129415</v>
      </c>
      <c r="N196" s="10">
        <v>129415</v>
      </c>
      <c r="O196" s="10">
        <f>Table1[[#This Row],[NET Amount]]-Table1[[#This Row],[Paid Amount]]</f>
        <v>0</v>
      </c>
      <c r="P196" s="2" t="s">
        <v>18</v>
      </c>
      <c r="Q196" s="2" t="s">
        <v>19</v>
      </c>
      <c r="R196" s="16">
        <f>(Table1[[#This Row],[NET Amount]]-Table1[[#This Row],[Total Outstanding Amount]])/Table1[[#This Row],[NET Amount]]</f>
        <v>1</v>
      </c>
      <c r="S196" s="2" t="s">
        <v>39</v>
      </c>
    </row>
    <row r="197" spans="1:19" x14ac:dyDescent="0.3">
      <c r="A197" s="4">
        <v>195</v>
      </c>
      <c r="B197" s="2" t="s">
        <v>2291</v>
      </c>
      <c r="C197" s="3">
        <v>44850</v>
      </c>
      <c r="D197" s="3" t="str">
        <f>TEXT(Table1[[#This Row],[Admission Date]],"MMMM")</f>
        <v>October</v>
      </c>
      <c r="E197" s="3">
        <v>44852</v>
      </c>
      <c r="F197" s="3">
        <v>44852</v>
      </c>
      <c r="G197" s="2">
        <v>22027542</v>
      </c>
      <c r="H197" s="2">
        <v>2236222</v>
      </c>
      <c r="I197" s="2">
        <v>10013444243</v>
      </c>
      <c r="J197" s="2" t="s">
        <v>269</v>
      </c>
      <c r="K197" s="10">
        <v>61774</v>
      </c>
      <c r="L197" s="10">
        <v>61774</v>
      </c>
      <c r="M197" s="10">
        <v>0</v>
      </c>
      <c r="N197" s="10">
        <v>0</v>
      </c>
      <c r="O197" s="10">
        <f>Table1[[#This Row],[NET Amount]]-Table1[[#This Row],[Paid Amount]]</f>
        <v>0</v>
      </c>
      <c r="P197" s="2" t="s">
        <v>18</v>
      </c>
      <c r="Q197" s="2" t="s">
        <v>90</v>
      </c>
      <c r="R197" s="16" t="e">
        <f>(Table1[[#This Row],[NET Amount]]-Table1[[#This Row],[Total Outstanding Amount]])/Table1[[#This Row],[NET Amount]]</f>
        <v>#DIV/0!</v>
      </c>
      <c r="S197" s="2" t="s">
        <v>27</v>
      </c>
    </row>
    <row r="198" spans="1:19" x14ac:dyDescent="0.3">
      <c r="A198" s="4">
        <v>196</v>
      </c>
      <c r="B198" s="2" t="s">
        <v>25</v>
      </c>
      <c r="C198" s="3">
        <v>44834</v>
      </c>
      <c r="D198" s="3" t="str">
        <f>TEXT(Table1[[#This Row],[Admission Date]],"MMMM")</f>
        <v>September</v>
      </c>
      <c r="E198" s="3">
        <v>44835</v>
      </c>
      <c r="F198" s="3">
        <v>44835</v>
      </c>
      <c r="G198" s="2">
        <v>22025142</v>
      </c>
      <c r="H198" s="2">
        <v>2234083</v>
      </c>
      <c r="I198" s="2">
        <v>1001801720</v>
      </c>
      <c r="J198" s="2" t="s">
        <v>270</v>
      </c>
      <c r="K198" s="10">
        <v>35483</v>
      </c>
      <c r="L198" s="10">
        <v>3125</v>
      </c>
      <c r="M198" s="10">
        <v>32358</v>
      </c>
      <c r="N198" s="10">
        <v>32358</v>
      </c>
      <c r="O198" s="10">
        <f>Table1[[#This Row],[NET Amount]]-Table1[[#This Row],[Paid Amount]]</f>
        <v>0</v>
      </c>
      <c r="P198" s="2" t="s">
        <v>18</v>
      </c>
      <c r="Q198" s="2" t="s">
        <v>24</v>
      </c>
      <c r="R198" s="16">
        <f>(Table1[[#This Row],[NET Amount]]-Table1[[#This Row],[Total Outstanding Amount]])/Table1[[#This Row],[NET Amount]]</f>
        <v>1</v>
      </c>
      <c r="S198" s="2" t="s">
        <v>39</v>
      </c>
    </row>
    <row r="199" spans="1:19" x14ac:dyDescent="0.3">
      <c r="A199" s="4">
        <v>197</v>
      </c>
      <c r="B199" s="2" t="s">
        <v>2257</v>
      </c>
      <c r="C199" s="3">
        <v>44835</v>
      </c>
      <c r="D199" s="3" t="str">
        <f>TEXT(Table1[[#This Row],[Admission Date]],"MMMM")</f>
        <v>October</v>
      </c>
      <c r="E199" s="3">
        <v>44835</v>
      </c>
      <c r="F199" s="3">
        <v>44835</v>
      </c>
      <c r="G199" s="2">
        <v>22025174</v>
      </c>
      <c r="H199" s="2">
        <v>2234202</v>
      </c>
      <c r="I199" s="2">
        <v>1001689981</v>
      </c>
      <c r="J199" s="2" t="s">
        <v>253</v>
      </c>
      <c r="K199" s="10">
        <v>2950</v>
      </c>
      <c r="L199" s="10">
        <v>0</v>
      </c>
      <c r="M199" s="10">
        <v>2950</v>
      </c>
      <c r="N199" s="10">
        <v>24</v>
      </c>
      <c r="O199" s="10">
        <f>Table1[[#This Row],[NET Amount]]-Table1[[#This Row],[Paid Amount]]</f>
        <v>2926</v>
      </c>
      <c r="P199" s="2" t="s">
        <v>23</v>
      </c>
      <c r="Q199" s="2" t="s">
        <v>54</v>
      </c>
      <c r="R199" s="16">
        <f>(Table1[[#This Row],[NET Amount]]-Table1[[#This Row],[Total Outstanding Amount]])/Table1[[#This Row],[NET Amount]]</f>
        <v>8.1355932203389832E-3</v>
      </c>
      <c r="S199" s="2" t="s">
        <v>97</v>
      </c>
    </row>
    <row r="200" spans="1:19" x14ac:dyDescent="0.3">
      <c r="A200" s="4">
        <v>198</v>
      </c>
      <c r="B200" s="2" t="s">
        <v>25</v>
      </c>
      <c r="C200" s="3">
        <v>44835</v>
      </c>
      <c r="D200" s="3" t="str">
        <f>TEXT(Table1[[#This Row],[Admission Date]],"MMMM")</f>
        <v>October</v>
      </c>
      <c r="E200" s="3">
        <v>44835</v>
      </c>
      <c r="F200" s="3">
        <v>44835</v>
      </c>
      <c r="G200" s="2">
        <v>22025199</v>
      </c>
      <c r="H200" s="2">
        <v>2234222</v>
      </c>
      <c r="I200" s="2">
        <v>1000890994</v>
      </c>
      <c r="J200" s="2" t="s">
        <v>271</v>
      </c>
      <c r="K200" s="10">
        <v>3488</v>
      </c>
      <c r="L200" s="10">
        <v>311</v>
      </c>
      <c r="M200" s="10">
        <v>3177</v>
      </c>
      <c r="N200" s="10">
        <v>3177</v>
      </c>
      <c r="O200" s="10">
        <f>Table1[[#This Row],[NET Amount]]-Table1[[#This Row],[Paid Amount]]</f>
        <v>0</v>
      </c>
      <c r="P200" s="2" t="s">
        <v>18</v>
      </c>
      <c r="Q200" s="2" t="s">
        <v>54</v>
      </c>
      <c r="R200" s="16">
        <f>(Table1[[#This Row],[NET Amount]]-Table1[[#This Row],[Total Outstanding Amount]])/Table1[[#This Row],[NET Amount]]</f>
        <v>1</v>
      </c>
      <c r="S200" s="2" t="s">
        <v>97</v>
      </c>
    </row>
    <row r="201" spans="1:19" x14ac:dyDescent="0.3">
      <c r="A201" s="4">
        <v>199</v>
      </c>
      <c r="B201" s="2" t="s">
        <v>25</v>
      </c>
      <c r="C201" s="3">
        <v>44850</v>
      </c>
      <c r="D201" s="3" t="str">
        <f>TEXT(Table1[[#This Row],[Admission Date]],"MMMM")</f>
        <v>October</v>
      </c>
      <c r="E201" s="3">
        <v>44853</v>
      </c>
      <c r="F201" s="3">
        <v>44853</v>
      </c>
      <c r="G201" s="2">
        <v>22027690</v>
      </c>
      <c r="H201" s="2">
        <v>2236242</v>
      </c>
      <c r="I201" s="2">
        <v>1001266316</v>
      </c>
      <c r="J201" s="2" t="s">
        <v>272</v>
      </c>
      <c r="K201" s="10">
        <v>141374</v>
      </c>
      <c r="L201" s="10">
        <v>16825</v>
      </c>
      <c r="M201" s="10">
        <v>124549</v>
      </c>
      <c r="N201" s="10">
        <v>124549</v>
      </c>
      <c r="O201" s="10">
        <f>Table1[[#This Row],[NET Amount]]-Table1[[#This Row],[Paid Amount]]</f>
        <v>0</v>
      </c>
      <c r="P201" s="2" t="s">
        <v>18</v>
      </c>
      <c r="Q201" s="2" t="s">
        <v>88</v>
      </c>
      <c r="R201" s="16">
        <f>(Table1[[#This Row],[NET Amount]]-Table1[[#This Row],[Total Outstanding Amount]])/Table1[[#This Row],[NET Amount]]</f>
        <v>1</v>
      </c>
      <c r="S201" s="2" t="s">
        <v>20</v>
      </c>
    </row>
    <row r="202" spans="1:19" x14ac:dyDescent="0.3">
      <c r="A202" s="4">
        <v>200</v>
      </c>
      <c r="B202" s="2" t="s">
        <v>25</v>
      </c>
      <c r="C202" s="3">
        <v>44836</v>
      </c>
      <c r="D202" s="3" t="str">
        <f>TEXT(Table1[[#This Row],[Admission Date]],"MMMM")</f>
        <v>October</v>
      </c>
      <c r="E202" s="3">
        <v>44838</v>
      </c>
      <c r="F202" s="3">
        <v>44838</v>
      </c>
      <c r="G202" s="2">
        <v>22025504</v>
      </c>
      <c r="H202" s="2">
        <v>2234323</v>
      </c>
      <c r="I202" s="2">
        <v>1001802029</v>
      </c>
      <c r="J202" s="2" t="s">
        <v>273</v>
      </c>
      <c r="K202" s="10">
        <v>184154</v>
      </c>
      <c r="L202" s="10">
        <v>11880</v>
      </c>
      <c r="M202" s="10">
        <v>172274</v>
      </c>
      <c r="N202" s="10">
        <v>172274</v>
      </c>
      <c r="O202" s="10">
        <f>Table1[[#This Row],[NET Amount]]-Table1[[#This Row],[Paid Amount]]</f>
        <v>0</v>
      </c>
      <c r="P202" s="2" t="s">
        <v>18</v>
      </c>
      <c r="Q202" s="2" t="s">
        <v>24</v>
      </c>
      <c r="R202" s="16">
        <f>(Table1[[#This Row],[NET Amount]]-Table1[[#This Row],[Total Outstanding Amount]])/Table1[[#This Row],[NET Amount]]</f>
        <v>1</v>
      </c>
      <c r="S202" s="2" t="s">
        <v>39</v>
      </c>
    </row>
    <row r="203" spans="1:19" x14ac:dyDescent="0.3">
      <c r="A203" s="4">
        <v>201</v>
      </c>
      <c r="B203" s="2" t="s">
        <v>110</v>
      </c>
      <c r="C203" s="3">
        <v>44841</v>
      </c>
      <c r="D203" s="3" t="str">
        <f>TEXT(Table1[[#This Row],[Admission Date]],"MMMM")</f>
        <v>October</v>
      </c>
      <c r="E203" s="3">
        <v>44846</v>
      </c>
      <c r="F203" s="3">
        <v>44846</v>
      </c>
      <c r="G203" s="2">
        <v>22026648</v>
      </c>
      <c r="H203" s="2">
        <v>2235079</v>
      </c>
      <c r="I203" s="2">
        <v>10013507187</v>
      </c>
      <c r="J203" s="2" t="s">
        <v>274</v>
      </c>
      <c r="K203" s="10">
        <v>57064</v>
      </c>
      <c r="L203" s="10">
        <v>0</v>
      </c>
      <c r="M203" s="10">
        <v>57064</v>
      </c>
      <c r="N203" s="10">
        <v>57064</v>
      </c>
      <c r="O203" s="10">
        <f>Table1[[#This Row],[NET Amount]]-Table1[[#This Row],[Paid Amount]]</f>
        <v>0</v>
      </c>
      <c r="P203" s="2" t="s">
        <v>18</v>
      </c>
      <c r="Q203" s="2" t="s">
        <v>30</v>
      </c>
      <c r="R203" s="16">
        <f>(Table1[[#This Row],[NET Amount]]-Table1[[#This Row],[Total Outstanding Amount]])/Table1[[#This Row],[NET Amount]]</f>
        <v>1</v>
      </c>
      <c r="S203" s="2" t="s">
        <v>65</v>
      </c>
    </row>
    <row r="204" spans="1:19" x14ac:dyDescent="0.3">
      <c r="A204" s="4">
        <v>202</v>
      </c>
      <c r="B204" s="2" t="s">
        <v>50</v>
      </c>
      <c r="C204" s="3">
        <v>44842</v>
      </c>
      <c r="D204" s="3" t="str">
        <f>TEXT(Table1[[#This Row],[Admission Date]],"MMMM")</f>
        <v>October</v>
      </c>
      <c r="E204" s="3">
        <v>44842</v>
      </c>
      <c r="F204" s="3">
        <v>44842</v>
      </c>
      <c r="G204" s="2">
        <v>22026195</v>
      </c>
      <c r="H204" s="2">
        <v>2235138</v>
      </c>
      <c r="I204" s="2">
        <v>1001105051</v>
      </c>
      <c r="J204" s="2" t="s">
        <v>275</v>
      </c>
      <c r="K204" s="10">
        <v>4840</v>
      </c>
      <c r="L204" s="10">
        <v>0</v>
      </c>
      <c r="M204" s="10">
        <v>4840</v>
      </c>
      <c r="N204" s="10">
        <v>242</v>
      </c>
      <c r="O204" s="10">
        <f>Table1[[#This Row],[NET Amount]]-Table1[[#This Row],[Paid Amount]]</f>
        <v>4598</v>
      </c>
      <c r="P204" s="2" t="s">
        <v>23</v>
      </c>
      <c r="Q204" s="2" t="s">
        <v>147</v>
      </c>
      <c r="R204" s="16">
        <f>(Table1[[#This Row],[NET Amount]]-Table1[[#This Row],[Total Outstanding Amount]])/Table1[[#This Row],[NET Amount]]</f>
        <v>0.05</v>
      </c>
      <c r="S204" s="2" t="s">
        <v>97</v>
      </c>
    </row>
    <row r="205" spans="1:19" x14ac:dyDescent="0.3">
      <c r="A205" s="4">
        <v>203</v>
      </c>
      <c r="B205" s="2" t="s">
        <v>25</v>
      </c>
      <c r="C205" s="3">
        <v>44836</v>
      </c>
      <c r="D205" s="3" t="str">
        <f>TEXT(Table1[[#This Row],[Admission Date]],"MMMM")</f>
        <v>October</v>
      </c>
      <c r="E205" s="3">
        <v>44839</v>
      </c>
      <c r="F205" s="3">
        <v>44839</v>
      </c>
      <c r="G205" s="2">
        <v>22025678</v>
      </c>
      <c r="H205" s="2">
        <v>2234329</v>
      </c>
      <c r="I205" s="2">
        <v>1001802039</v>
      </c>
      <c r="J205" s="2" t="s">
        <v>276</v>
      </c>
      <c r="K205" s="10">
        <v>111966</v>
      </c>
      <c r="L205" s="10">
        <v>14054</v>
      </c>
      <c r="M205" s="10">
        <v>97913</v>
      </c>
      <c r="N205" s="10">
        <v>97913</v>
      </c>
      <c r="O205" s="10">
        <f>Table1[[#This Row],[NET Amount]]-Table1[[#This Row],[Paid Amount]]</f>
        <v>0</v>
      </c>
      <c r="P205" s="2" t="s">
        <v>18</v>
      </c>
      <c r="Q205" s="2" t="s">
        <v>30</v>
      </c>
      <c r="R205" s="16">
        <f>(Table1[[#This Row],[NET Amount]]-Table1[[#This Row],[Total Outstanding Amount]])/Table1[[#This Row],[NET Amount]]</f>
        <v>1</v>
      </c>
      <c r="S205" s="2" t="s">
        <v>27</v>
      </c>
    </row>
    <row r="206" spans="1:19" x14ac:dyDescent="0.3">
      <c r="A206" s="4">
        <v>204</v>
      </c>
      <c r="B206" s="2" t="s">
        <v>25</v>
      </c>
      <c r="C206" s="3">
        <v>44852</v>
      </c>
      <c r="D206" s="3" t="str">
        <f>TEXT(Table1[[#This Row],[Admission Date]],"MMMM")</f>
        <v>October</v>
      </c>
      <c r="E206" s="3">
        <v>44855</v>
      </c>
      <c r="F206" s="3">
        <v>44855</v>
      </c>
      <c r="G206" s="2">
        <v>22028000</v>
      </c>
      <c r="H206" s="2">
        <v>2236504</v>
      </c>
      <c r="I206" s="2">
        <v>1001805082</v>
      </c>
      <c r="J206" s="2" t="s">
        <v>277</v>
      </c>
      <c r="K206" s="10">
        <v>15015</v>
      </c>
      <c r="L206" s="10">
        <v>1880</v>
      </c>
      <c r="M206" s="10">
        <v>13135</v>
      </c>
      <c r="N206" s="10">
        <v>13135</v>
      </c>
      <c r="O206" s="10">
        <f>Table1[[#This Row],[NET Amount]]-Table1[[#This Row],[Paid Amount]]</f>
        <v>0</v>
      </c>
      <c r="P206" s="2" t="s">
        <v>18</v>
      </c>
      <c r="Q206" s="2" t="s">
        <v>19</v>
      </c>
      <c r="R206" s="16">
        <f>(Table1[[#This Row],[NET Amount]]-Table1[[#This Row],[Total Outstanding Amount]])/Table1[[#This Row],[NET Amount]]</f>
        <v>1</v>
      </c>
      <c r="S206" s="2" t="s">
        <v>37</v>
      </c>
    </row>
    <row r="207" spans="1:19" x14ac:dyDescent="0.3">
      <c r="A207" s="4">
        <v>205</v>
      </c>
      <c r="B207" s="2" t="s">
        <v>25</v>
      </c>
      <c r="C207" s="3">
        <v>44846</v>
      </c>
      <c r="D207" s="3" t="str">
        <f>TEXT(Table1[[#This Row],[Admission Date]],"MMMM")</f>
        <v>October</v>
      </c>
      <c r="E207" s="3">
        <v>44846</v>
      </c>
      <c r="F207" s="3">
        <v>44846</v>
      </c>
      <c r="G207" s="2">
        <v>22026655</v>
      </c>
      <c r="H207" s="2">
        <v>2235639</v>
      </c>
      <c r="I207" s="2">
        <v>10013407139</v>
      </c>
      <c r="J207" s="2" t="s">
        <v>237</v>
      </c>
      <c r="K207" s="10">
        <v>2844</v>
      </c>
      <c r="L207" s="10">
        <v>308</v>
      </c>
      <c r="M207" s="10">
        <v>2536</v>
      </c>
      <c r="N207" s="10">
        <v>2536</v>
      </c>
      <c r="O207" s="10">
        <f>Table1[[#This Row],[NET Amount]]-Table1[[#This Row],[Paid Amount]]</f>
        <v>0</v>
      </c>
      <c r="P207" s="2" t="s">
        <v>18</v>
      </c>
      <c r="Q207" s="2" t="s">
        <v>54</v>
      </c>
      <c r="R207" s="16">
        <f>(Table1[[#This Row],[NET Amount]]-Table1[[#This Row],[Total Outstanding Amount]])/Table1[[#This Row],[NET Amount]]</f>
        <v>1</v>
      </c>
      <c r="S207" s="2" t="s">
        <v>97</v>
      </c>
    </row>
    <row r="208" spans="1:19" x14ac:dyDescent="0.3">
      <c r="A208" s="4">
        <v>206</v>
      </c>
      <c r="B208" s="2" t="s">
        <v>45</v>
      </c>
      <c r="C208" s="3">
        <v>44846</v>
      </c>
      <c r="D208" s="3" t="str">
        <f>TEXT(Table1[[#This Row],[Admission Date]],"MMMM")</f>
        <v>October</v>
      </c>
      <c r="E208" s="3">
        <v>44846</v>
      </c>
      <c r="F208" s="3">
        <v>44846</v>
      </c>
      <c r="G208" s="2">
        <v>22026668</v>
      </c>
      <c r="H208" s="2">
        <v>2235656</v>
      </c>
      <c r="I208" s="2">
        <v>10013464572</v>
      </c>
      <c r="J208" s="2" t="s">
        <v>278</v>
      </c>
      <c r="K208" s="10">
        <v>4840</v>
      </c>
      <c r="L208" s="10">
        <v>1003</v>
      </c>
      <c r="M208" s="10">
        <v>3837</v>
      </c>
      <c r="N208" s="10">
        <v>1637</v>
      </c>
      <c r="O208" s="10">
        <f>Table1[[#This Row],[NET Amount]]-Table1[[#This Row],[Paid Amount]]</f>
        <v>2200</v>
      </c>
      <c r="P208" s="2" t="s">
        <v>23</v>
      </c>
      <c r="Q208" s="2" t="s">
        <v>147</v>
      </c>
      <c r="R208" s="16">
        <f>(Table1[[#This Row],[NET Amount]]-Table1[[#This Row],[Total Outstanding Amount]])/Table1[[#This Row],[NET Amount]]</f>
        <v>0.42663539223351576</v>
      </c>
      <c r="S208" s="2" t="s">
        <v>97</v>
      </c>
    </row>
    <row r="209" spans="1:19" x14ac:dyDescent="0.3">
      <c r="A209" s="4">
        <v>207</v>
      </c>
      <c r="B209" s="2" t="s">
        <v>168</v>
      </c>
      <c r="C209" s="3">
        <v>44828</v>
      </c>
      <c r="D209" s="3" t="str">
        <f>TEXT(Table1[[#This Row],[Admission Date]],"MMMM")</f>
        <v>September</v>
      </c>
      <c r="E209" s="3">
        <v>44838</v>
      </c>
      <c r="F209" s="3">
        <v>44838</v>
      </c>
      <c r="G209" s="2">
        <v>22025505</v>
      </c>
      <c r="H209" s="2">
        <v>2233320</v>
      </c>
      <c r="I209" s="2">
        <v>10013540206</v>
      </c>
      <c r="J209" s="2" t="s">
        <v>279</v>
      </c>
      <c r="K209" s="10">
        <v>284448</v>
      </c>
      <c r="L209" s="10">
        <v>29794</v>
      </c>
      <c r="M209" s="10">
        <v>254654</v>
      </c>
      <c r="N209" s="10">
        <v>10018</v>
      </c>
      <c r="O209" s="10">
        <f>Table1[[#This Row],[NET Amount]]-Table1[[#This Row],[Paid Amount]]</f>
        <v>244636</v>
      </c>
      <c r="P209" s="2" t="s">
        <v>23</v>
      </c>
      <c r="Q209" s="2" t="s">
        <v>42</v>
      </c>
      <c r="R209" s="16">
        <f>(Table1[[#This Row],[NET Amount]]-Table1[[#This Row],[Total Outstanding Amount]])/Table1[[#This Row],[NET Amount]]</f>
        <v>3.9339653019391019E-2</v>
      </c>
      <c r="S209" s="2" t="s">
        <v>280</v>
      </c>
    </row>
    <row r="210" spans="1:19" x14ac:dyDescent="0.3">
      <c r="A210" s="4">
        <v>208</v>
      </c>
      <c r="B210" s="2" t="s">
        <v>25</v>
      </c>
      <c r="C210" s="3">
        <v>44839</v>
      </c>
      <c r="D210" s="3" t="str">
        <f>TEXT(Table1[[#This Row],[Admission Date]],"MMMM")</f>
        <v>October</v>
      </c>
      <c r="E210" s="3">
        <v>44839</v>
      </c>
      <c r="F210" s="3">
        <v>44839</v>
      </c>
      <c r="G210" s="2">
        <v>22025736</v>
      </c>
      <c r="H210" s="2">
        <v>2234692</v>
      </c>
      <c r="I210" s="2">
        <v>1001802534</v>
      </c>
      <c r="J210" s="2" t="s">
        <v>281</v>
      </c>
      <c r="K210" s="10">
        <v>14750</v>
      </c>
      <c r="L210" s="10">
        <v>112</v>
      </c>
      <c r="M210" s="10">
        <v>14638</v>
      </c>
      <c r="N210" s="10">
        <v>14638</v>
      </c>
      <c r="O210" s="10">
        <f>Table1[[#This Row],[NET Amount]]-Table1[[#This Row],[Paid Amount]]</f>
        <v>0</v>
      </c>
      <c r="P210" s="2" t="s">
        <v>18</v>
      </c>
      <c r="Q210" s="2" t="s">
        <v>54</v>
      </c>
      <c r="R210" s="16">
        <f>(Table1[[#This Row],[NET Amount]]-Table1[[#This Row],[Total Outstanding Amount]])/Table1[[#This Row],[NET Amount]]</f>
        <v>1</v>
      </c>
      <c r="S210" s="2" t="s">
        <v>39</v>
      </c>
    </row>
    <row r="211" spans="1:19" x14ac:dyDescent="0.3">
      <c r="A211" s="4">
        <v>209</v>
      </c>
      <c r="B211" s="2" t="s">
        <v>282</v>
      </c>
      <c r="C211" s="3">
        <v>44844</v>
      </c>
      <c r="D211" s="3" t="str">
        <f>TEXT(Table1[[#This Row],[Admission Date]],"MMMM")</f>
        <v>October</v>
      </c>
      <c r="E211" s="3">
        <v>44844</v>
      </c>
      <c r="F211" s="3">
        <v>44844</v>
      </c>
      <c r="G211" s="2">
        <v>22026393</v>
      </c>
      <c r="H211" s="2">
        <v>2235350</v>
      </c>
      <c r="I211" s="2">
        <v>10013503050</v>
      </c>
      <c r="J211" s="2" t="s">
        <v>283</v>
      </c>
      <c r="K211" s="10">
        <v>8930</v>
      </c>
      <c r="L211" s="10">
        <v>8930</v>
      </c>
      <c r="M211" s="10">
        <v>0</v>
      </c>
      <c r="N211" s="10">
        <v>0</v>
      </c>
      <c r="O211" s="10">
        <f>Table1[[#This Row],[NET Amount]]-Table1[[#This Row],[Paid Amount]]</f>
        <v>0</v>
      </c>
      <c r="P211" s="2" t="s">
        <v>18</v>
      </c>
      <c r="Q211" s="2" t="s">
        <v>54</v>
      </c>
      <c r="R211" s="16" t="e">
        <f>(Table1[[#This Row],[NET Amount]]-Table1[[#This Row],[Total Outstanding Amount]])/Table1[[#This Row],[NET Amount]]</f>
        <v>#DIV/0!</v>
      </c>
      <c r="S211" s="2" t="s">
        <v>55</v>
      </c>
    </row>
    <row r="212" spans="1:19" x14ac:dyDescent="0.3">
      <c r="A212" s="4">
        <v>210</v>
      </c>
      <c r="B212" s="2" t="s">
        <v>2256</v>
      </c>
      <c r="C212" s="3">
        <v>44842</v>
      </c>
      <c r="D212" s="3" t="str">
        <f>TEXT(Table1[[#This Row],[Admission Date]],"MMMM")</f>
        <v>October</v>
      </c>
      <c r="E212" s="3">
        <v>44843</v>
      </c>
      <c r="F212" s="3">
        <v>44843</v>
      </c>
      <c r="G212" s="2">
        <v>22026319</v>
      </c>
      <c r="H212" s="2">
        <v>2235225</v>
      </c>
      <c r="I212" s="2">
        <v>1001803331</v>
      </c>
      <c r="J212" s="2" t="s">
        <v>284</v>
      </c>
      <c r="K212" s="10">
        <v>35545</v>
      </c>
      <c r="L212" s="10">
        <v>645</v>
      </c>
      <c r="M212" s="10">
        <v>34900</v>
      </c>
      <c r="N212" s="10">
        <v>1900</v>
      </c>
      <c r="O212" s="10">
        <f>Table1[[#This Row],[NET Amount]]-Table1[[#This Row],[Paid Amount]]</f>
        <v>33000</v>
      </c>
      <c r="P212" s="2" t="s">
        <v>23</v>
      </c>
      <c r="Q212" s="2" t="s">
        <v>42</v>
      </c>
      <c r="R212" s="16">
        <f>(Table1[[#This Row],[NET Amount]]-Table1[[#This Row],[Total Outstanding Amount]])/Table1[[#This Row],[NET Amount]]</f>
        <v>5.4441260744985676E-2</v>
      </c>
      <c r="S212" s="2" t="s">
        <v>201</v>
      </c>
    </row>
    <row r="213" spans="1:19" x14ac:dyDescent="0.3">
      <c r="A213" s="4">
        <v>211</v>
      </c>
      <c r="B213" s="2" t="s">
        <v>35</v>
      </c>
      <c r="C213" s="3">
        <v>44834</v>
      </c>
      <c r="D213" s="3" t="str">
        <f>TEXT(Table1[[#This Row],[Admission Date]],"MMMM")</f>
        <v>September</v>
      </c>
      <c r="E213" s="3">
        <v>44835</v>
      </c>
      <c r="F213" s="3">
        <v>44835</v>
      </c>
      <c r="G213" s="2">
        <v>22025115</v>
      </c>
      <c r="H213" s="2">
        <v>2234034</v>
      </c>
      <c r="I213" s="2">
        <v>10013513605</v>
      </c>
      <c r="J213" s="2" t="s">
        <v>285</v>
      </c>
      <c r="K213" s="10">
        <v>11212</v>
      </c>
      <c r="L213" s="10">
        <v>0</v>
      </c>
      <c r="M213" s="10">
        <v>11212</v>
      </c>
      <c r="N213" s="10">
        <v>11212</v>
      </c>
      <c r="O213" s="10">
        <f>Table1[[#This Row],[NET Amount]]-Table1[[#This Row],[Paid Amount]]</f>
        <v>0</v>
      </c>
      <c r="P213" s="2" t="s">
        <v>18</v>
      </c>
      <c r="Q213" s="2" t="s">
        <v>19</v>
      </c>
      <c r="R213" s="16">
        <f>(Table1[[#This Row],[NET Amount]]-Table1[[#This Row],[Total Outstanding Amount]])/Table1[[#This Row],[NET Amount]]</f>
        <v>1</v>
      </c>
      <c r="S213" s="2" t="s">
        <v>27</v>
      </c>
    </row>
    <row r="214" spans="1:19" x14ac:dyDescent="0.3">
      <c r="A214" s="4">
        <v>212</v>
      </c>
      <c r="B214" s="2" t="s">
        <v>2244</v>
      </c>
      <c r="C214" s="3">
        <v>44839</v>
      </c>
      <c r="D214" s="3" t="str">
        <f>TEXT(Table1[[#This Row],[Admission Date]],"MMMM")</f>
        <v>October</v>
      </c>
      <c r="E214" s="3">
        <v>44842</v>
      </c>
      <c r="F214" s="3">
        <v>44842</v>
      </c>
      <c r="G214" s="2">
        <v>22026137</v>
      </c>
      <c r="H214" s="2">
        <v>2234665</v>
      </c>
      <c r="I214" s="2">
        <v>1001802513</v>
      </c>
      <c r="J214" s="2" t="s">
        <v>286</v>
      </c>
      <c r="K214" s="10">
        <v>17033</v>
      </c>
      <c r="L214" s="10">
        <v>0</v>
      </c>
      <c r="M214" s="10">
        <v>17033</v>
      </c>
      <c r="N214" s="10">
        <v>17033</v>
      </c>
      <c r="O214" s="10">
        <f>Table1[[#This Row],[NET Amount]]-Table1[[#This Row],[Paid Amount]]</f>
        <v>0</v>
      </c>
      <c r="P214" s="2" t="s">
        <v>18</v>
      </c>
      <c r="Q214" s="2" t="s">
        <v>24</v>
      </c>
      <c r="R214" s="16">
        <f>(Table1[[#This Row],[NET Amount]]-Table1[[#This Row],[Total Outstanding Amount]])/Table1[[#This Row],[NET Amount]]</f>
        <v>1</v>
      </c>
      <c r="S214" s="2" t="s">
        <v>20</v>
      </c>
    </row>
    <row r="215" spans="1:19" x14ac:dyDescent="0.3">
      <c r="A215" s="4">
        <v>213</v>
      </c>
      <c r="B215" s="2" t="s">
        <v>25</v>
      </c>
      <c r="C215" s="3">
        <v>44837</v>
      </c>
      <c r="D215" s="3" t="str">
        <f>TEXT(Table1[[#This Row],[Admission Date]],"MMMM")</f>
        <v>October</v>
      </c>
      <c r="E215" s="3">
        <v>44837</v>
      </c>
      <c r="F215" s="3">
        <v>44837</v>
      </c>
      <c r="G215" s="2">
        <v>22025427</v>
      </c>
      <c r="H215" s="2">
        <v>2234409</v>
      </c>
      <c r="I215" s="2">
        <v>1001802205</v>
      </c>
      <c r="J215" s="2" t="s">
        <v>287</v>
      </c>
      <c r="K215" s="10">
        <v>14000</v>
      </c>
      <c r="L215" s="10">
        <v>0</v>
      </c>
      <c r="M215" s="10">
        <v>14000</v>
      </c>
      <c r="N215" s="10">
        <v>14000</v>
      </c>
      <c r="O215" s="10">
        <f>Table1[[#This Row],[NET Amount]]-Table1[[#This Row],[Paid Amount]]</f>
        <v>0</v>
      </c>
      <c r="P215" s="2" t="s">
        <v>18</v>
      </c>
      <c r="Q215" s="2" t="s">
        <v>54</v>
      </c>
      <c r="R215" s="16">
        <f>(Table1[[#This Row],[NET Amount]]-Table1[[#This Row],[Total Outstanding Amount]])/Table1[[#This Row],[NET Amount]]</f>
        <v>1</v>
      </c>
      <c r="S215" s="2" t="s">
        <v>39</v>
      </c>
    </row>
    <row r="216" spans="1:19" x14ac:dyDescent="0.3">
      <c r="A216" s="4">
        <v>214</v>
      </c>
      <c r="B216" s="2" t="s">
        <v>122</v>
      </c>
      <c r="C216" s="3">
        <v>44833</v>
      </c>
      <c r="D216" s="3" t="str">
        <f>TEXT(Table1[[#This Row],[Admission Date]],"MMMM")</f>
        <v>September</v>
      </c>
      <c r="E216" s="3">
        <v>44837</v>
      </c>
      <c r="F216" s="3">
        <v>44837</v>
      </c>
      <c r="G216" s="2">
        <v>22025450</v>
      </c>
      <c r="H216" s="2">
        <v>2233939</v>
      </c>
      <c r="I216" s="2">
        <v>1000950490</v>
      </c>
      <c r="J216" s="2" t="s">
        <v>288</v>
      </c>
      <c r="K216" s="10">
        <v>130772</v>
      </c>
      <c r="L216" s="10">
        <v>130772</v>
      </c>
      <c r="M216" s="10">
        <v>0</v>
      </c>
      <c r="N216" s="10">
        <v>0</v>
      </c>
      <c r="O216" s="10">
        <f>Table1[[#This Row],[NET Amount]]-Table1[[#This Row],[Paid Amount]]</f>
        <v>0</v>
      </c>
      <c r="P216" s="2" t="s">
        <v>18</v>
      </c>
      <c r="Q216" s="2" t="s">
        <v>90</v>
      </c>
      <c r="R216" s="16" t="e">
        <f>(Table1[[#This Row],[NET Amount]]-Table1[[#This Row],[Total Outstanding Amount]])/Table1[[#This Row],[NET Amount]]</f>
        <v>#DIV/0!</v>
      </c>
      <c r="S216" s="2" t="s">
        <v>162</v>
      </c>
    </row>
    <row r="217" spans="1:19" x14ac:dyDescent="0.3">
      <c r="A217" s="4">
        <v>215</v>
      </c>
      <c r="B217" s="2" t="s">
        <v>2244</v>
      </c>
      <c r="C217" s="3">
        <v>44832</v>
      </c>
      <c r="D217" s="3" t="str">
        <f>TEXT(Table1[[#This Row],[Admission Date]],"MMMM")</f>
        <v>September</v>
      </c>
      <c r="E217" s="3">
        <v>44835</v>
      </c>
      <c r="F217" s="3">
        <v>44835</v>
      </c>
      <c r="G217" s="2">
        <v>22025112</v>
      </c>
      <c r="H217" s="2">
        <v>2233773</v>
      </c>
      <c r="I217" s="2">
        <v>1001801257</v>
      </c>
      <c r="J217" s="2" t="s">
        <v>289</v>
      </c>
      <c r="K217" s="10">
        <v>48585</v>
      </c>
      <c r="L217" s="10">
        <v>0</v>
      </c>
      <c r="M217" s="10">
        <v>48585</v>
      </c>
      <c r="N217" s="10">
        <v>48585</v>
      </c>
      <c r="O217" s="10">
        <f>Table1[[#This Row],[NET Amount]]-Table1[[#This Row],[Paid Amount]]</f>
        <v>0</v>
      </c>
      <c r="P217" s="2" t="s">
        <v>18</v>
      </c>
      <c r="Q217" s="2" t="s">
        <v>24</v>
      </c>
      <c r="R217" s="16">
        <f>(Table1[[#This Row],[NET Amount]]-Table1[[#This Row],[Total Outstanding Amount]])/Table1[[#This Row],[NET Amount]]</f>
        <v>1</v>
      </c>
      <c r="S217" s="2" t="s">
        <v>77</v>
      </c>
    </row>
    <row r="218" spans="1:19" x14ac:dyDescent="0.3">
      <c r="A218" s="4">
        <v>216</v>
      </c>
      <c r="B218" s="2" t="s">
        <v>25</v>
      </c>
      <c r="C218" s="3">
        <v>44836</v>
      </c>
      <c r="D218" s="3" t="str">
        <f>TEXT(Table1[[#This Row],[Admission Date]],"MMMM")</f>
        <v>October</v>
      </c>
      <c r="E218" s="3">
        <v>44837</v>
      </c>
      <c r="F218" s="3">
        <v>44837</v>
      </c>
      <c r="G218" s="2">
        <v>22025334</v>
      </c>
      <c r="H218" s="2">
        <v>2234313</v>
      </c>
      <c r="I218" s="2">
        <v>1001802010</v>
      </c>
      <c r="J218" s="2" t="s">
        <v>290</v>
      </c>
      <c r="K218" s="10">
        <v>8968</v>
      </c>
      <c r="L218" s="10">
        <v>1345</v>
      </c>
      <c r="M218" s="10">
        <v>7623</v>
      </c>
      <c r="N218" s="10">
        <v>7623</v>
      </c>
      <c r="O218" s="10">
        <f>Table1[[#This Row],[NET Amount]]-Table1[[#This Row],[Paid Amount]]</f>
        <v>0</v>
      </c>
      <c r="P218" s="2" t="s">
        <v>18</v>
      </c>
      <c r="Q218" s="2" t="s">
        <v>30</v>
      </c>
      <c r="R218" s="16">
        <f>(Table1[[#This Row],[NET Amount]]-Table1[[#This Row],[Total Outstanding Amount]])/Table1[[#This Row],[NET Amount]]</f>
        <v>1</v>
      </c>
      <c r="S218" s="2" t="s">
        <v>37</v>
      </c>
    </row>
    <row r="219" spans="1:19" x14ac:dyDescent="0.3">
      <c r="A219" s="4">
        <v>217</v>
      </c>
      <c r="B219" s="2" t="s">
        <v>40</v>
      </c>
      <c r="C219" s="3">
        <v>44855</v>
      </c>
      <c r="D219" s="3" t="str">
        <f>TEXT(Table1[[#This Row],[Admission Date]],"MMMM")</f>
        <v>October</v>
      </c>
      <c r="E219" s="3">
        <v>44861</v>
      </c>
      <c r="F219" s="3">
        <v>44861</v>
      </c>
      <c r="G219" s="2">
        <v>22028782</v>
      </c>
      <c r="H219" s="2">
        <v>2236899</v>
      </c>
      <c r="I219" s="2">
        <v>1001805610</v>
      </c>
      <c r="J219" s="2" t="s">
        <v>291</v>
      </c>
      <c r="K219" s="10">
        <v>133518</v>
      </c>
      <c r="L219" s="10">
        <v>16219</v>
      </c>
      <c r="M219" s="10">
        <v>117299</v>
      </c>
      <c r="N219" s="10">
        <v>17326</v>
      </c>
      <c r="O219" s="10">
        <f>Table1[[#This Row],[NET Amount]]-Table1[[#This Row],[Paid Amount]]</f>
        <v>99973</v>
      </c>
      <c r="P219" s="2" t="s">
        <v>23</v>
      </c>
      <c r="Q219" s="2" t="s">
        <v>42</v>
      </c>
      <c r="R219" s="16">
        <f>(Table1[[#This Row],[NET Amount]]-Table1[[#This Row],[Total Outstanding Amount]])/Table1[[#This Row],[NET Amount]]</f>
        <v>0.14770799410054647</v>
      </c>
      <c r="S219" s="2" t="s">
        <v>201</v>
      </c>
    </row>
    <row r="220" spans="1:19" x14ac:dyDescent="0.3">
      <c r="A220" s="4">
        <v>218</v>
      </c>
      <c r="B220" s="2" t="s">
        <v>139</v>
      </c>
      <c r="C220" s="3">
        <v>44845</v>
      </c>
      <c r="D220" s="3" t="str">
        <f>TEXT(Table1[[#This Row],[Admission Date]],"MMMM")</f>
        <v>October</v>
      </c>
      <c r="E220" s="3">
        <v>44846</v>
      </c>
      <c r="F220" s="3">
        <v>44846</v>
      </c>
      <c r="G220" s="2">
        <v>22026675</v>
      </c>
      <c r="H220" s="2">
        <v>2235516</v>
      </c>
      <c r="I220" s="2">
        <v>1001285966</v>
      </c>
      <c r="J220" s="2" t="s">
        <v>292</v>
      </c>
      <c r="K220" s="10">
        <v>82862</v>
      </c>
      <c r="L220" s="10">
        <v>0</v>
      </c>
      <c r="M220" s="10">
        <v>82862</v>
      </c>
      <c r="N220" s="10">
        <v>45066</v>
      </c>
      <c r="O220" s="10">
        <f>Table1[[#This Row],[NET Amount]]-Table1[[#This Row],[Paid Amount]]</f>
        <v>37796</v>
      </c>
      <c r="P220" s="2" t="s">
        <v>23</v>
      </c>
      <c r="Q220" s="2" t="s">
        <v>52</v>
      </c>
      <c r="R220" s="16">
        <f>(Table1[[#This Row],[NET Amount]]-Table1[[#This Row],[Total Outstanding Amount]])/Table1[[#This Row],[NET Amount]]</f>
        <v>0.5438681180758369</v>
      </c>
      <c r="S220" s="2" t="s">
        <v>293</v>
      </c>
    </row>
    <row r="221" spans="1:19" x14ac:dyDescent="0.3">
      <c r="A221" s="4">
        <v>219</v>
      </c>
      <c r="B221" s="2" t="s">
        <v>25</v>
      </c>
      <c r="C221" s="3">
        <v>44845</v>
      </c>
      <c r="D221" s="3" t="str">
        <f>TEXT(Table1[[#This Row],[Admission Date]],"MMMM")</f>
        <v>October</v>
      </c>
      <c r="E221" s="3">
        <v>44845</v>
      </c>
      <c r="F221" s="3">
        <v>44845</v>
      </c>
      <c r="G221" s="2">
        <v>22026497</v>
      </c>
      <c r="H221" s="2">
        <v>2235490</v>
      </c>
      <c r="I221" s="2">
        <v>1001427466</v>
      </c>
      <c r="J221" s="2" t="s">
        <v>294</v>
      </c>
      <c r="K221" s="10">
        <v>2680</v>
      </c>
      <c r="L221" s="10">
        <v>2680</v>
      </c>
      <c r="M221" s="10">
        <v>0</v>
      </c>
      <c r="N221" s="10">
        <v>0</v>
      </c>
      <c r="O221" s="10">
        <f>Table1[[#This Row],[NET Amount]]-Table1[[#This Row],[Paid Amount]]</f>
        <v>0</v>
      </c>
      <c r="P221" s="2" t="s">
        <v>18</v>
      </c>
      <c r="Q221" s="2" t="s">
        <v>90</v>
      </c>
      <c r="R221" s="16" t="e">
        <f>(Table1[[#This Row],[NET Amount]]-Table1[[#This Row],[Total Outstanding Amount]])/Table1[[#This Row],[NET Amount]]</f>
        <v>#DIV/0!</v>
      </c>
      <c r="S221" s="2" t="s">
        <v>97</v>
      </c>
    </row>
    <row r="222" spans="1:19" x14ac:dyDescent="0.3">
      <c r="A222" s="4">
        <v>220</v>
      </c>
      <c r="B222" s="2" t="s">
        <v>25</v>
      </c>
      <c r="C222" s="3">
        <v>44850</v>
      </c>
      <c r="D222" s="3" t="str">
        <f>TEXT(Table1[[#This Row],[Admission Date]],"MMMM")</f>
        <v>October</v>
      </c>
      <c r="E222" s="3">
        <v>44853</v>
      </c>
      <c r="F222" s="3">
        <v>44853</v>
      </c>
      <c r="G222" s="2">
        <v>22027680</v>
      </c>
      <c r="H222" s="2">
        <v>2236258</v>
      </c>
      <c r="I222" s="2">
        <v>10013543290</v>
      </c>
      <c r="J222" s="2" t="s">
        <v>295</v>
      </c>
      <c r="K222" s="10">
        <v>240237</v>
      </c>
      <c r="L222" s="10">
        <v>7846</v>
      </c>
      <c r="M222" s="10">
        <v>232392</v>
      </c>
      <c r="N222" s="10">
        <v>232392</v>
      </c>
      <c r="O222" s="10">
        <f>Table1[[#This Row],[NET Amount]]-Table1[[#This Row],[Paid Amount]]</f>
        <v>0</v>
      </c>
      <c r="P222" s="2" t="s">
        <v>18</v>
      </c>
      <c r="Q222" s="2" t="s">
        <v>24</v>
      </c>
      <c r="R222" s="16">
        <f>(Table1[[#This Row],[NET Amount]]-Table1[[#This Row],[Total Outstanding Amount]])/Table1[[#This Row],[NET Amount]]</f>
        <v>1</v>
      </c>
      <c r="S222" s="2" t="s">
        <v>39</v>
      </c>
    </row>
    <row r="223" spans="1:19" x14ac:dyDescent="0.3">
      <c r="A223" s="4">
        <v>221</v>
      </c>
      <c r="B223" s="2" t="s">
        <v>25</v>
      </c>
      <c r="C223" s="3">
        <v>44857</v>
      </c>
      <c r="D223" s="3" t="str">
        <f>TEXT(Table1[[#This Row],[Admission Date]],"MMMM")</f>
        <v>October</v>
      </c>
      <c r="E223" s="3">
        <v>44859</v>
      </c>
      <c r="F223" s="3">
        <v>44859</v>
      </c>
      <c r="G223" s="2">
        <v>22028488</v>
      </c>
      <c r="H223" s="2">
        <v>2237188</v>
      </c>
      <c r="I223" s="2">
        <v>10013544072</v>
      </c>
      <c r="J223" s="2" t="s">
        <v>296</v>
      </c>
      <c r="K223" s="10">
        <v>86229</v>
      </c>
      <c r="L223" s="10">
        <v>9768</v>
      </c>
      <c r="M223" s="10">
        <v>76461</v>
      </c>
      <c r="N223" s="10">
        <v>76461</v>
      </c>
      <c r="O223" s="10">
        <f>Table1[[#This Row],[NET Amount]]-Table1[[#This Row],[Paid Amount]]</f>
        <v>0</v>
      </c>
      <c r="P223" s="2" t="s">
        <v>18</v>
      </c>
      <c r="Q223" s="2" t="s">
        <v>24</v>
      </c>
      <c r="R223" s="16">
        <f>(Table1[[#This Row],[NET Amount]]-Table1[[#This Row],[Total Outstanding Amount]])/Table1[[#This Row],[NET Amount]]</f>
        <v>1</v>
      </c>
      <c r="S223" s="2" t="s">
        <v>27</v>
      </c>
    </row>
    <row r="224" spans="1:19" x14ac:dyDescent="0.3">
      <c r="A224" s="4">
        <v>222</v>
      </c>
      <c r="B224" s="2" t="s">
        <v>25</v>
      </c>
      <c r="C224" s="3">
        <v>44842</v>
      </c>
      <c r="D224" s="3" t="str">
        <f>TEXT(Table1[[#This Row],[Admission Date]],"MMMM")</f>
        <v>October</v>
      </c>
      <c r="E224" s="3">
        <v>44846</v>
      </c>
      <c r="F224" s="3">
        <v>44846</v>
      </c>
      <c r="G224" s="2">
        <v>22026683</v>
      </c>
      <c r="H224" s="2">
        <v>2235199</v>
      </c>
      <c r="I224" s="2">
        <v>1001803309</v>
      </c>
      <c r="J224" s="2" t="s">
        <v>291</v>
      </c>
      <c r="K224" s="10">
        <v>155170</v>
      </c>
      <c r="L224" s="10">
        <v>155170</v>
      </c>
      <c r="M224" s="10">
        <v>0</v>
      </c>
      <c r="N224" s="10">
        <v>0</v>
      </c>
      <c r="O224" s="10">
        <f>Table1[[#This Row],[NET Amount]]-Table1[[#This Row],[Paid Amount]]</f>
        <v>0</v>
      </c>
      <c r="P224" s="2" t="s">
        <v>18</v>
      </c>
      <c r="Q224" s="2" t="s">
        <v>90</v>
      </c>
      <c r="R224" s="16" t="e">
        <f>(Table1[[#This Row],[NET Amount]]-Table1[[#This Row],[Total Outstanding Amount]])/Table1[[#This Row],[NET Amount]]</f>
        <v>#DIV/0!</v>
      </c>
      <c r="S224" s="2" t="s">
        <v>201</v>
      </c>
    </row>
    <row r="225" spans="1:19" x14ac:dyDescent="0.3">
      <c r="A225" s="4">
        <v>223</v>
      </c>
      <c r="B225" s="2" t="s">
        <v>25</v>
      </c>
      <c r="C225" s="3">
        <v>44840</v>
      </c>
      <c r="D225" s="3" t="str">
        <f>TEXT(Table1[[#This Row],[Admission Date]],"MMMM")</f>
        <v>October</v>
      </c>
      <c r="E225" s="3">
        <v>44850</v>
      </c>
      <c r="F225" s="3">
        <v>44850</v>
      </c>
      <c r="G225" s="2">
        <v>22027299</v>
      </c>
      <c r="H225" s="2">
        <v>2234872</v>
      </c>
      <c r="I225" s="2">
        <v>1001802813</v>
      </c>
      <c r="J225" s="2" t="s">
        <v>297</v>
      </c>
      <c r="K225" s="10">
        <v>292700</v>
      </c>
      <c r="L225" s="10">
        <v>0</v>
      </c>
      <c r="M225" s="10">
        <v>292700</v>
      </c>
      <c r="N225" s="10">
        <v>292700</v>
      </c>
      <c r="O225" s="10">
        <f>Table1[[#This Row],[NET Amount]]-Table1[[#This Row],[Paid Amount]]</f>
        <v>0</v>
      </c>
      <c r="P225" s="2" t="s">
        <v>18</v>
      </c>
      <c r="Q225" s="2" t="s">
        <v>24</v>
      </c>
      <c r="R225" s="16">
        <f>(Table1[[#This Row],[NET Amount]]-Table1[[#This Row],[Total Outstanding Amount]])/Table1[[#This Row],[NET Amount]]</f>
        <v>1</v>
      </c>
      <c r="S225" s="2" t="s">
        <v>39</v>
      </c>
    </row>
    <row r="226" spans="1:19" x14ac:dyDescent="0.3">
      <c r="A226" s="4">
        <v>224</v>
      </c>
      <c r="B226" s="2" t="s">
        <v>45</v>
      </c>
      <c r="C226" s="3">
        <v>44834</v>
      </c>
      <c r="D226" s="3" t="str">
        <f>TEXT(Table1[[#This Row],[Admission Date]],"MMMM")</f>
        <v>September</v>
      </c>
      <c r="E226" s="3">
        <v>44836</v>
      </c>
      <c r="F226" s="3">
        <v>44836</v>
      </c>
      <c r="G226" s="2">
        <v>22025289</v>
      </c>
      <c r="H226" s="2">
        <v>2234030</v>
      </c>
      <c r="I226" s="2">
        <v>10013539940</v>
      </c>
      <c r="J226" s="2" t="s">
        <v>298</v>
      </c>
      <c r="K226" s="10">
        <v>84305</v>
      </c>
      <c r="L226" s="10">
        <v>0</v>
      </c>
      <c r="M226" s="10">
        <v>84305</v>
      </c>
      <c r="N226" s="10">
        <v>84305</v>
      </c>
      <c r="O226" s="10">
        <f>Table1[[#This Row],[NET Amount]]-Table1[[#This Row],[Paid Amount]]</f>
        <v>0</v>
      </c>
      <c r="P226" s="2" t="s">
        <v>18</v>
      </c>
      <c r="Q226" s="2" t="s">
        <v>52</v>
      </c>
      <c r="R226" s="16">
        <f>(Table1[[#This Row],[NET Amount]]-Table1[[#This Row],[Total Outstanding Amount]])/Table1[[#This Row],[NET Amount]]</f>
        <v>1</v>
      </c>
      <c r="S226" s="2" t="s">
        <v>27</v>
      </c>
    </row>
    <row r="227" spans="1:19" x14ac:dyDescent="0.3">
      <c r="A227" s="4">
        <v>225</v>
      </c>
      <c r="B227" s="2" t="s">
        <v>50</v>
      </c>
      <c r="C227" s="3">
        <v>44841</v>
      </c>
      <c r="D227" s="3" t="str">
        <f>TEXT(Table1[[#This Row],[Admission Date]],"MMMM")</f>
        <v>October</v>
      </c>
      <c r="E227" s="3">
        <v>44841</v>
      </c>
      <c r="F227" s="3">
        <v>44841</v>
      </c>
      <c r="G227" s="2">
        <v>22025925</v>
      </c>
      <c r="H227" s="2">
        <v>2234991</v>
      </c>
      <c r="I227" s="2">
        <v>1000891498</v>
      </c>
      <c r="J227" s="2" t="s">
        <v>299</v>
      </c>
      <c r="K227" s="10">
        <v>2200</v>
      </c>
      <c r="L227" s="10">
        <v>0</v>
      </c>
      <c r="M227" s="10">
        <v>2200</v>
      </c>
      <c r="N227" s="10">
        <v>440</v>
      </c>
      <c r="O227" s="10">
        <f>Table1[[#This Row],[NET Amount]]-Table1[[#This Row],[Paid Amount]]</f>
        <v>1760</v>
      </c>
      <c r="P227" s="2" t="s">
        <v>23</v>
      </c>
      <c r="Q227" s="2" t="s">
        <v>147</v>
      </c>
      <c r="R227" s="16">
        <f>(Table1[[#This Row],[NET Amount]]-Table1[[#This Row],[Total Outstanding Amount]])/Table1[[#This Row],[NET Amount]]</f>
        <v>0.2</v>
      </c>
      <c r="S227" s="2" t="s">
        <v>97</v>
      </c>
    </row>
    <row r="228" spans="1:19" x14ac:dyDescent="0.3">
      <c r="A228" s="4">
        <v>226</v>
      </c>
      <c r="B228" s="2" t="s">
        <v>25</v>
      </c>
      <c r="C228" s="3">
        <v>44841</v>
      </c>
      <c r="D228" s="3" t="str">
        <f>TEXT(Table1[[#This Row],[Admission Date]],"MMMM")</f>
        <v>October</v>
      </c>
      <c r="E228" s="3">
        <v>44841</v>
      </c>
      <c r="F228" s="3">
        <v>44841</v>
      </c>
      <c r="G228" s="2">
        <v>22025929</v>
      </c>
      <c r="H228" s="2">
        <v>2234981</v>
      </c>
      <c r="I228" s="2">
        <v>10013451851</v>
      </c>
      <c r="J228" s="2" t="s">
        <v>300</v>
      </c>
      <c r="K228" s="10">
        <v>4990</v>
      </c>
      <c r="L228" s="10">
        <v>452</v>
      </c>
      <c r="M228" s="10">
        <v>4538</v>
      </c>
      <c r="N228" s="10">
        <v>4538</v>
      </c>
      <c r="O228" s="10">
        <f>Table1[[#This Row],[NET Amount]]-Table1[[#This Row],[Paid Amount]]</f>
        <v>0</v>
      </c>
      <c r="P228" s="2" t="s">
        <v>18</v>
      </c>
      <c r="Q228" s="2" t="s">
        <v>54</v>
      </c>
      <c r="R228" s="16">
        <f>(Table1[[#This Row],[NET Amount]]-Table1[[#This Row],[Total Outstanding Amount]])/Table1[[#This Row],[NET Amount]]</f>
        <v>1</v>
      </c>
      <c r="S228" s="2" t="s">
        <v>97</v>
      </c>
    </row>
    <row r="229" spans="1:19" x14ac:dyDescent="0.3">
      <c r="A229" s="4">
        <v>227</v>
      </c>
      <c r="B229" s="2" t="s">
        <v>25</v>
      </c>
      <c r="C229" s="3">
        <v>44843</v>
      </c>
      <c r="D229" s="3" t="str">
        <f>TEXT(Table1[[#This Row],[Admission Date]],"MMMM")</f>
        <v>October</v>
      </c>
      <c r="E229" s="3">
        <v>44845</v>
      </c>
      <c r="F229" s="3">
        <v>44845</v>
      </c>
      <c r="G229" s="2">
        <v>22026510</v>
      </c>
      <c r="H229" s="2">
        <v>2235310</v>
      </c>
      <c r="I229" s="2">
        <v>1001803452</v>
      </c>
      <c r="J229" s="2" t="s">
        <v>301</v>
      </c>
      <c r="K229" s="10">
        <v>135251</v>
      </c>
      <c r="L229" s="10">
        <v>18028</v>
      </c>
      <c r="M229" s="10">
        <v>117223</v>
      </c>
      <c r="N229" s="10">
        <v>117223</v>
      </c>
      <c r="O229" s="10">
        <f>Table1[[#This Row],[NET Amount]]-Table1[[#This Row],[Paid Amount]]</f>
        <v>0</v>
      </c>
      <c r="P229" s="2" t="s">
        <v>18</v>
      </c>
      <c r="Q229" s="2" t="s">
        <v>19</v>
      </c>
      <c r="R229" s="16">
        <f>(Table1[[#This Row],[NET Amount]]-Table1[[#This Row],[Total Outstanding Amount]])/Table1[[#This Row],[NET Amount]]</f>
        <v>1</v>
      </c>
      <c r="S229" s="2" t="s">
        <v>43</v>
      </c>
    </row>
    <row r="230" spans="1:19" x14ac:dyDescent="0.3">
      <c r="A230" s="4">
        <v>228</v>
      </c>
      <c r="B230" s="2" t="s">
        <v>122</v>
      </c>
      <c r="C230" s="3">
        <v>44847</v>
      </c>
      <c r="D230" s="3" t="str">
        <f>TEXT(Table1[[#This Row],[Admission Date]],"MMMM")</f>
        <v>October</v>
      </c>
      <c r="E230" s="3">
        <v>44847</v>
      </c>
      <c r="F230" s="3">
        <v>44847</v>
      </c>
      <c r="G230" s="2">
        <v>22026949</v>
      </c>
      <c r="H230" s="2">
        <v>2235876</v>
      </c>
      <c r="I230" s="2">
        <v>1001087967</v>
      </c>
      <c r="J230" s="2" t="s">
        <v>123</v>
      </c>
      <c r="K230" s="10">
        <v>3519</v>
      </c>
      <c r="L230" s="10">
        <v>3519</v>
      </c>
      <c r="M230" s="10">
        <v>0</v>
      </c>
      <c r="N230" s="10">
        <v>0</v>
      </c>
      <c r="O230" s="10">
        <f>Table1[[#This Row],[NET Amount]]-Table1[[#This Row],[Paid Amount]]</f>
        <v>0</v>
      </c>
      <c r="P230" s="2" t="s">
        <v>18</v>
      </c>
      <c r="Q230" s="2" t="s">
        <v>54</v>
      </c>
      <c r="R230" s="16" t="e">
        <f>(Table1[[#This Row],[NET Amount]]-Table1[[#This Row],[Total Outstanding Amount]])/Table1[[#This Row],[NET Amount]]</f>
        <v>#DIV/0!</v>
      </c>
      <c r="S230" s="2" t="s">
        <v>97</v>
      </c>
    </row>
    <row r="231" spans="1:19" x14ac:dyDescent="0.3">
      <c r="A231" s="4">
        <v>229</v>
      </c>
      <c r="B231" s="2" t="s">
        <v>25</v>
      </c>
      <c r="C231" s="3">
        <v>44847</v>
      </c>
      <c r="D231" s="3" t="str">
        <f>TEXT(Table1[[#This Row],[Admission Date]],"MMMM")</f>
        <v>October</v>
      </c>
      <c r="E231" s="3">
        <v>44847</v>
      </c>
      <c r="F231" s="3">
        <v>44847</v>
      </c>
      <c r="G231" s="2">
        <v>22026948</v>
      </c>
      <c r="H231" s="2">
        <v>2235871</v>
      </c>
      <c r="I231" s="2">
        <v>1001130529</v>
      </c>
      <c r="J231" s="2" t="s">
        <v>302</v>
      </c>
      <c r="K231" s="10">
        <v>2794</v>
      </c>
      <c r="L231" s="10">
        <v>2794</v>
      </c>
      <c r="M231" s="10">
        <v>0</v>
      </c>
      <c r="N231" s="10">
        <v>0</v>
      </c>
      <c r="O231" s="10">
        <f>Table1[[#This Row],[NET Amount]]-Table1[[#This Row],[Paid Amount]]</f>
        <v>0</v>
      </c>
      <c r="P231" s="2" t="s">
        <v>18</v>
      </c>
      <c r="Q231" s="2" t="s">
        <v>90</v>
      </c>
      <c r="R231" s="16" t="e">
        <f>(Table1[[#This Row],[NET Amount]]-Table1[[#This Row],[Total Outstanding Amount]])/Table1[[#This Row],[NET Amount]]</f>
        <v>#DIV/0!</v>
      </c>
      <c r="S231" s="2" t="s">
        <v>97</v>
      </c>
    </row>
    <row r="232" spans="1:19" x14ac:dyDescent="0.3">
      <c r="A232" s="4">
        <v>230</v>
      </c>
      <c r="B232" s="2" t="s">
        <v>21</v>
      </c>
      <c r="C232" s="3">
        <v>44845</v>
      </c>
      <c r="D232" s="3" t="str">
        <f>TEXT(Table1[[#This Row],[Admission Date]],"MMMM")</f>
        <v>October</v>
      </c>
      <c r="E232" s="3">
        <v>44848</v>
      </c>
      <c r="F232" s="3">
        <v>44848</v>
      </c>
      <c r="G232" s="2">
        <v>22027004</v>
      </c>
      <c r="H232" s="2">
        <v>2235547</v>
      </c>
      <c r="I232" s="2">
        <v>10013459052</v>
      </c>
      <c r="J232" s="2" t="s">
        <v>303</v>
      </c>
      <c r="K232" s="10">
        <v>26985</v>
      </c>
      <c r="L232" s="10">
        <v>0</v>
      </c>
      <c r="M232" s="10">
        <v>26985</v>
      </c>
      <c r="N232" s="10">
        <v>26985</v>
      </c>
      <c r="O232" s="10">
        <f>Table1[[#This Row],[NET Amount]]-Table1[[#This Row],[Paid Amount]]</f>
        <v>0</v>
      </c>
      <c r="P232" s="2" t="s">
        <v>18</v>
      </c>
      <c r="Q232" s="2" t="s">
        <v>24</v>
      </c>
      <c r="R232" s="16">
        <f>(Table1[[#This Row],[NET Amount]]-Table1[[#This Row],[Total Outstanding Amount]])/Table1[[#This Row],[NET Amount]]</f>
        <v>1</v>
      </c>
      <c r="S232" s="2" t="s">
        <v>20</v>
      </c>
    </row>
    <row r="233" spans="1:19" x14ac:dyDescent="0.3">
      <c r="A233" s="4">
        <v>231</v>
      </c>
      <c r="B233" s="2" t="s">
        <v>75</v>
      </c>
      <c r="C233" s="3">
        <v>44838</v>
      </c>
      <c r="D233" s="3" t="str">
        <f>TEXT(Table1[[#This Row],[Admission Date]],"MMMM")</f>
        <v>October</v>
      </c>
      <c r="E233" s="3">
        <v>44848</v>
      </c>
      <c r="F233" s="3">
        <v>44848</v>
      </c>
      <c r="G233" s="2">
        <v>22026991</v>
      </c>
      <c r="H233" s="2">
        <v>2234660</v>
      </c>
      <c r="I233" s="2">
        <v>1000892004</v>
      </c>
      <c r="J233" s="2" t="s">
        <v>304</v>
      </c>
      <c r="K233" s="10">
        <v>102825</v>
      </c>
      <c r="L233" s="10">
        <v>0</v>
      </c>
      <c r="M233" s="10">
        <v>102825</v>
      </c>
      <c r="N233" s="10">
        <v>981</v>
      </c>
      <c r="O233" s="10">
        <f>Table1[[#This Row],[NET Amount]]-Table1[[#This Row],[Paid Amount]]</f>
        <v>101844</v>
      </c>
      <c r="P233" s="2" t="s">
        <v>23</v>
      </c>
      <c r="Q233" s="2" t="s">
        <v>24</v>
      </c>
      <c r="R233" s="16">
        <f>(Table1[[#This Row],[NET Amount]]-Table1[[#This Row],[Total Outstanding Amount]])/Table1[[#This Row],[NET Amount]]</f>
        <v>9.5404814004376361E-3</v>
      </c>
      <c r="S233" s="2" t="s">
        <v>20</v>
      </c>
    </row>
    <row r="234" spans="1:19" x14ac:dyDescent="0.3">
      <c r="A234" s="4">
        <v>232</v>
      </c>
      <c r="B234" s="2" t="s">
        <v>25</v>
      </c>
      <c r="C234" s="3">
        <v>44841</v>
      </c>
      <c r="D234" s="3" t="str">
        <f>TEXT(Table1[[#This Row],[Admission Date]],"MMMM")</f>
        <v>October</v>
      </c>
      <c r="E234" s="3">
        <v>44841</v>
      </c>
      <c r="F234" s="3">
        <v>44841</v>
      </c>
      <c r="G234" s="2">
        <v>22026051</v>
      </c>
      <c r="H234" s="2">
        <v>2235063</v>
      </c>
      <c r="I234" s="2">
        <v>10013352607</v>
      </c>
      <c r="J234" s="2" t="s">
        <v>305</v>
      </c>
      <c r="K234" s="10">
        <v>2844</v>
      </c>
      <c r="L234" s="10">
        <v>286</v>
      </c>
      <c r="M234" s="10">
        <v>2558</v>
      </c>
      <c r="N234" s="10">
        <v>2558</v>
      </c>
      <c r="O234" s="10">
        <f>Table1[[#This Row],[NET Amount]]-Table1[[#This Row],[Paid Amount]]</f>
        <v>0</v>
      </c>
      <c r="P234" s="2" t="s">
        <v>18</v>
      </c>
      <c r="Q234" s="2" t="s">
        <v>54</v>
      </c>
      <c r="R234" s="16">
        <f>(Table1[[#This Row],[NET Amount]]-Table1[[#This Row],[Total Outstanding Amount]])/Table1[[#This Row],[NET Amount]]</f>
        <v>1</v>
      </c>
      <c r="S234" s="2" t="s">
        <v>97</v>
      </c>
    </row>
    <row r="235" spans="1:19" x14ac:dyDescent="0.3">
      <c r="A235" s="4">
        <v>233</v>
      </c>
      <c r="B235" s="2" t="s">
        <v>50</v>
      </c>
      <c r="C235" s="3">
        <v>44842</v>
      </c>
      <c r="D235" s="3" t="str">
        <f>TEXT(Table1[[#This Row],[Admission Date]],"MMMM")</f>
        <v>October</v>
      </c>
      <c r="E235" s="3">
        <v>44849</v>
      </c>
      <c r="F235" s="3">
        <v>44849</v>
      </c>
      <c r="G235" s="2">
        <v>22027151</v>
      </c>
      <c r="H235" s="2">
        <v>2235191</v>
      </c>
      <c r="I235" s="2">
        <v>1001803296</v>
      </c>
      <c r="J235" s="2" t="s">
        <v>306</v>
      </c>
      <c r="K235" s="10">
        <v>123371</v>
      </c>
      <c r="L235" s="10">
        <v>15902</v>
      </c>
      <c r="M235" s="10">
        <v>107469</v>
      </c>
      <c r="N235" s="10">
        <v>29399</v>
      </c>
      <c r="O235" s="10">
        <f>Table1[[#This Row],[NET Amount]]-Table1[[#This Row],[Paid Amount]]</f>
        <v>78070</v>
      </c>
      <c r="P235" s="2" t="s">
        <v>23</v>
      </c>
      <c r="Q235" s="2" t="s">
        <v>30</v>
      </c>
      <c r="R235" s="16">
        <f>(Table1[[#This Row],[NET Amount]]-Table1[[#This Row],[Total Outstanding Amount]])/Table1[[#This Row],[NET Amount]]</f>
        <v>0.27355795624784823</v>
      </c>
      <c r="S235" s="2" t="s">
        <v>20</v>
      </c>
    </row>
    <row r="236" spans="1:19" x14ac:dyDescent="0.3">
      <c r="A236" s="4">
        <v>234</v>
      </c>
      <c r="B236" s="2" t="s">
        <v>75</v>
      </c>
      <c r="C236" s="3">
        <v>44843</v>
      </c>
      <c r="D236" s="3" t="str">
        <f>TEXT(Table1[[#This Row],[Admission Date]],"MMMM")</f>
        <v>October</v>
      </c>
      <c r="E236" s="3">
        <v>44849</v>
      </c>
      <c r="F236" s="3">
        <v>44849</v>
      </c>
      <c r="G236" s="2">
        <v>22027220</v>
      </c>
      <c r="H236" s="2">
        <v>2235265</v>
      </c>
      <c r="I236" s="2">
        <v>1001242396</v>
      </c>
      <c r="J236" s="2" t="s">
        <v>307</v>
      </c>
      <c r="K236" s="10">
        <v>89949</v>
      </c>
      <c r="L236" s="10">
        <v>0</v>
      </c>
      <c r="M236" s="10">
        <v>89949</v>
      </c>
      <c r="N236" s="10">
        <v>5223</v>
      </c>
      <c r="O236" s="10">
        <f>Table1[[#This Row],[NET Amount]]-Table1[[#This Row],[Paid Amount]]</f>
        <v>84726</v>
      </c>
      <c r="P236" s="2" t="s">
        <v>23</v>
      </c>
      <c r="Q236" s="2" t="s">
        <v>24</v>
      </c>
      <c r="R236" s="16">
        <f>(Table1[[#This Row],[NET Amount]]-Table1[[#This Row],[Total Outstanding Amount]])/Table1[[#This Row],[NET Amount]]</f>
        <v>5.8066237534602945E-2</v>
      </c>
      <c r="S236" s="2" t="s">
        <v>20</v>
      </c>
    </row>
    <row r="237" spans="1:19" x14ac:dyDescent="0.3">
      <c r="A237" s="4">
        <v>235</v>
      </c>
      <c r="B237" s="2" t="s">
        <v>117</v>
      </c>
      <c r="C237" s="3">
        <v>44838</v>
      </c>
      <c r="D237" s="3" t="str">
        <f>TEXT(Table1[[#This Row],[Admission Date]],"MMMM")</f>
        <v>October</v>
      </c>
      <c r="E237" s="3">
        <v>44838</v>
      </c>
      <c r="F237" s="3">
        <v>44838</v>
      </c>
      <c r="G237" s="2">
        <v>22025474</v>
      </c>
      <c r="H237" s="2">
        <v>2234512</v>
      </c>
      <c r="I237" s="2">
        <v>10013461113</v>
      </c>
      <c r="J237" s="2" t="s">
        <v>308</v>
      </c>
      <c r="K237" s="10">
        <v>2064</v>
      </c>
      <c r="L237" s="10">
        <v>0</v>
      </c>
      <c r="M237" s="10">
        <v>2064</v>
      </c>
      <c r="N237" s="10">
        <v>2064</v>
      </c>
      <c r="O237" s="10">
        <f>Table1[[#This Row],[NET Amount]]-Table1[[#This Row],[Paid Amount]]</f>
        <v>0</v>
      </c>
      <c r="P237" s="2" t="s">
        <v>18</v>
      </c>
      <c r="Q237" s="2" t="s">
        <v>54</v>
      </c>
      <c r="R237" s="16">
        <f>(Table1[[#This Row],[NET Amount]]-Table1[[#This Row],[Total Outstanding Amount]])/Table1[[#This Row],[NET Amount]]</f>
        <v>1</v>
      </c>
      <c r="S237" s="2" t="s">
        <v>97</v>
      </c>
    </row>
    <row r="238" spans="1:19" x14ac:dyDescent="0.3">
      <c r="A238" s="4">
        <v>236</v>
      </c>
      <c r="B238" s="2" t="s">
        <v>25</v>
      </c>
      <c r="C238" s="3">
        <v>44838</v>
      </c>
      <c r="D238" s="3" t="str">
        <f>TEXT(Table1[[#This Row],[Admission Date]],"MMMM")</f>
        <v>October</v>
      </c>
      <c r="E238" s="3">
        <v>44838</v>
      </c>
      <c r="F238" s="3">
        <v>44838</v>
      </c>
      <c r="G238" s="2">
        <v>22025499</v>
      </c>
      <c r="H238" s="2">
        <v>2234523</v>
      </c>
      <c r="I238" s="2">
        <v>1001307852</v>
      </c>
      <c r="J238" s="2" t="s">
        <v>309</v>
      </c>
      <c r="K238" s="10">
        <v>3288</v>
      </c>
      <c r="L238" s="10">
        <v>3288</v>
      </c>
      <c r="M238" s="10">
        <v>0</v>
      </c>
      <c r="N238" s="10">
        <v>0</v>
      </c>
      <c r="O238" s="10">
        <f>Table1[[#This Row],[NET Amount]]-Table1[[#This Row],[Paid Amount]]</f>
        <v>0</v>
      </c>
      <c r="P238" s="2" t="s">
        <v>18</v>
      </c>
      <c r="Q238" s="2" t="s">
        <v>90</v>
      </c>
      <c r="R238" s="16" t="e">
        <f>(Table1[[#This Row],[NET Amount]]-Table1[[#This Row],[Total Outstanding Amount]])/Table1[[#This Row],[NET Amount]]</f>
        <v>#DIV/0!</v>
      </c>
      <c r="S238" s="2" t="s">
        <v>97</v>
      </c>
    </row>
    <row r="239" spans="1:19" x14ac:dyDescent="0.3">
      <c r="A239" s="4">
        <v>237</v>
      </c>
      <c r="B239" s="2" t="s">
        <v>117</v>
      </c>
      <c r="C239" s="3">
        <v>44841</v>
      </c>
      <c r="D239" s="3" t="str">
        <f>TEXT(Table1[[#This Row],[Admission Date]],"MMMM")</f>
        <v>October</v>
      </c>
      <c r="E239" s="3">
        <v>44842</v>
      </c>
      <c r="F239" s="3">
        <v>44842</v>
      </c>
      <c r="G239" s="2">
        <v>22026150</v>
      </c>
      <c r="H239" s="2">
        <v>2234974</v>
      </c>
      <c r="I239" s="2">
        <v>10013540978</v>
      </c>
      <c r="J239" s="2" t="s">
        <v>310</v>
      </c>
      <c r="K239" s="10">
        <v>46608</v>
      </c>
      <c r="L239" s="10">
        <v>0</v>
      </c>
      <c r="M239" s="10">
        <v>46608</v>
      </c>
      <c r="N239" s="10">
        <v>46608</v>
      </c>
      <c r="O239" s="10">
        <f>Table1[[#This Row],[NET Amount]]-Table1[[#This Row],[Paid Amount]]</f>
        <v>0</v>
      </c>
      <c r="P239" s="2" t="s">
        <v>18</v>
      </c>
      <c r="Q239" s="2" t="s">
        <v>24</v>
      </c>
      <c r="R239" s="16">
        <f>(Table1[[#This Row],[NET Amount]]-Table1[[#This Row],[Total Outstanding Amount]])/Table1[[#This Row],[NET Amount]]</f>
        <v>1</v>
      </c>
      <c r="S239" s="2" t="s">
        <v>77</v>
      </c>
    </row>
    <row r="240" spans="1:19" x14ac:dyDescent="0.3">
      <c r="A240" s="4">
        <v>238</v>
      </c>
      <c r="B240" s="2" t="s">
        <v>2259</v>
      </c>
      <c r="C240" s="3">
        <v>44846</v>
      </c>
      <c r="D240" s="3" t="str">
        <f>TEXT(Table1[[#This Row],[Admission Date]],"MMMM")</f>
        <v>October</v>
      </c>
      <c r="E240" s="3">
        <v>44849</v>
      </c>
      <c r="F240" s="3">
        <v>44849</v>
      </c>
      <c r="G240" s="2">
        <v>22027174</v>
      </c>
      <c r="H240" s="2">
        <v>2235732</v>
      </c>
      <c r="I240" s="2">
        <v>1001803997</v>
      </c>
      <c r="J240" s="2" t="s">
        <v>311</v>
      </c>
      <c r="K240" s="10">
        <v>30046</v>
      </c>
      <c r="L240" s="10">
        <v>2014</v>
      </c>
      <c r="M240" s="10">
        <v>28032</v>
      </c>
      <c r="N240" s="10">
        <v>1000</v>
      </c>
      <c r="O240" s="10">
        <f>Table1[[#This Row],[NET Amount]]-Table1[[#This Row],[Paid Amount]]</f>
        <v>27032</v>
      </c>
      <c r="P240" s="2" t="s">
        <v>23</v>
      </c>
      <c r="Q240" s="2" t="s">
        <v>24</v>
      </c>
      <c r="R240" s="16">
        <f>(Table1[[#This Row],[NET Amount]]-Table1[[#This Row],[Total Outstanding Amount]])/Table1[[#This Row],[NET Amount]]</f>
        <v>3.5673515981735161E-2</v>
      </c>
      <c r="S240" s="2" t="s">
        <v>20</v>
      </c>
    </row>
    <row r="241" spans="1:19" x14ac:dyDescent="0.3">
      <c r="A241" s="4">
        <v>239</v>
      </c>
      <c r="B241" s="2" t="s">
        <v>25</v>
      </c>
      <c r="C241" s="3">
        <v>44846</v>
      </c>
      <c r="D241" s="3" t="str">
        <f>TEXT(Table1[[#This Row],[Admission Date]],"MMMM")</f>
        <v>October</v>
      </c>
      <c r="E241" s="3">
        <v>44846</v>
      </c>
      <c r="F241" s="3">
        <v>44846</v>
      </c>
      <c r="G241" s="2">
        <v>22026761</v>
      </c>
      <c r="H241" s="2">
        <v>2235698</v>
      </c>
      <c r="I241" s="2">
        <v>1001803962</v>
      </c>
      <c r="J241" s="2" t="s">
        <v>312</v>
      </c>
      <c r="K241" s="10">
        <v>7905</v>
      </c>
      <c r="L241" s="10">
        <v>0</v>
      </c>
      <c r="M241" s="10">
        <v>7905</v>
      </c>
      <c r="N241" s="10">
        <v>7905</v>
      </c>
      <c r="O241" s="10">
        <f>Table1[[#This Row],[NET Amount]]-Table1[[#This Row],[Paid Amount]]</f>
        <v>0</v>
      </c>
      <c r="P241" s="2" t="s">
        <v>18</v>
      </c>
      <c r="Q241" s="2" t="s">
        <v>54</v>
      </c>
      <c r="R241" s="16">
        <f>(Table1[[#This Row],[NET Amount]]-Table1[[#This Row],[Total Outstanding Amount]])/Table1[[#This Row],[NET Amount]]</f>
        <v>1</v>
      </c>
      <c r="S241" s="2" t="s">
        <v>97</v>
      </c>
    </row>
    <row r="242" spans="1:19" x14ac:dyDescent="0.3">
      <c r="A242" s="4">
        <v>240</v>
      </c>
      <c r="B242" s="2" t="s">
        <v>144</v>
      </c>
      <c r="C242" s="3">
        <v>44845</v>
      </c>
      <c r="D242" s="3" t="str">
        <f>TEXT(Table1[[#This Row],[Admission Date]],"MMMM")</f>
        <v>October</v>
      </c>
      <c r="E242" s="3">
        <v>44848</v>
      </c>
      <c r="F242" s="3">
        <v>44848</v>
      </c>
      <c r="G242" s="2">
        <v>22026982</v>
      </c>
      <c r="H242" s="2">
        <v>2235507</v>
      </c>
      <c r="I242" s="2">
        <v>1000970685</v>
      </c>
      <c r="J242" s="2" t="s">
        <v>313</v>
      </c>
      <c r="K242" s="10">
        <v>70925</v>
      </c>
      <c r="L242" s="10">
        <v>0</v>
      </c>
      <c r="M242" s="10">
        <v>70925</v>
      </c>
      <c r="N242" s="10">
        <v>19925</v>
      </c>
      <c r="O242" s="10">
        <f>Table1[[#This Row],[NET Amount]]-Table1[[#This Row],[Paid Amount]]</f>
        <v>51000</v>
      </c>
      <c r="P242" s="2" t="s">
        <v>23</v>
      </c>
      <c r="Q242" s="2" t="s">
        <v>30</v>
      </c>
      <c r="R242" s="16">
        <f>(Table1[[#This Row],[NET Amount]]-Table1[[#This Row],[Total Outstanding Amount]])/Table1[[#This Row],[NET Amount]]</f>
        <v>0.28093056045118081</v>
      </c>
      <c r="S242" s="2" t="s">
        <v>27</v>
      </c>
    </row>
    <row r="243" spans="1:19" x14ac:dyDescent="0.3">
      <c r="A243" s="4">
        <v>241</v>
      </c>
      <c r="B243" s="2" t="s">
        <v>25</v>
      </c>
      <c r="C243" s="3">
        <v>44845</v>
      </c>
      <c r="D243" s="3" t="str">
        <f>TEXT(Table1[[#This Row],[Admission Date]],"MMMM")</f>
        <v>October</v>
      </c>
      <c r="E243" s="3">
        <v>44849</v>
      </c>
      <c r="F243" s="3">
        <v>44849</v>
      </c>
      <c r="G243" s="2">
        <v>22027156</v>
      </c>
      <c r="H243" s="2">
        <v>2235616</v>
      </c>
      <c r="I243" s="2">
        <v>10013542608</v>
      </c>
      <c r="J243" s="2" t="s">
        <v>314</v>
      </c>
      <c r="K243" s="10">
        <v>139681</v>
      </c>
      <c r="L243" s="10">
        <v>43794</v>
      </c>
      <c r="M243" s="10">
        <v>95887</v>
      </c>
      <c r="N243" s="10">
        <v>95887</v>
      </c>
      <c r="O243" s="10">
        <f>Table1[[#This Row],[NET Amount]]-Table1[[#This Row],[Paid Amount]]</f>
        <v>0</v>
      </c>
      <c r="P243" s="2" t="s">
        <v>18</v>
      </c>
      <c r="Q243" s="2" t="s">
        <v>225</v>
      </c>
      <c r="R243" s="16">
        <f>(Table1[[#This Row],[NET Amount]]-Table1[[#This Row],[Total Outstanding Amount]])/Table1[[#This Row],[NET Amount]]</f>
        <v>1</v>
      </c>
      <c r="S243" s="2" t="s">
        <v>20</v>
      </c>
    </row>
    <row r="244" spans="1:19" x14ac:dyDescent="0.3">
      <c r="A244" s="4">
        <v>242</v>
      </c>
      <c r="B244" s="2" t="s">
        <v>75</v>
      </c>
      <c r="C244" s="3">
        <v>44840</v>
      </c>
      <c r="D244" s="3" t="str">
        <f>TEXT(Table1[[#This Row],[Admission Date]],"MMMM")</f>
        <v>October</v>
      </c>
      <c r="E244" s="3">
        <v>44842</v>
      </c>
      <c r="F244" s="3">
        <v>44842</v>
      </c>
      <c r="G244" s="2">
        <v>22026224</v>
      </c>
      <c r="H244" s="2">
        <v>2234949</v>
      </c>
      <c r="I244" s="2">
        <v>1001028709</v>
      </c>
      <c r="J244" s="2" t="s">
        <v>315</v>
      </c>
      <c r="K244" s="10">
        <v>65857</v>
      </c>
      <c r="L244" s="10">
        <v>0</v>
      </c>
      <c r="M244" s="10">
        <v>65857</v>
      </c>
      <c r="N244" s="10">
        <v>5451</v>
      </c>
      <c r="O244" s="10">
        <f>Table1[[#This Row],[NET Amount]]-Table1[[#This Row],[Paid Amount]]</f>
        <v>60406</v>
      </c>
      <c r="P244" s="2" t="s">
        <v>23</v>
      </c>
      <c r="Q244" s="2" t="s">
        <v>24</v>
      </c>
      <c r="R244" s="16">
        <f>(Table1[[#This Row],[NET Amount]]-Table1[[#This Row],[Total Outstanding Amount]])/Table1[[#This Row],[NET Amount]]</f>
        <v>8.2770244620921085E-2</v>
      </c>
      <c r="S244" s="2" t="s">
        <v>20</v>
      </c>
    </row>
    <row r="245" spans="1:19" x14ac:dyDescent="0.3">
      <c r="A245" s="4">
        <v>243</v>
      </c>
      <c r="B245" s="2" t="s">
        <v>25</v>
      </c>
      <c r="C245" s="3">
        <v>44846</v>
      </c>
      <c r="D245" s="3" t="str">
        <f>TEXT(Table1[[#This Row],[Admission Date]],"MMMM")</f>
        <v>October</v>
      </c>
      <c r="E245" s="3">
        <v>44846</v>
      </c>
      <c r="F245" s="3">
        <v>44846</v>
      </c>
      <c r="G245" s="2">
        <v>22026746</v>
      </c>
      <c r="H245" s="2">
        <v>2235706</v>
      </c>
      <c r="I245" s="2">
        <v>10013526375</v>
      </c>
      <c r="J245" s="2" t="s">
        <v>241</v>
      </c>
      <c r="K245" s="10">
        <v>4990</v>
      </c>
      <c r="L245" s="10">
        <v>413</v>
      </c>
      <c r="M245" s="10">
        <v>4577</v>
      </c>
      <c r="N245" s="10">
        <v>4577</v>
      </c>
      <c r="O245" s="10">
        <f>Table1[[#This Row],[NET Amount]]-Table1[[#This Row],[Paid Amount]]</f>
        <v>0</v>
      </c>
      <c r="P245" s="2" t="s">
        <v>18</v>
      </c>
      <c r="Q245" s="2" t="s">
        <v>54</v>
      </c>
      <c r="R245" s="16">
        <f>(Table1[[#This Row],[NET Amount]]-Table1[[#This Row],[Total Outstanding Amount]])/Table1[[#This Row],[NET Amount]]</f>
        <v>1</v>
      </c>
      <c r="S245" s="2" t="s">
        <v>97</v>
      </c>
    </row>
    <row r="246" spans="1:19" x14ac:dyDescent="0.3">
      <c r="A246" s="4">
        <v>244</v>
      </c>
      <c r="B246" s="2" t="s">
        <v>126</v>
      </c>
      <c r="C246" s="3">
        <v>44834</v>
      </c>
      <c r="D246" s="3" t="str">
        <f>TEXT(Table1[[#This Row],[Admission Date]],"MMMM")</f>
        <v>September</v>
      </c>
      <c r="E246" s="3">
        <v>44839</v>
      </c>
      <c r="F246" s="3">
        <v>44839</v>
      </c>
      <c r="G246" s="2">
        <v>22025698</v>
      </c>
      <c r="H246" s="2">
        <v>2234127</v>
      </c>
      <c r="I246" s="2">
        <v>10013541046</v>
      </c>
      <c r="J246" s="2" t="s">
        <v>316</v>
      </c>
      <c r="K246" s="10">
        <v>90947</v>
      </c>
      <c r="L246" s="10">
        <v>12713</v>
      </c>
      <c r="M246" s="10">
        <v>78233</v>
      </c>
      <c r="N246" s="10">
        <v>8227</v>
      </c>
      <c r="O246" s="10">
        <f>Table1[[#This Row],[NET Amount]]-Table1[[#This Row],[Paid Amount]]</f>
        <v>70006</v>
      </c>
      <c r="P246" s="2" t="s">
        <v>23</v>
      </c>
      <c r="Q246" s="2" t="s">
        <v>30</v>
      </c>
      <c r="R246" s="16">
        <f>(Table1[[#This Row],[NET Amount]]-Table1[[#This Row],[Total Outstanding Amount]])/Table1[[#This Row],[NET Amount]]</f>
        <v>0.10516022650288241</v>
      </c>
      <c r="S246" s="2" t="s">
        <v>37</v>
      </c>
    </row>
    <row r="247" spans="1:19" x14ac:dyDescent="0.3">
      <c r="A247" s="4">
        <v>245</v>
      </c>
      <c r="B247" s="2" t="s">
        <v>126</v>
      </c>
      <c r="C247" s="3">
        <v>44834</v>
      </c>
      <c r="D247" s="3" t="str">
        <f>TEXT(Table1[[#This Row],[Admission Date]],"MMMM")</f>
        <v>September</v>
      </c>
      <c r="E247" s="3">
        <v>44839</v>
      </c>
      <c r="F247" s="3">
        <v>44839</v>
      </c>
      <c r="G247" s="2">
        <v>22025752</v>
      </c>
      <c r="H247" s="2">
        <v>2234066</v>
      </c>
      <c r="I247" s="2">
        <v>1001207257</v>
      </c>
      <c r="J247" s="2" t="s">
        <v>317</v>
      </c>
      <c r="K247" s="10">
        <v>174914</v>
      </c>
      <c r="L247" s="10">
        <v>11626</v>
      </c>
      <c r="M247" s="10">
        <v>163288</v>
      </c>
      <c r="N247" s="10">
        <v>11763</v>
      </c>
      <c r="O247" s="10">
        <f>Table1[[#This Row],[NET Amount]]-Table1[[#This Row],[Paid Amount]]</f>
        <v>151525</v>
      </c>
      <c r="P247" s="2" t="s">
        <v>23</v>
      </c>
      <c r="Q247" s="2" t="s">
        <v>30</v>
      </c>
      <c r="R247" s="16">
        <f>(Table1[[#This Row],[NET Amount]]-Table1[[#This Row],[Total Outstanding Amount]])/Table1[[#This Row],[NET Amount]]</f>
        <v>7.2038361667728187E-2</v>
      </c>
      <c r="S247" s="2" t="s">
        <v>77</v>
      </c>
    </row>
    <row r="248" spans="1:19" x14ac:dyDescent="0.3">
      <c r="A248" s="4">
        <v>246</v>
      </c>
      <c r="B248" s="2" t="s">
        <v>25</v>
      </c>
      <c r="C248" s="3">
        <v>44834</v>
      </c>
      <c r="D248" s="3" t="str">
        <f>TEXT(Table1[[#This Row],[Admission Date]],"MMMM")</f>
        <v>September</v>
      </c>
      <c r="E248" s="3">
        <v>44839</v>
      </c>
      <c r="F248" s="3">
        <v>44839</v>
      </c>
      <c r="G248" s="2">
        <v>22025739</v>
      </c>
      <c r="H248" s="2">
        <v>2234087</v>
      </c>
      <c r="I248" s="2">
        <v>10013540732</v>
      </c>
      <c r="J248" s="2" t="s">
        <v>318</v>
      </c>
      <c r="K248" s="10">
        <v>56708</v>
      </c>
      <c r="L248" s="10">
        <v>56708</v>
      </c>
      <c r="M248" s="10">
        <v>0</v>
      </c>
      <c r="N248" s="10">
        <v>0</v>
      </c>
      <c r="O248" s="10">
        <f>Table1[[#This Row],[NET Amount]]-Table1[[#This Row],[Paid Amount]]</f>
        <v>0</v>
      </c>
      <c r="P248" s="2" t="s">
        <v>18</v>
      </c>
      <c r="Q248" s="2" t="s">
        <v>90</v>
      </c>
      <c r="R248" s="16" t="e">
        <f>(Table1[[#This Row],[NET Amount]]-Table1[[#This Row],[Total Outstanding Amount]])/Table1[[#This Row],[NET Amount]]</f>
        <v>#DIV/0!</v>
      </c>
      <c r="S248" s="2" t="s">
        <v>65</v>
      </c>
    </row>
    <row r="249" spans="1:19" x14ac:dyDescent="0.3">
      <c r="A249" s="4">
        <v>247</v>
      </c>
      <c r="B249" s="2" t="s">
        <v>25</v>
      </c>
      <c r="C249" s="3">
        <v>44844</v>
      </c>
      <c r="D249" s="3" t="str">
        <f>TEXT(Table1[[#This Row],[Admission Date]],"MMMM")</f>
        <v>October</v>
      </c>
      <c r="E249" s="3">
        <v>44844</v>
      </c>
      <c r="F249" s="3">
        <v>44844</v>
      </c>
      <c r="G249" s="2">
        <v>22026391</v>
      </c>
      <c r="H249" s="2">
        <v>2235371</v>
      </c>
      <c r="I249" s="2">
        <v>1000919979</v>
      </c>
      <c r="J249" s="2" t="s">
        <v>319</v>
      </c>
      <c r="K249" s="10">
        <v>3821</v>
      </c>
      <c r="L249" s="10">
        <v>292</v>
      </c>
      <c r="M249" s="10">
        <v>3529</v>
      </c>
      <c r="N249" s="10">
        <v>3529</v>
      </c>
      <c r="O249" s="10">
        <f>Table1[[#This Row],[NET Amount]]-Table1[[#This Row],[Paid Amount]]</f>
        <v>0</v>
      </c>
      <c r="P249" s="2" t="s">
        <v>18</v>
      </c>
      <c r="Q249" s="2" t="s">
        <v>54</v>
      </c>
      <c r="R249" s="16">
        <f>(Table1[[#This Row],[NET Amount]]-Table1[[#This Row],[Total Outstanding Amount]])/Table1[[#This Row],[NET Amount]]</f>
        <v>1</v>
      </c>
      <c r="S249" s="2" t="s">
        <v>97</v>
      </c>
    </row>
    <row r="250" spans="1:19" x14ac:dyDescent="0.3">
      <c r="A250" s="4">
        <v>248</v>
      </c>
      <c r="B250" s="2" t="s">
        <v>122</v>
      </c>
      <c r="C250" s="3">
        <v>44841</v>
      </c>
      <c r="D250" s="3" t="str">
        <f>TEXT(Table1[[#This Row],[Admission Date]],"MMMM")</f>
        <v>October</v>
      </c>
      <c r="E250" s="3">
        <v>44845</v>
      </c>
      <c r="F250" s="3">
        <v>44845</v>
      </c>
      <c r="G250" s="2">
        <v>22026583</v>
      </c>
      <c r="H250" s="2">
        <v>2235045</v>
      </c>
      <c r="I250" s="2">
        <v>1001077052</v>
      </c>
      <c r="J250" s="2" t="s">
        <v>320</v>
      </c>
      <c r="K250" s="10">
        <v>151726</v>
      </c>
      <c r="L250" s="10">
        <v>151726</v>
      </c>
      <c r="M250" s="10">
        <v>0</v>
      </c>
      <c r="N250" s="10">
        <v>0</v>
      </c>
      <c r="O250" s="10">
        <f>Table1[[#This Row],[NET Amount]]-Table1[[#This Row],[Paid Amount]]</f>
        <v>0</v>
      </c>
      <c r="P250" s="2" t="s">
        <v>18</v>
      </c>
      <c r="Q250" s="2" t="s">
        <v>90</v>
      </c>
      <c r="R250" s="16" t="e">
        <f>(Table1[[#This Row],[NET Amount]]-Table1[[#This Row],[Total Outstanding Amount]])/Table1[[#This Row],[NET Amount]]</f>
        <v>#DIV/0!</v>
      </c>
      <c r="S250" s="2" t="s">
        <v>65</v>
      </c>
    </row>
    <row r="251" spans="1:19" x14ac:dyDescent="0.3">
      <c r="A251" s="4">
        <v>249</v>
      </c>
      <c r="B251" s="2" t="s">
        <v>50</v>
      </c>
      <c r="C251" s="3">
        <v>44853</v>
      </c>
      <c r="D251" s="3" t="str">
        <f>TEXT(Table1[[#This Row],[Admission Date]],"MMMM")</f>
        <v>October</v>
      </c>
      <c r="E251" s="3">
        <v>44853</v>
      </c>
      <c r="F251" s="3">
        <v>44853</v>
      </c>
      <c r="G251" s="2">
        <v>22027647</v>
      </c>
      <c r="H251" s="2">
        <v>2236595</v>
      </c>
      <c r="I251" s="2">
        <v>1001105051</v>
      </c>
      <c r="J251" s="2" t="s">
        <v>275</v>
      </c>
      <c r="K251" s="10">
        <v>4840</v>
      </c>
      <c r="L251" s="10">
        <v>0</v>
      </c>
      <c r="M251" s="10">
        <v>4840</v>
      </c>
      <c r="N251" s="10">
        <v>242</v>
      </c>
      <c r="O251" s="10">
        <f>Table1[[#This Row],[NET Amount]]-Table1[[#This Row],[Paid Amount]]</f>
        <v>4598</v>
      </c>
      <c r="P251" s="2" t="s">
        <v>23</v>
      </c>
      <c r="Q251" s="2" t="s">
        <v>147</v>
      </c>
      <c r="R251" s="16">
        <f>(Table1[[#This Row],[NET Amount]]-Table1[[#This Row],[Total Outstanding Amount]])/Table1[[#This Row],[NET Amount]]</f>
        <v>0.05</v>
      </c>
      <c r="S251" s="2" t="s">
        <v>97</v>
      </c>
    </row>
    <row r="252" spans="1:19" x14ac:dyDescent="0.3">
      <c r="A252" s="4">
        <v>250</v>
      </c>
      <c r="B252" s="2" t="s">
        <v>2244</v>
      </c>
      <c r="C252" s="3">
        <v>44851</v>
      </c>
      <c r="D252" s="3" t="str">
        <f>TEXT(Table1[[#This Row],[Admission Date]],"MMMM")</f>
        <v>October</v>
      </c>
      <c r="E252" s="3">
        <v>44853</v>
      </c>
      <c r="F252" s="3">
        <v>44853</v>
      </c>
      <c r="G252" s="2">
        <v>22027664</v>
      </c>
      <c r="H252" s="2">
        <v>2236334</v>
      </c>
      <c r="I252" s="2">
        <v>1001789631</v>
      </c>
      <c r="J252" s="2" t="s">
        <v>321</v>
      </c>
      <c r="K252" s="10">
        <v>12960</v>
      </c>
      <c r="L252" s="10">
        <v>0</v>
      </c>
      <c r="M252" s="10">
        <v>12960</v>
      </c>
      <c r="N252" s="10">
        <v>12960</v>
      </c>
      <c r="O252" s="10">
        <f>Table1[[#This Row],[NET Amount]]-Table1[[#This Row],[Paid Amount]]</f>
        <v>0</v>
      </c>
      <c r="P252" s="2" t="s">
        <v>18</v>
      </c>
      <c r="Q252" s="2" t="s">
        <v>24</v>
      </c>
      <c r="R252" s="16">
        <f>(Table1[[#This Row],[NET Amount]]-Table1[[#This Row],[Total Outstanding Amount]])/Table1[[#This Row],[NET Amount]]</f>
        <v>1</v>
      </c>
      <c r="S252" s="2" t="s">
        <v>27</v>
      </c>
    </row>
    <row r="253" spans="1:19" x14ac:dyDescent="0.3">
      <c r="A253" s="4">
        <v>251</v>
      </c>
      <c r="B253" s="2" t="s">
        <v>35</v>
      </c>
      <c r="C253" s="3">
        <v>44844</v>
      </c>
      <c r="D253" s="3" t="str">
        <f>TEXT(Table1[[#This Row],[Admission Date]],"MMMM")</f>
        <v>October</v>
      </c>
      <c r="E253" s="3">
        <v>44846</v>
      </c>
      <c r="F253" s="3">
        <v>44846</v>
      </c>
      <c r="G253" s="2">
        <v>22026691</v>
      </c>
      <c r="H253" s="2">
        <v>2235319</v>
      </c>
      <c r="I253" s="2">
        <v>1001802294</v>
      </c>
      <c r="J253" s="2" t="s">
        <v>322</v>
      </c>
      <c r="K253" s="10">
        <v>36690</v>
      </c>
      <c r="L253" s="10">
        <v>0</v>
      </c>
      <c r="M253" s="10">
        <v>36690</v>
      </c>
      <c r="N253" s="10">
        <v>36690</v>
      </c>
      <c r="O253" s="10">
        <f>Table1[[#This Row],[NET Amount]]-Table1[[#This Row],[Paid Amount]]</f>
        <v>0</v>
      </c>
      <c r="P253" s="2" t="s">
        <v>18</v>
      </c>
      <c r="Q253" s="2" t="s">
        <v>30</v>
      </c>
      <c r="R253" s="16">
        <f>(Table1[[#This Row],[NET Amount]]-Table1[[#This Row],[Total Outstanding Amount]])/Table1[[#This Row],[NET Amount]]</f>
        <v>1</v>
      </c>
      <c r="S253" s="2" t="s">
        <v>27</v>
      </c>
    </row>
    <row r="254" spans="1:19" x14ac:dyDescent="0.3">
      <c r="A254" s="4">
        <v>252</v>
      </c>
      <c r="B254" s="2" t="s">
        <v>25</v>
      </c>
      <c r="C254" s="3">
        <v>44830</v>
      </c>
      <c r="D254" s="3" t="str">
        <f>TEXT(Table1[[#This Row],[Admission Date]],"MMMM")</f>
        <v>September</v>
      </c>
      <c r="E254" s="3">
        <v>44835</v>
      </c>
      <c r="F254" s="3">
        <v>44835</v>
      </c>
      <c r="G254" s="2">
        <v>22025188</v>
      </c>
      <c r="H254" s="2">
        <v>2233509</v>
      </c>
      <c r="I254" s="2">
        <v>1001800844</v>
      </c>
      <c r="J254" s="2" t="s">
        <v>323</v>
      </c>
      <c r="K254" s="10">
        <v>161953</v>
      </c>
      <c r="L254" s="10">
        <v>161953</v>
      </c>
      <c r="M254" s="10">
        <v>0</v>
      </c>
      <c r="N254" s="10">
        <v>0</v>
      </c>
      <c r="O254" s="10">
        <f>Table1[[#This Row],[NET Amount]]-Table1[[#This Row],[Paid Amount]]</f>
        <v>0</v>
      </c>
      <c r="P254" s="2" t="s">
        <v>18</v>
      </c>
      <c r="Q254" s="2" t="s">
        <v>24</v>
      </c>
      <c r="R254" s="16" t="e">
        <f>(Table1[[#This Row],[NET Amount]]-Table1[[#This Row],[Total Outstanding Amount]])/Table1[[#This Row],[NET Amount]]</f>
        <v>#DIV/0!</v>
      </c>
      <c r="S254" s="2" t="s">
        <v>201</v>
      </c>
    </row>
    <row r="255" spans="1:19" x14ac:dyDescent="0.3">
      <c r="A255" s="4">
        <v>253</v>
      </c>
      <c r="B255" s="2" t="s">
        <v>50</v>
      </c>
      <c r="C255" s="3">
        <v>44865</v>
      </c>
      <c r="D255" s="3" t="str">
        <f>TEXT(Table1[[#This Row],[Admission Date]],"MMMM")</f>
        <v>October</v>
      </c>
      <c r="E255" s="3">
        <v>44865</v>
      </c>
      <c r="F255" s="3">
        <v>44865</v>
      </c>
      <c r="G255" s="2">
        <v>22029388</v>
      </c>
      <c r="H255" s="2">
        <v>2238247</v>
      </c>
      <c r="I255" s="2">
        <v>10013538474</v>
      </c>
      <c r="J255" s="2" t="s">
        <v>324</v>
      </c>
      <c r="K255" s="10">
        <v>2200</v>
      </c>
      <c r="L255" s="10">
        <v>0</v>
      </c>
      <c r="M255" s="10">
        <v>2200</v>
      </c>
      <c r="N255" s="10">
        <v>440</v>
      </c>
      <c r="O255" s="10">
        <f>Table1[[#This Row],[NET Amount]]-Table1[[#This Row],[Paid Amount]]</f>
        <v>1760</v>
      </c>
      <c r="P255" s="2" t="s">
        <v>23</v>
      </c>
      <c r="Q255" s="2" t="s">
        <v>147</v>
      </c>
      <c r="R255" s="16">
        <f>(Table1[[#This Row],[NET Amount]]-Table1[[#This Row],[Total Outstanding Amount]])/Table1[[#This Row],[NET Amount]]</f>
        <v>0.2</v>
      </c>
      <c r="S255" s="2" t="s">
        <v>97</v>
      </c>
    </row>
    <row r="256" spans="1:19" x14ac:dyDescent="0.3">
      <c r="A256" s="4">
        <v>254</v>
      </c>
      <c r="B256" s="2" t="s">
        <v>25</v>
      </c>
      <c r="C256" s="3">
        <v>44836</v>
      </c>
      <c r="D256" s="3" t="str">
        <f>TEXT(Table1[[#This Row],[Admission Date]],"MMMM")</f>
        <v>October</v>
      </c>
      <c r="E256" s="3">
        <v>44845</v>
      </c>
      <c r="F256" s="3">
        <v>44845</v>
      </c>
      <c r="G256" s="2">
        <v>22026578</v>
      </c>
      <c r="H256" s="2">
        <v>2234307</v>
      </c>
      <c r="I256" s="2">
        <v>10013541213</v>
      </c>
      <c r="J256" s="2" t="s">
        <v>325</v>
      </c>
      <c r="K256" s="10">
        <v>159444</v>
      </c>
      <c r="L256" s="10">
        <v>159444</v>
      </c>
      <c r="M256" s="10">
        <v>0</v>
      </c>
      <c r="N256" s="10">
        <v>0</v>
      </c>
      <c r="O256" s="10">
        <f>Table1[[#This Row],[NET Amount]]-Table1[[#This Row],[Paid Amount]]</f>
        <v>0</v>
      </c>
      <c r="P256" s="2" t="s">
        <v>18</v>
      </c>
      <c r="Q256" s="2" t="s">
        <v>90</v>
      </c>
      <c r="R256" s="16" t="e">
        <f>(Table1[[#This Row],[NET Amount]]-Table1[[#This Row],[Total Outstanding Amount]])/Table1[[#This Row],[NET Amount]]</f>
        <v>#DIV/0!</v>
      </c>
      <c r="S256" s="2" t="s">
        <v>20</v>
      </c>
    </row>
    <row r="257" spans="1:19" x14ac:dyDescent="0.3">
      <c r="A257" s="4">
        <v>255</v>
      </c>
      <c r="B257" s="2" t="s">
        <v>2260</v>
      </c>
      <c r="C257" s="3">
        <v>44854</v>
      </c>
      <c r="D257" s="3" t="str">
        <f>TEXT(Table1[[#This Row],[Admission Date]],"MMMM")</f>
        <v>October</v>
      </c>
      <c r="E257" s="3">
        <v>44854</v>
      </c>
      <c r="F257" s="3">
        <v>44854</v>
      </c>
      <c r="G257" s="2">
        <v>22027928</v>
      </c>
      <c r="H257" s="2">
        <v>2236770</v>
      </c>
      <c r="I257" s="2">
        <v>1001756832</v>
      </c>
      <c r="J257" s="2" t="s">
        <v>326</v>
      </c>
      <c r="K257" s="10">
        <v>1610</v>
      </c>
      <c r="L257" s="10">
        <v>0</v>
      </c>
      <c r="M257" s="10">
        <v>1610</v>
      </c>
      <c r="N257" s="10">
        <v>0</v>
      </c>
      <c r="O257" s="10">
        <f>Table1[[#This Row],[NET Amount]]-Table1[[#This Row],[Paid Amount]]</f>
        <v>1610</v>
      </c>
      <c r="P257" s="2" t="s">
        <v>23</v>
      </c>
      <c r="Q257" s="2" t="s">
        <v>54</v>
      </c>
      <c r="R257" s="16">
        <f>(Table1[[#This Row],[NET Amount]]-Table1[[#This Row],[Total Outstanding Amount]])/Table1[[#This Row],[NET Amount]]</f>
        <v>0</v>
      </c>
      <c r="S257" s="2" t="s">
        <v>97</v>
      </c>
    </row>
    <row r="258" spans="1:19" x14ac:dyDescent="0.3">
      <c r="A258" s="4">
        <v>256</v>
      </c>
      <c r="B258" s="2" t="s">
        <v>327</v>
      </c>
      <c r="C258" s="3">
        <v>44845</v>
      </c>
      <c r="D258" s="3" t="str">
        <f>TEXT(Table1[[#This Row],[Admission Date]],"MMMM")</f>
        <v>October</v>
      </c>
      <c r="E258" s="3">
        <v>44848</v>
      </c>
      <c r="F258" s="3">
        <v>44848</v>
      </c>
      <c r="G258" s="2">
        <v>22027064</v>
      </c>
      <c r="H258" s="2">
        <v>2235543</v>
      </c>
      <c r="I258" s="2">
        <v>1001695569</v>
      </c>
      <c r="J258" s="2" t="s">
        <v>328</v>
      </c>
      <c r="K258" s="10">
        <v>51555</v>
      </c>
      <c r="L258" s="10">
        <v>0</v>
      </c>
      <c r="M258" s="10">
        <v>51555</v>
      </c>
      <c r="N258" s="10">
        <v>51555</v>
      </c>
      <c r="O258" s="10">
        <f>Table1[[#This Row],[NET Amount]]-Table1[[#This Row],[Paid Amount]]</f>
        <v>0</v>
      </c>
      <c r="P258" s="2" t="s">
        <v>18</v>
      </c>
      <c r="Q258" s="2" t="s">
        <v>24</v>
      </c>
      <c r="R258" s="16">
        <f>(Table1[[#This Row],[NET Amount]]-Table1[[#This Row],[Total Outstanding Amount]])/Table1[[#This Row],[NET Amount]]</f>
        <v>1</v>
      </c>
      <c r="S258" s="2" t="s">
        <v>201</v>
      </c>
    </row>
    <row r="259" spans="1:19" x14ac:dyDescent="0.3">
      <c r="A259" s="4">
        <v>257</v>
      </c>
      <c r="B259" s="2" t="s">
        <v>329</v>
      </c>
      <c r="C259" s="3">
        <v>44831</v>
      </c>
      <c r="D259" s="3" t="str">
        <f>TEXT(Table1[[#This Row],[Admission Date]],"MMMM")</f>
        <v>September</v>
      </c>
      <c r="E259" s="3">
        <v>44835</v>
      </c>
      <c r="F259" s="3">
        <v>44835</v>
      </c>
      <c r="G259" s="2">
        <v>22025177</v>
      </c>
      <c r="H259" s="2">
        <v>2233583</v>
      </c>
      <c r="I259" s="2">
        <v>10013540394</v>
      </c>
      <c r="J259" s="2" t="s">
        <v>330</v>
      </c>
      <c r="K259" s="10">
        <v>30807</v>
      </c>
      <c r="L259" s="10">
        <v>0</v>
      </c>
      <c r="M259" s="10">
        <v>30807</v>
      </c>
      <c r="N259" s="10">
        <v>30807</v>
      </c>
      <c r="O259" s="10">
        <f>Table1[[#This Row],[NET Amount]]-Table1[[#This Row],[Paid Amount]]</f>
        <v>0</v>
      </c>
      <c r="P259" s="2" t="s">
        <v>18</v>
      </c>
      <c r="Q259" s="2" t="s">
        <v>30</v>
      </c>
      <c r="R259" s="16">
        <f>(Table1[[#This Row],[NET Amount]]-Table1[[#This Row],[Total Outstanding Amount]])/Table1[[#This Row],[NET Amount]]</f>
        <v>1</v>
      </c>
      <c r="S259" s="2" t="s">
        <v>20</v>
      </c>
    </row>
    <row r="260" spans="1:19" x14ac:dyDescent="0.3">
      <c r="A260" s="4">
        <v>258</v>
      </c>
      <c r="B260" s="2" t="s">
        <v>50</v>
      </c>
      <c r="C260" s="3">
        <v>44856</v>
      </c>
      <c r="D260" s="3" t="str">
        <f>TEXT(Table1[[#This Row],[Admission Date]],"MMMM")</f>
        <v>October</v>
      </c>
      <c r="E260" s="3">
        <v>44859</v>
      </c>
      <c r="F260" s="3">
        <v>44859</v>
      </c>
      <c r="G260" s="2">
        <v>22028499</v>
      </c>
      <c r="H260" s="2">
        <v>2237103</v>
      </c>
      <c r="I260" s="2">
        <v>10013530051</v>
      </c>
      <c r="J260" s="2" t="s">
        <v>331</v>
      </c>
      <c r="K260" s="10">
        <v>60320</v>
      </c>
      <c r="L260" s="10">
        <v>0</v>
      </c>
      <c r="M260" s="10">
        <v>60320</v>
      </c>
      <c r="N260" s="10">
        <v>10320</v>
      </c>
      <c r="O260" s="10">
        <f>Table1[[#This Row],[NET Amount]]-Table1[[#This Row],[Paid Amount]]</f>
        <v>50000</v>
      </c>
      <c r="P260" s="2" t="s">
        <v>23</v>
      </c>
      <c r="Q260" s="2" t="s">
        <v>52</v>
      </c>
      <c r="R260" s="16">
        <f>(Table1[[#This Row],[NET Amount]]-Table1[[#This Row],[Total Outstanding Amount]])/Table1[[#This Row],[NET Amount]]</f>
        <v>0.17108753315649866</v>
      </c>
      <c r="S260" s="2" t="s">
        <v>27</v>
      </c>
    </row>
    <row r="261" spans="1:19" x14ac:dyDescent="0.3">
      <c r="A261" s="4">
        <v>259</v>
      </c>
      <c r="B261" s="2" t="s">
        <v>25</v>
      </c>
      <c r="C261" s="3">
        <v>44857</v>
      </c>
      <c r="D261" s="3" t="str">
        <f>TEXT(Table1[[#This Row],[Admission Date]],"MMMM")</f>
        <v>October</v>
      </c>
      <c r="E261" s="3">
        <v>44857</v>
      </c>
      <c r="F261" s="3">
        <v>44857</v>
      </c>
      <c r="G261" s="2">
        <v>22028385</v>
      </c>
      <c r="H261" s="2">
        <v>2237114</v>
      </c>
      <c r="I261" s="2">
        <v>10013544199</v>
      </c>
      <c r="J261" s="2" t="s">
        <v>332</v>
      </c>
      <c r="K261" s="10">
        <v>34273</v>
      </c>
      <c r="L261" s="10">
        <v>4480</v>
      </c>
      <c r="M261" s="10">
        <v>29793</v>
      </c>
      <c r="N261" s="10">
        <v>29793</v>
      </c>
      <c r="O261" s="10">
        <f>Table1[[#This Row],[NET Amount]]-Table1[[#This Row],[Paid Amount]]</f>
        <v>0</v>
      </c>
      <c r="P261" s="2" t="s">
        <v>18</v>
      </c>
      <c r="Q261" s="2" t="s">
        <v>88</v>
      </c>
      <c r="R261" s="16">
        <f>(Table1[[#This Row],[NET Amount]]-Table1[[#This Row],[Total Outstanding Amount]])/Table1[[#This Row],[NET Amount]]</f>
        <v>1</v>
      </c>
      <c r="S261" s="2" t="s">
        <v>32</v>
      </c>
    </row>
    <row r="262" spans="1:19" x14ac:dyDescent="0.3">
      <c r="A262" s="4">
        <v>260</v>
      </c>
      <c r="B262" s="2" t="s">
        <v>35</v>
      </c>
      <c r="C262" s="3">
        <v>44844</v>
      </c>
      <c r="D262" s="3" t="str">
        <f>TEXT(Table1[[#This Row],[Admission Date]],"MMMM")</f>
        <v>October</v>
      </c>
      <c r="E262" s="3">
        <v>44844</v>
      </c>
      <c r="F262" s="3">
        <v>44844</v>
      </c>
      <c r="G262" s="2">
        <v>22026324</v>
      </c>
      <c r="H262" s="2">
        <v>2235333</v>
      </c>
      <c r="I262" s="2">
        <v>10013480632</v>
      </c>
      <c r="J262" s="2" t="s">
        <v>210</v>
      </c>
      <c r="K262" s="10">
        <v>1610</v>
      </c>
      <c r="L262" s="10">
        <v>0</v>
      </c>
      <c r="M262" s="10">
        <v>1610</v>
      </c>
      <c r="N262" s="10">
        <v>1610</v>
      </c>
      <c r="O262" s="10">
        <f>Table1[[#This Row],[NET Amount]]-Table1[[#This Row],[Paid Amount]]</f>
        <v>0</v>
      </c>
      <c r="P262" s="2" t="s">
        <v>18</v>
      </c>
      <c r="Q262" s="2" t="s">
        <v>54</v>
      </c>
      <c r="R262" s="16">
        <f>(Table1[[#This Row],[NET Amount]]-Table1[[#This Row],[Total Outstanding Amount]])/Table1[[#This Row],[NET Amount]]</f>
        <v>1</v>
      </c>
      <c r="S262" s="2" t="s">
        <v>97</v>
      </c>
    </row>
    <row r="263" spans="1:19" x14ac:dyDescent="0.3">
      <c r="A263" s="4">
        <v>261</v>
      </c>
      <c r="B263" s="2" t="s">
        <v>25</v>
      </c>
      <c r="C263" s="3">
        <v>44844</v>
      </c>
      <c r="D263" s="3" t="str">
        <f>TEXT(Table1[[#This Row],[Admission Date]],"MMMM")</f>
        <v>October</v>
      </c>
      <c r="E263" s="3">
        <v>44844</v>
      </c>
      <c r="F263" s="3">
        <v>44844</v>
      </c>
      <c r="G263" s="2">
        <v>22026330</v>
      </c>
      <c r="H263" s="2">
        <v>2235326</v>
      </c>
      <c r="I263" s="2">
        <v>10013424453</v>
      </c>
      <c r="J263" s="2" t="s">
        <v>333</v>
      </c>
      <c r="K263" s="10">
        <v>4990</v>
      </c>
      <c r="L263" s="10">
        <v>413</v>
      </c>
      <c r="M263" s="10">
        <v>4577</v>
      </c>
      <c r="N263" s="10">
        <v>4577</v>
      </c>
      <c r="O263" s="10">
        <f>Table1[[#This Row],[NET Amount]]-Table1[[#This Row],[Paid Amount]]</f>
        <v>0</v>
      </c>
      <c r="P263" s="2" t="s">
        <v>18</v>
      </c>
      <c r="Q263" s="2" t="s">
        <v>54</v>
      </c>
      <c r="R263" s="16">
        <f>(Table1[[#This Row],[NET Amount]]-Table1[[#This Row],[Total Outstanding Amount]])/Table1[[#This Row],[NET Amount]]</f>
        <v>1</v>
      </c>
      <c r="S263" s="2" t="s">
        <v>97</v>
      </c>
    </row>
    <row r="264" spans="1:19" x14ac:dyDescent="0.3">
      <c r="A264" s="4">
        <v>262</v>
      </c>
      <c r="B264" s="2" t="s">
        <v>259</v>
      </c>
      <c r="C264" s="3">
        <v>44842</v>
      </c>
      <c r="D264" s="3" t="str">
        <f>TEXT(Table1[[#This Row],[Admission Date]],"MMMM")</f>
        <v>October</v>
      </c>
      <c r="E264" s="3">
        <v>44844</v>
      </c>
      <c r="F264" s="3">
        <v>44844</v>
      </c>
      <c r="G264" s="2">
        <v>22026340</v>
      </c>
      <c r="H264" s="2">
        <v>2235229</v>
      </c>
      <c r="I264" s="2">
        <v>10013481285</v>
      </c>
      <c r="J264" s="2" t="s">
        <v>334</v>
      </c>
      <c r="K264" s="10">
        <v>57439</v>
      </c>
      <c r="L264" s="10">
        <v>15898</v>
      </c>
      <c r="M264" s="10">
        <v>41540</v>
      </c>
      <c r="N264" s="10">
        <v>41540</v>
      </c>
      <c r="O264" s="10">
        <f>Table1[[#This Row],[NET Amount]]-Table1[[#This Row],[Paid Amount]]</f>
        <v>0</v>
      </c>
      <c r="P264" s="2" t="s">
        <v>18</v>
      </c>
      <c r="Q264" s="2" t="s">
        <v>24</v>
      </c>
      <c r="R264" s="16">
        <f>(Table1[[#This Row],[NET Amount]]-Table1[[#This Row],[Total Outstanding Amount]])/Table1[[#This Row],[NET Amount]]</f>
        <v>1</v>
      </c>
      <c r="S264" s="2" t="s">
        <v>37</v>
      </c>
    </row>
    <row r="265" spans="1:19" x14ac:dyDescent="0.3">
      <c r="A265" s="4">
        <v>263</v>
      </c>
      <c r="B265" s="2" t="s">
        <v>25</v>
      </c>
      <c r="C265" s="3">
        <v>44847</v>
      </c>
      <c r="D265" s="3" t="str">
        <f>TEXT(Table1[[#This Row],[Admission Date]],"MMMM")</f>
        <v>October</v>
      </c>
      <c r="E265" s="3">
        <v>44847</v>
      </c>
      <c r="F265" s="3">
        <v>44847</v>
      </c>
      <c r="G265" s="2">
        <v>22026823</v>
      </c>
      <c r="H265" s="2">
        <v>2235815</v>
      </c>
      <c r="I265" s="2">
        <v>10013415573</v>
      </c>
      <c r="J265" s="2" t="s">
        <v>335</v>
      </c>
      <c r="K265" s="10">
        <v>4990</v>
      </c>
      <c r="L265" s="10">
        <v>409</v>
      </c>
      <c r="M265" s="10">
        <v>4581</v>
      </c>
      <c r="N265" s="10">
        <v>4581</v>
      </c>
      <c r="O265" s="10">
        <f>Table1[[#This Row],[NET Amount]]-Table1[[#This Row],[Paid Amount]]</f>
        <v>0</v>
      </c>
      <c r="P265" s="2" t="s">
        <v>18</v>
      </c>
      <c r="Q265" s="2" t="s">
        <v>54</v>
      </c>
      <c r="R265" s="16">
        <f>(Table1[[#This Row],[NET Amount]]-Table1[[#This Row],[Total Outstanding Amount]])/Table1[[#This Row],[NET Amount]]</f>
        <v>1</v>
      </c>
      <c r="S265" s="2" t="s">
        <v>97</v>
      </c>
    </row>
    <row r="266" spans="1:19" x14ac:dyDescent="0.3">
      <c r="A266" s="4">
        <v>264</v>
      </c>
      <c r="B266" s="2" t="s">
        <v>25</v>
      </c>
      <c r="C266" s="3">
        <v>44847</v>
      </c>
      <c r="D266" s="3" t="str">
        <f>TEXT(Table1[[#This Row],[Admission Date]],"MMMM")</f>
        <v>October</v>
      </c>
      <c r="E266" s="3">
        <v>44847</v>
      </c>
      <c r="F266" s="3">
        <v>44847</v>
      </c>
      <c r="G266" s="2">
        <v>22026842</v>
      </c>
      <c r="H266" s="2">
        <v>2235818</v>
      </c>
      <c r="I266" s="2">
        <v>10013541160</v>
      </c>
      <c r="J266" s="2" t="s">
        <v>336</v>
      </c>
      <c r="K266" s="10">
        <v>4990</v>
      </c>
      <c r="L266" s="10">
        <v>614</v>
      </c>
      <c r="M266" s="10">
        <v>4376</v>
      </c>
      <c r="N266" s="10">
        <v>4376</v>
      </c>
      <c r="O266" s="10">
        <f>Table1[[#This Row],[NET Amount]]-Table1[[#This Row],[Paid Amount]]</f>
        <v>0</v>
      </c>
      <c r="P266" s="2" t="s">
        <v>18</v>
      </c>
      <c r="Q266" s="2" t="s">
        <v>54</v>
      </c>
      <c r="R266" s="16">
        <f>(Table1[[#This Row],[NET Amount]]-Table1[[#This Row],[Total Outstanding Amount]])/Table1[[#This Row],[NET Amount]]</f>
        <v>1</v>
      </c>
      <c r="S266" s="2" t="s">
        <v>97</v>
      </c>
    </row>
    <row r="267" spans="1:19" x14ac:dyDescent="0.3">
      <c r="A267" s="4">
        <v>265</v>
      </c>
      <c r="B267" s="2" t="s">
        <v>25</v>
      </c>
      <c r="C267" s="3">
        <v>44835</v>
      </c>
      <c r="D267" s="3" t="str">
        <f>TEXT(Table1[[#This Row],[Admission Date]],"MMMM")</f>
        <v>October</v>
      </c>
      <c r="E267" s="3">
        <v>44835</v>
      </c>
      <c r="F267" s="3">
        <v>44835</v>
      </c>
      <c r="G267" s="2">
        <v>22025108</v>
      </c>
      <c r="H267" s="2">
        <v>2234159</v>
      </c>
      <c r="I267" s="2">
        <v>1000891450</v>
      </c>
      <c r="J267" s="2" t="s">
        <v>337</v>
      </c>
      <c r="K267" s="10">
        <v>3488</v>
      </c>
      <c r="L267" s="10">
        <v>1514</v>
      </c>
      <c r="M267" s="10">
        <v>1974</v>
      </c>
      <c r="N267" s="10">
        <v>1974</v>
      </c>
      <c r="O267" s="10">
        <f>Table1[[#This Row],[NET Amount]]-Table1[[#This Row],[Paid Amount]]</f>
        <v>0</v>
      </c>
      <c r="P267" s="2" t="s">
        <v>18</v>
      </c>
      <c r="Q267" s="2" t="s">
        <v>54</v>
      </c>
      <c r="R267" s="16">
        <f>(Table1[[#This Row],[NET Amount]]-Table1[[#This Row],[Total Outstanding Amount]])/Table1[[#This Row],[NET Amount]]</f>
        <v>1</v>
      </c>
      <c r="S267" s="2" t="s">
        <v>97</v>
      </c>
    </row>
    <row r="268" spans="1:19" x14ac:dyDescent="0.3">
      <c r="A268" s="4">
        <v>266</v>
      </c>
      <c r="B268" s="2" t="s">
        <v>25</v>
      </c>
      <c r="C268" s="3">
        <v>44845</v>
      </c>
      <c r="D268" s="3" t="str">
        <f>TEXT(Table1[[#This Row],[Admission Date]],"MMMM")</f>
        <v>October</v>
      </c>
      <c r="E268" s="3">
        <v>44845</v>
      </c>
      <c r="F268" s="3">
        <v>44845</v>
      </c>
      <c r="G268" s="2">
        <v>22026551</v>
      </c>
      <c r="H268" s="2">
        <v>2235555</v>
      </c>
      <c r="I268" s="2">
        <v>10013372212</v>
      </c>
      <c r="J268" s="2" t="s">
        <v>338</v>
      </c>
      <c r="K268" s="10">
        <v>4990</v>
      </c>
      <c r="L268" s="10">
        <v>413</v>
      </c>
      <c r="M268" s="10">
        <v>4577</v>
      </c>
      <c r="N268" s="10">
        <v>4577</v>
      </c>
      <c r="O268" s="10">
        <f>Table1[[#This Row],[NET Amount]]-Table1[[#This Row],[Paid Amount]]</f>
        <v>0</v>
      </c>
      <c r="P268" s="2" t="s">
        <v>18</v>
      </c>
      <c r="Q268" s="2" t="s">
        <v>54</v>
      </c>
      <c r="R268" s="16">
        <f>(Table1[[#This Row],[NET Amount]]-Table1[[#This Row],[Total Outstanding Amount]])/Table1[[#This Row],[NET Amount]]</f>
        <v>1</v>
      </c>
      <c r="S268" s="2" t="s">
        <v>97</v>
      </c>
    </row>
    <row r="269" spans="1:19" x14ac:dyDescent="0.3">
      <c r="A269" s="4">
        <v>267</v>
      </c>
      <c r="B269" s="2" t="s">
        <v>35</v>
      </c>
      <c r="C269" s="3">
        <v>44845</v>
      </c>
      <c r="D269" s="3" t="str">
        <f>TEXT(Table1[[#This Row],[Admission Date]],"MMMM")</f>
        <v>October</v>
      </c>
      <c r="E269" s="3">
        <v>44845</v>
      </c>
      <c r="F269" s="3">
        <v>44845</v>
      </c>
      <c r="G269" s="2">
        <v>22026542</v>
      </c>
      <c r="H269" s="2">
        <v>2235537</v>
      </c>
      <c r="I269" s="2">
        <v>10013519440</v>
      </c>
      <c r="J269" s="2" t="s">
        <v>339</v>
      </c>
      <c r="K269" s="10">
        <v>1610</v>
      </c>
      <c r="L269" s="10">
        <v>0</v>
      </c>
      <c r="M269" s="10">
        <v>1610</v>
      </c>
      <c r="N269" s="10">
        <v>1610</v>
      </c>
      <c r="O269" s="10">
        <f>Table1[[#This Row],[NET Amount]]-Table1[[#This Row],[Paid Amount]]</f>
        <v>0</v>
      </c>
      <c r="P269" s="2" t="s">
        <v>18</v>
      </c>
      <c r="Q269" s="2" t="s">
        <v>54</v>
      </c>
      <c r="R269" s="16">
        <f>(Table1[[#This Row],[NET Amount]]-Table1[[#This Row],[Total Outstanding Amount]])/Table1[[#This Row],[NET Amount]]</f>
        <v>1</v>
      </c>
      <c r="S269" s="2" t="s">
        <v>97</v>
      </c>
    </row>
    <row r="270" spans="1:19" x14ac:dyDescent="0.3">
      <c r="A270" s="4">
        <v>268</v>
      </c>
      <c r="B270" s="2" t="s">
        <v>2247</v>
      </c>
      <c r="C270" s="3">
        <v>44835</v>
      </c>
      <c r="D270" s="3" t="str">
        <f>TEXT(Table1[[#This Row],[Admission Date]],"MMMM")</f>
        <v>October</v>
      </c>
      <c r="E270" s="3">
        <v>44835</v>
      </c>
      <c r="F270" s="3">
        <v>44835</v>
      </c>
      <c r="G270" s="2">
        <v>22025123</v>
      </c>
      <c r="H270" s="2">
        <v>2234176</v>
      </c>
      <c r="I270" s="2">
        <v>1001561182</v>
      </c>
      <c r="J270" s="2" t="s">
        <v>222</v>
      </c>
      <c r="K270" s="10">
        <v>2000</v>
      </c>
      <c r="L270" s="10">
        <v>0</v>
      </c>
      <c r="M270" s="10">
        <v>2000</v>
      </c>
      <c r="N270" s="10">
        <v>300</v>
      </c>
      <c r="O270" s="10">
        <f>Table1[[#This Row],[NET Amount]]-Table1[[#This Row],[Paid Amount]]</f>
        <v>1700</v>
      </c>
      <c r="P270" s="2" t="s">
        <v>23</v>
      </c>
      <c r="Q270" s="2" t="s">
        <v>54</v>
      </c>
      <c r="R270" s="16">
        <f>(Table1[[#This Row],[NET Amount]]-Table1[[#This Row],[Total Outstanding Amount]])/Table1[[#This Row],[NET Amount]]</f>
        <v>0.15</v>
      </c>
      <c r="S270" s="2" t="s">
        <v>97</v>
      </c>
    </row>
    <row r="271" spans="1:19" x14ac:dyDescent="0.3">
      <c r="A271" s="4">
        <v>269</v>
      </c>
      <c r="B271" s="2" t="s">
        <v>25</v>
      </c>
      <c r="C271" s="3">
        <v>44855</v>
      </c>
      <c r="D271" s="3" t="str">
        <f>TEXT(Table1[[#This Row],[Admission Date]],"MMMM")</f>
        <v>October</v>
      </c>
      <c r="E271" s="3">
        <v>44855</v>
      </c>
      <c r="F271" s="3">
        <v>44855</v>
      </c>
      <c r="G271" s="2">
        <v>22028038</v>
      </c>
      <c r="H271" s="2">
        <v>2236914</v>
      </c>
      <c r="I271" s="2">
        <v>10013543895</v>
      </c>
      <c r="J271" s="2" t="s">
        <v>340</v>
      </c>
      <c r="K271" s="10">
        <v>3590</v>
      </c>
      <c r="L271" s="10">
        <v>290</v>
      </c>
      <c r="M271" s="10">
        <v>3300</v>
      </c>
      <c r="N271" s="10">
        <v>3300</v>
      </c>
      <c r="O271" s="10">
        <f>Table1[[#This Row],[NET Amount]]-Table1[[#This Row],[Paid Amount]]</f>
        <v>0</v>
      </c>
      <c r="P271" s="2" t="s">
        <v>18</v>
      </c>
      <c r="Q271" s="2" t="s">
        <v>54</v>
      </c>
      <c r="R271" s="16">
        <f>(Table1[[#This Row],[NET Amount]]-Table1[[#This Row],[Total Outstanding Amount]])/Table1[[#This Row],[NET Amount]]</f>
        <v>1</v>
      </c>
      <c r="S271" s="2" t="s">
        <v>97</v>
      </c>
    </row>
    <row r="272" spans="1:19" x14ac:dyDescent="0.3">
      <c r="A272" s="4">
        <v>270</v>
      </c>
      <c r="B272" s="2" t="s">
        <v>25</v>
      </c>
      <c r="C272" s="3">
        <v>44855</v>
      </c>
      <c r="D272" s="3" t="str">
        <f>TEXT(Table1[[#This Row],[Admission Date]],"MMMM")</f>
        <v>October</v>
      </c>
      <c r="E272" s="3">
        <v>44855</v>
      </c>
      <c r="F272" s="3">
        <v>44855</v>
      </c>
      <c r="G272" s="2">
        <v>22028037</v>
      </c>
      <c r="H272" s="2">
        <v>2236923</v>
      </c>
      <c r="I272" s="2">
        <v>1000975940</v>
      </c>
      <c r="J272" s="2" t="s">
        <v>341</v>
      </c>
      <c r="K272" s="10">
        <v>4990</v>
      </c>
      <c r="L272" s="10">
        <v>474</v>
      </c>
      <c r="M272" s="10">
        <v>4516</v>
      </c>
      <c r="N272" s="10">
        <v>4516</v>
      </c>
      <c r="O272" s="10">
        <f>Table1[[#This Row],[NET Amount]]-Table1[[#This Row],[Paid Amount]]</f>
        <v>0</v>
      </c>
      <c r="P272" s="2" t="s">
        <v>18</v>
      </c>
      <c r="Q272" s="2" t="s">
        <v>54</v>
      </c>
      <c r="R272" s="16">
        <f>(Table1[[#This Row],[NET Amount]]-Table1[[#This Row],[Total Outstanding Amount]])/Table1[[#This Row],[NET Amount]]</f>
        <v>1</v>
      </c>
      <c r="S272" s="2" t="s">
        <v>97</v>
      </c>
    </row>
    <row r="273" spans="1:19" x14ac:dyDescent="0.3">
      <c r="A273" s="4">
        <v>271</v>
      </c>
      <c r="B273" s="2" t="s">
        <v>35</v>
      </c>
      <c r="C273" s="3">
        <v>44857</v>
      </c>
      <c r="D273" s="3" t="str">
        <f>TEXT(Table1[[#This Row],[Admission Date]],"MMMM")</f>
        <v>October</v>
      </c>
      <c r="E273" s="3">
        <v>44859</v>
      </c>
      <c r="F273" s="3">
        <v>44859</v>
      </c>
      <c r="G273" s="2">
        <v>22028495</v>
      </c>
      <c r="H273" s="2">
        <v>2237167</v>
      </c>
      <c r="I273" s="2">
        <v>1001805893</v>
      </c>
      <c r="J273" s="2" t="s">
        <v>342</v>
      </c>
      <c r="K273" s="10">
        <v>1032</v>
      </c>
      <c r="L273" s="10">
        <v>0</v>
      </c>
      <c r="M273" s="10">
        <v>1032</v>
      </c>
      <c r="N273" s="10">
        <v>1032</v>
      </c>
      <c r="O273" s="10">
        <f>Table1[[#This Row],[NET Amount]]-Table1[[#This Row],[Paid Amount]]</f>
        <v>0</v>
      </c>
      <c r="P273" s="2" t="s">
        <v>18</v>
      </c>
      <c r="Q273" s="2" t="s">
        <v>30</v>
      </c>
      <c r="R273" s="16">
        <f>(Table1[[#This Row],[NET Amount]]-Table1[[#This Row],[Total Outstanding Amount]])/Table1[[#This Row],[NET Amount]]</f>
        <v>1</v>
      </c>
      <c r="S273" s="2" t="s">
        <v>37</v>
      </c>
    </row>
    <row r="274" spans="1:19" x14ac:dyDescent="0.3">
      <c r="A274" s="4">
        <v>272</v>
      </c>
      <c r="B274" s="2" t="s">
        <v>25</v>
      </c>
      <c r="C274" s="3">
        <v>44860</v>
      </c>
      <c r="D274" s="3" t="str">
        <f>TEXT(Table1[[#This Row],[Admission Date]],"MMMM")</f>
        <v>October</v>
      </c>
      <c r="E274" s="3">
        <v>44860</v>
      </c>
      <c r="F274" s="3">
        <v>44860</v>
      </c>
      <c r="G274" s="2">
        <v>22028643</v>
      </c>
      <c r="H274" s="2">
        <v>2237504</v>
      </c>
      <c r="I274" s="2">
        <v>10013509533</v>
      </c>
      <c r="J274" s="2" t="s">
        <v>343</v>
      </c>
      <c r="K274" s="10">
        <v>2844</v>
      </c>
      <c r="L274" s="10">
        <v>289</v>
      </c>
      <c r="M274" s="10">
        <v>2555</v>
      </c>
      <c r="N274" s="10">
        <v>2555</v>
      </c>
      <c r="O274" s="10">
        <f>Table1[[#This Row],[NET Amount]]-Table1[[#This Row],[Paid Amount]]</f>
        <v>0</v>
      </c>
      <c r="P274" s="2" t="s">
        <v>18</v>
      </c>
      <c r="Q274" s="2" t="s">
        <v>54</v>
      </c>
      <c r="R274" s="16">
        <f>(Table1[[#This Row],[NET Amount]]-Table1[[#This Row],[Total Outstanding Amount]])/Table1[[#This Row],[NET Amount]]</f>
        <v>1</v>
      </c>
      <c r="S274" s="2" t="s">
        <v>97</v>
      </c>
    </row>
    <row r="275" spans="1:19" x14ac:dyDescent="0.3">
      <c r="A275" s="4">
        <v>273</v>
      </c>
      <c r="B275" s="2" t="s">
        <v>117</v>
      </c>
      <c r="C275" s="3">
        <v>44861</v>
      </c>
      <c r="D275" s="3" t="str">
        <f>TEXT(Table1[[#This Row],[Admission Date]],"MMMM")</f>
        <v>October</v>
      </c>
      <c r="E275" s="3">
        <v>44861</v>
      </c>
      <c r="F275" s="3">
        <v>44861</v>
      </c>
      <c r="G275" s="2">
        <v>22028786</v>
      </c>
      <c r="H275" s="2">
        <v>2237636</v>
      </c>
      <c r="I275" s="2">
        <v>10013383005</v>
      </c>
      <c r="J275" s="2" t="s">
        <v>184</v>
      </c>
      <c r="K275" s="10">
        <v>2064</v>
      </c>
      <c r="L275" s="10">
        <v>0</v>
      </c>
      <c r="M275" s="10">
        <v>2064</v>
      </c>
      <c r="N275" s="10">
        <v>2064</v>
      </c>
      <c r="O275" s="10">
        <f>Table1[[#This Row],[NET Amount]]-Table1[[#This Row],[Paid Amount]]</f>
        <v>0</v>
      </c>
      <c r="P275" s="2" t="s">
        <v>18</v>
      </c>
      <c r="Q275" s="2" t="s">
        <v>54</v>
      </c>
      <c r="R275" s="16">
        <f>(Table1[[#This Row],[NET Amount]]-Table1[[#This Row],[Total Outstanding Amount]])/Table1[[#This Row],[NET Amount]]</f>
        <v>1</v>
      </c>
      <c r="S275" s="2" t="s">
        <v>97</v>
      </c>
    </row>
    <row r="276" spans="1:19" x14ac:dyDescent="0.3">
      <c r="A276" s="4">
        <v>274</v>
      </c>
      <c r="B276" s="2" t="s">
        <v>25</v>
      </c>
      <c r="C276" s="3">
        <v>44863</v>
      </c>
      <c r="D276" s="3" t="str">
        <f>TEXT(Table1[[#This Row],[Admission Date]],"MMMM")</f>
        <v>October</v>
      </c>
      <c r="E276" s="3">
        <v>44863</v>
      </c>
      <c r="F276" s="3">
        <v>44863</v>
      </c>
      <c r="G276" s="2">
        <v>22029014</v>
      </c>
      <c r="H276" s="2">
        <v>2237917</v>
      </c>
      <c r="I276" s="2">
        <v>1000891450</v>
      </c>
      <c r="J276" s="2" t="s">
        <v>337</v>
      </c>
      <c r="K276" s="10">
        <v>3488</v>
      </c>
      <c r="L276" s="10">
        <v>1457</v>
      </c>
      <c r="M276" s="10">
        <v>2031</v>
      </c>
      <c r="N276" s="10">
        <v>2031</v>
      </c>
      <c r="O276" s="10">
        <f>Table1[[#This Row],[NET Amount]]-Table1[[#This Row],[Paid Amount]]</f>
        <v>0</v>
      </c>
      <c r="P276" s="2" t="s">
        <v>18</v>
      </c>
      <c r="Q276" s="2" t="s">
        <v>54</v>
      </c>
      <c r="R276" s="16">
        <f>(Table1[[#This Row],[NET Amount]]-Table1[[#This Row],[Total Outstanding Amount]])/Table1[[#This Row],[NET Amount]]</f>
        <v>1</v>
      </c>
      <c r="S276" s="2" t="s">
        <v>97</v>
      </c>
    </row>
    <row r="277" spans="1:19" x14ac:dyDescent="0.3">
      <c r="A277" s="4">
        <v>275</v>
      </c>
      <c r="B277" s="2" t="s">
        <v>75</v>
      </c>
      <c r="C277" s="3">
        <v>44844</v>
      </c>
      <c r="D277" s="3" t="str">
        <f>TEXT(Table1[[#This Row],[Admission Date]],"MMMM")</f>
        <v>October</v>
      </c>
      <c r="E277" s="3">
        <v>44847</v>
      </c>
      <c r="F277" s="3">
        <v>44847</v>
      </c>
      <c r="G277" s="2">
        <v>22026890</v>
      </c>
      <c r="H277" s="2">
        <v>2235366</v>
      </c>
      <c r="I277" s="2">
        <v>10013335004</v>
      </c>
      <c r="J277" s="2" t="s">
        <v>344</v>
      </c>
      <c r="K277" s="10">
        <v>40491</v>
      </c>
      <c r="L277" s="10">
        <v>0</v>
      </c>
      <c r="M277" s="10">
        <v>40491</v>
      </c>
      <c r="N277" s="10">
        <v>3534</v>
      </c>
      <c r="O277" s="10">
        <f>Table1[[#This Row],[NET Amount]]-Table1[[#This Row],[Paid Amount]]</f>
        <v>36957</v>
      </c>
      <c r="P277" s="2" t="s">
        <v>23</v>
      </c>
      <c r="Q277" s="2" t="s">
        <v>24</v>
      </c>
      <c r="R277" s="16">
        <f>(Table1[[#This Row],[NET Amount]]-Table1[[#This Row],[Total Outstanding Amount]])/Table1[[#This Row],[NET Amount]]</f>
        <v>8.727865451581833E-2</v>
      </c>
      <c r="S277" s="2" t="s">
        <v>39</v>
      </c>
    </row>
    <row r="278" spans="1:19" x14ac:dyDescent="0.3">
      <c r="A278" s="4">
        <v>276</v>
      </c>
      <c r="B278" s="2" t="s">
        <v>25</v>
      </c>
      <c r="C278" s="3">
        <v>44845</v>
      </c>
      <c r="D278" s="3" t="str">
        <f>TEXT(Table1[[#This Row],[Admission Date]],"MMMM")</f>
        <v>October</v>
      </c>
      <c r="E278" s="3">
        <v>44845</v>
      </c>
      <c r="F278" s="3">
        <v>44845</v>
      </c>
      <c r="G278" s="2">
        <v>22026605</v>
      </c>
      <c r="H278" s="2">
        <v>2235521</v>
      </c>
      <c r="I278" s="2">
        <v>10013469996</v>
      </c>
      <c r="J278" s="2" t="s">
        <v>345</v>
      </c>
      <c r="K278" s="10">
        <v>19938</v>
      </c>
      <c r="L278" s="10">
        <v>2340</v>
      </c>
      <c r="M278" s="10">
        <v>17598</v>
      </c>
      <c r="N278" s="10">
        <v>17598</v>
      </c>
      <c r="O278" s="10">
        <f>Table1[[#This Row],[NET Amount]]-Table1[[#This Row],[Paid Amount]]</f>
        <v>0</v>
      </c>
      <c r="P278" s="2" t="s">
        <v>18</v>
      </c>
      <c r="Q278" s="2" t="s">
        <v>54</v>
      </c>
      <c r="R278" s="16">
        <f>(Table1[[#This Row],[NET Amount]]-Table1[[#This Row],[Total Outstanding Amount]])/Table1[[#This Row],[NET Amount]]</f>
        <v>1</v>
      </c>
      <c r="S278" s="2" t="s">
        <v>27</v>
      </c>
    </row>
    <row r="279" spans="1:19" x14ac:dyDescent="0.3">
      <c r="A279" s="4">
        <v>277</v>
      </c>
      <c r="B279" s="2" t="s">
        <v>25</v>
      </c>
      <c r="C279" s="3">
        <v>44833</v>
      </c>
      <c r="D279" s="3" t="str">
        <f>TEXT(Table1[[#This Row],[Admission Date]],"MMMM")</f>
        <v>September</v>
      </c>
      <c r="E279" s="3">
        <v>44835</v>
      </c>
      <c r="F279" s="3">
        <v>44835</v>
      </c>
      <c r="G279" s="2">
        <v>22025163</v>
      </c>
      <c r="H279" s="2">
        <v>2233966</v>
      </c>
      <c r="I279" s="2">
        <v>10013540825</v>
      </c>
      <c r="J279" s="2" t="s">
        <v>346</v>
      </c>
      <c r="K279" s="10">
        <v>142638</v>
      </c>
      <c r="L279" s="10">
        <v>17868</v>
      </c>
      <c r="M279" s="10">
        <v>124770</v>
      </c>
      <c r="N279" s="10">
        <v>124770</v>
      </c>
      <c r="O279" s="10">
        <f>Table1[[#This Row],[NET Amount]]-Table1[[#This Row],[Paid Amount]]</f>
        <v>0</v>
      </c>
      <c r="P279" s="2" t="s">
        <v>18</v>
      </c>
      <c r="Q279" s="2" t="s">
        <v>24</v>
      </c>
      <c r="R279" s="16">
        <f>(Table1[[#This Row],[NET Amount]]-Table1[[#This Row],[Total Outstanding Amount]])/Table1[[#This Row],[NET Amount]]</f>
        <v>1</v>
      </c>
      <c r="S279" s="2" t="s">
        <v>201</v>
      </c>
    </row>
    <row r="280" spans="1:19" x14ac:dyDescent="0.3">
      <c r="A280" s="4">
        <v>278</v>
      </c>
      <c r="B280" s="2" t="s">
        <v>168</v>
      </c>
      <c r="C280" s="3">
        <v>44829</v>
      </c>
      <c r="D280" s="3" t="str">
        <f>TEXT(Table1[[#This Row],[Admission Date]],"MMMM")</f>
        <v>September</v>
      </c>
      <c r="E280" s="3">
        <v>44835</v>
      </c>
      <c r="F280" s="3">
        <v>44835</v>
      </c>
      <c r="G280" s="2">
        <v>22025212</v>
      </c>
      <c r="H280" s="2">
        <v>2233419</v>
      </c>
      <c r="I280" s="2">
        <v>10013335305</v>
      </c>
      <c r="J280" s="2" t="s">
        <v>347</v>
      </c>
      <c r="K280" s="10">
        <v>160815</v>
      </c>
      <c r="L280" s="10">
        <v>22714</v>
      </c>
      <c r="M280" s="10">
        <v>138102</v>
      </c>
      <c r="N280" s="10">
        <v>10565</v>
      </c>
      <c r="O280" s="10">
        <f>Table1[[#This Row],[NET Amount]]-Table1[[#This Row],[Paid Amount]]</f>
        <v>127537</v>
      </c>
      <c r="P280" s="2" t="s">
        <v>23</v>
      </c>
      <c r="Q280" s="2" t="s">
        <v>42</v>
      </c>
      <c r="R280" s="16">
        <f>(Table1[[#This Row],[NET Amount]]-Table1[[#This Row],[Total Outstanding Amount]])/Table1[[#This Row],[NET Amount]]</f>
        <v>7.6501426481875717E-2</v>
      </c>
      <c r="S280" s="2" t="s">
        <v>20</v>
      </c>
    </row>
    <row r="281" spans="1:19" x14ac:dyDescent="0.3">
      <c r="A281" s="4">
        <v>279</v>
      </c>
      <c r="B281" s="2" t="s">
        <v>126</v>
      </c>
      <c r="C281" s="3">
        <v>44843</v>
      </c>
      <c r="D281" s="3" t="str">
        <f>TEXT(Table1[[#This Row],[Admission Date]],"MMMM")</f>
        <v>October</v>
      </c>
      <c r="E281" s="3">
        <v>44847</v>
      </c>
      <c r="F281" s="3">
        <v>44847</v>
      </c>
      <c r="G281" s="2">
        <v>22026880</v>
      </c>
      <c r="H281" s="2">
        <v>2235283</v>
      </c>
      <c r="I281" s="2">
        <v>10013542291</v>
      </c>
      <c r="J281" s="2" t="s">
        <v>348</v>
      </c>
      <c r="K281" s="10">
        <v>80093</v>
      </c>
      <c r="L281" s="10">
        <v>10847</v>
      </c>
      <c r="M281" s="10">
        <v>69246</v>
      </c>
      <c r="N281" s="10">
        <v>4588</v>
      </c>
      <c r="O281" s="10">
        <f>Table1[[#This Row],[NET Amount]]-Table1[[#This Row],[Paid Amount]]</f>
        <v>64658</v>
      </c>
      <c r="P281" s="2" t="s">
        <v>23</v>
      </c>
      <c r="Q281" s="2" t="s">
        <v>30</v>
      </c>
      <c r="R281" s="16">
        <f>(Table1[[#This Row],[NET Amount]]-Table1[[#This Row],[Total Outstanding Amount]])/Table1[[#This Row],[NET Amount]]</f>
        <v>6.6256534673482942E-2</v>
      </c>
      <c r="S281" s="2" t="s">
        <v>20</v>
      </c>
    </row>
    <row r="282" spans="1:19" x14ac:dyDescent="0.3">
      <c r="A282" s="4">
        <v>280</v>
      </c>
      <c r="B282" s="2" t="s">
        <v>25</v>
      </c>
      <c r="C282" s="3">
        <v>44861</v>
      </c>
      <c r="D282" s="3" t="str">
        <f>TEXT(Table1[[#This Row],[Admission Date]],"MMMM")</f>
        <v>October</v>
      </c>
      <c r="E282" s="3">
        <v>44861</v>
      </c>
      <c r="F282" s="3">
        <v>44861</v>
      </c>
      <c r="G282" s="2">
        <v>22028722</v>
      </c>
      <c r="H282" s="2">
        <v>2237622</v>
      </c>
      <c r="I282" s="2">
        <v>10013424453</v>
      </c>
      <c r="J282" s="2" t="s">
        <v>333</v>
      </c>
      <c r="K282" s="10">
        <v>4990</v>
      </c>
      <c r="L282" s="10">
        <v>418</v>
      </c>
      <c r="M282" s="10">
        <v>4572</v>
      </c>
      <c r="N282" s="10">
        <v>4572</v>
      </c>
      <c r="O282" s="10">
        <f>Table1[[#This Row],[NET Amount]]-Table1[[#This Row],[Paid Amount]]</f>
        <v>0</v>
      </c>
      <c r="P282" s="2" t="s">
        <v>18</v>
      </c>
      <c r="Q282" s="2" t="s">
        <v>54</v>
      </c>
      <c r="R282" s="16">
        <f>(Table1[[#This Row],[NET Amount]]-Table1[[#This Row],[Total Outstanding Amount]])/Table1[[#This Row],[NET Amount]]</f>
        <v>1</v>
      </c>
      <c r="S282" s="2" t="s">
        <v>97</v>
      </c>
    </row>
    <row r="283" spans="1:19" x14ac:dyDescent="0.3">
      <c r="A283" s="4">
        <v>281</v>
      </c>
      <c r="B283" s="2" t="s">
        <v>25</v>
      </c>
      <c r="C283" s="3">
        <v>44861</v>
      </c>
      <c r="D283" s="3" t="str">
        <f>TEXT(Table1[[#This Row],[Admission Date]],"MMMM")</f>
        <v>October</v>
      </c>
      <c r="E283" s="3">
        <v>44861</v>
      </c>
      <c r="F283" s="3">
        <v>44861</v>
      </c>
      <c r="G283" s="2">
        <v>22028723</v>
      </c>
      <c r="H283" s="2">
        <v>2237625</v>
      </c>
      <c r="I283" s="2">
        <v>1001542684</v>
      </c>
      <c r="J283" s="2" t="s">
        <v>176</v>
      </c>
      <c r="K283" s="10">
        <v>4990</v>
      </c>
      <c r="L283" s="10">
        <v>418</v>
      </c>
      <c r="M283" s="10">
        <v>4572</v>
      </c>
      <c r="N283" s="10">
        <v>4572</v>
      </c>
      <c r="O283" s="10">
        <f>Table1[[#This Row],[NET Amount]]-Table1[[#This Row],[Paid Amount]]</f>
        <v>0</v>
      </c>
      <c r="P283" s="2" t="s">
        <v>18</v>
      </c>
      <c r="Q283" s="2" t="s">
        <v>54</v>
      </c>
      <c r="R283" s="16">
        <f>(Table1[[#This Row],[NET Amount]]-Table1[[#This Row],[Total Outstanding Amount]])/Table1[[#This Row],[NET Amount]]</f>
        <v>1</v>
      </c>
      <c r="S283" s="2" t="s">
        <v>97</v>
      </c>
    </row>
    <row r="284" spans="1:19" x14ac:dyDescent="0.3">
      <c r="A284" s="4">
        <v>282</v>
      </c>
      <c r="B284" s="2" t="s">
        <v>126</v>
      </c>
      <c r="C284" s="3">
        <v>44849</v>
      </c>
      <c r="D284" s="3" t="str">
        <f>TEXT(Table1[[#This Row],[Admission Date]],"MMMM")</f>
        <v>October</v>
      </c>
      <c r="E284" s="3">
        <v>44854</v>
      </c>
      <c r="F284" s="3">
        <v>44854</v>
      </c>
      <c r="G284" s="2">
        <v>22027887</v>
      </c>
      <c r="H284" s="2">
        <v>2236153</v>
      </c>
      <c r="I284" s="2">
        <v>10013443574</v>
      </c>
      <c r="J284" s="2" t="s">
        <v>349</v>
      </c>
      <c r="K284" s="10">
        <v>108065</v>
      </c>
      <c r="L284" s="10">
        <v>6262</v>
      </c>
      <c r="M284" s="10">
        <v>101803</v>
      </c>
      <c r="N284" s="10">
        <v>59207</v>
      </c>
      <c r="O284" s="10">
        <f>Table1[[#This Row],[NET Amount]]-Table1[[#This Row],[Paid Amount]]</f>
        <v>42596</v>
      </c>
      <c r="P284" s="2" t="s">
        <v>23</v>
      </c>
      <c r="Q284" s="2" t="s">
        <v>30</v>
      </c>
      <c r="R284" s="16">
        <f>(Table1[[#This Row],[NET Amount]]-Table1[[#This Row],[Total Outstanding Amount]])/Table1[[#This Row],[NET Amount]]</f>
        <v>0.58158403976307183</v>
      </c>
      <c r="S284" s="2" t="s">
        <v>20</v>
      </c>
    </row>
    <row r="285" spans="1:19" x14ac:dyDescent="0.3">
      <c r="A285" s="4">
        <v>283</v>
      </c>
      <c r="B285" s="2" t="s">
        <v>25</v>
      </c>
      <c r="C285" s="3">
        <v>44854</v>
      </c>
      <c r="D285" s="3" t="str">
        <f>TEXT(Table1[[#This Row],[Admission Date]],"MMMM")</f>
        <v>October</v>
      </c>
      <c r="E285" s="3">
        <v>44855</v>
      </c>
      <c r="F285" s="3">
        <v>44855</v>
      </c>
      <c r="G285" s="2">
        <v>22027996</v>
      </c>
      <c r="H285" s="2">
        <v>2236732</v>
      </c>
      <c r="I285" s="2">
        <v>1000909567</v>
      </c>
      <c r="J285" s="2" t="s">
        <v>350</v>
      </c>
      <c r="K285" s="10">
        <v>56994</v>
      </c>
      <c r="L285" s="10">
        <v>19160</v>
      </c>
      <c r="M285" s="10">
        <v>37834</v>
      </c>
      <c r="N285" s="10">
        <v>37834</v>
      </c>
      <c r="O285" s="10">
        <f>Table1[[#This Row],[NET Amount]]-Table1[[#This Row],[Paid Amount]]</f>
        <v>0</v>
      </c>
      <c r="P285" s="2" t="s">
        <v>18</v>
      </c>
      <c r="Q285" s="2" t="s">
        <v>69</v>
      </c>
      <c r="R285" s="16">
        <f>(Table1[[#This Row],[NET Amount]]-Table1[[#This Row],[Total Outstanding Amount]])/Table1[[#This Row],[NET Amount]]</f>
        <v>1</v>
      </c>
      <c r="S285" s="2" t="s">
        <v>39</v>
      </c>
    </row>
    <row r="286" spans="1:19" x14ac:dyDescent="0.3">
      <c r="A286" s="4">
        <v>284</v>
      </c>
      <c r="B286" s="2" t="s">
        <v>149</v>
      </c>
      <c r="C286" s="3">
        <v>44847</v>
      </c>
      <c r="D286" s="3" t="str">
        <f>TEXT(Table1[[#This Row],[Admission Date]],"MMMM")</f>
        <v>October</v>
      </c>
      <c r="E286" s="3">
        <v>44848</v>
      </c>
      <c r="F286" s="3">
        <v>44848</v>
      </c>
      <c r="G286" s="2">
        <v>22027024</v>
      </c>
      <c r="H286" s="2">
        <v>2235868</v>
      </c>
      <c r="I286" s="2">
        <v>10013542878</v>
      </c>
      <c r="J286" s="2" t="s">
        <v>351</v>
      </c>
      <c r="K286" s="10">
        <v>44213</v>
      </c>
      <c r="L286" s="10">
        <v>2216</v>
      </c>
      <c r="M286" s="10">
        <v>41997</v>
      </c>
      <c r="N286" s="10">
        <v>0</v>
      </c>
      <c r="O286" s="10">
        <f>Table1[[#This Row],[NET Amount]]-Table1[[#This Row],[Paid Amount]]</f>
        <v>41997</v>
      </c>
      <c r="P286" s="2" t="s">
        <v>23</v>
      </c>
      <c r="Q286" s="2" t="s">
        <v>47</v>
      </c>
      <c r="R286" s="16">
        <f>(Table1[[#This Row],[NET Amount]]-Table1[[#This Row],[Total Outstanding Amount]])/Table1[[#This Row],[NET Amount]]</f>
        <v>0</v>
      </c>
      <c r="S286" s="2" t="s">
        <v>39</v>
      </c>
    </row>
    <row r="287" spans="1:19" x14ac:dyDescent="0.3">
      <c r="A287" s="4">
        <v>285</v>
      </c>
      <c r="B287" s="2" t="s">
        <v>259</v>
      </c>
      <c r="C287" s="3">
        <v>44853</v>
      </c>
      <c r="D287" s="3" t="str">
        <f>TEXT(Table1[[#This Row],[Admission Date]],"MMMM")</f>
        <v>October</v>
      </c>
      <c r="E287" s="3">
        <v>44855</v>
      </c>
      <c r="F287" s="3">
        <v>44855</v>
      </c>
      <c r="G287" s="2">
        <v>22028031</v>
      </c>
      <c r="H287" s="2">
        <v>2236644</v>
      </c>
      <c r="I287" s="2">
        <v>1001080912</v>
      </c>
      <c r="J287" s="2" t="s">
        <v>352</v>
      </c>
      <c r="K287" s="10">
        <v>71350</v>
      </c>
      <c r="L287" s="10">
        <v>0</v>
      </c>
      <c r="M287" s="10">
        <v>71350</v>
      </c>
      <c r="N287" s="10">
        <v>1500</v>
      </c>
      <c r="O287" s="10">
        <f>Table1[[#This Row],[NET Amount]]-Table1[[#This Row],[Paid Amount]]</f>
        <v>69850</v>
      </c>
      <c r="P287" s="2" t="s">
        <v>23</v>
      </c>
      <c r="Q287" s="2" t="s">
        <v>30</v>
      </c>
      <c r="R287" s="16">
        <f>(Table1[[#This Row],[NET Amount]]-Table1[[#This Row],[Total Outstanding Amount]])/Table1[[#This Row],[NET Amount]]</f>
        <v>2.1023125437981779E-2</v>
      </c>
      <c r="S287" s="2" t="s">
        <v>77</v>
      </c>
    </row>
    <row r="288" spans="1:19" x14ac:dyDescent="0.3">
      <c r="A288" s="4">
        <v>286</v>
      </c>
      <c r="B288" s="2" t="s">
        <v>2256</v>
      </c>
      <c r="C288" s="3">
        <v>44842</v>
      </c>
      <c r="D288" s="3" t="str">
        <f>TEXT(Table1[[#This Row],[Admission Date]],"MMMM")</f>
        <v>October</v>
      </c>
      <c r="E288" s="3">
        <v>44842</v>
      </c>
      <c r="F288" s="3">
        <v>44842</v>
      </c>
      <c r="G288" s="2">
        <v>22026203</v>
      </c>
      <c r="H288" s="2">
        <v>2235222</v>
      </c>
      <c r="I288" s="2">
        <v>1001658205</v>
      </c>
      <c r="J288" s="2" t="s">
        <v>238</v>
      </c>
      <c r="K288" s="10">
        <v>2950</v>
      </c>
      <c r="L288" s="10">
        <v>0</v>
      </c>
      <c r="M288" s="10">
        <v>2950</v>
      </c>
      <c r="N288" s="10">
        <v>295</v>
      </c>
      <c r="O288" s="10">
        <f>Table1[[#This Row],[NET Amount]]-Table1[[#This Row],[Paid Amount]]</f>
        <v>2655</v>
      </c>
      <c r="P288" s="2" t="s">
        <v>23</v>
      </c>
      <c r="Q288" s="2" t="s">
        <v>54</v>
      </c>
      <c r="R288" s="16">
        <f>(Table1[[#This Row],[NET Amount]]-Table1[[#This Row],[Total Outstanding Amount]])/Table1[[#This Row],[NET Amount]]</f>
        <v>0.1</v>
      </c>
      <c r="S288" s="2" t="s">
        <v>97</v>
      </c>
    </row>
    <row r="289" spans="1:19" x14ac:dyDescent="0.3">
      <c r="A289" s="4">
        <v>287</v>
      </c>
      <c r="B289" s="2" t="s">
        <v>25</v>
      </c>
      <c r="C289" s="3">
        <v>44849</v>
      </c>
      <c r="D289" s="3" t="str">
        <f>TEXT(Table1[[#This Row],[Admission Date]],"MMMM")</f>
        <v>October</v>
      </c>
      <c r="E289" s="3">
        <v>44850</v>
      </c>
      <c r="F289" s="3">
        <v>44850</v>
      </c>
      <c r="G289" s="2">
        <v>22027291</v>
      </c>
      <c r="H289" s="2">
        <v>2236208</v>
      </c>
      <c r="I289" s="2">
        <v>10013543224</v>
      </c>
      <c r="J289" s="2" t="s">
        <v>353</v>
      </c>
      <c r="K289" s="10">
        <v>38905</v>
      </c>
      <c r="L289" s="10">
        <v>3526</v>
      </c>
      <c r="M289" s="10">
        <v>35379</v>
      </c>
      <c r="N289" s="10">
        <v>35379</v>
      </c>
      <c r="O289" s="10">
        <f>Table1[[#This Row],[NET Amount]]-Table1[[#This Row],[Paid Amount]]</f>
        <v>0</v>
      </c>
      <c r="P289" s="2" t="s">
        <v>18</v>
      </c>
      <c r="Q289" s="2" t="s">
        <v>24</v>
      </c>
      <c r="R289" s="16">
        <f>(Table1[[#This Row],[NET Amount]]-Table1[[#This Row],[Total Outstanding Amount]])/Table1[[#This Row],[NET Amount]]</f>
        <v>1</v>
      </c>
      <c r="S289" s="2" t="s">
        <v>39</v>
      </c>
    </row>
    <row r="290" spans="1:19" x14ac:dyDescent="0.3">
      <c r="A290" s="4">
        <v>288</v>
      </c>
      <c r="B290" s="2" t="s">
        <v>152</v>
      </c>
      <c r="C290" s="3">
        <v>44848</v>
      </c>
      <c r="D290" s="3" t="str">
        <f>TEXT(Table1[[#This Row],[Admission Date]],"MMMM")</f>
        <v>October</v>
      </c>
      <c r="E290" s="3">
        <v>44850</v>
      </c>
      <c r="F290" s="3">
        <v>44850</v>
      </c>
      <c r="G290" s="2">
        <v>22027292</v>
      </c>
      <c r="H290" s="2">
        <v>2236060</v>
      </c>
      <c r="I290" s="2">
        <v>10013509603</v>
      </c>
      <c r="J290" s="2" t="s">
        <v>354</v>
      </c>
      <c r="K290" s="10">
        <v>22887</v>
      </c>
      <c r="L290" s="10">
        <v>0</v>
      </c>
      <c r="M290" s="10">
        <v>22887</v>
      </c>
      <c r="N290" s="10">
        <v>520</v>
      </c>
      <c r="O290" s="10">
        <f>Table1[[#This Row],[NET Amount]]-Table1[[#This Row],[Paid Amount]]</f>
        <v>22367</v>
      </c>
      <c r="P290" s="2" t="s">
        <v>23</v>
      </c>
      <c r="Q290" s="2" t="s">
        <v>24</v>
      </c>
      <c r="R290" s="16">
        <f>(Table1[[#This Row],[NET Amount]]-Table1[[#This Row],[Total Outstanding Amount]])/Table1[[#This Row],[NET Amount]]</f>
        <v>2.2720321579936208E-2</v>
      </c>
      <c r="S290" s="2" t="s">
        <v>39</v>
      </c>
    </row>
    <row r="291" spans="1:19" x14ac:dyDescent="0.3">
      <c r="A291" s="4">
        <v>289</v>
      </c>
      <c r="B291" s="2" t="s">
        <v>2291</v>
      </c>
      <c r="C291" s="3">
        <v>44838</v>
      </c>
      <c r="D291" s="3" t="str">
        <f>TEXT(Table1[[#This Row],[Admission Date]],"MMMM")</f>
        <v>October</v>
      </c>
      <c r="E291" s="3">
        <v>44840</v>
      </c>
      <c r="F291" s="3">
        <v>44840</v>
      </c>
      <c r="G291" s="2">
        <v>22025881</v>
      </c>
      <c r="H291" s="2">
        <v>2234542</v>
      </c>
      <c r="I291" s="2">
        <v>1000908563</v>
      </c>
      <c r="J291" s="2" t="s">
        <v>355</v>
      </c>
      <c r="K291" s="10">
        <v>82732</v>
      </c>
      <c r="L291" s="10">
        <v>82732</v>
      </c>
      <c r="M291" s="10">
        <v>0</v>
      </c>
      <c r="N291" s="10">
        <v>0</v>
      </c>
      <c r="O291" s="10">
        <f>Table1[[#This Row],[NET Amount]]-Table1[[#This Row],[Paid Amount]]</f>
        <v>0</v>
      </c>
      <c r="P291" s="2" t="s">
        <v>18</v>
      </c>
      <c r="Q291" s="2" t="s">
        <v>19</v>
      </c>
      <c r="R291" s="16" t="e">
        <f>(Table1[[#This Row],[NET Amount]]-Table1[[#This Row],[Total Outstanding Amount]])/Table1[[#This Row],[NET Amount]]</f>
        <v>#DIV/0!</v>
      </c>
      <c r="S291" s="2" t="s">
        <v>27</v>
      </c>
    </row>
    <row r="292" spans="1:19" x14ac:dyDescent="0.3">
      <c r="A292" s="4">
        <v>290</v>
      </c>
      <c r="B292" s="2" t="s">
        <v>25</v>
      </c>
      <c r="C292" s="3">
        <v>44856</v>
      </c>
      <c r="D292" s="3" t="str">
        <f>TEXT(Table1[[#This Row],[Admission Date]],"MMMM")</f>
        <v>October</v>
      </c>
      <c r="E292" s="3">
        <v>44856</v>
      </c>
      <c r="F292" s="3">
        <v>44856</v>
      </c>
      <c r="G292" s="2">
        <v>22028219</v>
      </c>
      <c r="H292" s="2">
        <v>2237046</v>
      </c>
      <c r="I292" s="2">
        <v>10013526375</v>
      </c>
      <c r="J292" s="2" t="s">
        <v>241</v>
      </c>
      <c r="K292" s="10">
        <v>4990</v>
      </c>
      <c r="L292" s="10">
        <v>415</v>
      </c>
      <c r="M292" s="10">
        <v>4575</v>
      </c>
      <c r="N292" s="10">
        <v>4575</v>
      </c>
      <c r="O292" s="10">
        <f>Table1[[#This Row],[NET Amount]]-Table1[[#This Row],[Paid Amount]]</f>
        <v>0</v>
      </c>
      <c r="P292" s="2" t="s">
        <v>18</v>
      </c>
      <c r="Q292" s="2" t="s">
        <v>54</v>
      </c>
      <c r="R292" s="16">
        <f>(Table1[[#This Row],[NET Amount]]-Table1[[#This Row],[Total Outstanding Amount]])/Table1[[#This Row],[NET Amount]]</f>
        <v>1</v>
      </c>
      <c r="S292" s="2" t="s">
        <v>97</v>
      </c>
    </row>
    <row r="293" spans="1:19" x14ac:dyDescent="0.3">
      <c r="A293" s="4">
        <v>291</v>
      </c>
      <c r="B293" s="2" t="s">
        <v>35</v>
      </c>
      <c r="C293" s="3">
        <v>44839</v>
      </c>
      <c r="D293" s="3" t="str">
        <f>TEXT(Table1[[#This Row],[Admission Date]],"MMMM")</f>
        <v>October</v>
      </c>
      <c r="E293" s="3">
        <v>44839</v>
      </c>
      <c r="F293" s="3">
        <v>44839</v>
      </c>
      <c r="G293" s="2">
        <v>22025641</v>
      </c>
      <c r="H293" s="2">
        <v>2234679</v>
      </c>
      <c r="I293" s="2">
        <v>10013530699</v>
      </c>
      <c r="J293" s="2" t="s">
        <v>356</v>
      </c>
      <c r="K293" s="10">
        <v>1610</v>
      </c>
      <c r="L293" s="10">
        <v>0</v>
      </c>
      <c r="M293" s="10">
        <v>1610</v>
      </c>
      <c r="N293" s="10">
        <v>1610</v>
      </c>
      <c r="O293" s="10">
        <f>Table1[[#This Row],[NET Amount]]-Table1[[#This Row],[Paid Amount]]</f>
        <v>0</v>
      </c>
      <c r="P293" s="2" t="s">
        <v>18</v>
      </c>
      <c r="Q293" s="2" t="s">
        <v>54</v>
      </c>
      <c r="R293" s="16">
        <f>(Table1[[#This Row],[NET Amount]]-Table1[[#This Row],[Total Outstanding Amount]])/Table1[[#This Row],[NET Amount]]</f>
        <v>1</v>
      </c>
      <c r="S293" s="2" t="s">
        <v>97</v>
      </c>
    </row>
    <row r="294" spans="1:19" x14ac:dyDescent="0.3">
      <c r="A294" s="4">
        <v>292</v>
      </c>
      <c r="B294" s="2" t="s">
        <v>2251</v>
      </c>
      <c r="C294" s="3">
        <v>44840</v>
      </c>
      <c r="D294" s="3" t="str">
        <f>TEXT(Table1[[#This Row],[Admission Date]],"MMMM")</f>
        <v>October</v>
      </c>
      <c r="E294" s="3">
        <v>44842</v>
      </c>
      <c r="F294" s="3">
        <v>44842</v>
      </c>
      <c r="G294" s="2">
        <v>22026215</v>
      </c>
      <c r="H294" s="2">
        <v>2234845</v>
      </c>
      <c r="I294" s="2">
        <v>1001802716</v>
      </c>
      <c r="J294" s="2" t="s">
        <v>357</v>
      </c>
      <c r="K294" s="10">
        <v>92392</v>
      </c>
      <c r="L294" s="10">
        <v>0</v>
      </c>
      <c r="M294" s="10">
        <v>92392</v>
      </c>
      <c r="N294" s="10">
        <v>23400</v>
      </c>
      <c r="O294" s="10">
        <f>Table1[[#This Row],[NET Amount]]-Table1[[#This Row],[Paid Amount]]</f>
        <v>68992</v>
      </c>
      <c r="P294" s="2" t="s">
        <v>23</v>
      </c>
      <c r="Q294" s="2" t="s">
        <v>19</v>
      </c>
      <c r="R294" s="16">
        <f>(Table1[[#This Row],[NET Amount]]-Table1[[#This Row],[Total Outstanding Amount]])/Table1[[#This Row],[NET Amount]]</f>
        <v>0.25326868127110574</v>
      </c>
      <c r="S294" s="2" t="s">
        <v>77</v>
      </c>
    </row>
    <row r="295" spans="1:19" x14ac:dyDescent="0.3">
      <c r="A295" s="4">
        <v>293</v>
      </c>
      <c r="B295" s="2" t="s">
        <v>155</v>
      </c>
      <c r="C295" s="3">
        <v>44854</v>
      </c>
      <c r="D295" s="3" t="str">
        <f>TEXT(Table1[[#This Row],[Admission Date]],"MMMM")</f>
        <v>October</v>
      </c>
      <c r="E295" s="3">
        <v>44854</v>
      </c>
      <c r="F295" s="3">
        <v>44854</v>
      </c>
      <c r="G295" s="2">
        <v>22027825</v>
      </c>
      <c r="H295" s="2">
        <v>2236743</v>
      </c>
      <c r="I295" s="2">
        <v>10013537888</v>
      </c>
      <c r="J295" s="2" t="s">
        <v>358</v>
      </c>
      <c r="K295" s="10">
        <v>1610</v>
      </c>
      <c r="L295" s="10">
        <v>0</v>
      </c>
      <c r="M295" s="10">
        <v>1610</v>
      </c>
      <c r="N295" s="10">
        <v>1610</v>
      </c>
      <c r="O295" s="10">
        <f>Table1[[#This Row],[NET Amount]]-Table1[[#This Row],[Paid Amount]]</f>
        <v>0</v>
      </c>
      <c r="P295" s="2" t="s">
        <v>18</v>
      </c>
      <c r="Q295" s="2" t="s">
        <v>54</v>
      </c>
      <c r="R295" s="16">
        <f>(Table1[[#This Row],[NET Amount]]-Table1[[#This Row],[Total Outstanding Amount]])/Table1[[#This Row],[NET Amount]]</f>
        <v>1</v>
      </c>
      <c r="S295" s="2" t="s">
        <v>97</v>
      </c>
    </row>
    <row r="296" spans="1:19" x14ac:dyDescent="0.3">
      <c r="A296" s="4">
        <v>294</v>
      </c>
      <c r="B296" s="2" t="s">
        <v>35</v>
      </c>
      <c r="C296" s="3">
        <v>44835</v>
      </c>
      <c r="D296" s="3" t="str">
        <f>TEXT(Table1[[#This Row],[Admission Date]],"MMMM")</f>
        <v>October</v>
      </c>
      <c r="E296" s="3">
        <v>44835</v>
      </c>
      <c r="F296" s="3">
        <v>44835</v>
      </c>
      <c r="G296" s="2">
        <v>22025095</v>
      </c>
      <c r="H296" s="2">
        <v>2234147</v>
      </c>
      <c r="I296" s="2">
        <v>10013514103</v>
      </c>
      <c r="J296" s="2" t="s">
        <v>173</v>
      </c>
      <c r="K296" s="10">
        <v>1610</v>
      </c>
      <c r="L296" s="10">
        <v>0</v>
      </c>
      <c r="M296" s="10">
        <v>1610</v>
      </c>
      <c r="N296" s="10">
        <v>1610</v>
      </c>
      <c r="O296" s="10">
        <f>Table1[[#This Row],[NET Amount]]-Table1[[#This Row],[Paid Amount]]</f>
        <v>0</v>
      </c>
      <c r="P296" s="2" t="s">
        <v>18</v>
      </c>
      <c r="Q296" s="2" t="s">
        <v>54</v>
      </c>
      <c r="R296" s="16">
        <f>(Table1[[#This Row],[NET Amount]]-Table1[[#This Row],[Total Outstanding Amount]])/Table1[[#This Row],[NET Amount]]</f>
        <v>1</v>
      </c>
      <c r="S296" s="2" t="s">
        <v>97</v>
      </c>
    </row>
    <row r="297" spans="1:19" x14ac:dyDescent="0.3">
      <c r="A297" s="4">
        <v>295</v>
      </c>
      <c r="B297" s="2" t="s">
        <v>25</v>
      </c>
      <c r="C297" s="3">
        <v>44835</v>
      </c>
      <c r="D297" s="3" t="str">
        <f>TEXT(Table1[[#This Row],[Admission Date]],"MMMM")</f>
        <v>October</v>
      </c>
      <c r="E297" s="3">
        <v>44835</v>
      </c>
      <c r="F297" s="3">
        <v>44835</v>
      </c>
      <c r="G297" s="2">
        <v>22025204</v>
      </c>
      <c r="H297" s="2">
        <v>2234210</v>
      </c>
      <c r="I297" s="2">
        <v>10013230754</v>
      </c>
      <c r="J297" s="2" t="s">
        <v>102</v>
      </c>
      <c r="K297" s="10">
        <v>4990</v>
      </c>
      <c r="L297" s="10">
        <v>1363</v>
      </c>
      <c r="M297" s="10">
        <v>3627</v>
      </c>
      <c r="N297" s="10">
        <v>3627</v>
      </c>
      <c r="O297" s="10">
        <f>Table1[[#This Row],[NET Amount]]-Table1[[#This Row],[Paid Amount]]</f>
        <v>0</v>
      </c>
      <c r="P297" s="2" t="s">
        <v>18</v>
      </c>
      <c r="Q297" s="2" t="s">
        <v>54</v>
      </c>
      <c r="R297" s="16">
        <f>(Table1[[#This Row],[NET Amount]]-Table1[[#This Row],[Total Outstanding Amount]])/Table1[[#This Row],[NET Amount]]</f>
        <v>1</v>
      </c>
      <c r="S297" s="2" t="s">
        <v>97</v>
      </c>
    </row>
    <row r="298" spans="1:19" x14ac:dyDescent="0.3">
      <c r="A298" s="4">
        <v>296</v>
      </c>
      <c r="B298" s="2" t="s">
        <v>35</v>
      </c>
      <c r="C298" s="3">
        <v>44841</v>
      </c>
      <c r="D298" s="3" t="str">
        <f>TEXT(Table1[[#This Row],[Admission Date]],"MMMM")</f>
        <v>October</v>
      </c>
      <c r="E298" s="3">
        <v>44841</v>
      </c>
      <c r="F298" s="3">
        <v>44841</v>
      </c>
      <c r="G298" s="2">
        <v>22025999</v>
      </c>
      <c r="H298" s="2">
        <v>2235006</v>
      </c>
      <c r="I298" s="2">
        <v>10013487696</v>
      </c>
      <c r="J298" s="2" t="s">
        <v>359</v>
      </c>
      <c r="K298" s="10">
        <v>1610</v>
      </c>
      <c r="L298" s="10">
        <v>0</v>
      </c>
      <c r="M298" s="10">
        <v>1610</v>
      </c>
      <c r="N298" s="10">
        <v>1610</v>
      </c>
      <c r="O298" s="10">
        <f>Table1[[#This Row],[NET Amount]]-Table1[[#This Row],[Paid Amount]]</f>
        <v>0</v>
      </c>
      <c r="P298" s="2" t="s">
        <v>18</v>
      </c>
      <c r="Q298" s="2" t="s">
        <v>54</v>
      </c>
      <c r="R298" s="16">
        <f>(Table1[[#This Row],[NET Amount]]-Table1[[#This Row],[Total Outstanding Amount]])/Table1[[#This Row],[NET Amount]]</f>
        <v>1</v>
      </c>
      <c r="S298" s="2" t="s">
        <v>97</v>
      </c>
    </row>
    <row r="299" spans="1:19" x14ac:dyDescent="0.3">
      <c r="A299" s="4">
        <v>297</v>
      </c>
      <c r="B299" s="2" t="s">
        <v>25</v>
      </c>
      <c r="C299" s="3">
        <v>44854</v>
      </c>
      <c r="D299" s="3" t="str">
        <f>TEXT(Table1[[#This Row],[Admission Date]],"MMMM")</f>
        <v>October</v>
      </c>
      <c r="E299" s="3">
        <v>44854</v>
      </c>
      <c r="F299" s="3">
        <v>44854</v>
      </c>
      <c r="G299" s="2">
        <v>22027875</v>
      </c>
      <c r="H299" s="2">
        <v>2236757</v>
      </c>
      <c r="I299" s="2">
        <v>1001805416</v>
      </c>
      <c r="J299" s="2" t="s">
        <v>360</v>
      </c>
      <c r="K299" s="10">
        <v>14000</v>
      </c>
      <c r="L299" s="10">
        <v>780</v>
      </c>
      <c r="M299" s="10">
        <v>13220</v>
      </c>
      <c r="N299" s="10">
        <v>13220</v>
      </c>
      <c r="O299" s="10">
        <f>Table1[[#This Row],[NET Amount]]-Table1[[#This Row],[Paid Amount]]</f>
        <v>0</v>
      </c>
      <c r="P299" s="2" t="s">
        <v>18</v>
      </c>
      <c r="Q299" s="2" t="s">
        <v>54</v>
      </c>
      <c r="R299" s="16">
        <f>(Table1[[#This Row],[NET Amount]]-Table1[[#This Row],[Total Outstanding Amount]])/Table1[[#This Row],[NET Amount]]</f>
        <v>1</v>
      </c>
      <c r="S299" s="2" t="s">
        <v>39</v>
      </c>
    </row>
    <row r="300" spans="1:19" x14ac:dyDescent="0.3">
      <c r="A300" s="4">
        <v>298</v>
      </c>
      <c r="B300" s="2" t="s">
        <v>2246</v>
      </c>
      <c r="C300" s="3">
        <v>44858</v>
      </c>
      <c r="D300" s="3" t="str">
        <f>TEXT(Table1[[#This Row],[Admission Date]],"MMMM")</f>
        <v>October</v>
      </c>
      <c r="E300" s="3">
        <v>44858</v>
      </c>
      <c r="F300" s="3">
        <v>44858</v>
      </c>
      <c r="G300" s="2">
        <v>22028417</v>
      </c>
      <c r="H300" s="2">
        <v>2237215</v>
      </c>
      <c r="I300" s="2">
        <v>1001788579</v>
      </c>
      <c r="J300" s="2" t="s">
        <v>107</v>
      </c>
      <c r="K300" s="10">
        <v>3072</v>
      </c>
      <c r="L300" s="10">
        <v>0</v>
      </c>
      <c r="M300" s="10">
        <v>3072</v>
      </c>
      <c r="N300" s="10">
        <v>3072</v>
      </c>
      <c r="O300" s="10">
        <f>Table1[[#This Row],[NET Amount]]-Table1[[#This Row],[Paid Amount]]</f>
        <v>0</v>
      </c>
      <c r="P300" s="2" t="s">
        <v>18</v>
      </c>
      <c r="Q300" s="2" t="s">
        <v>54</v>
      </c>
      <c r="R300" s="16">
        <f>(Table1[[#This Row],[NET Amount]]-Table1[[#This Row],[Total Outstanding Amount]])/Table1[[#This Row],[NET Amount]]</f>
        <v>1</v>
      </c>
      <c r="S300" s="2" t="s">
        <v>97</v>
      </c>
    </row>
    <row r="301" spans="1:19" x14ac:dyDescent="0.3">
      <c r="A301" s="4">
        <v>299</v>
      </c>
      <c r="B301" s="2" t="s">
        <v>2261</v>
      </c>
      <c r="C301" s="3">
        <v>44859</v>
      </c>
      <c r="D301" s="3" t="str">
        <f>TEXT(Table1[[#This Row],[Admission Date]],"MMMM")</f>
        <v>October</v>
      </c>
      <c r="E301" s="3">
        <v>44862</v>
      </c>
      <c r="F301" s="3">
        <v>44862</v>
      </c>
      <c r="G301" s="2">
        <v>22028887</v>
      </c>
      <c r="H301" s="2">
        <v>2237383</v>
      </c>
      <c r="I301" s="2">
        <v>1001806155</v>
      </c>
      <c r="J301" s="2" t="s">
        <v>361</v>
      </c>
      <c r="K301" s="10">
        <v>158393</v>
      </c>
      <c r="L301" s="10">
        <v>1682</v>
      </c>
      <c r="M301" s="10">
        <v>156711</v>
      </c>
      <c r="N301" s="10">
        <v>4676</v>
      </c>
      <c r="O301" s="10">
        <f>Table1[[#This Row],[NET Amount]]-Table1[[#This Row],[Paid Amount]]</f>
        <v>152035</v>
      </c>
      <c r="P301" s="2" t="s">
        <v>23</v>
      </c>
      <c r="Q301" s="2" t="s">
        <v>19</v>
      </c>
      <c r="R301" s="16">
        <f>(Table1[[#This Row],[NET Amount]]-Table1[[#This Row],[Total Outstanding Amount]])/Table1[[#This Row],[NET Amount]]</f>
        <v>2.9838364888233757E-2</v>
      </c>
      <c r="S301" s="2" t="s">
        <v>201</v>
      </c>
    </row>
    <row r="302" spans="1:19" x14ac:dyDescent="0.3">
      <c r="A302" s="4">
        <v>300</v>
      </c>
      <c r="B302" s="2" t="s">
        <v>25</v>
      </c>
      <c r="C302" s="3">
        <v>44865</v>
      </c>
      <c r="D302" s="3" t="str">
        <f>TEXT(Table1[[#This Row],[Admission Date]],"MMMM")</f>
        <v>October</v>
      </c>
      <c r="E302" s="3">
        <v>44865</v>
      </c>
      <c r="F302" s="3">
        <v>44865</v>
      </c>
      <c r="G302" s="2">
        <v>22029244</v>
      </c>
      <c r="H302" s="2">
        <v>2238139</v>
      </c>
      <c r="I302" s="2">
        <v>1001526280</v>
      </c>
      <c r="J302" s="2" t="s">
        <v>362</v>
      </c>
      <c r="K302" s="10">
        <v>3630</v>
      </c>
      <c r="L302" s="10">
        <v>0</v>
      </c>
      <c r="M302" s="10">
        <v>3630</v>
      </c>
      <c r="N302" s="10">
        <v>3630</v>
      </c>
      <c r="O302" s="10">
        <f>Table1[[#This Row],[NET Amount]]-Table1[[#This Row],[Paid Amount]]</f>
        <v>0</v>
      </c>
      <c r="P302" s="2" t="s">
        <v>18</v>
      </c>
      <c r="Q302" s="2" t="s">
        <v>54</v>
      </c>
      <c r="R302" s="16">
        <f>(Table1[[#This Row],[NET Amount]]-Table1[[#This Row],[Total Outstanding Amount]])/Table1[[#This Row],[NET Amount]]</f>
        <v>1</v>
      </c>
      <c r="S302" s="2" t="s">
        <v>97</v>
      </c>
    </row>
    <row r="303" spans="1:19" x14ac:dyDescent="0.3">
      <c r="A303" s="4">
        <v>301</v>
      </c>
      <c r="B303" s="2" t="s">
        <v>2254</v>
      </c>
      <c r="C303" s="3">
        <v>44865</v>
      </c>
      <c r="D303" s="3" t="str">
        <f>TEXT(Table1[[#This Row],[Admission Date]],"MMMM")</f>
        <v>October</v>
      </c>
      <c r="E303" s="3">
        <v>44865</v>
      </c>
      <c r="F303" s="3">
        <v>44865</v>
      </c>
      <c r="G303" s="2">
        <v>22029376</v>
      </c>
      <c r="H303" s="2">
        <v>2238172</v>
      </c>
      <c r="I303" s="2">
        <v>1001804054</v>
      </c>
      <c r="J303" s="2" t="s">
        <v>230</v>
      </c>
      <c r="K303" s="10">
        <v>13628</v>
      </c>
      <c r="L303" s="10">
        <v>1771</v>
      </c>
      <c r="M303" s="10">
        <v>11857</v>
      </c>
      <c r="N303" s="10">
        <v>1000</v>
      </c>
      <c r="O303" s="10">
        <f>Table1[[#This Row],[NET Amount]]-Table1[[#This Row],[Paid Amount]]</f>
        <v>10857</v>
      </c>
      <c r="P303" s="2" t="s">
        <v>23</v>
      </c>
      <c r="Q303" s="2" t="s">
        <v>54</v>
      </c>
      <c r="R303" s="16">
        <f>(Table1[[#This Row],[NET Amount]]-Table1[[#This Row],[Total Outstanding Amount]])/Table1[[#This Row],[NET Amount]]</f>
        <v>8.4338365522476172E-2</v>
      </c>
      <c r="S303" s="2" t="s">
        <v>43</v>
      </c>
    </row>
    <row r="304" spans="1:19" x14ac:dyDescent="0.3">
      <c r="A304" s="4">
        <v>302</v>
      </c>
      <c r="B304" s="2" t="s">
        <v>139</v>
      </c>
      <c r="C304" s="3">
        <v>44854</v>
      </c>
      <c r="D304" s="3" t="str">
        <f>TEXT(Table1[[#This Row],[Admission Date]],"MMMM")</f>
        <v>October</v>
      </c>
      <c r="E304" s="3">
        <v>44854</v>
      </c>
      <c r="F304" s="3">
        <v>44854</v>
      </c>
      <c r="G304" s="2">
        <v>22027863</v>
      </c>
      <c r="H304" s="2">
        <v>2236725</v>
      </c>
      <c r="I304" s="2">
        <v>10013415573</v>
      </c>
      <c r="J304" s="2" t="s">
        <v>335</v>
      </c>
      <c r="K304" s="10">
        <v>2745</v>
      </c>
      <c r="L304" s="10">
        <v>0</v>
      </c>
      <c r="M304" s="10">
        <v>2745</v>
      </c>
      <c r="N304" s="10">
        <v>545</v>
      </c>
      <c r="O304" s="10">
        <f>Table1[[#This Row],[NET Amount]]-Table1[[#This Row],[Paid Amount]]</f>
        <v>2200</v>
      </c>
      <c r="P304" s="2" t="s">
        <v>23</v>
      </c>
      <c r="Q304" s="2" t="s">
        <v>147</v>
      </c>
      <c r="R304" s="16">
        <f>(Table1[[#This Row],[NET Amount]]-Table1[[#This Row],[Total Outstanding Amount]])/Table1[[#This Row],[NET Amount]]</f>
        <v>0.19854280510018216</v>
      </c>
      <c r="S304" s="2" t="s">
        <v>97</v>
      </c>
    </row>
    <row r="305" spans="1:19" x14ac:dyDescent="0.3">
      <c r="A305" s="4">
        <v>303</v>
      </c>
      <c r="B305" s="2" t="s">
        <v>72</v>
      </c>
      <c r="C305" s="3">
        <v>44852</v>
      </c>
      <c r="D305" s="3" t="str">
        <f>TEXT(Table1[[#This Row],[Admission Date]],"MMMM")</f>
        <v>October</v>
      </c>
      <c r="E305" s="3">
        <v>44856</v>
      </c>
      <c r="F305" s="3">
        <v>44856</v>
      </c>
      <c r="G305" s="2">
        <v>22028193</v>
      </c>
      <c r="H305" s="2">
        <v>2236433</v>
      </c>
      <c r="I305" s="2">
        <v>10013543505</v>
      </c>
      <c r="J305" s="2" t="s">
        <v>363</v>
      </c>
      <c r="K305" s="10">
        <v>89491</v>
      </c>
      <c r="L305" s="10">
        <v>11985</v>
      </c>
      <c r="M305" s="10">
        <v>77506</v>
      </c>
      <c r="N305" s="10">
        <v>2429</v>
      </c>
      <c r="O305" s="10">
        <f>Table1[[#This Row],[NET Amount]]-Table1[[#This Row],[Paid Amount]]</f>
        <v>75077</v>
      </c>
      <c r="P305" s="2" t="s">
        <v>23</v>
      </c>
      <c r="Q305" s="2" t="s">
        <v>30</v>
      </c>
      <c r="R305" s="16">
        <f>(Table1[[#This Row],[NET Amount]]-Table1[[#This Row],[Total Outstanding Amount]])/Table1[[#This Row],[NET Amount]]</f>
        <v>3.1339509199287796E-2</v>
      </c>
      <c r="S305" s="2" t="s">
        <v>20</v>
      </c>
    </row>
    <row r="306" spans="1:19" x14ac:dyDescent="0.3">
      <c r="A306" s="4">
        <v>304</v>
      </c>
      <c r="B306" s="2" t="s">
        <v>35</v>
      </c>
      <c r="C306" s="3">
        <v>44835</v>
      </c>
      <c r="D306" s="3" t="str">
        <f>TEXT(Table1[[#This Row],[Admission Date]],"MMMM")</f>
        <v>October</v>
      </c>
      <c r="E306" s="3">
        <v>44835</v>
      </c>
      <c r="F306" s="3">
        <v>44835</v>
      </c>
      <c r="G306" s="2">
        <v>22025094</v>
      </c>
      <c r="H306" s="2">
        <v>2234153</v>
      </c>
      <c r="I306" s="2">
        <v>10013540183</v>
      </c>
      <c r="J306" s="2" t="s">
        <v>99</v>
      </c>
      <c r="K306" s="10">
        <v>1610</v>
      </c>
      <c r="L306" s="10">
        <v>0</v>
      </c>
      <c r="M306" s="10">
        <v>1610</v>
      </c>
      <c r="N306" s="10">
        <v>1610</v>
      </c>
      <c r="O306" s="10">
        <f>Table1[[#This Row],[NET Amount]]-Table1[[#This Row],[Paid Amount]]</f>
        <v>0</v>
      </c>
      <c r="P306" s="2" t="s">
        <v>18</v>
      </c>
      <c r="Q306" s="2" t="s">
        <v>54</v>
      </c>
      <c r="R306" s="16">
        <f>(Table1[[#This Row],[NET Amount]]-Table1[[#This Row],[Total Outstanding Amount]])/Table1[[#This Row],[NET Amount]]</f>
        <v>1</v>
      </c>
      <c r="S306" s="2" t="s">
        <v>97</v>
      </c>
    </row>
    <row r="307" spans="1:19" x14ac:dyDescent="0.3">
      <c r="A307" s="4">
        <v>305</v>
      </c>
      <c r="B307" s="2" t="s">
        <v>25</v>
      </c>
      <c r="C307" s="3">
        <v>44835</v>
      </c>
      <c r="D307" s="3" t="str">
        <f>TEXT(Table1[[#This Row],[Admission Date]],"MMMM")</f>
        <v>October</v>
      </c>
      <c r="E307" s="3">
        <v>44835</v>
      </c>
      <c r="F307" s="3">
        <v>44835</v>
      </c>
      <c r="G307" s="2">
        <v>22025103</v>
      </c>
      <c r="H307" s="2">
        <v>2234149</v>
      </c>
      <c r="I307" s="2">
        <v>10013407139</v>
      </c>
      <c r="J307" s="2" t="s">
        <v>237</v>
      </c>
      <c r="K307" s="10">
        <v>3729</v>
      </c>
      <c r="L307" s="10">
        <v>311</v>
      </c>
      <c r="M307" s="10">
        <v>3418</v>
      </c>
      <c r="N307" s="10">
        <v>3418</v>
      </c>
      <c r="O307" s="10">
        <f>Table1[[#This Row],[NET Amount]]-Table1[[#This Row],[Paid Amount]]</f>
        <v>0</v>
      </c>
      <c r="P307" s="2" t="s">
        <v>18</v>
      </c>
      <c r="Q307" s="2" t="s">
        <v>54</v>
      </c>
      <c r="R307" s="16">
        <f>(Table1[[#This Row],[NET Amount]]-Table1[[#This Row],[Total Outstanding Amount]])/Table1[[#This Row],[NET Amount]]</f>
        <v>1</v>
      </c>
      <c r="S307" s="2" t="s">
        <v>97</v>
      </c>
    </row>
    <row r="308" spans="1:19" x14ac:dyDescent="0.3">
      <c r="A308" s="4">
        <v>306</v>
      </c>
      <c r="B308" s="2" t="s">
        <v>75</v>
      </c>
      <c r="C308" s="3">
        <v>44834</v>
      </c>
      <c r="D308" s="3" t="str">
        <f>TEXT(Table1[[#This Row],[Admission Date]],"MMMM")</f>
        <v>September</v>
      </c>
      <c r="E308" s="3">
        <v>44836</v>
      </c>
      <c r="F308" s="3">
        <v>44836</v>
      </c>
      <c r="G308" s="2">
        <v>22025277</v>
      </c>
      <c r="H308" s="2">
        <v>2234111</v>
      </c>
      <c r="I308" s="2">
        <v>10013541041</v>
      </c>
      <c r="J308" s="2" t="s">
        <v>364</v>
      </c>
      <c r="K308" s="10">
        <v>143353</v>
      </c>
      <c r="L308" s="10">
        <v>0</v>
      </c>
      <c r="M308" s="10">
        <v>143353</v>
      </c>
      <c r="N308" s="10">
        <v>12210</v>
      </c>
      <c r="O308" s="10">
        <f>Table1[[#This Row],[NET Amount]]-Table1[[#This Row],[Paid Amount]]</f>
        <v>131143</v>
      </c>
      <c r="P308" s="2" t="s">
        <v>23</v>
      </c>
      <c r="Q308" s="2" t="s">
        <v>19</v>
      </c>
      <c r="R308" s="16">
        <f>(Table1[[#This Row],[NET Amount]]-Table1[[#This Row],[Total Outstanding Amount]])/Table1[[#This Row],[NET Amount]]</f>
        <v>8.517435979714412E-2</v>
      </c>
      <c r="S308" s="2" t="s">
        <v>39</v>
      </c>
    </row>
    <row r="309" spans="1:19" x14ac:dyDescent="0.3">
      <c r="A309" s="4">
        <v>307</v>
      </c>
      <c r="B309" s="2" t="s">
        <v>365</v>
      </c>
      <c r="C309" s="3">
        <v>44838</v>
      </c>
      <c r="D309" s="3" t="str">
        <f>TEXT(Table1[[#This Row],[Admission Date]],"MMMM")</f>
        <v>October</v>
      </c>
      <c r="E309" s="3">
        <v>44840</v>
      </c>
      <c r="F309" s="3">
        <v>44840</v>
      </c>
      <c r="G309" s="2">
        <v>22025842</v>
      </c>
      <c r="H309" s="2">
        <v>2234599</v>
      </c>
      <c r="I309" s="2">
        <v>1001802468</v>
      </c>
      <c r="J309" s="2" t="s">
        <v>366</v>
      </c>
      <c r="K309" s="10">
        <v>120992</v>
      </c>
      <c r="L309" s="10">
        <v>8655</v>
      </c>
      <c r="M309" s="10">
        <v>112337</v>
      </c>
      <c r="N309" s="10">
        <v>3468</v>
      </c>
      <c r="O309" s="10">
        <f>Table1[[#This Row],[NET Amount]]-Table1[[#This Row],[Paid Amount]]</f>
        <v>108869</v>
      </c>
      <c r="P309" s="2" t="s">
        <v>23</v>
      </c>
      <c r="Q309" s="2" t="s">
        <v>24</v>
      </c>
      <c r="R309" s="16">
        <f>(Table1[[#This Row],[NET Amount]]-Table1[[#This Row],[Total Outstanding Amount]])/Table1[[#This Row],[NET Amount]]</f>
        <v>3.0871395889154954E-2</v>
      </c>
      <c r="S309" s="2" t="s">
        <v>201</v>
      </c>
    </row>
    <row r="310" spans="1:19" x14ac:dyDescent="0.3">
      <c r="A310" s="4">
        <v>308</v>
      </c>
      <c r="B310" s="2" t="s">
        <v>25</v>
      </c>
      <c r="C310" s="3">
        <v>44862</v>
      </c>
      <c r="D310" s="3" t="str">
        <f>TEXT(Table1[[#This Row],[Admission Date]],"MMMM")</f>
        <v>October</v>
      </c>
      <c r="E310" s="3">
        <v>44862</v>
      </c>
      <c r="F310" s="3">
        <v>44862</v>
      </c>
      <c r="G310" s="2">
        <v>22028955</v>
      </c>
      <c r="H310" s="2">
        <v>2237824</v>
      </c>
      <c r="I310" s="2">
        <v>1000891328</v>
      </c>
      <c r="J310" s="2" t="s">
        <v>367</v>
      </c>
      <c r="K310" s="10">
        <v>3288</v>
      </c>
      <c r="L310" s="10">
        <v>3288</v>
      </c>
      <c r="M310" s="10">
        <v>0</v>
      </c>
      <c r="N310" s="10">
        <v>0</v>
      </c>
      <c r="O310" s="10">
        <f>Table1[[#This Row],[NET Amount]]-Table1[[#This Row],[Paid Amount]]</f>
        <v>0</v>
      </c>
      <c r="P310" s="2" t="s">
        <v>18</v>
      </c>
      <c r="Q310" s="2" t="s">
        <v>90</v>
      </c>
      <c r="R310" s="16" t="e">
        <f>(Table1[[#This Row],[NET Amount]]-Table1[[#This Row],[Total Outstanding Amount]])/Table1[[#This Row],[NET Amount]]</f>
        <v>#DIV/0!</v>
      </c>
      <c r="S310" s="2" t="s">
        <v>97</v>
      </c>
    </row>
    <row r="311" spans="1:19" x14ac:dyDescent="0.3">
      <c r="A311" s="4">
        <v>309</v>
      </c>
      <c r="B311" s="2" t="s">
        <v>2291</v>
      </c>
      <c r="C311" s="3">
        <v>44860</v>
      </c>
      <c r="D311" s="3" t="str">
        <f>TEXT(Table1[[#This Row],[Admission Date]],"MMMM")</f>
        <v>October</v>
      </c>
      <c r="E311" s="3">
        <v>44861</v>
      </c>
      <c r="F311" s="3">
        <v>44861</v>
      </c>
      <c r="G311" s="2">
        <v>22028844</v>
      </c>
      <c r="H311" s="2">
        <v>2237480</v>
      </c>
      <c r="I311" s="2">
        <v>1001043842</v>
      </c>
      <c r="J311" s="2" t="s">
        <v>368</v>
      </c>
      <c r="K311" s="10">
        <v>82294</v>
      </c>
      <c r="L311" s="10">
        <v>82294</v>
      </c>
      <c r="M311" s="10">
        <v>0</v>
      </c>
      <c r="N311" s="10">
        <v>0</v>
      </c>
      <c r="O311" s="10">
        <f>Table1[[#This Row],[NET Amount]]-Table1[[#This Row],[Paid Amount]]</f>
        <v>0</v>
      </c>
      <c r="P311" s="2" t="s">
        <v>18</v>
      </c>
      <c r="Q311" s="2" t="s">
        <v>24</v>
      </c>
      <c r="R311" s="16" t="e">
        <f>(Table1[[#This Row],[NET Amount]]-Table1[[#This Row],[Total Outstanding Amount]])/Table1[[#This Row],[NET Amount]]</f>
        <v>#DIV/0!</v>
      </c>
      <c r="S311" s="2" t="s">
        <v>95</v>
      </c>
    </row>
    <row r="312" spans="1:19" x14ac:dyDescent="0.3">
      <c r="A312" s="4">
        <v>310</v>
      </c>
      <c r="B312" s="2" t="s">
        <v>2291</v>
      </c>
      <c r="C312" s="3">
        <v>44836</v>
      </c>
      <c r="D312" s="3" t="str">
        <f>TEXT(Table1[[#This Row],[Admission Date]],"MMMM")</f>
        <v>October</v>
      </c>
      <c r="E312" s="3">
        <v>44841</v>
      </c>
      <c r="F312" s="3">
        <v>44841</v>
      </c>
      <c r="G312" s="2">
        <v>22026022</v>
      </c>
      <c r="H312" s="2">
        <v>2234308</v>
      </c>
      <c r="I312" s="2">
        <v>10013441370</v>
      </c>
      <c r="J312" s="2" t="s">
        <v>323</v>
      </c>
      <c r="K312" s="10">
        <v>87113</v>
      </c>
      <c r="L312" s="10">
        <v>87113</v>
      </c>
      <c r="M312" s="10">
        <v>0</v>
      </c>
      <c r="N312" s="10">
        <v>0</v>
      </c>
      <c r="O312" s="10">
        <f>Table1[[#This Row],[NET Amount]]-Table1[[#This Row],[Paid Amount]]</f>
        <v>0</v>
      </c>
      <c r="P312" s="2" t="s">
        <v>18</v>
      </c>
      <c r="Q312" s="2" t="s">
        <v>24</v>
      </c>
      <c r="R312" s="16" t="e">
        <f>(Table1[[#This Row],[NET Amount]]-Table1[[#This Row],[Total Outstanding Amount]])/Table1[[#This Row],[NET Amount]]</f>
        <v>#DIV/0!</v>
      </c>
      <c r="S312" s="2" t="s">
        <v>20</v>
      </c>
    </row>
    <row r="313" spans="1:19" x14ac:dyDescent="0.3">
      <c r="A313" s="4">
        <v>311</v>
      </c>
      <c r="B313" s="2" t="s">
        <v>25</v>
      </c>
      <c r="C313" s="3">
        <v>44846</v>
      </c>
      <c r="D313" s="3" t="str">
        <f>TEXT(Table1[[#This Row],[Admission Date]],"MMMM")</f>
        <v>October</v>
      </c>
      <c r="E313" s="3">
        <v>44846</v>
      </c>
      <c r="F313" s="3">
        <v>44846</v>
      </c>
      <c r="G313" s="2">
        <v>22026812</v>
      </c>
      <c r="H313" s="2">
        <v>2235771</v>
      </c>
      <c r="I313" s="2">
        <v>10013499172</v>
      </c>
      <c r="J313" s="2" t="s">
        <v>369</v>
      </c>
      <c r="K313" s="10">
        <v>3288</v>
      </c>
      <c r="L313" s="10">
        <v>3288</v>
      </c>
      <c r="M313" s="10">
        <v>0</v>
      </c>
      <c r="N313" s="10">
        <v>0</v>
      </c>
      <c r="O313" s="10">
        <f>Table1[[#This Row],[NET Amount]]-Table1[[#This Row],[Paid Amount]]</f>
        <v>0</v>
      </c>
      <c r="P313" s="2" t="s">
        <v>18</v>
      </c>
      <c r="Q313" s="2" t="s">
        <v>90</v>
      </c>
      <c r="R313" s="16" t="e">
        <f>(Table1[[#This Row],[NET Amount]]-Table1[[#This Row],[Total Outstanding Amount]])/Table1[[#This Row],[NET Amount]]</f>
        <v>#DIV/0!</v>
      </c>
      <c r="S313" s="2" t="s">
        <v>97</v>
      </c>
    </row>
    <row r="314" spans="1:19" x14ac:dyDescent="0.3">
      <c r="A314" s="4">
        <v>312</v>
      </c>
      <c r="B314" s="2" t="s">
        <v>141</v>
      </c>
      <c r="C314" s="3">
        <v>44847</v>
      </c>
      <c r="D314" s="3" t="str">
        <f>TEXT(Table1[[#This Row],[Admission Date]],"MMMM")</f>
        <v>October</v>
      </c>
      <c r="E314" s="3">
        <v>44860</v>
      </c>
      <c r="F314" s="3">
        <v>44860</v>
      </c>
      <c r="G314" s="2">
        <v>22028661</v>
      </c>
      <c r="H314" s="2">
        <v>2235894</v>
      </c>
      <c r="I314" s="2">
        <v>10013542903</v>
      </c>
      <c r="J314" s="2" t="s">
        <v>370</v>
      </c>
      <c r="K314" s="10">
        <v>328672</v>
      </c>
      <c r="L314" s="10">
        <v>54923</v>
      </c>
      <c r="M314" s="10">
        <v>273749</v>
      </c>
      <c r="N314" s="10">
        <v>138656</v>
      </c>
      <c r="O314" s="10">
        <f>Table1[[#This Row],[NET Amount]]-Table1[[#This Row],[Paid Amount]]</f>
        <v>135093</v>
      </c>
      <c r="P314" s="2" t="s">
        <v>23</v>
      </c>
      <c r="Q314" s="2" t="s">
        <v>42</v>
      </c>
      <c r="R314" s="16">
        <f>(Table1[[#This Row],[NET Amount]]-Table1[[#This Row],[Total Outstanding Amount]])/Table1[[#This Row],[NET Amount]]</f>
        <v>0.50650778632981308</v>
      </c>
      <c r="S314" s="2" t="s">
        <v>20</v>
      </c>
    </row>
    <row r="315" spans="1:19" x14ac:dyDescent="0.3">
      <c r="A315" s="4">
        <v>313</v>
      </c>
      <c r="B315" s="2" t="s">
        <v>25</v>
      </c>
      <c r="C315" s="3">
        <v>44842</v>
      </c>
      <c r="D315" s="3" t="str">
        <f>TEXT(Table1[[#This Row],[Admission Date]],"MMMM")</f>
        <v>October</v>
      </c>
      <c r="E315" s="3">
        <v>44842</v>
      </c>
      <c r="F315" s="3">
        <v>44842</v>
      </c>
      <c r="G315" s="2">
        <v>22026238</v>
      </c>
      <c r="H315" s="2">
        <v>2235244</v>
      </c>
      <c r="I315" s="2">
        <v>10013499172</v>
      </c>
      <c r="J315" s="2" t="s">
        <v>369</v>
      </c>
      <c r="K315" s="10">
        <v>2794</v>
      </c>
      <c r="L315" s="10">
        <v>2794</v>
      </c>
      <c r="M315" s="10">
        <v>0</v>
      </c>
      <c r="N315" s="10">
        <v>0</v>
      </c>
      <c r="O315" s="10">
        <f>Table1[[#This Row],[NET Amount]]-Table1[[#This Row],[Paid Amount]]</f>
        <v>0</v>
      </c>
      <c r="P315" s="2" t="s">
        <v>18</v>
      </c>
      <c r="Q315" s="2" t="s">
        <v>90</v>
      </c>
      <c r="R315" s="16" t="e">
        <f>(Table1[[#This Row],[NET Amount]]-Table1[[#This Row],[Total Outstanding Amount]])/Table1[[#This Row],[NET Amount]]</f>
        <v>#DIV/0!</v>
      </c>
      <c r="S315" s="2" t="s">
        <v>97</v>
      </c>
    </row>
    <row r="316" spans="1:19" x14ac:dyDescent="0.3">
      <c r="A316" s="4">
        <v>314</v>
      </c>
      <c r="B316" s="2" t="s">
        <v>25</v>
      </c>
      <c r="C316" s="3">
        <v>44832</v>
      </c>
      <c r="D316" s="3" t="str">
        <f>TEXT(Table1[[#This Row],[Admission Date]],"MMMM")</f>
        <v>September</v>
      </c>
      <c r="E316" s="3">
        <v>44835</v>
      </c>
      <c r="F316" s="3">
        <v>44835</v>
      </c>
      <c r="G316" s="2">
        <v>22025128</v>
      </c>
      <c r="H316" s="2">
        <v>2233811</v>
      </c>
      <c r="I316" s="2">
        <v>10013496810</v>
      </c>
      <c r="J316" s="2" t="s">
        <v>371</v>
      </c>
      <c r="K316" s="10">
        <v>79931</v>
      </c>
      <c r="L316" s="10">
        <v>79931</v>
      </c>
      <c r="M316" s="10">
        <v>0</v>
      </c>
      <c r="N316" s="10">
        <v>0</v>
      </c>
      <c r="O316" s="10">
        <f>Table1[[#This Row],[NET Amount]]-Table1[[#This Row],[Paid Amount]]</f>
        <v>0</v>
      </c>
      <c r="P316" s="2" t="s">
        <v>18</v>
      </c>
      <c r="Q316" s="2" t="s">
        <v>90</v>
      </c>
      <c r="R316" s="16" t="e">
        <f>(Table1[[#This Row],[NET Amount]]-Table1[[#This Row],[Total Outstanding Amount]])/Table1[[#This Row],[NET Amount]]</f>
        <v>#DIV/0!</v>
      </c>
      <c r="S316" s="2" t="s">
        <v>27</v>
      </c>
    </row>
    <row r="317" spans="1:19" x14ac:dyDescent="0.3">
      <c r="A317" s="4">
        <v>315</v>
      </c>
      <c r="B317" s="2" t="s">
        <v>25</v>
      </c>
      <c r="C317" s="3">
        <v>44857</v>
      </c>
      <c r="D317" s="3" t="str">
        <f>TEXT(Table1[[#This Row],[Admission Date]],"MMMM")</f>
        <v>October</v>
      </c>
      <c r="E317" s="3">
        <v>44857</v>
      </c>
      <c r="F317" s="3">
        <v>44857</v>
      </c>
      <c r="G317" s="2">
        <v>22028308</v>
      </c>
      <c r="H317" s="2">
        <v>2237119</v>
      </c>
      <c r="I317" s="2">
        <v>10013531598</v>
      </c>
      <c r="J317" s="2" t="s">
        <v>372</v>
      </c>
      <c r="K317" s="10">
        <v>2844</v>
      </c>
      <c r="L317" s="10">
        <v>297</v>
      </c>
      <c r="M317" s="10">
        <v>2547</v>
      </c>
      <c r="N317" s="10">
        <v>2547</v>
      </c>
      <c r="O317" s="10">
        <f>Table1[[#This Row],[NET Amount]]-Table1[[#This Row],[Paid Amount]]</f>
        <v>0</v>
      </c>
      <c r="P317" s="2" t="s">
        <v>18</v>
      </c>
      <c r="Q317" s="2" t="s">
        <v>54</v>
      </c>
      <c r="R317" s="16">
        <f>(Table1[[#This Row],[NET Amount]]-Table1[[#This Row],[Total Outstanding Amount]])/Table1[[#This Row],[NET Amount]]</f>
        <v>1</v>
      </c>
      <c r="S317" s="2" t="s">
        <v>97</v>
      </c>
    </row>
    <row r="318" spans="1:19" x14ac:dyDescent="0.3">
      <c r="A318" s="4">
        <v>316</v>
      </c>
      <c r="B318" s="2" t="s">
        <v>155</v>
      </c>
      <c r="C318" s="3">
        <v>44857</v>
      </c>
      <c r="D318" s="3" t="str">
        <f>TEXT(Table1[[#This Row],[Admission Date]],"MMMM")</f>
        <v>October</v>
      </c>
      <c r="E318" s="3">
        <v>44857</v>
      </c>
      <c r="F318" s="3">
        <v>44857</v>
      </c>
      <c r="G318" s="2">
        <v>22028310</v>
      </c>
      <c r="H318" s="2">
        <v>2237123</v>
      </c>
      <c r="I318" s="2">
        <v>10013521425</v>
      </c>
      <c r="J318" s="2" t="s">
        <v>156</v>
      </c>
      <c r="K318" s="10">
        <v>1610</v>
      </c>
      <c r="L318" s="10">
        <v>0</v>
      </c>
      <c r="M318" s="10">
        <v>1610</v>
      </c>
      <c r="N318" s="10">
        <v>1610</v>
      </c>
      <c r="O318" s="10">
        <f>Table1[[#This Row],[NET Amount]]-Table1[[#This Row],[Paid Amount]]</f>
        <v>0</v>
      </c>
      <c r="P318" s="2" t="s">
        <v>18</v>
      </c>
      <c r="Q318" s="2" t="s">
        <v>54</v>
      </c>
      <c r="R318" s="16">
        <f>(Table1[[#This Row],[NET Amount]]-Table1[[#This Row],[Total Outstanding Amount]])/Table1[[#This Row],[NET Amount]]</f>
        <v>1</v>
      </c>
      <c r="S318" s="2" t="s">
        <v>97</v>
      </c>
    </row>
    <row r="319" spans="1:19" x14ac:dyDescent="0.3">
      <c r="A319" s="4">
        <v>317</v>
      </c>
      <c r="B319" s="2" t="s">
        <v>25</v>
      </c>
      <c r="C319" s="3">
        <v>44854</v>
      </c>
      <c r="D319" s="3" t="str">
        <f>TEXT(Table1[[#This Row],[Admission Date]],"MMMM")</f>
        <v>October</v>
      </c>
      <c r="E319" s="3">
        <v>44857</v>
      </c>
      <c r="F319" s="3">
        <v>44857</v>
      </c>
      <c r="G319" s="2">
        <v>22028321</v>
      </c>
      <c r="H319" s="2">
        <v>2236803</v>
      </c>
      <c r="I319" s="2">
        <v>10013543896</v>
      </c>
      <c r="J319" s="2" t="s">
        <v>373</v>
      </c>
      <c r="K319" s="10">
        <v>147388</v>
      </c>
      <c r="L319" s="10">
        <v>147388</v>
      </c>
      <c r="M319" s="10">
        <v>0</v>
      </c>
      <c r="N319" s="10">
        <v>0</v>
      </c>
      <c r="O319" s="10">
        <f>Table1[[#This Row],[NET Amount]]-Table1[[#This Row],[Paid Amount]]</f>
        <v>0</v>
      </c>
      <c r="P319" s="2" t="s">
        <v>18</v>
      </c>
      <c r="Q319" s="2" t="s">
        <v>90</v>
      </c>
      <c r="R319" s="16" t="e">
        <f>(Table1[[#This Row],[NET Amount]]-Table1[[#This Row],[Total Outstanding Amount]])/Table1[[#This Row],[NET Amount]]</f>
        <v>#DIV/0!</v>
      </c>
      <c r="S319" s="2" t="s">
        <v>201</v>
      </c>
    </row>
    <row r="320" spans="1:19" x14ac:dyDescent="0.3">
      <c r="A320" s="4">
        <v>318</v>
      </c>
      <c r="B320" s="2" t="s">
        <v>139</v>
      </c>
      <c r="C320" s="3">
        <v>44861</v>
      </c>
      <c r="D320" s="3" t="str">
        <f>TEXT(Table1[[#This Row],[Admission Date]],"MMMM")</f>
        <v>October</v>
      </c>
      <c r="E320" s="3">
        <v>44861</v>
      </c>
      <c r="F320" s="3">
        <v>44861</v>
      </c>
      <c r="G320" s="2">
        <v>22028823</v>
      </c>
      <c r="H320" s="2">
        <v>2237693</v>
      </c>
      <c r="I320" s="2">
        <v>10013353354</v>
      </c>
      <c r="J320" s="2" t="s">
        <v>374</v>
      </c>
      <c r="K320" s="10">
        <v>2200</v>
      </c>
      <c r="L320" s="10">
        <v>0</v>
      </c>
      <c r="M320" s="10">
        <v>2200</v>
      </c>
      <c r="N320" s="10">
        <v>220</v>
      </c>
      <c r="O320" s="10">
        <f>Table1[[#This Row],[NET Amount]]-Table1[[#This Row],[Paid Amount]]</f>
        <v>1980</v>
      </c>
      <c r="P320" s="2" t="s">
        <v>23</v>
      </c>
      <c r="Q320" s="2" t="s">
        <v>147</v>
      </c>
      <c r="R320" s="16">
        <f>(Table1[[#This Row],[NET Amount]]-Table1[[#This Row],[Total Outstanding Amount]])/Table1[[#This Row],[NET Amount]]</f>
        <v>0.1</v>
      </c>
      <c r="S320" s="2" t="s">
        <v>97</v>
      </c>
    </row>
    <row r="321" spans="1:19" x14ac:dyDescent="0.3">
      <c r="A321" s="4">
        <v>319</v>
      </c>
      <c r="B321" s="2" t="s">
        <v>50</v>
      </c>
      <c r="C321" s="3">
        <v>44851</v>
      </c>
      <c r="D321" s="3" t="str">
        <f>TEXT(Table1[[#This Row],[Admission Date]],"MMMM")</f>
        <v>October</v>
      </c>
      <c r="E321" s="3">
        <v>44851</v>
      </c>
      <c r="F321" s="3">
        <v>44851</v>
      </c>
      <c r="G321" s="2">
        <v>22027447</v>
      </c>
      <c r="H321" s="2">
        <v>2236331</v>
      </c>
      <c r="I321" s="2">
        <v>1001206152</v>
      </c>
      <c r="J321" s="2" t="s">
        <v>375</v>
      </c>
      <c r="K321" s="10">
        <v>2200</v>
      </c>
      <c r="L321" s="10">
        <v>0</v>
      </c>
      <c r="M321" s="10">
        <v>2200</v>
      </c>
      <c r="N321" s="10">
        <v>440</v>
      </c>
      <c r="O321" s="10">
        <f>Table1[[#This Row],[NET Amount]]-Table1[[#This Row],[Paid Amount]]</f>
        <v>1760</v>
      </c>
      <c r="P321" s="2" t="s">
        <v>23</v>
      </c>
      <c r="Q321" s="2" t="s">
        <v>147</v>
      </c>
      <c r="R321" s="16">
        <f>(Table1[[#This Row],[NET Amount]]-Table1[[#This Row],[Total Outstanding Amount]])/Table1[[#This Row],[NET Amount]]</f>
        <v>0.2</v>
      </c>
      <c r="S321" s="2" t="s">
        <v>97</v>
      </c>
    </row>
    <row r="322" spans="1:19" x14ac:dyDescent="0.3">
      <c r="A322" s="4">
        <v>320</v>
      </c>
      <c r="B322" s="2" t="s">
        <v>93</v>
      </c>
      <c r="C322" s="3">
        <v>44832</v>
      </c>
      <c r="D322" s="3" t="str">
        <f>TEXT(Table1[[#This Row],[Admission Date]],"MMMM")</f>
        <v>September</v>
      </c>
      <c r="E322" s="3">
        <v>44836</v>
      </c>
      <c r="F322" s="3">
        <v>44836</v>
      </c>
      <c r="G322" s="2">
        <v>22025271</v>
      </c>
      <c r="H322" s="2">
        <v>2233858</v>
      </c>
      <c r="I322" s="2">
        <v>10013540725</v>
      </c>
      <c r="J322" s="2" t="s">
        <v>376</v>
      </c>
      <c r="K322" s="10">
        <v>68263</v>
      </c>
      <c r="L322" s="10">
        <v>6925</v>
      </c>
      <c r="M322" s="10">
        <v>61338</v>
      </c>
      <c r="N322" s="10">
        <v>18241</v>
      </c>
      <c r="O322" s="10">
        <f>Table1[[#This Row],[NET Amount]]-Table1[[#This Row],[Paid Amount]]</f>
        <v>43097</v>
      </c>
      <c r="P322" s="2" t="s">
        <v>23</v>
      </c>
      <c r="Q322" s="2" t="s">
        <v>52</v>
      </c>
      <c r="R322" s="16">
        <f>(Table1[[#This Row],[NET Amount]]-Table1[[#This Row],[Total Outstanding Amount]])/Table1[[#This Row],[NET Amount]]</f>
        <v>0.29738498157748866</v>
      </c>
      <c r="S322" s="2" t="s">
        <v>20</v>
      </c>
    </row>
    <row r="323" spans="1:19" x14ac:dyDescent="0.3">
      <c r="A323" s="4">
        <v>321</v>
      </c>
      <c r="B323" s="2" t="s">
        <v>152</v>
      </c>
      <c r="C323" s="3">
        <v>44847</v>
      </c>
      <c r="D323" s="3" t="str">
        <f>TEXT(Table1[[#This Row],[Admission Date]],"MMMM")</f>
        <v>October</v>
      </c>
      <c r="E323" s="3">
        <v>44851</v>
      </c>
      <c r="F323" s="3">
        <v>44851</v>
      </c>
      <c r="G323" s="2">
        <v>22027421</v>
      </c>
      <c r="H323" s="2">
        <v>2235829</v>
      </c>
      <c r="I323" s="2">
        <v>10013422734</v>
      </c>
      <c r="J323" s="2" t="s">
        <v>377</v>
      </c>
      <c r="K323" s="10">
        <v>83650</v>
      </c>
      <c r="L323" s="10">
        <v>0</v>
      </c>
      <c r="M323" s="10">
        <v>83650</v>
      </c>
      <c r="N323" s="10">
        <v>2833</v>
      </c>
      <c r="O323" s="10">
        <f>Table1[[#This Row],[NET Amount]]-Table1[[#This Row],[Paid Amount]]</f>
        <v>80817</v>
      </c>
      <c r="P323" s="2" t="s">
        <v>23</v>
      </c>
      <c r="Q323" s="2" t="s">
        <v>19</v>
      </c>
      <c r="R323" s="16">
        <f>(Table1[[#This Row],[NET Amount]]-Table1[[#This Row],[Total Outstanding Amount]])/Table1[[#This Row],[NET Amount]]</f>
        <v>3.3867304243873284E-2</v>
      </c>
      <c r="S323" s="2" t="s">
        <v>39</v>
      </c>
    </row>
    <row r="324" spans="1:19" x14ac:dyDescent="0.3">
      <c r="A324" s="4">
        <v>322</v>
      </c>
      <c r="B324" s="2" t="s">
        <v>50</v>
      </c>
      <c r="C324" s="3">
        <v>44852</v>
      </c>
      <c r="D324" s="3" t="str">
        <f>TEXT(Table1[[#This Row],[Admission Date]],"MMMM")</f>
        <v>October</v>
      </c>
      <c r="E324" s="3">
        <v>44852</v>
      </c>
      <c r="F324" s="3">
        <v>44852</v>
      </c>
      <c r="G324" s="2">
        <v>22027528</v>
      </c>
      <c r="H324" s="2">
        <v>2236440</v>
      </c>
      <c r="I324" s="2">
        <v>1000891498</v>
      </c>
      <c r="J324" s="2" t="s">
        <v>299</v>
      </c>
      <c r="K324" s="10">
        <v>2200</v>
      </c>
      <c r="L324" s="10">
        <v>0</v>
      </c>
      <c r="M324" s="10">
        <v>2200</v>
      </c>
      <c r="N324" s="10">
        <v>440</v>
      </c>
      <c r="O324" s="10">
        <f>Table1[[#This Row],[NET Amount]]-Table1[[#This Row],[Paid Amount]]</f>
        <v>1760</v>
      </c>
      <c r="P324" s="2" t="s">
        <v>23</v>
      </c>
      <c r="Q324" s="2" t="s">
        <v>147</v>
      </c>
      <c r="R324" s="16">
        <f>(Table1[[#This Row],[NET Amount]]-Table1[[#This Row],[Total Outstanding Amount]])/Table1[[#This Row],[NET Amount]]</f>
        <v>0.2</v>
      </c>
      <c r="S324" s="2" t="s">
        <v>97</v>
      </c>
    </row>
    <row r="325" spans="1:19" x14ac:dyDescent="0.3">
      <c r="A325" s="4">
        <v>323</v>
      </c>
      <c r="B325" s="2" t="s">
        <v>2262</v>
      </c>
      <c r="C325" s="3">
        <v>44853</v>
      </c>
      <c r="D325" s="3" t="str">
        <f>TEXT(Table1[[#This Row],[Admission Date]],"MMMM")</f>
        <v>October</v>
      </c>
      <c r="E325" s="3">
        <v>44856</v>
      </c>
      <c r="F325" s="3">
        <v>44856</v>
      </c>
      <c r="G325" s="2">
        <v>22028190</v>
      </c>
      <c r="H325" s="2">
        <v>2236710</v>
      </c>
      <c r="I325" s="2">
        <v>1001805338</v>
      </c>
      <c r="J325" s="2" t="s">
        <v>378</v>
      </c>
      <c r="K325" s="10">
        <v>25884</v>
      </c>
      <c r="L325" s="10">
        <v>0</v>
      </c>
      <c r="M325" s="10">
        <v>25884</v>
      </c>
      <c r="N325" s="10">
        <v>10000</v>
      </c>
      <c r="O325" s="10">
        <f>Table1[[#This Row],[NET Amount]]-Table1[[#This Row],[Paid Amount]]</f>
        <v>15884</v>
      </c>
      <c r="P325" s="2" t="s">
        <v>23</v>
      </c>
      <c r="Q325" s="2" t="s">
        <v>24</v>
      </c>
      <c r="R325" s="16">
        <f>(Table1[[#This Row],[NET Amount]]-Table1[[#This Row],[Total Outstanding Amount]])/Table1[[#This Row],[NET Amount]]</f>
        <v>0.38633905115129036</v>
      </c>
      <c r="S325" s="2" t="s">
        <v>20</v>
      </c>
    </row>
    <row r="326" spans="1:19" x14ac:dyDescent="0.3">
      <c r="A326" s="4">
        <v>324</v>
      </c>
      <c r="B326" s="2" t="s">
        <v>2256</v>
      </c>
      <c r="C326" s="3">
        <v>44855</v>
      </c>
      <c r="D326" s="3" t="str">
        <f>TEXT(Table1[[#This Row],[Admission Date]],"MMMM")</f>
        <v>October</v>
      </c>
      <c r="E326" s="3">
        <v>44856</v>
      </c>
      <c r="F326" s="3">
        <v>44856</v>
      </c>
      <c r="G326" s="2">
        <v>22028209</v>
      </c>
      <c r="H326" s="2">
        <v>2236912</v>
      </c>
      <c r="I326" s="2">
        <v>1001805626</v>
      </c>
      <c r="J326" s="2" t="s">
        <v>379</v>
      </c>
      <c r="K326" s="10">
        <v>37209</v>
      </c>
      <c r="L326" s="10">
        <v>4447</v>
      </c>
      <c r="M326" s="10">
        <v>32762</v>
      </c>
      <c r="N326" s="10">
        <v>500</v>
      </c>
      <c r="O326" s="10">
        <f>Table1[[#This Row],[NET Amount]]-Table1[[#This Row],[Paid Amount]]</f>
        <v>32262</v>
      </c>
      <c r="P326" s="2" t="s">
        <v>23</v>
      </c>
      <c r="Q326" s="2" t="s">
        <v>24</v>
      </c>
      <c r="R326" s="16">
        <f>(Table1[[#This Row],[NET Amount]]-Table1[[#This Row],[Total Outstanding Amount]])/Table1[[#This Row],[NET Amount]]</f>
        <v>1.5261583541908309E-2</v>
      </c>
      <c r="S326" s="2" t="s">
        <v>77</v>
      </c>
    </row>
    <row r="327" spans="1:19" x14ac:dyDescent="0.3">
      <c r="A327" s="4">
        <v>325</v>
      </c>
      <c r="B327" s="2" t="s">
        <v>25</v>
      </c>
      <c r="C327" s="3">
        <v>44855</v>
      </c>
      <c r="D327" s="3" t="str">
        <f>TEXT(Table1[[#This Row],[Admission Date]],"MMMM")</f>
        <v>October</v>
      </c>
      <c r="E327" s="3">
        <v>44855</v>
      </c>
      <c r="F327" s="3">
        <v>44855</v>
      </c>
      <c r="G327" s="2">
        <v>22027974</v>
      </c>
      <c r="H327" s="2">
        <v>2236866</v>
      </c>
      <c r="I327" s="2">
        <v>1001427466</v>
      </c>
      <c r="J327" s="2" t="s">
        <v>294</v>
      </c>
      <c r="K327" s="10">
        <v>2680</v>
      </c>
      <c r="L327" s="10">
        <v>2680</v>
      </c>
      <c r="M327" s="10">
        <v>0</v>
      </c>
      <c r="N327" s="10">
        <v>0</v>
      </c>
      <c r="O327" s="10">
        <f>Table1[[#This Row],[NET Amount]]-Table1[[#This Row],[Paid Amount]]</f>
        <v>0</v>
      </c>
      <c r="P327" s="2" t="s">
        <v>18</v>
      </c>
      <c r="Q327" s="2" t="s">
        <v>90</v>
      </c>
      <c r="R327" s="16" t="e">
        <f>(Table1[[#This Row],[NET Amount]]-Table1[[#This Row],[Total Outstanding Amount]])/Table1[[#This Row],[NET Amount]]</f>
        <v>#DIV/0!</v>
      </c>
      <c r="S327" s="2" t="s">
        <v>97</v>
      </c>
    </row>
    <row r="328" spans="1:19" x14ac:dyDescent="0.3">
      <c r="A328" s="4">
        <v>326</v>
      </c>
      <c r="B328" s="2" t="s">
        <v>2263</v>
      </c>
      <c r="C328" s="3">
        <v>44859</v>
      </c>
      <c r="D328" s="3" t="str">
        <f>TEXT(Table1[[#This Row],[Admission Date]],"MMMM")</f>
        <v>October</v>
      </c>
      <c r="E328" s="3">
        <v>44859</v>
      </c>
      <c r="F328" s="3">
        <v>44859</v>
      </c>
      <c r="G328" s="2">
        <v>22028475</v>
      </c>
      <c r="H328" s="2">
        <v>2237279</v>
      </c>
      <c r="I328" s="2">
        <v>1001711925</v>
      </c>
      <c r="J328" s="2" t="s">
        <v>302</v>
      </c>
      <c r="K328" s="10">
        <v>1274</v>
      </c>
      <c r="L328" s="10">
        <v>0</v>
      </c>
      <c r="M328" s="10">
        <v>1274</v>
      </c>
      <c r="N328" s="10">
        <v>0</v>
      </c>
      <c r="O328" s="10">
        <f>Table1[[#This Row],[NET Amount]]-Table1[[#This Row],[Paid Amount]]</f>
        <v>1274</v>
      </c>
      <c r="P328" s="2" t="s">
        <v>23</v>
      </c>
      <c r="Q328" s="2" t="s">
        <v>54</v>
      </c>
      <c r="R328" s="16">
        <f>(Table1[[#This Row],[NET Amount]]-Table1[[#This Row],[Total Outstanding Amount]])/Table1[[#This Row],[NET Amount]]</f>
        <v>0</v>
      </c>
      <c r="S328" s="2" t="s">
        <v>97</v>
      </c>
    </row>
    <row r="329" spans="1:19" x14ac:dyDescent="0.3">
      <c r="A329" s="4">
        <v>327</v>
      </c>
      <c r="B329" s="2" t="s">
        <v>380</v>
      </c>
      <c r="C329" s="3">
        <v>44845</v>
      </c>
      <c r="D329" s="3" t="str">
        <f>TEXT(Table1[[#This Row],[Admission Date]],"MMMM")</f>
        <v>October</v>
      </c>
      <c r="E329" s="3">
        <v>44845</v>
      </c>
      <c r="F329" s="3">
        <v>44845</v>
      </c>
      <c r="G329" s="2">
        <v>22026641</v>
      </c>
      <c r="H329" s="2">
        <v>2235603</v>
      </c>
      <c r="I329" s="2">
        <v>1001581259</v>
      </c>
      <c r="J329" s="2" t="s">
        <v>381</v>
      </c>
      <c r="K329" s="10">
        <v>1274</v>
      </c>
      <c r="L329" s="10">
        <v>0</v>
      </c>
      <c r="M329" s="10">
        <v>1274</v>
      </c>
      <c r="N329" s="10">
        <v>0</v>
      </c>
      <c r="O329" s="10">
        <f>Table1[[#This Row],[NET Amount]]-Table1[[#This Row],[Paid Amount]]</f>
        <v>1274</v>
      </c>
      <c r="P329" s="2" t="s">
        <v>23</v>
      </c>
      <c r="Q329" s="2" t="s">
        <v>54</v>
      </c>
      <c r="R329" s="16">
        <f>(Table1[[#This Row],[NET Amount]]-Table1[[#This Row],[Total Outstanding Amount]])/Table1[[#This Row],[NET Amount]]</f>
        <v>0</v>
      </c>
      <c r="S329" s="2" t="s">
        <v>97</v>
      </c>
    </row>
    <row r="330" spans="1:19" x14ac:dyDescent="0.3">
      <c r="A330" s="4">
        <v>328</v>
      </c>
      <c r="B330" s="2" t="s">
        <v>380</v>
      </c>
      <c r="C330" s="3">
        <v>44857</v>
      </c>
      <c r="D330" s="3" t="str">
        <f>TEXT(Table1[[#This Row],[Admission Date]],"MMMM")</f>
        <v>October</v>
      </c>
      <c r="E330" s="3">
        <v>44857</v>
      </c>
      <c r="F330" s="3">
        <v>44857</v>
      </c>
      <c r="G330" s="2">
        <v>22028408</v>
      </c>
      <c r="H330" s="2">
        <v>2237195</v>
      </c>
      <c r="I330" s="2">
        <v>10013223537</v>
      </c>
      <c r="J330" s="2" t="s">
        <v>382</v>
      </c>
      <c r="K330" s="10">
        <v>1274</v>
      </c>
      <c r="L330" s="10">
        <v>0</v>
      </c>
      <c r="M330" s="10">
        <v>1274</v>
      </c>
      <c r="N330" s="10">
        <v>0</v>
      </c>
      <c r="O330" s="10">
        <f>Table1[[#This Row],[NET Amount]]-Table1[[#This Row],[Paid Amount]]</f>
        <v>1274</v>
      </c>
      <c r="P330" s="2" t="s">
        <v>23</v>
      </c>
      <c r="Q330" s="2" t="s">
        <v>54</v>
      </c>
      <c r="R330" s="16">
        <f>(Table1[[#This Row],[NET Amount]]-Table1[[#This Row],[Total Outstanding Amount]])/Table1[[#This Row],[NET Amount]]</f>
        <v>0</v>
      </c>
      <c r="S330" s="2" t="s">
        <v>97</v>
      </c>
    </row>
    <row r="331" spans="1:19" x14ac:dyDescent="0.3">
      <c r="A331" s="4">
        <v>329</v>
      </c>
      <c r="B331" s="2" t="s">
        <v>2253</v>
      </c>
      <c r="C331" s="3">
        <v>44855</v>
      </c>
      <c r="D331" s="3" t="str">
        <f>TEXT(Table1[[#This Row],[Admission Date]],"MMMM")</f>
        <v>October</v>
      </c>
      <c r="E331" s="3">
        <v>44855</v>
      </c>
      <c r="F331" s="3">
        <v>44855</v>
      </c>
      <c r="G331" s="2">
        <v>22028063</v>
      </c>
      <c r="H331" s="2">
        <v>2236913</v>
      </c>
      <c r="I331" s="2">
        <v>1001692673</v>
      </c>
      <c r="J331" s="2" t="s">
        <v>383</v>
      </c>
      <c r="K331" s="10">
        <v>1610</v>
      </c>
      <c r="L331" s="10">
        <v>0</v>
      </c>
      <c r="M331" s="10">
        <v>1610</v>
      </c>
      <c r="N331" s="10">
        <v>0</v>
      </c>
      <c r="O331" s="10">
        <f>Table1[[#This Row],[NET Amount]]-Table1[[#This Row],[Paid Amount]]</f>
        <v>1610</v>
      </c>
      <c r="P331" s="2" t="s">
        <v>23</v>
      </c>
      <c r="Q331" s="2" t="s">
        <v>54</v>
      </c>
      <c r="R331" s="16">
        <f>(Table1[[#This Row],[NET Amount]]-Table1[[#This Row],[Total Outstanding Amount]])/Table1[[#This Row],[NET Amount]]</f>
        <v>0</v>
      </c>
      <c r="S331" s="2" t="s">
        <v>97</v>
      </c>
    </row>
    <row r="332" spans="1:19" x14ac:dyDescent="0.3">
      <c r="A332" s="4">
        <v>330</v>
      </c>
      <c r="B332" s="2" t="s">
        <v>380</v>
      </c>
      <c r="C332" s="3">
        <v>44861</v>
      </c>
      <c r="D332" s="3" t="str">
        <f>TEXT(Table1[[#This Row],[Admission Date]],"MMMM")</f>
        <v>October</v>
      </c>
      <c r="E332" s="3">
        <v>44861</v>
      </c>
      <c r="F332" s="3">
        <v>44861</v>
      </c>
      <c r="G332" s="2">
        <v>22028835</v>
      </c>
      <c r="H332" s="2">
        <v>2237710</v>
      </c>
      <c r="I332" s="2">
        <v>1001092597</v>
      </c>
      <c r="J332" s="2" t="s">
        <v>384</v>
      </c>
      <c r="K332" s="10">
        <v>1274</v>
      </c>
      <c r="L332" s="10">
        <v>0</v>
      </c>
      <c r="M332" s="10">
        <v>1274</v>
      </c>
      <c r="N332" s="10">
        <v>0</v>
      </c>
      <c r="O332" s="10">
        <f>Table1[[#This Row],[NET Amount]]-Table1[[#This Row],[Paid Amount]]</f>
        <v>1274</v>
      </c>
      <c r="P332" s="2" t="s">
        <v>23</v>
      </c>
      <c r="Q332" s="2" t="s">
        <v>54</v>
      </c>
      <c r="R332" s="16">
        <f>(Table1[[#This Row],[NET Amount]]-Table1[[#This Row],[Total Outstanding Amount]])/Table1[[#This Row],[NET Amount]]</f>
        <v>0</v>
      </c>
      <c r="S332" s="2" t="s">
        <v>97</v>
      </c>
    </row>
    <row r="333" spans="1:19" x14ac:dyDescent="0.3">
      <c r="A333" s="4">
        <v>331</v>
      </c>
      <c r="B333" s="2" t="s">
        <v>380</v>
      </c>
      <c r="C333" s="3">
        <v>44835</v>
      </c>
      <c r="D333" s="3" t="str">
        <f>TEXT(Table1[[#This Row],[Admission Date]],"MMMM")</f>
        <v>October</v>
      </c>
      <c r="E333" s="3">
        <v>44835</v>
      </c>
      <c r="F333" s="3">
        <v>44835</v>
      </c>
      <c r="G333" s="2">
        <v>22025240</v>
      </c>
      <c r="H333" s="2">
        <v>2234252</v>
      </c>
      <c r="I333" s="2">
        <v>1001542371</v>
      </c>
      <c r="J333" s="2" t="s">
        <v>385</v>
      </c>
      <c r="K333" s="10">
        <v>1274</v>
      </c>
      <c r="L333" s="10">
        <v>0</v>
      </c>
      <c r="M333" s="10">
        <v>1274</v>
      </c>
      <c r="N333" s="10">
        <v>0</v>
      </c>
      <c r="O333" s="10">
        <f>Table1[[#This Row],[NET Amount]]-Table1[[#This Row],[Paid Amount]]</f>
        <v>1274</v>
      </c>
      <c r="P333" s="2" t="s">
        <v>23</v>
      </c>
      <c r="Q333" s="2" t="s">
        <v>54</v>
      </c>
      <c r="R333" s="16">
        <f>(Table1[[#This Row],[NET Amount]]-Table1[[#This Row],[Total Outstanding Amount]])/Table1[[#This Row],[NET Amount]]</f>
        <v>0</v>
      </c>
      <c r="S333" s="2" t="s">
        <v>97</v>
      </c>
    </row>
    <row r="334" spans="1:19" x14ac:dyDescent="0.3">
      <c r="A334" s="4">
        <v>332</v>
      </c>
      <c r="B334" s="2" t="s">
        <v>139</v>
      </c>
      <c r="C334" s="3">
        <v>44852</v>
      </c>
      <c r="D334" s="3" t="str">
        <f>TEXT(Table1[[#This Row],[Admission Date]],"MMMM")</f>
        <v>October</v>
      </c>
      <c r="E334" s="3">
        <v>44852</v>
      </c>
      <c r="F334" s="3">
        <v>44852</v>
      </c>
      <c r="G334" s="2">
        <v>22027584</v>
      </c>
      <c r="H334" s="2">
        <v>2236480</v>
      </c>
      <c r="I334" s="2">
        <v>1001199995</v>
      </c>
      <c r="J334" s="2" t="s">
        <v>386</v>
      </c>
      <c r="K334" s="10">
        <v>2200</v>
      </c>
      <c r="L334" s="10">
        <v>0</v>
      </c>
      <c r="M334" s="10">
        <v>2200</v>
      </c>
      <c r="N334" s="10">
        <v>0</v>
      </c>
      <c r="O334" s="10">
        <f>Table1[[#This Row],[NET Amount]]-Table1[[#This Row],[Paid Amount]]</f>
        <v>2200</v>
      </c>
      <c r="P334" s="2" t="s">
        <v>23</v>
      </c>
      <c r="Q334" s="2" t="s">
        <v>147</v>
      </c>
      <c r="R334" s="16">
        <f>(Table1[[#This Row],[NET Amount]]-Table1[[#This Row],[Total Outstanding Amount]])/Table1[[#This Row],[NET Amount]]</f>
        <v>0</v>
      </c>
      <c r="S334" s="2" t="s">
        <v>97</v>
      </c>
    </row>
    <row r="335" spans="1:19" x14ac:dyDescent="0.3">
      <c r="A335" s="4">
        <v>333</v>
      </c>
      <c r="B335" s="2" t="s">
        <v>168</v>
      </c>
      <c r="C335" s="3">
        <v>44847</v>
      </c>
      <c r="D335" s="3" t="str">
        <f>TEXT(Table1[[#This Row],[Admission Date]],"MMMM")</f>
        <v>October</v>
      </c>
      <c r="E335" s="3">
        <v>44847</v>
      </c>
      <c r="F335" s="3">
        <v>44847</v>
      </c>
      <c r="G335" s="2">
        <v>22026898</v>
      </c>
      <c r="H335" s="2">
        <v>2235833</v>
      </c>
      <c r="I335" s="2">
        <v>1001468779</v>
      </c>
      <c r="J335" s="2" t="s">
        <v>387</v>
      </c>
      <c r="K335" s="10">
        <v>2200</v>
      </c>
      <c r="L335" s="10">
        <v>0</v>
      </c>
      <c r="M335" s="10">
        <v>2200</v>
      </c>
      <c r="N335" s="10">
        <v>0</v>
      </c>
      <c r="O335" s="10">
        <f>Table1[[#This Row],[NET Amount]]-Table1[[#This Row],[Paid Amount]]</f>
        <v>2200</v>
      </c>
      <c r="P335" s="2" t="s">
        <v>23</v>
      </c>
      <c r="Q335" s="2" t="s">
        <v>147</v>
      </c>
      <c r="R335" s="16">
        <f>(Table1[[#This Row],[NET Amount]]-Table1[[#This Row],[Total Outstanding Amount]])/Table1[[#This Row],[NET Amount]]</f>
        <v>0</v>
      </c>
      <c r="S335" s="2" t="s">
        <v>97</v>
      </c>
    </row>
    <row r="336" spans="1:19" x14ac:dyDescent="0.3">
      <c r="A336" s="4">
        <v>334</v>
      </c>
      <c r="B336" s="2" t="s">
        <v>380</v>
      </c>
      <c r="C336" s="3">
        <v>44837</v>
      </c>
      <c r="D336" s="3" t="str">
        <f>TEXT(Table1[[#This Row],[Admission Date]],"MMMM")</f>
        <v>October</v>
      </c>
      <c r="E336" s="3">
        <v>44837</v>
      </c>
      <c r="F336" s="3">
        <v>44837</v>
      </c>
      <c r="G336" s="2">
        <v>22025458</v>
      </c>
      <c r="H336" s="2">
        <v>2234476</v>
      </c>
      <c r="I336" s="2">
        <v>10013223537</v>
      </c>
      <c r="J336" s="2" t="s">
        <v>382</v>
      </c>
      <c r="K336" s="10">
        <v>1274</v>
      </c>
      <c r="L336" s="10">
        <v>0</v>
      </c>
      <c r="M336" s="10">
        <v>1274</v>
      </c>
      <c r="N336" s="10">
        <v>0</v>
      </c>
      <c r="O336" s="10">
        <f>Table1[[#This Row],[NET Amount]]-Table1[[#This Row],[Paid Amount]]</f>
        <v>1274</v>
      </c>
      <c r="P336" s="2" t="s">
        <v>23</v>
      </c>
      <c r="Q336" s="2" t="s">
        <v>54</v>
      </c>
      <c r="R336" s="16">
        <f>(Table1[[#This Row],[NET Amount]]-Table1[[#This Row],[Total Outstanding Amount]])/Table1[[#This Row],[NET Amount]]</f>
        <v>0</v>
      </c>
      <c r="S336" s="2" t="s">
        <v>97</v>
      </c>
    </row>
    <row r="337" spans="1:19" x14ac:dyDescent="0.3">
      <c r="A337" s="4">
        <v>335</v>
      </c>
      <c r="B337" s="2" t="s">
        <v>380</v>
      </c>
      <c r="C337" s="3">
        <v>44855</v>
      </c>
      <c r="D337" s="3" t="str">
        <f>TEXT(Table1[[#This Row],[Admission Date]],"MMMM")</f>
        <v>October</v>
      </c>
      <c r="E337" s="3">
        <v>44855</v>
      </c>
      <c r="F337" s="3">
        <v>44855</v>
      </c>
      <c r="G337" s="2">
        <v>22027970</v>
      </c>
      <c r="H337" s="2">
        <v>2236882</v>
      </c>
      <c r="I337" s="2">
        <v>1001033406</v>
      </c>
      <c r="J337" s="2" t="s">
        <v>388</v>
      </c>
      <c r="K337" s="10">
        <v>1274</v>
      </c>
      <c r="L337" s="10">
        <v>0</v>
      </c>
      <c r="M337" s="10">
        <v>1274</v>
      </c>
      <c r="N337" s="10">
        <v>0</v>
      </c>
      <c r="O337" s="10">
        <f>Table1[[#This Row],[NET Amount]]-Table1[[#This Row],[Paid Amount]]</f>
        <v>1274</v>
      </c>
      <c r="P337" s="2" t="s">
        <v>23</v>
      </c>
      <c r="Q337" s="2" t="s">
        <v>54</v>
      </c>
      <c r="R337" s="16">
        <f>(Table1[[#This Row],[NET Amount]]-Table1[[#This Row],[Total Outstanding Amount]])/Table1[[#This Row],[NET Amount]]</f>
        <v>0</v>
      </c>
      <c r="S337" s="2" t="s">
        <v>97</v>
      </c>
    </row>
    <row r="338" spans="1:19" x14ac:dyDescent="0.3">
      <c r="A338" s="4">
        <v>336</v>
      </c>
      <c r="B338" s="2" t="s">
        <v>2253</v>
      </c>
      <c r="C338" s="3">
        <v>44852</v>
      </c>
      <c r="D338" s="3" t="str">
        <f>TEXT(Table1[[#This Row],[Admission Date]],"MMMM")</f>
        <v>October</v>
      </c>
      <c r="E338" s="3">
        <v>44852</v>
      </c>
      <c r="F338" s="3">
        <v>44852</v>
      </c>
      <c r="G338" s="2">
        <v>22027532</v>
      </c>
      <c r="H338" s="2">
        <v>2236451</v>
      </c>
      <c r="I338" s="2">
        <v>1001626180</v>
      </c>
      <c r="J338" s="2" t="s">
        <v>389</v>
      </c>
      <c r="K338" s="10">
        <v>1610</v>
      </c>
      <c r="L338" s="10">
        <v>0</v>
      </c>
      <c r="M338" s="10">
        <v>1610</v>
      </c>
      <c r="N338" s="10">
        <v>0</v>
      </c>
      <c r="O338" s="10">
        <f>Table1[[#This Row],[NET Amount]]-Table1[[#This Row],[Paid Amount]]</f>
        <v>1610</v>
      </c>
      <c r="P338" s="2" t="s">
        <v>23</v>
      </c>
      <c r="Q338" s="2" t="s">
        <v>54</v>
      </c>
      <c r="R338" s="16">
        <f>(Table1[[#This Row],[NET Amount]]-Table1[[#This Row],[Total Outstanding Amount]])/Table1[[#This Row],[NET Amount]]</f>
        <v>0</v>
      </c>
      <c r="S338" s="2" t="s">
        <v>97</v>
      </c>
    </row>
    <row r="339" spans="1:19" x14ac:dyDescent="0.3">
      <c r="A339" s="4">
        <v>337</v>
      </c>
      <c r="B339" s="2" t="s">
        <v>75</v>
      </c>
      <c r="C339" s="3">
        <v>44839</v>
      </c>
      <c r="D339" s="3" t="str">
        <f>TEXT(Table1[[#This Row],[Admission Date]],"MMMM")</f>
        <v>October</v>
      </c>
      <c r="E339" s="3">
        <v>44843</v>
      </c>
      <c r="F339" s="3">
        <v>44843</v>
      </c>
      <c r="G339" s="2">
        <v>22026272</v>
      </c>
      <c r="H339" s="2">
        <v>2234734</v>
      </c>
      <c r="I339" s="2">
        <v>10013524504</v>
      </c>
      <c r="J339" s="2" t="s">
        <v>390</v>
      </c>
      <c r="K339" s="10">
        <v>22814</v>
      </c>
      <c r="L339" s="10">
        <v>0</v>
      </c>
      <c r="M339" s="10">
        <v>22814</v>
      </c>
      <c r="N339" s="10">
        <v>0</v>
      </c>
      <c r="O339" s="10">
        <f>Table1[[#This Row],[NET Amount]]-Table1[[#This Row],[Paid Amount]]</f>
        <v>22814</v>
      </c>
      <c r="P339" s="2" t="s">
        <v>23</v>
      </c>
      <c r="Q339" s="2" t="s">
        <v>30</v>
      </c>
      <c r="R339" s="16">
        <f>(Table1[[#This Row],[NET Amount]]-Table1[[#This Row],[Total Outstanding Amount]])/Table1[[#This Row],[NET Amount]]</f>
        <v>0</v>
      </c>
      <c r="S339" s="2" t="s">
        <v>27</v>
      </c>
    </row>
    <row r="340" spans="1:19" x14ac:dyDescent="0.3">
      <c r="A340" s="4">
        <v>338</v>
      </c>
      <c r="B340" s="2" t="s">
        <v>2263</v>
      </c>
      <c r="C340" s="3">
        <v>44865</v>
      </c>
      <c r="D340" s="3" t="str">
        <f>TEXT(Table1[[#This Row],[Admission Date]],"MMMM")</f>
        <v>October</v>
      </c>
      <c r="E340" s="3">
        <v>44865</v>
      </c>
      <c r="F340" s="3">
        <v>44865</v>
      </c>
      <c r="G340" s="2">
        <v>22029349</v>
      </c>
      <c r="H340" s="2">
        <v>2238216</v>
      </c>
      <c r="I340" s="2">
        <v>1001367923</v>
      </c>
      <c r="J340" s="2" t="s">
        <v>391</v>
      </c>
      <c r="K340" s="10">
        <v>1274</v>
      </c>
      <c r="L340" s="10">
        <v>0</v>
      </c>
      <c r="M340" s="10">
        <v>1274</v>
      </c>
      <c r="N340" s="10">
        <v>0</v>
      </c>
      <c r="O340" s="10">
        <f>Table1[[#This Row],[NET Amount]]-Table1[[#This Row],[Paid Amount]]</f>
        <v>1274</v>
      </c>
      <c r="P340" s="2" t="s">
        <v>23</v>
      </c>
      <c r="Q340" s="2" t="s">
        <v>54</v>
      </c>
      <c r="R340" s="16">
        <f>(Table1[[#This Row],[NET Amount]]-Table1[[#This Row],[Total Outstanding Amount]])/Table1[[#This Row],[NET Amount]]</f>
        <v>0</v>
      </c>
      <c r="S340" s="2" t="s">
        <v>97</v>
      </c>
    </row>
    <row r="341" spans="1:19" x14ac:dyDescent="0.3">
      <c r="A341" s="4">
        <v>339</v>
      </c>
      <c r="B341" s="2" t="s">
        <v>2253</v>
      </c>
      <c r="C341" s="3">
        <v>44853</v>
      </c>
      <c r="D341" s="3" t="str">
        <f>TEXT(Table1[[#This Row],[Admission Date]],"MMMM")</f>
        <v>October</v>
      </c>
      <c r="E341" s="3">
        <v>44853</v>
      </c>
      <c r="F341" s="3">
        <v>44853</v>
      </c>
      <c r="G341" s="2">
        <v>22027656</v>
      </c>
      <c r="H341" s="2">
        <v>2236579</v>
      </c>
      <c r="I341" s="2">
        <v>1001801530</v>
      </c>
      <c r="J341" s="2" t="s">
        <v>392</v>
      </c>
      <c r="K341" s="10">
        <v>1610</v>
      </c>
      <c r="L341" s="10">
        <v>0</v>
      </c>
      <c r="M341" s="10">
        <v>1610</v>
      </c>
      <c r="N341" s="10">
        <v>0</v>
      </c>
      <c r="O341" s="10">
        <f>Table1[[#This Row],[NET Amount]]-Table1[[#This Row],[Paid Amount]]</f>
        <v>1610</v>
      </c>
      <c r="P341" s="2" t="s">
        <v>23</v>
      </c>
      <c r="Q341" s="2" t="s">
        <v>54</v>
      </c>
      <c r="R341" s="16">
        <f>(Table1[[#This Row],[NET Amount]]-Table1[[#This Row],[Total Outstanding Amount]])/Table1[[#This Row],[NET Amount]]</f>
        <v>0</v>
      </c>
      <c r="S341" s="2" t="s">
        <v>97</v>
      </c>
    </row>
    <row r="342" spans="1:19" x14ac:dyDescent="0.3">
      <c r="A342" s="4">
        <v>340</v>
      </c>
      <c r="B342" s="2" t="s">
        <v>2258</v>
      </c>
      <c r="C342" s="3">
        <v>44841</v>
      </c>
      <c r="D342" s="3" t="str">
        <f>TEXT(Table1[[#This Row],[Admission Date]],"MMMM")</f>
        <v>October</v>
      </c>
      <c r="E342" s="3">
        <v>44841</v>
      </c>
      <c r="F342" s="3">
        <v>44841</v>
      </c>
      <c r="G342" s="2">
        <v>22026046</v>
      </c>
      <c r="H342" s="2">
        <v>2235066</v>
      </c>
      <c r="I342" s="2">
        <v>1001763340</v>
      </c>
      <c r="J342" s="2" t="s">
        <v>121</v>
      </c>
      <c r="K342" s="10">
        <v>1610</v>
      </c>
      <c r="L342" s="10">
        <v>0</v>
      </c>
      <c r="M342" s="10">
        <v>1610</v>
      </c>
      <c r="N342" s="10">
        <v>0</v>
      </c>
      <c r="O342" s="10">
        <f>Table1[[#This Row],[NET Amount]]-Table1[[#This Row],[Paid Amount]]</f>
        <v>1610</v>
      </c>
      <c r="P342" s="2" t="s">
        <v>23</v>
      </c>
      <c r="Q342" s="2" t="s">
        <v>54</v>
      </c>
      <c r="R342" s="16">
        <f>(Table1[[#This Row],[NET Amount]]-Table1[[#This Row],[Total Outstanding Amount]])/Table1[[#This Row],[NET Amount]]</f>
        <v>0</v>
      </c>
      <c r="S342" s="2" t="s">
        <v>97</v>
      </c>
    </row>
    <row r="343" spans="1:19" x14ac:dyDescent="0.3">
      <c r="A343" s="4">
        <v>341</v>
      </c>
      <c r="B343" s="2" t="s">
        <v>75</v>
      </c>
      <c r="C343" s="3">
        <v>44849</v>
      </c>
      <c r="D343" s="3" t="str">
        <f>TEXT(Table1[[#This Row],[Admission Date]],"MMMM")</f>
        <v>October</v>
      </c>
      <c r="E343" s="3">
        <v>44853</v>
      </c>
      <c r="F343" s="3">
        <v>44853</v>
      </c>
      <c r="G343" s="2">
        <v>22027775</v>
      </c>
      <c r="H343" s="2">
        <v>2236185</v>
      </c>
      <c r="I343" s="2">
        <v>1000979219</v>
      </c>
      <c r="J343" s="2" t="s">
        <v>393</v>
      </c>
      <c r="K343" s="10">
        <v>56300</v>
      </c>
      <c r="L343" s="10">
        <v>0</v>
      </c>
      <c r="M343" s="10">
        <v>56300</v>
      </c>
      <c r="N343" s="10">
        <v>0</v>
      </c>
      <c r="O343" s="10">
        <f>Table1[[#This Row],[NET Amount]]-Table1[[#This Row],[Paid Amount]]</f>
        <v>56300</v>
      </c>
      <c r="P343" s="2" t="s">
        <v>23</v>
      </c>
      <c r="Q343" s="2" t="s">
        <v>19</v>
      </c>
      <c r="R343" s="16">
        <f>(Table1[[#This Row],[NET Amount]]-Table1[[#This Row],[Total Outstanding Amount]])/Table1[[#This Row],[NET Amount]]</f>
        <v>0</v>
      </c>
      <c r="S343" s="2" t="s">
        <v>39</v>
      </c>
    </row>
    <row r="344" spans="1:19" x14ac:dyDescent="0.3">
      <c r="A344" s="4">
        <v>342</v>
      </c>
      <c r="B344" s="2" t="s">
        <v>139</v>
      </c>
      <c r="C344" s="3">
        <v>44854</v>
      </c>
      <c r="D344" s="3" t="str">
        <f>TEXT(Table1[[#This Row],[Admission Date]],"MMMM")</f>
        <v>October</v>
      </c>
      <c r="E344" s="3">
        <v>44854</v>
      </c>
      <c r="F344" s="3">
        <v>44854</v>
      </c>
      <c r="G344" s="2">
        <v>22027904</v>
      </c>
      <c r="H344" s="2">
        <v>2236787</v>
      </c>
      <c r="I344" s="2">
        <v>1001199995</v>
      </c>
      <c r="J344" s="2" t="s">
        <v>386</v>
      </c>
      <c r="K344" s="10">
        <v>2200</v>
      </c>
      <c r="L344" s="10">
        <v>0</v>
      </c>
      <c r="M344" s="10">
        <v>2200</v>
      </c>
      <c r="N344" s="10">
        <v>0</v>
      </c>
      <c r="O344" s="10">
        <f>Table1[[#This Row],[NET Amount]]-Table1[[#This Row],[Paid Amount]]</f>
        <v>2200</v>
      </c>
      <c r="P344" s="2" t="s">
        <v>23</v>
      </c>
      <c r="Q344" s="2" t="s">
        <v>147</v>
      </c>
      <c r="R344" s="16">
        <f>(Table1[[#This Row],[NET Amount]]-Table1[[#This Row],[Total Outstanding Amount]])/Table1[[#This Row],[NET Amount]]</f>
        <v>0</v>
      </c>
      <c r="S344" s="2" t="s">
        <v>97</v>
      </c>
    </row>
    <row r="345" spans="1:19" x14ac:dyDescent="0.3">
      <c r="A345" s="4">
        <v>343</v>
      </c>
      <c r="B345" s="2" t="s">
        <v>2263</v>
      </c>
      <c r="C345" s="3">
        <v>44858</v>
      </c>
      <c r="D345" s="3" t="str">
        <f>TEXT(Table1[[#This Row],[Admission Date]],"MMMM")</f>
        <v>October</v>
      </c>
      <c r="E345" s="3">
        <v>44858</v>
      </c>
      <c r="F345" s="3">
        <v>44858</v>
      </c>
      <c r="G345" s="2">
        <v>22028440</v>
      </c>
      <c r="H345" s="2">
        <v>2237231</v>
      </c>
      <c r="I345" s="2">
        <v>1001680001</v>
      </c>
      <c r="J345" s="2" t="s">
        <v>394</v>
      </c>
      <c r="K345" s="10">
        <v>1274</v>
      </c>
      <c r="L345" s="10">
        <v>0</v>
      </c>
      <c r="M345" s="10">
        <v>1274</v>
      </c>
      <c r="N345" s="10">
        <v>0</v>
      </c>
      <c r="O345" s="10">
        <f>Table1[[#This Row],[NET Amount]]-Table1[[#This Row],[Paid Amount]]</f>
        <v>1274</v>
      </c>
      <c r="P345" s="2" t="s">
        <v>23</v>
      </c>
      <c r="Q345" s="2" t="s">
        <v>54</v>
      </c>
      <c r="R345" s="16">
        <f>(Table1[[#This Row],[NET Amount]]-Table1[[#This Row],[Total Outstanding Amount]])/Table1[[#This Row],[NET Amount]]</f>
        <v>0</v>
      </c>
      <c r="S345" s="2" t="s">
        <v>97</v>
      </c>
    </row>
    <row r="346" spans="1:19" x14ac:dyDescent="0.3">
      <c r="A346" s="4">
        <v>344</v>
      </c>
      <c r="B346" s="2" t="s">
        <v>139</v>
      </c>
      <c r="C346" s="3">
        <v>44833</v>
      </c>
      <c r="D346" s="3" t="str">
        <f>TEXT(Table1[[#This Row],[Admission Date]],"MMMM")</f>
        <v>September</v>
      </c>
      <c r="E346" s="3">
        <v>44839</v>
      </c>
      <c r="F346" s="3">
        <v>44839</v>
      </c>
      <c r="G346" s="2">
        <v>22025754</v>
      </c>
      <c r="H346" s="2">
        <v>2233974</v>
      </c>
      <c r="I346" s="2">
        <v>1001009363</v>
      </c>
      <c r="J346" s="2" t="s">
        <v>395</v>
      </c>
      <c r="K346" s="10">
        <v>389350</v>
      </c>
      <c r="L346" s="10">
        <v>102091</v>
      </c>
      <c r="M346" s="10">
        <v>287258</v>
      </c>
      <c r="N346" s="10">
        <v>0</v>
      </c>
      <c r="O346" s="10">
        <f>Table1[[#This Row],[NET Amount]]-Table1[[#This Row],[Paid Amount]]</f>
        <v>287258</v>
      </c>
      <c r="P346" s="2" t="s">
        <v>23</v>
      </c>
      <c r="Q346" s="2" t="s">
        <v>396</v>
      </c>
      <c r="R346" s="16">
        <f>(Table1[[#This Row],[NET Amount]]-Table1[[#This Row],[Total Outstanding Amount]])/Table1[[#This Row],[NET Amount]]</f>
        <v>0</v>
      </c>
      <c r="S346" s="2" t="s">
        <v>20</v>
      </c>
    </row>
    <row r="347" spans="1:19" x14ac:dyDescent="0.3">
      <c r="A347" s="4">
        <v>345</v>
      </c>
      <c r="B347" s="2" t="s">
        <v>2263</v>
      </c>
      <c r="C347" s="3">
        <v>44860</v>
      </c>
      <c r="D347" s="3" t="str">
        <f>TEXT(Table1[[#This Row],[Admission Date]],"MMMM")</f>
        <v>October</v>
      </c>
      <c r="E347" s="3">
        <v>44860</v>
      </c>
      <c r="F347" s="3">
        <v>44860</v>
      </c>
      <c r="G347" s="2">
        <v>22028587</v>
      </c>
      <c r="H347" s="2">
        <v>2237450</v>
      </c>
      <c r="I347" s="2">
        <v>1001677731</v>
      </c>
      <c r="J347" s="2" t="s">
        <v>397</v>
      </c>
      <c r="K347" s="10">
        <v>1274</v>
      </c>
      <c r="L347" s="10">
        <v>0</v>
      </c>
      <c r="M347" s="10">
        <v>1274</v>
      </c>
      <c r="N347" s="10">
        <v>0</v>
      </c>
      <c r="O347" s="10">
        <f>Table1[[#This Row],[NET Amount]]-Table1[[#This Row],[Paid Amount]]</f>
        <v>1274</v>
      </c>
      <c r="P347" s="2" t="s">
        <v>23</v>
      </c>
      <c r="Q347" s="2" t="s">
        <v>54</v>
      </c>
      <c r="R347" s="16">
        <f>(Table1[[#This Row],[NET Amount]]-Table1[[#This Row],[Total Outstanding Amount]])/Table1[[#This Row],[NET Amount]]</f>
        <v>0</v>
      </c>
      <c r="S347" s="2" t="s">
        <v>97</v>
      </c>
    </row>
    <row r="348" spans="1:19" x14ac:dyDescent="0.3">
      <c r="A348" s="4">
        <v>346</v>
      </c>
      <c r="B348" s="2" t="s">
        <v>2263</v>
      </c>
      <c r="C348" s="3">
        <v>44848</v>
      </c>
      <c r="D348" s="3" t="str">
        <f>TEXT(Table1[[#This Row],[Admission Date]],"MMMM")</f>
        <v>October</v>
      </c>
      <c r="E348" s="3">
        <v>44848</v>
      </c>
      <c r="F348" s="3">
        <v>44848</v>
      </c>
      <c r="G348" s="2">
        <v>22026977</v>
      </c>
      <c r="H348" s="2">
        <v>2235923</v>
      </c>
      <c r="I348" s="2">
        <v>1001449196</v>
      </c>
      <c r="J348" s="2" t="s">
        <v>398</v>
      </c>
      <c r="K348" s="10">
        <v>1274</v>
      </c>
      <c r="L348" s="10">
        <v>0</v>
      </c>
      <c r="M348" s="10">
        <v>1274</v>
      </c>
      <c r="N348" s="10">
        <v>0</v>
      </c>
      <c r="O348" s="10">
        <f>Table1[[#This Row],[NET Amount]]-Table1[[#This Row],[Paid Amount]]</f>
        <v>1274</v>
      </c>
      <c r="P348" s="2" t="s">
        <v>23</v>
      </c>
      <c r="Q348" s="2" t="s">
        <v>54</v>
      </c>
      <c r="R348" s="16">
        <f>(Table1[[#This Row],[NET Amount]]-Table1[[#This Row],[Total Outstanding Amount]])/Table1[[#This Row],[NET Amount]]</f>
        <v>0</v>
      </c>
      <c r="S348" s="2" t="s">
        <v>97</v>
      </c>
    </row>
    <row r="349" spans="1:19" x14ac:dyDescent="0.3">
      <c r="A349" s="4">
        <v>347</v>
      </c>
      <c r="B349" s="2" t="s">
        <v>380</v>
      </c>
      <c r="C349" s="3">
        <v>44865</v>
      </c>
      <c r="D349" s="3" t="str">
        <f>TEXT(Table1[[#This Row],[Admission Date]],"MMMM")</f>
        <v>October</v>
      </c>
      <c r="E349" s="3">
        <v>44865</v>
      </c>
      <c r="F349" s="3">
        <v>44865</v>
      </c>
      <c r="G349" s="2">
        <v>22029261</v>
      </c>
      <c r="H349" s="2">
        <v>2238143</v>
      </c>
      <c r="I349" s="2">
        <v>1000891036</v>
      </c>
      <c r="J349" s="2" t="s">
        <v>399</v>
      </c>
      <c r="K349" s="10">
        <v>1274</v>
      </c>
      <c r="L349" s="10">
        <v>0</v>
      </c>
      <c r="M349" s="10">
        <v>1274</v>
      </c>
      <c r="N349" s="10">
        <v>0</v>
      </c>
      <c r="O349" s="10">
        <f>Table1[[#This Row],[NET Amount]]-Table1[[#This Row],[Paid Amount]]</f>
        <v>1274</v>
      </c>
      <c r="P349" s="2" t="s">
        <v>23</v>
      </c>
      <c r="Q349" s="2" t="s">
        <v>54</v>
      </c>
      <c r="R349" s="16">
        <f>(Table1[[#This Row],[NET Amount]]-Table1[[#This Row],[Total Outstanding Amount]])/Table1[[#This Row],[NET Amount]]</f>
        <v>0</v>
      </c>
      <c r="S349" s="2" t="s">
        <v>97</v>
      </c>
    </row>
    <row r="350" spans="1:19" x14ac:dyDescent="0.3">
      <c r="A350" s="4">
        <v>348</v>
      </c>
      <c r="B350" s="2" t="s">
        <v>75</v>
      </c>
      <c r="C350" s="3">
        <v>44837</v>
      </c>
      <c r="D350" s="3" t="str">
        <f>TEXT(Table1[[#This Row],[Admission Date]],"MMMM")</f>
        <v>October</v>
      </c>
      <c r="E350" s="3">
        <v>44837</v>
      </c>
      <c r="F350" s="3">
        <v>44837</v>
      </c>
      <c r="G350" s="2">
        <v>22025445</v>
      </c>
      <c r="H350" s="2">
        <v>2234448</v>
      </c>
      <c r="I350" s="2">
        <v>1001300172</v>
      </c>
      <c r="J350" s="2" t="s">
        <v>400</v>
      </c>
      <c r="K350" s="10">
        <v>1610</v>
      </c>
      <c r="L350" s="10">
        <v>0</v>
      </c>
      <c r="M350" s="10">
        <v>1610</v>
      </c>
      <c r="N350" s="10">
        <v>0</v>
      </c>
      <c r="O350" s="10">
        <f>Table1[[#This Row],[NET Amount]]-Table1[[#This Row],[Paid Amount]]</f>
        <v>1610</v>
      </c>
      <c r="P350" s="2" t="s">
        <v>23</v>
      </c>
      <c r="Q350" s="2" t="s">
        <v>54</v>
      </c>
      <c r="R350" s="16">
        <f>(Table1[[#This Row],[NET Amount]]-Table1[[#This Row],[Total Outstanding Amount]])/Table1[[#This Row],[NET Amount]]</f>
        <v>0</v>
      </c>
      <c r="S350" s="2" t="s">
        <v>97</v>
      </c>
    </row>
    <row r="351" spans="1:19" x14ac:dyDescent="0.3">
      <c r="A351" s="4">
        <v>349</v>
      </c>
      <c r="B351" s="2" t="s">
        <v>2258</v>
      </c>
      <c r="C351" s="3">
        <v>44845</v>
      </c>
      <c r="D351" s="3" t="str">
        <f>TEXT(Table1[[#This Row],[Admission Date]],"MMMM")</f>
        <v>October</v>
      </c>
      <c r="E351" s="3">
        <v>44845</v>
      </c>
      <c r="F351" s="3">
        <v>44845</v>
      </c>
      <c r="G351" s="2">
        <v>22026616</v>
      </c>
      <c r="H351" s="2">
        <v>2235570</v>
      </c>
      <c r="I351" s="2">
        <v>1001765693</v>
      </c>
      <c r="J351" s="2" t="s">
        <v>401</v>
      </c>
      <c r="K351" s="10">
        <v>1610</v>
      </c>
      <c r="L351" s="10">
        <v>0</v>
      </c>
      <c r="M351" s="10">
        <v>1610</v>
      </c>
      <c r="N351" s="10">
        <v>0</v>
      </c>
      <c r="O351" s="10">
        <f>Table1[[#This Row],[NET Amount]]-Table1[[#This Row],[Paid Amount]]</f>
        <v>1610</v>
      </c>
      <c r="P351" s="2" t="s">
        <v>23</v>
      </c>
      <c r="Q351" s="2" t="s">
        <v>54</v>
      </c>
      <c r="R351" s="16">
        <f>(Table1[[#This Row],[NET Amount]]-Table1[[#This Row],[Total Outstanding Amount]])/Table1[[#This Row],[NET Amount]]</f>
        <v>0</v>
      </c>
      <c r="S351" s="2" t="s">
        <v>97</v>
      </c>
    </row>
    <row r="352" spans="1:19" x14ac:dyDescent="0.3">
      <c r="A352" s="4">
        <v>350</v>
      </c>
      <c r="B352" s="2" t="s">
        <v>380</v>
      </c>
      <c r="C352" s="3">
        <v>44859</v>
      </c>
      <c r="D352" s="3" t="str">
        <f>TEXT(Table1[[#This Row],[Admission Date]],"MMMM")</f>
        <v>October</v>
      </c>
      <c r="E352" s="3">
        <v>44859</v>
      </c>
      <c r="F352" s="3">
        <v>44859</v>
      </c>
      <c r="G352" s="2">
        <v>22028566</v>
      </c>
      <c r="H352" s="2">
        <v>2237403</v>
      </c>
      <c r="I352" s="2">
        <v>10013520283</v>
      </c>
      <c r="J352" s="2" t="s">
        <v>402</v>
      </c>
      <c r="K352" s="10">
        <v>1274</v>
      </c>
      <c r="L352" s="10">
        <v>0</v>
      </c>
      <c r="M352" s="10">
        <v>1274</v>
      </c>
      <c r="N352" s="10">
        <v>0</v>
      </c>
      <c r="O352" s="10">
        <f>Table1[[#This Row],[NET Amount]]-Table1[[#This Row],[Paid Amount]]</f>
        <v>1274</v>
      </c>
      <c r="P352" s="2" t="s">
        <v>23</v>
      </c>
      <c r="Q352" s="2" t="s">
        <v>54</v>
      </c>
      <c r="R352" s="16">
        <f>(Table1[[#This Row],[NET Amount]]-Table1[[#This Row],[Total Outstanding Amount]])/Table1[[#This Row],[NET Amount]]</f>
        <v>0</v>
      </c>
      <c r="S352" s="2" t="s">
        <v>97</v>
      </c>
    </row>
    <row r="353" spans="1:19" x14ac:dyDescent="0.3">
      <c r="A353" s="4">
        <v>351</v>
      </c>
      <c r="B353" s="2" t="s">
        <v>139</v>
      </c>
      <c r="C353" s="3">
        <v>44842</v>
      </c>
      <c r="D353" s="3" t="str">
        <f>TEXT(Table1[[#This Row],[Admission Date]],"MMMM")</f>
        <v>October</v>
      </c>
      <c r="E353" s="3">
        <v>44842</v>
      </c>
      <c r="F353" s="3">
        <v>44842</v>
      </c>
      <c r="G353" s="2">
        <v>22026164</v>
      </c>
      <c r="H353" s="2">
        <v>2235171</v>
      </c>
      <c r="I353" s="2">
        <v>1001199995</v>
      </c>
      <c r="J353" s="2" t="s">
        <v>386</v>
      </c>
      <c r="K353" s="10">
        <v>2200</v>
      </c>
      <c r="L353" s="10">
        <v>0</v>
      </c>
      <c r="M353" s="10">
        <v>2200</v>
      </c>
      <c r="N353" s="10">
        <v>0</v>
      </c>
      <c r="O353" s="10">
        <f>Table1[[#This Row],[NET Amount]]-Table1[[#This Row],[Paid Amount]]</f>
        <v>2200</v>
      </c>
      <c r="P353" s="2" t="s">
        <v>23</v>
      </c>
      <c r="Q353" s="2" t="s">
        <v>147</v>
      </c>
      <c r="R353" s="16">
        <f>(Table1[[#This Row],[NET Amount]]-Table1[[#This Row],[Total Outstanding Amount]])/Table1[[#This Row],[NET Amount]]</f>
        <v>0</v>
      </c>
      <c r="S353" s="2" t="s">
        <v>97</v>
      </c>
    </row>
    <row r="354" spans="1:19" x14ac:dyDescent="0.3">
      <c r="A354" s="4">
        <v>352</v>
      </c>
      <c r="B354" s="2" t="s">
        <v>380</v>
      </c>
      <c r="C354" s="3">
        <v>44855</v>
      </c>
      <c r="D354" s="3" t="str">
        <f>TEXT(Table1[[#This Row],[Admission Date]],"MMMM")</f>
        <v>October</v>
      </c>
      <c r="E354" s="3">
        <v>44855</v>
      </c>
      <c r="F354" s="3">
        <v>44855</v>
      </c>
      <c r="G354" s="2">
        <v>22028116</v>
      </c>
      <c r="H354" s="2">
        <v>2236962</v>
      </c>
      <c r="I354" s="2">
        <v>10013276269</v>
      </c>
      <c r="J354" s="2" t="s">
        <v>403</v>
      </c>
      <c r="K354" s="10">
        <v>1274</v>
      </c>
      <c r="L354" s="10">
        <v>0</v>
      </c>
      <c r="M354" s="10">
        <v>1274</v>
      </c>
      <c r="N354" s="10">
        <v>0</v>
      </c>
      <c r="O354" s="10">
        <f>Table1[[#This Row],[NET Amount]]-Table1[[#This Row],[Paid Amount]]</f>
        <v>1274</v>
      </c>
      <c r="P354" s="2" t="s">
        <v>23</v>
      </c>
      <c r="Q354" s="2" t="s">
        <v>54</v>
      </c>
      <c r="R354" s="16">
        <f>(Table1[[#This Row],[NET Amount]]-Table1[[#This Row],[Total Outstanding Amount]])/Table1[[#This Row],[NET Amount]]</f>
        <v>0</v>
      </c>
      <c r="S354" s="2" t="s">
        <v>97</v>
      </c>
    </row>
    <row r="355" spans="1:19" x14ac:dyDescent="0.3">
      <c r="A355" s="4">
        <v>353</v>
      </c>
      <c r="B355" s="2" t="s">
        <v>2253</v>
      </c>
      <c r="C355" s="3">
        <v>44841</v>
      </c>
      <c r="D355" s="3" t="str">
        <f>TEXT(Table1[[#This Row],[Admission Date]],"MMMM")</f>
        <v>October</v>
      </c>
      <c r="E355" s="3">
        <v>44844</v>
      </c>
      <c r="F355" s="3">
        <v>44844</v>
      </c>
      <c r="G355" s="2">
        <v>22026454</v>
      </c>
      <c r="H355" s="2">
        <v>2235047</v>
      </c>
      <c r="I355" s="2">
        <v>1001564592</v>
      </c>
      <c r="J355" s="2" t="s">
        <v>121</v>
      </c>
      <c r="K355" s="10">
        <v>53349</v>
      </c>
      <c r="L355" s="10">
        <v>0</v>
      </c>
      <c r="M355" s="10">
        <v>53349</v>
      </c>
      <c r="N355" s="10">
        <v>0</v>
      </c>
      <c r="O355" s="10">
        <f>Table1[[#This Row],[NET Amount]]-Table1[[#This Row],[Paid Amount]]</f>
        <v>53349</v>
      </c>
      <c r="P355" s="2" t="s">
        <v>23</v>
      </c>
      <c r="Q355" s="2" t="s">
        <v>19</v>
      </c>
      <c r="R355" s="16">
        <f>(Table1[[#This Row],[NET Amount]]-Table1[[#This Row],[Total Outstanding Amount]])/Table1[[#This Row],[NET Amount]]</f>
        <v>0</v>
      </c>
      <c r="S355" s="2" t="s">
        <v>77</v>
      </c>
    </row>
    <row r="356" spans="1:19" x14ac:dyDescent="0.3">
      <c r="A356" s="4">
        <v>354</v>
      </c>
      <c r="B356" s="2" t="s">
        <v>115</v>
      </c>
      <c r="C356" s="3">
        <v>44863</v>
      </c>
      <c r="D356" s="3" t="str">
        <f>TEXT(Table1[[#This Row],[Admission Date]],"MMMM")</f>
        <v>October</v>
      </c>
      <c r="E356" s="3">
        <v>44863</v>
      </c>
      <c r="F356" s="3">
        <v>44863</v>
      </c>
      <c r="G356" s="2">
        <v>22029171</v>
      </c>
      <c r="H356" s="2">
        <v>2238047</v>
      </c>
      <c r="I356" s="2">
        <v>1001456152</v>
      </c>
      <c r="J356" s="2" t="s">
        <v>404</v>
      </c>
      <c r="K356" s="10">
        <v>2200</v>
      </c>
      <c r="L356" s="10">
        <v>0</v>
      </c>
      <c r="M356" s="10">
        <v>2200</v>
      </c>
      <c r="N356" s="10">
        <v>0</v>
      </c>
      <c r="O356" s="10">
        <f>Table1[[#This Row],[NET Amount]]-Table1[[#This Row],[Paid Amount]]</f>
        <v>2200</v>
      </c>
      <c r="P356" s="2" t="s">
        <v>23</v>
      </c>
      <c r="Q356" s="2" t="s">
        <v>147</v>
      </c>
      <c r="R356" s="16">
        <f>(Table1[[#This Row],[NET Amount]]-Table1[[#This Row],[Total Outstanding Amount]])/Table1[[#This Row],[NET Amount]]</f>
        <v>0</v>
      </c>
      <c r="S356" s="2" t="s">
        <v>97</v>
      </c>
    </row>
    <row r="357" spans="1:19" x14ac:dyDescent="0.3">
      <c r="A357" s="4">
        <v>355</v>
      </c>
      <c r="B357" s="2" t="s">
        <v>380</v>
      </c>
      <c r="C357" s="3">
        <v>44809</v>
      </c>
      <c r="D357" s="3" t="str">
        <f>TEXT(Table1[[#This Row],[Admission Date]],"MMMM")</f>
        <v>September</v>
      </c>
      <c r="E357" s="3">
        <v>44849</v>
      </c>
      <c r="F357" s="3">
        <v>44854</v>
      </c>
      <c r="G357" s="2">
        <v>22027830</v>
      </c>
      <c r="H357" s="2">
        <v>2230732</v>
      </c>
      <c r="I357" s="2">
        <v>10013534335</v>
      </c>
      <c r="J357" s="2" t="s">
        <v>405</v>
      </c>
      <c r="K357" s="10">
        <v>328203</v>
      </c>
      <c r="L357" s="10">
        <v>0</v>
      </c>
      <c r="M357" s="10">
        <v>328203</v>
      </c>
      <c r="N357" s="10">
        <v>0</v>
      </c>
      <c r="O357" s="10">
        <f>Table1[[#This Row],[NET Amount]]-Table1[[#This Row],[Paid Amount]]</f>
        <v>328203</v>
      </c>
      <c r="P357" s="2" t="s">
        <v>23</v>
      </c>
      <c r="Q357" s="2" t="s">
        <v>406</v>
      </c>
      <c r="R357" s="16">
        <f>(Table1[[#This Row],[NET Amount]]-Table1[[#This Row],[Total Outstanding Amount]])/Table1[[#This Row],[NET Amount]]</f>
        <v>0</v>
      </c>
      <c r="S357" s="2" t="s">
        <v>65</v>
      </c>
    </row>
    <row r="358" spans="1:19" x14ac:dyDescent="0.3">
      <c r="A358" s="4">
        <v>356</v>
      </c>
      <c r="B358" s="2" t="s">
        <v>407</v>
      </c>
      <c r="C358" s="3">
        <v>44836</v>
      </c>
      <c r="D358" s="3" t="str">
        <f>TEXT(Table1[[#This Row],[Admission Date]],"MMMM")</f>
        <v>October</v>
      </c>
      <c r="E358" s="3">
        <v>44842</v>
      </c>
      <c r="F358" s="3">
        <v>44842</v>
      </c>
      <c r="G358" s="2">
        <v>22026194</v>
      </c>
      <c r="H358" s="2">
        <v>2234333</v>
      </c>
      <c r="I358" s="2">
        <v>10013541259</v>
      </c>
      <c r="J358" s="2" t="s">
        <v>408</v>
      </c>
      <c r="K358" s="10">
        <v>51155</v>
      </c>
      <c r="L358" s="10">
        <v>0</v>
      </c>
      <c r="M358" s="10">
        <v>51155</v>
      </c>
      <c r="N358" s="10">
        <v>0</v>
      </c>
      <c r="O358" s="10">
        <f>Table1[[#This Row],[NET Amount]]-Table1[[#This Row],[Paid Amount]]</f>
        <v>51155</v>
      </c>
      <c r="P358" s="2" t="s">
        <v>23</v>
      </c>
      <c r="Q358" s="2" t="s">
        <v>24</v>
      </c>
      <c r="R358" s="16">
        <f>(Table1[[#This Row],[NET Amount]]-Table1[[#This Row],[Total Outstanding Amount]])/Table1[[#This Row],[NET Amount]]</f>
        <v>0</v>
      </c>
      <c r="S358" s="2" t="s">
        <v>20</v>
      </c>
    </row>
    <row r="359" spans="1:19" x14ac:dyDescent="0.3">
      <c r="A359" s="4">
        <v>357</v>
      </c>
      <c r="B359" s="2" t="s">
        <v>75</v>
      </c>
      <c r="C359" s="3">
        <v>44840</v>
      </c>
      <c r="D359" s="3" t="str">
        <f>TEXT(Table1[[#This Row],[Admission Date]],"MMMM")</f>
        <v>October</v>
      </c>
      <c r="E359" s="3">
        <v>44840</v>
      </c>
      <c r="F359" s="3">
        <v>44840</v>
      </c>
      <c r="G359" s="2">
        <v>22025899</v>
      </c>
      <c r="H359" s="2">
        <v>2234846</v>
      </c>
      <c r="I359" s="2">
        <v>1000970876</v>
      </c>
      <c r="J359" s="2" t="s">
        <v>409</v>
      </c>
      <c r="K359" s="10">
        <v>2062</v>
      </c>
      <c r="L359" s="10">
        <v>0</v>
      </c>
      <c r="M359" s="10">
        <v>2062</v>
      </c>
      <c r="N359" s="10">
        <v>0</v>
      </c>
      <c r="O359" s="10">
        <f>Table1[[#This Row],[NET Amount]]-Table1[[#This Row],[Paid Amount]]</f>
        <v>2062</v>
      </c>
      <c r="P359" s="2" t="s">
        <v>23</v>
      </c>
      <c r="Q359" s="2" t="s">
        <v>24</v>
      </c>
      <c r="R359" s="16">
        <f>(Table1[[#This Row],[NET Amount]]-Table1[[#This Row],[Total Outstanding Amount]])/Table1[[#This Row],[NET Amount]]</f>
        <v>0</v>
      </c>
      <c r="S359" s="2" t="s">
        <v>410</v>
      </c>
    </row>
    <row r="360" spans="1:19" x14ac:dyDescent="0.3">
      <c r="A360" s="4">
        <v>358</v>
      </c>
      <c r="B360" s="2" t="s">
        <v>2253</v>
      </c>
      <c r="C360" s="3">
        <v>44848</v>
      </c>
      <c r="D360" s="3" t="str">
        <f>TEXT(Table1[[#This Row],[Admission Date]],"MMMM")</f>
        <v>October</v>
      </c>
      <c r="E360" s="3">
        <v>44848</v>
      </c>
      <c r="F360" s="3">
        <v>44848</v>
      </c>
      <c r="G360" s="2">
        <v>22027084</v>
      </c>
      <c r="H360" s="2">
        <v>2236001</v>
      </c>
      <c r="I360" s="2">
        <v>1001777526</v>
      </c>
      <c r="J360" s="2" t="s">
        <v>411</v>
      </c>
      <c r="K360" s="10">
        <v>1610</v>
      </c>
      <c r="L360" s="10">
        <v>0</v>
      </c>
      <c r="M360" s="10">
        <v>1610</v>
      </c>
      <c r="N360" s="10">
        <v>0</v>
      </c>
      <c r="O360" s="10">
        <f>Table1[[#This Row],[NET Amount]]-Table1[[#This Row],[Paid Amount]]</f>
        <v>1610</v>
      </c>
      <c r="P360" s="2" t="s">
        <v>23</v>
      </c>
      <c r="Q360" s="2" t="s">
        <v>54</v>
      </c>
      <c r="R360" s="16">
        <f>(Table1[[#This Row],[NET Amount]]-Table1[[#This Row],[Total Outstanding Amount]])/Table1[[#This Row],[NET Amount]]</f>
        <v>0</v>
      </c>
      <c r="S360" s="2" t="s">
        <v>97</v>
      </c>
    </row>
    <row r="361" spans="1:19" x14ac:dyDescent="0.3">
      <c r="A361" s="4">
        <v>359</v>
      </c>
      <c r="B361" s="2" t="s">
        <v>380</v>
      </c>
      <c r="C361" s="3">
        <v>44859</v>
      </c>
      <c r="D361" s="3" t="str">
        <f>TEXT(Table1[[#This Row],[Admission Date]],"MMMM")</f>
        <v>October</v>
      </c>
      <c r="E361" s="3">
        <v>44859</v>
      </c>
      <c r="F361" s="3">
        <v>44859</v>
      </c>
      <c r="G361" s="2">
        <v>22028546</v>
      </c>
      <c r="H361" s="2">
        <v>2237371</v>
      </c>
      <c r="I361" s="2">
        <v>10013371134</v>
      </c>
      <c r="J361" s="2" t="s">
        <v>412</v>
      </c>
      <c r="K361" s="10">
        <v>1274</v>
      </c>
      <c r="L361" s="10">
        <v>0</v>
      </c>
      <c r="M361" s="10">
        <v>1274</v>
      </c>
      <c r="N361" s="10">
        <v>0</v>
      </c>
      <c r="O361" s="10">
        <f>Table1[[#This Row],[NET Amount]]-Table1[[#This Row],[Paid Amount]]</f>
        <v>1274</v>
      </c>
      <c r="P361" s="2" t="s">
        <v>23</v>
      </c>
      <c r="Q361" s="2" t="s">
        <v>54</v>
      </c>
      <c r="R361" s="16">
        <f>(Table1[[#This Row],[NET Amount]]-Table1[[#This Row],[Total Outstanding Amount]])/Table1[[#This Row],[NET Amount]]</f>
        <v>0</v>
      </c>
      <c r="S361" s="2" t="s">
        <v>97</v>
      </c>
    </row>
    <row r="362" spans="1:19" x14ac:dyDescent="0.3">
      <c r="A362" s="4">
        <v>360</v>
      </c>
      <c r="B362" s="2" t="s">
        <v>2263</v>
      </c>
      <c r="C362" s="3">
        <v>44851</v>
      </c>
      <c r="D362" s="3" t="str">
        <f>TEXT(Table1[[#This Row],[Admission Date]],"MMMM")</f>
        <v>October</v>
      </c>
      <c r="E362" s="3">
        <v>44851</v>
      </c>
      <c r="F362" s="3">
        <v>44851</v>
      </c>
      <c r="G362" s="2">
        <v>22027386</v>
      </c>
      <c r="H362" s="2">
        <v>2236303</v>
      </c>
      <c r="I362" s="2">
        <v>1001678600</v>
      </c>
      <c r="J362" s="2" t="s">
        <v>413</v>
      </c>
      <c r="K362" s="10">
        <v>1274</v>
      </c>
      <c r="L362" s="10">
        <v>0</v>
      </c>
      <c r="M362" s="10">
        <v>1274</v>
      </c>
      <c r="N362" s="10">
        <v>0</v>
      </c>
      <c r="O362" s="10">
        <f>Table1[[#This Row],[NET Amount]]-Table1[[#This Row],[Paid Amount]]</f>
        <v>1274</v>
      </c>
      <c r="P362" s="2" t="s">
        <v>23</v>
      </c>
      <c r="Q362" s="2" t="s">
        <v>54</v>
      </c>
      <c r="R362" s="16">
        <f>(Table1[[#This Row],[NET Amount]]-Table1[[#This Row],[Total Outstanding Amount]])/Table1[[#This Row],[NET Amount]]</f>
        <v>0</v>
      </c>
      <c r="S362" s="2" t="s">
        <v>97</v>
      </c>
    </row>
    <row r="363" spans="1:19" x14ac:dyDescent="0.3">
      <c r="A363" s="4">
        <v>361</v>
      </c>
      <c r="B363" s="2" t="s">
        <v>45</v>
      </c>
      <c r="C363" s="3">
        <v>44847</v>
      </c>
      <c r="D363" s="3" t="str">
        <f>TEXT(Table1[[#This Row],[Admission Date]],"MMMM")</f>
        <v>October</v>
      </c>
      <c r="E363" s="3">
        <v>44847</v>
      </c>
      <c r="F363" s="3">
        <v>44847</v>
      </c>
      <c r="G363" s="2">
        <v>22026901</v>
      </c>
      <c r="H363" s="2">
        <v>2235836</v>
      </c>
      <c r="I363" s="2">
        <v>1001684515</v>
      </c>
      <c r="J363" s="2" t="s">
        <v>414</v>
      </c>
      <c r="K363" s="10">
        <v>2200</v>
      </c>
      <c r="L363" s="10">
        <v>0</v>
      </c>
      <c r="M363" s="10">
        <v>2200</v>
      </c>
      <c r="N363" s="10">
        <v>0</v>
      </c>
      <c r="O363" s="10">
        <f>Table1[[#This Row],[NET Amount]]-Table1[[#This Row],[Paid Amount]]</f>
        <v>2200</v>
      </c>
      <c r="P363" s="2" t="s">
        <v>23</v>
      </c>
      <c r="Q363" s="2" t="s">
        <v>147</v>
      </c>
      <c r="R363" s="16">
        <f>(Table1[[#This Row],[NET Amount]]-Table1[[#This Row],[Total Outstanding Amount]])/Table1[[#This Row],[NET Amount]]</f>
        <v>0</v>
      </c>
      <c r="S363" s="2" t="s">
        <v>97</v>
      </c>
    </row>
    <row r="364" spans="1:19" x14ac:dyDescent="0.3">
      <c r="A364" s="4">
        <v>362</v>
      </c>
      <c r="B364" s="2" t="s">
        <v>178</v>
      </c>
      <c r="C364" s="3">
        <v>44848</v>
      </c>
      <c r="D364" s="3" t="str">
        <f>TEXT(Table1[[#This Row],[Admission Date]],"MMMM")</f>
        <v>October</v>
      </c>
      <c r="E364" s="3">
        <v>44848</v>
      </c>
      <c r="F364" s="3">
        <v>44848</v>
      </c>
      <c r="G364" s="2">
        <v>22027092</v>
      </c>
      <c r="H364" s="2">
        <v>2236022</v>
      </c>
      <c r="I364" s="2">
        <v>10013332282</v>
      </c>
      <c r="J364" s="2" t="s">
        <v>415</v>
      </c>
      <c r="K364" s="10">
        <v>2200</v>
      </c>
      <c r="L364" s="10">
        <v>0</v>
      </c>
      <c r="M364" s="10">
        <v>2200</v>
      </c>
      <c r="N364" s="10">
        <v>0</v>
      </c>
      <c r="O364" s="10">
        <f>Table1[[#This Row],[NET Amount]]-Table1[[#This Row],[Paid Amount]]</f>
        <v>2200</v>
      </c>
      <c r="P364" s="2" t="s">
        <v>23</v>
      </c>
      <c r="Q364" s="2" t="s">
        <v>147</v>
      </c>
      <c r="R364" s="16">
        <f>(Table1[[#This Row],[NET Amount]]-Table1[[#This Row],[Total Outstanding Amount]])/Table1[[#This Row],[NET Amount]]</f>
        <v>0</v>
      </c>
      <c r="S364" s="2" t="s">
        <v>97</v>
      </c>
    </row>
    <row r="365" spans="1:19" x14ac:dyDescent="0.3">
      <c r="A365" s="4">
        <v>363</v>
      </c>
      <c r="B365" s="2" t="s">
        <v>380</v>
      </c>
      <c r="C365" s="3">
        <v>44846</v>
      </c>
      <c r="D365" s="3" t="str">
        <f>TEXT(Table1[[#This Row],[Admission Date]],"MMMM")</f>
        <v>October</v>
      </c>
      <c r="E365" s="3">
        <v>44846</v>
      </c>
      <c r="F365" s="3">
        <v>44846</v>
      </c>
      <c r="G365" s="2">
        <v>22026806</v>
      </c>
      <c r="H365" s="2">
        <v>2235769</v>
      </c>
      <c r="I365" s="2">
        <v>1000857532</v>
      </c>
      <c r="J365" s="2" t="s">
        <v>416</v>
      </c>
      <c r="K365" s="10">
        <v>1274</v>
      </c>
      <c r="L365" s="10">
        <v>0</v>
      </c>
      <c r="M365" s="10">
        <v>1274</v>
      </c>
      <c r="N365" s="10">
        <v>0</v>
      </c>
      <c r="O365" s="10">
        <f>Table1[[#This Row],[NET Amount]]-Table1[[#This Row],[Paid Amount]]</f>
        <v>1274</v>
      </c>
      <c r="P365" s="2" t="s">
        <v>23</v>
      </c>
      <c r="Q365" s="2" t="s">
        <v>54</v>
      </c>
      <c r="R365" s="16">
        <f>(Table1[[#This Row],[NET Amount]]-Table1[[#This Row],[Total Outstanding Amount]])/Table1[[#This Row],[NET Amount]]</f>
        <v>0</v>
      </c>
      <c r="S365" s="2" t="s">
        <v>97</v>
      </c>
    </row>
    <row r="366" spans="1:19" x14ac:dyDescent="0.3">
      <c r="A366" s="4">
        <v>364</v>
      </c>
      <c r="B366" s="2" t="s">
        <v>2253</v>
      </c>
      <c r="C366" s="3">
        <v>44858</v>
      </c>
      <c r="D366" s="3" t="str">
        <f>TEXT(Table1[[#This Row],[Admission Date]],"MMMM")</f>
        <v>October</v>
      </c>
      <c r="E366" s="3">
        <v>44858</v>
      </c>
      <c r="F366" s="3">
        <v>44858</v>
      </c>
      <c r="G366" s="2">
        <v>22028421</v>
      </c>
      <c r="H366" s="2">
        <v>2237218</v>
      </c>
      <c r="I366" s="2">
        <v>1001801530</v>
      </c>
      <c r="J366" s="2" t="s">
        <v>392</v>
      </c>
      <c r="K366" s="10">
        <v>1610</v>
      </c>
      <c r="L366" s="10">
        <v>0</v>
      </c>
      <c r="M366" s="10">
        <v>1610</v>
      </c>
      <c r="N366" s="10">
        <v>0</v>
      </c>
      <c r="O366" s="10">
        <f>Table1[[#This Row],[NET Amount]]-Table1[[#This Row],[Paid Amount]]</f>
        <v>1610</v>
      </c>
      <c r="P366" s="2" t="s">
        <v>23</v>
      </c>
      <c r="Q366" s="2" t="s">
        <v>54</v>
      </c>
      <c r="R366" s="16">
        <f>(Table1[[#This Row],[NET Amount]]-Table1[[#This Row],[Total Outstanding Amount]])/Table1[[#This Row],[NET Amount]]</f>
        <v>0</v>
      </c>
      <c r="S366" s="2" t="s">
        <v>97</v>
      </c>
    </row>
    <row r="367" spans="1:19" x14ac:dyDescent="0.3">
      <c r="A367" s="4">
        <v>365</v>
      </c>
      <c r="B367" s="2" t="s">
        <v>2263</v>
      </c>
      <c r="C367" s="3">
        <v>44841</v>
      </c>
      <c r="D367" s="3" t="str">
        <f>TEXT(Table1[[#This Row],[Admission Date]],"MMMM")</f>
        <v>October</v>
      </c>
      <c r="E367" s="3">
        <v>44841</v>
      </c>
      <c r="F367" s="3">
        <v>44841</v>
      </c>
      <c r="G367" s="2">
        <v>22026044</v>
      </c>
      <c r="H367" s="2">
        <v>2235069</v>
      </c>
      <c r="I367" s="2">
        <v>1001767553</v>
      </c>
      <c r="J367" s="2" t="s">
        <v>417</v>
      </c>
      <c r="K367" s="10">
        <v>1274</v>
      </c>
      <c r="L367" s="10">
        <v>0</v>
      </c>
      <c r="M367" s="10">
        <v>1274</v>
      </c>
      <c r="N367" s="10">
        <v>0</v>
      </c>
      <c r="O367" s="10">
        <f>Table1[[#This Row],[NET Amount]]-Table1[[#This Row],[Paid Amount]]</f>
        <v>1274</v>
      </c>
      <c r="P367" s="2" t="s">
        <v>23</v>
      </c>
      <c r="Q367" s="2" t="s">
        <v>54</v>
      </c>
      <c r="R367" s="16">
        <f>(Table1[[#This Row],[NET Amount]]-Table1[[#This Row],[Total Outstanding Amount]])/Table1[[#This Row],[NET Amount]]</f>
        <v>0</v>
      </c>
      <c r="S367" s="2" t="s">
        <v>97</v>
      </c>
    </row>
    <row r="368" spans="1:19" x14ac:dyDescent="0.3">
      <c r="A368" s="4">
        <v>366</v>
      </c>
      <c r="B368" s="2" t="s">
        <v>2253</v>
      </c>
      <c r="C368" s="3">
        <v>44835</v>
      </c>
      <c r="D368" s="3" t="str">
        <f>TEXT(Table1[[#This Row],[Admission Date]],"MMMM")</f>
        <v>October</v>
      </c>
      <c r="E368" s="3">
        <v>44835</v>
      </c>
      <c r="F368" s="3">
        <v>44835</v>
      </c>
      <c r="G368" s="2">
        <v>22025229</v>
      </c>
      <c r="H368" s="2">
        <v>2234250</v>
      </c>
      <c r="I368" s="2">
        <v>1001722362</v>
      </c>
      <c r="J368" s="2" t="s">
        <v>418</v>
      </c>
      <c r="K368" s="10">
        <v>1610</v>
      </c>
      <c r="L368" s="10">
        <v>0</v>
      </c>
      <c r="M368" s="10">
        <v>1610</v>
      </c>
      <c r="N368" s="10">
        <v>0</v>
      </c>
      <c r="O368" s="10">
        <f>Table1[[#This Row],[NET Amount]]-Table1[[#This Row],[Paid Amount]]</f>
        <v>1610</v>
      </c>
      <c r="P368" s="2" t="s">
        <v>23</v>
      </c>
      <c r="Q368" s="2" t="s">
        <v>54</v>
      </c>
      <c r="R368" s="16">
        <f>(Table1[[#This Row],[NET Amount]]-Table1[[#This Row],[Total Outstanding Amount]])/Table1[[#This Row],[NET Amount]]</f>
        <v>0</v>
      </c>
      <c r="S368" s="2" t="s">
        <v>97</v>
      </c>
    </row>
    <row r="369" spans="1:19" x14ac:dyDescent="0.3">
      <c r="A369" s="4">
        <v>367</v>
      </c>
      <c r="B369" s="2" t="s">
        <v>2253</v>
      </c>
      <c r="C369" s="3">
        <v>44865</v>
      </c>
      <c r="D369" s="3" t="str">
        <f>TEXT(Table1[[#This Row],[Admission Date]],"MMMM")</f>
        <v>October</v>
      </c>
      <c r="E369" s="3">
        <v>44865</v>
      </c>
      <c r="F369" s="3">
        <v>44865</v>
      </c>
      <c r="G369" s="2">
        <v>22029240</v>
      </c>
      <c r="H369" s="2">
        <v>2238137</v>
      </c>
      <c r="I369" s="2">
        <v>1001801530</v>
      </c>
      <c r="J369" s="2" t="s">
        <v>392</v>
      </c>
      <c r="K369" s="10">
        <v>1610</v>
      </c>
      <c r="L369" s="10">
        <v>0</v>
      </c>
      <c r="M369" s="10">
        <v>1610</v>
      </c>
      <c r="N369" s="10">
        <v>0</v>
      </c>
      <c r="O369" s="10">
        <f>Table1[[#This Row],[NET Amount]]-Table1[[#This Row],[Paid Amount]]</f>
        <v>1610</v>
      </c>
      <c r="P369" s="2" t="s">
        <v>23</v>
      </c>
      <c r="Q369" s="2" t="s">
        <v>54</v>
      </c>
      <c r="R369" s="16">
        <f>(Table1[[#This Row],[NET Amount]]-Table1[[#This Row],[Total Outstanding Amount]])/Table1[[#This Row],[NET Amount]]</f>
        <v>0</v>
      </c>
      <c r="S369" s="2" t="s">
        <v>97</v>
      </c>
    </row>
    <row r="370" spans="1:19" x14ac:dyDescent="0.3">
      <c r="A370" s="4">
        <v>368</v>
      </c>
      <c r="B370" s="2" t="s">
        <v>380</v>
      </c>
      <c r="C370" s="3">
        <v>44847</v>
      </c>
      <c r="D370" s="3" t="str">
        <f>TEXT(Table1[[#This Row],[Admission Date]],"MMMM")</f>
        <v>October</v>
      </c>
      <c r="E370" s="3">
        <v>44847</v>
      </c>
      <c r="F370" s="3">
        <v>44847</v>
      </c>
      <c r="G370" s="2">
        <v>22026958</v>
      </c>
      <c r="H370" s="2">
        <v>2235886</v>
      </c>
      <c r="I370" s="2">
        <v>1001237257</v>
      </c>
      <c r="J370" s="2" t="s">
        <v>419</v>
      </c>
      <c r="K370" s="10">
        <v>1274</v>
      </c>
      <c r="L370" s="10">
        <v>0</v>
      </c>
      <c r="M370" s="10">
        <v>1274</v>
      </c>
      <c r="N370" s="10">
        <v>0</v>
      </c>
      <c r="O370" s="10">
        <f>Table1[[#This Row],[NET Amount]]-Table1[[#This Row],[Paid Amount]]</f>
        <v>1274</v>
      </c>
      <c r="P370" s="2" t="s">
        <v>23</v>
      </c>
      <c r="Q370" s="2" t="s">
        <v>54</v>
      </c>
      <c r="R370" s="16">
        <f>(Table1[[#This Row],[NET Amount]]-Table1[[#This Row],[Total Outstanding Amount]])/Table1[[#This Row],[NET Amount]]</f>
        <v>0</v>
      </c>
      <c r="S370" s="2" t="s">
        <v>97</v>
      </c>
    </row>
    <row r="371" spans="1:19" x14ac:dyDescent="0.3">
      <c r="A371" s="4">
        <v>369</v>
      </c>
      <c r="B371" s="2" t="s">
        <v>380</v>
      </c>
      <c r="C371" s="3">
        <v>44849</v>
      </c>
      <c r="D371" s="3" t="str">
        <f>TEXT(Table1[[#This Row],[Admission Date]],"MMMM")</f>
        <v>October</v>
      </c>
      <c r="E371" s="3">
        <v>44849</v>
      </c>
      <c r="F371" s="3">
        <v>44849</v>
      </c>
      <c r="G371" s="2">
        <v>22027272</v>
      </c>
      <c r="H371" s="2">
        <v>2236189</v>
      </c>
      <c r="I371" s="2">
        <v>10013528076</v>
      </c>
      <c r="J371" s="2" t="s">
        <v>420</v>
      </c>
      <c r="K371" s="10">
        <v>1274</v>
      </c>
      <c r="L371" s="10">
        <v>0</v>
      </c>
      <c r="M371" s="10">
        <v>1274</v>
      </c>
      <c r="N371" s="10">
        <v>0</v>
      </c>
      <c r="O371" s="10">
        <f>Table1[[#This Row],[NET Amount]]-Table1[[#This Row],[Paid Amount]]</f>
        <v>1274</v>
      </c>
      <c r="P371" s="2" t="s">
        <v>23</v>
      </c>
      <c r="Q371" s="2" t="s">
        <v>54</v>
      </c>
      <c r="R371" s="16">
        <f>(Table1[[#This Row],[NET Amount]]-Table1[[#This Row],[Total Outstanding Amount]])/Table1[[#This Row],[NET Amount]]</f>
        <v>0</v>
      </c>
      <c r="S371" s="2" t="s">
        <v>97</v>
      </c>
    </row>
    <row r="372" spans="1:19" x14ac:dyDescent="0.3">
      <c r="A372" s="4">
        <v>370</v>
      </c>
      <c r="B372" s="2" t="s">
        <v>2253</v>
      </c>
      <c r="C372" s="3">
        <v>44853</v>
      </c>
      <c r="D372" s="3" t="str">
        <f>TEXT(Table1[[#This Row],[Admission Date]],"MMMM")</f>
        <v>October</v>
      </c>
      <c r="E372" s="3">
        <v>44853</v>
      </c>
      <c r="F372" s="3">
        <v>44853</v>
      </c>
      <c r="G372" s="2">
        <v>22027740</v>
      </c>
      <c r="H372" s="2">
        <v>2236636</v>
      </c>
      <c r="I372" s="2">
        <v>1001692673</v>
      </c>
      <c r="J372" s="2" t="s">
        <v>383</v>
      </c>
      <c r="K372" s="10">
        <v>1610</v>
      </c>
      <c r="L372" s="10">
        <v>0</v>
      </c>
      <c r="M372" s="10">
        <v>1610</v>
      </c>
      <c r="N372" s="10">
        <v>0</v>
      </c>
      <c r="O372" s="10">
        <f>Table1[[#This Row],[NET Amount]]-Table1[[#This Row],[Paid Amount]]</f>
        <v>1610</v>
      </c>
      <c r="P372" s="2" t="s">
        <v>23</v>
      </c>
      <c r="Q372" s="2" t="s">
        <v>54</v>
      </c>
      <c r="R372" s="16">
        <f>(Table1[[#This Row],[NET Amount]]-Table1[[#This Row],[Total Outstanding Amount]])/Table1[[#This Row],[NET Amount]]</f>
        <v>0</v>
      </c>
      <c r="S372" s="2" t="s">
        <v>97</v>
      </c>
    </row>
    <row r="373" spans="1:19" x14ac:dyDescent="0.3">
      <c r="A373" s="4">
        <v>371</v>
      </c>
      <c r="B373" s="2" t="s">
        <v>25</v>
      </c>
      <c r="C373" s="3">
        <v>44835</v>
      </c>
      <c r="D373" s="3" t="str">
        <f>TEXT(Table1[[#This Row],[Admission Date]],"MMMM")</f>
        <v>October</v>
      </c>
      <c r="E373" s="3">
        <v>44837</v>
      </c>
      <c r="F373" s="3">
        <v>44837</v>
      </c>
      <c r="G373" s="2">
        <v>22025390</v>
      </c>
      <c r="H373" s="2">
        <v>2234245</v>
      </c>
      <c r="I373" s="2">
        <v>1001251802</v>
      </c>
      <c r="J373" s="2" t="s">
        <v>421</v>
      </c>
      <c r="K373" s="10">
        <v>189338</v>
      </c>
      <c r="L373" s="10">
        <v>9680</v>
      </c>
      <c r="M373" s="10">
        <v>179658</v>
      </c>
      <c r="N373" s="10">
        <v>0</v>
      </c>
      <c r="O373" s="10">
        <f>Table1[[#This Row],[NET Amount]]-Table1[[#This Row],[Paid Amount]]</f>
        <v>179658</v>
      </c>
      <c r="P373" s="2" t="s">
        <v>23</v>
      </c>
      <c r="Q373" s="2" t="s">
        <v>24</v>
      </c>
      <c r="R373" s="16">
        <f>(Table1[[#This Row],[NET Amount]]-Table1[[#This Row],[Total Outstanding Amount]])/Table1[[#This Row],[NET Amount]]</f>
        <v>0</v>
      </c>
      <c r="S373" s="2" t="s">
        <v>39</v>
      </c>
    </row>
    <row r="374" spans="1:19" x14ac:dyDescent="0.3">
      <c r="A374" s="4">
        <v>372</v>
      </c>
      <c r="B374" s="2" t="s">
        <v>380</v>
      </c>
      <c r="C374" s="3">
        <v>44845</v>
      </c>
      <c r="D374" s="3" t="str">
        <f>TEXT(Table1[[#This Row],[Admission Date]],"MMMM")</f>
        <v>October</v>
      </c>
      <c r="E374" s="3">
        <v>44845</v>
      </c>
      <c r="F374" s="3">
        <v>44845</v>
      </c>
      <c r="G374" s="2">
        <v>22026614</v>
      </c>
      <c r="H374" s="2">
        <v>2235591</v>
      </c>
      <c r="I374" s="2">
        <v>10013371134</v>
      </c>
      <c r="J374" s="2" t="s">
        <v>412</v>
      </c>
      <c r="K374" s="10">
        <v>1274</v>
      </c>
      <c r="L374" s="10">
        <v>0</v>
      </c>
      <c r="M374" s="10">
        <v>1274</v>
      </c>
      <c r="N374" s="10">
        <v>0</v>
      </c>
      <c r="O374" s="10">
        <f>Table1[[#This Row],[NET Amount]]-Table1[[#This Row],[Paid Amount]]</f>
        <v>1274</v>
      </c>
      <c r="P374" s="2" t="s">
        <v>23</v>
      </c>
      <c r="Q374" s="2" t="s">
        <v>54</v>
      </c>
      <c r="R374" s="16">
        <f>(Table1[[#This Row],[NET Amount]]-Table1[[#This Row],[Total Outstanding Amount]])/Table1[[#This Row],[NET Amount]]</f>
        <v>0</v>
      </c>
      <c r="S374" s="2" t="s">
        <v>97</v>
      </c>
    </row>
    <row r="375" spans="1:19" x14ac:dyDescent="0.3">
      <c r="A375" s="4">
        <v>373</v>
      </c>
      <c r="B375" s="2" t="s">
        <v>380</v>
      </c>
      <c r="C375" s="3">
        <v>44840</v>
      </c>
      <c r="D375" s="3" t="str">
        <f>TEXT(Table1[[#This Row],[Admission Date]],"MMMM")</f>
        <v>October</v>
      </c>
      <c r="E375" s="3">
        <v>44840</v>
      </c>
      <c r="F375" s="3">
        <v>44840</v>
      </c>
      <c r="G375" s="2">
        <v>22025911</v>
      </c>
      <c r="H375" s="2">
        <v>2234942</v>
      </c>
      <c r="I375" s="2">
        <v>10013521877</v>
      </c>
      <c r="J375" s="2" t="s">
        <v>422</v>
      </c>
      <c r="K375" s="10">
        <v>1274</v>
      </c>
      <c r="L375" s="10">
        <v>0</v>
      </c>
      <c r="M375" s="10">
        <v>1274</v>
      </c>
      <c r="N375" s="10">
        <v>0</v>
      </c>
      <c r="O375" s="10">
        <f>Table1[[#This Row],[NET Amount]]-Table1[[#This Row],[Paid Amount]]</f>
        <v>1274</v>
      </c>
      <c r="P375" s="2" t="s">
        <v>23</v>
      </c>
      <c r="Q375" s="2" t="s">
        <v>54</v>
      </c>
      <c r="R375" s="16">
        <f>(Table1[[#This Row],[NET Amount]]-Table1[[#This Row],[Total Outstanding Amount]])/Table1[[#This Row],[NET Amount]]</f>
        <v>0</v>
      </c>
      <c r="S375" s="2" t="s">
        <v>97</v>
      </c>
    </row>
    <row r="376" spans="1:19" x14ac:dyDescent="0.3">
      <c r="A376" s="4">
        <v>374</v>
      </c>
      <c r="B376" s="2" t="s">
        <v>2263</v>
      </c>
      <c r="C376" s="3">
        <v>44845</v>
      </c>
      <c r="D376" s="3" t="str">
        <f>TEXT(Table1[[#This Row],[Admission Date]],"MMMM")</f>
        <v>October</v>
      </c>
      <c r="E376" s="3">
        <v>44845</v>
      </c>
      <c r="F376" s="3">
        <v>44845</v>
      </c>
      <c r="G376" s="2">
        <v>22026626</v>
      </c>
      <c r="H376" s="2">
        <v>2235596</v>
      </c>
      <c r="I376" s="2">
        <v>1001677731</v>
      </c>
      <c r="J376" s="2" t="s">
        <v>397</v>
      </c>
      <c r="K376" s="10">
        <v>1274</v>
      </c>
      <c r="L376" s="10">
        <v>0</v>
      </c>
      <c r="M376" s="10">
        <v>1274</v>
      </c>
      <c r="N376" s="10">
        <v>0</v>
      </c>
      <c r="O376" s="10">
        <f>Table1[[#This Row],[NET Amount]]-Table1[[#This Row],[Paid Amount]]</f>
        <v>1274</v>
      </c>
      <c r="P376" s="2" t="s">
        <v>23</v>
      </c>
      <c r="Q376" s="2" t="s">
        <v>54</v>
      </c>
      <c r="R376" s="16">
        <f>(Table1[[#This Row],[NET Amount]]-Table1[[#This Row],[Total Outstanding Amount]])/Table1[[#This Row],[NET Amount]]</f>
        <v>0</v>
      </c>
      <c r="S376" s="2" t="s">
        <v>97</v>
      </c>
    </row>
    <row r="377" spans="1:19" x14ac:dyDescent="0.3">
      <c r="A377" s="4">
        <v>375</v>
      </c>
      <c r="B377" s="2" t="s">
        <v>380</v>
      </c>
      <c r="C377" s="3">
        <v>44840</v>
      </c>
      <c r="D377" s="3" t="str">
        <f>TEXT(Table1[[#This Row],[Admission Date]],"MMMM")</f>
        <v>October</v>
      </c>
      <c r="E377" s="3">
        <v>44840</v>
      </c>
      <c r="F377" s="3">
        <v>44840</v>
      </c>
      <c r="G377" s="2">
        <v>22025913</v>
      </c>
      <c r="H377" s="2">
        <v>2234944</v>
      </c>
      <c r="I377" s="2">
        <v>10013413542</v>
      </c>
      <c r="J377" s="2" t="s">
        <v>389</v>
      </c>
      <c r="K377" s="10">
        <v>1274</v>
      </c>
      <c r="L377" s="10">
        <v>0</v>
      </c>
      <c r="M377" s="10">
        <v>1274</v>
      </c>
      <c r="N377" s="10">
        <v>0</v>
      </c>
      <c r="O377" s="10">
        <f>Table1[[#This Row],[NET Amount]]-Table1[[#This Row],[Paid Amount]]</f>
        <v>1274</v>
      </c>
      <c r="P377" s="2" t="s">
        <v>23</v>
      </c>
      <c r="Q377" s="2" t="s">
        <v>54</v>
      </c>
      <c r="R377" s="16">
        <f>(Table1[[#This Row],[NET Amount]]-Table1[[#This Row],[Total Outstanding Amount]])/Table1[[#This Row],[NET Amount]]</f>
        <v>0</v>
      </c>
      <c r="S377" s="2" t="s">
        <v>97</v>
      </c>
    </row>
    <row r="378" spans="1:19" x14ac:dyDescent="0.3">
      <c r="A378" s="4">
        <v>376</v>
      </c>
      <c r="B378" s="2" t="s">
        <v>25</v>
      </c>
      <c r="C378" s="3">
        <v>44856</v>
      </c>
      <c r="D378" s="3" t="str">
        <f>TEXT(Table1[[#This Row],[Admission Date]],"MMMM")</f>
        <v>October</v>
      </c>
      <c r="E378" s="3">
        <v>44858</v>
      </c>
      <c r="F378" s="3">
        <v>44858</v>
      </c>
      <c r="G378" s="2">
        <v>22028459</v>
      </c>
      <c r="H378" s="2">
        <v>2237081</v>
      </c>
      <c r="I378" s="2">
        <v>1001805815</v>
      </c>
      <c r="J378" s="2" t="s">
        <v>423</v>
      </c>
      <c r="K378" s="10">
        <v>17504</v>
      </c>
      <c r="L378" s="10">
        <v>2298</v>
      </c>
      <c r="M378" s="10">
        <v>15206</v>
      </c>
      <c r="N378" s="10">
        <v>0</v>
      </c>
      <c r="O378" s="10">
        <f>Table1[[#This Row],[NET Amount]]-Table1[[#This Row],[Paid Amount]]</f>
        <v>15206</v>
      </c>
      <c r="P378" s="2" t="s">
        <v>23</v>
      </c>
      <c r="Q378" s="2" t="s">
        <v>24</v>
      </c>
      <c r="R378" s="16">
        <f>(Table1[[#This Row],[NET Amount]]-Table1[[#This Row],[Total Outstanding Amount]])/Table1[[#This Row],[NET Amount]]</f>
        <v>0</v>
      </c>
      <c r="S378" s="2" t="s">
        <v>37</v>
      </c>
    </row>
    <row r="379" spans="1:19" x14ac:dyDescent="0.3">
      <c r="A379" s="4">
        <v>377</v>
      </c>
      <c r="B379" s="2" t="s">
        <v>168</v>
      </c>
      <c r="C379" s="3">
        <v>44854</v>
      </c>
      <c r="D379" s="3" t="str">
        <f>TEXT(Table1[[#This Row],[Admission Date]],"MMMM")</f>
        <v>October</v>
      </c>
      <c r="E379" s="3">
        <v>44854</v>
      </c>
      <c r="F379" s="3">
        <v>44854</v>
      </c>
      <c r="G379" s="2">
        <v>22027908</v>
      </c>
      <c r="H379" s="2">
        <v>2236786</v>
      </c>
      <c r="I379" s="2">
        <v>1001468779</v>
      </c>
      <c r="J379" s="2" t="s">
        <v>387</v>
      </c>
      <c r="K379" s="10">
        <v>2200</v>
      </c>
      <c r="L379" s="10">
        <v>0</v>
      </c>
      <c r="M379" s="10">
        <v>2200</v>
      </c>
      <c r="N379" s="10">
        <v>0</v>
      </c>
      <c r="O379" s="10">
        <f>Table1[[#This Row],[NET Amount]]-Table1[[#This Row],[Paid Amount]]</f>
        <v>2200</v>
      </c>
      <c r="P379" s="2" t="s">
        <v>23</v>
      </c>
      <c r="Q379" s="2" t="s">
        <v>147</v>
      </c>
      <c r="R379" s="16">
        <f>(Table1[[#This Row],[NET Amount]]-Table1[[#This Row],[Total Outstanding Amount]])/Table1[[#This Row],[NET Amount]]</f>
        <v>0</v>
      </c>
      <c r="S379" s="2" t="s">
        <v>97</v>
      </c>
    </row>
    <row r="380" spans="1:19" x14ac:dyDescent="0.3">
      <c r="A380" s="4">
        <v>378</v>
      </c>
      <c r="B380" s="2" t="s">
        <v>282</v>
      </c>
      <c r="C380" s="3">
        <v>44837</v>
      </c>
      <c r="D380" s="3" t="str">
        <f>TEXT(Table1[[#This Row],[Admission Date]],"MMMM")</f>
        <v>October</v>
      </c>
      <c r="E380" s="3">
        <v>44839</v>
      </c>
      <c r="F380" s="3">
        <v>44839</v>
      </c>
      <c r="G380" s="2">
        <v>22025700</v>
      </c>
      <c r="H380" s="2">
        <v>2234430</v>
      </c>
      <c r="I380" s="2">
        <v>10013480003</v>
      </c>
      <c r="J380" s="2" t="s">
        <v>424</v>
      </c>
      <c r="K380" s="10">
        <v>58562</v>
      </c>
      <c r="L380" s="10">
        <v>28562</v>
      </c>
      <c r="M380" s="10">
        <v>30000</v>
      </c>
      <c r="N380" s="10">
        <v>0</v>
      </c>
      <c r="O380" s="10">
        <f>Table1[[#This Row],[NET Amount]]-Table1[[#This Row],[Paid Amount]]</f>
        <v>30000</v>
      </c>
      <c r="P380" s="2" t="s">
        <v>23</v>
      </c>
      <c r="Q380" s="2" t="s">
        <v>24</v>
      </c>
      <c r="R380" s="16">
        <f>(Table1[[#This Row],[NET Amount]]-Table1[[#This Row],[Total Outstanding Amount]])/Table1[[#This Row],[NET Amount]]</f>
        <v>0</v>
      </c>
      <c r="S380" s="2" t="s">
        <v>55</v>
      </c>
    </row>
    <row r="381" spans="1:19" x14ac:dyDescent="0.3">
      <c r="A381" s="4">
        <v>379</v>
      </c>
      <c r="B381" s="2" t="s">
        <v>2263</v>
      </c>
      <c r="C381" s="3">
        <v>44852</v>
      </c>
      <c r="D381" s="3" t="str">
        <f>TEXT(Table1[[#This Row],[Admission Date]],"MMMM")</f>
        <v>October</v>
      </c>
      <c r="E381" s="3">
        <v>44852</v>
      </c>
      <c r="F381" s="3">
        <v>44852</v>
      </c>
      <c r="G381" s="2">
        <v>22027619</v>
      </c>
      <c r="H381" s="2">
        <v>2236521</v>
      </c>
      <c r="I381" s="2">
        <v>1001686545</v>
      </c>
      <c r="J381" s="2" t="s">
        <v>425</v>
      </c>
      <c r="K381" s="10">
        <v>1274</v>
      </c>
      <c r="L381" s="10">
        <v>0</v>
      </c>
      <c r="M381" s="10">
        <v>1274</v>
      </c>
      <c r="N381" s="10">
        <v>0</v>
      </c>
      <c r="O381" s="10">
        <f>Table1[[#This Row],[NET Amount]]-Table1[[#This Row],[Paid Amount]]</f>
        <v>1274</v>
      </c>
      <c r="P381" s="2" t="s">
        <v>23</v>
      </c>
      <c r="Q381" s="2" t="s">
        <v>54</v>
      </c>
      <c r="R381" s="16">
        <f>(Table1[[#This Row],[NET Amount]]-Table1[[#This Row],[Total Outstanding Amount]])/Table1[[#This Row],[NET Amount]]</f>
        <v>0</v>
      </c>
      <c r="S381" s="2" t="s">
        <v>97</v>
      </c>
    </row>
    <row r="382" spans="1:19" x14ac:dyDescent="0.3">
      <c r="A382" s="4">
        <v>380</v>
      </c>
      <c r="B382" s="2" t="s">
        <v>2253</v>
      </c>
      <c r="C382" s="3">
        <v>44841</v>
      </c>
      <c r="D382" s="3" t="str">
        <f>TEXT(Table1[[#This Row],[Admission Date]],"MMMM")</f>
        <v>October</v>
      </c>
      <c r="E382" s="3">
        <v>44841</v>
      </c>
      <c r="F382" s="3">
        <v>44841</v>
      </c>
      <c r="G382" s="2">
        <v>22026020</v>
      </c>
      <c r="H382" s="2">
        <v>2235007</v>
      </c>
      <c r="I382" s="2">
        <v>1001803044</v>
      </c>
      <c r="J382" s="2" t="s">
        <v>426</v>
      </c>
      <c r="K382" s="10">
        <v>1610</v>
      </c>
      <c r="L382" s="10">
        <v>0</v>
      </c>
      <c r="M382" s="10">
        <v>1610</v>
      </c>
      <c r="N382" s="10">
        <v>0</v>
      </c>
      <c r="O382" s="10">
        <f>Table1[[#This Row],[NET Amount]]-Table1[[#This Row],[Paid Amount]]</f>
        <v>1610</v>
      </c>
      <c r="P382" s="2" t="s">
        <v>23</v>
      </c>
      <c r="Q382" s="2" t="s">
        <v>54</v>
      </c>
      <c r="R382" s="16">
        <f>(Table1[[#This Row],[NET Amount]]-Table1[[#This Row],[Total Outstanding Amount]])/Table1[[#This Row],[NET Amount]]</f>
        <v>0</v>
      </c>
      <c r="S382" s="2" t="s">
        <v>97</v>
      </c>
    </row>
    <row r="383" spans="1:19" x14ac:dyDescent="0.3">
      <c r="A383" s="4">
        <v>381</v>
      </c>
      <c r="B383" s="2" t="s">
        <v>28</v>
      </c>
      <c r="C383" s="3">
        <v>44853</v>
      </c>
      <c r="D383" s="3" t="str">
        <f>TEXT(Table1[[#This Row],[Admission Date]],"MMMM")</f>
        <v>October</v>
      </c>
      <c r="E383" s="3">
        <v>44853</v>
      </c>
      <c r="F383" s="3">
        <v>44853</v>
      </c>
      <c r="G383" s="2">
        <v>22027665</v>
      </c>
      <c r="H383" s="2">
        <v>2236588</v>
      </c>
      <c r="I383" s="2">
        <v>10013484190</v>
      </c>
      <c r="J383" s="2" t="s">
        <v>427</v>
      </c>
      <c r="K383" s="10">
        <v>2240</v>
      </c>
      <c r="L383" s="10">
        <v>0</v>
      </c>
      <c r="M383" s="10">
        <v>2240</v>
      </c>
      <c r="N383" s="10">
        <v>0</v>
      </c>
      <c r="O383" s="10">
        <f>Table1[[#This Row],[NET Amount]]-Table1[[#This Row],[Paid Amount]]</f>
        <v>2240</v>
      </c>
      <c r="P383" s="2" t="s">
        <v>23</v>
      </c>
      <c r="Q383" s="2" t="s">
        <v>54</v>
      </c>
      <c r="R383" s="16">
        <f>(Table1[[#This Row],[NET Amount]]-Table1[[#This Row],[Total Outstanding Amount]])/Table1[[#This Row],[NET Amount]]</f>
        <v>0</v>
      </c>
      <c r="S383" s="2" t="s">
        <v>97</v>
      </c>
    </row>
    <row r="384" spans="1:19" x14ac:dyDescent="0.3">
      <c r="A384" s="4">
        <v>382</v>
      </c>
      <c r="B384" s="2" t="s">
        <v>380</v>
      </c>
      <c r="C384" s="3">
        <v>44860</v>
      </c>
      <c r="D384" s="3" t="str">
        <f>TEXT(Table1[[#This Row],[Admission Date]],"MMMM")</f>
        <v>October</v>
      </c>
      <c r="E384" s="3">
        <v>44860</v>
      </c>
      <c r="F384" s="3">
        <v>44860</v>
      </c>
      <c r="G384" s="2">
        <v>22028694</v>
      </c>
      <c r="H384" s="2">
        <v>2237573</v>
      </c>
      <c r="I384" s="2">
        <v>1000857532</v>
      </c>
      <c r="J384" s="2" t="s">
        <v>416</v>
      </c>
      <c r="K384" s="10">
        <v>1274</v>
      </c>
      <c r="L384" s="10">
        <v>0</v>
      </c>
      <c r="M384" s="10">
        <v>1274</v>
      </c>
      <c r="N384" s="10">
        <v>0</v>
      </c>
      <c r="O384" s="10">
        <f>Table1[[#This Row],[NET Amount]]-Table1[[#This Row],[Paid Amount]]</f>
        <v>1274</v>
      </c>
      <c r="P384" s="2" t="s">
        <v>23</v>
      </c>
      <c r="Q384" s="2" t="s">
        <v>54</v>
      </c>
      <c r="R384" s="16">
        <f>(Table1[[#This Row],[NET Amount]]-Table1[[#This Row],[Total Outstanding Amount]])/Table1[[#This Row],[NET Amount]]</f>
        <v>0</v>
      </c>
      <c r="S384" s="2" t="s">
        <v>97</v>
      </c>
    </row>
    <row r="385" spans="1:19" x14ac:dyDescent="0.3">
      <c r="A385" s="4">
        <v>383</v>
      </c>
      <c r="B385" s="2" t="s">
        <v>75</v>
      </c>
      <c r="C385" s="3">
        <v>44837</v>
      </c>
      <c r="D385" s="3" t="str">
        <f>TEXT(Table1[[#This Row],[Admission Date]],"MMMM")</f>
        <v>October</v>
      </c>
      <c r="E385" s="3">
        <v>44844</v>
      </c>
      <c r="F385" s="3">
        <v>44844</v>
      </c>
      <c r="G385" s="2">
        <v>22026448</v>
      </c>
      <c r="H385" s="2">
        <v>2234465</v>
      </c>
      <c r="I385" s="2">
        <v>1001206593</v>
      </c>
      <c r="J385" s="2" t="s">
        <v>428</v>
      </c>
      <c r="K385" s="10">
        <v>70250</v>
      </c>
      <c r="L385" s="10">
        <v>0</v>
      </c>
      <c r="M385" s="10">
        <v>70250</v>
      </c>
      <c r="N385" s="10">
        <v>0</v>
      </c>
      <c r="O385" s="10">
        <f>Table1[[#This Row],[NET Amount]]-Table1[[#This Row],[Paid Amount]]</f>
        <v>70250</v>
      </c>
      <c r="P385" s="2" t="s">
        <v>23</v>
      </c>
      <c r="Q385" s="2" t="s">
        <v>30</v>
      </c>
      <c r="R385" s="16">
        <f>(Table1[[#This Row],[NET Amount]]-Table1[[#This Row],[Total Outstanding Amount]])/Table1[[#This Row],[NET Amount]]</f>
        <v>0</v>
      </c>
      <c r="S385" s="2" t="s">
        <v>20</v>
      </c>
    </row>
    <row r="386" spans="1:19" x14ac:dyDescent="0.3">
      <c r="A386" s="4">
        <v>384</v>
      </c>
      <c r="B386" s="2" t="s">
        <v>380</v>
      </c>
      <c r="C386" s="3">
        <v>44835</v>
      </c>
      <c r="D386" s="3" t="str">
        <f>TEXT(Table1[[#This Row],[Admission Date]],"MMMM")</f>
        <v>October</v>
      </c>
      <c r="E386" s="3">
        <v>44835</v>
      </c>
      <c r="F386" s="3">
        <v>44835</v>
      </c>
      <c r="G386" s="2">
        <v>22025129</v>
      </c>
      <c r="H386" s="2">
        <v>2234161</v>
      </c>
      <c r="I386" s="2">
        <v>10013475917</v>
      </c>
      <c r="J386" s="2" t="s">
        <v>429</v>
      </c>
      <c r="K386" s="10">
        <v>1274</v>
      </c>
      <c r="L386" s="10">
        <v>0</v>
      </c>
      <c r="M386" s="10">
        <v>1274</v>
      </c>
      <c r="N386" s="10">
        <v>0</v>
      </c>
      <c r="O386" s="10">
        <f>Table1[[#This Row],[NET Amount]]-Table1[[#This Row],[Paid Amount]]</f>
        <v>1274</v>
      </c>
      <c r="P386" s="2" t="s">
        <v>23</v>
      </c>
      <c r="Q386" s="2" t="s">
        <v>54</v>
      </c>
      <c r="R386" s="16">
        <f>(Table1[[#This Row],[NET Amount]]-Table1[[#This Row],[Total Outstanding Amount]])/Table1[[#This Row],[NET Amount]]</f>
        <v>0</v>
      </c>
      <c r="S386" s="2" t="s">
        <v>97</v>
      </c>
    </row>
    <row r="387" spans="1:19" x14ac:dyDescent="0.3">
      <c r="A387" s="4">
        <v>385</v>
      </c>
      <c r="B387" s="2" t="s">
        <v>380</v>
      </c>
      <c r="C387" s="3">
        <v>44844</v>
      </c>
      <c r="D387" s="3" t="str">
        <f>TEXT(Table1[[#This Row],[Admission Date]],"MMMM")</f>
        <v>October</v>
      </c>
      <c r="E387" s="3">
        <v>44844</v>
      </c>
      <c r="F387" s="3">
        <v>44844</v>
      </c>
      <c r="G387" s="2">
        <v>22026484</v>
      </c>
      <c r="H387" s="2">
        <v>2235455</v>
      </c>
      <c r="I387" s="2">
        <v>1001092597</v>
      </c>
      <c r="J387" s="2" t="s">
        <v>384</v>
      </c>
      <c r="K387" s="10">
        <v>1274</v>
      </c>
      <c r="L387" s="10">
        <v>0</v>
      </c>
      <c r="M387" s="10">
        <v>1274</v>
      </c>
      <c r="N387" s="10">
        <v>0</v>
      </c>
      <c r="O387" s="10">
        <f>Table1[[#This Row],[NET Amount]]-Table1[[#This Row],[Paid Amount]]</f>
        <v>1274</v>
      </c>
      <c r="P387" s="2" t="s">
        <v>23</v>
      </c>
      <c r="Q387" s="2" t="s">
        <v>54</v>
      </c>
      <c r="R387" s="16">
        <f>(Table1[[#This Row],[NET Amount]]-Table1[[#This Row],[Total Outstanding Amount]])/Table1[[#This Row],[NET Amount]]</f>
        <v>0</v>
      </c>
      <c r="S387" s="2" t="s">
        <v>97</v>
      </c>
    </row>
    <row r="388" spans="1:19" x14ac:dyDescent="0.3">
      <c r="A388" s="4">
        <v>386</v>
      </c>
      <c r="B388" s="2" t="s">
        <v>2263</v>
      </c>
      <c r="C388" s="3">
        <v>44842</v>
      </c>
      <c r="D388" s="3" t="str">
        <f>TEXT(Table1[[#This Row],[Admission Date]],"MMMM")</f>
        <v>October</v>
      </c>
      <c r="E388" s="3">
        <v>44842</v>
      </c>
      <c r="F388" s="3">
        <v>44842</v>
      </c>
      <c r="G388" s="2">
        <v>22026205</v>
      </c>
      <c r="H388" s="2">
        <v>2235216</v>
      </c>
      <c r="I388" s="2">
        <v>1001686545</v>
      </c>
      <c r="J388" s="2" t="s">
        <v>425</v>
      </c>
      <c r="K388" s="10">
        <v>1274</v>
      </c>
      <c r="L388" s="10">
        <v>0</v>
      </c>
      <c r="M388" s="10">
        <v>1274</v>
      </c>
      <c r="N388" s="10">
        <v>0</v>
      </c>
      <c r="O388" s="10">
        <f>Table1[[#This Row],[NET Amount]]-Table1[[#This Row],[Paid Amount]]</f>
        <v>1274</v>
      </c>
      <c r="P388" s="2" t="s">
        <v>23</v>
      </c>
      <c r="Q388" s="2" t="s">
        <v>54</v>
      </c>
      <c r="R388" s="16">
        <f>(Table1[[#This Row],[NET Amount]]-Table1[[#This Row],[Total Outstanding Amount]])/Table1[[#This Row],[NET Amount]]</f>
        <v>0</v>
      </c>
      <c r="S388" s="2" t="s">
        <v>97</v>
      </c>
    </row>
    <row r="389" spans="1:19" x14ac:dyDescent="0.3">
      <c r="A389" s="4">
        <v>387</v>
      </c>
      <c r="B389" s="2" t="s">
        <v>380</v>
      </c>
      <c r="C389" s="3">
        <v>44847</v>
      </c>
      <c r="D389" s="3" t="str">
        <f>TEXT(Table1[[#This Row],[Admission Date]],"MMMM")</f>
        <v>October</v>
      </c>
      <c r="E389" s="3">
        <v>44847</v>
      </c>
      <c r="F389" s="3">
        <v>44847</v>
      </c>
      <c r="G389" s="2">
        <v>22026945</v>
      </c>
      <c r="H389" s="2">
        <v>2235867</v>
      </c>
      <c r="I389" s="2">
        <v>1001208331</v>
      </c>
      <c r="J389" s="2" t="s">
        <v>430</v>
      </c>
      <c r="K389" s="10">
        <v>1274</v>
      </c>
      <c r="L389" s="10">
        <v>0</v>
      </c>
      <c r="M389" s="10">
        <v>1274</v>
      </c>
      <c r="N389" s="10">
        <v>0</v>
      </c>
      <c r="O389" s="10">
        <f>Table1[[#This Row],[NET Amount]]-Table1[[#This Row],[Paid Amount]]</f>
        <v>1274</v>
      </c>
      <c r="P389" s="2" t="s">
        <v>23</v>
      </c>
      <c r="Q389" s="2" t="s">
        <v>54</v>
      </c>
      <c r="R389" s="16">
        <f>(Table1[[#This Row],[NET Amount]]-Table1[[#This Row],[Total Outstanding Amount]])/Table1[[#This Row],[NET Amount]]</f>
        <v>0</v>
      </c>
      <c r="S389" s="2" t="s">
        <v>97</v>
      </c>
    </row>
    <row r="390" spans="1:19" x14ac:dyDescent="0.3">
      <c r="A390" s="4">
        <v>388</v>
      </c>
      <c r="B390" s="2" t="s">
        <v>152</v>
      </c>
      <c r="C390" s="3">
        <v>44844</v>
      </c>
      <c r="D390" s="3" t="str">
        <f>TEXT(Table1[[#This Row],[Admission Date]],"MMMM")</f>
        <v>October</v>
      </c>
      <c r="E390" s="3">
        <v>44846</v>
      </c>
      <c r="F390" s="3">
        <v>44846</v>
      </c>
      <c r="G390" s="2">
        <v>22026748</v>
      </c>
      <c r="H390" s="2">
        <v>2235317</v>
      </c>
      <c r="I390" s="2">
        <v>1001516596</v>
      </c>
      <c r="J390" s="2" t="s">
        <v>431</v>
      </c>
      <c r="K390" s="10">
        <v>28086</v>
      </c>
      <c r="L390" s="10">
        <v>0</v>
      </c>
      <c r="M390" s="10">
        <v>28086</v>
      </c>
      <c r="N390" s="10">
        <v>0</v>
      </c>
      <c r="O390" s="10">
        <f>Table1[[#This Row],[NET Amount]]-Table1[[#This Row],[Paid Amount]]</f>
        <v>28086</v>
      </c>
      <c r="P390" s="2" t="s">
        <v>23</v>
      </c>
      <c r="Q390" s="2" t="s">
        <v>30</v>
      </c>
      <c r="R390" s="16">
        <f>(Table1[[#This Row],[NET Amount]]-Table1[[#This Row],[Total Outstanding Amount]])/Table1[[#This Row],[NET Amount]]</f>
        <v>0</v>
      </c>
      <c r="S390" s="2" t="s">
        <v>39</v>
      </c>
    </row>
    <row r="391" spans="1:19" x14ac:dyDescent="0.3">
      <c r="A391" s="4">
        <v>389</v>
      </c>
      <c r="B391" s="2" t="s">
        <v>380</v>
      </c>
      <c r="C391" s="3">
        <v>44854</v>
      </c>
      <c r="D391" s="3" t="str">
        <f>TEXT(Table1[[#This Row],[Admission Date]],"MMMM")</f>
        <v>October</v>
      </c>
      <c r="E391" s="3">
        <v>44854</v>
      </c>
      <c r="F391" s="3">
        <v>44854</v>
      </c>
      <c r="G391" s="2">
        <v>22027888</v>
      </c>
      <c r="H391" s="2">
        <v>2236790</v>
      </c>
      <c r="I391" s="2">
        <v>1000947753</v>
      </c>
      <c r="J391" s="2" t="s">
        <v>432</v>
      </c>
      <c r="K391" s="10">
        <v>1274</v>
      </c>
      <c r="L391" s="10">
        <v>0</v>
      </c>
      <c r="M391" s="10">
        <v>1274</v>
      </c>
      <c r="N391" s="10">
        <v>0</v>
      </c>
      <c r="O391" s="10">
        <f>Table1[[#This Row],[NET Amount]]-Table1[[#This Row],[Paid Amount]]</f>
        <v>1274</v>
      </c>
      <c r="P391" s="2" t="s">
        <v>23</v>
      </c>
      <c r="Q391" s="2" t="s">
        <v>54</v>
      </c>
      <c r="R391" s="16">
        <f>(Table1[[#This Row],[NET Amount]]-Table1[[#This Row],[Total Outstanding Amount]])/Table1[[#This Row],[NET Amount]]</f>
        <v>0</v>
      </c>
      <c r="S391" s="2" t="s">
        <v>97</v>
      </c>
    </row>
    <row r="392" spans="1:19" x14ac:dyDescent="0.3">
      <c r="A392" s="4">
        <v>390</v>
      </c>
      <c r="B392" s="2" t="s">
        <v>2253</v>
      </c>
      <c r="C392" s="3">
        <v>44839</v>
      </c>
      <c r="D392" s="3" t="str">
        <f>TEXT(Table1[[#This Row],[Admission Date]],"MMMM")</f>
        <v>October</v>
      </c>
      <c r="E392" s="3">
        <v>44840</v>
      </c>
      <c r="F392" s="3">
        <v>44840</v>
      </c>
      <c r="G392" s="2">
        <v>22025827</v>
      </c>
      <c r="H392" s="2">
        <v>2234663</v>
      </c>
      <c r="I392" s="2">
        <v>1001703064</v>
      </c>
      <c r="J392" s="2" t="s">
        <v>433</v>
      </c>
      <c r="K392" s="10">
        <v>16220</v>
      </c>
      <c r="L392" s="10">
        <v>0</v>
      </c>
      <c r="M392" s="10">
        <v>16220</v>
      </c>
      <c r="N392" s="10">
        <v>0</v>
      </c>
      <c r="O392" s="10">
        <f>Table1[[#This Row],[NET Amount]]-Table1[[#This Row],[Paid Amount]]</f>
        <v>16220</v>
      </c>
      <c r="P392" s="2" t="s">
        <v>23</v>
      </c>
      <c r="Q392" s="2" t="s">
        <v>24</v>
      </c>
      <c r="R392" s="16">
        <f>(Table1[[#This Row],[NET Amount]]-Table1[[#This Row],[Total Outstanding Amount]])/Table1[[#This Row],[NET Amount]]</f>
        <v>0</v>
      </c>
      <c r="S392" s="2" t="s">
        <v>39</v>
      </c>
    </row>
    <row r="393" spans="1:19" x14ac:dyDescent="0.3">
      <c r="A393" s="4">
        <v>391</v>
      </c>
      <c r="B393" s="2" t="s">
        <v>2263</v>
      </c>
      <c r="C393" s="3">
        <v>44860</v>
      </c>
      <c r="D393" s="3" t="str">
        <f>TEXT(Table1[[#This Row],[Admission Date]],"MMMM")</f>
        <v>October</v>
      </c>
      <c r="E393" s="3">
        <v>44860</v>
      </c>
      <c r="F393" s="3">
        <v>44860</v>
      </c>
      <c r="G393" s="2">
        <v>22028581</v>
      </c>
      <c r="H393" s="2">
        <v>2237454</v>
      </c>
      <c r="I393" s="2">
        <v>1001767553</v>
      </c>
      <c r="J393" s="2" t="s">
        <v>417</v>
      </c>
      <c r="K393" s="10">
        <v>1274</v>
      </c>
      <c r="L393" s="10">
        <v>0</v>
      </c>
      <c r="M393" s="10">
        <v>1274</v>
      </c>
      <c r="N393" s="10">
        <v>0</v>
      </c>
      <c r="O393" s="10">
        <f>Table1[[#This Row],[NET Amount]]-Table1[[#This Row],[Paid Amount]]</f>
        <v>1274</v>
      </c>
      <c r="P393" s="2" t="s">
        <v>23</v>
      </c>
      <c r="Q393" s="2" t="s">
        <v>54</v>
      </c>
      <c r="R393" s="16">
        <f>(Table1[[#This Row],[NET Amount]]-Table1[[#This Row],[Total Outstanding Amount]])/Table1[[#This Row],[NET Amount]]</f>
        <v>0</v>
      </c>
      <c r="S393" s="2" t="s">
        <v>97</v>
      </c>
    </row>
    <row r="394" spans="1:19" x14ac:dyDescent="0.3">
      <c r="A394" s="4">
        <v>392</v>
      </c>
      <c r="B394" s="2" t="s">
        <v>2253</v>
      </c>
      <c r="C394" s="3">
        <v>44839</v>
      </c>
      <c r="D394" s="3" t="str">
        <f>TEXT(Table1[[#This Row],[Admission Date]],"MMMM")</f>
        <v>October</v>
      </c>
      <c r="E394" s="3">
        <v>44839</v>
      </c>
      <c r="F394" s="3">
        <v>44839</v>
      </c>
      <c r="G394" s="2">
        <v>22025653</v>
      </c>
      <c r="H394" s="2">
        <v>2234699</v>
      </c>
      <c r="I394" s="2">
        <v>1001722362</v>
      </c>
      <c r="J394" s="2" t="s">
        <v>418</v>
      </c>
      <c r="K394" s="10">
        <v>1610</v>
      </c>
      <c r="L394" s="10">
        <v>0</v>
      </c>
      <c r="M394" s="10">
        <v>1610</v>
      </c>
      <c r="N394" s="10">
        <v>0</v>
      </c>
      <c r="O394" s="10">
        <f>Table1[[#This Row],[NET Amount]]-Table1[[#This Row],[Paid Amount]]</f>
        <v>1610</v>
      </c>
      <c r="P394" s="2" t="s">
        <v>23</v>
      </c>
      <c r="Q394" s="2" t="s">
        <v>54</v>
      </c>
      <c r="R394" s="16">
        <f>(Table1[[#This Row],[NET Amount]]-Table1[[#This Row],[Total Outstanding Amount]])/Table1[[#This Row],[NET Amount]]</f>
        <v>0</v>
      </c>
      <c r="S394" s="2" t="s">
        <v>97</v>
      </c>
    </row>
    <row r="395" spans="1:19" x14ac:dyDescent="0.3">
      <c r="A395" s="4">
        <v>393</v>
      </c>
      <c r="B395" s="2" t="s">
        <v>282</v>
      </c>
      <c r="C395" s="3">
        <v>44850</v>
      </c>
      <c r="D395" s="3" t="str">
        <f>TEXT(Table1[[#This Row],[Admission Date]],"MMMM")</f>
        <v>October</v>
      </c>
      <c r="E395" s="3">
        <v>44852</v>
      </c>
      <c r="F395" s="3">
        <v>44852</v>
      </c>
      <c r="G395" s="2">
        <v>22027562</v>
      </c>
      <c r="H395" s="2">
        <v>2236234</v>
      </c>
      <c r="I395" s="2">
        <v>1001160739</v>
      </c>
      <c r="J395" s="2" t="s">
        <v>434</v>
      </c>
      <c r="K395" s="10">
        <v>57808</v>
      </c>
      <c r="L395" s="10">
        <v>27808</v>
      </c>
      <c r="M395" s="10">
        <v>30000</v>
      </c>
      <c r="N395" s="10">
        <v>0</v>
      </c>
      <c r="O395" s="10">
        <f>Table1[[#This Row],[NET Amount]]-Table1[[#This Row],[Paid Amount]]</f>
        <v>30000</v>
      </c>
      <c r="P395" s="2" t="s">
        <v>23</v>
      </c>
      <c r="Q395" s="2" t="s">
        <v>24</v>
      </c>
      <c r="R395" s="16">
        <f>(Table1[[#This Row],[NET Amount]]-Table1[[#This Row],[Total Outstanding Amount]])/Table1[[#This Row],[NET Amount]]</f>
        <v>0</v>
      </c>
      <c r="S395" s="2" t="s">
        <v>55</v>
      </c>
    </row>
    <row r="396" spans="1:19" x14ac:dyDescent="0.3">
      <c r="A396" s="4">
        <v>394</v>
      </c>
      <c r="B396" s="2" t="s">
        <v>2263</v>
      </c>
      <c r="C396" s="3">
        <v>44837</v>
      </c>
      <c r="D396" s="3" t="str">
        <f>TEXT(Table1[[#This Row],[Admission Date]],"MMMM")</f>
        <v>October</v>
      </c>
      <c r="E396" s="3">
        <v>44837</v>
      </c>
      <c r="F396" s="3">
        <v>44837</v>
      </c>
      <c r="G396" s="2">
        <v>22025339</v>
      </c>
      <c r="H396" s="2">
        <v>2234365</v>
      </c>
      <c r="I396" s="2">
        <v>1001367923</v>
      </c>
      <c r="J396" s="2" t="s">
        <v>391</v>
      </c>
      <c r="K396" s="10">
        <v>1274</v>
      </c>
      <c r="L396" s="10">
        <v>0</v>
      </c>
      <c r="M396" s="10">
        <v>1274</v>
      </c>
      <c r="N396" s="10">
        <v>0</v>
      </c>
      <c r="O396" s="10">
        <f>Table1[[#This Row],[NET Amount]]-Table1[[#This Row],[Paid Amount]]</f>
        <v>1274</v>
      </c>
      <c r="P396" s="2" t="s">
        <v>23</v>
      </c>
      <c r="Q396" s="2" t="s">
        <v>54</v>
      </c>
      <c r="R396" s="16">
        <f>(Table1[[#This Row],[NET Amount]]-Table1[[#This Row],[Total Outstanding Amount]])/Table1[[#This Row],[NET Amount]]</f>
        <v>0</v>
      </c>
      <c r="S396" s="2" t="s">
        <v>97</v>
      </c>
    </row>
    <row r="397" spans="1:19" x14ac:dyDescent="0.3">
      <c r="A397" s="4">
        <v>395</v>
      </c>
      <c r="B397" s="2" t="s">
        <v>380</v>
      </c>
      <c r="C397" s="3">
        <v>44856</v>
      </c>
      <c r="D397" s="3" t="str">
        <f>TEXT(Table1[[#This Row],[Admission Date]],"MMMM")</f>
        <v>October</v>
      </c>
      <c r="E397" s="3">
        <v>44856</v>
      </c>
      <c r="F397" s="3">
        <v>44856</v>
      </c>
      <c r="G397" s="2">
        <v>22028296</v>
      </c>
      <c r="H397" s="2">
        <v>2237094</v>
      </c>
      <c r="I397" s="2">
        <v>10013453025</v>
      </c>
      <c r="J397" s="2" t="s">
        <v>435</v>
      </c>
      <c r="K397" s="10">
        <v>1274</v>
      </c>
      <c r="L397" s="10">
        <v>0</v>
      </c>
      <c r="M397" s="10">
        <v>1274</v>
      </c>
      <c r="N397" s="10">
        <v>0</v>
      </c>
      <c r="O397" s="10">
        <f>Table1[[#This Row],[NET Amount]]-Table1[[#This Row],[Paid Amount]]</f>
        <v>1274</v>
      </c>
      <c r="P397" s="2" t="s">
        <v>23</v>
      </c>
      <c r="Q397" s="2" t="s">
        <v>54</v>
      </c>
      <c r="R397" s="16">
        <f>(Table1[[#This Row],[NET Amount]]-Table1[[#This Row],[Total Outstanding Amount]])/Table1[[#This Row],[NET Amount]]</f>
        <v>0</v>
      </c>
      <c r="S397" s="2" t="s">
        <v>97</v>
      </c>
    </row>
    <row r="398" spans="1:19" x14ac:dyDescent="0.3">
      <c r="A398" s="4">
        <v>396</v>
      </c>
      <c r="B398" s="2" t="s">
        <v>380</v>
      </c>
      <c r="C398" s="3">
        <v>44855</v>
      </c>
      <c r="D398" s="3" t="str">
        <f>TEXT(Table1[[#This Row],[Admission Date]],"MMMM")</f>
        <v>October</v>
      </c>
      <c r="E398" s="3">
        <v>44855</v>
      </c>
      <c r="F398" s="3">
        <v>44855</v>
      </c>
      <c r="G398" s="2">
        <v>22028074</v>
      </c>
      <c r="H398" s="2">
        <v>2236916</v>
      </c>
      <c r="I398" s="2">
        <v>1001082290</v>
      </c>
      <c r="J398" s="2" t="s">
        <v>436</v>
      </c>
      <c r="K398" s="10">
        <v>1274</v>
      </c>
      <c r="L398" s="10">
        <v>0</v>
      </c>
      <c r="M398" s="10">
        <v>1274</v>
      </c>
      <c r="N398" s="10">
        <v>0</v>
      </c>
      <c r="O398" s="10">
        <f>Table1[[#This Row],[NET Amount]]-Table1[[#This Row],[Paid Amount]]</f>
        <v>1274</v>
      </c>
      <c r="P398" s="2" t="s">
        <v>23</v>
      </c>
      <c r="Q398" s="2" t="s">
        <v>54</v>
      </c>
      <c r="R398" s="16">
        <f>(Table1[[#This Row],[NET Amount]]-Table1[[#This Row],[Total Outstanding Amount]])/Table1[[#This Row],[NET Amount]]</f>
        <v>0</v>
      </c>
      <c r="S398" s="2" t="s">
        <v>97</v>
      </c>
    </row>
    <row r="399" spans="1:19" x14ac:dyDescent="0.3">
      <c r="A399" s="4">
        <v>397</v>
      </c>
      <c r="B399" s="2" t="s">
        <v>380</v>
      </c>
      <c r="C399" s="3">
        <v>44852</v>
      </c>
      <c r="D399" s="3" t="str">
        <f>TEXT(Table1[[#This Row],[Admission Date]],"MMMM")</f>
        <v>October</v>
      </c>
      <c r="E399" s="3">
        <v>44852</v>
      </c>
      <c r="F399" s="3">
        <v>44852</v>
      </c>
      <c r="G399" s="2">
        <v>22027623</v>
      </c>
      <c r="H399" s="2">
        <v>2236537</v>
      </c>
      <c r="I399" s="2">
        <v>1000933464</v>
      </c>
      <c r="J399" s="2" t="s">
        <v>437</v>
      </c>
      <c r="K399" s="10">
        <v>1274</v>
      </c>
      <c r="L399" s="10">
        <v>0</v>
      </c>
      <c r="M399" s="10">
        <v>1274</v>
      </c>
      <c r="N399" s="10">
        <v>0</v>
      </c>
      <c r="O399" s="10">
        <f>Table1[[#This Row],[NET Amount]]-Table1[[#This Row],[Paid Amount]]</f>
        <v>1274</v>
      </c>
      <c r="P399" s="2" t="s">
        <v>23</v>
      </c>
      <c r="Q399" s="2" t="s">
        <v>54</v>
      </c>
      <c r="R399" s="16">
        <f>(Table1[[#This Row],[NET Amount]]-Table1[[#This Row],[Total Outstanding Amount]])/Table1[[#This Row],[NET Amount]]</f>
        <v>0</v>
      </c>
      <c r="S399" s="2" t="s">
        <v>97</v>
      </c>
    </row>
    <row r="400" spans="1:19" x14ac:dyDescent="0.3">
      <c r="A400" s="4">
        <v>398</v>
      </c>
      <c r="B400" s="2" t="s">
        <v>282</v>
      </c>
      <c r="C400" s="3">
        <v>44858</v>
      </c>
      <c r="D400" s="3" t="str">
        <f>TEXT(Table1[[#This Row],[Admission Date]],"MMMM")</f>
        <v>October</v>
      </c>
      <c r="E400" s="3">
        <v>44860</v>
      </c>
      <c r="F400" s="3">
        <v>44860</v>
      </c>
      <c r="G400" s="2">
        <v>22028600</v>
      </c>
      <c r="H400" s="2">
        <v>2237224</v>
      </c>
      <c r="I400" s="2">
        <v>10013527371</v>
      </c>
      <c r="J400" s="2" t="s">
        <v>438</v>
      </c>
      <c r="K400" s="10">
        <v>57569</v>
      </c>
      <c r="L400" s="10">
        <v>27569</v>
      </c>
      <c r="M400" s="10">
        <v>30000</v>
      </c>
      <c r="N400" s="10">
        <v>0</v>
      </c>
      <c r="O400" s="10">
        <f>Table1[[#This Row],[NET Amount]]-Table1[[#This Row],[Paid Amount]]</f>
        <v>30000</v>
      </c>
      <c r="P400" s="2" t="s">
        <v>23</v>
      </c>
      <c r="Q400" s="2" t="s">
        <v>24</v>
      </c>
      <c r="R400" s="16">
        <f>(Table1[[#This Row],[NET Amount]]-Table1[[#This Row],[Total Outstanding Amount]])/Table1[[#This Row],[NET Amount]]</f>
        <v>0</v>
      </c>
      <c r="S400" s="2" t="s">
        <v>55</v>
      </c>
    </row>
    <row r="401" spans="1:19" x14ac:dyDescent="0.3">
      <c r="A401" s="4">
        <v>399</v>
      </c>
      <c r="B401" s="2" t="s">
        <v>2253</v>
      </c>
      <c r="C401" s="3">
        <v>44846</v>
      </c>
      <c r="D401" s="3" t="str">
        <f>TEXT(Table1[[#This Row],[Admission Date]],"MMMM")</f>
        <v>October</v>
      </c>
      <c r="E401" s="3">
        <v>44846</v>
      </c>
      <c r="F401" s="3">
        <v>44846</v>
      </c>
      <c r="G401" s="2">
        <v>22026763</v>
      </c>
      <c r="H401" s="2">
        <v>2235713</v>
      </c>
      <c r="I401" s="2">
        <v>1001692673</v>
      </c>
      <c r="J401" s="2" t="s">
        <v>383</v>
      </c>
      <c r="K401" s="10">
        <v>1610</v>
      </c>
      <c r="L401" s="10">
        <v>0</v>
      </c>
      <c r="M401" s="10">
        <v>1610</v>
      </c>
      <c r="N401" s="10">
        <v>0</v>
      </c>
      <c r="O401" s="10">
        <f>Table1[[#This Row],[NET Amount]]-Table1[[#This Row],[Paid Amount]]</f>
        <v>1610</v>
      </c>
      <c r="P401" s="2" t="s">
        <v>23</v>
      </c>
      <c r="Q401" s="2" t="s">
        <v>54</v>
      </c>
      <c r="R401" s="16">
        <f>(Table1[[#This Row],[NET Amount]]-Table1[[#This Row],[Total Outstanding Amount]])/Table1[[#This Row],[NET Amount]]</f>
        <v>0</v>
      </c>
      <c r="S401" s="2" t="s">
        <v>97</v>
      </c>
    </row>
    <row r="402" spans="1:19" x14ac:dyDescent="0.3">
      <c r="A402" s="4">
        <v>400</v>
      </c>
      <c r="B402" s="2" t="s">
        <v>380</v>
      </c>
      <c r="C402" s="3">
        <v>44854</v>
      </c>
      <c r="D402" s="3" t="str">
        <f>TEXT(Table1[[#This Row],[Admission Date]],"MMMM")</f>
        <v>October</v>
      </c>
      <c r="E402" s="3">
        <v>44854</v>
      </c>
      <c r="F402" s="3">
        <v>44854</v>
      </c>
      <c r="G402" s="2">
        <v>22027954</v>
      </c>
      <c r="H402" s="2">
        <v>2236842</v>
      </c>
      <c r="I402" s="2">
        <v>10013521877</v>
      </c>
      <c r="J402" s="2" t="s">
        <v>422</v>
      </c>
      <c r="K402" s="10">
        <v>1274</v>
      </c>
      <c r="L402" s="10">
        <v>0</v>
      </c>
      <c r="M402" s="10">
        <v>1274</v>
      </c>
      <c r="N402" s="10">
        <v>0</v>
      </c>
      <c r="O402" s="10">
        <f>Table1[[#This Row],[NET Amount]]-Table1[[#This Row],[Paid Amount]]</f>
        <v>1274</v>
      </c>
      <c r="P402" s="2" t="s">
        <v>23</v>
      </c>
      <c r="Q402" s="2" t="s">
        <v>54</v>
      </c>
      <c r="R402" s="16">
        <f>(Table1[[#This Row],[NET Amount]]-Table1[[#This Row],[Total Outstanding Amount]])/Table1[[#This Row],[NET Amount]]</f>
        <v>0</v>
      </c>
      <c r="S402" s="2" t="s">
        <v>97</v>
      </c>
    </row>
    <row r="403" spans="1:19" x14ac:dyDescent="0.3">
      <c r="A403" s="4">
        <v>401</v>
      </c>
      <c r="B403" s="2" t="s">
        <v>2253</v>
      </c>
      <c r="C403" s="3">
        <v>44846</v>
      </c>
      <c r="D403" s="3" t="str">
        <f>TEXT(Table1[[#This Row],[Admission Date]],"MMMM")</f>
        <v>October</v>
      </c>
      <c r="E403" s="3">
        <v>44846</v>
      </c>
      <c r="F403" s="3">
        <v>44846</v>
      </c>
      <c r="G403" s="2">
        <v>22026662</v>
      </c>
      <c r="H403" s="2">
        <v>2235647</v>
      </c>
      <c r="I403" s="2">
        <v>1001803044</v>
      </c>
      <c r="J403" s="2" t="s">
        <v>426</v>
      </c>
      <c r="K403" s="10">
        <v>1610</v>
      </c>
      <c r="L403" s="10">
        <v>0</v>
      </c>
      <c r="M403" s="10">
        <v>1610</v>
      </c>
      <c r="N403" s="10">
        <v>0</v>
      </c>
      <c r="O403" s="10">
        <f>Table1[[#This Row],[NET Amount]]-Table1[[#This Row],[Paid Amount]]</f>
        <v>1610</v>
      </c>
      <c r="P403" s="2" t="s">
        <v>23</v>
      </c>
      <c r="Q403" s="2" t="s">
        <v>54</v>
      </c>
      <c r="R403" s="16">
        <f>(Table1[[#This Row],[NET Amount]]-Table1[[#This Row],[Total Outstanding Amount]])/Table1[[#This Row],[NET Amount]]</f>
        <v>0</v>
      </c>
      <c r="S403" s="2" t="s">
        <v>97</v>
      </c>
    </row>
    <row r="404" spans="1:19" x14ac:dyDescent="0.3">
      <c r="A404" s="4">
        <v>402</v>
      </c>
      <c r="B404" s="2" t="s">
        <v>380</v>
      </c>
      <c r="C404" s="3">
        <v>44851</v>
      </c>
      <c r="D404" s="3" t="str">
        <f>TEXT(Table1[[#This Row],[Admission Date]],"MMMM")</f>
        <v>October</v>
      </c>
      <c r="E404" s="3">
        <v>44851</v>
      </c>
      <c r="F404" s="3">
        <v>44851</v>
      </c>
      <c r="G404" s="2">
        <v>22027493</v>
      </c>
      <c r="H404" s="2">
        <v>2236392</v>
      </c>
      <c r="I404" s="2">
        <v>1000961855</v>
      </c>
      <c r="J404" s="2" t="s">
        <v>439</v>
      </c>
      <c r="K404" s="10">
        <v>1274</v>
      </c>
      <c r="L404" s="10">
        <v>0</v>
      </c>
      <c r="M404" s="10">
        <v>1274</v>
      </c>
      <c r="N404" s="10">
        <v>0</v>
      </c>
      <c r="O404" s="10">
        <f>Table1[[#This Row],[NET Amount]]-Table1[[#This Row],[Paid Amount]]</f>
        <v>1274</v>
      </c>
      <c r="P404" s="2" t="s">
        <v>23</v>
      </c>
      <c r="Q404" s="2" t="s">
        <v>54</v>
      </c>
      <c r="R404" s="16">
        <f>(Table1[[#This Row],[NET Amount]]-Table1[[#This Row],[Total Outstanding Amount]])/Table1[[#This Row],[NET Amount]]</f>
        <v>0</v>
      </c>
      <c r="S404" s="2" t="s">
        <v>97</v>
      </c>
    </row>
    <row r="405" spans="1:19" x14ac:dyDescent="0.3">
      <c r="A405" s="4">
        <v>403</v>
      </c>
      <c r="B405" s="2" t="s">
        <v>2253</v>
      </c>
      <c r="C405" s="3">
        <v>44860</v>
      </c>
      <c r="D405" s="3" t="str">
        <f>TEXT(Table1[[#This Row],[Admission Date]],"MMMM")</f>
        <v>October</v>
      </c>
      <c r="E405" s="3">
        <v>44860</v>
      </c>
      <c r="F405" s="3">
        <v>44860</v>
      </c>
      <c r="G405" s="2">
        <v>22028583</v>
      </c>
      <c r="H405" s="2">
        <v>2237444</v>
      </c>
      <c r="I405" s="2">
        <v>1001722362</v>
      </c>
      <c r="J405" s="2" t="s">
        <v>418</v>
      </c>
      <c r="K405" s="10">
        <v>1610</v>
      </c>
      <c r="L405" s="10">
        <v>0</v>
      </c>
      <c r="M405" s="10">
        <v>1610</v>
      </c>
      <c r="N405" s="10">
        <v>0</v>
      </c>
      <c r="O405" s="10">
        <f>Table1[[#This Row],[NET Amount]]-Table1[[#This Row],[Paid Amount]]</f>
        <v>1610</v>
      </c>
      <c r="P405" s="2" t="s">
        <v>23</v>
      </c>
      <c r="Q405" s="2" t="s">
        <v>54</v>
      </c>
      <c r="R405" s="16">
        <f>(Table1[[#This Row],[NET Amount]]-Table1[[#This Row],[Total Outstanding Amount]])/Table1[[#This Row],[NET Amount]]</f>
        <v>0</v>
      </c>
      <c r="S405" s="2" t="s">
        <v>97</v>
      </c>
    </row>
    <row r="406" spans="1:19" x14ac:dyDescent="0.3">
      <c r="A406" s="4">
        <v>404</v>
      </c>
      <c r="B406" s="2" t="s">
        <v>2253</v>
      </c>
      <c r="C406" s="3">
        <v>44845</v>
      </c>
      <c r="D406" s="3" t="str">
        <f>TEXT(Table1[[#This Row],[Admission Date]],"MMMM")</f>
        <v>October</v>
      </c>
      <c r="E406" s="3">
        <v>44845</v>
      </c>
      <c r="F406" s="3">
        <v>44845</v>
      </c>
      <c r="G406" s="2">
        <v>22026494</v>
      </c>
      <c r="H406" s="2">
        <v>2235506</v>
      </c>
      <c r="I406" s="2">
        <v>10013503569</v>
      </c>
      <c r="J406" s="2" t="s">
        <v>440</v>
      </c>
      <c r="K406" s="10">
        <v>1610</v>
      </c>
      <c r="L406" s="10">
        <v>0</v>
      </c>
      <c r="M406" s="10">
        <v>1610</v>
      </c>
      <c r="N406" s="10">
        <v>0</v>
      </c>
      <c r="O406" s="10">
        <f>Table1[[#This Row],[NET Amount]]-Table1[[#This Row],[Paid Amount]]</f>
        <v>1610</v>
      </c>
      <c r="P406" s="2" t="s">
        <v>23</v>
      </c>
      <c r="Q406" s="2" t="s">
        <v>54</v>
      </c>
      <c r="R406" s="16">
        <f>(Table1[[#This Row],[NET Amount]]-Table1[[#This Row],[Total Outstanding Amount]])/Table1[[#This Row],[NET Amount]]</f>
        <v>0</v>
      </c>
      <c r="S406" s="2" t="s">
        <v>97</v>
      </c>
    </row>
    <row r="407" spans="1:19" x14ac:dyDescent="0.3">
      <c r="A407" s="4">
        <v>405</v>
      </c>
      <c r="B407" s="2" t="s">
        <v>380</v>
      </c>
      <c r="C407" s="3">
        <v>44851</v>
      </c>
      <c r="D407" s="3" t="str">
        <f>TEXT(Table1[[#This Row],[Admission Date]],"MMMM")</f>
        <v>October</v>
      </c>
      <c r="E407" s="3">
        <v>44851</v>
      </c>
      <c r="F407" s="3">
        <v>44851</v>
      </c>
      <c r="G407" s="2">
        <v>22027512</v>
      </c>
      <c r="H407" s="2">
        <v>2236418</v>
      </c>
      <c r="I407" s="2">
        <v>10013437822</v>
      </c>
      <c r="J407" s="2" t="s">
        <v>441</v>
      </c>
      <c r="K407" s="10">
        <v>1274</v>
      </c>
      <c r="L407" s="10">
        <v>0</v>
      </c>
      <c r="M407" s="10">
        <v>1274</v>
      </c>
      <c r="N407" s="10">
        <v>0</v>
      </c>
      <c r="O407" s="10">
        <f>Table1[[#This Row],[NET Amount]]-Table1[[#This Row],[Paid Amount]]</f>
        <v>1274</v>
      </c>
      <c r="P407" s="2" t="s">
        <v>23</v>
      </c>
      <c r="Q407" s="2" t="s">
        <v>54</v>
      </c>
      <c r="R407" s="16">
        <f>(Table1[[#This Row],[NET Amount]]-Table1[[#This Row],[Total Outstanding Amount]])/Table1[[#This Row],[NET Amount]]</f>
        <v>0</v>
      </c>
      <c r="S407" s="2" t="s">
        <v>97</v>
      </c>
    </row>
    <row r="408" spans="1:19" x14ac:dyDescent="0.3">
      <c r="A408" s="4">
        <v>406</v>
      </c>
      <c r="B408" s="2" t="s">
        <v>2263</v>
      </c>
      <c r="C408" s="3">
        <v>44863</v>
      </c>
      <c r="D408" s="3" t="str">
        <f>TEXT(Table1[[#This Row],[Admission Date]],"MMMM")</f>
        <v>October</v>
      </c>
      <c r="E408" s="3">
        <v>44863</v>
      </c>
      <c r="F408" s="3">
        <v>44863</v>
      </c>
      <c r="G408" s="2">
        <v>22029010</v>
      </c>
      <c r="H408" s="2">
        <v>2237924</v>
      </c>
      <c r="I408" s="2">
        <v>1001680001</v>
      </c>
      <c r="J408" s="2" t="s">
        <v>394</v>
      </c>
      <c r="K408" s="10">
        <v>1274</v>
      </c>
      <c r="L408" s="10">
        <v>0</v>
      </c>
      <c r="M408" s="10">
        <v>1274</v>
      </c>
      <c r="N408" s="10">
        <v>0</v>
      </c>
      <c r="O408" s="10">
        <f>Table1[[#This Row],[NET Amount]]-Table1[[#This Row],[Paid Amount]]</f>
        <v>1274</v>
      </c>
      <c r="P408" s="2" t="s">
        <v>23</v>
      </c>
      <c r="Q408" s="2" t="s">
        <v>54</v>
      </c>
      <c r="R408" s="16">
        <f>(Table1[[#This Row],[NET Amount]]-Table1[[#This Row],[Total Outstanding Amount]])/Table1[[#This Row],[NET Amount]]</f>
        <v>0</v>
      </c>
      <c r="S408" s="2" t="s">
        <v>97</v>
      </c>
    </row>
    <row r="409" spans="1:19" x14ac:dyDescent="0.3">
      <c r="A409" s="4">
        <v>407</v>
      </c>
      <c r="B409" s="2" t="s">
        <v>2253</v>
      </c>
      <c r="C409" s="3">
        <v>44844</v>
      </c>
      <c r="D409" s="3" t="str">
        <f>TEXT(Table1[[#This Row],[Admission Date]],"MMMM")</f>
        <v>October</v>
      </c>
      <c r="E409" s="3">
        <v>44844</v>
      </c>
      <c r="F409" s="3">
        <v>44844</v>
      </c>
      <c r="G409" s="2">
        <v>22026434</v>
      </c>
      <c r="H409" s="2">
        <v>2235401</v>
      </c>
      <c r="I409" s="2">
        <v>1001736024</v>
      </c>
      <c r="J409" s="2" t="s">
        <v>442</v>
      </c>
      <c r="K409" s="10">
        <v>1610</v>
      </c>
      <c r="L409" s="10">
        <v>0</v>
      </c>
      <c r="M409" s="10">
        <v>1610</v>
      </c>
      <c r="N409" s="10">
        <v>0</v>
      </c>
      <c r="O409" s="10">
        <f>Table1[[#This Row],[NET Amount]]-Table1[[#This Row],[Paid Amount]]</f>
        <v>1610</v>
      </c>
      <c r="P409" s="2" t="s">
        <v>23</v>
      </c>
      <c r="Q409" s="2" t="s">
        <v>54</v>
      </c>
      <c r="R409" s="16">
        <f>(Table1[[#This Row],[NET Amount]]-Table1[[#This Row],[Total Outstanding Amount]])/Table1[[#This Row],[NET Amount]]</f>
        <v>0</v>
      </c>
      <c r="S409" s="2" t="s">
        <v>97</v>
      </c>
    </row>
    <row r="410" spans="1:19" x14ac:dyDescent="0.3">
      <c r="A410" s="4">
        <v>408</v>
      </c>
      <c r="B410" s="2" t="s">
        <v>380</v>
      </c>
      <c r="C410" s="3">
        <v>44841</v>
      </c>
      <c r="D410" s="3" t="str">
        <f>TEXT(Table1[[#This Row],[Admission Date]],"MMMM")</f>
        <v>October</v>
      </c>
      <c r="E410" s="3">
        <v>44841</v>
      </c>
      <c r="F410" s="3">
        <v>44841</v>
      </c>
      <c r="G410" s="2">
        <v>22025998</v>
      </c>
      <c r="H410" s="2">
        <v>2235027</v>
      </c>
      <c r="I410" s="2">
        <v>1001397167</v>
      </c>
      <c r="J410" s="2" t="s">
        <v>443</v>
      </c>
      <c r="K410" s="10">
        <v>1274</v>
      </c>
      <c r="L410" s="10">
        <v>0</v>
      </c>
      <c r="M410" s="10">
        <v>1274</v>
      </c>
      <c r="N410" s="10">
        <v>0</v>
      </c>
      <c r="O410" s="10">
        <f>Table1[[#This Row],[NET Amount]]-Table1[[#This Row],[Paid Amount]]</f>
        <v>1274</v>
      </c>
      <c r="P410" s="2" t="s">
        <v>23</v>
      </c>
      <c r="Q410" s="2" t="s">
        <v>54</v>
      </c>
      <c r="R410" s="16">
        <f>(Table1[[#This Row],[NET Amount]]-Table1[[#This Row],[Total Outstanding Amount]])/Table1[[#This Row],[NET Amount]]</f>
        <v>0</v>
      </c>
      <c r="S410" s="2" t="s">
        <v>97</v>
      </c>
    </row>
    <row r="411" spans="1:19" x14ac:dyDescent="0.3">
      <c r="A411" s="4">
        <v>409</v>
      </c>
      <c r="B411" s="2" t="s">
        <v>75</v>
      </c>
      <c r="C411" s="3">
        <v>44859</v>
      </c>
      <c r="D411" s="3" t="str">
        <f>TEXT(Table1[[#This Row],[Admission Date]],"MMMM")</f>
        <v>October</v>
      </c>
      <c r="E411" s="3">
        <v>44859</v>
      </c>
      <c r="F411" s="3">
        <v>44859</v>
      </c>
      <c r="G411" s="2">
        <v>22028470</v>
      </c>
      <c r="H411" s="2">
        <v>2237270</v>
      </c>
      <c r="I411" s="2">
        <v>10013480632</v>
      </c>
      <c r="J411" s="2" t="s">
        <v>210</v>
      </c>
      <c r="K411" s="10">
        <v>1610</v>
      </c>
      <c r="L411" s="10">
        <v>0</v>
      </c>
      <c r="M411" s="10">
        <v>1610</v>
      </c>
      <c r="N411" s="10">
        <v>0</v>
      </c>
      <c r="O411" s="10">
        <f>Table1[[#This Row],[NET Amount]]-Table1[[#This Row],[Paid Amount]]</f>
        <v>1610</v>
      </c>
      <c r="P411" s="2" t="s">
        <v>23</v>
      </c>
      <c r="Q411" s="2" t="s">
        <v>54</v>
      </c>
      <c r="R411" s="16">
        <f>(Table1[[#This Row],[NET Amount]]-Table1[[#This Row],[Total Outstanding Amount]])/Table1[[#This Row],[NET Amount]]</f>
        <v>0</v>
      </c>
      <c r="S411" s="2" t="s">
        <v>97</v>
      </c>
    </row>
    <row r="412" spans="1:19" x14ac:dyDescent="0.3">
      <c r="A412" s="4">
        <v>410</v>
      </c>
      <c r="B412" s="2" t="s">
        <v>380</v>
      </c>
      <c r="C412" s="3">
        <v>44855</v>
      </c>
      <c r="D412" s="3" t="str">
        <f>TEXT(Table1[[#This Row],[Admission Date]],"MMMM")</f>
        <v>October</v>
      </c>
      <c r="E412" s="3">
        <v>44855</v>
      </c>
      <c r="F412" s="3">
        <v>44855</v>
      </c>
      <c r="G412" s="2">
        <v>22028100</v>
      </c>
      <c r="H412" s="2">
        <v>2236943</v>
      </c>
      <c r="I412" s="2">
        <v>1001039513</v>
      </c>
      <c r="J412" s="2" t="s">
        <v>444</v>
      </c>
      <c r="K412" s="10">
        <v>1274</v>
      </c>
      <c r="L412" s="10">
        <v>0</v>
      </c>
      <c r="M412" s="10">
        <v>1274</v>
      </c>
      <c r="N412" s="10">
        <v>0</v>
      </c>
      <c r="O412" s="10">
        <f>Table1[[#This Row],[NET Amount]]-Table1[[#This Row],[Paid Amount]]</f>
        <v>1274</v>
      </c>
      <c r="P412" s="2" t="s">
        <v>23</v>
      </c>
      <c r="Q412" s="2" t="s">
        <v>54</v>
      </c>
      <c r="R412" s="16">
        <f>(Table1[[#This Row],[NET Amount]]-Table1[[#This Row],[Total Outstanding Amount]])/Table1[[#This Row],[NET Amount]]</f>
        <v>0</v>
      </c>
      <c r="S412" s="2" t="s">
        <v>97</v>
      </c>
    </row>
    <row r="413" spans="1:19" x14ac:dyDescent="0.3">
      <c r="A413" s="4">
        <v>411</v>
      </c>
      <c r="B413" s="2" t="s">
        <v>2264</v>
      </c>
      <c r="C413" s="3">
        <v>44846</v>
      </c>
      <c r="D413" s="3" t="str">
        <f>TEXT(Table1[[#This Row],[Admission Date]],"MMMM")</f>
        <v>October</v>
      </c>
      <c r="E413" s="3">
        <v>44846</v>
      </c>
      <c r="F413" s="3">
        <v>44846</v>
      </c>
      <c r="G413" s="2">
        <v>22026796</v>
      </c>
      <c r="H413" s="2">
        <v>2235752</v>
      </c>
      <c r="I413" s="2">
        <v>1001445916</v>
      </c>
      <c r="J413" s="2" t="s">
        <v>445</v>
      </c>
      <c r="K413" s="10">
        <v>2000</v>
      </c>
      <c r="L413" s="10">
        <v>0</v>
      </c>
      <c r="M413" s="10">
        <v>2000</v>
      </c>
      <c r="N413" s="10">
        <v>0</v>
      </c>
      <c r="O413" s="10">
        <f>Table1[[#This Row],[NET Amount]]-Table1[[#This Row],[Paid Amount]]</f>
        <v>2000</v>
      </c>
      <c r="P413" s="2" t="s">
        <v>23</v>
      </c>
      <c r="Q413" s="2" t="s">
        <v>54</v>
      </c>
      <c r="R413" s="16">
        <f>(Table1[[#This Row],[NET Amount]]-Table1[[#This Row],[Total Outstanding Amount]])/Table1[[#This Row],[NET Amount]]</f>
        <v>0</v>
      </c>
      <c r="S413" s="2" t="s">
        <v>97</v>
      </c>
    </row>
    <row r="414" spans="1:19" x14ac:dyDescent="0.3">
      <c r="A414" s="4">
        <v>412</v>
      </c>
      <c r="B414" s="2" t="s">
        <v>2263</v>
      </c>
      <c r="C414" s="3">
        <v>44848</v>
      </c>
      <c r="D414" s="3" t="str">
        <f>TEXT(Table1[[#This Row],[Admission Date]],"MMMM")</f>
        <v>October</v>
      </c>
      <c r="E414" s="3">
        <v>44848</v>
      </c>
      <c r="F414" s="3">
        <v>44848</v>
      </c>
      <c r="G414" s="2">
        <v>22027083</v>
      </c>
      <c r="H414" s="2">
        <v>2236008</v>
      </c>
      <c r="I414" s="2">
        <v>1001684202</v>
      </c>
      <c r="J414" s="2" t="s">
        <v>446</v>
      </c>
      <c r="K414" s="10">
        <v>1274</v>
      </c>
      <c r="L414" s="10">
        <v>0</v>
      </c>
      <c r="M414" s="10">
        <v>1274</v>
      </c>
      <c r="N414" s="10">
        <v>0</v>
      </c>
      <c r="O414" s="10">
        <f>Table1[[#This Row],[NET Amount]]-Table1[[#This Row],[Paid Amount]]</f>
        <v>1274</v>
      </c>
      <c r="P414" s="2" t="s">
        <v>23</v>
      </c>
      <c r="Q414" s="2" t="s">
        <v>54</v>
      </c>
      <c r="R414" s="16">
        <f>(Table1[[#This Row],[NET Amount]]-Table1[[#This Row],[Total Outstanding Amount]])/Table1[[#This Row],[NET Amount]]</f>
        <v>0</v>
      </c>
      <c r="S414" s="2" t="s">
        <v>97</v>
      </c>
    </row>
    <row r="415" spans="1:19" x14ac:dyDescent="0.3">
      <c r="A415" s="4">
        <v>413</v>
      </c>
      <c r="B415" s="2" t="s">
        <v>407</v>
      </c>
      <c r="C415" s="3">
        <v>44851</v>
      </c>
      <c r="D415" s="3" t="str">
        <f>TEXT(Table1[[#This Row],[Admission Date]],"MMMM")</f>
        <v>October</v>
      </c>
      <c r="E415" s="3">
        <v>44857</v>
      </c>
      <c r="F415" s="3">
        <v>44857</v>
      </c>
      <c r="G415" s="2">
        <v>22028391</v>
      </c>
      <c r="H415" s="2">
        <v>2236367</v>
      </c>
      <c r="I415" s="2">
        <v>10013543433</v>
      </c>
      <c r="J415" s="2" t="s">
        <v>447</v>
      </c>
      <c r="K415" s="10">
        <v>144478</v>
      </c>
      <c r="L415" s="10">
        <v>0</v>
      </c>
      <c r="M415" s="10">
        <v>144478</v>
      </c>
      <c r="N415" s="10">
        <v>0</v>
      </c>
      <c r="O415" s="10">
        <f>Table1[[#This Row],[NET Amount]]-Table1[[#This Row],[Paid Amount]]</f>
        <v>144478</v>
      </c>
      <c r="P415" s="2" t="s">
        <v>23</v>
      </c>
      <c r="Q415" s="2" t="s">
        <v>19</v>
      </c>
      <c r="R415" s="16">
        <f>(Table1[[#This Row],[NET Amount]]-Table1[[#This Row],[Total Outstanding Amount]])/Table1[[#This Row],[NET Amount]]</f>
        <v>0</v>
      </c>
      <c r="S415" s="2" t="s">
        <v>20</v>
      </c>
    </row>
    <row r="416" spans="1:19" x14ac:dyDescent="0.3">
      <c r="A416" s="4">
        <v>414</v>
      </c>
      <c r="B416" s="2" t="s">
        <v>75</v>
      </c>
      <c r="C416" s="3">
        <v>44853</v>
      </c>
      <c r="D416" s="3" t="str">
        <f>TEXT(Table1[[#This Row],[Admission Date]],"MMMM")</f>
        <v>October</v>
      </c>
      <c r="E416" s="3">
        <v>44853</v>
      </c>
      <c r="F416" s="3">
        <v>44853</v>
      </c>
      <c r="G416" s="2">
        <v>22027774</v>
      </c>
      <c r="H416" s="2">
        <v>2236647</v>
      </c>
      <c r="I416" s="2">
        <v>1001748211</v>
      </c>
      <c r="J416" s="2" t="s">
        <v>448</v>
      </c>
      <c r="K416" s="10">
        <v>11903</v>
      </c>
      <c r="L416" s="10">
        <v>0</v>
      </c>
      <c r="M416" s="10">
        <v>11903</v>
      </c>
      <c r="N416" s="10">
        <v>0</v>
      </c>
      <c r="O416" s="10">
        <f>Table1[[#This Row],[NET Amount]]-Table1[[#This Row],[Paid Amount]]</f>
        <v>11903</v>
      </c>
      <c r="P416" s="2" t="s">
        <v>23</v>
      </c>
      <c r="Q416" s="2" t="s">
        <v>24</v>
      </c>
      <c r="R416" s="16">
        <f>(Table1[[#This Row],[NET Amount]]-Table1[[#This Row],[Total Outstanding Amount]])/Table1[[#This Row],[NET Amount]]</f>
        <v>0</v>
      </c>
      <c r="S416" s="2" t="s">
        <v>39</v>
      </c>
    </row>
    <row r="417" spans="1:19" x14ac:dyDescent="0.3">
      <c r="A417" s="4">
        <v>415</v>
      </c>
      <c r="B417" s="2" t="s">
        <v>75</v>
      </c>
      <c r="C417" s="3">
        <v>44859</v>
      </c>
      <c r="D417" s="3" t="str">
        <f>TEXT(Table1[[#This Row],[Admission Date]],"MMMM")</f>
        <v>October</v>
      </c>
      <c r="E417" s="3">
        <v>44859</v>
      </c>
      <c r="F417" s="3">
        <v>44859</v>
      </c>
      <c r="G417" s="2">
        <v>22028469</v>
      </c>
      <c r="H417" s="2">
        <v>2237267</v>
      </c>
      <c r="I417" s="2">
        <v>10013401847</v>
      </c>
      <c r="J417" s="2" t="s">
        <v>449</v>
      </c>
      <c r="K417" s="10">
        <v>1610</v>
      </c>
      <c r="L417" s="10">
        <v>0</v>
      </c>
      <c r="M417" s="10">
        <v>1610</v>
      </c>
      <c r="N417" s="10">
        <v>0</v>
      </c>
      <c r="O417" s="10">
        <f>Table1[[#This Row],[NET Amount]]-Table1[[#This Row],[Paid Amount]]</f>
        <v>1610</v>
      </c>
      <c r="P417" s="2" t="s">
        <v>23</v>
      </c>
      <c r="Q417" s="2" t="s">
        <v>54</v>
      </c>
      <c r="R417" s="16">
        <f>(Table1[[#This Row],[NET Amount]]-Table1[[#This Row],[Total Outstanding Amount]])/Table1[[#This Row],[NET Amount]]</f>
        <v>0</v>
      </c>
      <c r="S417" s="2" t="s">
        <v>97</v>
      </c>
    </row>
    <row r="418" spans="1:19" x14ac:dyDescent="0.3">
      <c r="A418" s="4">
        <v>416</v>
      </c>
      <c r="B418" s="2" t="s">
        <v>2263</v>
      </c>
      <c r="C418" s="3">
        <v>44863</v>
      </c>
      <c r="D418" s="3" t="str">
        <f>TEXT(Table1[[#This Row],[Admission Date]],"MMMM")</f>
        <v>October</v>
      </c>
      <c r="E418" s="3">
        <v>44863</v>
      </c>
      <c r="F418" s="3">
        <v>44863</v>
      </c>
      <c r="G418" s="2">
        <v>22029012</v>
      </c>
      <c r="H418" s="2">
        <v>2237934</v>
      </c>
      <c r="I418" s="2">
        <v>1001678600</v>
      </c>
      <c r="J418" s="2" t="s">
        <v>413</v>
      </c>
      <c r="K418" s="10">
        <v>1274</v>
      </c>
      <c r="L418" s="10">
        <v>0</v>
      </c>
      <c r="M418" s="10">
        <v>1274</v>
      </c>
      <c r="N418" s="10">
        <v>0</v>
      </c>
      <c r="O418" s="10">
        <f>Table1[[#This Row],[NET Amount]]-Table1[[#This Row],[Paid Amount]]</f>
        <v>1274</v>
      </c>
      <c r="P418" s="2" t="s">
        <v>23</v>
      </c>
      <c r="Q418" s="2" t="s">
        <v>54</v>
      </c>
      <c r="R418" s="16">
        <f>(Table1[[#This Row],[NET Amount]]-Table1[[#This Row],[Total Outstanding Amount]])/Table1[[#This Row],[NET Amount]]</f>
        <v>0</v>
      </c>
      <c r="S418" s="2" t="s">
        <v>97</v>
      </c>
    </row>
    <row r="419" spans="1:19" x14ac:dyDescent="0.3">
      <c r="A419" s="4">
        <v>417</v>
      </c>
      <c r="B419" s="2" t="s">
        <v>2257</v>
      </c>
      <c r="C419" s="3">
        <v>44838</v>
      </c>
      <c r="D419" s="3" t="str">
        <f>TEXT(Table1[[#This Row],[Admission Date]],"MMMM")</f>
        <v>October</v>
      </c>
      <c r="E419" s="3">
        <v>44838</v>
      </c>
      <c r="F419" s="3">
        <v>44838</v>
      </c>
      <c r="G419" s="2">
        <v>22025566</v>
      </c>
      <c r="H419" s="2">
        <v>2234569</v>
      </c>
      <c r="I419" s="2">
        <v>1001689981</v>
      </c>
      <c r="J419" s="2" t="s">
        <v>253</v>
      </c>
      <c r="K419" s="10">
        <v>2950</v>
      </c>
      <c r="L419" s="10">
        <v>0</v>
      </c>
      <c r="M419" s="10">
        <v>2950</v>
      </c>
      <c r="N419" s="10">
        <v>0</v>
      </c>
      <c r="O419" s="10">
        <f>Table1[[#This Row],[NET Amount]]-Table1[[#This Row],[Paid Amount]]</f>
        <v>2950</v>
      </c>
      <c r="P419" s="2" t="s">
        <v>23</v>
      </c>
      <c r="Q419" s="2" t="s">
        <v>54</v>
      </c>
      <c r="R419" s="16">
        <f>(Table1[[#This Row],[NET Amount]]-Table1[[#This Row],[Total Outstanding Amount]])/Table1[[#This Row],[NET Amount]]</f>
        <v>0</v>
      </c>
      <c r="S419" s="2" t="s">
        <v>97</v>
      </c>
    </row>
    <row r="420" spans="1:19" x14ac:dyDescent="0.3">
      <c r="A420" s="4">
        <v>418</v>
      </c>
      <c r="B420" s="2" t="s">
        <v>2263</v>
      </c>
      <c r="C420" s="3">
        <v>44839</v>
      </c>
      <c r="D420" s="3" t="str">
        <f>TEXT(Table1[[#This Row],[Admission Date]],"MMMM")</f>
        <v>October</v>
      </c>
      <c r="E420" s="3">
        <v>44839</v>
      </c>
      <c r="F420" s="3">
        <v>44839</v>
      </c>
      <c r="G420" s="2">
        <v>22025663</v>
      </c>
      <c r="H420" s="2">
        <v>2234693</v>
      </c>
      <c r="I420" s="2">
        <v>1001367923</v>
      </c>
      <c r="J420" s="2" t="s">
        <v>391</v>
      </c>
      <c r="K420" s="10">
        <v>1274</v>
      </c>
      <c r="L420" s="10">
        <v>0</v>
      </c>
      <c r="M420" s="10">
        <v>1274</v>
      </c>
      <c r="N420" s="10">
        <v>0</v>
      </c>
      <c r="O420" s="10">
        <f>Table1[[#This Row],[NET Amount]]-Table1[[#This Row],[Paid Amount]]</f>
        <v>1274</v>
      </c>
      <c r="P420" s="2" t="s">
        <v>23</v>
      </c>
      <c r="Q420" s="2" t="s">
        <v>54</v>
      </c>
      <c r="R420" s="16">
        <f>(Table1[[#This Row],[NET Amount]]-Table1[[#This Row],[Total Outstanding Amount]])/Table1[[#This Row],[NET Amount]]</f>
        <v>0</v>
      </c>
      <c r="S420" s="2" t="s">
        <v>97</v>
      </c>
    </row>
    <row r="421" spans="1:19" x14ac:dyDescent="0.3">
      <c r="A421" s="4">
        <v>419</v>
      </c>
      <c r="B421" s="2" t="s">
        <v>2263</v>
      </c>
      <c r="C421" s="3">
        <v>44852</v>
      </c>
      <c r="D421" s="3" t="str">
        <f>TEXT(Table1[[#This Row],[Admission Date]],"MMMM")</f>
        <v>October</v>
      </c>
      <c r="E421" s="3">
        <v>44852</v>
      </c>
      <c r="F421" s="3">
        <v>44852</v>
      </c>
      <c r="G421" s="2">
        <v>22027583</v>
      </c>
      <c r="H421" s="2">
        <v>2236496</v>
      </c>
      <c r="I421" s="2">
        <v>1001712791</v>
      </c>
      <c r="J421" s="2" t="s">
        <v>450</v>
      </c>
      <c r="K421" s="10">
        <v>1274</v>
      </c>
      <c r="L421" s="10">
        <v>0</v>
      </c>
      <c r="M421" s="10">
        <v>1274</v>
      </c>
      <c r="N421" s="10">
        <v>0</v>
      </c>
      <c r="O421" s="10">
        <f>Table1[[#This Row],[NET Amount]]-Table1[[#This Row],[Paid Amount]]</f>
        <v>1274</v>
      </c>
      <c r="P421" s="2" t="s">
        <v>23</v>
      </c>
      <c r="Q421" s="2" t="s">
        <v>54</v>
      </c>
      <c r="R421" s="16">
        <f>(Table1[[#This Row],[NET Amount]]-Table1[[#This Row],[Total Outstanding Amount]])/Table1[[#This Row],[NET Amount]]</f>
        <v>0</v>
      </c>
      <c r="S421" s="2" t="s">
        <v>97</v>
      </c>
    </row>
    <row r="422" spans="1:19" x14ac:dyDescent="0.3">
      <c r="A422" s="4">
        <v>420</v>
      </c>
      <c r="B422" s="2" t="s">
        <v>380</v>
      </c>
      <c r="C422" s="3">
        <v>44857</v>
      </c>
      <c r="D422" s="3" t="str">
        <f>TEXT(Table1[[#This Row],[Admission Date]],"MMMM")</f>
        <v>October</v>
      </c>
      <c r="E422" s="3">
        <v>44857</v>
      </c>
      <c r="F422" s="3">
        <v>44857</v>
      </c>
      <c r="G422" s="2">
        <v>22028346</v>
      </c>
      <c r="H422" s="2">
        <v>2237137</v>
      </c>
      <c r="I422" s="2">
        <v>1000891036</v>
      </c>
      <c r="J422" s="2" t="s">
        <v>399</v>
      </c>
      <c r="K422" s="10">
        <v>1274</v>
      </c>
      <c r="L422" s="10">
        <v>0</v>
      </c>
      <c r="M422" s="10">
        <v>1274</v>
      </c>
      <c r="N422" s="10">
        <v>0</v>
      </c>
      <c r="O422" s="10">
        <f>Table1[[#This Row],[NET Amount]]-Table1[[#This Row],[Paid Amount]]</f>
        <v>1274</v>
      </c>
      <c r="P422" s="2" t="s">
        <v>23</v>
      </c>
      <c r="Q422" s="2" t="s">
        <v>54</v>
      </c>
      <c r="R422" s="16">
        <f>(Table1[[#This Row],[NET Amount]]-Table1[[#This Row],[Total Outstanding Amount]])/Table1[[#This Row],[NET Amount]]</f>
        <v>0</v>
      </c>
      <c r="S422" s="2" t="s">
        <v>97</v>
      </c>
    </row>
    <row r="423" spans="1:19" x14ac:dyDescent="0.3">
      <c r="A423" s="4">
        <v>421</v>
      </c>
      <c r="B423" s="2" t="s">
        <v>2263</v>
      </c>
      <c r="C423" s="3">
        <v>44855</v>
      </c>
      <c r="D423" s="3" t="str">
        <f>TEXT(Table1[[#This Row],[Admission Date]],"MMMM")</f>
        <v>October</v>
      </c>
      <c r="E423" s="3">
        <v>44855</v>
      </c>
      <c r="F423" s="3">
        <v>44855</v>
      </c>
      <c r="G423" s="2">
        <v>22027975</v>
      </c>
      <c r="H423" s="2">
        <v>2236867</v>
      </c>
      <c r="I423" s="2">
        <v>1001367923</v>
      </c>
      <c r="J423" s="2" t="s">
        <v>391</v>
      </c>
      <c r="K423" s="10">
        <v>1274</v>
      </c>
      <c r="L423" s="10">
        <v>0</v>
      </c>
      <c r="M423" s="10">
        <v>1274</v>
      </c>
      <c r="N423" s="10">
        <v>0</v>
      </c>
      <c r="O423" s="10">
        <f>Table1[[#This Row],[NET Amount]]-Table1[[#This Row],[Paid Amount]]</f>
        <v>1274</v>
      </c>
      <c r="P423" s="2" t="s">
        <v>23</v>
      </c>
      <c r="Q423" s="2" t="s">
        <v>54</v>
      </c>
      <c r="R423" s="16">
        <f>(Table1[[#This Row],[NET Amount]]-Table1[[#This Row],[Total Outstanding Amount]])/Table1[[#This Row],[NET Amount]]</f>
        <v>0</v>
      </c>
      <c r="S423" s="2" t="s">
        <v>97</v>
      </c>
    </row>
    <row r="424" spans="1:19" x14ac:dyDescent="0.3">
      <c r="A424" s="4">
        <v>422</v>
      </c>
      <c r="B424" s="2" t="s">
        <v>2258</v>
      </c>
      <c r="C424" s="3">
        <v>44852</v>
      </c>
      <c r="D424" s="3" t="str">
        <f>TEXT(Table1[[#This Row],[Admission Date]],"MMMM")</f>
        <v>October</v>
      </c>
      <c r="E424" s="3">
        <v>44852</v>
      </c>
      <c r="F424" s="3">
        <v>44852</v>
      </c>
      <c r="G424" s="2">
        <v>22027530</v>
      </c>
      <c r="H424" s="2">
        <v>2236443</v>
      </c>
      <c r="I424" s="2">
        <v>1001763340</v>
      </c>
      <c r="J424" s="2" t="s">
        <v>121</v>
      </c>
      <c r="K424" s="10">
        <v>1610</v>
      </c>
      <c r="L424" s="10">
        <v>0</v>
      </c>
      <c r="M424" s="10">
        <v>1610</v>
      </c>
      <c r="N424" s="10">
        <v>0</v>
      </c>
      <c r="O424" s="10">
        <f>Table1[[#This Row],[NET Amount]]-Table1[[#This Row],[Paid Amount]]</f>
        <v>1610</v>
      </c>
      <c r="P424" s="2" t="s">
        <v>23</v>
      </c>
      <c r="Q424" s="2" t="s">
        <v>54</v>
      </c>
      <c r="R424" s="16">
        <f>(Table1[[#This Row],[NET Amount]]-Table1[[#This Row],[Total Outstanding Amount]])/Table1[[#This Row],[NET Amount]]</f>
        <v>0</v>
      </c>
      <c r="S424" s="2" t="s">
        <v>97</v>
      </c>
    </row>
    <row r="425" spans="1:19" x14ac:dyDescent="0.3">
      <c r="A425" s="4">
        <v>423</v>
      </c>
      <c r="B425" s="2" t="s">
        <v>2253</v>
      </c>
      <c r="C425" s="3">
        <v>44846</v>
      </c>
      <c r="D425" s="3" t="str">
        <f>TEXT(Table1[[#This Row],[Admission Date]],"MMMM")</f>
        <v>October</v>
      </c>
      <c r="E425" s="3">
        <v>44846</v>
      </c>
      <c r="F425" s="3">
        <v>44846</v>
      </c>
      <c r="G425" s="2">
        <v>22026800</v>
      </c>
      <c r="H425" s="2">
        <v>2235741</v>
      </c>
      <c r="I425" s="2">
        <v>1001777526</v>
      </c>
      <c r="J425" s="2" t="s">
        <v>411</v>
      </c>
      <c r="K425" s="10">
        <v>1610</v>
      </c>
      <c r="L425" s="10">
        <v>0</v>
      </c>
      <c r="M425" s="10">
        <v>1610</v>
      </c>
      <c r="N425" s="10">
        <v>0</v>
      </c>
      <c r="O425" s="10">
        <f>Table1[[#This Row],[NET Amount]]-Table1[[#This Row],[Paid Amount]]</f>
        <v>1610</v>
      </c>
      <c r="P425" s="2" t="s">
        <v>23</v>
      </c>
      <c r="Q425" s="2" t="s">
        <v>54</v>
      </c>
      <c r="R425" s="16">
        <f>(Table1[[#This Row],[NET Amount]]-Table1[[#This Row],[Total Outstanding Amount]])/Table1[[#This Row],[NET Amount]]</f>
        <v>0</v>
      </c>
      <c r="S425" s="2" t="s">
        <v>97</v>
      </c>
    </row>
    <row r="426" spans="1:19" x14ac:dyDescent="0.3">
      <c r="A426" s="4">
        <v>424</v>
      </c>
      <c r="B426" s="2" t="s">
        <v>2260</v>
      </c>
      <c r="C426" s="3">
        <v>44862</v>
      </c>
      <c r="D426" s="3" t="str">
        <f>TEXT(Table1[[#This Row],[Admission Date]],"MMMM")</f>
        <v>October</v>
      </c>
      <c r="E426" s="3">
        <v>44862</v>
      </c>
      <c r="F426" s="3">
        <v>44862</v>
      </c>
      <c r="G426" s="2">
        <v>22028857</v>
      </c>
      <c r="H426" s="2">
        <v>2237754</v>
      </c>
      <c r="I426" s="2">
        <v>1001756832</v>
      </c>
      <c r="J426" s="2" t="s">
        <v>326</v>
      </c>
      <c r="K426" s="10">
        <v>1610</v>
      </c>
      <c r="L426" s="10">
        <v>0</v>
      </c>
      <c r="M426" s="10">
        <v>1610</v>
      </c>
      <c r="N426" s="10">
        <v>0</v>
      </c>
      <c r="O426" s="10">
        <f>Table1[[#This Row],[NET Amount]]-Table1[[#This Row],[Paid Amount]]</f>
        <v>1610</v>
      </c>
      <c r="P426" s="2" t="s">
        <v>23</v>
      </c>
      <c r="Q426" s="2" t="s">
        <v>54</v>
      </c>
      <c r="R426" s="16">
        <f>(Table1[[#This Row],[NET Amount]]-Table1[[#This Row],[Total Outstanding Amount]])/Table1[[#This Row],[NET Amount]]</f>
        <v>0</v>
      </c>
      <c r="S426" s="2" t="s">
        <v>97</v>
      </c>
    </row>
    <row r="427" spans="1:19" x14ac:dyDescent="0.3">
      <c r="A427" s="4">
        <v>425</v>
      </c>
      <c r="B427" s="2" t="s">
        <v>380</v>
      </c>
      <c r="C427" s="3">
        <v>44838</v>
      </c>
      <c r="D427" s="3" t="str">
        <f>TEXT(Table1[[#This Row],[Admission Date]],"MMMM")</f>
        <v>October</v>
      </c>
      <c r="E427" s="3">
        <v>44838</v>
      </c>
      <c r="F427" s="3">
        <v>44838</v>
      </c>
      <c r="G427" s="2">
        <v>22025617</v>
      </c>
      <c r="H427" s="2">
        <v>2234616</v>
      </c>
      <c r="I427" s="2">
        <v>1001082290</v>
      </c>
      <c r="J427" s="2" t="s">
        <v>436</v>
      </c>
      <c r="K427" s="10">
        <v>1274</v>
      </c>
      <c r="L427" s="10">
        <v>0</v>
      </c>
      <c r="M427" s="10">
        <v>1274</v>
      </c>
      <c r="N427" s="10">
        <v>0</v>
      </c>
      <c r="O427" s="10">
        <f>Table1[[#This Row],[NET Amount]]-Table1[[#This Row],[Paid Amount]]</f>
        <v>1274</v>
      </c>
      <c r="P427" s="2" t="s">
        <v>23</v>
      </c>
      <c r="Q427" s="2" t="s">
        <v>54</v>
      </c>
      <c r="R427" s="16">
        <f>(Table1[[#This Row],[NET Amount]]-Table1[[#This Row],[Total Outstanding Amount]])/Table1[[#This Row],[NET Amount]]</f>
        <v>0</v>
      </c>
      <c r="S427" s="2" t="s">
        <v>97</v>
      </c>
    </row>
    <row r="428" spans="1:19" x14ac:dyDescent="0.3">
      <c r="A428" s="4">
        <v>426</v>
      </c>
      <c r="B428" s="2" t="s">
        <v>139</v>
      </c>
      <c r="C428" s="3">
        <v>44837</v>
      </c>
      <c r="D428" s="3" t="str">
        <f>TEXT(Table1[[#This Row],[Admission Date]],"MMMM")</f>
        <v>October</v>
      </c>
      <c r="E428" s="3">
        <v>44837</v>
      </c>
      <c r="F428" s="3">
        <v>44837</v>
      </c>
      <c r="G428" s="2">
        <v>22025349</v>
      </c>
      <c r="H428" s="2">
        <v>2234361</v>
      </c>
      <c r="I428" s="2">
        <v>1001547355</v>
      </c>
      <c r="J428" s="2" t="s">
        <v>451</v>
      </c>
      <c r="K428" s="10">
        <v>2200</v>
      </c>
      <c r="L428" s="10">
        <v>0</v>
      </c>
      <c r="M428" s="10">
        <v>2200</v>
      </c>
      <c r="N428" s="10">
        <v>0</v>
      </c>
      <c r="O428" s="10">
        <f>Table1[[#This Row],[NET Amount]]-Table1[[#This Row],[Paid Amount]]</f>
        <v>2200</v>
      </c>
      <c r="P428" s="2" t="s">
        <v>23</v>
      </c>
      <c r="Q428" s="2" t="s">
        <v>147</v>
      </c>
      <c r="R428" s="16">
        <f>(Table1[[#This Row],[NET Amount]]-Table1[[#This Row],[Total Outstanding Amount]])/Table1[[#This Row],[NET Amount]]</f>
        <v>0</v>
      </c>
      <c r="S428" s="2" t="s">
        <v>97</v>
      </c>
    </row>
    <row r="429" spans="1:19" x14ac:dyDescent="0.3">
      <c r="A429" s="4">
        <v>427</v>
      </c>
      <c r="B429" s="2" t="s">
        <v>50</v>
      </c>
      <c r="C429" s="3">
        <v>44860</v>
      </c>
      <c r="D429" s="3" t="str">
        <f>TEXT(Table1[[#This Row],[Admission Date]],"MMMM")</f>
        <v>October</v>
      </c>
      <c r="E429" s="3">
        <v>44865</v>
      </c>
      <c r="F429" s="3">
        <v>44865</v>
      </c>
      <c r="G429" s="2">
        <v>22029280</v>
      </c>
      <c r="H429" s="2">
        <v>2237491</v>
      </c>
      <c r="I429" s="2">
        <v>1001016551</v>
      </c>
      <c r="J429" s="2" t="s">
        <v>452</v>
      </c>
      <c r="K429" s="10">
        <v>73091</v>
      </c>
      <c r="L429" s="10">
        <v>9646</v>
      </c>
      <c r="M429" s="10">
        <v>63445</v>
      </c>
      <c r="N429" s="10">
        <v>0</v>
      </c>
      <c r="O429" s="10">
        <f>Table1[[#This Row],[NET Amount]]-Table1[[#This Row],[Paid Amount]]</f>
        <v>63445</v>
      </c>
      <c r="P429" s="2" t="s">
        <v>23</v>
      </c>
      <c r="Q429" s="2" t="s">
        <v>52</v>
      </c>
      <c r="R429" s="16">
        <f>(Table1[[#This Row],[NET Amount]]-Table1[[#This Row],[Total Outstanding Amount]])/Table1[[#This Row],[NET Amount]]</f>
        <v>0</v>
      </c>
      <c r="S429" s="2" t="s">
        <v>20</v>
      </c>
    </row>
    <row r="430" spans="1:19" x14ac:dyDescent="0.3">
      <c r="A430" s="4">
        <v>428</v>
      </c>
      <c r="B430" s="2" t="s">
        <v>2263</v>
      </c>
      <c r="C430" s="3">
        <v>44865</v>
      </c>
      <c r="D430" s="3" t="str">
        <f>TEXT(Table1[[#This Row],[Admission Date]],"MMMM")</f>
        <v>October</v>
      </c>
      <c r="E430" s="3">
        <v>44865</v>
      </c>
      <c r="F430" s="3">
        <v>44865</v>
      </c>
      <c r="G430" s="2">
        <v>22029353</v>
      </c>
      <c r="H430" s="2">
        <v>2238215</v>
      </c>
      <c r="I430" s="2">
        <v>1001767553</v>
      </c>
      <c r="J430" s="2" t="s">
        <v>417</v>
      </c>
      <c r="K430" s="10">
        <v>1274</v>
      </c>
      <c r="L430" s="10">
        <v>0</v>
      </c>
      <c r="M430" s="10">
        <v>1274</v>
      </c>
      <c r="N430" s="10">
        <v>0</v>
      </c>
      <c r="O430" s="10">
        <f>Table1[[#This Row],[NET Amount]]-Table1[[#This Row],[Paid Amount]]</f>
        <v>1274</v>
      </c>
      <c r="P430" s="2" t="s">
        <v>23</v>
      </c>
      <c r="Q430" s="2" t="s">
        <v>54</v>
      </c>
      <c r="R430" s="16">
        <f>(Table1[[#This Row],[NET Amount]]-Table1[[#This Row],[Total Outstanding Amount]])/Table1[[#This Row],[NET Amount]]</f>
        <v>0</v>
      </c>
      <c r="S430" s="2" t="s">
        <v>97</v>
      </c>
    </row>
    <row r="431" spans="1:19" x14ac:dyDescent="0.3">
      <c r="A431" s="4">
        <v>429</v>
      </c>
      <c r="B431" s="2" t="s">
        <v>380</v>
      </c>
      <c r="C431" s="3">
        <v>44841</v>
      </c>
      <c r="D431" s="3" t="str">
        <f>TEXT(Table1[[#This Row],[Admission Date]],"MMMM")</f>
        <v>October</v>
      </c>
      <c r="E431" s="3">
        <v>44841</v>
      </c>
      <c r="F431" s="3">
        <v>44841</v>
      </c>
      <c r="G431" s="2">
        <v>22026036</v>
      </c>
      <c r="H431" s="2">
        <v>2235058</v>
      </c>
      <c r="I431" s="2">
        <v>10013449380</v>
      </c>
      <c r="J431" s="2" t="s">
        <v>453</v>
      </c>
      <c r="K431" s="10">
        <v>1274</v>
      </c>
      <c r="L431" s="10">
        <v>0</v>
      </c>
      <c r="M431" s="10">
        <v>1274</v>
      </c>
      <c r="N431" s="10">
        <v>0</v>
      </c>
      <c r="O431" s="10">
        <f>Table1[[#This Row],[NET Amount]]-Table1[[#This Row],[Paid Amount]]</f>
        <v>1274</v>
      </c>
      <c r="P431" s="2" t="s">
        <v>23</v>
      </c>
      <c r="Q431" s="2" t="s">
        <v>54</v>
      </c>
      <c r="R431" s="16">
        <f>(Table1[[#This Row],[NET Amount]]-Table1[[#This Row],[Total Outstanding Amount]])/Table1[[#This Row],[NET Amount]]</f>
        <v>0</v>
      </c>
      <c r="S431" s="2" t="s">
        <v>97</v>
      </c>
    </row>
    <row r="432" spans="1:19" x14ac:dyDescent="0.3">
      <c r="A432" s="4">
        <v>430</v>
      </c>
      <c r="B432" s="2" t="s">
        <v>380</v>
      </c>
      <c r="C432" s="3">
        <v>44851</v>
      </c>
      <c r="D432" s="3" t="str">
        <f>TEXT(Table1[[#This Row],[Admission Date]],"MMMM")</f>
        <v>October</v>
      </c>
      <c r="E432" s="3">
        <v>44851</v>
      </c>
      <c r="F432" s="3">
        <v>44851</v>
      </c>
      <c r="G432" s="2">
        <v>22027508</v>
      </c>
      <c r="H432" s="2">
        <v>2236421</v>
      </c>
      <c r="I432" s="2">
        <v>1001004027</v>
      </c>
      <c r="J432" s="2" t="s">
        <v>454</v>
      </c>
      <c r="K432" s="10">
        <v>1274</v>
      </c>
      <c r="L432" s="10">
        <v>0</v>
      </c>
      <c r="M432" s="10">
        <v>1274</v>
      </c>
      <c r="N432" s="10">
        <v>0</v>
      </c>
      <c r="O432" s="10">
        <f>Table1[[#This Row],[NET Amount]]-Table1[[#This Row],[Paid Amount]]</f>
        <v>1274</v>
      </c>
      <c r="P432" s="2" t="s">
        <v>23</v>
      </c>
      <c r="Q432" s="2" t="s">
        <v>54</v>
      </c>
      <c r="R432" s="16">
        <f>(Table1[[#This Row],[NET Amount]]-Table1[[#This Row],[Total Outstanding Amount]])/Table1[[#This Row],[NET Amount]]</f>
        <v>0</v>
      </c>
      <c r="S432" s="2" t="s">
        <v>97</v>
      </c>
    </row>
    <row r="433" spans="1:19" x14ac:dyDescent="0.3">
      <c r="A433" s="4">
        <v>431</v>
      </c>
      <c r="B433" s="2" t="s">
        <v>380</v>
      </c>
      <c r="C433" s="3">
        <v>44849</v>
      </c>
      <c r="D433" s="3" t="str">
        <f>TEXT(Table1[[#This Row],[Admission Date]],"MMMM")</f>
        <v>October</v>
      </c>
      <c r="E433" s="3">
        <v>44849</v>
      </c>
      <c r="F433" s="3">
        <v>44849</v>
      </c>
      <c r="G433" s="2">
        <v>22027251</v>
      </c>
      <c r="H433" s="2">
        <v>2236169</v>
      </c>
      <c r="I433" s="2">
        <v>1001761745</v>
      </c>
      <c r="J433" s="2" t="s">
        <v>455</v>
      </c>
      <c r="K433" s="10">
        <v>1274</v>
      </c>
      <c r="L433" s="10">
        <v>0</v>
      </c>
      <c r="M433" s="10">
        <v>1274</v>
      </c>
      <c r="N433" s="10">
        <v>0</v>
      </c>
      <c r="O433" s="10">
        <f>Table1[[#This Row],[NET Amount]]-Table1[[#This Row],[Paid Amount]]</f>
        <v>1274</v>
      </c>
      <c r="P433" s="2" t="s">
        <v>23</v>
      </c>
      <c r="Q433" s="2" t="s">
        <v>54</v>
      </c>
      <c r="R433" s="16">
        <f>(Table1[[#This Row],[NET Amount]]-Table1[[#This Row],[Total Outstanding Amount]])/Table1[[#This Row],[NET Amount]]</f>
        <v>0</v>
      </c>
      <c r="S433" s="2" t="s">
        <v>97</v>
      </c>
    </row>
    <row r="434" spans="1:19" x14ac:dyDescent="0.3">
      <c r="A434" s="4">
        <v>432</v>
      </c>
      <c r="B434" s="2" t="s">
        <v>25</v>
      </c>
      <c r="C434" s="3">
        <v>44835</v>
      </c>
      <c r="D434" s="3" t="str">
        <f>TEXT(Table1[[#This Row],[Admission Date]],"MMMM")</f>
        <v>October</v>
      </c>
      <c r="E434" s="3">
        <v>44847</v>
      </c>
      <c r="F434" s="3">
        <v>44847</v>
      </c>
      <c r="G434" s="2">
        <v>22026951</v>
      </c>
      <c r="H434" s="2">
        <v>2234199</v>
      </c>
      <c r="I434" s="2">
        <v>1001795405</v>
      </c>
      <c r="J434" s="2" t="s">
        <v>456</v>
      </c>
      <c r="K434" s="10">
        <v>277139</v>
      </c>
      <c r="L434" s="10">
        <v>275289</v>
      </c>
      <c r="M434" s="10">
        <v>1850</v>
      </c>
      <c r="N434" s="10">
        <v>0</v>
      </c>
      <c r="O434" s="10">
        <f>Table1[[#This Row],[NET Amount]]-Table1[[#This Row],[Paid Amount]]</f>
        <v>1850</v>
      </c>
      <c r="P434" s="2" t="s">
        <v>23</v>
      </c>
      <c r="Q434" s="2" t="s">
        <v>90</v>
      </c>
      <c r="R434" s="16">
        <f>(Table1[[#This Row],[NET Amount]]-Table1[[#This Row],[Total Outstanding Amount]])/Table1[[#This Row],[NET Amount]]</f>
        <v>0</v>
      </c>
      <c r="S434" s="2" t="s">
        <v>70</v>
      </c>
    </row>
    <row r="435" spans="1:19" x14ac:dyDescent="0.3">
      <c r="A435" s="4">
        <v>433</v>
      </c>
      <c r="B435" s="2" t="s">
        <v>139</v>
      </c>
      <c r="C435" s="3">
        <v>44841</v>
      </c>
      <c r="D435" s="3" t="str">
        <f>TEXT(Table1[[#This Row],[Admission Date]],"MMMM")</f>
        <v>October</v>
      </c>
      <c r="E435" s="3">
        <v>44841</v>
      </c>
      <c r="F435" s="3">
        <v>44841</v>
      </c>
      <c r="G435" s="2">
        <v>22026041</v>
      </c>
      <c r="H435" s="2">
        <v>2235062</v>
      </c>
      <c r="I435" s="2">
        <v>1001547355</v>
      </c>
      <c r="J435" s="2" t="s">
        <v>451</v>
      </c>
      <c r="K435" s="10">
        <v>2200</v>
      </c>
      <c r="L435" s="10">
        <v>0</v>
      </c>
      <c r="M435" s="10">
        <v>2200</v>
      </c>
      <c r="N435" s="10">
        <v>0</v>
      </c>
      <c r="O435" s="10">
        <f>Table1[[#This Row],[NET Amount]]-Table1[[#This Row],[Paid Amount]]</f>
        <v>2200</v>
      </c>
      <c r="P435" s="2" t="s">
        <v>23</v>
      </c>
      <c r="Q435" s="2" t="s">
        <v>147</v>
      </c>
      <c r="R435" s="16">
        <f>(Table1[[#This Row],[NET Amount]]-Table1[[#This Row],[Total Outstanding Amount]])/Table1[[#This Row],[NET Amount]]</f>
        <v>0</v>
      </c>
      <c r="S435" s="2" t="s">
        <v>97</v>
      </c>
    </row>
    <row r="436" spans="1:19" x14ac:dyDescent="0.3">
      <c r="A436" s="4">
        <v>434</v>
      </c>
      <c r="B436" s="2" t="s">
        <v>380</v>
      </c>
      <c r="C436" s="3">
        <v>44859</v>
      </c>
      <c r="D436" s="3" t="str">
        <f>TEXT(Table1[[#This Row],[Admission Date]],"MMMM")</f>
        <v>October</v>
      </c>
      <c r="E436" s="3">
        <v>44859</v>
      </c>
      <c r="F436" s="3">
        <v>44859</v>
      </c>
      <c r="G436" s="2">
        <v>22028567</v>
      </c>
      <c r="H436" s="2">
        <v>2237402</v>
      </c>
      <c r="I436" s="2">
        <v>10013521329</v>
      </c>
      <c r="J436" s="2" t="s">
        <v>457</v>
      </c>
      <c r="K436" s="10">
        <v>1274</v>
      </c>
      <c r="L436" s="10">
        <v>0</v>
      </c>
      <c r="M436" s="10">
        <v>1274</v>
      </c>
      <c r="N436" s="10">
        <v>0</v>
      </c>
      <c r="O436" s="10">
        <f>Table1[[#This Row],[NET Amount]]-Table1[[#This Row],[Paid Amount]]</f>
        <v>1274</v>
      </c>
      <c r="P436" s="2" t="s">
        <v>23</v>
      </c>
      <c r="Q436" s="2" t="s">
        <v>54</v>
      </c>
      <c r="R436" s="16">
        <f>(Table1[[#This Row],[NET Amount]]-Table1[[#This Row],[Total Outstanding Amount]])/Table1[[#This Row],[NET Amount]]</f>
        <v>0</v>
      </c>
      <c r="S436" s="2" t="s">
        <v>97</v>
      </c>
    </row>
    <row r="437" spans="1:19" x14ac:dyDescent="0.3">
      <c r="A437" s="4">
        <v>435</v>
      </c>
      <c r="B437" s="2" t="s">
        <v>2263</v>
      </c>
      <c r="C437" s="3">
        <v>44837</v>
      </c>
      <c r="D437" s="3" t="str">
        <f>TEXT(Table1[[#This Row],[Admission Date]],"MMMM")</f>
        <v>October</v>
      </c>
      <c r="E437" s="3">
        <v>44837</v>
      </c>
      <c r="F437" s="3">
        <v>44837</v>
      </c>
      <c r="G437" s="2">
        <v>22025346</v>
      </c>
      <c r="H437" s="2">
        <v>2234366</v>
      </c>
      <c r="I437" s="2">
        <v>1001767553</v>
      </c>
      <c r="J437" s="2" t="s">
        <v>417</v>
      </c>
      <c r="K437" s="10">
        <v>1274</v>
      </c>
      <c r="L437" s="10">
        <v>0</v>
      </c>
      <c r="M437" s="10">
        <v>1274</v>
      </c>
      <c r="N437" s="10">
        <v>0</v>
      </c>
      <c r="O437" s="10">
        <f>Table1[[#This Row],[NET Amount]]-Table1[[#This Row],[Paid Amount]]</f>
        <v>1274</v>
      </c>
      <c r="P437" s="2" t="s">
        <v>23</v>
      </c>
      <c r="Q437" s="2" t="s">
        <v>54</v>
      </c>
      <c r="R437" s="16">
        <f>(Table1[[#This Row],[NET Amount]]-Table1[[#This Row],[Total Outstanding Amount]])/Table1[[#This Row],[NET Amount]]</f>
        <v>0</v>
      </c>
      <c r="S437" s="2" t="s">
        <v>97</v>
      </c>
    </row>
    <row r="438" spans="1:19" x14ac:dyDescent="0.3">
      <c r="A438" s="4">
        <v>436</v>
      </c>
      <c r="B438" s="2" t="s">
        <v>2263</v>
      </c>
      <c r="C438" s="3">
        <v>44863</v>
      </c>
      <c r="D438" s="3" t="str">
        <f>TEXT(Table1[[#This Row],[Admission Date]],"MMMM")</f>
        <v>October</v>
      </c>
      <c r="E438" s="3">
        <v>44863</v>
      </c>
      <c r="F438" s="3">
        <v>44863</v>
      </c>
      <c r="G438" s="2">
        <v>22029146</v>
      </c>
      <c r="H438" s="2">
        <v>2238008</v>
      </c>
      <c r="I438" s="2">
        <v>1001648223</v>
      </c>
      <c r="J438" s="2" t="s">
        <v>458</v>
      </c>
      <c r="K438" s="10">
        <v>1274</v>
      </c>
      <c r="L438" s="10">
        <v>0</v>
      </c>
      <c r="M438" s="10">
        <v>1274</v>
      </c>
      <c r="N438" s="10">
        <v>0</v>
      </c>
      <c r="O438" s="10">
        <f>Table1[[#This Row],[NET Amount]]-Table1[[#This Row],[Paid Amount]]</f>
        <v>1274</v>
      </c>
      <c r="P438" s="2" t="s">
        <v>23</v>
      </c>
      <c r="Q438" s="2" t="s">
        <v>54</v>
      </c>
      <c r="R438" s="16">
        <f>(Table1[[#This Row],[NET Amount]]-Table1[[#This Row],[Total Outstanding Amount]])/Table1[[#This Row],[NET Amount]]</f>
        <v>0</v>
      </c>
      <c r="S438" s="2" t="s">
        <v>97</v>
      </c>
    </row>
    <row r="439" spans="1:19" x14ac:dyDescent="0.3">
      <c r="A439" s="4">
        <v>437</v>
      </c>
      <c r="B439" s="2" t="s">
        <v>380</v>
      </c>
      <c r="C439" s="3">
        <v>44837</v>
      </c>
      <c r="D439" s="3" t="str">
        <f>TEXT(Table1[[#This Row],[Admission Date]],"MMMM")</f>
        <v>October</v>
      </c>
      <c r="E439" s="3">
        <v>44837</v>
      </c>
      <c r="F439" s="3">
        <v>44837</v>
      </c>
      <c r="G439" s="2">
        <v>22025459</v>
      </c>
      <c r="H439" s="2">
        <v>2234475</v>
      </c>
      <c r="I439" s="2">
        <v>10013426616</v>
      </c>
      <c r="J439" s="2" t="s">
        <v>459</v>
      </c>
      <c r="K439" s="10">
        <v>1274</v>
      </c>
      <c r="L439" s="10">
        <v>0</v>
      </c>
      <c r="M439" s="10">
        <v>1274</v>
      </c>
      <c r="N439" s="10">
        <v>0</v>
      </c>
      <c r="O439" s="10">
        <f>Table1[[#This Row],[NET Amount]]-Table1[[#This Row],[Paid Amount]]</f>
        <v>1274</v>
      </c>
      <c r="P439" s="2" t="s">
        <v>23</v>
      </c>
      <c r="Q439" s="2" t="s">
        <v>54</v>
      </c>
      <c r="R439" s="16">
        <f>(Table1[[#This Row],[NET Amount]]-Table1[[#This Row],[Total Outstanding Amount]])/Table1[[#This Row],[NET Amount]]</f>
        <v>0</v>
      </c>
      <c r="S439" s="2" t="s">
        <v>97</v>
      </c>
    </row>
    <row r="440" spans="1:19" x14ac:dyDescent="0.3">
      <c r="A440" s="4">
        <v>438</v>
      </c>
      <c r="B440" s="2" t="s">
        <v>2263</v>
      </c>
      <c r="C440" s="3">
        <v>44862</v>
      </c>
      <c r="D440" s="3" t="str">
        <f>TEXT(Table1[[#This Row],[Admission Date]],"MMMM")</f>
        <v>October</v>
      </c>
      <c r="E440" s="3">
        <v>44862</v>
      </c>
      <c r="F440" s="3">
        <v>44862</v>
      </c>
      <c r="G440" s="2">
        <v>22028860</v>
      </c>
      <c r="H440" s="2">
        <v>2237749</v>
      </c>
      <c r="I440" s="2">
        <v>1001449196</v>
      </c>
      <c r="J440" s="2" t="s">
        <v>398</v>
      </c>
      <c r="K440" s="10">
        <v>1274</v>
      </c>
      <c r="L440" s="10">
        <v>0</v>
      </c>
      <c r="M440" s="10">
        <v>1274</v>
      </c>
      <c r="N440" s="10">
        <v>0</v>
      </c>
      <c r="O440" s="10">
        <f>Table1[[#This Row],[NET Amount]]-Table1[[#This Row],[Paid Amount]]</f>
        <v>1274</v>
      </c>
      <c r="P440" s="2" t="s">
        <v>23</v>
      </c>
      <c r="Q440" s="2" t="s">
        <v>54</v>
      </c>
      <c r="R440" s="16">
        <f>(Table1[[#This Row],[NET Amount]]-Table1[[#This Row],[Total Outstanding Amount]])/Table1[[#This Row],[NET Amount]]</f>
        <v>0</v>
      </c>
      <c r="S440" s="2" t="s">
        <v>97</v>
      </c>
    </row>
    <row r="441" spans="1:19" x14ac:dyDescent="0.3">
      <c r="A441" s="4">
        <v>439</v>
      </c>
      <c r="B441" s="2" t="s">
        <v>2254</v>
      </c>
      <c r="C441" s="3">
        <v>44844</v>
      </c>
      <c r="D441" s="3" t="str">
        <f>TEXT(Table1[[#This Row],[Admission Date]],"MMMM")</f>
        <v>October</v>
      </c>
      <c r="E441" s="3">
        <v>44845</v>
      </c>
      <c r="F441" s="3">
        <v>44845</v>
      </c>
      <c r="G441" s="2">
        <v>22026615</v>
      </c>
      <c r="H441" s="2">
        <v>2235386</v>
      </c>
      <c r="I441" s="2">
        <v>1001803574</v>
      </c>
      <c r="J441" s="2" t="s">
        <v>460</v>
      </c>
      <c r="K441" s="10">
        <v>86043</v>
      </c>
      <c r="L441" s="10">
        <v>0</v>
      </c>
      <c r="M441" s="10">
        <v>86043</v>
      </c>
      <c r="N441" s="10">
        <v>0</v>
      </c>
      <c r="O441" s="10">
        <f>Table1[[#This Row],[NET Amount]]-Table1[[#This Row],[Paid Amount]]</f>
        <v>86043</v>
      </c>
      <c r="P441" s="2" t="s">
        <v>23</v>
      </c>
      <c r="Q441" s="2" t="s">
        <v>19</v>
      </c>
      <c r="R441" s="16">
        <f>(Table1[[#This Row],[NET Amount]]-Table1[[#This Row],[Total Outstanding Amount]])/Table1[[#This Row],[NET Amount]]</f>
        <v>0</v>
      </c>
      <c r="S441" s="2" t="s">
        <v>138</v>
      </c>
    </row>
    <row r="442" spans="1:19" x14ac:dyDescent="0.3">
      <c r="A442" s="4">
        <v>440</v>
      </c>
      <c r="B442" s="2" t="s">
        <v>28</v>
      </c>
      <c r="C442" s="3">
        <v>44835</v>
      </c>
      <c r="D442" s="3" t="str">
        <f>TEXT(Table1[[#This Row],[Admission Date]],"MMMM")</f>
        <v>October</v>
      </c>
      <c r="E442" s="3">
        <v>44835</v>
      </c>
      <c r="F442" s="3">
        <v>44835</v>
      </c>
      <c r="G442" s="2">
        <v>22025130</v>
      </c>
      <c r="H442" s="2">
        <v>2234148</v>
      </c>
      <c r="I442" s="2">
        <v>10013484190</v>
      </c>
      <c r="J442" s="2" t="s">
        <v>427</v>
      </c>
      <c r="K442" s="10">
        <v>2240</v>
      </c>
      <c r="L442" s="10">
        <v>0</v>
      </c>
      <c r="M442" s="10">
        <v>2240</v>
      </c>
      <c r="N442" s="10">
        <v>0</v>
      </c>
      <c r="O442" s="10">
        <f>Table1[[#This Row],[NET Amount]]-Table1[[#This Row],[Paid Amount]]</f>
        <v>2240</v>
      </c>
      <c r="P442" s="2" t="s">
        <v>23</v>
      </c>
      <c r="Q442" s="2" t="s">
        <v>54</v>
      </c>
      <c r="R442" s="16">
        <f>(Table1[[#This Row],[NET Amount]]-Table1[[#This Row],[Total Outstanding Amount]])/Table1[[#This Row],[NET Amount]]</f>
        <v>0</v>
      </c>
      <c r="S442" s="2" t="s">
        <v>97</v>
      </c>
    </row>
    <row r="443" spans="1:19" x14ac:dyDescent="0.3">
      <c r="A443" s="4">
        <v>441</v>
      </c>
      <c r="B443" s="2" t="s">
        <v>380</v>
      </c>
      <c r="C443" s="3">
        <v>44842</v>
      </c>
      <c r="D443" s="3" t="str">
        <f>TEXT(Table1[[#This Row],[Admission Date]],"MMMM")</f>
        <v>October</v>
      </c>
      <c r="E443" s="3">
        <v>44842</v>
      </c>
      <c r="F443" s="3">
        <v>44842</v>
      </c>
      <c r="G443" s="2">
        <v>22026231</v>
      </c>
      <c r="H443" s="2">
        <v>2235235</v>
      </c>
      <c r="I443" s="2">
        <v>1000857532</v>
      </c>
      <c r="J443" s="2" t="s">
        <v>416</v>
      </c>
      <c r="K443" s="10">
        <v>1274</v>
      </c>
      <c r="L443" s="10">
        <v>0</v>
      </c>
      <c r="M443" s="10">
        <v>1274</v>
      </c>
      <c r="N443" s="10">
        <v>0</v>
      </c>
      <c r="O443" s="10">
        <f>Table1[[#This Row],[NET Amount]]-Table1[[#This Row],[Paid Amount]]</f>
        <v>1274</v>
      </c>
      <c r="P443" s="2" t="s">
        <v>23</v>
      </c>
      <c r="Q443" s="2" t="s">
        <v>54</v>
      </c>
      <c r="R443" s="16">
        <f>(Table1[[#This Row],[NET Amount]]-Table1[[#This Row],[Total Outstanding Amount]])/Table1[[#This Row],[NET Amount]]</f>
        <v>0</v>
      </c>
      <c r="S443" s="2" t="s">
        <v>97</v>
      </c>
    </row>
    <row r="444" spans="1:19" x14ac:dyDescent="0.3">
      <c r="A444" s="4">
        <v>442</v>
      </c>
      <c r="B444" s="2" t="s">
        <v>380</v>
      </c>
      <c r="C444" s="3">
        <v>44844</v>
      </c>
      <c r="D444" s="3" t="str">
        <f>TEXT(Table1[[#This Row],[Admission Date]],"MMMM")</f>
        <v>October</v>
      </c>
      <c r="E444" s="3">
        <v>44844</v>
      </c>
      <c r="F444" s="3">
        <v>44844</v>
      </c>
      <c r="G444" s="2">
        <v>22026480</v>
      </c>
      <c r="H444" s="2">
        <v>2235451</v>
      </c>
      <c r="I444" s="2">
        <v>1001237257</v>
      </c>
      <c r="J444" s="2" t="s">
        <v>419</v>
      </c>
      <c r="K444" s="10">
        <v>1274</v>
      </c>
      <c r="L444" s="10">
        <v>0</v>
      </c>
      <c r="M444" s="10">
        <v>1274</v>
      </c>
      <c r="N444" s="10">
        <v>0</v>
      </c>
      <c r="O444" s="10">
        <f>Table1[[#This Row],[NET Amount]]-Table1[[#This Row],[Paid Amount]]</f>
        <v>1274</v>
      </c>
      <c r="P444" s="2" t="s">
        <v>23</v>
      </c>
      <c r="Q444" s="2" t="s">
        <v>54</v>
      </c>
      <c r="R444" s="16">
        <f>(Table1[[#This Row],[NET Amount]]-Table1[[#This Row],[Total Outstanding Amount]])/Table1[[#This Row],[NET Amount]]</f>
        <v>0</v>
      </c>
      <c r="S444" s="2" t="s">
        <v>97</v>
      </c>
    </row>
    <row r="445" spans="1:19" x14ac:dyDescent="0.3">
      <c r="A445" s="4">
        <v>443</v>
      </c>
      <c r="B445" s="2" t="s">
        <v>380</v>
      </c>
      <c r="C445" s="3">
        <v>44863</v>
      </c>
      <c r="D445" s="3" t="str">
        <f>TEXT(Table1[[#This Row],[Admission Date]],"MMMM")</f>
        <v>October</v>
      </c>
      <c r="E445" s="3">
        <v>44863</v>
      </c>
      <c r="F445" s="3">
        <v>44863</v>
      </c>
      <c r="G445" s="2">
        <v>22029157</v>
      </c>
      <c r="H445" s="2">
        <v>2238014</v>
      </c>
      <c r="I445" s="2">
        <v>1001590721</v>
      </c>
      <c r="J445" s="2" t="s">
        <v>461</v>
      </c>
      <c r="K445" s="10">
        <v>1274</v>
      </c>
      <c r="L445" s="10">
        <v>0</v>
      </c>
      <c r="M445" s="10">
        <v>1274</v>
      </c>
      <c r="N445" s="10">
        <v>0</v>
      </c>
      <c r="O445" s="10">
        <f>Table1[[#This Row],[NET Amount]]-Table1[[#This Row],[Paid Amount]]</f>
        <v>1274</v>
      </c>
      <c r="P445" s="2" t="s">
        <v>23</v>
      </c>
      <c r="Q445" s="2" t="s">
        <v>54</v>
      </c>
      <c r="R445" s="16">
        <f>(Table1[[#This Row],[NET Amount]]-Table1[[#This Row],[Total Outstanding Amount]])/Table1[[#This Row],[NET Amount]]</f>
        <v>0</v>
      </c>
      <c r="S445" s="2" t="s">
        <v>97</v>
      </c>
    </row>
    <row r="446" spans="1:19" x14ac:dyDescent="0.3">
      <c r="A446" s="4">
        <v>444</v>
      </c>
      <c r="B446" s="2" t="s">
        <v>2263</v>
      </c>
      <c r="C446" s="3">
        <v>44842</v>
      </c>
      <c r="D446" s="3" t="str">
        <f>TEXT(Table1[[#This Row],[Admission Date]],"MMMM")</f>
        <v>October</v>
      </c>
      <c r="E446" s="3">
        <v>44842</v>
      </c>
      <c r="F446" s="3">
        <v>44842</v>
      </c>
      <c r="G446" s="2">
        <v>22026076</v>
      </c>
      <c r="H446" s="2">
        <v>2235121</v>
      </c>
      <c r="I446" s="2">
        <v>1001678600</v>
      </c>
      <c r="J446" s="2" t="s">
        <v>413</v>
      </c>
      <c r="K446" s="10">
        <v>1274</v>
      </c>
      <c r="L446" s="10">
        <v>0</v>
      </c>
      <c r="M446" s="10">
        <v>1274</v>
      </c>
      <c r="N446" s="10">
        <v>0</v>
      </c>
      <c r="O446" s="10">
        <f>Table1[[#This Row],[NET Amount]]-Table1[[#This Row],[Paid Amount]]</f>
        <v>1274</v>
      </c>
      <c r="P446" s="2" t="s">
        <v>23</v>
      </c>
      <c r="Q446" s="2" t="s">
        <v>54</v>
      </c>
      <c r="R446" s="16">
        <f>(Table1[[#This Row],[NET Amount]]-Table1[[#This Row],[Total Outstanding Amount]])/Table1[[#This Row],[NET Amount]]</f>
        <v>0</v>
      </c>
      <c r="S446" s="2" t="s">
        <v>97</v>
      </c>
    </row>
    <row r="447" spans="1:19" x14ac:dyDescent="0.3">
      <c r="A447" s="4">
        <v>445</v>
      </c>
      <c r="B447" s="2" t="s">
        <v>380</v>
      </c>
      <c r="C447" s="3">
        <v>44860</v>
      </c>
      <c r="D447" s="3" t="str">
        <f>TEXT(Table1[[#This Row],[Admission Date]],"MMMM")</f>
        <v>October</v>
      </c>
      <c r="E447" s="3">
        <v>44860</v>
      </c>
      <c r="F447" s="3">
        <v>44860</v>
      </c>
      <c r="G447" s="2">
        <v>22028695</v>
      </c>
      <c r="H447" s="2">
        <v>2237572</v>
      </c>
      <c r="I447" s="2">
        <v>10013499172</v>
      </c>
      <c r="J447" s="2" t="s">
        <v>369</v>
      </c>
      <c r="K447" s="10">
        <v>1274</v>
      </c>
      <c r="L447" s="10">
        <v>0</v>
      </c>
      <c r="M447" s="10">
        <v>1274</v>
      </c>
      <c r="N447" s="10">
        <v>0</v>
      </c>
      <c r="O447" s="10">
        <f>Table1[[#This Row],[NET Amount]]-Table1[[#This Row],[Paid Amount]]</f>
        <v>1274</v>
      </c>
      <c r="P447" s="2" t="s">
        <v>23</v>
      </c>
      <c r="Q447" s="2" t="s">
        <v>54</v>
      </c>
      <c r="R447" s="16">
        <f>(Table1[[#This Row],[NET Amount]]-Table1[[#This Row],[Total Outstanding Amount]])/Table1[[#This Row],[NET Amount]]</f>
        <v>0</v>
      </c>
      <c r="S447" s="2" t="s">
        <v>97</v>
      </c>
    </row>
    <row r="448" spans="1:19" x14ac:dyDescent="0.3">
      <c r="A448" s="4">
        <v>446</v>
      </c>
      <c r="B448" s="2" t="s">
        <v>380</v>
      </c>
      <c r="C448" s="3">
        <v>44835</v>
      </c>
      <c r="D448" s="3" t="str">
        <f>TEXT(Table1[[#This Row],[Admission Date]],"MMMM")</f>
        <v>October</v>
      </c>
      <c r="E448" s="3">
        <v>44835</v>
      </c>
      <c r="F448" s="3">
        <v>44835</v>
      </c>
      <c r="G448" s="2">
        <v>22025257</v>
      </c>
      <c r="H448" s="2">
        <v>2234281</v>
      </c>
      <c r="I448" s="2">
        <v>10013453025</v>
      </c>
      <c r="J448" s="2" t="s">
        <v>435</v>
      </c>
      <c r="K448" s="10">
        <v>1274</v>
      </c>
      <c r="L448" s="10">
        <v>0</v>
      </c>
      <c r="M448" s="10">
        <v>1274</v>
      </c>
      <c r="N448" s="10">
        <v>0</v>
      </c>
      <c r="O448" s="10">
        <f>Table1[[#This Row],[NET Amount]]-Table1[[#This Row],[Paid Amount]]</f>
        <v>1274</v>
      </c>
      <c r="P448" s="2" t="s">
        <v>23</v>
      </c>
      <c r="Q448" s="2" t="s">
        <v>54</v>
      </c>
      <c r="R448" s="16">
        <f>(Table1[[#This Row],[NET Amount]]-Table1[[#This Row],[Total Outstanding Amount]])/Table1[[#This Row],[NET Amount]]</f>
        <v>0</v>
      </c>
      <c r="S448" s="2" t="s">
        <v>97</v>
      </c>
    </row>
    <row r="449" spans="1:19" x14ac:dyDescent="0.3">
      <c r="A449" s="4">
        <v>447</v>
      </c>
      <c r="B449" s="2" t="s">
        <v>45</v>
      </c>
      <c r="C449" s="3">
        <v>44841</v>
      </c>
      <c r="D449" s="3" t="str">
        <f>TEXT(Table1[[#This Row],[Admission Date]],"MMMM")</f>
        <v>October</v>
      </c>
      <c r="E449" s="3">
        <v>44841</v>
      </c>
      <c r="F449" s="3">
        <v>44841</v>
      </c>
      <c r="G449" s="2">
        <v>22026050</v>
      </c>
      <c r="H449" s="2">
        <v>2235075</v>
      </c>
      <c r="I449" s="2">
        <v>1001020879</v>
      </c>
      <c r="J449" s="2" t="s">
        <v>462</v>
      </c>
      <c r="K449" s="10">
        <v>2200</v>
      </c>
      <c r="L449" s="10">
        <v>0</v>
      </c>
      <c r="M449" s="10">
        <v>2200</v>
      </c>
      <c r="N449" s="10">
        <v>0</v>
      </c>
      <c r="O449" s="10">
        <f>Table1[[#This Row],[NET Amount]]-Table1[[#This Row],[Paid Amount]]</f>
        <v>2200</v>
      </c>
      <c r="P449" s="2" t="s">
        <v>23</v>
      </c>
      <c r="Q449" s="2" t="s">
        <v>147</v>
      </c>
      <c r="R449" s="16">
        <f>(Table1[[#This Row],[NET Amount]]-Table1[[#This Row],[Total Outstanding Amount]])/Table1[[#This Row],[NET Amount]]</f>
        <v>0</v>
      </c>
      <c r="S449" s="2" t="s">
        <v>97</v>
      </c>
    </row>
    <row r="450" spans="1:19" x14ac:dyDescent="0.3">
      <c r="A450" s="4">
        <v>448</v>
      </c>
      <c r="B450" s="2" t="s">
        <v>380</v>
      </c>
      <c r="C450" s="3">
        <v>44839</v>
      </c>
      <c r="D450" s="3" t="str">
        <f>TEXT(Table1[[#This Row],[Admission Date]],"MMMM")</f>
        <v>October</v>
      </c>
      <c r="E450" s="3">
        <v>44839</v>
      </c>
      <c r="F450" s="3">
        <v>44839</v>
      </c>
      <c r="G450" s="2">
        <v>22025772</v>
      </c>
      <c r="H450" s="2">
        <v>2234756</v>
      </c>
      <c r="I450" s="2">
        <v>10013276269</v>
      </c>
      <c r="J450" s="2" t="s">
        <v>403</v>
      </c>
      <c r="K450" s="10">
        <v>1274</v>
      </c>
      <c r="L450" s="10">
        <v>0</v>
      </c>
      <c r="M450" s="10">
        <v>1274</v>
      </c>
      <c r="N450" s="10">
        <v>0</v>
      </c>
      <c r="O450" s="10">
        <f>Table1[[#This Row],[NET Amount]]-Table1[[#This Row],[Paid Amount]]</f>
        <v>1274</v>
      </c>
      <c r="P450" s="2" t="s">
        <v>23</v>
      </c>
      <c r="Q450" s="2" t="s">
        <v>54</v>
      </c>
      <c r="R450" s="16">
        <f>(Table1[[#This Row],[NET Amount]]-Table1[[#This Row],[Total Outstanding Amount]])/Table1[[#This Row],[NET Amount]]</f>
        <v>0</v>
      </c>
      <c r="S450" s="2" t="s">
        <v>97</v>
      </c>
    </row>
    <row r="451" spans="1:19" x14ac:dyDescent="0.3">
      <c r="A451" s="4">
        <v>449</v>
      </c>
      <c r="B451" s="2" t="s">
        <v>28</v>
      </c>
      <c r="C451" s="3">
        <v>44839</v>
      </c>
      <c r="D451" s="3" t="str">
        <f>TEXT(Table1[[#This Row],[Admission Date]],"MMMM")</f>
        <v>October</v>
      </c>
      <c r="E451" s="3">
        <v>44839</v>
      </c>
      <c r="F451" s="3">
        <v>44839</v>
      </c>
      <c r="G451" s="2">
        <v>22025647</v>
      </c>
      <c r="H451" s="2">
        <v>2234687</v>
      </c>
      <c r="I451" s="2">
        <v>10013484190</v>
      </c>
      <c r="J451" s="2" t="s">
        <v>427</v>
      </c>
      <c r="K451" s="10">
        <v>2240</v>
      </c>
      <c r="L451" s="10">
        <v>0</v>
      </c>
      <c r="M451" s="10">
        <v>2240</v>
      </c>
      <c r="N451" s="10">
        <v>0</v>
      </c>
      <c r="O451" s="10">
        <f>Table1[[#This Row],[NET Amount]]-Table1[[#This Row],[Paid Amount]]</f>
        <v>2240</v>
      </c>
      <c r="P451" s="2" t="s">
        <v>23</v>
      </c>
      <c r="Q451" s="2" t="s">
        <v>54</v>
      </c>
      <c r="R451" s="16">
        <f>(Table1[[#This Row],[NET Amount]]-Table1[[#This Row],[Total Outstanding Amount]])/Table1[[#This Row],[NET Amount]]</f>
        <v>0</v>
      </c>
      <c r="S451" s="2" t="s">
        <v>97</v>
      </c>
    </row>
    <row r="452" spans="1:19" x14ac:dyDescent="0.3">
      <c r="A452" s="4">
        <v>450</v>
      </c>
      <c r="B452" s="2" t="s">
        <v>75</v>
      </c>
      <c r="C452" s="3">
        <v>44851</v>
      </c>
      <c r="D452" s="3" t="str">
        <f>TEXT(Table1[[#This Row],[Admission Date]],"MMMM")</f>
        <v>October</v>
      </c>
      <c r="E452" s="3">
        <v>44851</v>
      </c>
      <c r="F452" s="3">
        <v>44851</v>
      </c>
      <c r="G452" s="2">
        <v>22027476</v>
      </c>
      <c r="H452" s="2">
        <v>2236363</v>
      </c>
      <c r="I452" s="2">
        <v>1001040508</v>
      </c>
      <c r="J452" s="2" t="s">
        <v>463</v>
      </c>
      <c r="K452" s="10">
        <v>11903</v>
      </c>
      <c r="L452" s="10">
        <v>0</v>
      </c>
      <c r="M452" s="10">
        <v>11903</v>
      </c>
      <c r="N452" s="10">
        <v>0</v>
      </c>
      <c r="O452" s="10">
        <f>Table1[[#This Row],[NET Amount]]-Table1[[#This Row],[Paid Amount]]</f>
        <v>11903</v>
      </c>
      <c r="P452" s="2" t="s">
        <v>23</v>
      </c>
      <c r="Q452" s="2" t="s">
        <v>24</v>
      </c>
      <c r="R452" s="16">
        <f>(Table1[[#This Row],[NET Amount]]-Table1[[#This Row],[Total Outstanding Amount]])/Table1[[#This Row],[NET Amount]]</f>
        <v>0</v>
      </c>
      <c r="S452" s="2" t="s">
        <v>39</v>
      </c>
    </row>
    <row r="453" spans="1:19" x14ac:dyDescent="0.3">
      <c r="A453" s="4">
        <v>451</v>
      </c>
      <c r="B453" s="2" t="s">
        <v>407</v>
      </c>
      <c r="C453" s="3">
        <v>44841</v>
      </c>
      <c r="D453" s="3" t="str">
        <f>TEXT(Table1[[#This Row],[Admission Date]],"MMMM")</f>
        <v>October</v>
      </c>
      <c r="E453" s="3">
        <v>44853</v>
      </c>
      <c r="F453" s="3">
        <v>44853</v>
      </c>
      <c r="G453" s="2">
        <v>22027756</v>
      </c>
      <c r="H453" s="2">
        <v>2235067</v>
      </c>
      <c r="I453" s="2">
        <v>1001167517</v>
      </c>
      <c r="J453" s="2" t="s">
        <v>464</v>
      </c>
      <c r="K453" s="10">
        <v>129736</v>
      </c>
      <c r="L453" s="10">
        <v>0</v>
      </c>
      <c r="M453" s="10">
        <v>129736</v>
      </c>
      <c r="N453" s="10">
        <v>0</v>
      </c>
      <c r="O453" s="10">
        <f>Table1[[#This Row],[NET Amount]]-Table1[[#This Row],[Paid Amount]]</f>
        <v>129736</v>
      </c>
      <c r="P453" s="2" t="s">
        <v>23</v>
      </c>
      <c r="Q453" s="2" t="s">
        <v>24</v>
      </c>
      <c r="R453" s="16">
        <f>(Table1[[#This Row],[NET Amount]]-Table1[[#This Row],[Total Outstanding Amount]])/Table1[[#This Row],[NET Amount]]</f>
        <v>0</v>
      </c>
      <c r="S453" s="2" t="s">
        <v>20</v>
      </c>
    </row>
    <row r="454" spans="1:19" x14ac:dyDescent="0.3">
      <c r="A454" s="4">
        <v>452</v>
      </c>
      <c r="B454" s="2" t="s">
        <v>380</v>
      </c>
      <c r="C454" s="3">
        <v>44844</v>
      </c>
      <c r="D454" s="3" t="str">
        <f>TEXT(Table1[[#This Row],[Admission Date]],"MMMM")</f>
        <v>October</v>
      </c>
      <c r="E454" s="3">
        <v>44844</v>
      </c>
      <c r="F454" s="3">
        <v>44844</v>
      </c>
      <c r="G454" s="2">
        <v>22026469</v>
      </c>
      <c r="H454" s="2">
        <v>2235424</v>
      </c>
      <c r="I454" s="2">
        <v>1000961855</v>
      </c>
      <c r="J454" s="2" t="s">
        <v>439</v>
      </c>
      <c r="K454" s="10">
        <v>1274</v>
      </c>
      <c r="L454" s="10">
        <v>0</v>
      </c>
      <c r="M454" s="10">
        <v>1274</v>
      </c>
      <c r="N454" s="10">
        <v>0</v>
      </c>
      <c r="O454" s="10">
        <f>Table1[[#This Row],[NET Amount]]-Table1[[#This Row],[Paid Amount]]</f>
        <v>1274</v>
      </c>
      <c r="P454" s="2" t="s">
        <v>23</v>
      </c>
      <c r="Q454" s="2" t="s">
        <v>54</v>
      </c>
      <c r="R454" s="16">
        <f>(Table1[[#This Row],[NET Amount]]-Table1[[#This Row],[Total Outstanding Amount]])/Table1[[#This Row],[NET Amount]]</f>
        <v>0</v>
      </c>
      <c r="S454" s="2" t="s">
        <v>97</v>
      </c>
    </row>
    <row r="455" spans="1:19" x14ac:dyDescent="0.3">
      <c r="A455" s="4">
        <v>453</v>
      </c>
      <c r="B455" s="2" t="s">
        <v>75</v>
      </c>
      <c r="C455" s="3">
        <v>44855</v>
      </c>
      <c r="D455" s="3" t="str">
        <f>TEXT(Table1[[#This Row],[Admission Date]],"MMMM")</f>
        <v>October</v>
      </c>
      <c r="E455" s="3">
        <v>44855</v>
      </c>
      <c r="F455" s="3">
        <v>44855</v>
      </c>
      <c r="G455" s="2">
        <v>22027968</v>
      </c>
      <c r="H455" s="2">
        <v>2236868</v>
      </c>
      <c r="I455" s="2">
        <v>10013453991</v>
      </c>
      <c r="J455" s="2" t="s">
        <v>465</v>
      </c>
      <c r="K455" s="10">
        <v>1610</v>
      </c>
      <c r="L455" s="10">
        <v>0</v>
      </c>
      <c r="M455" s="10">
        <v>1610</v>
      </c>
      <c r="N455" s="10">
        <v>0</v>
      </c>
      <c r="O455" s="10">
        <f>Table1[[#This Row],[NET Amount]]-Table1[[#This Row],[Paid Amount]]</f>
        <v>1610</v>
      </c>
      <c r="P455" s="2" t="s">
        <v>23</v>
      </c>
      <c r="Q455" s="2" t="s">
        <v>54</v>
      </c>
      <c r="R455" s="16">
        <f>(Table1[[#This Row],[NET Amount]]-Table1[[#This Row],[Total Outstanding Amount]])/Table1[[#This Row],[NET Amount]]</f>
        <v>0</v>
      </c>
      <c r="S455" s="2" t="s">
        <v>97</v>
      </c>
    </row>
    <row r="456" spans="1:19" x14ac:dyDescent="0.3">
      <c r="A456" s="4">
        <v>454</v>
      </c>
      <c r="B456" s="2" t="s">
        <v>380</v>
      </c>
      <c r="C456" s="3">
        <v>44839</v>
      </c>
      <c r="D456" s="3" t="str">
        <f>TEXT(Table1[[#This Row],[Admission Date]],"MMMM")</f>
        <v>October</v>
      </c>
      <c r="E456" s="3">
        <v>44839</v>
      </c>
      <c r="F456" s="3">
        <v>44839</v>
      </c>
      <c r="G456" s="2">
        <v>22025725</v>
      </c>
      <c r="H456" s="2">
        <v>2234726</v>
      </c>
      <c r="I456" s="2">
        <v>1000889533</v>
      </c>
      <c r="J456" s="2" t="s">
        <v>466</v>
      </c>
      <c r="K456" s="10">
        <v>1274</v>
      </c>
      <c r="L456" s="10">
        <v>0</v>
      </c>
      <c r="M456" s="10">
        <v>1274</v>
      </c>
      <c r="N456" s="10">
        <v>0</v>
      </c>
      <c r="O456" s="10">
        <f>Table1[[#This Row],[NET Amount]]-Table1[[#This Row],[Paid Amount]]</f>
        <v>1274</v>
      </c>
      <c r="P456" s="2" t="s">
        <v>23</v>
      </c>
      <c r="Q456" s="2" t="s">
        <v>54</v>
      </c>
      <c r="R456" s="16">
        <f>(Table1[[#This Row],[NET Amount]]-Table1[[#This Row],[Total Outstanding Amount]])/Table1[[#This Row],[NET Amount]]</f>
        <v>0</v>
      </c>
      <c r="S456" s="2" t="s">
        <v>97</v>
      </c>
    </row>
    <row r="457" spans="1:19" x14ac:dyDescent="0.3">
      <c r="A457" s="4">
        <v>455</v>
      </c>
      <c r="B457" s="2" t="s">
        <v>380</v>
      </c>
      <c r="C457" s="3">
        <v>44853</v>
      </c>
      <c r="D457" s="3" t="str">
        <f>TEXT(Table1[[#This Row],[Admission Date]],"MMMM")</f>
        <v>October</v>
      </c>
      <c r="E457" s="3">
        <v>44853</v>
      </c>
      <c r="F457" s="3">
        <v>44853</v>
      </c>
      <c r="G457" s="2">
        <v>22027784</v>
      </c>
      <c r="H457" s="2">
        <v>2236668</v>
      </c>
      <c r="I457" s="2">
        <v>10013506167</v>
      </c>
      <c r="J457" s="2" t="s">
        <v>467</v>
      </c>
      <c r="K457" s="10">
        <v>1274</v>
      </c>
      <c r="L457" s="10">
        <v>0</v>
      </c>
      <c r="M457" s="10">
        <v>1274</v>
      </c>
      <c r="N457" s="10">
        <v>0</v>
      </c>
      <c r="O457" s="10">
        <f>Table1[[#This Row],[NET Amount]]-Table1[[#This Row],[Paid Amount]]</f>
        <v>1274</v>
      </c>
      <c r="P457" s="2" t="s">
        <v>23</v>
      </c>
      <c r="Q457" s="2" t="s">
        <v>54</v>
      </c>
      <c r="R457" s="16">
        <f>(Table1[[#This Row],[NET Amount]]-Table1[[#This Row],[Total Outstanding Amount]])/Table1[[#This Row],[NET Amount]]</f>
        <v>0</v>
      </c>
      <c r="S457" s="2" t="s">
        <v>97</v>
      </c>
    </row>
    <row r="458" spans="1:19" x14ac:dyDescent="0.3">
      <c r="A458" s="4">
        <v>456</v>
      </c>
      <c r="B458" s="2" t="s">
        <v>2258</v>
      </c>
      <c r="C458" s="3">
        <v>44862</v>
      </c>
      <c r="D458" s="3" t="str">
        <f>TEXT(Table1[[#This Row],[Admission Date]],"MMMM")</f>
        <v>October</v>
      </c>
      <c r="E458" s="3">
        <v>44862</v>
      </c>
      <c r="F458" s="3">
        <v>44862</v>
      </c>
      <c r="G458" s="2">
        <v>22028971</v>
      </c>
      <c r="H458" s="2">
        <v>2237848</v>
      </c>
      <c r="I458" s="2">
        <v>1001797077</v>
      </c>
      <c r="J458" s="2" t="s">
        <v>468</v>
      </c>
      <c r="K458" s="10">
        <v>1610</v>
      </c>
      <c r="L458" s="10">
        <v>0</v>
      </c>
      <c r="M458" s="10">
        <v>1610</v>
      </c>
      <c r="N458" s="10">
        <v>0</v>
      </c>
      <c r="O458" s="10">
        <f>Table1[[#This Row],[NET Amount]]-Table1[[#This Row],[Paid Amount]]</f>
        <v>1610</v>
      </c>
      <c r="P458" s="2" t="s">
        <v>23</v>
      </c>
      <c r="Q458" s="2" t="s">
        <v>54</v>
      </c>
      <c r="R458" s="16">
        <f>(Table1[[#This Row],[NET Amount]]-Table1[[#This Row],[Total Outstanding Amount]])/Table1[[#This Row],[NET Amount]]</f>
        <v>0</v>
      </c>
      <c r="S458" s="2" t="s">
        <v>97</v>
      </c>
    </row>
    <row r="459" spans="1:19" x14ac:dyDescent="0.3">
      <c r="A459" s="4">
        <v>457</v>
      </c>
      <c r="B459" s="2" t="s">
        <v>2263</v>
      </c>
      <c r="C459" s="3">
        <v>44853</v>
      </c>
      <c r="D459" s="3" t="str">
        <f>TEXT(Table1[[#This Row],[Admission Date]],"MMMM")</f>
        <v>October</v>
      </c>
      <c r="E459" s="3">
        <v>44853</v>
      </c>
      <c r="F459" s="3">
        <v>44853</v>
      </c>
      <c r="G459" s="2">
        <v>22027650</v>
      </c>
      <c r="H459" s="2">
        <v>2236582</v>
      </c>
      <c r="I459" s="2">
        <v>1001367923</v>
      </c>
      <c r="J459" s="2" t="s">
        <v>391</v>
      </c>
      <c r="K459" s="10">
        <v>1274</v>
      </c>
      <c r="L459" s="10">
        <v>0</v>
      </c>
      <c r="M459" s="10">
        <v>1274</v>
      </c>
      <c r="N459" s="10">
        <v>0</v>
      </c>
      <c r="O459" s="10">
        <f>Table1[[#This Row],[NET Amount]]-Table1[[#This Row],[Paid Amount]]</f>
        <v>1274</v>
      </c>
      <c r="P459" s="2" t="s">
        <v>23</v>
      </c>
      <c r="Q459" s="2" t="s">
        <v>54</v>
      </c>
      <c r="R459" s="16">
        <f>(Table1[[#This Row],[NET Amount]]-Table1[[#This Row],[Total Outstanding Amount]])/Table1[[#This Row],[NET Amount]]</f>
        <v>0</v>
      </c>
      <c r="S459" s="2" t="s">
        <v>97</v>
      </c>
    </row>
    <row r="460" spans="1:19" x14ac:dyDescent="0.3">
      <c r="A460" s="4">
        <v>458</v>
      </c>
      <c r="B460" s="2" t="s">
        <v>2253</v>
      </c>
      <c r="C460" s="3">
        <v>44851</v>
      </c>
      <c r="D460" s="3" t="str">
        <f>TEXT(Table1[[#This Row],[Admission Date]],"MMMM")</f>
        <v>October</v>
      </c>
      <c r="E460" s="3">
        <v>44853</v>
      </c>
      <c r="F460" s="3">
        <v>44853</v>
      </c>
      <c r="G460" s="2">
        <v>22027759</v>
      </c>
      <c r="H460" s="2">
        <v>2236313</v>
      </c>
      <c r="I460" s="2">
        <v>1001375172</v>
      </c>
      <c r="J460" s="2" t="s">
        <v>469</v>
      </c>
      <c r="K460" s="10">
        <v>92168</v>
      </c>
      <c r="L460" s="10">
        <v>0</v>
      </c>
      <c r="M460" s="10">
        <v>92168</v>
      </c>
      <c r="N460" s="10">
        <v>0</v>
      </c>
      <c r="O460" s="10">
        <f>Table1[[#This Row],[NET Amount]]-Table1[[#This Row],[Paid Amount]]</f>
        <v>92168</v>
      </c>
      <c r="P460" s="2" t="s">
        <v>23</v>
      </c>
      <c r="Q460" s="2" t="s">
        <v>24</v>
      </c>
      <c r="R460" s="16">
        <f>(Table1[[#This Row],[NET Amount]]-Table1[[#This Row],[Total Outstanding Amount]])/Table1[[#This Row],[NET Amount]]</f>
        <v>0</v>
      </c>
      <c r="S460" s="2" t="s">
        <v>201</v>
      </c>
    </row>
    <row r="461" spans="1:19" x14ac:dyDescent="0.3">
      <c r="A461" s="4">
        <v>459</v>
      </c>
      <c r="B461" s="2" t="s">
        <v>2253</v>
      </c>
      <c r="C461" s="3">
        <v>44848</v>
      </c>
      <c r="D461" s="3" t="str">
        <f>TEXT(Table1[[#This Row],[Admission Date]],"MMMM")</f>
        <v>October</v>
      </c>
      <c r="E461" s="3">
        <v>44848</v>
      </c>
      <c r="F461" s="3">
        <v>44848</v>
      </c>
      <c r="G461" s="2">
        <v>22027056</v>
      </c>
      <c r="H461" s="2">
        <v>2235981</v>
      </c>
      <c r="I461" s="2">
        <v>1001729640</v>
      </c>
      <c r="J461" s="2" t="s">
        <v>470</v>
      </c>
      <c r="K461" s="10">
        <v>1610</v>
      </c>
      <c r="L461" s="10">
        <v>0</v>
      </c>
      <c r="M461" s="10">
        <v>1610</v>
      </c>
      <c r="N461" s="10">
        <v>0</v>
      </c>
      <c r="O461" s="10">
        <f>Table1[[#This Row],[NET Amount]]-Table1[[#This Row],[Paid Amount]]</f>
        <v>1610</v>
      </c>
      <c r="P461" s="2" t="s">
        <v>23</v>
      </c>
      <c r="Q461" s="2" t="s">
        <v>54</v>
      </c>
      <c r="R461" s="16">
        <f>(Table1[[#This Row],[NET Amount]]-Table1[[#This Row],[Total Outstanding Amount]])/Table1[[#This Row],[NET Amount]]</f>
        <v>0</v>
      </c>
      <c r="S461" s="2" t="s">
        <v>97</v>
      </c>
    </row>
    <row r="462" spans="1:19" x14ac:dyDescent="0.3">
      <c r="A462" s="4">
        <v>460</v>
      </c>
      <c r="B462" s="2" t="s">
        <v>2258</v>
      </c>
      <c r="C462" s="3">
        <v>44838</v>
      </c>
      <c r="D462" s="3" t="str">
        <f>TEXT(Table1[[#This Row],[Admission Date]],"MMMM")</f>
        <v>October</v>
      </c>
      <c r="E462" s="3">
        <v>44838</v>
      </c>
      <c r="F462" s="3">
        <v>44838</v>
      </c>
      <c r="G462" s="2">
        <v>22025553</v>
      </c>
      <c r="H462" s="2">
        <v>2234567</v>
      </c>
      <c r="I462" s="2">
        <v>1001765693</v>
      </c>
      <c r="J462" s="2" t="s">
        <v>401</v>
      </c>
      <c r="K462" s="10">
        <v>1610</v>
      </c>
      <c r="L462" s="10">
        <v>0</v>
      </c>
      <c r="M462" s="10">
        <v>1610</v>
      </c>
      <c r="N462" s="10">
        <v>0</v>
      </c>
      <c r="O462" s="10">
        <f>Table1[[#This Row],[NET Amount]]-Table1[[#This Row],[Paid Amount]]</f>
        <v>1610</v>
      </c>
      <c r="P462" s="2" t="s">
        <v>23</v>
      </c>
      <c r="Q462" s="2" t="s">
        <v>54</v>
      </c>
      <c r="R462" s="16">
        <f>(Table1[[#This Row],[NET Amount]]-Table1[[#This Row],[Total Outstanding Amount]])/Table1[[#This Row],[NET Amount]]</f>
        <v>0</v>
      </c>
      <c r="S462" s="2" t="s">
        <v>97</v>
      </c>
    </row>
    <row r="463" spans="1:19" x14ac:dyDescent="0.3">
      <c r="A463" s="4">
        <v>461</v>
      </c>
      <c r="B463" s="2" t="s">
        <v>2263</v>
      </c>
      <c r="C463" s="3">
        <v>44858</v>
      </c>
      <c r="D463" s="3" t="str">
        <f>TEXT(Table1[[#This Row],[Admission Date]],"MMMM")</f>
        <v>October</v>
      </c>
      <c r="E463" s="3">
        <v>44858</v>
      </c>
      <c r="F463" s="3">
        <v>44858</v>
      </c>
      <c r="G463" s="2">
        <v>22028443</v>
      </c>
      <c r="H463" s="2">
        <v>2237234</v>
      </c>
      <c r="I463" s="2">
        <v>1001684202</v>
      </c>
      <c r="J463" s="2" t="s">
        <v>446</v>
      </c>
      <c r="K463" s="10">
        <v>1274</v>
      </c>
      <c r="L463" s="10">
        <v>0</v>
      </c>
      <c r="M463" s="10">
        <v>1274</v>
      </c>
      <c r="N463" s="10">
        <v>0</v>
      </c>
      <c r="O463" s="10">
        <f>Table1[[#This Row],[NET Amount]]-Table1[[#This Row],[Paid Amount]]</f>
        <v>1274</v>
      </c>
      <c r="P463" s="2" t="s">
        <v>23</v>
      </c>
      <c r="Q463" s="2" t="s">
        <v>54</v>
      </c>
      <c r="R463" s="16">
        <f>(Table1[[#This Row],[NET Amount]]-Table1[[#This Row],[Total Outstanding Amount]])/Table1[[#This Row],[NET Amount]]</f>
        <v>0</v>
      </c>
      <c r="S463" s="2" t="s">
        <v>97</v>
      </c>
    </row>
    <row r="464" spans="1:19" x14ac:dyDescent="0.3">
      <c r="A464" s="4">
        <v>462</v>
      </c>
      <c r="B464" s="2" t="s">
        <v>380</v>
      </c>
      <c r="C464" s="3">
        <v>44838</v>
      </c>
      <c r="D464" s="3" t="str">
        <f>TEXT(Table1[[#This Row],[Admission Date]],"MMMM")</f>
        <v>October</v>
      </c>
      <c r="E464" s="3">
        <v>44838</v>
      </c>
      <c r="F464" s="3">
        <v>44838</v>
      </c>
      <c r="G464" s="2">
        <v>22025616</v>
      </c>
      <c r="H464" s="2">
        <v>2234618</v>
      </c>
      <c r="I464" s="2">
        <v>10013520283</v>
      </c>
      <c r="J464" s="2" t="s">
        <v>402</v>
      </c>
      <c r="K464" s="10">
        <v>1274</v>
      </c>
      <c r="L464" s="10">
        <v>0</v>
      </c>
      <c r="M464" s="10">
        <v>1274</v>
      </c>
      <c r="N464" s="10">
        <v>0</v>
      </c>
      <c r="O464" s="10">
        <f>Table1[[#This Row],[NET Amount]]-Table1[[#This Row],[Paid Amount]]</f>
        <v>1274</v>
      </c>
      <c r="P464" s="2" t="s">
        <v>23</v>
      </c>
      <c r="Q464" s="2" t="s">
        <v>54</v>
      </c>
      <c r="R464" s="16">
        <f>(Table1[[#This Row],[NET Amount]]-Table1[[#This Row],[Total Outstanding Amount]])/Table1[[#This Row],[NET Amount]]</f>
        <v>0</v>
      </c>
      <c r="S464" s="2" t="s">
        <v>97</v>
      </c>
    </row>
    <row r="465" spans="1:19" x14ac:dyDescent="0.3">
      <c r="A465" s="4">
        <v>463</v>
      </c>
      <c r="B465" s="2" t="s">
        <v>380</v>
      </c>
      <c r="C465" s="3">
        <v>44840</v>
      </c>
      <c r="D465" s="3" t="str">
        <f>TEXT(Table1[[#This Row],[Admission Date]],"MMMM")</f>
        <v>October</v>
      </c>
      <c r="E465" s="3">
        <v>44842</v>
      </c>
      <c r="F465" s="3">
        <v>44843</v>
      </c>
      <c r="G465" s="2">
        <v>22026281</v>
      </c>
      <c r="H465" s="2">
        <v>2234909</v>
      </c>
      <c r="I465" s="2">
        <v>10013531598</v>
      </c>
      <c r="J465" s="2" t="s">
        <v>372</v>
      </c>
      <c r="K465" s="10">
        <v>163868</v>
      </c>
      <c r="L465" s="10">
        <v>0</v>
      </c>
      <c r="M465" s="10">
        <v>163868</v>
      </c>
      <c r="N465" s="10">
        <v>0</v>
      </c>
      <c r="O465" s="10">
        <f>Table1[[#This Row],[NET Amount]]-Table1[[#This Row],[Paid Amount]]</f>
        <v>163868</v>
      </c>
      <c r="P465" s="2" t="s">
        <v>23</v>
      </c>
      <c r="Q465" s="2" t="s">
        <v>406</v>
      </c>
      <c r="R465" s="16">
        <f>(Table1[[#This Row],[NET Amount]]-Table1[[#This Row],[Total Outstanding Amount]])/Table1[[#This Row],[NET Amount]]</f>
        <v>0</v>
      </c>
      <c r="S465" s="2" t="s">
        <v>39</v>
      </c>
    </row>
    <row r="466" spans="1:19" x14ac:dyDescent="0.3">
      <c r="A466" s="4">
        <v>464</v>
      </c>
      <c r="B466" s="2" t="s">
        <v>2258</v>
      </c>
      <c r="C466" s="3">
        <v>44860</v>
      </c>
      <c r="D466" s="3" t="str">
        <f>TEXT(Table1[[#This Row],[Admission Date]],"MMMM")</f>
        <v>October</v>
      </c>
      <c r="E466" s="3">
        <v>44861</v>
      </c>
      <c r="F466" s="3">
        <v>44861</v>
      </c>
      <c r="G466" s="2">
        <v>22028817</v>
      </c>
      <c r="H466" s="2">
        <v>2237582</v>
      </c>
      <c r="I466" s="2">
        <v>1001330247</v>
      </c>
      <c r="J466" s="2" t="s">
        <v>471</v>
      </c>
      <c r="K466" s="10">
        <v>12162</v>
      </c>
      <c r="L466" s="10">
        <v>0</v>
      </c>
      <c r="M466" s="10">
        <v>12162</v>
      </c>
      <c r="N466" s="10">
        <v>0</v>
      </c>
      <c r="O466" s="10">
        <f>Table1[[#This Row],[NET Amount]]-Table1[[#This Row],[Paid Amount]]</f>
        <v>12162</v>
      </c>
      <c r="P466" s="2" t="s">
        <v>23</v>
      </c>
      <c r="Q466" s="2" t="s">
        <v>24</v>
      </c>
      <c r="R466" s="16">
        <f>(Table1[[#This Row],[NET Amount]]-Table1[[#This Row],[Total Outstanding Amount]])/Table1[[#This Row],[NET Amount]]</f>
        <v>0</v>
      </c>
      <c r="S466" s="2" t="s">
        <v>20</v>
      </c>
    </row>
    <row r="467" spans="1:19" x14ac:dyDescent="0.3">
      <c r="A467" s="4">
        <v>465</v>
      </c>
      <c r="B467" s="2" t="s">
        <v>2263</v>
      </c>
      <c r="C467" s="3">
        <v>44846</v>
      </c>
      <c r="D467" s="3" t="str">
        <f>TEXT(Table1[[#This Row],[Admission Date]],"MMMM")</f>
        <v>October</v>
      </c>
      <c r="E467" s="3">
        <v>44846</v>
      </c>
      <c r="F467" s="3">
        <v>44846</v>
      </c>
      <c r="G467" s="2">
        <v>22026799</v>
      </c>
      <c r="H467" s="2">
        <v>2235753</v>
      </c>
      <c r="I467" s="2">
        <v>1001699417</v>
      </c>
      <c r="J467" s="2" t="s">
        <v>472</v>
      </c>
      <c r="K467" s="10">
        <v>1274</v>
      </c>
      <c r="L467" s="10">
        <v>0</v>
      </c>
      <c r="M467" s="10">
        <v>1274</v>
      </c>
      <c r="N467" s="10">
        <v>0</v>
      </c>
      <c r="O467" s="10">
        <f>Table1[[#This Row],[NET Amount]]-Table1[[#This Row],[Paid Amount]]</f>
        <v>1274</v>
      </c>
      <c r="P467" s="2" t="s">
        <v>23</v>
      </c>
      <c r="Q467" s="2" t="s">
        <v>54</v>
      </c>
      <c r="R467" s="16">
        <f>(Table1[[#This Row],[NET Amount]]-Table1[[#This Row],[Total Outstanding Amount]])/Table1[[#This Row],[NET Amount]]</f>
        <v>0</v>
      </c>
      <c r="S467" s="2" t="s">
        <v>97</v>
      </c>
    </row>
    <row r="468" spans="1:19" x14ac:dyDescent="0.3">
      <c r="A468" s="4">
        <v>466</v>
      </c>
      <c r="B468" s="2" t="s">
        <v>2263</v>
      </c>
      <c r="C468" s="3">
        <v>44842</v>
      </c>
      <c r="D468" s="3" t="str">
        <f>TEXT(Table1[[#This Row],[Admission Date]],"MMMM")</f>
        <v>October</v>
      </c>
      <c r="E468" s="3">
        <v>44842</v>
      </c>
      <c r="F468" s="3">
        <v>44842</v>
      </c>
      <c r="G468" s="2">
        <v>22026187</v>
      </c>
      <c r="H468" s="2">
        <v>2235185</v>
      </c>
      <c r="I468" s="2">
        <v>1001712791</v>
      </c>
      <c r="J468" s="2" t="s">
        <v>450</v>
      </c>
      <c r="K468" s="10">
        <v>1274</v>
      </c>
      <c r="L468" s="10">
        <v>0</v>
      </c>
      <c r="M468" s="10">
        <v>1274</v>
      </c>
      <c r="N468" s="10">
        <v>0</v>
      </c>
      <c r="O468" s="10">
        <f>Table1[[#This Row],[NET Amount]]-Table1[[#This Row],[Paid Amount]]</f>
        <v>1274</v>
      </c>
      <c r="P468" s="2" t="s">
        <v>23</v>
      </c>
      <c r="Q468" s="2" t="s">
        <v>54</v>
      </c>
      <c r="R468" s="16">
        <f>(Table1[[#This Row],[NET Amount]]-Table1[[#This Row],[Total Outstanding Amount]])/Table1[[#This Row],[NET Amount]]</f>
        <v>0</v>
      </c>
      <c r="S468" s="2" t="s">
        <v>97</v>
      </c>
    </row>
    <row r="469" spans="1:19" x14ac:dyDescent="0.3">
      <c r="A469" s="4">
        <v>467</v>
      </c>
      <c r="B469" s="2" t="s">
        <v>380</v>
      </c>
      <c r="C469" s="3">
        <v>44857</v>
      </c>
      <c r="D469" s="3" t="str">
        <f>TEXT(Table1[[#This Row],[Admission Date]],"MMMM")</f>
        <v>October</v>
      </c>
      <c r="E469" s="3">
        <v>44857</v>
      </c>
      <c r="F469" s="3">
        <v>44857</v>
      </c>
      <c r="G469" s="2">
        <v>22028349</v>
      </c>
      <c r="H469" s="2">
        <v>2237134</v>
      </c>
      <c r="I469" s="2">
        <v>10013435866</v>
      </c>
      <c r="J469" s="2" t="s">
        <v>473</v>
      </c>
      <c r="K469" s="10">
        <v>1274</v>
      </c>
      <c r="L469" s="10">
        <v>0</v>
      </c>
      <c r="M469" s="10">
        <v>1274</v>
      </c>
      <c r="N469" s="10">
        <v>0</v>
      </c>
      <c r="O469" s="10">
        <f>Table1[[#This Row],[NET Amount]]-Table1[[#This Row],[Paid Amount]]</f>
        <v>1274</v>
      </c>
      <c r="P469" s="2" t="s">
        <v>23</v>
      </c>
      <c r="Q469" s="2" t="s">
        <v>54</v>
      </c>
      <c r="R469" s="16">
        <f>(Table1[[#This Row],[NET Amount]]-Table1[[#This Row],[Total Outstanding Amount]])/Table1[[#This Row],[NET Amount]]</f>
        <v>0</v>
      </c>
      <c r="S469" s="2" t="s">
        <v>97</v>
      </c>
    </row>
    <row r="470" spans="1:19" x14ac:dyDescent="0.3">
      <c r="A470" s="4">
        <v>468</v>
      </c>
      <c r="B470" s="2" t="s">
        <v>2263</v>
      </c>
      <c r="C470" s="3">
        <v>44852</v>
      </c>
      <c r="D470" s="3" t="str">
        <f>TEXT(Table1[[#This Row],[Admission Date]],"MMMM")</f>
        <v>October</v>
      </c>
      <c r="E470" s="3">
        <v>44852</v>
      </c>
      <c r="F470" s="3">
        <v>44852</v>
      </c>
      <c r="G470" s="2">
        <v>22027536</v>
      </c>
      <c r="H470" s="2">
        <v>2236453</v>
      </c>
      <c r="I470" s="2">
        <v>1001449196</v>
      </c>
      <c r="J470" s="2" t="s">
        <v>398</v>
      </c>
      <c r="K470" s="10">
        <v>1274</v>
      </c>
      <c r="L470" s="10">
        <v>0</v>
      </c>
      <c r="M470" s="10">
        <v>1274</v>
      </c>
      <c r="N470" s="10">
        <v>0</v>
      </c>
      <c r="O470" s="10">
        <f>Table1[[#This Row],[NET Amount]]-Table1[[#This Row],[Paid Amount]]</f>
        <v>1274</v>
      </c>
      <c r="P470" s="2" t="s">
        <v>23</v>
      </c>
      <c r="Q470" s="2" t="s">
        <v>54</v>
      </c>
      <c r="R470" s="16">
        <f>(Table1[[#This Row],[NET Amount]]-Table1[[#This Row],[Total Outstanding Amount]])/Table1[[#This Row],[NET Amount]]</f>
        <v>0</v>
      </c>
      <c r="S470" s="2" t="s">
        <v>97</v>
      </c>
    </row>
    <row r="471" spans="1:19" x14ac:dyDescent="0.3">
      <c r="A471" s="4">
        <v>469</v>
      </c>
      <c r="B471" s="2" t="s">
        <v>407</v>
      </c>
      <c r="C471" s="3">
        <v>44832</v>
      </c>
      <c r="D471" s="3" t="str">
        <f>TEXT(Table1[[#This Row],[Admission Date]],"MMMM")</f>
        <v>September</v>
      </c>
      <c r="E471" s="3">
        <v>44839</v>
      </c>
      <c r="F471" s="3">
        <v>44839</v>
      </c>
      <c r="G471" s="2">
        <v>22025685</v>
      </c>
      <c r="H471" s="2">
        <v>2233786</v>
      </c>
      <c r="I471" s="2">
        <v>10013540656</v>
      </c>
      <c r="J471" s="2" t="s">
        <v>474</v>
      </c>
      <c r="K471" s="10">
        <v>55707</v>
      </c>
      <c r="L471" s="10">
        <v>0</v>
      </c>
      <c r="M471" s="10">
        <v>55707</v>
      </c>
      <c r="N471" s="10">
        <v>0</v>
      </c>
      <c r="O471" s="10">
        <f>Table1[[#This Row],[NET Amount]]-Table1[[#This Row],[Paid Amount]]</f>
        <v>55707</v>
      </c>
      <c r="P471" s="2" t="s">
        <v>23</v>
      </c>
      <c r="Q471" s="2" t="s">
        <v>19</v>
      </c>
      <c r="R471" s="16">
        <f>(Table1[[#This Row],[NET Amount]]-Table1[[#This Row],[Total Outstanding Amount]])/Table1[[#This Row],[NET Amount]]</f>
        <v>0</v>
      </c>
      <c r="S471" s="2" t="s">
        <v>20</v>
      </c>
    </row>
    <row r="472" spans="1:19" x14ac:dyDescent="0.3">
      <c r="A472" s="4">
        <v>470</v>
      </c>
      <c r="B472" s="2" t="s">
        <v>2253</v>
      </c>
      <c r="C472" s="3">
        <v>44860</v>
      </c>
      <c r="D472" s="3" t="str">
        <f>TEXT(Table1[[#This Row],[Admission Date]],"MMMM")</f>
        <v>October</v>
      </c>
      <c r="E472" s="3">
        <v>44860</v>
      </c>
      <c r="F472" s="3">
        <v>44860</v>
      </c>
      <c r="G472" s="2">
        <v>22028640</v>
      </c>
      <c r="H472" s="2">
        <v>2237509</v>
      </c>
      <c r="I472" s="2">
        <v>1001777526</v>
      </c>
      <c r="J472" s="2" t="s">
        <v>411</v>
      </c>
      <c r="K472" s="10">
        <v>1610</v>
      </c>
      <c r="L472" s="10">
        <v>0</v>
      </c>
      <c r="M472" s="10">
        <v>1610</v>
      </c>
      <c r="N472" s="10">
        <v>0</v>
      </c>
      <c r="O472" s="10">
        <f>Table1[[#This Row],[NET Amount]]-Table1[[#This Row],[Paid Amount]]</f>
        <v>1610</v>
      </c>
      <c r="P472" s="2" t="s">
        <v>23</v>
      </c>
      <c r="Q472" s="2" t="s">
        <v>54</v>
      </c>
      <c r="R472" s="16">
        <f>(Table1[[#This Row],[NET Amount]]-Table1[[#This Row],[Total Outstanding Amount]])/Table1[[#This Row],[NET Amount]]</f>
        <v>0</v>
      </c>
      <c r="S472" s="2" t="s">
        <v>97</v>
      </c>
    </row>
    <row r="473" spans="1:19" x14ac:dyDescent="0.3">
      <c r="A473" s="4">
        <v>471</v>
      </c>
      <c r="B473" s="2" t="s">
        <v>2260</v>
      </c>
      <c r="C473" s="3">
        <v>44851</v>
      </c>
      <c r="D473" s="3" t="str">
        <f>TEXT(Table1[[#This Row],[Admission Date]],"MMMM")</f>
        <v>October</v>
      </c>
      <c r="E473" s="3">
        <v>44851</v>
      </c>
      <c r="F473" s="3">
        <v>44851</v>
      </c>
      <c r="G473" s="2">
        <v>22027449</v>
      </c>
      <c r="H473" s="2">
        <v>2236347</v>
      </c>
      <c r="I473" s="2">
        <v>1001756832</v>
      </c>
      <c r="J473" s="2" t="s">
        <v>326</v>
      </c>
      <c r="K473" s="10">
        <v>1610</v>
      </c>
      <c r="L473" s="10">
        <v>0</v>
      </c>
      <c r="M473" s="10">
        <v>1610</v>
      </c>
      <c r="N473" s="10">
        <v>0</v>
      </c>
      <c r="O473" s="10">
        <f>Table1[[#This Row],[NET Amount]]-Table1[[#This Row],[Paid Amount]]</f>
        <v>1610</v>
      </c>
      <c r="P473" s="2" t="s">
        <v>23</v>
      </c>
      <c r="Q473" s="2" t="s">
        <v>54</v>
      </c>
      <c r="R473" s="16">
        <f>(Table1[[#This Row],[NET Amount]]-Table1[[#This Row],[Total Outstanding Amount]])/Table1[[#This Row],[NET Amount]]</f>
        <v>0</v>
      </c>
      <c r="S473" s="2" t="s">
        <v>97</v>
      </c>
    </row>
    <row r="474" spans="1:19" x14ac:dyDescent="0.3">
      <c r="A474" s="4">
        <v>472</v>
      </c>
      <c r="B474" s="2" t="s">
        <v>2253</v>
      </c>
      <c r="C474" s="3">
        <v>44848</v>
      </c>
      <c r="D474" s="3" t="str">
        <f>TEXT(Table1[[#This Row],[Admission Date]],"MMMM")</f>
        <v>October</v>
      </c>
      <c r="E474" s="3">
        <v>44848</v>
      </c>
      <c r="F474" s="3">
        <v>44848</v>
      </c>
      <c r="G474" s="2">
        <v>22027077</v>
      </c>
      <c r="H474" s="2">
        <v>2235946</v>
      </c>
      <c r="I474" s="2">
        <v>1001583741</v>
      </c>
      <c r="J474" s="2" t="s">
        <v>475</v>
      </c>
      <c r="K474" s="10">
        <v>13743</v>
      </c>
      <c r="L474" s="10">
        <v>0</v>
      </c>
      <c r="M474" s="10">
        <v>13743</v>
      </c>
      <c r="N474" s="10">
        <v>0</v>
      </c>
      <c r="O474" s="10">
        <f>Table1[[#This Row],[NET Amount]]-Table1[[#This Row],[Paid Amount]]</f>
        <v>13743</v>
      </c>
      <c r="P474" s="2" t="s">
        <v>23</v>
      </c>
      <c r="Q474" s="2" t="s">
        <v>19</v>
      </c>
      <c r="R474" s="16">
        <f>(Table1[[#This Row],[NET Amount]]-Table1[[#This Row],[Total Outstanding Amount]])/Table1[[#This Row],[NET Amount]]</f>
        <v>0</v>
      </c>
      <c r="S474" s="2" t="s">
        <v>39</v>
      </c>
    </row>
    <row r="475" spans="1:19" x14ac:dyDescent="0.3">
      <c r="A475" s="4">
        <v>473</v>
      </c>
      <c r="B475" s="2" t="s">
        <v>380</v>
      </c>
      <c r="C475" s="3">
        <v>44856</v>
      </c>
      <c r="D475" s="3" t="str">
        <f>TEXT(Table1[[#This Row],[Admission Date]],"MMMM")</f>
        <v>October</v>
      </c>
      <c r="E475" s="3">
        <v>44856</v>
      </c>
      <c r="F475" s="3">
        <v>44856</v>
      </c>
      <c r="G475" s="2">
        <v>22028273</v>
      </c>
      <c r="H475" s="2">
        <v>2237076</v>
      </c>
      <c r="I475" s="2">
        <v>1001590721</v>
      </c>
      <c r="J475" s="2" t="s">
        <v>461</v>
      </c>
      <c r="K475" s="10">
        <v>1274</v>
      </c>
      <c r="L475" s="10">
        <v>0</v>
      </c>
      <c r="M475" s="10">
        <v>1274</v>
      </c>
      <c r="N475" s="10">
        <v>0</v>
      </c>
      <c r="O475" s="10">
        <f>Table1[[#This Row],[NET Amount]]-Table1[[#This Row],[Paid Amount]]</f>
        <v>1274</v>
      </c>
      <c r="P475" s="2" t="s">
        <v>23</v>
      </c>
      <c r="Q475" s="2" t="s">
        <v>54</v>
      </c>
      <c r="R475" s="16">
        <f>(Table1[[#This Row],[NET Amount]]-Table1[[#This Row],[Total Outstanding Amount]])/Table1[[#This Row],[NET Amount]]</f>
        <v>0</v>
      </c>
      <c r="S475" s="2" t="s">
        <v>97</v>
      </c>
    </row>
    <row r="476" spans="1:19" x14ac:dyDescent="0.3">
      <c r="A476" s="4">
        <v>474</v>
      </c>
      <c r="B476" s="2" t="s">
        <v>75</v>
      </c>
      <c r="C476" s="3">
        <v>44859</v>
      </c>
      <c r="D476" s="3" t="str">
        <f>TEXT(Table1[[#This Row],[Admission Date]],"MMMM")</f>
        <v>October</v>
      </c>
      <c r="E476" s="3">
        <v>44859</v>
      </c>
      <c r="F476" s="3">
        <v>44859</v>
      </c>
      <c r="G476" s="2">
        <v>22028521</v>
      </c>
      <c r="H476" s="2">
        <v>2237308</v>
      </c>
      <c r="I476" s="2">
        <v>1001300172</v>
      </c>
      <c r="J476" s="2" t="s">
        <v>400</v>
      </c>
      <c r="K476" s="10">
        <v>1610</v>
      </c>
      <c r="L476" s="10">
        <v>0</v>
      </c>
      <c r="M476" s="10">
        <v>1610</v>
      </c>
      <c r="N476" s="10">
        <v>0</v>
      </c>
      <c r="O476" s="10">
        <f>Table1[[#This Row],[NET Amount]]-Table1[[#This Row],[Paid Amount]]</f>
        <v>1610</v>
      </c>
      <c r="P476" s="2" t="s">
        <v>23</v>
      </c>
      <c r="Q476" s="2" t="s">
        <v>54</v>
      </c>
      <c r="R476" s="16">
        <f>(Table1[[#This Row],[NET Amount]]-Table1[[#This Row],[Total Outstanding Amount]])/Table1[[#This Row],[NET Amount]]</f>
        <v>0</v>
      </c>
      <c r="S476" s="2" t="s">
        <v>97</v>
      </c>
    </row>
    <row r="477" spans="1:19" x14ac:dyDescent="0.3">
      <c r="A477" s="4">
        <v>475</v>
      </c>
      <c r="B477" s="2" t="s">
        <v>2253</v>
      </c>
      <c r="C477" s="3">
        <v>44851</v>
      </c>
      <c r="D477" s="3" t="str">
        <f>TEXT(Table1[[#This Row],[Admission Date]],"MMMM")</f>
        <v>October</v>
      </c>
      <c r="E477" s="3">
        <v>44851</v>
      </c>
      <c r="F477" s="3">
        <v>44851</v>
      </c>
      <c r="G477" s="2">
        <v>22027448</v>
      </c>
      <c r="H477" s="2">
        <v>2236343</v>
      </c>
      <c r="I477" s="2">
        <v>1001803044</v>
      </c>
      <c r="J477" s="2" t="s">
        <v>426</v>
      </c>
      <c r="K477" s="10">
        <v>1610</v>
      </c>
      <c r="L477" s="10">
        <v>0</v>
      </c>
      <c r="M477" s="10">
        <v>1610</v>
      </c>
      <c r="N477" s="10">
        <v>0</v>
      </c>
      <c r="O477" s="10">
        <f>Table1[[#This Row],[NET Amount]]-Table1[[#This Row],[Paid Amount]]</f>
        <v>1610</v>
      </c>
      <c r="P477" s="2" t="s">
        <v>23</v>
      </c>
      <c r="Q477" s="2" t="s">
        <v>54</v>
      </c>
      <c r="R477" s="16">
        <f>(Table1[[#This Row],[NET Amount]]-Table1[[#This Row],[Total Outstanding Amount]])/Table1[[#This Row],[NET Amount]]</f>
        <v>0</v>
      </c>
      <c r="S477" s="2" t="s">
        <v>97</v>
      </c>
    </row>
    <row r="478" spans="1:19" x14ac:dyDescent="0.3">
      <c r="A478" s="4">
        <v>476</v>
      </c>
      <c r="B478" s="2" t="s">
        <v>50</v>
      </c>
      <c r="C478" s="3">
        <v>44838</v>
      </c>
      <c r="D478" s="3" t="str">
        <f>TEXT(Table1[[#This Row],[Admission Date]],"MMMM")</f>
        <v>October</v>
      </c>
      <c r="E478" s="3">
        <v>44838</v>
      </c>
      <c r="F478" s="3">
        <v>44838</v>
      </c>
      <c r="G478" s="2">
        <v>22025556</v>
      </c>
      <c r="H478" s="2">
        <v>2234557</v>
      </c>
      <c r="I478" s="2">
        <v>10013511637</v>
      </c>
      <c r="J478" s="2" t="s">
        <v>476</v>
      </c>
      <c r="K478" s="10">
        <v>2200</v>
      </c>
      <c r="L478" s="10">
        <v>0</v>
      </c>
      <c r="M478" s="10">
        <v>2200</v>
      </c>
      <c r="N478" s="10">
        <v>0</v>
      </c>
      <c r="O478" s="10">
        <f>Table1[[#This Row],[NET Amount]]-Table1[[#This Row],[Paid Amount]]</f>
        <v>2200</v>
      </c>
      <c r="P478" s="2" t="s">
        <v>23</v>
      </c>
      <c r="Q478" s="2" t="s">
        <v>147</v>
      </c>
      <c r="R478" s="16">
        <f>(Table1[[#This Row],[NET Amount]]-Table1[[#This Row],[Total Outstanding Amount]])/Table1[[#This Row],[NET Amount]]</f>
        <v>0</v>
      </c>
      <c r="S478" s="2" t="s">
        <v>97</v>
      </c>
    </row>
    <row r="479" spans="1:19" x14ac:dyDescent="0.3">
      <c r="A479" s="4">
        <v>477</v>
      </c>
      <c r="B479" s="2" t="s">
        <v>380</v>
      </c>
      <c r="C479" s="3">
        <v>44837</v>
      </c>
      <c r="D479" s="3" t="str">
        <f>TEXT(Table1[[#This Row],[Admission Date]],"MMMM")</f>
        <v>October</v>
      </c>
      <c r="E479" s="3">
        <v>44837</v>
      </c>
      <c r="F479" s="3">
        <v>44837</v>
      </c>
      <c r="G479" s="2">
        <v>22025463</v>
      </c>
      <c r="H479" s="2">
        <v>2234483</v>
      </c>
      <c r="I479" s="2">
        <v>1001086099</v>
      </c>
      <c r="J479" s="2" t="s">
        <v>477</v>
      </c>
      <c r="K479" s="10">
        <v>1274</v>
      </c>
      <c r="L479" s="10">
        <v>0</v>
      </c>
      <c r="M479" s="10">
        <v>1274</v>
      </c>
      <c r="N479" s="10">
        <v>0</v>
      </c>
      <c r="O479" s="10">
        <f>Table1[[#This Row],[NET Amount]]-Table1[[#This Row],[Paid Amount]]</f>
        <v>1274</v>
      </c>
      <c r="P479" s="2" t="s">
        <v>23</v>
      </c>
      <c r="Q479" s="2" t="s">
        <v>54</v>
      </c>
      <c r="R479" s="16">
        <f>(Table1[[#This Row],[NET Amount]]-Table1[[#This Row],[Total Outstanding Amount]])/Table1[[#This Row],[NET Amount]]</f>
        <v>0</v>
      </c>
      <c r="S479" s="2" t="s">
        <v>97</v>
      </c>
    </row>
    <row r="480" spans="1:19" x14ac:dyDescent="0.3">
      <c r="A480" s="4">
        <v>478</v>
      </c>
      <c r="B480" s="2" t="s">
        <v>380</v>
      </c>
      <c r="C480" s="3">
        <v>44865</v>
      </c>
      <c r="D480" s="3" t="str">
        <f>TEXT(Table1[[#This Row],[Admission Date]],"MMMM")</f>
        <v>October</v>
      </c>
      <c r="E480" s="3">
        <v>44865</v>
      </c>
      <c r="F480" s="3">
        <v>44865</v>
      </c>
      <c r="G480" s="2">
        <v>22029264</v>
      </c>
      <c r="H480" s="2">
        <v>2238141</v>
      </c>
      <c r="I480" s="2">
        <v>10013435866</v>
      </c>
      <c r="J480" s="2" t="s">
        <v>473</v>
      </c>
      <c r="K480" s="10">
        <v>1274</v>
      </c>
      <c r="L480" s="10">
        <v>0</v>
      </c>
      <c r="M480" s="10">
        <v>1274</v>
      </c>
      <c r="N480" s="10">
        <v>0</v>
      </c>
      <c r="O480" s="10">
        <f>Table1[[#This Row],[NET Amount]]-Table1[[#This Row],[Paid Amount]]</f>
        <v>1274</v>
      </c>
      <c r="P480" s="2" t="s">
        <v>23</v>
      </c>
      <c r="Q480" s="2" t="s">
        <v>54</v>
      </c>
      <c r="R480" s="16">
        <f>(Table1[[#This Row],[NET Amount]]-Table1[[#This Row],[Total Outstanding Amount]])/Table1[[#This Row],[NET Amount]]</f>
        <v>0</v>
      </c>
      <c r="S480" s="2" t="s">
        <v>97</v>
      </c>
    </row>
    <row r="481" spans="1:19" x14ac:dyDescent="0.3">
      <c r="A481" s="4">
        <v>479</v>
      </c>
      <c r="B481" s="2" t="s">
        <v>2265</v>
      </c>
      <c r="C481" s="3">
        <v>44861</v>
      </c>
      <c r="D481" s="3" t="str">
        <f>TEXT(Table1[[#This Row],[Admission Date]],"MMMM")</f>
        <v>October</v>
      </c>
      <c r="E481" s="3">
        <v>44861</v>
      </c>
      <c r="F481" s="3">
        <v>44861</v>
      </c>
      <c r="G481" s="2">
        <v>22028773</v>
      </c>
      <c r="H481" s="2">
        <v>2237647</v>
      </c>
      <c r="I481" s="2">
        <v>1001806533</v>
      </c>
      <c r="J481" s="2" t="s">
        <v>478</v>
      </c>
      <c r="K481" s="10">
        <v>2950</v>
      </c>
      <c r="L481" s="10">
        <v>0</v>
      </c>
      <c r="M481" s="10">
        <v>2950</v>
      </c>
      <c r="N481" s="10">
        <v>0</v>
      </c>
      <c r="O481" s="10">
        <f>Table1[[#This Row],[NET Amount]]-Table1[[#This Row],[Paid Amount]]</f>
        <v>2950</v>
      </c>
      <c r="P481" s="2" t="s">
        <v>23</v>
      </c>
      <c r="Q481" s="2" t="s">
        <v>147</v>
      </c>
      <c r="R481" s="16">
        <f>(Table1[[#This Row],[NET Amount]]-Table1[[#This Row],[Total Outstanding Amount]])/Table1[[#This Row],[NET Amount]]</f>
        <v>0</v>
      </c>
      <c r="S481" s="2" t="s">
        <v>97</v>
      </c>
    </row>
    <row r="482" spans="1:19" x14ac:dyDescent="0.3">
      <c r="A482" s="4">
        <v>480</v>
      </c>
      <c r="B482" s="2" t="s">
        <v>75</v>
      </c>
      <c r="C482" s="3">
        <v>44865</v>
      </c>
      <c r="D482" s="3" t="str">
        <f>TEXT(Table1[[#This Row],[Admission Date]],"MMMM")</f>
        <v>October</v>
      </c>
      <c r="E482" s="3">
        <v>44865</v>
      </c>
      <c r="F482" s="3">
        <v>44865</v>
      </c>
      <c r="G482" s="2">
        <v>22029272</v>
      </c>
      <c r="H482" s="2">
        <v>2238159</v>
      </c>
      <c r="I482" s="2">
        <v>10013480632</v>
      </c>
      <c r="J482" s="2" t="s">
        <v>210</v>
      </c>
      <c r="K482" s="10">
        <v>1610</v>
      </c>
      <c r="L482" s="10">
        <v>0</v>
      </c>
      <c r="M482" s="10">
        <v>1610</v>
      </c>
      <c r="N482" s="10">
        <v>0</v>
      </c>
      <c r="O482" s="10">
        <f>Table1[[#This Row],[NET Amount]]-Table1[[#This Row],[Paid Amount]]</f>
        <v>1610</v>
      </c>
      <c r="P482" s="2" t="s">
        <v>23</v>
      </c>
      <c r="Q482" s="2" t="s">
        <v>54</v>
      </c>
      <c r="R482" s="16">
        <f>(Table1[[#This Row],[NET Amount]]-Table1[[#This Row],[Total Outstanding Amount]])/Table1[[#This Row],[NET Amount]]</f>
        <v>0</v>
      </c>
      <c r="S482" s="2" t="s">
        <v>97</v>
      </c>
    </row>
    <row r="483" spans="1:19" x14ac:dyDescent="0.3">
      <c r="A483" s="4">
        <v>481</v>
      </c>
      <c r="B483" s="2" t="s">
        <v>139</v>
      </c>
      <c r="C483" s="3">
        <v>44849</v>
      </c>
      <c r="D483" s="3" t="str">
        <f>TEXT(Table1[[#This Row],[Admission Date]],"MMMM")</f>
        <v>October</v>
      </c>
      <c r="E483" s="3">
        <v>44849</v>
      </c>
      <c r="F483" s="3">
        <v>44849</v>
      </c>
      <c r="G483" s="2">
        <v>22027209</v>
      </c>
      <c r="H483" s="2">
        <v>2236132</v>
      </c>
      <c r="I483" s="2">
        <v>1000947591</v>
      </c>
      <c r="J483" s="2" t="s">
        <v>146</v>
      </c>
      <c r="K483" s="10">
        <v>2200</v>
      </c>
      <c r="L483" s="10">
        <v>0</v>
      </c>
      <c r="M483" s="10">
        <v>2200</v>
      </c>
      <c r="N483" s="10">
        <v>0</v>
      </c>
      <c r="O483" s="10">
        <f>Table1[[#This Row],[NET Amount]]-Table1[[#This Row],[Paid Amount]]</f>
        <v>2200</v>
      </c>
      <c r="P483" s="2" t="s">
        <v>23</v>
      </c>
      <c r="Q483" s="2" t="s">
        <v>147</v>
      </c>
      <c r="R483" s="16">
        <f>(Table1[[#This Row],[NET Amount]]-Table1[[#This Row],[Total Outstanding Amount]])/Table1[[#This Row],[NET Amount]]</f>
        <v>0</v>
      </c>
      <c r="S483" s="2" t="s">
        <v>97</v>
      </c>
    </row>
    <row r="484" spans="1:19" x14ac:dyDescent="0.3">
      <c r="A484" s="4">
        <v>482</v>
      </c>
      <c r="B484" s="2" t="s">
        <v>380</v>
      </c>
      <c r="C484" s="3">
        <v>44845</v>
      </c>
      <c r="D484" s="3" t="str">
        <f>TEXT(Table1[[#This Row],[Admission Date]],"MMMM")</f>
        <v>October</v>
      </c>
      <c r="E484" s="3">
        <v>44845</v>
      </c>
      <c r="F484" s="3">
        <v>44845</v>
      </c>
      <c r="G484" s="2">
        <v>22026633</v>
      </c>
      <c r="H484" s="2">
        <v>2235586</v>
      </c>
      <c r="I484" s="2">
        <v>10013520283</v>
      </c>
      <c r="J484" s="2" t="s">
        <v>402</v>
      </c>
      <c r="K484" s="10">
        <v>1274</v>
      </c>
      <c r="L484" s="10">
        <v>0</v>
      </c>
      <c r="M484" s="10">
        <v>1274</v>
      </c>
      <c r="N484" s="10">
        <v>0</v>
      </c>
      <c r="O484" s="10">
        <f>Table1[[#This Row],[NET Amount]]-Table1[[#This Row],[Paid Amount]]</f>
        <v>1274</v>
      </c>
      <c r="P484" s="2" t="s">
        <v>23</v>
      </c>
      <c r="Q484" s="2" t="s">
        <v>54</v>
      </c>
      <c r="R484" s="16">
        <f>(Table1[[#This Row],[NET Amount]]-Table1[[#This Row],[Total Outstanding Amount]])/Table1[[#This Row],[NET Amount]]</f>
        <v>0</v>
      </c>
      <c r="S484" s="2" t="s">
        <v>97</v>
      </c>
    </row>
    <row r="485" spans="1:19" x14ac:dyDescent="0.3">
      <c r="A485" s="4">
        <v>483</v>
      </c>
      <c r="B485" s="2" t="s">
        <v>2253</v>
      </c>
      <c r="C485" s="3">
        <v>44860</v>
      </c>
      <c r="D485" s="3" t="str">
        <f>TEXT(Table1[[#This Row],[Admission Date]],"MMMM")</f>
        <v>October</v>
      </c>
      <c r="E485" s="3">
        <v>44860</v>
      </c>
      <c r="F485" s="3">
        <v>44860</v>
      </c>
      <c r="G485" s="2">
        <v>22028642</v>
      </c>
      <c r="H485" s="2">
        <v>2237515</v>
      </c>
      <c r="I485" s="2">
        <v>1001692673</v>
      </c>
      <c r="J485" s="2" t="s">
        <v>383</v>
      </c>
      <c r="K485" s="10">
        <v>1610</v>
      </c>
      <c r="L485" s="10">
        <v>0</v>
      </c>
      <c r="M485" s="10">
        <v>1610</v>
      </c>
      <c r="N485" s="10">
        <v>0</v>
      </c>
      <c r="O485" s="10">
        <f>Table1[[#This Row],[NET Amount]]-Table1[[#This Row],[Paid Amount]]</f>
        <v>1610</v>
      </c>
      <c r="P485" s="2" t="s">
        <v>23</v>
      </c>
      <c r="Q485" s="2" t="s">
        <v>54</v>
      </c>
      <c r="R485" s="16">
        <f>(Table1[[#This Row],[NET Amount]]-Table1[[#This Row],[Total Outstanding Amount]])/Table1[[#This Row],[NET Amount]]</f>
        <v>0</v>
      </c>
      <c r="S485" s="2" t="s">
        <v>97</v>
      </c>
    </row>
    <row r="486" spans="1:19" x14ac:dyDescent="0.3">
      <c r="A486" s="4">
        <v>484</v>
      </c>
      <c r="B486" s="2" t="s">
        <v>50</v>
      </c>
      <c r="C486" s="3">
        <v>44848</v>
      </c>
      <c r="D486" s="3" t="str">
        <f>TEXT(Table1[[#This Row],[Admission Date]],"MMMM")</f>
        <v>October</v>
      </c>
      <c r="E486" s="3">
        <v>44848</v>
      </c>
      <c r="F486" s="3">
        <v>44848</v>
      </c>
      <c r="G486" s="2">
        <v>22027037</v>
      </c>
      <c r="H486" s="2">
        <v>2235960</v>
      </c>
      <c r="I486" s="2">
        <v>10013511637</v>
      </c>
      <c r="J486" s="2" t="s">
        <v>476</v>
      </c>
      <c r="K486" s="10">
        <v>2200</v>
      </c>
      <c r="L486" s="10">
        <v>0</v>
      </c>
      <c r="M486" s="10">
        <v>2200</v>
      </c>
      <c r="N486" s="10">
        <v>0</v>
      </c>
      <c r="O486" s="10">
        <f>Table1[[#This Row],[NET Amount]]-Table1[[#This Row],[Paid Amount]]</f>
        <v>2200</v>
      </c>
      <c r="P486" s="2" t="s">
        <v>23</v>
      </c>
      <c r="Q486" s="2" t="s">
        <v>147</v>
      </c>
      <c r="R486" s="16">
        <f>(Table1[[#This Row],[NET Amount]]-Table1[[#This Row],[Total Outstanding Amount]])/Table1[[#This Row],[NET Amount]]</f>
        <v>0</v>
      </c>
      <c r="S486" s="2" t="s">
        <v>97</v>
      </c>
    </row>
    <row r="487" spans="1:19" x14ac:dyDescent="0.3">
      <c r="A487" s="4">
        <v>485</v>
      </c>
      <c r="B487" s="2" t="s">
        <v>178</v>
      </c>
      <c r="C487" s="3">
        <v>44835</v>
      </c>
      <c r="D487" s="3" t="str">
        <f>TEXT(Table1[[#This Row],[Admission Date]],"MMMM")</f>
        <v>October</v>
      </c>
      <c r="E487" s="3">
        <v>44835</v>
      </c>
      <c r="F487" s="3">
        <v>44835</v>
      </c>
      <c r="G487" s="2">
        <v>22025234</v>
      </c>
      <c r="H487" s="2">
        <v>2234244</v>
      </c>
      <c r="I487" s="2">
        <v>10013519562</v>
      </c>
      <c r="J487" s="2" t="s">
        <v>479</v>
      </c>
      <c r="K487" s="10">
        <v>2200</v>
      </c>
      <c r="L487" s="10">
        <v>0</v>
      </c>
      <c r="M487" s="10">
        <v>2200</v>
      </c>
      <c r="N487" s="10">
        <v>0</v>
      </c>
      <c r="O487" s="10">
        <f>Table1[[#This Row],[NET Amount]]-Table1[[#This Row],[Paid Amount]]</f>
        <v>2200</v>
      </c>
      <c r="P487" s="2" t="s">
        <v>23</v>
      </c>
      <c r="Q487" s="2" t="s">
        <v>147</v>
      </c>
      <c r="R487" s="16">
        <f>(Table1[[#This Row],[NET Amount]]-Table1[[#This Row],[Total Outstanding Amount]])/Table1[[#This Row],[NET Amount]]</f>
        <v>0</v>
      </c>
      <c r="S487" s="2" t="s">
        <v>97</v>
      </c>
    </row>
    <row r="488" spans="1:19" x14ac:dyDescent="0.3">
      <c r="A488" s="4">
        <v>486</v>
      </c>
      <c r="B488" s="2" t="s">
        <v>2253</v>
      </c>
      <c r="C488" s="3">
        <v>44841</v>
      </c>
      <c r="D488" s="3" t="str">
        <f>TEXT(Table1[[#This Row],[Admission Date]],"MMMM")</f>
        <v>October</v>
      </c>
      <c r="E488" s="3">
        <v>44841</v>
      </c>
      <c r="F488" s="3">
        <v>44841</v>
      </c>
      <c r="G488" s="2">
        <v>22026011</v>
      </c>
      <c r="H488" s="2">
        <v>2235034</v>
      </c>
      <c r="I488" s="2">
        <v>1001692673</v>
      </c>
      <c r="J488" s="2" t="s">
        <v>383</v>
      </c>
      <c r="K488" s="10">
        <v>1610</v>
      </c>
      <c r="L488" s="10">
        <v>0</v>
      </c>
      <c r="M488" s="10">
        <v>1610</v>
      </c>
      <c r="N488" s="10">
        <v>0</v>
      </c>
      <c r="O488" s="10">
        <f>Table1[[#This Row],[NET Amount]]-Table1[[#This Row],[Paid Amount]]</f>
        <v>1610</v>
      </c>
      <c r="P488" s="2" t="s">
        <v>23</v>
      </c>
      <c r="Q488" s="2" t="s">
        <v>54</v>
      </c>
      <c r="R488" s="16">
        <f>(Table1[[#This Row],[NET Amount]]-Table1[[#This Row],[Total Outstanding Amount]])/Table1[[#This Row],[NET Amount]]</f>
        <v>0</v>
      </c>
      <c r="S488" s="2" t="s">
        <v>97</v>
      </c>
    </row>
    <row r="489" spans="1:19" x14ac:dyDescent="0.3">
      <c r="A489" s="4">
        <v>487</v>
      </c>
      <c r="B489" s="2" t="s">
        <v>380</v>
      </c>
      <c r="C489" s="3">
        <v>44853</v>
      </c>
      <c r="D489" s="3" t="str">
        <f>TEXT(Table1[[#This Row],[Admission Date]],"MMMM")</f>
        <v>October</v>
      </c>
      <c r="E489" s="3">
        <v>44853</v>
      </c>
      <c r="F489" s="3">
        <v>44853</v>
      </c>
      <c r="G489" s="2">
        <v>22027728</v>
      </c>
      <c r="H489" s="2">
        <v>2236635</v>
      </c>
      <c r="I489" s="2">
        <v>10013241267</v>
      </c>
      <c r="J489" s="2" t="s">
        <v>480</v>
      </c>
      <c r="K489" s="10">
        <v>1274</v>
      </c>
      <c r="L489" s="10">
        <v>0</v>
      </c>
      <c r="M489" s="10">
        <v>1274</v>
      </c>
      <c r="N489" s="10">
        <v>0</v>
      </c>
      <c r="O489" s="10">
        <f>Table1[[#This Row],[NET Amount]]-Table1[[#This Row],[Paid Amount]]</f>
        <v>1274</v>
      </c>
      <c r="P489" s="2" t="s">
        <v>23</v>
      </c>
      <c r="Q489" s="2" t="s">
        <v>54</v>
      </c>
      <c r="R489" s="16">
        <f>(Table1[[#This Row],[NET Amount]]-Table1[[#This Row],[Total Outstanding Amount]])/Table1[[#This Row],[NET Amount]]</f>
        <v>0</v>
      </c>
      <c r="S489" s="2" t="s">
        <v>97</v>
      </c>
    </row>
    <row r="490" spans="1:19" x14ac:dyDescent="0.3">
      <c r="A490" s="4">
        <v>488</v>
      </c>
      <c r="B490" s="2" t="s">
        <v>380</v>
      </c>
      <c r="C490" s="3">
        <v>44863</v>
      </c>
      <c r="D490" s="3" t="str">
        <f>TEXT(Table1[[#This Row],[Admission Date]],"MMMM")</f>
        <v>October</v>
      </c>
      <c r="E490" s="3">
        <v>44863</v>
      </c>
      <c r="F490" s="3">
        <v>44863</v>
      </c>
      <c r="G490" s="2">
        <v>22029167</v>
      </c>
      <c r="H490" s="2">
        <v>2238038</v>
      </c>
      <c r="I490" s="2">
        <v>10013507516</v>
      </c>
      <c r="J490" s="2" t="s">
        <v>481</v>
      </c>
      <c r="K490" s="10">
        <v>1274</v>
      </c>
      <c r="L490" s="10">
        <v>0</v>
      </c>
      <c r="M490" s="10">
        <v>1274</v>
      </c>
      <c r="N490" s="10">
        <v>0</v>
      </c>
      <c r="O490" s="10">
        <f>Table1[[#This Row],[NET Amount]]-Table1[[#This Row],[Paid Amount]]</f>
        <v>1274</v>
      </c>
      <c r="P490" s="2" t="s">
        <v>23</v>
      </c>
      <c r="Q490" s="2" t="s">
        <v>54</v>
      </c>
      <c r="R490" s="16">
        <f>(Table1[[#This Row],[NET Amount]]-Table1[[#This Row],[Total Outstanding Amount]])/Table1[[#This Row],[NET Amount]]</f>
        <v>0</v>
      </c>
      <c r="S490" s="2" t="s">
        <v>97</v>
      </c>
    </row>
    <row r="491" spans="1:19" x14ac:dyDescent="0.3">
      <c r="A491" s="4">
        <v>489</v>
      </c>
      <c r="B491" s="2" t="s">
        <v>45</v>
      </c>
      <c r="C491" s="3">
        <v>44838</v>
      </c>
      <c r="D491" s="3" t="str">
        <f>TEXT(Table1[[#This Row],[Admission Date]],"MMMM")</f>
        <v>October</v>
      </c>
      <c r="E491" s="3">
        <v>44838</v>
      </c>
      <c r="F491" s="3">
        <v>44838</v>
      </c>
      <c r="G491" s="2">
        <v>22025622</v>
      </c>
      <c r="H491" s="2">
        <v>2234628</v>
      </c>
      <c r="I491" s="2">
        <v>1001020879</v>
      </c>
      <c r="J491" s="2" t="s">
        <v>462</v>
      </c>
      <c r="K491" s="10">
        <v>2200</v>
      </c>
      <c r="L491" s="10">
        <v>0</v>
      </c>
      <c r="M491" s="10">
        <v>2200</v>
      </c>
      <c r="N491" s="10">
        <v>0</v>
      </c>
      <c r="O491" s="10">
        <f>Table1[[#This Row],[NET Amount]]-Table1[[#This Row],[Paid Amount]]</f>
        <v>2200</v>
      </c>
      <c r="P491" s="2" t="s">
        <v>23</v>
      </c>
      <c r="Q491" s="2" t="s">
        <v>147</v>
      </c>
      <c r="R491" s="16">
        <f>(Table1[[#This Row],[NET Amount]]-Table1[[#This Row],[Total Outstanding Amount]])/Table1[[#This Row],[NET Amount]]</f>
        <v>0</v>
      </c>
      <c r="S491" s="2" t="s">
        <v>97</v>
      </c>
    </row>
    <row r="492" spans="1:19" x14ac:dyDescent="0.3">
      <c r="A492" s="4">
        <v>490</v>
      </c>
      <c r="B492" s="2" t="s">
        <v>2264</v>
      </c>
      <c r="C492" s="3">
        <v>44863</v>
      </c>
      <c r="D492" s="3" t="str">
        <f>TEXT(Table1[[#This Row],[Admission Date]],"MMMM")</f>
        <v>October</v>
      </c>
      <c r="E492" s="3">
        <v>44863</v>
      </c>
      <c r="F492" s="3">
        <v>44863</v>
      </c>
      <c r="G492" s="2">
        <v>22029149</v>
      </c>
      <c r="H492" s="2">
        <v>2238025</v>
      </c>
      <c r="I492" s="2">
        <v>1001445916</v>
      </c>
      <c r="J492" s="2" t="s">
        <v>445</v>
      </c>
      <c r="K492" s="10">
        <v>2000</v>
      </c>
      <c r="L492" s="10">
        <v>0</v>
      </c>
      <c r="M492" s="10">
        <v>2000</v>
      </c>
      <c r="N492" s="10">
        <v>0</v>
      </c>
      <c r="O492" s="10">
        <f>Table1[[#This Row],[NET Amount]]-Table1[[#This Row],[Paid Amount]]</f>
        <v>2000</v>
      </c>
      <c r="P492" s="2" t="s">
        <v>23</v>
      </c>
      <c r="Q492" s="2" t="s">
        <v>54</v>
      </c>
      <c r="R492" s="16">
        <f>(Table1[[#This Row],[NET Amount]]-Table1[[#This Row],[Total Outstanding Amount]])/Table1[[#This Row],[NET Amount]]</f>
        <v>0</v>
      </c>
      <c r="S492" s="2" t="s">
        <v>97</v>
      </c>
    </row>
    <row r="493" spans="1:19" x14ac:dyDescent="0.3">
      <c r="A493" s="4">
        <v>491</v>
      </c>
      <c r="B493" s="2" t="s">
        <v>2253</v>
      </c>
      <c r="C493" s="3">
        <v>44841</v>
      </c>
      <c r="D493" s="3" t="str">
        <f>TEXT(Table1[[#This Row],[Admission Date]],"MMMM")</f>
        <v>October</v>
      </c>
      <c r="E493" s="3">
        <v>44841</v>
      </c>
      <c r="F493" s="3">
        <v>44841</v>
      </c>
      <c r="G493" s="2">
        <v>22026043</v>
      </c>
      <c r="H493" s="2">
        <v>2235073</v>
      </c>
      <c r="I493" s="2">
        <v>1001777526</v>
      </c>
      <c r="J493" s="2" t="s">
        <v>411</v>
      </c>
      <c r="K493" s="10">
        <v>1610</v>
      </c>
      <c r="L493" s="10">
        <v>0</v>
      </c>
      <c r="M493" s="10">
        <v>1610</v>
      </c>
      <c r="N493" s="10">
        <v>0</v>
      </c>
      <c r="O493" s="10">
        <f>Table1[[#This Row],[NET Amount]]-Table1[[#This Row],[Paid Amount]]</f>
        <v>1610</v>
      </c>
      <c r="P493" s="2" t="s">
        <v>23</v>
      </c>
      <c r="Q493" s="2" t="s">
        <v>54</v>
      </c>
      <c r="R493" s="16">
        <f>(Table1[[#This Row],[NET Amount]]-Table1[[#This Row],[Total Outstanding Amount]])/Table1[[#This Row],[NET Amount]]</f>
        <v>0</v>
      </c>
      <c r="S493" s="2" t="s">
        <v>97</v>
      </c>
    </row>
    <row r="494" spans="1:19" x14ac:dyDescent="0.3">
      <c r="A494" s="4">
        <v>492</v>
      </c>
      <c r="B494" s="2" t="s">
        <v>28</v>
      </c>
      <c r="C494" s="3">
        <v>44862</v>
      </c>
      <c r="D494" s="3" t="str">
        <f>TEXT(Table1[[#This Row],[Admission Date]],"MMMM")</f>
        <v>October</v>
      </c>
      <c r="E494" s="3">
        <v>44862</v>
      </c>
      <c r="F494" s="3">
        <v>44862</v>
      </c>
      <c r="G494" s="2">
        <v>22028869</v>
      </c>
      <c r="H494" s="2">
        <v>2237755</v>
      </c>
      <c r="I494" s="2">
        <v>10013484190</v>
      </c>
      <c r="J494" s="2" t="s">
        <v>427</v>
      </c>
      <c r="K494" s="10">
        <v>2240</v>
      </c>
      <c r="L494" s="10">
        <v>0</v>
      </c>
      <c r="M494" s="10">
        <v>2240</v>
      </c>
      <c r="N494" s="10">
        <v>0</v>
      </c>
      <c r="O494" s="10">
        <f>Table1[[#This Row],[NET Amount]]-Table1[[#This Row],[Paid Amount]]</f>
        <v>2240</v>
      </c>
      <c r="P494" s="2" t="s">
        <v>23</v>
      </c>
      <c r="Q494" s="2" t="s">
        <v>54</v>
      </c>
      <c r="R494" s="16">
        <f>(Table1[[#This Row],[NET Amount]]-Table1[[#This Row],[Total Outstanding Amount]])/Table1[[#This Row],[NET Amount]]</f>
        <v>0</v>
      </c>
      <c r="S494" s="2" t="s">
        <v>97</v>
      </c>
    </row>
    <row r="495" spans="1:19" x14ac:dyDescent="0.3">
      <c r="A495" s="4">
        <v>493</v>
      </c>
      <c r="B495" s="2" t="s">
        <v>380</v>
      </c>
      <c r="C495" s="3">
        <v>44857</v>
      </c>
      <c r="D495" s="3" t="str">
        <f>TEXT(Table1[[#This Row],[Admission Date]],"MMMM")</f>
        <v>October</v>
      </c>
      <c r="E495" s="3">
        <v>44857</v>
      </c>
      <c r="F495" s="3">
        <v>44857</v>
      </c>
      <c r="G495" s="2">
        <v>22028375</v>
      </c>
      <c r="H495" s="2">
        <v>2237157</v>
      </c>
      <c r="I495" s="2">
        <v>1000947753</v>
      </c>
      <c r="J495" s="2" t="s">
        <v>432</v>
      </c>
      <c r="K495" s="10">
        <v>1274</v>
      </c>
      <c r="L495" s="10">
        <v>0</v>
      </c>
      <c r="M495" s="10">
        <v>1274</v>
      </c>
      <c r="N495" s="10">
        <v>0</v>
      </c>
      <c r="O495" s="10">
        <f>Table1[[#This Row],[NET Amount]]-Table1[[#This Row],[Paid Amount]]</f>
        <v>1274</v>
      </c>
      <c r="P495" s="2" t="s">
        <v>23</v>
      </c>
      <c r="Q495" s="2" t="s">
        <v>54</v>
      </c>
      <c r="R495" s="16">
        <f>(Table1[[#This Row],[NET Amount]]-Table1[[#This Row],[Total Outstanding Amount]])/Table1[[#This Row],[NET Amount]]</f>
        <v>0</v>
      </c>
      <c r="S495" s="2" t="s">
        <v>97</v>
      </c>
    </row>
    <row r="496" spans="1:19" x14ac:dyDescent="0.3">
      <c r="A496" s="4">
        <v>494</v>
      </c>
      <c r="B496" s="2" t="s">
        <v>380</v>
      </c>
      <c r="C496" s="3">
        <v>44835</v>
      </c>
      <c r="D496" s="3" t="str">
        <f>TEXT(Table1[[#This Row],[Admission Date]],"MMMM")</f>
        <v>October</v>
      </c>
      <c r="E496" s="3">
        <v>44835</v>
      </c>
      <c r="F496" s="3">
        <v>44835</v>
      </c>
      <c r="G496" s="2">
        <v>22025251</v>
      </c>
      <c r="H496" s="2">
        <v>2234275</v>
      </c>
      <c r="I496" s="2">
        <v>10013371548</v>
      </c>
      <c r="J496" s="2" t="s">
        <v>482</v>
      </c>
      <c r="K496" s="10">
        <v>1274</v>
      </c>
      <c r="L496" s="10">
        <v>0</v>
      </c>
      <c r="M496" s="10">
        <v>1274</v>
      </c>
      <c r="N496" s="10">
        <v>0</v>
      </c>
      <c r="O496" s="10">
        <f>Table1[[#This Row],[NET Amount]]-Table1[[#This Row],[Paid Amount]]</f>
        <v>1274</v>
      </c>
      <c r="P496" s="2" t="s">
        <v>23</v>
      </c>
      <c r="Q496" s="2" t="s">
        <v>54</v>
      </c>
      <c r="R496" s="16">
        <f>(Table1[[#This Row],[NET Amount]]-Table1[[#This Row],[Total Outstanding Amount]])/Table1[[#This Row],[NET Amount]]</f>
        <v>0</v>
      </c>
      <c r="S496" s="2" t="s">
        <v>97</v>
      </c>
    </row>
    <row r="497" spans="1:19" x14ac:dyDescent="0.3">
      <c r="A497" s="4">
        <v>495</v>
      </c>
      <c r="B497" s="2" t="s">
        <v>168</v>
      </c>
      <c r="C497" s="3">
        <v>44840</v>
      </c>
      <c r="D497" s="3" t="str">
        <f>TEXT(Table1[[#This Row],[Admission Date]],"MMMM")</f>
        <v>October</v>
      </c>
      <c r="E497" s="3">
        <v>44844</v>
      </c>
      <c r="F497" s="3">
        <v>44844</v>
      </c>
      <c r="G497" s="2">
        <v>22026426</v>
      </c>
      <c r="H497" s="2">
        <v>2234878</v>
      </c>
      <c r="I497" s="2">
        <v>1001041795</v>
      </c>
      <c r="J497" s="2" t="s">
        <v>483</v>
      </c>
      <c r="K497" s="10">
        <v>121092</v>
      </c>
      <c r="L497" s="10">
        <v>15739</v>
      </c>
      <c r="M497" s="10">
        <v>105353</v>
      </c>
      <c r="N497" s="10">
        <v>0</v>
      </c>
      <c r="O497" s="10">
        <f>Table1[[#This Row],[NET Amount]]-Table1[[#This Row],[Paid Amount]]</f>
        <v>105353</v>
      </c>
      <c r="P497" s="2" t="s">
        <v>23</v>
      </c>
      <c r="Q497" s="2" t="s">
        <v>30</v>
      </c>
      <c r="R497" s="16">
        <f>(Table1[[#This Row],[NET Amount]]-Table1[[#This Row],[Total Outstanding Amount]])/Table1[[#This Row],[NET Amount]]</f>
        <v>0</v>
      </c>
      <c r="S497" s="2" t="s">
        <v>20</v>
      </c>
    </row>
    <row r="498" spans="1:19" x14ac:dyDescent="0.3">
      <c r="A498" s="4">
        <v>496</v>
      </c>
      <c r="B498" s="2" t="s">
        <v>380</v>
      </c>
      <c r="C498" s="3">
        <v>44848</v>
      </c>
      <c r="D498" s="3" t="str">
        <f>TEXT(Table1[[#This Row],[Admission Date]],"MMMM")</f>
        <v>October</v>
      </c>
      <c r="E498" s="3">
        <v>44848</v>
      </c>
      <c r="F498" s="3">
        <v>44848</v>
      </c>
      <c r="G498" s="2">
        <v>22027095</v>
      </c>
      <c r="H498" s="2">
        <v>2236010</v>
      </c>
      <c r="I498" s="2">
        <v>10013520283</v>
      </c>
      <c r="J498" s="2" t="s">
        <v>402</v>
      </c>
      <c r="K498" s="10">
        <v>1274</v>
      </c>
      <c r="L498" s="10">
        <v>0</v>
      </c>
      <c r="M498" s="10">
        <v>1274</v>
      </c>
      <c r="N498" s="10">
        <v>0</v>
      </c>
      <c r="O498" s="10">
        <f>Table1[[#This Row],[NET Amount]]-Table1[[#This Row],[Paid Amount]]</f>
        <v>1274</v>
      </c>
      <c r="P498" s="2" t="s">
        <v>23</v>
      </c>
      <c r="Q498" s="2" t="s">
        <v>54</v>
      </c>
      <c r="R498" s="16">
        <f>(Table1[[#This Row],[NET Amount]]-Table1[[#This Row],[Total Outstanding Amount]])/Table1[[#This Row],[NET Amount]]</f>
        <v>0</v>
      </c>
      <c r="S498" s="2" t="s">
        <v>97</v>
      </c>
    </row>
    <row r="499" spans="1:19" x14ac:dyDescent="0.3">
      <c r="A499" s="4">
        <v>497</v>
      </c>
      <c r="B499" s="2" t="s">
        <v>155</v>
      </c>
      <c r="C499" s="3">
        <v>44842</v>
      </c>
      <c r="D499" s="3" t="str">
        <f>TEXT(Table1[[#This Row],[Admission Date]],"MMMM")</f>
        <v>October</v>
      </c>
      <c r="E499" s="3">
        <v>44842</v>
      </c>
      <c r="F499" s="3">
        <v>44842</v>
      </c>
      <c r="G499" s="2">
        <v>22026151</v>
      </c>
      <c r="H499" s="2">
        <v>2235179</v>
      </c>
      <c r="I499" s="2">
        <v>10013502614</v>
      </c>
      <c r="J499" s="2" t="s">
        <v>484</v>
      </c>
      <c r="K499" s="10">
        <v>1610</v>
      </c>
      <c r="L499" s="10">
        <v>0</v>
      </c>
      <c r="M499" s="10">
        <v>1610</v>
      </c>
      <c r="N499" s="10">
        <v>0</v>
      </c>
      <c r="O499" s="10">
        <f>Table1[[#This Row],[NET Amount]]-Table1[[#This Row],[Paid Amount]]</f>
        <v>1610</v>
      </c>
      <c r="P499" s="2" t="s">
        <v>23</v>
      </c>
      <c r="Q499" s="2" t="s">
        <v>54</v>
      </c>
      <c r="R499" s="16">
        <f>(Table1[[#This Row],[NET Amount]]-Table1[[#This Row],[Total Outstanding Amount]])/Table1[[#This Row],[NET Amount]]</f>
        <v>0</v>
      </c>
      <c r="S499" s="2" t="s">
        <v>97</v>
      </c>
    </row>
    <row r="500" spans="1:19" x14ac:dyDescent="0.3">
      <c r="A500" s="4">
        <v>498</v>
      </c>
      <c r="B500" s="2" t="s">
        <v>2258</v>
      </c>
      <c r="C500" s="3">
        <v>44841</v>
      </c>
      <c r="D500" s="3" t="str">
        <f>TEXT(Table1[[#This Row],[Admission Date]],"MMMM")</f>
        <v>October</v>
      </c>
      <c r="E500" s="3">
        <v>44841</v>
      </c>
      <c r="F500" s="3">
        <v>44841</v>
      </c>
      <c r="G500" s="2">
        <v>22026048</v>
      </c>
      <c r="H500" s="2">
        <v>2235072</v>
      </c>
      <c r="I500" s="2">
        <v>1001797077</v>
      </c>
      <c r="J500" s="2" t="s">
        <v>468</v>
      </c>
      <c r="K500" s="10">
        <v>1610</v>
      </c>
      <c r="L500" s="10">
        <v>0</v>
      </c>
      <c r="M500" s="10">
        <v>1610</v>
      </c>
      <c r="N500" s="10">
        <v>0</v>
      </c>
      <c r="O500" s="10">
        <f>Table1[[#This Row],[NET Amount]]-Table1[[#This Row],[Paid Amount]]</f>
        <v>1610</v>
      </c>
      <c r="P500" s="2" t="s">
        <v>23</v>
      </c>
      <c r="Q500" s="2" t="s">
        <v>54</v>
      </c>
      <c r="R500" s="16">
        <f>(Table1[[#This Row],[NET Amount]]-Table1[[#This Row],[Total Outstanding Amount]])/Table1[[#This Row],[NET Amount]]</f>
        <v>0</v>
      </c>
      <c r="S500" s="2" t="s">
        <v>97</v>
      </c>
    </row>
    <row r="501" spans="1:19" x14ac:dyDescent="0.3">
      <c r="A501" s="4">
        <v>499</v>
      </c>
      <c r="B501" s="2" t="s">
        <v>2263</v>
      </c>
      <c r="C501" s="3">
        <v>44835</v>
      </c>
      <c r="D501" s="3" t="str">
        <f>TEXT(Table1[[#This Row],[Admission Date]],"MMMM")</f>
        <v>October</v>
      </c>
      <c r="E501" s="3">
        <v>44835</v>
      </c>
      <c r="F501" s="3">
        <v>44835</v>
      </c>
      <c r="G501" s="2">
        <v>22025114</v>
      </c>
      <c r="H501" s="2">
        <v>2234182</v>
      </c>
      <c r="I501" s="2">
        <v>1001678600</v>
      </c>
      <c r="J501" s="2" t="s">
        <v>413</v>
      </c>
      <c r="K501" s="10">
        <v>1274</v>
      </c>
      <c r="L501" s="10">
        <v>0</v>
      </c>
      <c r="M501" s="10">
        <v>1274</v>
      </c>
      <c r="N501" s="10">
        <v>0</v>
      </c>
      <c r="O501" s="10">
        <f>Table1[[#This Row],[NET Amount]]-Table1[[#This Row],[Paid Amount]]</f>
        <v>1274</v>
      </c>
      <c r="P501" s="2" t="s">
        <v>23</v>
      </c>
      <c r="Q501" s="2" t="s">
        <v>54</v>
      </c>
      <c r="R501" s="16">
        <f>(Table1[[#This Row],[NET Amount]]-Table1[[#This Row],[Total Outstanding Amount]])/Table1[[#This Row],[NET Amount]]</f>
        <v>0</v>
      </c>
      <c r="S501" s="2" t="s">
        <v>97</v>
      </c>
    </row>
    <row r="502" spans="1:19" x14ac:dyDescent="0.3">
      <c r="A502" s="4">
        <v>500</v>
      </c>
      <c r="B502" s="2" t="s">
        <v>380</v>
      </c>
      <c r="C502" s="3">
        <v>44847</v>
      </c>
      <c r="D502" s="3" t="str">
        <f>TEXT(Table1[[#This Row],[Admission Date]],"MMMM")</f>
        <v>October</v>
      </c>
      <c r="E502" s="3">
        <v>44847</v>
      </c>
      <c r="F502" s="3">
        <v>44847</v>
      </c>
      <c r="G502" s="2">
        <v>22026894</v>
      </c>
      <c r="H502" s="2">
        <v>2235831</v>
      </c>
      <c r="I502" s="2">
        <v>1000947753</v>
      </c>
      <c r="J502" s="2" t="s">
        <v>432</v>
      </c>
      <c r="K502" s="10">
        <v>1274</v>
      </c>
      <c r="L502" s="10">
        <v>0</v>
      </c>
      <c r="M502" s="10">
        <v>1274</v>
      </c>
      <c r="N502" s="10">
        <v>0</v>
      </c>
      <c r="O502" s="10">
        <f>Table1[[#This Row],[NET Amount]]-Table1[[#This Row],[Paid Amount]]</f>
        <v>1274</v>
      </c>
      <c r="P502" s="2" t="s">
        <v>23</v>
      </c>
      <c r="Q502" s="2" t="s">
        <v>54</v>
      </c>
      <c r="R502" s="16">
        <f>(Table1[[#This Row],[NET Amount]]-Table1[[#This Row],[Total Outstanding Amount]])/Table1[[#This Row],[NET Amount]]</f>
        <v>0</v>
      </c>
      <c r="S502" s="2" t="s">
        <v>97</v>
      </c>
    </row>
    <row r="503" spans="1:19" x14ac:dyDescent="0.3">
      <c r="A503" s="4">
        <v>501</v>
      </c>
      <c r="B503" s="2" t="s">
        <v>144</v>
      </c>
      <c r="C503" s="3">
        <v>44848</v>
      </c>
      <c r="D503" s="3" t="str">
        <f>TEXT(Table1[[#This Row],[Admission Date]],"MMMM")</f>
        <v>October</v>
      </c>
      <c r="E503" s="3">
        <v>44848</v>
      </c>
      <c r="F503" s="3">
        <v>44848</v>
      </c>
      <c r="G503" s="2">
        <v>22026970</v>
      </c>
      <c r="H503" s="2">
        <v>2235918</v>
      </c>
      <c r="I503" s="2">
        <v>1001183341</v>
      </c>
      <c r="J503" s="2" t="s">
        <v>485</v>
      </c>
      <c r="K503" s="10">
        <v>2200</v>
      </c>
      <c r="L503" s="10">
        <v>0</v>
      </c>
      <c r="M503" s="10">
        <v>2200</v>
      </c>
      <c r="N503" s="10">
        <v>0</v>
      </c>
      <c r="O503" s="10">
        <f>Table1[[#This Row],[NET Amount]]-Table1[[#This Row],[Paid Amount]]</f>
        <v>2200</v>
      </c>
      <c r="P503" s="2" t="s">
        <v>23</v>
      </c>
      <c r="Q503" s="2" t="s">
        <v>147</v>
      </c>
      <c r="R503" s="16">
        <f>(Table1[[#This Row],[NET Amount]]-Table1[[#This Row],[Total Outstanding Amount]])/Table1[[#This Row],[NET Amount]]</f>
        <v>0</v>
      </c>
      <c r="S503" s="2" t="s">
        <v>97</v>
      </c>
    </row>
    <row r="504" spans="1:19" x14ac:dyDescent="0.3">
      <c r="A504" s="4">
        <v>502</v>
      </c>
      <c r="B504" s="2" t="s">
        <v>380</v>
      </c>
      <c r="C504" s="3">
        <v>44855</v>
      </c>
      <c r="D504" s="3" t="str">
        <f>TEXT(Table1[[#This Row],[Admission Date]],"MMMM")</f>
        <v>October</v>
      </c>
      <c r="E504" s="3">
        <v>44855</v>
      </c>
      <c r="F504" s="3">
        <v>44855</v>
      </c>
      <c r="G504" s="2">
        <v>22027985</v>
      </c>
      <c r="H504" s="2">
        <v>2236881</v>
      </c>
      <c r="I504" s="2">
        <v>1000889533</v>
      </c>
      <c r="J504" s="2" t="s">
        <v>466</v>
      </c>
      <c r="K504" s="10">
        <v>1274</v>
      </c>
      <c r="L504" s="10">
        <v>0</v>
      </c>
      <c r="M504" s="10">
        <v>1274</v>
      </c>
      <c r="N504" s="10">
        <v>0</v>
      </c>
      <c r="O504" s="10">
        <f>Table1[[#This Row],[NET Amount]]-Table1[[#This Row],[Paid Amount]]</f>
        <v>1274</v>
      </c>
      <c r="P504" s="2" t="s">
        <v>23</v>
      </c>
      <c r="Q504" s="2" t="s">
        <v>54</v>
      </c>
      <c r="R504" s="16">
        <f>(Table1[[#This Row],[NET Amount]]-Table1[[#This Row],[Total Outstanding Amount]])/Table1[[#This Row],[NET Amount]]</f>
        <v>0</v>
      </c>
      <c r="S504" s="2" t="s">
        <v>97</v>
      </c>
    </row>
    <row r="505" spans="1:19" x14ac:dyDescent="0.3">
      <c r="A505" s="4">
        <v>503</v>
      </c>
      <c r="B505" s="2" t="s">
        <v>380</v>
      </c>
      <c r="C505" s="3">
        <v>44836</v>
      </c>
      <c r="D505" s="3" t="str">
        <f>TEXT(Table1[[#This Row],[Admission Date]],"MMMM")</f>
        <v>October</v>
      </c>
      <c r="E505" s="3">
        <v>44841</v>
      </c>
      <c r="F505" s="3">
        <v>44841</v>
      </c>
      <c r="G505" s="2">
        <v>22026037</v>
      </c>
      <c r="H505" s="2">
        <v>2234306</v>
      </c>
      <c r="I505" s="2">
        <v>1001796575</v>
      </c>
      <c r="J505" s="2" t="s">
        <v>486</v>
      </c>
      <c r="K505" s="10">
        <v>116552</v>
      </c>
      <c r="L505" s="10">
        <v>42279</v>
      </c>
      <c r="M505" s="10">
        <v>74273</v>
      </c>
      <c r="N505" s="10">
        <v>0</v>
      </c>
      <c r="O505" s="10">
        <f>Table1[[#This Row],[NET Amount]]-Table1[[#This Row],[Paid Amount]]</f>
        <v>74273</v>
      </c>
      <c r="P505" s="2" t="s">
        <v>23</v>
      </c>
      <c r="Q505" s="2" t="s">
        <v>406</v>
      </c>
      <c r="R505" s="16">
        <f>(Table1[[#This Row],[NET Amount]]-Table1[[#This Row],[Total Outstanding Amount]])/Table1[[#This Row],[NET Amount]]</f>
        <v>0</v>
      </c>
      <c r="S505" s="2" t="s">
        <v>43</v>
      </c>
    </row>
    <row r="506" spans="1:19" x14ac:dyDescent="0.3">
      <c r="A506" s="4">
        <v>504</v>
      </c>
      <c r="B506" s="2" t="s">
        <v>380</v>
      </c>
      <c r="C506" s="3">
        <v>44835</v>
      </c>
      <c r="D506" s="3" t="str">
        <f>TEXT(Table1[[#This Row],[Admission Date]],"MMMM")</f>
        <v>October</v>
      </c>
      <c r="E506" s="3">
        <v>44835</v>
      </c>
      <c r="F506" s="3">
        <v>44835</v>
      </c>
      <c r="G506" s="2">
        <v>22025242</v>
      </c>
      <c r="H506" s="2">
        <v>2234255</v>
      </c>
      <c r="I506" s="2">
        <v>10013299539</v>
      </c>
      <c r="J506" s="2" t="s">
        <v>487</v>
      </c>
      <c r="K506" s="10">
        <v>1274</v>
      </c>
      <c r="L506" s="10">
        <v>0</v>
      </c>
      <c r="M506" s="10">
        <v>1274</v>
      </c>
      <c r="N506" s="10">
        <v>0</v>
      </c>
      <c r="O506" s="10">
        <f>Table1[[#This Row],[NET Amount]]-Table1[[#This Row],[Paid Amount]]</f>
        <v>1274</v>
      </c>
      <c r="P506" s="2" t="s">
        <v>23</v>
      </c>
      <c r="Q506" s="2" t="s">
        <v>54</v>
      </c>
      <c r="R506" s="16">
        <f>(Table1[[#This Row],[NET Amount]]-Table1[[#This Row],[Total Outstanding Amount]])/Table1[[#This Row],[NET Amount]]</f>
        <v>0</v>
      </c>
      <c r="S506" s="2" t="s">
        <v>97</v>
      </c>
    </row>
    <row r="507" spans="1:19" x14ac:dyDescent="0.3">
      <c r="A507" s="4">
        <v>505</v>
      </c>
      <c r="B507" s="2" t="s">
        <v>2263</v>
      </c>
      <c r="C507" s="3">
        <v>44856</v>
      </c>
      <c r="D507" s="3" t="str">
        <f>TEXT(Table1[[#This Row],[Admission Date]],"MMMM")</f>
        <v>October</v>
      </c>
      <c r="E507" s="3">
        <v>44856</v>
      </c>
      <c r="F507" s="3">
        <v>44856</v>
      </c>
      <c r="G507" s="2">
        <v>22028279</v>
      </c>
      <c r="H507" s="2">
        <v>2237075</v>
      </c>
      <c r="I507" s="2">
        <v>1001677731</v>
      </c>
      <c r="J507" s="2" t="s">
        <v>397</v>
      </c>
      <c r="K507" s="10">
        <v>1274</v>
      </c>
      <c r="L507" s="10">
        <v>0</v>
      </c>
      <c r="M507" s="10">
        <v>1274</v>
      </c>
      <c r="N507" s="10">
        <v>0</v>
      </c>
      <c r="O507" s="10">
        <f>Table1[[#This Row],[NET Amount]]-Table1[[#This Row],[Paid Amount]]</f>
        <v>1274</v>
      </c>
      <c r="P507" s="2" t="s">
        <v>23</v>
      </c>
      <c r="Q507" s="2" t="s">
        <v>54</v>
      </c>
      <c r="R507" s="16">
        <f>(Table1[[#This Row],[NET Amount]]-Table1[[#This Row],[Total Outstanding Amount]])/Table1[[#This Row],[NET Amount]]</f>
        <v>0</v>
      </c>
      <c r="S507" s="2" t="s">
        <v>97</v>
      </c>
    </row>
    <row r="508" spans="1:19" x14ac:dyDescent="0.3">
      <c r="A508" s="4">
        <v>506</v>
      </c>
      <c r="B508" s="2" t="s">
        <v>380</v>
      </c>
      <c r="C508" s="3">
        <v>44835</v>
      </c>
      <c r="D508" s="3" t="str">
        <f>TEXT(Table1[[#This Row],[Admission Date]],"MMMM")</f>
        <v>October</v>
      </c>
      <c r="E508" s="3">
        <v>44835</v>
      </c>
      <c r="F508" s="3">
        <v>44835</v>
      </c>
      <c r="G508" s="2">
        <v>22025254</v>
      </c>
      <c r="H508" s="2">
        <v>2234278</v>
      </c>
      <c r="I508" s="2">
        <v>10013370253</v>
      </c>
      <c r="J508" s="2" t="s">
        <v>488</v>
      </c>
      <c r="K508" s="10">
        <v>1274</v>
      </c>
      <c r="L508" s="10">
        <v>0</v>
      </c>
      <c r="M508" s="10">
        <v>1274</v>
      </c>
      <c r="N508" s="10">
        <v>0</v>
      </c>
      <c r="O508" s="10">
        <f>Table1[[#This Row],[NET Amount]]-Table1[[#This Row],[Paid Amount]]</f>
        <v>1274</v>
      </c>
      <c r="P508" s="2" t="s">
        <v>23</v>
      </c>
      <c r="Q508" s="2" t="s">
        <v>54</v>
      </c>
      <c r="R508" s="16">
        <f>(Table1[[#This Row],[NET Amount]]-Table1[[#This Row],[Total Outstanding Amount]])/Table1[[#This Row],[NET Amount]]</f>
        <v>0</v>
      </c>
      <c r="S508" s="2" t="s">
        <v>97</v>
      </c>
    </row>
    <row r="509" spans="1:19" x14ac:dyDescent="0.3">
      <c r="A509" s="4">
        <v>507</v>
      </c>
      <c r="B509" s="2" t="s">
        <v>50</v>
      </c>
      <c r="C509" s="3">
        <v>44852</v>
      </c>
      <c r="D509" s="3" t="str">
        <f>TEXT(Table1[[#This Row],[Admission Date]],"MMMM")</f>
        <v>October</v>
      </c>
      <c r="E509" s="3">
        <v>44852</v>
      </c>
      <c r="F509" s="3">
        <v>44852</v>
      </c>
      <c r="G509" s="2">
        <v>22027582</v>
      </c>
      <c r="H509" s="2">
        <v>2236478</v>
      </c>
      <c r="I509" s="2">
        <v>10013511637</v>
      </c>
      <c r="J509" s="2" t="s">
        <v>476</v>
      </c>
      <c r="K509" s="10">
        <v>2200</v>
      </c>
      <c r="L509" s="10">
        <v>0</v>
      </c>
      <c r="M509" s="10">
        <v>2200</v>
      </c>
      <c r="N509" s="10">
        <v>0</v>
      </c>
      <c r="O509" s="10">
        <f>Table1[[#This Row],[NET Amount]]-Table1[[#This Row],[Paid Amount]]</f>
        <v>2200</v>
      </c>
      <c r="P509" s="2" t="s">
        <v>23</v>
      </c>
      <c r="Q509" s="2" t="s">
        <v>147</v>
      </c>
      <c r="R509" s="16">
        <f>(Table1[[#This Row],[NET Amount]]-Table1[[#This Row],[Total Outstanding Amount]])/Table1[[#This Row],[NET Amount]]</f>
        <v>0</v>
      </c>
      <c r="S509" s="2" t="s">
        <v>97</v>
      </c>
    </row>
    <row r="510" spans="1:19" x14ac:dyDescent="0.3">
      <c r="A510" s="4">
        <v>508</v>
      </c>
      <c r="B510" s="2" t="s">
        <v>2263</v>
      </c>
      <c r="C510" s="3">
        <v>44845</v>
      </c>
      <c r="D510" s="3" t="str">
        <f>TEXT(Table1[[#This Row],[Admission Date]],"MMMM")</f>
        <v>October</v>
      </c>
      <c r="E510" s="3">
        <v>44845</v>
      </c>
      <c r="F510" s="3">
        <v>44845</v>
      </c>
      <c r="G510" s="2">
        <v>22026493</v>
      </c>
      <c r="H510" s="2">
        <v>2235508</v>
      </c>
      <c r="I510" s="2">
        <v>1001449196</v>
      </c>
      <c r="J510" s="2" t="s">
        <v>398</v>
      </c>
      <c r="K510" s="10">
        <v>1274</v>
      </c>
      <c r="L510" s="10">
        <v>0</v>
      </c>
      <c r="M510" s="10">
        <v>1274</v>
      </c>
      <c r="N510" s="10">
        <v>0</v>
      </c>
      <c r="O510" s="10">
        <f>Table1[[#This Row],[NET Amount]]-Table1[[#This Row],[Paid Amount]]</f>
        <v>1274</v>
      </c>
      <c r="P510" s="2" t="s">
        <v>23</v>
      </c>
      <c r="Q510" s="2" t="s">
        <v>54</v>
      </c>
      <c r="R510" s="16">
        <f>(Table1[[#This Row],[NET Amount]]-Table1[[#This Row],[Total Outstanding Amount]])/Table1[[#This Row],[NET Amount]]</f>
        <v>0</v>
      </c>
      <c r="S510" s="2" t="s">
        <v>97</v>
      </c>
    </row>
    <row r="511" spans="1:19" x14ac:dyDescent="0.3">
      <c r="A511" s="4">
        <v>509</v>
      </c>
      <c r="B511" s="2" t="s">
        <v>75</v>
      </c>
      <c r="C511" s="3">
        <v>44856</v>
      </c>
      <c r="D511" s="3" t="str">
        <f>TEXT(Table1[[#This Row],[Admission Date]],"MMMM")</f>
        <v>October</v>
      </c>
      <c r="E511" s="3">
        <v>44856</v>
      </c>
      <c r="F511" s="3">
        <v>44856</v>
      </c>
      <c r="G511" s="2">
        <v>22028170</v>
      </c>
      <c r="H511" s="2">
        <v>2237010</v>
      </c>
      <c r="I511" s="2">
        <v>10013401847</v>
      </c>
      <c r="J511" s="2" t="s">
        <v>449</v>
      </c>
      <c r="K511" s="10">
        <v>1610</v>
      </c>
      <c r="L511" s="10">
        <v>0</v>
      </c>
      <c r="M511" s="10">
        <v>1610</v>
      </c>
      <c r="N511" s="10">
        <v>0</v>
      </c>
      <c r="O511" s="10">
        <f>Table1[[#This Row],[NET Amount]]-Table1[[#This Row],[Paid Amount]]</f>
        <v>1610</v>
      </c>
      <c r="P511" s="2" t="s">
        <v>23</v>
      </c>
      <c r="Q511" s="2" t="s">
        <v>54</v>
      </c>
      <c r="R511" s="16">
        <f>(Table1[[#This Row],[NET Amount]]-Table1[[#This Row],[Total Outstanding Amount]])/Table1[[#This Row],[NET Amount]]</f>
        <v>0</v>
      </c>
      <c r="S511" s="2" t="s">
        <v>97</v>
      </c>
    </row>
    <row r="512" spans="1:19" x14ac:dyDescent="0.3">
      <c r="A512" s="4">
        <v>510</v>
      </c>
      <c r="B512" s="2" t="s">
        <v>152</v>
      </c>
      <c r="C512" s="3">
        <v>44862</v>
      </c>
      <c r="D512" s="3" t="str">
        <f>TEXT(Table1[[#This Row],[Admission Date]],"MMMM")</f>
        <v>October</v>
      </c>
      <c r="E512" s="3">
        <v>44863</v>
      </c>
      <c r="F512" s="3">
        <v>44863</v>
      </c>
      <c r="G512" s="2">
        <v>22029062</v>
      </c>
      <c r="H512" s="2">
        <v>2237777</v>
      </c>
      <c r="I512" s="2">
        <v>10013544901</v>
      </c>
      <c r="J512" s="2" t="s">
        <v>489</v>
      </c>
      <c r="K512" s="10">
        <v>461401</v>
      </c>
      <c r="L512" s="10">
        <v>0</v>
      </c>
      <c r="M512" s="10">
        <v>461401</v>
      </c>
      <c r="N512" s="10">
        <v>0</v>
      </c>
      <c r="O512" s="10">
        <f>Table1[[#This Row],[NET Amount]]-Table1[[#This Row],[Paid Amount]]</f>
        <v>461401</v>
      </c>
      <c r="P512" s="2" t="s">
        <v>23</v>
      </c>
      <c r="Q512" s="2" t="s">
        <v>24</v>
      </c>
      <c r="R512" s="16">
        <f>(Table1[[#This Row],[NET Amount]]-Table1[[#This Row],[Total Outstanding Amount]])/Table1[[#This Row],[NET Amount]]</f>
        <v>0</v>
      </c>
      <c r="S512" s="2" t="s">
        <v>39</v>
      </c>
    </row>
    <row r="513" spans="1:19" x14ac:dyDescent="0.3">
      <c r="A513" s="4">
        <v>511</v>
      </c>
      <c r="B513" s="2" t="s">
        <v>380</v>
      </c>
      <c r="C513" s="3">
        <v>44847</v>
      </c>
      <c r="D513" s="3" t="str">
        <f>TEXT(Table1[[#This Row],[Admission Date]],"MMMM")</f>
        <v>October</v>
      </c>
      <c r="E513" s="3">
        <v>44847</v>
      </c>
      <c r="F513" s="3">
        <v>44847</v>
      </c>
      <c r="G513" s="2">
        <v>22026946</v>
      </c>
      <c r="H513" s="2">
        <v>2235869</v>
      </c>
      <c r="I513" s="2">
        <v>1000961855</v>
      </c>
      <c r="J513" s="2" t="s">
        <v>439</v>
      </c>
      <c r="K513" s="10">
        <v>1274</v>
      </c>
      <c r="L513" s="10">
        <v>0</v>
      </c>
      <c r="M513" s="10">
        <v>1274</v>
      </c>
      <c r="N513" s="10">
        <v>0</v>
      </c>
      <c r="O513" s="10">
        <f>Table1[[#This Row],[NET Amount]]-Table1[[#This Row],[Paid Amount]]</f>
        <v>1274</v>
      </c>
      <c r="P513" s="2" t="s">
        <v>23</v>
      </c>
      <c r="Q513" s="2" t="s">
        <v>54</v>
      </c>
      <c r="R513" s="16">
        <f>(Table1[[#This Row],[NET Amount]]-Table1[[#This Row],[Total Outstanding Amount]])/Table1[[#This Row],[NET Amount]]</f>
        <v>0</v>
      </c>
      <c r="S513" s="2" t="s">
        <v>97</v>
      </c>
    </row>
    <row r="514" spans="1:19" x14ac:dyDescent="0.3">
      <c r="A514" s="4">
        <v>512</v>
      </c>
      <c r="B514" s="2" t="s">
        <v>25</v>
      </c>
      <c r="C514" s="3">
        <v>44849</v>
      </c>
      <c r="D514" s="3" t="str">
        <f>TEXT(Table1[[#This Row],[Admission Date]],"MMMM")</f>
        <v>October</v>
      </c>
      <c r="E514" s="3">
        <v>44851</v>
      </c>
      <c r="F514" s="3">
        <v>44851</v>
      </c>
      <c r="G514" s="2">
        <v>22027392</v>
      </c>
      <c r="H514" s="2">
        <v>2236214</v>
      </c>
      <c r="I514" s="2">
        <v>1001804627</v>
      </c>
      <c r="J514" s="2" t="s">
        <v>490</v>
      </c>
      <c r="K514" s="10">
        <v>22592</v>
      </c>
      <c r="L514" s="10">
        <v>7804</v>
      </c>
      <c r="M514" s="10">
        <v>14788</v>
      </c>
      <c r="N514" s="10">
        <v>0</v>
      </c>
      <c r="O514" s="10">
        <f>Table1[[#This Row],[NET Amount]]-Table1[[#This Row],[Paid Amount]]</f>
        <v>14788</v>
      </c>
      <c r="P514" s="2" t="s">
        <v>23</v>
      </c>
      <c r="Q514" s="2" t="s">
        <v>69</v>
      </c>
      <c r="R514" s="16">
        <f>(Table1[[#This Row],[NET Amount]]-Table1[[#This Row],[Total Outstanding Amount]])/Table1[[#This Row],[NET Amount]]</f>
        <v>0</v>
      </c>
      <c r="S514" s="2" t="s">
        <v>27</v>
      </c>
    </row>
    <row r="515" spans="1:19" x14ac:dyDescent="0.3">
      <c r="A515" s="4">
        <v>513</v>
      </c>
      <c r="B515" s="2" t="s">
        <v>380</v>
      </c>
      <c r="C515" s="3">
        <v>44844</v>
      </c>
      <c r="D515" s="3" t="str">
        <f>TEXT(Table1[[#This Row],[Admission Date]],"MMMM")</f>
        <v>October</v>
      </c>
      <c r="E515" s="3">
        <v>44844</v>
      </c>
      <c r="F515" s="3">
        <v>44844</v>
      </c>
      <c r="G515" s="2">
        <v>22026473</v>
      </c>
      <c r="H515" s="2">
        <v>2235423</v>
      </c>
      <c r="I515" s="2">
        <v>10013513950</v>
      </c>
      <c r="J515" s="2" t="s">
        <v>491</v>
      </c>
      <c r="K515" s="10">
        <v>1274</v>
      </c>
      <c r="L515" s="10">
        <v>0</v>
      </c>
      <c r="M515" s="10">
        <v>1274</v>
      </c>
      <c r="N515" s="10">
        <v>0</v>
      </c>
      <c r="O515" s="10">
        <f>Table1[[#This Row],[NET Amount]]-Table1[[#This Row],[Paid Amount]]</f>
        <v>1274</v>
      </c>
      <c r="P515" s="2" t="s">
        <v>23</v>
      </c>
      <c r="Q515" s="2" t="s">
        <v>54</v>
      </c>
      <c r="R515" s="16">
        <f>(Table1[[#This Row],[NET Amount]]-Table1[[#This Row],[Total Outstanding Amount]])/Table1[[#This Row],[NET Amount]]</f>
        <v>0</v>
      </c>
      <c r="S515" s="2" t="s">
        <v>97</v>
      </c>
    </row>
    <row r="516" spans="1:19" x14ac:dyDescent="0.3">
      <c r="A516" s="4">
        <v>514</v>
      </c>
      <c r="B516" s="2" t="s">
        <v>113</v>
      </c>
      <c r="C516" s="3">
        <v>44780</v>
      </c>
      <c r="D516" s="3" t="str">
        <f>TEXT(Table1[[#This Row],[Admission Date]],"MMMM")</f>
        <v>August</v>
      </c>
      <c r="E516" s="3">
        <v>44856</v>
      </c>
      <c r="F516" s="3">
        <v>44856</v>
      </c>
      <c r="G516" s="2">
        <v>22028283</v>
      </c>
      <c r="H516" s="2">
        <v>2226718</v>
      </c>
      <c r="I516" s="2">
        <v>1001060170</v>
      </c>
      <c r="J516" s="2" t="s">
        <v>492</v>
      </c>
      <c r="K516" s="10">
        <v>1814630</v>
      </c>
      <c r="L516" s="10">
        <v>0</v>
      </c>
      <c r="M516" s="10">
        <v>1814630</v>
      </c>
      <c r="N516" s="10">
        <v>1814630</v>
      </c>
      <c r="O516" s="10">
        <f>Table1[[#This Row],[NET Amount]]-Table1[[#This Row],[Paid Amount]]</f>
        <v>0</v>
      </c>
      <c r="P516" s="2" t="s">
        <v>18</v>
      </c>
      <c r="Q516" s="2" t="s">
        <v>30</v>
      </c>
      <c r="R516" s="16">
        <f>(Table1[[#This Row],[NET Amount]]-Table1[[#This Row],[Total Outstanding Amount]])/Table1[[#This Row],[NET Amount]]</f>
        <v>1</v>
      </c>
      <c r="S516" s="2" t="s">
        <v>65</v>
      </c>
    </row>
    <row r="517" spans="1:19" x14ac:dyDescent="0.3">
      <c r="A517" s="4">
        <v>515</v>
      </c>
      <c r="B517" s="2" t="s">
        <v>25</v>
      </c>
      <c r="C517" s="3">
        <v>44856</v>
      </c>
      <c r="D517" s="3" t="str">
        <f>TEXT(Table1[[#This Row],[Admission Date]],"MMMM")</f>
        <v>October</v>
      </c>
      <c r="E517" s="3">
        <v>44864</v>
      </c>
      <c r="F517" s="3">
        <v>44864</v>
      </c>
      <c r="G517" s="2">
        <v>22029235</v>
      </c>
      <c r="H517" s="2">
        <v>2236991</v>
      </c>
      <c r="I517" s="2">
        <v>1001188526</v>
      </c>
      <c r="J517" s="2" t="s">
        <v>493</v>
      </c>
      <c r="K517" s="10">
        <v>284866</v>
      </c>
      <c r="L517" s="10">
        <v>61703</v>
      </c>
      <c r="M517" s="10">
        <v>223163</v>
      </c>
      <c r="N517" s="10">
        <v>99999</v>
      </c>
      <c r="O517" s="10">
        <f>Table1[[#This Row],[NET Amount]]-Table1[[#This Row],[Paid Amount]]</f>
        <v>123164</v>
      </c>
      <c r="P517" s="2" t="s">
        <v>23</v>
      </c>
      <c r="Q517" s="2" t="s">
        <v>69</v>
      </c>
      <c r="R517" s="16">
        <f>(Table1[[#This Row],[NET Amount]]-Table1[[#This Row],[Total Outstanding Amount]])/Table1[[#This Row],[NET Amount]]</f>
        <v>0.44809847510564027</v>
      </c>
      <c r="S517" s="2" t="s">
        <v>494</v>
      </c>
    </row>
    <row r="518" spans="1:19" x14ac:dyDescent="0.3">
      <c r="A518" s="4">
        <v>516</v>
      </c>
      <c r="B518" s="2" t="s">
        <v>149</v>
      </c>
      <c r="C518" s="3">
        <v>44838</v>
      </c>
      <c r="D518" s="3" t="str">
        <f>TEXT(Table1[[#This Row],[Admission Date]],"MMMM")</f>
        <v>October</v>
      </c>
      <c r="E518" s="3">
        <v>44842</v>
      </c>
      <c r="F518" s="3">
        <v>44842</v>
      </c>
      <c r="G518" s="2">
        <v>22026114</v>
      </c>
      <c r="H518" s="2">
        <v>2234595</v>
      </c>
      <c r="I518" s="2">
        <v>10013400374</v>
      </c>
      <c r="J518" s="2" t="s">
        <v>495</v>
      </c>
      <c r="K518" s="10">
        <v>57837</v>
      </c>
      <c r="L518" s="10">
        <v>0</v>
      </c>
      <c r="M518" s="10">
        <v>57837</v>
      </c>
      <c r="N518" s="10">
        <v>1500</v>
      </c>
      <c r="O518" s="10">
        <f>Table1[[#This Row],[NET Amount]]-Table1[[#This Row],[Paid Amount]]</f>
        <v>56337</v>
      </c>
      <c r="P518" s="2" t="s">
        <v>23</v>
      </c>
      <c r="Q518" s="2" t="s">
        <v>30</v>
      </c>
      <c r="R518" s="16">
        <f>(Table1[[#This Row],[NET Amount]]-Table1[[#This Row],[Total Outstanding Amount]])/Table1[[#This Row],[NET Amount]]</f>
        <v>2.593495513252762E-2</v>
      </c>
      <c r="S518" s="2" t="s">
        <v>37</v>
      </c>
    </row>
    <row r="519" spans="1:19" x14ac:dyDescent="0.3">
      <c r="A519" s="4">
        <v>517</v>
      </c>
      <c r="B519" s="2" t="s">
        <v>168</v>
      </c>
      <c r="C519" s="3">
        <v>44838</v>
      </c>
      <c r="D519" s="3" t="str">
        <f>TEXT(Table1[[#This Row],[Admission Date]],"MMMM")</f>
        <v>October</v>
      </c>
      <c r="E519" s="3">
        <v>44840</v>
      </c>
      <c r="F519" s="3">
        <v>44840</v>
      </c>
      <c r="G519" s="2">
        <v>22025822</v>
      </c>
      <c r="H519" s="2">
        <v>2234604</v>
      </c>
      <c r="I519" s="2">
        <v>1001395064</v>
      </c>
      <c r="J519" s="2" t="s">
        <v>496</v>
      </c>
      <c r="K519" s="10">
        <v>238169</v>
      </c>
      <c r="L519" s="10">
        <v>0</v>
      </c>
      <c r="M519" s="10">
        <v>238169</v>
      </c>
      <c r="N519" s="10">
        <v>1501</v>
      </c>
      <c r="O519" s="10">
        <f>Table1[[#This Row],[NET Amount]]-Table1[[#This Row],[Paid Amount]]</f>
        <v>236668</v>
      </c>
      <c r="P519" s="2" t="s">
        <v>23</v>
      </c>
      <c r="Q519" s="2" t="s">
        <v>47</v>
      </c>
      <c r="R519" s="16">
        <f>(Table1[[#This Row],[NET Amount]]-Table1[[#This Row],[Total Outstanding Amount]])/Table1[[#This Row],[NET Amount]]</f>
        <v>6.3022475637047647E-3</v>
      </c>
      <c r="S519" s="2" t="s">
        <v>39</v>
      </c>
    </row>
    <row r="520" spans="1:19" x14ac:dyDescent="0.3">
      <c r="A520" s="4">
        <v>518</v>
      </c>
      <c r="B520" s="2" t="s">
        <v>113</v>
      </c>
      <c r="C520" s="3">
        <v>44840</v>
      </c>
      <c r="D520" s="3" t="str">
        <f>TEXT(Table1[[#This Row],[Admission Date]],"MMMM")</f>
        <v>October</v>
      </c>
      <c r="E520" s="3">
        <v>44840</v>
      </c>
      <c r="F520" s="3">
        <v>44840</v>
      </c>
      <c r="G520" s="2">
        <v>22025922</v>
      </c>
      <c r="H520" s="2">
        <v>2234965</v>
      </c>
      <c r="I520" s="2">
        <v>10013444638</v>
      </c>
      <c r="J520" s="2" t="s">
        <v>497</v>
      </c>
      <c r="K520" s="10">
        <v>0</v>
      </c>
      <c r="L520" s="10">
        <v>0</v>
      </c>
      <c r="M520" s="10">
        <v>0</v>
      </c>
      <c r="N520" s="10">
        <v>0</v>
      </c>
      <c r="O520" s="10">
        <f>Table1[[#This Row],[NET Amount]]-Table1[[#This Row],[Paid Amount]]</f>
        <v>0</v>
      </c>
      <c r="P520" s="2" t="s">
        <v>18</v>
      </c>
      <c r="Q520" s="2" t="s">
        <v>24</v>
      </c>
      <c r="R520" s="16" t="e">
        <f>(Table1[[#This Row],[NET Amount]]-Table1[[#This Row],[Total Outstanding Amount]])/Table1[[#This Row],[NET Amount]]</f>
        <v>#DIV/0!</v>
      </c>
      <c r="S520" s="2" t="s">
        <v>20</v>
      </c>
    </row>
    <row r="521" spans="1:19" x14ac:dyDescent="0.3">
      <c r="A521" s="4">
        <v>519</v>
      </c>
      <c r="B521" s="2" t="s">
        <v>25</v>
      </c>
      <c r="C521" s="3">
        <v>44851</v>
      </c>
      <c r="D521" s="3" t="str">
        <f>TEXT(Table1[[#This Row],[Admission Date]],"MMMM")</f>
        <v>October</v>
      </c>
      <c r="E521" s="3">
        <v>44851</v>
      </c>
      <c r="F521" s="3">
        <v>44851</v>
      </c>
      <c r="G521" s="2">
        <v>22027480</v>
      </c>
      <c r="H521" s="2">
        <v>2236376</v>
      </c>
      <c r="I521" s="2">
        <v>10013533934</v>
      </c>
      <c r="J521" s="2" t="s">
        <v>498</v>
      </c>
      <c r="K521" s="10">
        <v>4990</v>
      </c>
      <c r="L521" s="10">
        <v>416</v>
      </c>
      <c r="M521" s="10">
        <v>4574</v>
      </c>
      <c r="N521" s="10">
        <v>4574</v>
      </c>
      <c r="O521" s="10">
        <f>Table1[[#This Row],[NET Amount]]-Table1[[#This Row],[Paid Amount]]</f>
        <v>0</v>
      </c>
      <c r="P521" s="2" t="s">
        <v>18</v>
      </c>
      <c r="Q521" s="2" t="s">
        <v>54</v>
      </c>
      <c r="R521" s="16">
        <f>(Table1[[#This Row],[NET Amount]]-Table1[[#This Row],[Total Outstanding Amount]])/Table1[[#This Row],[NET Amount]]</f>
        <v>1</v>
      </c>
      <c r="S521" s="2" t="s">
        <v>97</v>
      </c>
    </row>
    <row r="522" spans="1:19" x14ac:dyDescent="0.3">
      <c r="A522" s="4">
        <v>520</v>
      </c>
      <c r="B522" s="2" t="s">
        <v>25</v>
      </c>
      <c r="C522" s="3">
        <v>44860</v>
      </c>
      <c r="D522" s="3" t="str">
        <f>TEXT(Table1[[#This Row],[Admission Date]],"MMMM")</f>
        <v>October</v>
      </c>
      <c r="E522" s="3">
        <v>44860</v>
      </c>
      <c r="F522" s="3">
        <v>44860</v>
      </c>
      <c r="G522" s="2">
        <v>22028653</v>
      </c>
      <c r="H522" s="2">
        <v>2237488</v>
      </c>
      <c r="I522" s="2">
        <v>1001806325</v>
      </c>
      <c r="J522" s="2" t="s">
        <v>499</v>
      </c>
      <c r="K522" s="10">
        <v>14000</v>
      </c>
      <c r="L522" s="10">
        <v>0</v>
      </c>
      <c r="M522" s="10">
        <v>14000</v>
      </c>
      <c r="N522" s="10">
        <v>14000</v>
      </c>
      <c r="O522" s="10">
        <f>Table1[[#This Row],[NET Amount]]-Table1[[#This Row],[Paid Amount]]</f>
        <v>0</v>
      </c>
      <c r="P522" s="2" t="s">
        <v>18</v>
      </c>
      <c r="Q522" s="2" t="s">
        <v>54</v>
      </c>
      <c r="R522" s="16">
        <f>(Table1[[#This Row],[NET Amount]]-Table1[[#This Row],[Total Outstanding Amount]])/Table1[[#This Row],[NET Amount]]</f>
        <v>1</v>
      </c>
      <c r="S522" s="2" t="s">
        <v>39</v>
      </c>
    </row>
    <row r="523" spans="1:19" x14ac:dyDescent="0.3">
      <c r="A523" s="4">
        <v>521</v>
      </c>
      <c r="B523" s="2" t="s">
        <v>327</v>
      </c>
      <c r="C523" s="3">
        <v>44861</v>
      </c>
      <c r="D523" s="3" t="str">
        <f>TEXT(Table1[[#This Row],[Admission Date]],"MMMM")</f>
        <v>October</v>
      </c>
      <c r="E523" s="3">
        <v>44862</v>
      </c>
      <c r="F523" s="3">
        <v>44862</v>
      </c>
      <c r="G523" s="2">
        <v>22028896</v>
      </c>
      <c r="H523" s="2">
        <v>2237651</v>
      </c>
      <c r="I523" s="2">
        <v>1001806564</v>
      </c>
      <c r="J523" s="2" t="s">
        <v>500</v>
      </c>
      <c r="K523" s="10">
        <v>208423</v>
      </c>
      <c r="L523" s="10">
        <v>0</v>
      </c>
      <c r="M523" s="10">
        <v>208423</v>
      </c>
      <c r="N523" s="10">
        <v>208423</v>
      </c>
      <c r="O523" s="10">
        <f>Table1[[#This Row],[NET Amount]]-Table1[[#This Row],[Paid Amount]]</f>
        <v>0</v>
      </c>
      <c r="P523" s="2" t="s">
        <v>18</v>
      </c>
      <c r="Q523" s="2" t="s">
        <v>24</v>
      </c>
      <c r="R523" s="16">
        <f>(Table1[[#This Row],[NET Amount]]-Table1[[#This Row],[Total Outstanding Amount]])/Table1[[#This Row],[NET Amount]]</f>
        <v>1</v>
      </c>
      <c r="S523" s="2" t="s">
        <v>39</v>
      </c>
    </row>
    <row r="524" spans="1:19" x14ac:dyDescent="0.3">
      <c r="A524" s="4">
        <v>522</v>
      </c>
      <c r="B524" s="2" t="s">
        <v>25</v>
      </c>
      <c r="C524" s="3">
        <v>44862</v>
      </c>
      <c r="D524" s="3" t="str">
        <f>TEXT(Table1[[#This Row],[Admission Date]],"MMMM")</f>
        <v>October</v>
      </c>
      <c r="E524" s="3">
        <v>44865</v>
      </c>
      <c r="F524" s="3">
        <v>44865</v>
      </c>
      <c r="G524" s="2">
        <v>22029295</v>
      </c>
      <c r="H524" s="2">
        <v>2237770</v>
      </c>
      <c r="I524" s="2">
        <v>1001166808</v>
      </c>
      <c r="J524" s="2" t="s">
        <v>501</v>
      </c>
      <c r="K524" s="10">
        <v>88776</v>
      </c>
      <c r="L524" s="10">
        <v>10571</v>
      </c>
      <c r="M524" s="10">
        <v>78205</v>
      </c>
      <c r="N524" s="10">
        <v>78205</v>
      </c>
      <c r="O524" s="10">
        <f>Table1[[#This Row],[NET Amount]]-Table1[[#This Row],[Paid Amount]]</f>
        <v>0</v>
      </c>
      <c r="P524" s="2" t="s">
        <v>18</v>
      </c>
      <c r="Q524" s="2" t="s">
        <v>19</v>
      </c>
      <c r="R524" s="16">
        <f>(Table1[[#This Row],[NET Amount]]-Table1[[#This Row],[Total Outstanding Amount]])/Table1[[#This Row],[NET Amount]]</f>
        <v>1</v>
      </c>
      <c r="S524" s="2" t="s">
        <v>27</v>
      </c>
    </row>
    <row r="525" spans="1:19" x14ac:dyDescent="0.3">
      <c r="A525" s="4">
        <v>523</v>
      </c>
      <c r="B525" s="2" t="s">
        <v>25</v>
      </c>
      <c r="C525" s="3">
        <v>44845</v>
      </c>
      <c r="D525" s="3" t="str">
        <f>TEXT(Table1[[#This Row],[Admission Date]],"MMMM")</f>
        <v>October</v>
      </c>
      <c r="E525" s="3">
        <v>44851</v>
      </c>
      <c r="F525" s="3">
        <v>44851</v>
      </c>
      <c r="G525" s="2">
        <v>22027423</v>
      </c>
      <c r="H525" s="2">
        <v>2235573</v>
      </c>
      <c r="I525" s="2">
        <v>1000983526</v>
      </c>
      <c r="J525" s="2" t="s">
        <v>502</v>
      </c>
      <c r="K525" s="10">
        <v>96633</v>
      </c>
      <c r="L525" s="10">
        <v>11869</v>
      </c>
      <c r="M525" s="10">
        <v>84764</v>
      </c>
      <c r="N525" s="10">
        <v>84764</v>
      </c>
      <c r="O525" s="10">
        <f>Table1[[#This Row],[NET Amount]]-Table1[[#This Row],[Paid Amount]]</f>
        <v>0</v>
      </c>
      <c r="P525" s="2" t="s">
        <v>18</v>
      </c>
      <c r="Q525" s="2" t="s">
        <v>24</v>
      </c>
      <c r="R525" s="16">
        <f>(Table1[[#This Row],[NET Amount]]-Table1[[#This Row],[Total Outstanding Amount]])/Table1[[#This Row],[NET Amount]]</f>
        <v>1</v>
      </c>
      <c r="S525" s="2" t="s">
        <v>20</v>
      </c>
    </row>
    <row r="526" spans="1:19" x14ac:dyDescent="0.3">
      <c r="A526" s="4">
        <v>524</v>
      </c>
      <c r="B526" s="2" t="s">
        <v>117</v>
      </c>
      <c r="C526" s="3">
        <v>44851</v>
      </c>
      <c r="D526" s="3" t="str">
        <f>TEXT(Table1[[#This Row],[Admission Date]],"MMMM")</f>
        <v>October</v>
      </c>
      <c r="E526" s="3">
        <v>44851</v>
      </c>
      <c r="F526" s="3">
        <v>44851</v>
      </c>
      <c r="G526" s="2">
        <v>22027469</v>
      </c>
      <c r="H526" s="2">
        <v>2236348</v>
      </c>
      <c r="I526" s="2">
        <v>1000861147</v>
      </c>
      <c r="J526" s="2" t="s">
        <v>503</v>
      </c>
      <c r="K526" s="10">
        <v>225782</v>
      </c>
      <c r="L526" s="10">
        <v>0</v>
      </c>
      <c r="M526" s="10">
        <v>225782</v>
      </c>
      <c r="N526" s="10">
        <v>54502</v>
      </c>
      <c r="O526" s="10">
        <f>Table1[[#This Row],[NET Amount]]-Table1[[#This Row],[Paid Amount]]</f>
        <v>171280</v>
      </c>
      <c r="P526" s="2" t="s">
        <v>23</v>
      </c>
      <c r="Q526" s="2" t="s">
        <v>24</v>
      </c>
      <c r="R526" s="16">
        <f>(Table1[[#This Row],[NET Amount]]-Table1[[#This Row],[Total Outstanding Amount]])/Table1[[#This Row],[NET Amount]]</f>
        <v>0.24139213932022924</v>
      </c>
      <c r="S526" s="2" t="s">
        <v>39</v>
      </c>
    </row>
    <row r="527" spans="1:19" x14ac:dyDescent="0.3">
      <c r="A527" s="4">
        <v>525</v>
      </c>
      <c r="B527" s="2" t="s">
        <v>25</v>
      </c>
      <c r="C527" s="3">
        <v>44851</v>
      </c>
      <c r="D527" s="3" t="str">
        <f>TEXT(Table1[[#This Row],[Admission Date]],"MMMM")</f>
        <v>October</v>
      </c>
      <c r="E527" s="3">
        <v>44851</v>
      </c>
      <c r="F527" s="3">
        <v>44851</v>
      </c>
      <c r="G527" s="2">
        <v>22027477</v>
      </c>
      <c r="H527" s="2">
        <v>2236264</v>
      </c>
      <c r="I527" s="2">
        <v>10013543305</v>
      </c>
      <c r="J527" s="2" t="s">
        <v>504</v>
      </c>
      <c r="K527" s="10">
        <v>43352</v>
      </c>
      <c r="L527" s="10">
        <v>4199</v>
      </c>
      <c r="M527" s="10">
        <v>39153</v>
      </c>
      <c r="N527" s="10">
        <v>39153</v>
      </c>
      <c r="O527" s="10">
        <f>Table1[[#This Row],[NET Amount]]-Table1[[#This Row],[Paid Amount]]</f>
        <v>0</v>
      </c>
      <c r="P527" s="2" t="s">
        <v>18</v>
      </c>
      <c r="Q527" s="2" t="s">
        <v>24</v>
      </c>
      <c r="R527" s="16">
        <f>(Table1[[#This Row],[NET Amount]]-Table1[[#This Row],[Total Outstanding Amount]])/Table1[[#This Row],[NET Amount]]</f>
        <v>1</v>
      </c>
      <c r="S527" s="2" t="s">
        <v>39</v>
      </c>
    </row>
    <row r="528" spans="1:19" x14ac:dyDescent="0.3">
      <c r="A528" s="4">
        <v>526</v>
      </c>
      <c r="B528" s="2" t="s">
        <v>139</v>
      </c>
      <c r="C528" s="3">
        <v>44834</v>
      </c>
      <c r="D528" s="3" t="str">
        <f>TEXT(Table1[[#This Row],[Admission Date]],"MMMM")</f>
        <v>September</v>
      </c>
      <c r="E528" s="3">
        <v>44835</v>
      </c>
      <c r="F528" s="3">
        <v>44835</v>
      </c>
      <c r="G528" s="2">
        <v>22025132</v>
      </c>
      <c r="H528" s="2">
        <v>2234040</v>
      </c>
      <c r="I528" s="2">
        <v>10013540926</v>
      </c>
      <c r="J528" s="2" t="s">
        <v>505</v>
      </c>
      <c r="K528" s="10">
        <v>204695</v>
      </c>
      <c r="L528" s="10">
        <v>354</v>
      </c>
      <c r="M528" s="10">
        <v>204341</v>
      </c>
      <c r="N528" s="10">
        <v>1501</v>
      </c>
      <c r="O528" s="10">
        <f>Table1[[#This Row],[NET Amount]]-Table1[[#This Row],[Paid Amount]]</f>
        <v>202840</v>
      </c>
      <c r="P528" s="2" t="s">
        <v>23</v>
      </c>
      <c r="Q528" s="2" t="s">
        <v>47</v>
      </c>
      <c r="R528" s="16">
        <f>(Table1[[#This Row],[NET Amount]]-Table1[[#This Row],[Total Outstanding Amount]])/Table1[[#This Row],[NET Amount]]</f>
        <v>7.3455645220489281E-3</v>
      </c>
      <c r="S528" s="2" t="s">
        <v>39</v>
      </c>
    </row>
    <row r="529" spans="1:19" x14ac:dyDescent="0.3">
      <c r="A529" s="4">
        <v>527</v>
      </c>
      <c r="B529" s="2" t="s">
        <v>25</v>
      </c>
      <c r="C529" s="3">
        <v>44840</v>
      </c>
      <c r="D529" s="3" t="str">
        <f>TEXT(Table1[[#This Row],[Admission Date]],"MMMM")</f>
        <v>October</v>
      </c>
      <c r="E529" s="3">
        <v>44845</v>
      </c>
      <c r="F529" s="3">
        <v>44845</v>
      </c>
      <c r="G529" s="2">
        <v>22026546</v>
      </c>
      <c r="H529" s="2">
        <v>2234862</v>
      </c>
      <c r="I529" s="2">
        <v>10013537150</v>
      </c>
      <c r="J529" s="2" t="s">
        <v>506</v>
      </c>
      <c r="K529" s="10">
        <v>177124</v>
      </c>
      <c r="L529" s="10">
        <v>34920</v>
      </c>
      <c r="M529" s="10">
        <v>142204</v>
      </c>
      <c r="N529" s="10">
        <v>19500</v>
      </c>
      <c r="O529" s="10">
        <f>Table1[[#This Row],[NET Amount]]-Table1[[#This Row],[Paid Amount]]</f>
        <v>122704</v>
      </c>
      <c r="P529" s="2" t="s">
        <v>23</v>
      </c>
      <c r="Q529" s="2" t="s">
        <v>19</v>
      </c>
      <c r="R529" s="16">
        <f>(Table1[[#This Row],[NET Amount]]-Table1[[#This Row],[Total Outstanding Amount]])/Table1[[#This Row],[NET Amount]]</f>
        <v>0.13712694438974993</v>
      </c>
      <c r="S529" s="2" t="s">
        <v>20</v>
      </c>
    </row>
    <row r="530" spans="1:19" x14ac:dyDescent="0.3">
      <c r="A530" s="4">
        <v>528</v>
      </c>
      <c r="B530" s="2" t="s">
        <v>117</v>
      </c>
      <c r="C530" s="3">
        <v>44861</v>
      </c>
      <c r="D530" s="3" t="str">
        <f>TEXT(Table1[[#This Row],[Admission Date]],"MMMM")</f>
        <v>October</v>
      </c>
      <c r="E530" s="3">
        <v>44862</v>
      </c>
      <c r="F530" s="3">
        <v>44862</v>
      </c>
      <c r="G530" s="2">
        <v>22028876</v>
      </c>
      <c r="H530" s="2">
        <v>2237627</v>
      </c>
      <c r="I530" s="2">
        <v>10013542802</v>
      </c>
      <c r="J530" s="2" t="s">
        <v>507</v>
      </c>
      <c r="K530" s="10">
        <v>47440</v>
      </c>
      <c r="L530" s="10">
        <v>0</v>
      </c>
      <c r="M530" s="10">
        <v>47440</v>
      </c>
      <c r="N530" s="10">
        <v>47440</v>
      </c>
      <c r="O530" s="10">
        <f>Table1[[#This Row],[NET Amount]]-Table1[[#This Row],[Paid Amount]]</f>
        <v>0</v>
      </c>
      <c r="P530" s="2" t="s">
        <v>18</v>
      </c>
      <c r="Q530" s="2" t="s">
        <v>19</v>
      </c>
      <c r="R530" s="16">
        <f>(Table1[[#This Row],[NET Amount]]-Table1[[#This Row],[Total Outstanding Amount]])/Table1[[#This Row],[NET Amount]]</f>
        <v>1</v>
      </c>
      <c r="S530" s="2" t="s">
        <v>43</v>
      </c>
    </row>
    <row r="531" spans="1:19" x14ac:dyDescent="0.3">
      <c r="A531" s="4">
        <v>529</v>
      </c>
      <c r="B531" s="2" t="s">
        <v>25</v>
      </c>
      <c r="C531" s="3">
        <v>44844</v>
      </c>
      <c r="D531" s="3" t="str">
        <f>TEXT(Table1[[#This Row],[Admission Date]],"MMMM")</f>
        <v>October</v>
      </c>
      <c r="E531" s="3">
        <v>44854</v>
      </c>
      <c r="F531" s="3">
        <v>44854</v>
      </c>
      <c r="G531" s="2">
        <v>22027940</v>
      </c>
      <c r="H531" s="2">
        <v>2235469</v>
      </c>
      <c r="I531" s="2">
        <v>1001803643</v>
      </c>
      <c r="J531" s="2" t="s">
        <v>508</v>
      </c>
      <c r="K531" s="10">
        <v>493416</v>
      </c>
      <c r="L531" s="10">
        <v>493416</v>
      </c>
      <c r="M531" s="10">
        <v>0</v>
      </c>
      <c r="N531" s="10">
        <v>0</v>
      </c>
      <c r="O531" s="10">
        <f>Table1[[#This Row],[NET Amount]]-Table1[[#This Row],[Paid Amount]]</f>
        <v>0</v>
      </c>
      <c r="P531" s="2" t="s">
        <v>18</v>
      </c>
      <c r="Q531" s="2" t="s">
        <v>90</v>
      </c>
      <c r="R531" s="16" t="e">
        <f>(Table1[[#This Row],[NET Amount]]-Table1[[#This Row],[Total Outstanding Amount]])/Table1[[#This Row],[NET Amount]]</f>
        <v>#DIV/0!</v>
      </c>
      <c r="S531" s="2" t="s">
        <v>20</v>
      </c>
    </row>
    <row r="532" spans="1:19" x14ac:dyDescent="0.3">
      <c r="A532" s="4">
        <v>530</v>
      </c>
      <c r="B532" s="2" t="s">
        <v>93</v>
      </c>
      <c r="C532" s="3">
        <v>44848</v>
      </c>
      <c r="D532" s="3" t="str">
        <f>TEXT(Table1[[#This Row],[Admission Date]],"MMMM")</f>
        <v>October</v>
      </c>
      <c r="E532" s="3">
        <v>44850</v>
      </c>
      <c r="F532" s="3">
        <v>44850</v>
      </c>
      <c r="G532" s="2">
        <v>22027330</v>
      </c>
      <c r="H532" s="2">
        <v>2235908</v>
      </c>
      <c r="I532" s="2">
        <v>10013541140</v>
      </c>
      <c r="J532" s="2" t="s">
        <v>509</v>
      </c>
      <c r="K532" s="10">
        <v>162561</v>
      </c>
      <c r="L532" s="10">
        <v>0</v>
      </c>
      <c r="M532" s="10">
        <v>162561</v>
      </c>
      <c r="N532" s="10">
        <v>2450</v>
      </c>
      <c r="O532" s="10">
        <f>Table1[[#This Row],[NET Amount]]-Table1[[#This Row],[Paid Amount]]</f>
        <v>160111</v>
      </c>
      <c r="P532" s="2" t="s">
        <v>23</v>
      </c>
      <c r="Q532" s="2" t="s">
        <v>30</v>
      </c>
      <c r="R532" s="16">
        <f>(Table1[[#This Row],[NET Amount]]-Table1[[#This Row],[Total Outstanding Amount]])/Table1[[#This Row],[NET Amount]]</f>
        <v>1.5071265555699091E-2</v>
      </c>
      <c r="S532" s="2" t="s">
        <v>201</v>
      </c>
    </row>
    <row r="533" spans="1:19" x14ac:dyDescent="0.3">
      <c r="A533" s="4">
        <v>531</v>
      </c>
      <c r="B533" s="2" t="s">
        <v>45</v>
      </c>
      <c r="C533" s="3">
        <v>44845</v>
      </c>
      <c r="D533" s="3" t="str">
        <f>TEXT(Table1[[#This Row],[Admission Date]],"MMMM")</f>
        <v>October</v>
      </c>
      <c r="E533" s="3">
        <v>44850</v>
      </c>
      <c r="F533" s="3">
        <v>44850</v>
      </c>
      <c r="G533" s="2">
        <v>22027295</v>
      </c>
      <c r="H533" s="2">
        <v>2235576</v>
      </c>
      <c r="I533" s="2">
        <v>1001037548</v>
      </c>
      <c r="J533" s="2" t="s">
        <v>510</v>
      </c>
      <c r="K533" s="10">
        <v>143394</v>
      </c>
      <c r="L533" s="10">
        <v>17839</v>
      </c>
      <c r="M533" s="10">
        <v>125555</v>
      </c>
      <c r="N533" s="10">
        <v>33919</v>
      </c>
      <c r="O533" s="10">
        <f>Table1[[#This Row],[NET Amount]]-Table1[[#This Row],[Paid Amount]]</f>
        <v>91636</v>
      </c>
      <c r="P533" s="2" t="s">
        <v>23</v>
      </c>
      <c r="Q533" s="2" t="s">
        <v>42</v>
      </c>
      <c r="R533" s="16">
        <f>(Table1[[#This Row],[NET Amount]]-Table1[[#This Row],[Total Outstanding Amount]])/Table1[[#This Row],[NET Amount]]</f>
        <v>0.27015252279877344</v>
      </c>
      <c r="S533" s="2" t="s">
        <v>20</v>
      </c>
    </row>
    <row r="534" spans="1:19" x14ac:dyDescent="0.3">
      <c r="A534" s="4">
        <v>532</v>
      </c>
      <c r="B534" s="2" t="s">
        <v>50</v>
      </c>
      <c r="C534" s="3">
        <v>44834</v>
      </c>
      <c r="D534" s="3" t="str">
        <f>TEXT(Table1[[#This Row],[Admission Date]],"MMMM")</f>
        <v>September</v>
      </c>
      <c r="E534" s="3">
        <v>44843</v>
      </c>
      <c r="F534" s="3">
        <v>44843</v>
      </c>
      <c r="G534" s="2">
        <v>22026312</v>
      </c>
      <c r="H534" s="2">
        <v>2234088</v>
      </c>
      <c r="I534" s="2">
        <v>1001296105</v>
      </c>
      <c r="J534" s="2" t="s">
        <v>511</v>
      </c>
      <c r="K534" s="10">
        <v>351810</v>
      </c>
      <c r="L534" s="10">
        <v>36458</v>
      </c>
      <c r="M534" s="10">
        <v>315352</v>
      </c>
      <c r="N534" s="10">
        <v>15352</v>
      </c>
      <c r="O534" s="10">
        <f>Table1[[#This Row],[NET Amount]]-Table1[[#This Row],[Paid Amount]]</f>
        <v>300000</v>
      </c>
      <c r="P534" s="2" t="s">
        <v>23</v>
      </c>
      <c r="Q534" s="2" t="s">
        <v>42</v>
      </c>
      <c r="R534" s="16">
        <f>(Table1[[#This Row],[NET Amount]]-Table1[[#This Row],[Total Outstanding Amount]])/Table1[[#This Row],[NET Amount]]</f>
        <v>4.8682107613079985E-2</v>
      </c>
      <c r="S534" s="2" t="s">
        <v>20</v>
      </c>
    </row>
    <row r="535" spans="1:19" x14ac:dyDescent="0.3">
      <c r="A535" s="4">
        <v>533</v>
      </c>
      <c r="B535" s="2" t="s">
        <v>25</v>
      </c>
      <c r="C535" s="3">
        <v>44845</v>
      </c>
      <c r="D535" s="3" t="str">
        <f>TEXT(Table1[[#This Row],[Admission Date]],"MMMM")</f>
        <v>October</v>
      </c>
      <c r="E535" s="3">
        <v>44859</v>
      </c>
      <c r="F535" s="3">
        <v>44859</v>
      </c>
      <c r="G535" s="2">
        <v>22028540</v>
      </c>
      <c r="H535" s="2">
        <v>2235575</v>
      </c>
      <c r="I535" s="2">
        <v>10013542477</v>
      </c>
      <c r="J535" s="2" t="s">
        <v>512</v>
      </c>
      <c r="K535" s="10">
        <v>436622</v>
      </c>
      <c r="L535" s="10">
        <v>113194</v>
      </c>
      <c r="M535" s="10">
        <v>323429</v>
      </c>
      <c r="N535" s="10">
        <v>323429</v>
      </c>
      <c r="O535" s="10">
        <f>Table1[[#This Row],[NET Amount]]-Table1[[#This Row],[Paid Amount]]</f>
        <v>0</v>
      </c>
      <c r="P535" s="2" t="s">
        <v>18</v>
      </c>
      <c r="Q535" s="2" t="s">
        <v>88</v>
      </c>
      <c r="R535" s="16">
        <f>(Table1[[#This Row],[NET Amount]]-Table1[[#This Row],[Total Outstanding Amount]])/Table1[[#This Row],[NET Amount]]</f>
        <v>1</v>
      </c>
      <c r="S535" s="2" t="s">
        <v>20</v>
      </c>
    </row>
    <row r="536" spans="1:19" x14ac:dyDescent="0.3">
      <c r="A536" s="4">
        <v>534</v>
      </c>
      <c r="B536" s="2" t="s">
        <v>25</v>
      </c>
      <c r="C536" s="3">
        <v>44851</v>
      </c>
      <c r="D536" s="3" t="str">
        <f>TEXT(Table1[[#This Row],[Admission Date]],"MMMM")</f>
        <v>October</v>
      </c>
      <c r="E536" s="3">
        <v>44854</v>
      </c>
      <c r="F536" s="3">
        <v>44854</v>
      </c>
      <c r="G536" s="2">
        <v>22027836</v>
      </c>
      <c r="H536" s="2">
        <v>2236360</v>
      </c>
      <c r="I536" s="2">
        <v>10013543423</v>
      </c>
      <c r="J536" s="2" t="s">
        <v>513</v>
      </c>
      <c r="K536" s="10">
        <v>41681</v>
      </c>
      <c r="L536" s="10">
        <v>5255</v>
      </c>
      <c r="M536" s="10">
        <v>36426</v>
      </c>
      <c r="N536" s="10">
        <v>36426</v>
      </c>
      <c r="O536" s="10">
        <f>Table1[[#This Row],[NET Amount]]-Table1[[#This Row],[Paid Amount]]</f>
        <v>0</v>
      </c>
      <c r="P536" s="2" t="s">
        <v>18</v>
      </c>
      <c r="Q536" s="2" t="s">
        <v>19</v>
      </c>
      <c r="R536" s="16">
        <f>(Table1[[#This Row],[NET Amount]]-Table1[[#This Row],[Total Outstanding Amount]])/Table1[[#This Row],[NET Amount]]</f>
        <v>1</v>
      </c>
      <c r="S536" s="2" t="s">
        <v>20</v>
      </c>
    </row>
    <row r="537" spans="1:19" x14ac:dyDescent="0.3">
      <c r="A537" s="4">
        <v>535</v>
      </c>
      <c r="B537" s="2" t="s">
        <v>152</v>
      </c>
      <c r="C537" s="3">
        <v>44847</v>
      </c>
      <c r="D537" s="3" t="str">
        <f>TEXT(Table1[[#This Row],[Admission Date]],"MMMM")</f>
        <v>October</v>
      </c>
      <c r="E537" s="3">
        <v>44852</v>
      </c>
      <c r="F537" s="3">
        <v>44852</v>
      </c>
      <c r="G537" s="2">
        <v>22027551</v>
      </c>
      <c r="H537" s="2">
        <v>2235892</v>
      </c>
      <c r="I537" s="2">
        <v>1001031634</v>
      </c>
      <c r="J537" s="2" t="s">
        <v>514</v>
      </c>
      <c r="K537" s="10">
        <v>77761</v>
      </c>
      <c r="L537" s="10">
        <v>0</v>
      </c>
      <c r="M537" s="10">
        <v>77761</v>
      </c>
      <c r="N537" s="10">
        <v>77761</v>
      </c>
      <c r="O537" s="10">
        <f>Table1[[#This Row],[NET Amount]]-Table1[[#This Row],[Paid Amount]]</f>
        <v>0</v>
      </c>
      <c r="P537" s="2" t="s">
        <v>18</v>
      </c>
      <c r="Q537" s="2" t="s">
        <v>24</v>
      </c>
      <c r="R537" s="16">
        <f>(Table1[[#This Row],[NET Amount]]-Table1[[#This Row],[Total Outstanding Amount]])/Table1[[#This Row],[NET Amount]]</f>
        <v>1</v>
      </c>
      <c r="S537" s="2" t="s">
        <v>65</v>
      </c>
    </row>
    <row r="538" spans="1:19" x14ac:dyDescent="0.3">
      <c r="A538" s="4">
        <v>536</v>
      </c>
      <c r="B538" s="2" t="s">
        <v>113</v>
      </c>
      <c r="C538" s="3">
        <v>44840</v>
      </c>
      <c r="D538" s="3" t="str">
        <f>TEXT(Table1[[#This Row],[Admission Date]],"MMMM")</f>
        <v>October</v>
      </c>
      <c r="E538" s="3">
        <v>44842</v>
      </c>
      <c r="F538" s="3">
        <v>44842</v>
      </c>
      <c r="G538" s="2">
        <v>22026093</v>
      </c>
      <c r="H538" s="2">
        <v>2234860</v>
      </c>
      <c r="I538" s="2">
        <v>10013323361</v>
      </c>
      <c r="J538" s="2" t="s">
        <v>515</v>
      </c>
      <c r="K538" s="10">
        <v>6553</v>
      </c>
      <c r="L538" s="10">
        <v>0</v>
      </c>
      <c r="M538" s="10">
        <v>6553</v>
      </c>
      <c r="N538" s="10">
        <v>6553</v>
      </c>
      <c r="O538" s="10">
        <f>Table1[[#This Row],[NET Amount]]-Table1[[#This Row],[Paid Amount]]</f>
        <v>0</v>
      </c>
      <c r="P538" s="2" t="s">
        <v>18</v>
      </c>
      <c r="Q538" s="2" t="s">
        <v>24</v>
      </c>
      <c r="R538" s="16">
        <f>(Table1[[#This Row],[NET Amount]]-Table1[[#This Row],[Total Outstanding Amount]])/Table1[[#This Row],[NET Amount]]</f>
        <v>1</v>
      </c>
      <c r="S538" s="2" t="s">
        <v>37</v>
      </c>
    </row>
    <row r="539" spans="1:19" x14ac:dyDescent="0.3">
      <c r="A539" s="4">
        <v>537</v>
      </c>
      <c r="B539" s="2" t="s">
        <v>126</v>
      </c>
      <c r="C539" s="3">
        <v>44860</v>
      </c>
      <c r="D539" s="3" t="str">
        <f>TEXT(Table1[[#This Row],[Admission Date]],"MMMM")</f>
        <v>October</v>
      </c>
      <c r="E539" s="3">
        <v>44861</v>
      </c>
      <c r="F539" s="3">
        <v>44861</v>
      </c>
      <c r="G539" s="2">
        <v>22028735</v>
      </c>
      <c r="H539" s="2">
        <v>2237436</v>
      </c>
      <c r="I539" s="2">
        <v>10013544505</v>
      </c>
      <c r="J539" s="2" t="s">
        <v>516</v>
      </c>
      <c r="K539" s="10">
        <v>23500</v>
      </c>
      <c r="L539" s="10">
        <v>0</v>
      </c>
      <c r="M539" s="10">
        <v>23500</v>
      </c>
      <c r="N539" s="10">
        <v>1500</v>
      </c>
      <c r="O539" s="10">
        <f>Table1[[#This Row],[NET Amount]]-Table1[[#This Row],[Paid Amount]]</f>
        <v>22000</v>
      </c>
      <c r="P539" s="2" t="s">
        <v>23</v>
      </c>
      <c r="Q539" s="2" t="s">
        <v>24</v>
      </c>
      <c r="R539" s="16">
        <f>(Table1[[#This Row],[NET Amount]]-Table1[[#This Row],[Total Outstanding Amount]])/Table1[[#This Row],[NET Amount]]</f>
        <v>6.3829787234042548E-2</v>
      </c>
      <c r="S539" s="2" t="s">
        <v>39</v>
      </c>
    </row>
    <row r="540" spans="1:19" x14ac:dyDescent="0.3">
      <c r="A540" s="4">
        <v>538</v>
      </c>
      <c r="B540" s="2" t="s">
        <v>25</v>
      </c>
      <c r="C540" s="3">
        <v>44859</v>
      </c>
      <c r="D540" s="3" t="str">
        <f>TEXT(Table1[[#This Row],[Admission Date]],"MMMM")</f>
        <v>October</v>
      </c>
      <c r="E540" s="3">
        <v>44865</v>
      </c>
      <c r="F540" s="3">
        <v>44865</v>
      </c>
      <c r="G540" s="2">
        <v>22029311</v>
      </c>
      <c r="H540" s="2">
        <v>2237348</v>
      </c>
      <c r="I540" s="2">
        <v>10013544421</v>
      </c>
      <c r="J540" s="2" t="s">
        <v>517</v>
      </c>
      <c r="K540" s="10">
        <v>115831</v>
      </c>
      <c r="L540" s="10">
        <v>23861</v>
      </c>
      <c r="M540" s="10">
        <v>91971</v>
      </c>
      <c r="N540" s="10">
        <v>91971</v>
      </c>
      <c r="O540" s="10">
        <f>Table1[[#This Row],[NET Amount]]-Table1[[#This Row],[Paid Amount]]</f>
        <v>0</v>
      </c>
      <c r="P540" s="2" t="s">
        <v>18</v>
      </c>
      <c r="Q540" s="2" t="s">
        <v>24</v>
      </c>
      <c r="R540" s="16">
        <f>(Table1[[#This Row],[NET Amount]]-Table1[[#This Row],[Total Outstanding Amount]])/Table1[[#This Row],[NET Amount]]</f>
        <v>1</v>
      </c>
      <c r="S540" s="2" t="s">
        <v>20</v>
      </c>
    </row>
    <row r="541" spans="1:19" x14ac:dyDescent="0.3">
      <c r="A541" s="4">
        <v>539</v>
      </c>
      <c r="B541" s="2" t="s">
        <v>126</v>
      </c>
      <c r="C541" s="3">
        <v>44859</v>
      </c>
      <c r="D541" s="3" t="str">
        <f>TEXT(Table1[[#This Row],[Admission Date]],"MMMM")</f>
        <v>October</v>
      </c>
      <c r="E541" s="3">
        <v>44861</v>
      </c>
      <c r="F541" s="3">
        <v>44861</v>
      </c>
      <c r="G541" s="2">
        <v>22028733</v>
      </c>
      <c r="H541" s="2">
        <v>2237416</v>
      </c>
      <c r="I541" s="2">
        <v>10013526729</v>
      </c>
      <c r="J541" s="2" t="s">
        <v>518</v>
      </c>
      <c r="K541" s="10">
        <v>59570</v>
      </c>
      <c r="L541" s="10">
        <v>8146</v>
      </c>
      <c r="M541" s="10">
        <v>51424</v>
      </c>
      <c r="N541" s="10">
        <v>44680</v>
      </c>
      <c r="O541" s="10">
        <f>Table1[[#This Row],[NET Amount]]-Table1[[#This Row],[Paid Amount]]</f>
        <v>6744</v>
      </c>
      <c r="P541" s="2" t="s">
        <v>23</v>
      </c>
      <c r="Q541" s="2" t="s">
        <v>19</v>
      </c>
      <c r="R541" s="16">
        <f>(Table1[[#This Row],[NET Amount]]-Table1[[#This Row],[Total Outstanding Amount]])/Table1[[#This Row],[NET Amount]]</f>
        <v>0.86885500933416304</v>
      </c>
      <c r="S541" s="2" t="s">
        <v>20</v>
      </c>
    </row>
    <row r="542" spans="1:19" x14ac:dyDescent="0.3">
      <c r="A542" s="4">
        <v>540</v>
      </c>
      <c r="B542" s="2" t="s">
        <v>75</v>
      </c>
      <c r="C542" s="3">
        <v>44852</v>
      </c>
      <c r="D542" s="3" t="str">
        <f>TEXT(Table1[[#This Row],[Admission Date]],"MMMM")</f>
        <v>October</v>
      </c>
      <c r="E542" s="3">
        <v>44859</v>
      </c>
      <c r="F542" s="3">
        <v>44859</v>
      </c>
      <c r="G542" s="2">
        <v>22028514</v>
      </c>
      <c r="H542" s="2">
        <v>2236503</v>
      </c>
      <c r="I542" s="2">
        <v>10013361532</v>
      </c>
      <c r="J542" s="2" t="s">
        <v>519</v>
      </c>
      <c r="K542" s="10">
        <v>252755</v>
      </c>
      <c r="L542" s="10">
        <v>0</v>
      </c>
      <c r="M542" s="10">
        <v>252755</v>
      </c>
      <c r="N542" s="10">
        <v>147977</v>
      </c>
      <c r="O542" s="10">
        <f>Table1[[#This Row],[NET Amount]]-Table1[[#This Row],[Paid Amount]]</f>
        <v>104778</v>
      </c>
      <c r="P542" s="2" t="s">
        <v>23</v>
      </c>
      <c r="Q542" s="2" t="s">
        <v>30</v>
      </c>
      <c r="R542" s="16">
        <f>(Table1[[#This Row],[NET Amount]]-Table1[[#This Row],[Total Outstanding Amount]])/Table1[[#This Row],[NET Amount]]</f>
        <v>0.58545627188384008</v>
      </c>
      <c r="S542" s="2" t="s">
        <v>201</v>
      </c>
    </row>
    <row r="543" spans="1:19" x14ac:dyDescent="0.3">
      <c r="A543" s="4">
        <v>541</v>
      </c>
      <c r="B543" s="2" t="s">
        <v>520</v>
      </c>
      <c r="C543" s="3">
        <v>44855</v>
      </c>
      <c r="D543" s="3" t="str">
        <f>TEXT(Table1[[#This Row],[Admission Date]],"MMMM")</f>
        <v>October</v>
      </c>
      <c r="E543" s="3">
        <v>44855</v>
      </c>
      <c r="F543" s="3">
        <v>44855</v>
      </c>
      <c r="G543" s="2">
        <v>22028091</v>
      </c>
      <c r="H543" s="2">
        <v>2236955</v>
      </c>
      <c r="I543" s="2">
        <v>10013540903</v>
      </c>
      <c r="J543" s="2" t="s">
        <v>521</v>
      </c>
      <c r="K543" s="10">
        <v>1610</v>
      </c>
      <c r="L543" s="10">
        <v>0</v>
      </c>
      <c r="M543" s="10">
        <v>1610</v>
      </c>
      <c r="N543" s="10">
        <v>1610</v>
      </c>
      <c r="O543" s="10">
        <f>Table1[[#This Row],[NET Amount]]-Table1[[#This Row],[Paid Amount]]</f>
        <v>0</v>
      </c>
      <c r="P543" s="2" t="s">
        <v>18</v>
      </c>
      <c r="Q543" s="2" t="s">
        <v>54</v>
      </c>
      <c r="R543" s="16">
        <f>(Table1[[#This Row],[NET Amount]]-Table1[[#This Row],[Total Outstanding Amount]])/Table1[[#This Row],[NET Amount]]</f>
        <v>1</v>
      </c>
      <c r="S543" s="2" t="s">
        <v>97</v>
      </c>
    </row>
    <row r="544" spans="1:19" x14ac:dyDescent="0.3">
      <c r="A544" s="4">
        <v>542</v>
      </c>
      <c r="B544" s="2" t="s">
        <v>2243</v>
      </c>
      <c r="C544" s="3">
        <v>44831</v>
      </c>
      <c r="D544" s="3" t="str">
        <f>TEXT(Table1[[#This Row],[Admission Date]],"MMMM")</f>
        <v>September</v>
      </c>
      <c r="E544" s="3">
        <v>44845</v>
      </c>
      <c r="F544" s="3">
        <v>44845</v>
      </c>
      <c r="G544" s="2">
        <v>22026636</v>
      </c>
      <c r="H544" s="2">
        <v>2233611</v>
      </c>
      <c r="I544" s="2">
        <v>1000915528</v>
      </c>
      <c r="J544" s="2" t="s">
        <v>187</v>
      </c>
      <c r="K544" s="10">
        <v>568810</v>
      </c>
      <c r="L544" s="10">
        <v>568810</v>
      </c>
      <c r="M544" s="10">
        <v>0</v>
      </c>
      <c r="N544" s="10">
        <v>0</v>
      </c>
      <c r="O544" s="10">
        <f>Table1[[#This Row],[NET Amount]]-Table1[[#This Row],[Paid Amount]]</f>
        <v>0</v>
      </c>
      <c r="P544" s="2" t="s">
        <v>18</v>
      </c>
      <c r="Q544" s="2" t="s">
        <v>90</v>
      </c>
      <c r="R544" s="16" t="e">
        <f>(Table1[[#This Row],[NET Amount]]-Table1[[#This Row],[Total Outstanding Amount]])/Table1[[#This Row],[NET Amount]]</f>
        <v>#DIV/0!</v>
      </c>
      <c r="S544" s="2" t="s">
        <v>20</v>
      </c>
    </row>
    <row r="545" spans="1:19" x14ac:dyDescent="0.3">
      <c r="A545" s="4">
        <v>543</v>
      </c>
      <c r="B545" s="2" t="s">
        <v>522</v>
      </c>
      <c r="C545" s="3">
        <v>44851</v>
      </c>
      <c r="D545" s="3" t="str">
        <f>TEXT(Table1[[#This Row],[Admission Date]],"MMMM")</f>
        <v>October</v>
      </c>
      <c r="E545" s="3">
        <v>44856</v>
      </c>
      <c r="F545" s="3">
        <v>44856</v>
      </c>
      <c r="G545" s="2">
        <v>22028187</v>
      </c>
      <c r="H545" s="2">
        <v>2236373</v>
      </c>
      <c r="I545" s="2">
        <v>1000854199</v>
      </c>
      <c r="J545" s="2" t="s">
        <v>523</v>
      </c>
      <c r="K545" s="10">
        <v>58315</v>
      </c>
      <c r="L545" s="10">
        <v>0</v>
      </c>
      <c r="M545" s="10">
        <v>58315</v>
      </c>
      <c r="N545" s="10">
        <v>2657</v>
      </c>
      <c r="O545" s="10">
        <f>Table1[[#This Row],[NET Amount]]-Table1[[#This Row],[Paid Amount]]</f>
        <v>55658</v>
      </c>
      <c r="P545" s="2" t="s">
        <v>23</v>
      </c>
      <c r="Q545" s="2" t="s">
        <v>24</v>
      </c>
      <c r="R545" s="16">
        <f>(Table1[[#This Row],[NET Amount]]-Table1[[#This Row],[Total Outstanding Amount]])/Table1[[#This Row],[NET Amount]]</f>
        <v>4.5562891194375378E-2</v>
      </c>
      <c r="S545" s="2" t="s">
        <v>95</v>
      </c>
    </row>
    <row r="546" spans="1:19" x14ac:dyDescent="0.3">
      <c r="A546" s="4">
        <v>544</v>
      </c>
      <c r="B546" s="2" t="s">
        <v>25</v>
      </c>
      <c r="C546" s="3">
        <v>44843</v>
      </c>
      <c r="D546" s="3" t="str">
        <f>TEXT(Table1[[#This Row],[Admission Date]],"MMMM")</f>
        <v>October</v>
      </c>
      <c r="E546" s="3">
        <v>44861</v>
      </c>
      <c r="F546" s="3">
        <v>44861</v>
      </c>
      <c r="G546" s="2">
        <v>22028801</v>
      </c>
      <c r="H546" s="2">
        <v>2235296</v>
      </c>
      <c r="I546" s="2">
        <v>10013541061</v>
      </c>
      <c r="J546" s="2" t="s">
        <v>524</v>
      </c>
      <c r="K546" s="10">
        <v>1465308</v>
      </c>
      <c r="L546" s="10">
        <v>264781</v>
      </c>
      <c r="M546" s="10">
        <v>1200527</v>
      </c>
      <c r="N546" s="10">
        <v>1200527</v>
      </c>
      <c r="O546" s="10">
        <f>Table1[[#This Row],[NET Amount]]-Table1[[#This Row],[Paid Amount]]</f>
        <v>0</v>
      </c>
      <c r="P546" s="2" t="s">
        <v>18</v>
      </c>
      <c r="Q546" s="2" t="s">
        <v>225</v>
      </c>
      <c r="R546" s="16">
        <f>(Table1[[#This Row],[NET Amount]]-Table1[[#This Row],[Total Outstanding Amount]])/Table1[[#This Row],[NET Amount]]</f>
        <v>1</v>
      </c>
      <c r="S546" s="2" t="s">
        <v>20</v>
      </c>
    </row>
    <row r="547" spans="1:19" x14ac:dyDescent="0.3">
      <c r="A547" s="4">
        <v>545</v>
      </c>
      <c r="B547" s="2" t="s">
        <v>259</v>
      </c>
      <c r="C547" s="3">
        <v>44849</v>
      </c>
      <c r="D547" s="3" t="str">
        <f>TEXT(Table1[[#This Row],[Admission Date]],"MMMM")</f>
        <v>October</v>
      </c>
      <c r="E547" s="3">
        <v>44856</v>
      </c>
      <c r="F547" s="3">
        <v>44856</v>
      </c>
      <c r="G547" s="2">
        <v>22028169</v>
      </c>
      <c r="H547" s="2">
        <v>2236117</v>
      </c>
      <c r="I547" s="2">
        <v>10013305837</v>
      </c>
      <c r="J547" s="2" t="s">
        <v>525</v>
      </c>
      <c r="K547" s="10">
        <v>163552</v>
      </c>
      <c r="L547" s="10">
        <v>0</v>
      </c>
      <c r="M547" s="10">
        <v>163552</v>
      </c>
      <c r="N547" s="10">
        <v>1500</v>
      </c>
      <c r="O547" s="10">
        <f>Table1[[#This Row],[NET Amount]]-Table1[[#This Row],[Paid Amount]]</f>
        <v>162052</v>
      </c>
      <c r="P547" s="2" t="s">
        <v>23</v>
      </c>
      <c r="Q547" s="2" t="s">
        <v>24</v>
      </c>
      <c r="R547" s="16">
        <f>(Table1[[#This Row],[NET Amount]]-Table1[[#This Row],[Total Outstanding Amount]])/Table1[[#This Row],[NET Amount]]</f>
        <v>9.1713950303267469E-3</v>
      </c>
      <c r="S547" s="2" t="s">
        <v>65</v>
      </c>
    </row>
    <row r="548" spans="1:19" x14ac:dyDescent="0.3">
      <c r="A548" s="4">
        <v>546</v>
      </c>
      <c r="B548" s="2" t="s">
        <v>45</v>
      </c>
      <c r="C548" s="3">
        <v>44852</v>
      </c>
      <c r="D548" s="3" t="str">
        <f>TEXT(Table1[[#This Row],[Admission Date]],"MMMM")</f>
        <v>October</v>
      </c>
      <c r="E548" s="3">
        <v>44856</v>
      </c>
      <c r="F548" s="3">
        <v>44856</v>
      </c>
      <c r="G548" s="2">
        <v>22028198</v>
      </c>
      <c r="H548" s="2">
        <v>2236467</v>
      </c>
      <c r="I548" s="2">
        <v>10013543535</v>
      </c>
      <c r="J548" s="2" t="s">
        <v>526</v>
      </c>
      <c r="K548" s="10">
        <v>97965</v>
      </c>
      <c r="L548" s="10">
        <v>17187</v>
      </c>
      <c r="M548" s="10">
        <v>80778</v>
      </c>
      <c r="N548" s="10">
        <v>16478</v>
      </c>
      <c r="O548" s="10">
        <f>Table1[[#This Row],[NET Amount]]-Table1[[#This Row],[Paid Amount]]</f>
        <v>64300</v>
      </c>
      <c r="P548" s="2" t="s">
        <v>23</v>
      </c>
      <c r="Q548" s="2" t="s">
        <v>42</v>
      </c>
      <c r="R548" s="16">
        <f>(Table1[[#This Row],[NET Amount]]-Table1[[#This Row],[Total Outstanding Amount]])/Table1[[#This Row],[NET Amount]]</f>
        <v>0.20399118571888386</v>
      </c>
      <c r="S548" s="2" t="s">
        <v>20</v>
      </c>
    </row>
    <row r="549" spans="1:19" x14ac:dyDescent="0.3">
      <c r="A549" s="4">
        <v>547</v>
      </c>
      <c r="B549" s="2" t="s">
        <v>25</v>
      </c>
      <c r="C549" s="3">
        <v>44846</v>
      </c>
      <c r="D549" s="3" t="str">
        <f>TEXT(Table1[[#This Row],[Admission Date]],"MMMM")</f>
        <v>October</v>
      </c>
      <c r="E549" s="3">
        <v>44849</v>
      </c>
      <c r="F549" s="3">
        <v>44849</v>
      </c>
      <c r="G549" s="2">
        <v>22027184</v>
      </c>
      <c r="H549" s="2">
        <v>2235665</v>
      </c>
      <c r="I549" s="2">
        <v>10013535078</v>
      </c>
      <c r="J549" s="2" t="s">
        <v>527</v>
      </c>
      <c r="K549" s="10">
        <v>111732</v>
      </c>
      <c r="L549" s="10">
        <v>13195</v>
      </c>
      <c r="M549" s="10">
        <v>98538</v>
      </c>
      <c r="N549" s="10">
        <v>98538</v>
      </c>
      <c r="O549" s="10">
        <f>Table1[[#This Row],[NET Amount]]-Table1[[#This Row],[Paid Amount]]</f>
        <v>0</v>
      </c>
      <c r="P549" s="2" t="s">
        <v>18</v>
      </c>
      <c r="Q549" s="2" t="s">
        <v>30</v>
      </c>
      <c r="R549" s="16">
        <f>(Table1[[#This Row],[NET Amount]]-Table1[[#This Row],[Total Outstanding Amount]])/Table1[[#This Row],[NET Amount]]</f>
        <v>1</v>
      </c>
      <c r="S549" s="2" t="s">
        <v>27</v>
      </c>
    </row>
    <row r="550" spans="1:19" x14ac:dyDescent="0.3">
      <c r="A550" s="4">
        <v>548</v>
      </c>
      <c r="B550" s="2" t="s">
        <v>25</v>
      </c>
      <c r="C550" s="3">
        <v>44846</v>
      </c>
      <c r="D550" s="3" t="str">
        <f>TEXT(Table1[[#This Row],[Admission Date]],"MMMM")</f>
        <v>October</v>
      </c>
      <c r="E550" s="3">
        <v>44848</v>
      </c>
      <c r="F550" s="3">
        <v>44848</v>
      </c>
      <c r="G550" s="2">
        <v>22027015</v>
      </c>
      <c r="H550" s="2">
        <v>2235670</v>
      </c>
      <c r="I550" s="2">
        <v>1001803936</v>
      </c>
      <c r="J550" s="2" t="s">
        <v>528</v>
      </c>
      <c r="K550" s="10">
        <v>19217</v>
      </c>
      <c r="L550" s="10">
        <v>2486</v>
      </c>
      <c r="M550" s="10">
        <v>16731</v>
      </c>
      <c r="N550" s="10">
        <v>16731</v>
      </c>
      <c r="O550" s="10">
        <f>Table1[[#This Row],[NET Amount]]-Table1[[#This Row],[Paid Amount]]</f>
        <v>0</v>
      </c>
      <c r="P550" s="2" t="s">
        <v>18</v>
      </c>
      <c r="Q550" s="2" t="s">
        <v>30</v>
      </c>
      <c r="R550" s="16">
        <f>(Table1[[#This Row],[NET Amount]]-Table1[[#This Row],[Total Outstanding Amount]])/Table1[[#This Row],[NET Amount]]</f>
        <v>1</v>
      </c>
      <c r="S550" s="2" t="s">
        <v>37</v>
      </c>
    </row>
    <row r="551" spans="1:19" x14ac:dyDescent="0.3">
      <c r="A551" s="4">
        <v>549</v>
      </c>
      <c r="B551" s="2" t="s">
        <v>93</v>
      </c>
      <c r="C551" s="3">
        <v>44854</v>
      </c>
      <c r="D551" s="3" t="str">
        <f>TEXT(Table1[[#This Row],[Admission Date]],"MMMM")</f>
        <v>October</v>
      </c>
      <c r="E551" s="3">
        <v>44856</v>
      </c>
      <c r="F551" s="3">
        <v>44856</v>
      </c>
      <c r="G551" s="2">
        <v>22028184</v>
      </c>
      <c r="H551" s="2">
        <v>2236714</v>
      </c>
      <c r="I551" s="2">
        <v>10013543806</v>
      </c>
      <c r="J551" s="2" t="s">
        <v>529</v>
      </c>
      <c r="K551" s="10">
        <v>63888</v>
      </c>
      <c r="L551" s="10">
        <v>8628</v>
      </c>
      <c r="M551" s="10">
        <v>55260</v>
      </c>
      <c r="N551" s="10">
        <v>25000</v>
      </c>
      <c r="O551" s="10">
        <f>Table1[[#This Row],[NET Amount]]-Table1[[#This Row],[Paid Amount]]</f>
        <v>30260</v>
      </c>
      <c r="P551" s="2" t="s">
        <v>23</v>
      </c>
      <c r="Q551" s="2" t="s">
        <v>396</v>
      </c>
      <c r="R551" s="16">
        <f>(Table1[[#This Row],[NET Amount]]-Table1[[#This Row],[Total Outstanding Amount]])/Table1[[#This Row],[NET Amount]]</f>
        <v>0.45240680419833512</v>
      </c>
      <c r="S551" s="2" t="s">
        <v>20</v>
      </c>
    </row>
    <row r="552" spans="1:19" x14ac:dyDescent="0.3">
      <c r="A552" s="4">
        <v>550</v>
      </c>
      <c r="B552" s="2" t="s">
        <v>117</v>
      </c>
      <c r="C552" s="3">
        <v>44854</v>
      </c>
      <c r="D552" s="3" t="str">
        <f>TEXT(Table1[[#This Row],[Admission Date]],"MMMM")</f>
        <v>October</v>
      </c>
      <c r="E552" s="3">
        <v>44854</v>
      </c>
      <c r="F552" s="3">
        <v>44854</v>
      </c>
      <c r="G552" s="2">
        <v>22027907</v>
      </c>
      <c r="H552" s="2">
        <v>2236715</v>
      </c>
      <c r="I552" s="2">
        <v>1000956202</v>
      </c>
      <c r="J552" s="2" t="s">
        <v>530</v>
      </c>
      <c r="K552" s="10">
        <v>15566</v>
      </c>
      <c r="L552" s="10">
        <v>0</v>
      </c>
      <c r="M552" s="10">
        <v>15566</v>
      </c>
      <c r="N552" s="10">
        <v>15566</v>
      </c>
      <c r="O552" s="10">
        <f>Table1[[#This Row],[NET Amount]]-Table1[[#This Row],[Paid Amount]]</f>
        <v>0</v>
      </c>
      <c r="P552" s="2" t="s">
        <v>18</v>
      </c>
      <c r="Q552" s="2" t="s">
        <v>24</v>
      </c>
      <c r="R552" s="16">
        <f>(Table1[[#This Row],[NET Amount]]-Table1[[#This Row],[Total Outstanding Amount]])/Table1[[#This Row],[NET Amount]]</f>
        <v>1</v>
      </c>
      <c r="S552" s="2" t="s">
        <v>39</v>
      </c>
    </row>
    <row r="553" spans="1:19" x14ac:dyDescent="0.3">
      <c r="A553" s="4">
        <v>551</v>
      </c>
      <c r="B553" s="2" t="s">
        <v>2246</v>
      </c>
      <c r="C553" s="3">
        <v>44848</v>
      </c>
      <c r="D553" s="3" t="str">
        <f>TEXT(Table1[[#This Row],[Admission Date]],"MMMM")</f>
        <v>October</v>
      </c>
      <c r="E553" s="3">
        <v>44848</v>
      </c>
      <c r="F553" s="3">
        <v>44848</v>
      </c>
      <c r="G553" s="2">
        <v>22027053</v>
      </c>
      <c r="H553" s="2">
        <v>2235977</v>
      </c>
      <c r="I553" s="2">
        <v>1001788579</v>
      </c>
      <c r="J553" s="2" t="s">
        <v>107</v>
      </c>
      <c r="K553" s="10">
        <v>2172</v>
      </c>
      <c r="L553" s="10">
        <v>0</v>
      </c>
      <c r="M553" s="10">
        <v>2172</v>
      </c>
      <c r="N553" s="10">
        <v>2172</v>
      </c>
      <c r="O553" s="10">
        <f>Table1[[#This Row],[NET Amount]]-Table1[[#This Row],[Paid Amount]]</f>
        <v>0</v>
      </c>
      <c r="P553" s="2" t="s">
        <v>18</v>
      </c>
      <c r="Q553" s="2" t="s">
        <v>54</v>
      </c>
      <c r="R553" s="16">
        <f>(Table1[[#This Row],[NET Amount]]-Table1[[#This Row],[Total Outstanding Amount]])/Table1[[#This Row],[NET Amount]]</f>
        <v>1</v>
      </c>
      <c r="S553" s="2" t="s">
        <v>97</v>
      </c>
    </row>
    <row r="554" spans="1:19" x14ac:dyDescent="0.3">
      <c r="A554" s="4">
        <v>552</v>
      </c>
      <c r="B554" s="2" t="s">
        <v>139</v>
      </c>
      <c r="C554" s="3">
        <v>44855</v>
      </c>
      <c r="D554" s="3" t="str">
        <f>TEXT(Table1[[#This Row],[Admission Date]],"MMMM")</f>
        <v>October</v>
      </c>
      <c r="E554" s="3">
        <v>44858</v>
      </c>
      <c r="F554" s="3">
        <v>44858</v>
      </c>
      <c r="G554" s="2">
        <v>22028455</v>
      </c>
      <c r="H554" s="2">
        <v>2236933</v>
      </c>
      <c r="I554" s="2">
        <v>10013495827</v>
      </c>
      <c r="J554" s="2" t="s">
        <v>531</v>
      </c>
      <c r="K554" s="10">
        <v>139158</v>
      </c>
      <c r="L554" s="10">
        <v>0</v>
      </c>
      <c r="M554" s="10">
        <v>139158</v>
      </c>
      <c r="N554" s="10">
        <v>27298</v>
      </c>
      <c r="O554" s="10">
        <f>Table1[[#This Row],[NET Amount]]-Table1[[#This Row],[Paid Amount]]</f>
        <v>111860</v>
      </c>
      <c r="P554" s="2" t="s">
        <v>23</v>
      </c>
      <c r="Q554" s="2" t="s">
        <v>47</v>
      </c>
      <c r="R554" s="16">
        <f>(Table1[[#This Row],[NET Amount]]-Table1[[#This Row],[Total Outstanding Amount]])/Table1[[#This Row],[NET Amount]]</f>
        <v>0.19616550970838903</v>
      </c>
      <c r="S554" s="2" t="s">
        <v>39</v>
      </c>
    </row>
    <row r="555" spans="1:19" x14ac:dyDescent="0.3">
      <c r="A555" s="4">
        <v>553</v>
      </c>
      <c r="B555" s="2" t="s">
        <v>149</v>
      </c>
      <c r="C555" s="3">
        <v>44840</v>
      </c>
      <c r="D555" s="3" t="str">
        <f>TEXT(Table1[[#This Row],[Admission Date]],"MMMM")</f>
        <v>October</v>
      </c>
      <c r="E555" s="3">
        <v>44842</v>
      </c>
      <c r="F555" s="3">
        <v>44842</v>
      </c>
      <c r="G555" s="2">
        <v>22026095</v>
      </c>
      <c r="H555" s="2">
        <v>2234844</v>
      </c>
      <c r="I555" s="2">
        <v>1001802712</v>
      </c>
      <c r="J555" s="2" t="s">
        <v>532</v>
      </c>
      <c r="K555" s="10">
        <v>170811</v>
      </c>
      <c r="L555" s="10">
        <v>0</v>
      </c>
      <c r="M555" s="10">
        <v>170811</v>
      </c>
      <c r="N555" s="10">
        <v>6003</v>
      </c>
      <c r="O555" s="10">
        <f>Table1[[#This Row],[NET Amount]]-Table1[[#This Row],[Paid Amount]]</f>
        <v>164808</v>
      </c>
      <c r="P555" s="2" t="s">
        <v>23</v>
      </c>
      <c r="Q555" s="2" t="s">
        <v>24</v>
      </c>
      <c r="R555" s="16">
        <f>(Table1[[#This Row],[NET Amount]]-Table1[[#This Row],[Total Outstanding Amount]])/Table1[[#This Row],[NET Amount]]</f>
        <v>3.5144106644185678E-2</v>
      </c>
      <c r="S555" s="2" t="s">
        <v>57</v>
      </c>
    </row>
    <row r="556" spans="1:19" x14ac:dyDescent="0.3">
      <c r="A556" s="4">
        <v>554</v>
      </c>
      <c r="B556" s="2" t="s">
        <v>28</v>
      </c>
      <c r="C556" s="3">
        <v>44844</v>
      </c>
      <c r="D556" s="3" t="str">
        <f>TEXT(Table1[[#This Row],[Admission Date]],"MMMM")</f>
        <v>October</v>
      </c>
      <c r="E556" s="3">
        <v>44847</v>
      </c>
      <c r="F556" s="3">
        <v>44847</v>
      </c>
      <c r="G556" s="2">
        <v>22026854</v>
      </c>
      <c r="H556" s="2">
        <v>2235360</v>
      </c>
      <c r="I556" s="2">
        <v>10013542050</v>
      </c>
      <c r="J556" s="2" t="s">
        <v>533</v>
      </c>
      <c r="K556" s="10">
        <v>73527</v>
      </c>
      <c r="L556" s="10">
        <v>9500</v>
      </c>
      <c r="M556" s="10">
        <v>64027</v>
      </c>
      <c r="N556" s="10">
        <v>1000</v>
      </c>
      <c r="O556" s="10">
        <f>Table1[[#This Row],[NET Amount]]-Table1[[#This Row],[Paid Amount]]</f>
        <v>63027</v>
      </c>
      <c r="P556" s="2" t="s">
        <v>23</v>
      </c>
      <c r="Q556" s="2" t="s">
        <v>19</v>
      </c>
      <c r="R556" s="16">
        <f>(Table1[[#This Row],[NET Amount]]-Table1[[#This Row],[Total Outstanding Amount]])/Table1[[#This Row],[NET Amount]]</f>
        <v>1.5618410982866603E-2</v>
      </c>
      <c r="S556" s="2" t="s">
        <v>95</v>
      </c>
    </row>
    <row r="557" spans="1:19" x14ac:dyDescent="0.3">
      <c r="A557" s="4">
        <v>555</v>
      </c>
      <c r="B557" s="2" t="s">
        <v>25</v>
      </c>
      <c r="C557" s="3">
        <v>44845</v>
      </c>
      <c r="D557" s="3" t="str">
        <f>TEXT(Table1[[#This Row],[Admission Date]],"MMMM")</f>
        <v>October</v>
      </c>
      <c r="E557" s="3">
        <v>44846</v>
      </c>
      <c r="F557" s="3">
        <v>44846</v>
      </c>
      <c r="G557" s="2">
        <v>22026774</v>
      </c>
      <c r="H557" s="2">
        <v>2235497</v>
      </c>
      <c r="I557" s="2">
        <v>10013542428</v>
      </c>
      <c r="J557" s="2" t="s">
        <v>323</v>
      </c>
      <c r="K557" s="10">
        <v>211878</v>
      </c>
      <c r="L557" s="10">
        <v>44944</v>
      </c>
      <c r="M557" s="10">
        <v>166934</v>
      </c>
      <c r="N557" s="10">
        <v>166934</v>
      </c>
      <c r="O557" s="10">
        <f>Table1[[#This Row],[NET Amount]]-Table1[[#This Row],[Paid Amount]]</f>
        <v>0</v>
      </c>
      <c r="P557" s="2" t="s">
        <v>18</v>
      </c>
      <c r="Q557" s="2" t="s">
        <v>69</v>
      </c>
      <c r="R557" s="16">
        <f>(Table1[[#This Row],[NET Amount]]-Table1[[#This Row],[Total Outstanding Amount]])/Table1[[#This Row],[NET Amount]]</f>
        <v>1</v>
      </c>
      <c r="S557" s="2" t="s">
        <v>201</v>
      </c>
    </row>
    <row r="558" spans="1:19" x14ac:dyDescent="0.3">
      <c r="A558" s="4">
        <v>556</v>
      </c>
      <c r="B558" s="2" t="s">
        <v>28</v>
      </c>
      <c r="C558" s="3">
        <v>44854</v>
      </c>
      <c r="D558" s="3" t="str">
        <f>TEXT(Table1[[#This Row],[Admission Date]],"MMMM")</f>
        <v>October</v>
      </c>
      <c r="E558" s="3">
        <v>44861</v>
      </c>
      <c r="F558" s="3">
        <v>44861</v>
      </c>
      <c r="G558" s="2">
        <v>22028765</v>
      </c>
      <c r="H558" s="2">
        <v>2236830</v>
      </c>
      <c r="I558" s="2">
        <v>10013543942</v>
      </c>
      <c r="J558" s="2" t="s">
        <v>534</v>
      </c>
      <c r="K558" s="10">
        <v>120868</v>
      </c>
      <c r="L558" s="10">
        <v>12253</v>
      </c>
      <c r="M558" s="10">
        <v>108615</v>
      </c>
      <c r="N558" s="10">
        <v>3362</v>
      </c>
      <c r="O558" s="10">
        <f>Table1[[#This Row],[NET Amount]]-Table1[[#This Row],[Paid Amount]]</f>
        <v>105253</v>
      </c>
      <c r="P558" s="2" t="s">
        <v>23</v>
      </c>
      <c r="Q558" s="2" t="s">
        <v>30</v>
      </c>
      <c r="R558" s="16">
        <f>(Table1[[#This Row],[NET Amount]]-Table1[[#This Row],[Total Outstanding Amount]])/Table1[[#This Row],[NET Amount]]</f>
        <v>3.0953367398609769E-2</v>
      </c>
      <c r="S558" s="2" t="s">
        <v>20</v>
      </c>
    </row>
    <row r="559" spans="1:19" x14ac:dyDescent="0.3">
      <c r="A559" s="4">
        <v>557</v>
      </c>
      <c r="B559" s="2" t="s">
        <v>2266</v>
      </c>
      <c r="C559" s="3">
        <v>44841</v>
      </c>
      <c r="D559" s="3" t="str">
        <f>TEXT(Table1[[#This Row],[Admission Date]],"MMMM")</f>
        <v>October</v>
      </c>
      <c r="E559" s="3">
        <v>44844</v>
      </c>
      <c r="F559" s="3">
        <v>44844</v>
      </c>
      <c r="G559" s="2">
        <v>22026451</v>
      </c>
      <c r="H559" s="2">
        <v>2235078</v>
      </c>
      <c r="I559" s="2">
        <v>1001803118</v>
      </c>
      <c r="J559" s="2" t="s">
        <v>535</v>
      </c>
      <c r="K559" s="10">
        <v>109481</v>
      </c>
      <c r="L559" s="10">
        <v>18266</v>
      </c>
      <c r="M559" s="10">
        <v>91215</v>
      </c>
      <c r="N559" s="10">
        <v>29116</v>
      </c>
      <c r="O559" s="10">
        <f>Table1[[#This Row],[NET Amount]]-Table1[[#This Row],[Paid Amount]]</f>
        <v>62099</v>
      </c>
      <c r="P559" s="2" t="s">
        <v>23</v>
      </c>
      <c r="Q559" s="2" t="s">
        <v>24</v>
      </c>
      <c r="R559" s="16">
        <f>(Table1[[#This Row],[NET Amount]]-Table1[[#This Row],[Total Outstanding Amount]])/Table1[[#This Row],[NET Amount]]</f>
        <v>0.3192018856547717</v>
      </c>
      <c r="S559" s="2" t="s">
        <v>20</v>
      </c>
    </row>
    <row r="560" spans="1:19" x14ac:dyDescent="0.3">
      <c r="A560" s="4">
        <v>558</v>
      </c>
      <c r="B560" s="2" t="s">
        <v>25</v>
      </c>
      <c r="C560" s="3">
        <v>44862</v>
      </c>
      <c r="D560" s="3" t="str">
        <f>TEXT(Table1[[#This Row],[Admission Date]],"MMMM")</f>
        <v>October</v>
      </c>
      <c r="E560" s="3">
        <v>44862</v>
      </c>
      <c r="F560" s="3">
        <v>44862</v>
      </c>
      <c r="G560" s="2">
        <v>22028935</v>
      </c>
      <c r="H560" s="2">
        <v>2237801</v>
      </c>
      <c r="I560" s="2">
        <v>10013544920</v>
      </c>
      <c r="J560" s="2" t="s">
        <v>536</v>
      </c>
      <c r="K560" s="10">
        <v>3970</v>
      </c>
      <c r="L560" s="10">
        <v>348</v>
      </c>
      <c r="M560" s="10">
        <v>3622</v>
      </c>
      <c r="N560" s="10">
        <v>3622</v>
      </c>
      <c r="O560" s="10">
        <f>Table1[[#This Row],[NET Amount]]-Table1[[#This Row],[Paid Amount]]</f>
        <v>0</v>
      </c>
      <c r="P560" s="2" t="s">
        <v>18</v>
      </c>
      <c r="Q560" s="2" t="s">
        <v>88</v>
      </c>
      <c r="R560" s="16">
        <f>(Table1[[#This Row],[NET Amount]]-Table1[[#This Row],[Total Outstanding Amount]])/Table1[[#This Row],[NET Amount]]</f>
        <v>1</v>
      </c>
      <c r="S560" s="2" t="s">
        <v>65</v>
      </c>
    </row>
    <row r="561" spans="1:19" x14ac:dyDescent="0.3">
      <c r="A561" s="4">
        <v>559</v>
      </c>
      <c r="B561" s="2" t="s">
        <v>25</v>
      </c>
      <c r="C561" s="3">
        <v>44848</v>
      </c>
      <c r="D561" s="3" t="str">
        <f>TEXT(Table1[[#This Row],[Admission Date]],"MMMM")</f>
        <v>October</v>
      </c>
      <c r="E561" s="3">
        <v>44852</v>
      </c>
      <c r="F561" s="3">
        <v>44852</v>
      </c>
      <c r="G561" s="2">
        <v>22027550</v>
      </c>
      <c r="H561" s="2">
        <v>2236058</v>
      </c>
      <c r="I561" s="2">
        <v>10013543034</v>
      </c>
      <c r="J561" s="2" t="s">
        <v>537</v>
      </c>
      <c r="K561" s="10">
        <v>67143</v>
      </c>
      <c r="L561" s="10">
        <v>14390</v>
      </c>
      <c r="M561" s="10">
        <v>52753</v>
      </c>
      <c r="N561" s="10">
        <v>52753</v>
      </c>
      <c r="O561" s="10">
        <f>Table1[[#This Row],[NET Amount]]-Table1[[#This Row],[Paid Amount]]</f>
        <v>0</v>
      </c>
      <c r="P561" s="2" t="s">
        <v>18</v>
      </c>
      <c r="Q561" s="2" t="s">
        <v>24</v>
      </c>
      <c r="R561" s="16">
        <f>(Table1[[#This Row],[NET Amount]]-Table1[[#This Row],[Total Outstanding Amount]])/Table1[[#This Row],[NET Amount]]</f>
        <v>1</v>
      </c>
      <c r="S561" s="2" t="s">
        <v>20</v>
      </c>
    </row>
    <row r="562" spans="1:19" x14ac:dyDescent="0.3">
      <c r="A562" s="4">
        <v>560</v>
      </c>
      <c r="B562" s="2" t="s">
        <v>25</v>
      </c>
      <c r="C562" s="3">
        <v>44847</v>
      </c>
      <c r="D562" s="3" t="str">
        <f>TEXT(Table1[[#This Row],[Admission Date]],"MMMM")</f>
        <v>October</v>
      </c>
      <c r="E562" s="3">
        <v>44852</v>
      </c>
      <c r="F562" s="3">
        <v>44852</v>
      </c>
      <c r="G562" s="2">
        <v>22027568</v>
      </c>
      <c r="H562" s="2">
        <v>2235874</v>
      </c>
      <c r="I562" s="2">
        <v>10013464974</v>
      </c>
      <c r="J562" s="2" t="s">
        <v>538</v>
      </c>
      <c r="K562" s="10">
        <v>86020</v>
      </c>
      <c r="L562" s="10">
        <v>27988</v>
      </c>
      <c r="M562" s="10">
        <v>58032</v>
      </c>
      <c r="N562" s="10">
        <v>58032</v>
      </c>
      <c r="O562" s="10">
        <f>Table1[[#This Row],[NET Amount]]-Table1[[#This Row],[Paid Amount]]</f>
        <v>0</v>
      </c>
      <c r="P562" s="2" t="s">
        <v>18</v>
      </c>
      <c r="Q562" s="2" t="s">
        <v>69</v>
      </c>
      <c r="R562" s="16">
        <f>(Table1[[#This Row],[NET Amount]]-Table1[[#This Row],[Total Outstanding Amount]])/Table1[[#This Row],[NET Amount]]</f>
        <v>1</v>
      </c>
      <c r="S562" s="2" t="s">
        <v>20</v>
      </c>
    </row>
    <row r="563" spans="1:19" x14ac:dyDescent="0.3">
      <c r="A563" s="4">
        <v>561</v>
      </c>
      <c r="B563" s="2" t="s">
        <v>25</v>
      </c>
      <c r="C563" s="3">
        <v>44852</v>
      </c>
      <c r="D563" s="3" t="str">
        <f>TEXT(Table1[[#This Row],[Admission Date]],"MMMM")</f>
        <v>October</v>
      </c>
      <c r="E563" s="3">
        <v>44853</v>
      </c>
      <c r="F563" s="3">
        <v>44853</v>
      </c>
      <c r="G563" s="2">
        <v>22027649</v>
      </c>
      <c r="H563" s="2">
        <v>2236484</v>
      </c>
      <c r="I563" s="2">
        <v>1001144994</v>
      </c>
      <c r="J563" s="2" t="s">
        <v>539</v>
      </c>
      <c r="K563" s="10">
        <v>29250</v>
      </c>
      <c r="L563" s="10">
        <v>5221</v>
      </c>
      <c r="M563" s="10">
        <v>24030</v>
      </c>
      <c r="N563" s="10">
        <v>24030</v>
      </c>
      <c r="O563" s="10">
        <f>Table1[[#This Row],[NET Amount]]-Table1[[#This Row],[Paid Amount]]</f>
        <v>0</v>
      </c>
      <c r="P563" s="2" t="s">
        <v>18</v>
      </c>
      <c r="Q563" s="2" t="s">
        <v>24</v>
      </c>
      <c r="R563" s="16">
        <f>(Table1[[#This Row],[NET Amount]]-Table1[[#This Row],[Total Outstanding Amount]])/Table1[[#This Row],[NET Amount]]</f>
        <v>1</v>
      </c>
      <c r="S563" s="2" t="s">
        <v>39</v>
      </c>
    </row>
    <row r="564" spans="1:19" x14ac:dyDescent="0.3">
      <c r="A564" s="4">
        <v>562</v>
      </c>
      <c r="B564" s="2" t="s">
        <v>2244</v>
      </c>
      <c r="C564" s="3">
        <v>44848</v>
      </c>
      <c r="D564" s="3" t="str">
        <f>TEXT(Table1[[#This Row],[Admission Date]],"MMMM")</f>
        <v>October</v>
      </c>
      <c r="E564" s="3">
        <v>44858</v>
      </c>
      <c r="F564" s="3">
        <v>44858</v>
      </c>
      <c r="G564" s="2">
        <v>22028416</v>
      </c>
      <c r="H564" s="2">
        <v>2235988</v>
      </c>
      <c r="I564" s="2">
        <v>1001804368</v>
      </c>
      <c r="J564" s="2" t="s">
        <v>540</v>
      </c>
      <c r="K564" s="10">
        <v>94862</v>
      </c>
      <c r="L564" s="10">
        <v>0</v>
      </c>
      <c r="M564" s="10">
        <v>94862</v>
      </c>
      <c r="N564" s="10">
        <v>94790</v>
      </c>
      <c r="O564" s="10">
        <f>Table1[[#This Row],[NET Amount]]-Table1[[#This Row],[Paid Amount]]</f>
        <v>72</v>
      </c>
      <c r="P564" s="2" t="s">
        <v>23</v>
      </c>
      <c r="Q564" s="2" t="s">
        <v>24</v>
      </c>
      <c r="R564" s="16">
        <f>(Table1[[#This Row],[NET Amount]]-Table1[[#This Row],[Total Outstanding Amount]])/Table1[[#This Row],[NET Amount]]</f>
        <v>0.99924100271974026</v>
      </c>
      <c r="S564" s="2" t="s">
        <v>20</v>
      </c>
    </row>
    <row r="565" spans="1:19" x14ac:dyDescent="0.3">
      <c r="A565" s="4">
        <v>563</v>
      </c>
      <c r="B565" s="2" t="s">
        <v>35</v>
      </c>
      <c r="C565" s="3">
        <v>44853</v>
      </c>
      <c r="D565" s="3" t="str">
        <f>TEXT(Table1[[#This Row],[Admission Date]],"MMMM")</f>
        <v>October</v>
      </c>
      <c r="E565" s="3">
        <v>44853</v>
      </c>
      <c r="F565" s="3">
        <v>44853</v>
      </c>
      <c r="G565" s="2">
        <v>22027701</v>
      </c>
      <c r="H565" s="2">
        <v>2236611</v>
      </c>
      <c r="I565" s="2">
        <v>1001644664</v>
      </c>
      <c r="J565" s="2" t="s">
        <v>101</v>
      </c>
      <c r="K565" s="10">
        <v>1610</v>
      </c>
      <c r="L565" s="10">
        <v>0</v>
      </c>
      <c r="M565" s="10">
        <v>1610</v>
      </c>
      <c r="N565" s="10">
        <v>1610</v>
      </c>
      <c r="O565" s="10">
        <f>Table1[[#This Row],[NET Amount]]-Table1[[#This Row],[Paid Amount]]</f>
        <v>0</v>
      </c>
      <c r="P565" s="2" t="s">
        <v>18</v>
      </c>
      <c r="Q565" s="2" t="s">
        <v>54</v>
      </c>
      <c r="R565" s="16">
        <f>(Table1[[#This Row],[NET Amount]]-Table1[[#This Row],[Total Outstanding Amount]])/Table1[[#This Row],[NET Amount]]</f>
        <v>1</v>
      </c>
      <c r="S565" s="2" t="s">
        <v>97</v>
      </c>
    </row>
    <row r="566" spans="1:19" x14ac:dyDescent="0.3">
      <c r="A566" s="4">
        <v>564</v>
      </c>
      <c r="B566" s="2" t="s">
        <v>25</v>
      </c>
      <c r="C566" s="3">
        <v>44852</v>
      </c>
      <c r="D566" s="3" t="str">
        <f>TEXT(Table1[[#This Row],[Admission Date]],"MMMM")</f>
        <v>October</v>
      </c>
      <c r="E566" s="3">
        <v>44852</v>
      </c>
      <c r="F566" s="3">
        <v>44852</v>
      </c>
      <c r="G566" s="2">
        <v>22027641</v>
      </c>
      <c r="H566" s="2">
        <v>2236554</v>
      </c>
      <c r="I566" s="2">
        <v>1001012376</v>
      </c>
      <c r="J566" s="2" t="s">
        <v>541</v>
      </c>
      <c r="K566" s="10">
        <v>2794</v>
      </c>
      <c r="L566" s="10">
        <v>2794</v>
      </c>
      <c r="M566" s="10">
        <v>0</v>
      </c>
      <c r="N566" s="10">
        <v>0</v>
      </c>
      <c r="O566" s="10">
        <f>Table1[[#This Row],[NET Amount]]-Table1[[#This Row],[Paid Amount]]</f>
        <v>0</v>
      </c>
      <c r="P566" s="2" t="s">
        <v>18</v>
      </c>
      <c r="Q566" s="2" t="s">
        <v>90</v>
      </c>
      <c r="R566" s="16" t="e">
        <f>(Table1[[#This Row],[NET Amount]]-Table1[[#This Row],[Total Outstanding Amount]])/Table1[[#This Row],[NET Amount]]</f>
        <v>#DIV/0!</v>
      </c>
      <c r="S566" s="2" t="s">
        <v>97</v>
      </c>
    </row>
    <row r="567" spans="1:19" x14ac:dyDescent="0.3">
      <c r="A567" s="4">
        <v>565</v>
      </c>
      <c r="B567" s="2" t="s">
        <v>25</v>
      </c>
      <c r="C567" s="3">
        <v>44850</v>
      </c>
      <c r="D567" s="3" t="str">
        <f>TEXT(Table1[[#This Row],[Admission Date]],"MMMM")</f>
        <v>October</v>
      </c>
      <c r="E567" s="3">
        <v>44854</v>
      </c>
      <c r="F567" s="3">
        <v>44854</v>
      </c>
      <c r="G567" s="2">
        <v>22027869</v>
      </c>
      <c r="H567" s="2">
        <v>2236260</v>
      </c>
      <c r="I567" s="2">
        <v>10013543226</v>
      </c>
      <c r="J567" s="2" t="s">
        <v>542</v>
      </c>
      <c r="K567" s="10">
        <v>44988</v>
      </c>
      <c r="L567" s="10">
        <v>44988</v>
      </c>
      <c r="M567" s="10">
        <v>0</v>
      </c>
      <c r="N567" s="10">
        <v>0</v>
      </c>
      <c r="O567" s="10">
        <f>Table1[[#This Row],[NET Amount]]-Table1[[#This Row],[Paid Amount]]</f>
        <v>0</v>
      </c>
      <c r="P567" s="2" t="s">
        <v>18</v>
      </c>
      <c r="Q567" s="2" t="s">
        <v>90</v>
      </c>
      <c r="R567" s="16" t="e">
        <f>(Table1[[#This Row],[NET Amount]]-Table1[[#This Row],[Total Outstanding Amount]])/Table1[[#This Row],[NET Amount]]</f>
        <v>#DIV/0!</v>
      </c>
      <c r="S567" s="2" t="s">
        <v>20</v>
      </c>
    </row>
    <row r="568" spans="1:19" x14ac:dyDescent="0.3">
      <c r="A568" s="4">
        <v>566</v>
      </c>
      <c r="B568" s="2" t="s">
        <v>126</v>
      </c>
      <c r="C568" s="3">
        <v>44835</v>
      </c>
      <c r="D568" s="3" t="str">
        <f>TEXT(Table1[[#This Row],[Admission Date]],"MMMM")</f>
        <v>October</v>
      </c>
      <c r="E568" s="3">
        <v>44838</v>
      </c>
      <c r="F568" s="3">
        <v>44838</v>
      </c>
      <c r="G568" s="2">
        <v>22025557</v>
      </c>
      <c r="H568" s="2">
        <v>2234293</v>
      </c>
      <c r="I568" s="2">
        <v>10013479443</v>
      </c>
      <c r="J568" s="2" t="s">
        <v>543</v>
      </c>
      <c r="K568" s="10">
        <v>89619</v>
      </c>
      <c r="L568" s="10">
        <v>4623</v>
      </c>
      <c r="M568" s="10">
        <v>84996</v>
      </c>
      <c r="N568" s="10">
        <v>4257</v>
      </c>
      <c r="O568" s="10">
        <f>Table1[[#This Row],[NET Amount]]-Table1[[#This Row],[Paid Amount]]</f>
        <v>80739</v>
      </c>
      <c r="P568" s="2" t="s">
        <v>23</v>
      </c>
      <c r="Q568" s="2" t="s">
        <v>24</v>
      </c>
      <c r="R568" s="16">
        <f>(Table1[[#This Row],[NET Amount]]-Table1[[#This Row],[Total Outstanding Amount]])/Table1[[#This Row],[NET Amount]]</f>
        <v>5.0084709868699701E-2</v>
      </c>
      <c r="S568" s="2" t="s">
        <v>544</v>
      </c>
    </row>
    <row r="569" spans="1:19" x14ac:dyDescent="0.3">
      <c r="A569" s="4">
        <v>567</v>
      </c>
      <c r="B569" s="2" t="s">
        <v>545</v>
      </c>
      <c r="C569" s="3">
        <v>44838</v>
      </c>
      <c r="D569" s="3" t="str">
        <f>TEXT(Table1[[#This Row],[Admission Date]],"MMMM")</f>
        <v>October</v>
      </c>
      <c r="E569" s="3">
        <v>44838</v>
      </c>
      <c r="F569" s="3">
        <v>44838</v>
      </c>
      <c r="G569" s="2">
        <v>22025591</v>
      </c>
      <c r="H569" s="2">
        <v>2234536</v>
      </c>
      <c r="I569" s="2">
        <v>1001802357</v>
      </c>
      <c r="J569" s="2" t="s">
        <v>291</v>
      </c>
      <c r="K569" s="10">
        <v>22544</v>
      </c>
      <c r="L569" s="10">
        <v>0</v>
      </c>
      <c r="M569" s="10">
        <v>22544</v>
      </c>
      <c r="N569" s="10">
        <v>22543</v>
      </c>
      <c r="O569" s="10">
        <f>Table1[[#This Row],[NET Amount]]-Table1[[#This Row],[Paid Amount]]</f>
        <v>1</v>
      </c>
      <c r="P569" s="2" t="s">
        <v>23</v>
      </c>
      <c r="Q569" s="2" t="s">
        <v>54</v>
      </c>
      <c r="R569" s="16">
        <f>(Table1[[#This Row],[NET Amount]]-Table1[[#This Row],[Total Outstanding Amount]])/Table1[[#This Row],[NET Amount]]</f>
        <v>0.99995564229950318</v>
      </c>
      <c r="S569" s="2" t="s">
        <v>20</v>
      </c>
    </row>
    <row r="570" spans="1:19" x14ac:dyDescent="0.3">
      <c r="A570" s="4">
        <v>568</v>
      </c>
      <c r="B570" s="2" t="s">
        <v>149</v>
      </c>
      <c r="C570" s="3">
        <v>44853</v>
      </c>
      <c r="D570" s="3" t="str">
        <f>TEXT(Table1[[#This Row],[Admission Date]],"MMMM")</f>
        <v>October</v>
      </c>
      <c r="E570" s="3">
        <v>44857</v>
      </c>
      <c r="F570" s="3">
        <v>44857</v>
      </c>
      <c r="G570" s="2">
        <v>22028369</v>
      </c>
      <c r="H570" s="2">
        <v>2236689</v>
      </c>
      <c r="I570" s="2">
        <v>10013543785</v>
      </c>
      <c r="J570" s="2" t="s">
        <v>546</v>
      </c>
      <c r="K570" s="10">
        <v>68980</v>
      </c>
      <c r="L570" s="10">
        <v>5440</v>
      </c>
      <c r="M570" s="10">
        <v>63540</v>
      </c>
      <c r="N570" s="10">
        <v>1621</v>
      </c>
      <c r="O570" s="10">
        <f>Table1[[#This Row],[NET Amount]]-Table1[[#This Row],[Paid Amount]]</f>
        <v>61919</v>
      </c>
      <c r="P570" s="2" t="s">
        <v>23</v>
      </c>
      <c r="Q570" s="2" t="s">
        <v>30</v>
      </c>
      <c r="R570" s="16">
        <f>(Table1[[#This Row],[NET Amount]]-Table1[[#This Row],[Total Outstanding Amount]])/Table1[[#This Row],[NET Amount]]</f>
        <v>2.5511488825936419E-2</v>
      </c>
      <c r="S570" s="2" t="s">
        <v>20</v>
      </c>
    </row>
    <row r="571" spans="1:19" x14ac:dyDescent="0.3">
      <c r="A571" s="4">
        <v>569</v>
      </c>
      <c r="B571" s="2" t="s">
        <v>61</v>
      </c>
      <c r="C571" s="3">
        <v>44851</v>
      </c>
      <c r="D571" s="3" t="str">
        <f>TEXT(Table1[[#This Row],[Admission Date]],"MMMM")</f>
        <v>October</v>
      </c>
      <c r="E571" s="3">
        <v>44857</v>
      </c>
      <c r="F571" s="3">
        <v>44857</v>
      </c>
      <c r="G571" s="2">
        <v>22028365</v>
      </c>
      <c r="H571" s="2">
        <v>2236411</v>
      </c>
      <c r="I571" s="2">
        <v>10013543471</v>
      </c>
      <c r="J571" s="2" t="s">
        <v>547</v>
      </c>
      <c r="K571" s="10">
        <v>112023</v>
      </c>
      <c r="L571" s="10">
        <v>14545</v>
      </c>
      <c r="M571" s="10">
        <v>97478</v>
      </c>
      <c r="N571" s="10">
        <v>40220</v>
      </c>
      <c r="O571" s="10">
        <f>Table1[[#This Row],[NET Amount]]-Table1[[#This Row],[Paid Amount]]</f>
        <v>57258</v>
      </c>
      <c r="P571" s="2" t="s">
        <v>23</v>
      </c>
      <c r="Q571" s="2" t="s">
        <v>30</v>
      </c>
      <c r="R571" s="16">
        <f>(Table1[[#This Row],[NET Amount]]-Table1[[#This Row],[Total Outstanding Amount]])/Table1[[#This Row],[NET Amount]]</f>
        <v>0.41260592133609636</v>
      </c>
      <c r="S571" s="2" t="s">
        <v>20</v>
      </c>
    </row>
    <row r="572" spans="1:19" x14ac:dyDescent="0.3">
      <c r="A572" s="4">
        <v>570</v>
      </c>
      <c r="B572" s="2" t="s">
        <v>25</v>
      </c>
      <c r="C572" s="3">
        <v>44832</v>
      </c>
      <c r="D572" s="3" t="str">
        <f>TEXT(Table1[[#This Row],[Admission Date]],"MMMM")</f>
        <v>September</v>
      </c>
      <c r="E572" s="3">
        <v>44835</v>
      </c>
      <c r="F572" s="3">
        <v>44835</v>
      </c>
      <c r="G572" s="2">
        <v>22025110</v>
      </c>
      <c r="H572" s="2">
        <v>2233722</v>
      </c>
      <c r="I572" s="2">
        <v>10013413841</v>
      </c>
      <c r="J572" s="2" t="s">
        <v>548</v>
      </c>
      <c r="K572" s="10">
        <v>125670</v>
      </c>
      <c r="L572" s="10">
        <v>15762</v>
      </c>
      <c r="M572" s="10">
        <v>109909</v>
      </c>
      <c r="N572" s="10">
        <v>109909</v>
      </c>
      <c r="O572" s="10">
        <f>Table1[[#This Row],[NET Amount]]-Table1[[#This Row],[Paid Amount]]</f>
        <v>0</v>
      </c>
      <c r="P572" s="2" t="s">
        <v>18</v>
      </c>
      <c r="Q572" s="2" t="s">
        <v>24</v>
      </c>
      <c r="R572" s="16">
        <f>(Table1[[#This Row],[NET Amount]]-Table1[[#This Row],[Total Outstanding Amount]])/Table1[[#This Row],[NET Amount]]</f>
        <v>1</v>
      </c>
      <c r="S572" s="2" t="s">
        <v>27</v>
      </c>
    </row>
    <row r="573" spans="1:19" x14ac:dyDescent="0.3">
      <c r="A573" s="4">
        <v>571</v>
      </c>
      <c r="B573" s="2" t="s">
        <v>45</v>
      </c>
      <c r="C573" s="3">
        <v>44845</v>
      </c>
      <c r="D573" s="3" t="str">
        <f>TEXT(Table1[[#This Row],[Admission Date]],"MMMM")</f>
        <v>October</v>
      </c>
      <c r="E573" s="3">
        <v>44847</v>
      </c>
      <c r="F573" s="3">
        <v>44847</v>
      </c>
      <c r="G573" s="2">
        <v>22026877</v>
      </c>
      <c r="H573" s="2">
        <v>2235594</v>
      </c>
      <c r="I573" s="2">
        <v>1000997725</v>
      </c>
      <c r="J573" s="2" t="s">
        <v>549</v>
      </c>
      <c r="K573" s="10">
        <v>57843</v>
      </c>
      <c r="L573" s="10">
        <v>8027</v>
      </c>
      <c r="M573" s="10">
        <v>49816</v>
      </c>
      <c r="N573" s="10">
        <v>7557</v>
      </c>
      <c r="O573" s="10">
        <f>Table1[[#This Row],[NET Amount]]-Table1[[#This Row],[Paid Amount]]</f>
        <v>42259</v>
      </c>
      <c r="P573" s="2" t="s">
        <v>23</v>
      </c>
      <c r="Q573" s="2" t="s">
        <v>30</v>
      </c>
      <c r="R573" s="16">
        <f>(Table1[[#This Row],[NET Amount]]-Table1[[#This Row],[Total Outstanding Amount]])/Table1[[#This Row],[NET Amount]]</f>
        <v>0.15169824955837483</v>
      </c>
      <c r="S573" s="2" t="s">
        <v>20</v>
      </c>
    </row>
    <row r="574" spans="1:19" x14ac:dyDescent="0.3">
      <c r="A574" s="4">
        <v>572</v>
      </c>
      <c r="B574" s="2" t="s">
        <v>25</v>
      </c>
      <c r="C574" s="3">
        <v>44843</v>
      </c>
      <c r="D574" s="3" t="str">
        <f>TEXT(Table1[[#This Row],[Admission Date]],"MMMM")</f>
        <v>October</v>
      </c>
      <c r="E574" s="3">
        <v>44849</v>
      </c>
      <c r="F574" s="3">
        <v>44849</v>
      </c>
      <c r="G574" s="2">
        <v>22027158</v>
      </c>
      <c r="H574" s="2">
        <v>2235270</v>
      </c>
      <c r="I574" s="2">
        <v>10013451510</v>
      </c>
      <c r="J574" s="2" t="s">
        <v>550</v>
      </c>
      <c r="K574" s="10">
        <v>216890</v>
      </c>
      <c r="L574" s="10">
        <v>46375</v>
      </c>
      <c r="M574" s="10">
        <v>170515</v>
      </c>
      <c r="N574" s="10">
        <v>170515</v>
      </c>
      <c r="O574" s="10">
        <f>Table1[[#This Row],[NET Amount]]-Table1[[#This Row],[Paid Amount]]</f>
        <v>0</v>
      </c>
      <c r="P574" s="2" t="s">
        <v>18</v>
      </c>
      <c r="Q574" s="2" t="s">
        <v>551</v>
      </c>
      <c r="R574" s="16">
        <f>(Table1[[#This Row],[NET Amount]]-Table1[[#This Row],[Total Outstanding Amount]])/Table1[[#This Row],[NET Amount]]</f>
        <v>1</v>
      </c>
      <c r="S574" s="2" t="s">
        <v>20</v>
      </c>
    </row>
    <row r="575" spans="1:19" x14ac:dyDescent="0.3">
      <c r="A575" s="4">
        <v>573</v>
      </c>
      <c r="B575" s="2" t="s">
        <v>25</v>
      </c>
      <c r="C575" s="3">
        <v>44863</v>
      </c>
      <c r="D575" s="3" t="str">
        <f>TEXT(Table1[[#This Row],[Admission Date]],"MMMM")</f>
        <v>October</v>
      </c>
      <c r="E575" s="3">
        <v>44863</v>
      </c>
      <c r="F575" s="3">
        <v>44863</v>
      </c>
      <c r="G575" s="2">
        <v>22029056</v>
      </c>
      <c r="H575" s="2">
        <v>2237950</v>
      </c>
      <c r="I575" s="2">
        <v>10013539422</v>
      </c>
      <c r="J575" s="2" t="s">
        <v>552</v>
      </c>
      <c r="K575" s="10">
        <v>3729</v>
      </c>
      <c r="L575" s="10">
        <v>286</v>
      </c>
      <c r="M575" s="10">
        <v>3443</v>
      </c>
      <c r="N575" s="10">
        <v>3443</v>
      </c>
      <c r="O575" s="10">
        <f>Table1[[#This Row],[NET Amount]]-Table1[[#This Row],[Paid Amount]]</f>
        <v>0</v>
      </c>
      <c r="P575" s="2" t="s">
        <v>18</v>
      </c>
      <c r="Q575" s="2" t="s">
        <v>54</v>
      </c>
      <c r="R575" s="16">
        <f>(Table1[[#This Row],[NET Amount]]-Table1[[#This Row],[Total Outstanding Amount]])/Table1[[#This Row],[NET Amount]]</f>
        <v>1</v>
      </c>
      <c r="S575" s="2" t="s">
        <v>97</v>
      </c>
    </row>
    <row r="576" spans="1:19" x14ac:dyDescent="0.3">
      <c r="A576" s="4">
        <v>574</v>
      </c>
      <c r="B576" s="2" t="s">
        <v>25</v>
      </c>
      <c r="C576" s="3">
        <v>44859</v>
      </c>
      <c r="D576" s="3" t="str">
        <f>TEXT(Table1[[#This Row],[Admission Date]],"MMMM")</f>
        <v>October</v>
      </c>
      <c r="E576" s="3">
        <v>44859</v>
      </c>
      <c r="F576" s="3">
        <v>44859</v>
      </c>
      <c r="G576" s="2">
        <v>22028526</v>
      </c>
      <c r="H576" s="2">
        <v>2237338</v>
      </c>
      <c r="I576" s="2">
        <v>10013527702</v>
      </c>
      <c r="J576" s="2" t="s">
        <v>553</v>
      </c>
      <c r="K576" s="10">
        <v>4990</v>
      </c>
      <c r="L576" s="10">
        <v>416</v>
      </c>
      <c r="M576" s="10">
        <v>4574</v>
      </c>
      <c r="N576" s="10">
        <v>4574</v>
      </c>
      <c r="O576" s="10">
        <f>Table1[[#This Row],[NET Amount]]-Table1[[#This Row],[Paid Amount]]</f>
        <v>0</v>
      </c>
      <c r="P576" s="2" t="s">
        <v>18</v>
      </c>
      <c r="Q576" s="2" t="s">
        <v>54</v>
      </c>
      <c r="R576" s="16">
        <f>(Table1[[#This Row],[NET Amount]]-Table1[[#This Row],[Total Outstanding Amount]])/Table1[[#This Row],[NET Amount]]</f>
        <v>1</v>
      </c>
      <c r="S576" s="2" t="s">
        <v>97</v>
      </c>
    </row>
    <row r="577" spans="1:19" x14ac:dyDescent="0.3">
      <c r="A577" s="4">
        <v>575</v>
      </c>
      <c r="B577" s="2" t="s">
        <v>25</v>
      </c>
      <c r="C577" s="3">
        <v>44859</v>
      </c>
      <c r="D577" s="3" t="str">
        <f>TEXT(Table1[[#This Row],[Admission Date]],"MMMM")</f>
        <v>October</v>
      </c>
      <c r="E577" s="3">
        <v>44859</v>
      </c>
      <c r="F577" s="3">
        <v>44859</v>
      </c>
      <c r="G577" s="2">
        <v>22028527</v>
      </c>
      <c r="H577" s="2">
        <v>2237339</v>
      </c>
      <c r="I577" s="2">
        <v>10013526375</v>
      </c>
      <c r="J577" s="2" t="s">
        <v>241</v>
      </c>
      <c r="K577" s="10">
        <v>4990</v>
      </c>
      <c r="L577" s="10">
        <v>416</v>
      </c>
      <c r="M577" s="10">
        <v>4574</v>
      </c>
      <c r="N577" s="10">
        <v>4574</v>
      </c>
      <c r="O577" s="10">
        <f>Table1[[#This Row],[NET Amount]]-Table1[[#This Row],[Paid Amount]]</f>
        <v>0</v>
      </c>
      <c r="P577" s="2" t="s">
        <v>18</v>
      </c>
      <c r="Q577" s="2" t="s">
        <v>54</v>
      </c>
      <c r="R577" s="16">
        <f>(Table1[[#This Row],[NET Amount]]-Table1[[#This Row],[Total Outstanding Amount]])/Table1[[#This Row],[NET Amount]]</f>
        <v>1</v>
      </c>
      <c r="S577" s="2" t="s">
        <v>97</v>
      </c>
    </row>
    <row r="578" spans="1:19" x14ac:dyDescent="0.3">
      <c r="A578" s="4">
        <v>576</v>
      </c>
      <c r="B578" s="2" t="s">
        <v>93</v>
      </c>
      <c r="C578" s="3">
        <v>44828</v>
      </c>
      <c r="D578" s="3" t="str">
        <f>TEXT(Table1[[#This Row],[Admission Date]],"MMMM")</f>
        <v>September</v>
      </c>
      <c r="E578" s="3">
        <v>44838</v>
      </c>
      <c r="F578" s="3">
        <v>44838</v>
      </c>
      <c r="G578" s="2">
        <v>22025473</v>
      </c>
      <c r="H578" s="2">
        <v>2233285</v>
      </c>
      <c r="I578" s="2">
        <v>10013538589</v>
      </c>
      <c r="J578" s="2" t="s">
        <v>554</v>
      </c>
      <c r="K578" s="10">
        <v>593537</v>
      </c>
      <c r="L578" s="10">
        <v>0</v>
      </c>
      <c r="M578" s="10">
        <v>593537</v>
      </c>
      <c r="N578" s="10">
        <v>96029</v>
      </c>
      <c r="O578" s="10">
        <f>Table1[[#This Row],[NET Amount]]-Table1[[#This Row],[Paid Amount]]</f>
        <v>497508</v>
      </c>
      <c r="P578" s="2" t="s">
        <v>23</v>
      </c>
      <c r="Q578" s="2" t="s">
        <v>42</v>
      </c>
      <c r="R578" s="16">
        <f>(Table1[[#This Row],[NET Amount]]-Table1[[#This Row],[Total Outstanding Amount]])/Table1[[#This Row],[NET Amount]]</f>
        <v>0.16179109305738312</v>
      </c>
      <c r="S578" s="2" t="s">
        <v>20</v>
      </c>
    </row>
    <row r="579" spans="1:19" x14ac:dyDescent="0.3">
      <c r="A579" s="4">
        <v>577</v>
      </c>
      <c r="B579" s="2" t="s">
        <v>149</v>
      </c>
      <c r="C579" s="3">
        <v>44841</v>
      </c>
      <c r="D579" s="3" t="str">
        <f>TEXT(Table1[[#This Row],[Admission Date]],"MMMM")</f>
        <v>October</v>
      </c>
      <c r="E579" s="3">
        <v>44843</v>
      </c>
      <c r="F579" s="3">
        <v>44843</v>
      </c>
      <c r="G579" s="2">
        <v>22026320</v>
      </c>
      <c r="H579" s="2">
        <v>2235038</v>
      </c>
      <c r="I579" s="2">
        <v>10013542019</v>
      </c>
      <c r="J579" s="2" t="s">
        <v>555</v>
      </c>
      <c r="K579" s="10">
        <v>48926</v>
      </c>
      <c r="L579" s="10">
        <v>0</v>
      </c>
      <c r="M579" s="10">
        <v>48926</v>
      </c>
      <c r="N579" s="10">
        <v>0</v>
      </c>
      <c r="O579" s="10">
        <f>Table1[[#This Row],[NET Amount]]-Table1[[#This Row],[Paid Amount]]</f>
        <v>48926</v>
      </c>
      <c r="P579" s="2" t="s">
        <v>23</v>
      </c>
      <c r="Q579" s="2" t="s">
        <v>19</v>
      </c>
      <c r="R579" s="16">
        <f>(Table1[[#This Row],[NET Amount]]-Table1[[#This Row],[Total Outstanding Amount]])/Table1[[#This Row],[NET Amount]]</f>
        <v>0</v>
      </c>
      <c r="S579" s="2" t="s">
        <v>20</v>
      </c>
    </row>
    <row r="580" spans="1:19" x14ac:dyDescent="0.3">
      <c r="A580" s="4">
        <v>578</v>
      </c>
      <c r="B580" s="2" t="s">
        <v>2247</v>
      </c>
      <c r="C580" s="3">
        <v>44844</v>
      </c>
      <c r="D580" s="3" t="str">
        <f>TEXT(Table1[[#This Row],[Admission Date]],"MMMM")</f>
        <v>October</v>
      </c>
      <c r="E580" s="3">
        <v>44844</v>
      </c>
      <c r="F580" s="3">
        <v>44844</v>
      </c>
      <c r="G580" s="2">
        <v>22026348</v>
      </c>
      <c r="H580" s="2">
        <v>2235349</v>
      </c>
      <c r="I580" s="2">
        <v>1001561182</v>
      </c>
      <c r="J580" s="2" t="s">
        <v>222</v>
      </c>
      <c r="K580" s="10">
        <v>2000</v>
      </c>
      <c r="L580" s="10">
        <v>0</v>
      </c>
      <c r="M580" s="10">
        <v>2000</v>
      </c>
      <c r="N580" s="10">
        <v>300</v>
      </c>
      <c r="O580" s="10">
        <f>Table1[[#This Row],[NET Amount]]-Table1[[#This Row],[Paid Amount]]</f>
        <v>1700</v>
      </c>
      <c r="P580" s="2" t="s">
        <v>23</v>
      </c>
      <c r="Q580" s="2" t="s">
        <v>147</v>
      </c>
      <c r="R580" s="16">
        <f>(Table1[[#This Row],[NET Amount]]-Table1[[#This Row],[Total Outstanding Amount]])/Table1[[#This Row],[NET Amount]]</f>
        <v>0.15</v>
      </c>
      <c r="S580" s="2" t="s">
        <v>97</v>
      </c>
    </row>
    <row r="581" spans="1:19" x14ac:dyDescent="0.3">
      <c r="A581" s="4">
        <v>579</v>
      </c>
      <c r="B581" s="2" t="s">
        <v>25</v>
      </c>
      <c r="C581" s="3">
        <v>44857</v>
      </c>
      <c r="D581" s="3" t="str">
        <f>TEXT(Table1[[#This Row],[Admission Date]],"MMMM")</f>
        <v>October</v>
      </c>
      <c r="E581" s="3">
        <v>44857</v>
      </c>
      <c r="F581" s="3">
        <v>44857</v>
      </c>
      <c r="G581" s="2">
        <v>22028392</v>
      </c>
      <c r="H581" s="2">
        <v>2237181</v>
      </c>
      <c r="I581" s="2">
        <v>10013541901</v>
      </c>
      <c r="J581" s="2" t="s">
        <v>556</v>
      </c>
      <c r="K581" s="10">
        <v>2844</v>
      </c>
      <c r="L581" s="10">
        <v>308</v>
      </c>
      <c r="M581" s="10">
        <v>2536</v>
      </c>
      <c r="N581" s="10">
        <v>2536</v>
      </c>
      <c r="O581" s="10">
        <f>Table1[[#This Row],[NET Amount]]-Table1[[#This Row],[Paid Amount]]</f>
        <v>0</v>
      </c>
      <c r="P581" s="2" t="s">
        <v>18</v>
      </c>
      <c r="Q581" s="2" t="s">
        <v>54</v>
      </c>
      <c r="R581" s="16">
        <f>(Table1[[#This Row],[NET Amount]]-Table1[[#This Row],[Total Outstanding Amount]])/Table1[[#This Row],[NET Amount]]</f>
        <v>1</v>
      </c>
      <c r="S581" s="2" t="s">
        <v>97</v>
      </c>
    </row>
    <row r="582" spans="1:19" x14ac:dyDescent="0.3">
      <c r="A582" s="4">
        <v>580</v>
      </c>
      <c r="B582" s="2" t="s">
        <v>45</v>
      </c>
      <c r="C582" s="3">
        <v>44863</v>
      </c>
      <c r="D582" s="3" t="str">
        <f>TEXT(Table1[[#This Row],[Admission Date]],"MMMM")</f>
        <v>October</v>
      </c>
      <c r="E582" s="3">
        <v>44863</v>
      </c>
      <c r="F582" s="3">
        <v>44863</v>
      </c>
      <c r="G582" s="2">
        <v>22029003</v>
      </c>
      <c r="H582" s="2">
        <v>2237921</v>
      </c>
      <c r="I582" s="2">
        <v>10013464572</v>
      </c>
      <c r="J582" s="2" t="s">
        <v>278</v>
      </c>
      <c r="K582" s="10">
        <v>4840</v>
      </c>
      <c r="L582" s="10">
        <v>1062</v>
      </c>
      <c r="M582" s="10">
        <v>3778</v>
      </c>
      <c r="N582" s="10">
        <v>1578</v>
      </c>
      <c r="O582" s="10">
        <f>Table1[[#This Row],[NET Amount]]-Table1[[#This Row],[Paid Amount]]</f>
        <v>2200</v>
      </c>
      <c r="P582" s="2" t="s">
        <v>23</v>
      </c>
      <c r="Q582" s="2" t="s">
        <v>147</v>
      </c>
      <c r="R582" s="16">
        <f>(Table1[[#This Row],[NET Amount]]-Table1[[#This Row],[Total Outstanding Amount]])/Table1[[#This Row],[NET Amount]]</f>
        <v>0.41768131286394916</v>
      </c>
      <c r="S582" s="2" t="s">
        <v>97</v>
      </c>
    </row>
    <row r="583" spans="1:19" x14ac:dyDescent="0.3">
      <c r="A583" s="4">
        <v>581</v>
      </c>
      <c r="B583" s="2" t="s">
        <v>152</v>
      </c>
      <c r="C583" s="3">
        <v>44837</v>
      </c>
      <c r="D583" s="3" t="str">
        <f>TEXT(Table1[[#This Row],[Admission Date]],"MMMM")</f>
        <v>October</v>
      </c>
      <c r="E583" s="3">
        <v>44840</v>
      </c>
      <c r="F583" s="3">
        <v>44840</v>
      </c>
      <c r="G583" s="2">
        <v>22025832</v>
      </c>
      <c r="H583" s="2">
        <v>2234372</v>
      </c>
      <c r="I583" s="2">
        <v>10013508336</v>
      </c>
      <c r="J583" s="2" t="s">
        <v>557</v>
      </c>
      <c r="K583" s="10">
        <v>16158</v>
      </c>
      <c r="L583" s="10">
        <v>0</v>
      </c>
      <c r="M583" s="10">
        <v>16158</v>
      </c>
      <c r="N583" s="10">
        <v>16158</v>
      </c>
      <c r="O583" s="10">
        <f>Table1[[#This Row],[NET Amount]]-Table1[[#This Row],[Paid Amount]]</f>
        <v>0</v>
      </c>
      <c r="P583" s="2" t="s">
        <v>18</v>
      </c>
      <c r="Q583" s="2" t="s">
        <v>19</v>
      </c>
      <c r="R583" s="16">
        <f>(Table1[[#This Row],[NET Amount]]-Table1[[#This Row],[Total Outstanding Amount]])/Table1[[#This Row],[NET Amount]]</f>
        <v>1</v>
      </c>
      <c r="S583" s="2" t="s">
        <v>27</v>
      </c>
    </row>
    <row r="584" spans="1:19" x14ac:dyDescent="0.3">
      <c r="A584" s="4">
        <v>582</v>
      </c>
      <c r="B584" s="2" t="s">
        <v>25</v>
      </c>
      <c r="C584" s="3">
        <v>44846</v>
      </c>
      <c r="D584" s="3" t="str">
        <f>TEXT(Table1[[#This Row],[Admission Date]],"MMMM")</f>
        <v>October</v>
      </c>
      <c r="E584" s="3">
        <v>44849</v>
      </c>
      <c r="F584" s="3">
        <v>44849</v>
      </c>
      <c r="G584" s="2">
        <v>22027167</v>
      </c>
      <c r="H584" s="2">
        <v>2235729</v>
      </c>
      <c r="I584" s="2">
        <v>10013542738</v>
      </c>
      <c r="J584" s="2" t="s">
        <v>558</v>
      </c>
      <c r="K584" s="10">
        <v>39672</v>
      </c>
      <c r="L584" s="10">
        <v>4883</v>
      </c>
      <c r="M584" s="10">
        <v>34789</v>
      </c>
      <c r="N584" s="10">
        <v>34789</v>
      </c>
      <c r="O584" s="10">
        <f>Table1[[#This Row],[NET Amount]]-Table1[[#This Row],[Paid Amount]]</f>
        <v>0</v>
      </c>
      <c r="P584" s="2" t="s">
        <v>18</v>
      </c>
      <c r="Q584" s="2" t="s">
        <v>24</v>
      </c>
      <c r="R584" s="16">
        <f>(Table1[[#This Row],[NET Amount]]-Table1[[#This Row],[Total Outstanding Amount]])/Table1[[#This Row],[NET Amount]]</f>
        <v>1</v>
      </c>
      <c r="S584" s="2" t="s">
        <v>20</v>
      </c>
    </row>
    <row r="585" spans="1:19" x14ac:dyDescent="0.3">
      <c r="A585" s="4">
        <v>583</v>
      </c>
      <c r="B585" s="2" t="s">
        <v>559</v>
      </c>
      <c r="C585" s="3">
        <v>44859</v>
      </c>
      <c r="D585" s="3" t="str">
        <f>TEXT(Table1[[#This Row],[Admission Date]],"MMMM")</f>
        <v>October</v>
      </c>
      <c r="E585" s="3">
        <v>44861</v>
      </c>
      <c r="F585" s="3">
        <v>44861</v>
      </c>
      <c r="G585" s="2">
        <v>22028764</v>
      </c>
      <c r="H585" s="2">
        <v>2237354</v>
      </c>
      <c r="I585" s="2">
        <v>1001095692</v>
      </c>
      <c r="J585" s="2" t="s">
        <v>560</v>
      </c>
      <c r="K585" s="10">
        <v>101271</v>
      </c>
      <c r="L585" s="10">
        <v>0</v>
      </c>
      <c r="M585" s="10">
        <v>101271</v>
      </c>
      <c r="N585" s="10">
        <v>2560</v>
      </c>
      <c r="O585" s="10">
        <f>Table1[[#This Row],[NET Amount]]-Table1[[#This Row],[Paid Amount]]</f>
        <v>98711</v>
      </c>
      <c r="P585" s="2" t="s">
        <v>23</v>
      </c>
      <c r="Q585" s="2" t="s">
        <v>24</v>
      </c>
      <c r="R585" s="16">
        <f>(Table1[[#This Row],[NET Amount]]-Table1[[#This Row],[Total Outstanding Amount]])/Table1[[#This Row],[NET Amount]]</f>
        <v>2.5278707626072618E-2</v>
      </c>
      <c r="S585" s="2" t="s">
        <v>77</v>
      </c>
    </row>
    <row r="586" spans="1:19" x14ac:dyDescent="0.3">
      <c r="A586" s="4">
        <v>584</v>
      </c>
      <c r="B586" s="2" t="s">
        <v>21</v>
      </c>
      <c r="C586" s="3">
        <v>44840</v>
      </c>
      <c r="D586" s="3" t="str">
        <f>TEXT(Table1[[#This Row],[Admission Date]],"MMMM")</f>
        <v>October</v>
      </c>
      <c r="E586" s="3">
        <v>44844</v>
      </c>
      <c r="F586" s="3">
        <v>44844</v>
      </c>
      <c r="G586" s="2">
        <v>22026361</v>
      </c>
      <c r="H586" s="2">
        <v>2234957</v>
      </c>
      <c r="I586" s="2">
        <v>10013541888</v>
      </c>
      <c r="J586" s="2" t="s">
        <v>561</v>
      </c>
      <c r="K586" s="10">
        <v>19695</v>
      </c>
      <c r="L586" s="10">
        <v>0</v>
      </c>
      <c r="M586" s="10">
        <v>19695</v>
      </c>
      <c r="N586" s="10">
        <v>19695</v>
      </c>
      <c r="O586" s="10">
        <f>Table1[[#This Row],[NET Amount]]-Table1[[#This Row],[Paid Amount]]</f>
        <v>0</v>
      </c>
      <c r="P586" s="2" t="s">
        <v>18</v>
      </c>
      <c r="Q586" s="2" t="s">
        <v>24</v>
      </c>
      <c r="R586" s="16">
        <f>(Table1[[#This Row],[NET Amount]]-Table1[[#This Row],[Total Outstanding Amount]])/Table1[[#This Row],[NET Amount]]</f>
        <v>1</v>
      </c>
      <c r="S586" s="2" t="s">
        <v>20</v>
      </c>
    </row>
    <row r="587" spans="1:19" x14ac:dyDescent="0.3">
      <c r="A587" s="4">
        <v>585</v>
      </c>
      <c r="B587" s="2" t="s">
        <v>25</v>
      </c>
      <c r="C587" s="3">
        <v>44845</v>
      </c>
      <c r="D587" s="3" t="str">
        <f>TEXT(Table1[[#This Row],[Admission Date]],"MMMM")</f>
        <v>October</v>
      </c>
      <c r="E587" s="3">
        <v>44846</v>
      </c>
      <c r="F587" s="3">
        <v>44846</v>
      </c>
      <c r="G587" s="2">
        <v>22026686</v>
      </c>
      <c r="H587" s="2">
        <v>2235561</v>
      </c>
      <c r="I587" s="2">
        <v>1001803781</v>
      </c>
      <c r="J587" s="2" t="s">
        <v>562</v>
      </c>
      <c r="K587" s="10">
        <v>30595</v>
      </c>
      <c r="L587" s="10">
        <v>3410</v>
      </c>
      <c r="M587" s="10">
        <v>27185</v>
      </c>
      <c r="N587" s="10">
        <v>27185</v>
      </c>
      <c r="O587" s="10">
        <f>Table1[[#This Row],[NET Amount]]-Table1[[#This Row],[Paid Amount]]</f>
        <v>0</v>
      </c>
      <c r="P587" s="2" t="s">
        <v>18</v>
      </c>
      <c r="Q587" s="2" t="s">
        <v>24</v>
      </c>
      <c r="R587" s="16">
        <f>(Table1[[#This Row],[NET Amount]]-Table1[[#This Row],[Total Outstanding Amount]])/Table1[[#This Row],[NET Amount]]</f>
        <v>1</v>
      </c>
      <c r="S587" s="2" t="s">
        <v>39</v>
      </c>
    </row>
    <row r="588" spans="1:19" x14ac:dyDescent="0.3">
      <c r="A588" s="4">
        <v>586</v>
      </c>
      <c r="B588" s="2" t="s">
        <v>25</v>
      </c>
      <c r="C588" s="3">
        <v>44847</v>
      </c>
      <c r="D588" s="3" t="str">
        <f>TEXT(Table1[[#This Row],[Admission Date]],"MMMM")</f>
        <v>October</v>
      </c>
      <c r="E588" s="3">
        <v>44847</v>
      </c>
      <c r="F588" s="3">
        <v>44847</v>
      </c>
      <c r="G588" s="2">
        <v>22026891</v>
      </c>
      <c r="H588" s="2">
        <v>2235835</v>
      </c>
      <c r="I588" s="2">
        <v>10013513064</v>
      </c>
      <c r="J588" s="2" t="s">
        <v>563</v>
      </c>
      <c r="K588" s="10">
        <v>3729</v>
      </c>
      <c r="L588" s="10">
        <v>310</v>
      </c>
      <c r="M588" s="10">
        <v>3419</v>
      </c>
      <c r="N588" s="10">
        <v>3419</v>
      </c>
      <c r="O588" s="10">
        <f>Table1[[#This Row],[NET Amount]]-Table1[[#This Row],[Paid Amount]]</f>
        <v>0</v>
      </c>
      <c r="P588" s="2" t="s">
        <v>18</v>
      </c>
      <c r="Q588" s="2" t="s">
        <v>54</v>
      </c>
      <c r="R588" s="16">
        <f>(Table1[[#This Row],[NET Amount]]-Table1[[#This Row],[Total Outstanding Amount]])/Table1[[#This Row],[NET Amount]]</f>
        <v>1</v>
      </c>
      <c r="S588" s="2" t="s">
        <v>97</v>
      </c>
    </row>
    <row r="589" spans="1:19" x14ac:dyDescent="0.3">
      <c r="A589" s="4">
        <v>587</v>
      </c>
      <c r="B589" s="2" t="s">
        <v>50</v>
      </c>
      <c r="C589" s="3">
        <v>44847</v>
      </c>
      <c r="D589" s="3" t="str">
        <f>TEXT(Table1[[#This Row],[Admission Date]],"MMMM")</f>
        <v>October</v>
      </c>
      <c r="E589" s="3">
        <v>44847</v>
      </c>
      <c r="F589" s="3">
        <v>44847</v>
      </c>
      <c r="G589" s="2">
        <v>22026904</v>
      </c>
      <c r="H589" s="2">
        <v>2235837</v>
      </c>
      <c r="I589" s="2">
        <v>1000983811</v>
      </c>
      <c r="J589" s="2" t="s">
        <v>564</v>
      </c>
      <c r="K589" s="10">
        <v>2200</v>
      </c>
      <c r="L589" s="10">
        <v>0</v>
      </c>
      <c r="M589" s="10">
        <v>2200</v>
      </c>
      <c r="N589" s="10">
        <v>440</v>
      </c>
      <c r="O589" s="10">
        <f>Table1[[#This Row],[NET Amount]]-Table1[[#This Row],[Paid Amount]]</f>
        <v>1760</v>
      </c>
      <c r="P589" s="2" t="s">
        <v>23</v>
      </c>
      <c r="Q589" s="2" t="s">
        <v>147</v>
      </c>
      <c r="R589" s="16">
        <f>(Table1[[#This Row],[NET Amount]]-Table1[[#This Row],[Total Outstanding Amount]])/Table1[[#This Row],[NET Amount]]</f>
        <v>0.2</v>
      </c>
      <c r="S589" s="2" t="s">
        <v>97</v>
      </c>
    </row>
    <row r="590" spans="1:19" x14ac:dyDescent="0.3">
      <c r="A590" s="4">
        <v>588</v>
      </c>
      <c r="B590" s="2" t="s">
        <v>25</v>
      </c>
      <c r="C590" s="3">
        <v>44847</v>
      </c>
      <c r="D590" s="3" t="str">
        <f>TEXT(Table1[[#This Row],[Admission Date]],"MMMM")</f>
        <v>October</v>
      </c>
      <c r="E590" s="3">
        <v>44847</v>
      </c>
      <c r="F590" s="3">
        <v>44847</v>
      </c>
      <c r="G590" s="2">
        <v>22026909</v>
      </c>
      <c r="H590" s="2">
        <v>2235843</v>
      </c>
      <c r="I590" s="2">
        <v>10013339576</v>
      </c>
      <c r="J590" s="2" t="s">
        <v>242</v>
      </c>
      <c r="K590" s="10">
        <v>2794</v>
      </c>
      <c r="L590" s="10">
        <v>2794</v>
      </c>
      <c r="M590" s="10">
        <v>0</v>
      </c>
      <c r="N590" s="10">
        <v>0</v>
      </c>
      <c r="O590" s="10">
        <f>Table1[[#This Row],[NET Amount]]-Table1[[#This Row],[Paid Amount]]</f>
        <v>0</v>
      </c>
      <c r="P590" s="2" t="s">
        <v>18</v>
      </c>
      <c r="Q590" s="2" t="s">
        <v>90</v>
      </c>
      <c r="R590" s="16" t="e">
        <f>(Table1[[#This Row],[NET Amount]]-Table1[[#This Row],[Total Outstanding Amount]])/Table1[[#This Row],[NET Amount]]</f>
        <v>#DIV/0!</v>
      </c>
      <c r="S590" s="2" t="s">
        <v>97</v>
      </c>
    </row>
    <row r="591" spans="1:19" x14ac:dyDescent="0.3">
      <c r="A591" s="4">
        <v>589</v>
      </c>
      <c r="B591" s="2" t="s">
        <v>61</v>
      </c>
      <c r="C591" s="3">
        <v>44863</v>
      </c>
      <c r="D591" s="3" t="str">
        <f>TEXT(Table1[[#This Row],[Admission Date]],"MMMM")</f>
        <v>October</v>
      </c>
      <c r="E591" s="3">
        <v>44864</v>
      </c>
      <c r="F591" s="3">
        <v>44864</v>
      </c>
      <c r="G591" s="2">
        <v>22029180</v>
      </c>
      <c r="H591" s="2">
        <v>2237897</v>
      </c>
      <c r="I591" s="2">
        <v>10013543244</v>
      </c>
      <c r="J591" s="2" t="s">
        <v>565</v>
      </c>
      <c r="K591" s="10">
        <v>35955</v>
      </c>
      <c r="L591" s="10">
        <v>1216</v>
      </c>
      <c r="M591" s="10">
        <v>34739</v>
      </c>
      <c r="N591" s="10">
        <v>15149</v>
      </c>
      <c r="O591" s="10">
        <f>Table1[[#This Row],[NET Amount]]-Table1[[#This Row],[Paid Amount]]</f>
        <v>19590</v>
      </c>
      <c r="P591" s="2" t="s">
        <v>23</v>
      </c>
      <c r="Q591" s="2" t="s">
        <v>47</v>
      </c>
      <c r="R591" s="16">
        <f>(Table1[[#This Row],[NET Amount]]-Table1[[#This Row],[Total Outstanding Amount]])/Table1[[#This Row],[NET Amount]]</f>
        <v>0.43608048590920867</v>
      </c>
      <c r="S591" s="2" t="s">
        <v>39</v>
      </c>
    </row>
    <row r="592" spans="1:19" x14ac:dyDescent="0.3">
      <c r="A592" s="4">
        <v>590</v>
      </c>
      <c r="B592" s="2" t="s">
        <v>25</v>
      </c>
      <c r="C592" s="3">
        <v>44863</v>
      </c>
      <c r="D592" s="3" t="str">
        <f>TEXT(Table1[[#This Row],[Admission Date]],"MMMM")</f>
        <v>October</v>
      </c>
      <c r="E592" s="3">
        <v>44863</v>
      </c>
      <c r="F592" s="3">
        <v>44863</v>
      </c>
      <c r="G592" s="2">
        <v>22029131</v>
      </c>
      <c r="H592" s="2">
        <v>2237976</v>
      </c>
      <c r="I592" s="2">
        <v>1001807010</v>
      </c>
      <c r="J592" s="2" t="s">
        <v>566</v>
      </c>
      <c r="K592" s="10">
        <v>14000</v>
      </c>
      <c r="L592" s="10">
        <v>0</v>
      </c>
      <c r="M592" s="10">
        <v>14000</v>
      </c>
      <c r="N592" s="10">
        <v>14000</v>
      </c>
      <c r="O592" s="10">
        <f>Table1[[#This Row],[NET Amount]]-Table1[[#This Row],[Paid Amount]]</f>
        <v>0</v>
      </c>
      <c r="P592" s="2" t="s">
        <v>18</v>
      </c>
      <c r="Q592" s="2" t="s">
        <v>54</v>
      </c>
      <c r="R592" s="16">
        <f>(Table1[[#This Row],[NET Amount]]-Table1[[#This Row],[Total Outstanding Amount]])/Table1[[#This Row],[NET Amount]]</f>
        <v>1</v>
      </c>
      <c r="S592" s="2" t="s">
        <v>39</v>
      </c>
    </row>
    <row r="593" spans="1:19" x14ac:dyDescent="0.3">
      <c r="A593" s="4">
        <v>591</v>
      </c>
      <c r="B593" s="2" t="s">
        <v>25</v>
      </c>
      <c r="C593" s="3">
        <v>44849</v>
      </c>
      <c r="D593" s="3" t="str">
        <f>TEXT(Table1[[#This Row],[Admission Date]],"MMMM")</f>
        <v>October</v>
      </c>
      <c r="E593" s="3">
        <v>44849</v>
      </c>
      <c r="F593" s="3">
        <v>44849</v>
      </c>
      <c r="G593" s="2">
        <v>22027266</v>
      </c>
      <c r="H593" s="2">
        <v>2236179</v>
      </c>
      <c r="I593" s="2">
        <v>10013391599</v>
      </c>
      <c r="J593" s="2" t="s">
        <v>567</v>
      </c>
      <c r="K593" s="10">
        <v>14000</v>
      </c>
      <c r="L593" s="10">
        <v>0</v>
      </c>
      <c r="M593" s="10">
        <v>14000</v>
      </c>
      <c r="N593" s="10">
        <v>14000</v>
      </c>
      <c r="O593" s="10">
        <f>Table1[[#This Row],[NET Amount]]-Table1[[#This Row],[Paid Amount]]</f>
        <v>0</v>
      </c>
      <c r="P593" s="2" t="s">
        <v>18</v>
      </c>
      <c r="Q593" s="2" t="s">
        <v>54</v>
      </c>
      <c r="R593" s="16">
        <f>(Table1[[#This Row],[NET Amount]]-Table1[[#This Row],[Total Outstanding Amount]])/Table1[[#This Row],[NET Amount]]</f>
        <v>1</v>
      </c>
      <c r="S593" s="2" t="s">
        <v>39</v>
      </c>
    </row>
    <row r="594" spans="1:19" x14ac:dyDescent="0.3">
      <c r="A594" s="4">
        <v>592</v>
      </c>
      <c r="B594" s="2" t="s">
        <v>126</v>
      </c>
      <c r="C594" s="3">
        <v>44864</v>
      </c>
      <c r="D594" s="3" t="str">
        <f>TEXT(Table1[[#This Row],[Admission Date]],"MMMM")</f>
        <v>October</v>
      </c>
      <c r="E594" s="3">
        <v>44865</v>
      </c>
      <c r="F594" s="3">
        <v>44865</v>
      </c>
      <c r="G594" s="2">
        <v>22029354</v>
      </c>
      <c r="H594" s="2">
        <v>2238082</v>
      </c>
      <c r="I594" s="2">
        <v>10013545202</v>
      </c>
      <c r="J594" s="2" t="s">
        <v>568</v>
      </c>
      <c r="K594" s="10">
        <v>56626</v>
      </c>
      <c r="L594" s="10">
        <v>8123</v>
      </c>
      <c r="M594" s="10">
        <v>48503</v>
      </c>
      <c r="N594" s="10">
        <v>10507</v>
      </c>
      <c r="O594" s="10">
        <f>Table1[[#This Row],[NET Amount]]-Table1[[#This Row],[Paid Amount]]</f>
        <v>37996</v>
      </c>
      <c r="P594" s="2" t="s">
        <v>23</v>
      </c>
      <c r="Q594" s="2" t="s">
        <v>24</v>
      </c>
      <c r="R594" s="16">
        <f>(Table1[[#This Row],[NET Amount]]-Table1[[#This Row],[Total Outstanding Amount]])/Table1[[#This Row],[NET Amount]]</f>
        <v>0.21662577572521288</v>
      </c>
      <c r="S594" s="2" t="s">
        <v>37</v>
      </c>
    </row>
    <row r="595" spans="1:19" x14ac:dyDescent="0.3">
      <c r="A595" s="4">
        <v>593</v>
      </c>
      <c r="B595" s="2" t="s">
        <v>2244</v>
      </c>
      <c r="C595" s="3">
        <v>44865</v>
      </c>
      <c r="D595" s="3" t="str">
        <f>TEXT(Table1[[#This Row],[Admission Date]],"MMMM")</f>
        <v>October</v>
      </c>
      <c r="E595" s="3">
        <v>44865</v>
      </c>
      <c r="F595" s="3">
        <v>44865</v>
      </c>
      <c r="G595" s="2">
        <v>22029356</v>
      </c>
      <c r="H595" s="2">
        <v>2238188</v>
      </c>
      <c r="I595" s="2">
        <v>1001772963</v>
      </c>
      <c r="J595" s="2" t="s">
        <v>569</v>
      </c>
      <c r="K595" s="10">
        <v>2560</v>
      </c>
      <c r="L595" s="10">
        <v>0</v>
      </c>
      <c r="M595" s="10">
        <v>2560</v>
      </c>
      <c r="N595" s="10">
        <v>25950</v>
      </c>
      <c r="O595" s="10">
        <f>Table1[[#This Row],[NET Amount]]-Table1[[#This Row],[Paid Amount]]</f>
        <v>-23390</v>
      </c>
      <c r="P595" s="2" t="s">
        <v>23</v>
      </c>
      <c r="Q595" s="2" t="s">
        <v>54</v>
      </c>
      <c r="R595" s="16">
        <f>(Table1[[#This Row],[NET Amount]]-Table1[[#This Row],[Total Outstanding Amount]])/Table1[[#This Row],[NET Amount]]</f>
        <v>10.13671875</v>
      </c>
      <c r="S595" s="2" t="s">
        <v>97</v>
      </c>
    </row>
    <row r="596" spans="1:19" x14ac:dyDescent="0.3">
      <c r="A596" s="4">
        <v>594</v>
      </c>
      <c r="B596" s="2" t="s">
        <v>152</v>
      </c>
      <c r="C596" s="3">
        <v>44835</v>
      </c>
      <c r="D596" s="3" t="str">
        <f>TEXT(Table1[[#This Row],[Admission Date]],"MMMM")</f>
        <v>October</v>
      </c>
      <c r="E596" s="3">
        <v>44836</v>
      </c>
      <c r="F596" s="3">
        <v>44836</v>
      </c>
      <c r="G596" s="2">
        <v>22025296</v>
      </c>
      <c r="H596" s="2">
        <v>2234267</v>
      </c>
      <c r="I596" s="2">
        <v>1001801949</v>
      </c>
      <c r="J596" s="2" t="s">
        <v>570</v>
      </c>
      <c r="K596" s="10">
        <v>7307</v>
      </c>
      <c r="L596" s="10">
        <v>0</v>
      </c>
      <c r="M596" s="10">
        <v>7307</v>
      </c>
      <c r="N596" s="10">
        <v>572</v>
      </c>
      <c r="O596" s="10">
        <f>Table1[[#This Row],[NET Amount]]-Table1[[#This Row],[Paid Amount]]</f>
        <v>6735</v>
      </c>
      <c r="P596" s="2" t="s">
        <v>23</v>
      </c>
      <c r="Q596" s="2" t="s">
        <v>30</v>
      </c>
      <c r="R596" s="16">
        <f>(Table1[[#This Row],[NET Amount]]-Table1[[#This Row],[Total Outstanding Amount]])/Table1[[#This Row],[NET Amount]]</f>
        <v>7.8281100314766663E-2</v>
      </c>
      <c r="S596" s="2" t="s">
        <v>39</v>
      </c>
    </row>
    <row r="597" spans="1:19" x14ac:dyDescent="0.3">
      <c r="A597" s="4">
        <v>595</v>
      </c>
      <c r="B597" s="2" t="s">
        <v>152</v>
      </c>
      <c r="C597" s="3">
        <v>44851</v>
      </c>
      <c r="D597" s="3" t="str">
        <f>TEXT(Table1[[#This Row],[Admission Date]],"MMMM")</f>
        <v>October</v>
      </c>
      <c r="E597" s="3">
        <v>44852</v>
      </c>
      <c r="F597" s="3">
        <v>44852</v>
      </c>
      <c r="G597" s="2">
        <v>22027574</v>
      </c>
      <c r="H597" s="2">
        <v>2236314</v>
      </c>
      <c r="I597" s="2">
        <v>10013494693</v>
      </c>
      <c r="J597" s="2" t="s">
        <v>571</v>
      </c>
      <c r="K597" s="10">
        <v>14232</v>
      </c>
      <c r="L597" s="10">
        <v>0</v>
      </c>
      <c r="M597" s="10">
        <v>14232</v>
      </c>
      <c r="N597" s="10">
        <v>1992</v>
      </c>
      <c r="O597" s="10">
        <f>Table1[[#This Row],[NET Amount]]-Table1[[#This Row],[Paid Amount]]</f>
        <v>12240</v>
      </c>
      <c r="P597" s="2" t="s">
        <v>23</v>
      </c>
      <c r="Q597" s="2" t="s">
        <v>24</v>
      </c>
      <c r="R597" s="16">
        <f>(Table1[[#This Row],[NET Amount]]-Table1[[#This Row],[Total Outstanding Amount]])/Table1[[#This Row],[NET Amount]]</f>
        <v>0.1399662731871838</v>
      </c>
      <c r="S597" s="2" t="s">
        <v>95</v>
      </c>
    </row>
    <row r="598" spans="1:19" x14ac:dyDescent="0.3">
      <c r="A598" s="4">
        <v>596</v>
      </c>
      <c r="B598" s="2" t="s">
        <v>25</v>
      </c>
      <c r="C598" s="3">
        <v>44847</v>
      </c>
      <c r="D598" s="3" t="str">
        <f>TEXT(Table1[[#This Row],[Admission Date]],"MMMM")</f>
        <v>October</v>
      </c>
      <c r="E598" s="3">
        <v>44852</v>
      </c>
      <c r="F598" s="3">
        <v>44852</v>
      </c>
      <c r="G598" s="2">
        <v>22027571</v>
      </c>
      <c r="H598" s="2">
        <v>2235844</v>
      </c>
      <c r="I598" s="2">
        <v>10013542822</v>
      </c>
      <c r="J598" s="2" t="s">
        <v>572</v>
      </c>
      <c r="K598" s="10">
        <v>172695</v>
      </c>
      <c r="L598" s="10">
        <v>49015</v>
      </c>
      <c r="M598" s="10">
        <v>123679</v>
      </c>
      <c r="N598" s="10">
        <v>123679</v>
      </c>
      <c r="O598" s="10">
        <f>Table1[[#This Row],[NET Amount]]-Table1[[#This Row],[Paid Amount]]</f>
        <v>0</v>
      </c>
      <c r="P598" s="2" t="s">
        <v>18</v>
      </c>
      <c r="Q598" s="2" t="s">
        <v>69</v>
      </c>
      <c r="R598" s="16">
        <f>(Table1[[#This Row],[NET Amount]]-Table1[[#This Row],[Total Outstanding Amount]])/Table1[[#This Row],[NET Amount]]</f>
        <v>1</v>
      </c>
      <c r="S598" s="2" t="s">
        <v>20</v>
      </c>
    </row>
    <row r="599" spans="1:19" x14ac:dyDescent="0.3">
      <c r="A599" s="4">
        <v>597</v>
      </c>
      <c r="B599" s="2" t="s">
        <v>75</v>
      </c>
      <c r="C599" s="3">
        <v>44862</v>
      </c>
      <c r="D599" s="3" t="str">
        <f>TEXT(Table1[[#This Row],[Admission Date]],"MMMM")</f>
        <v>October</v>
      </c>
      <c r="E599" s="3">
        <v>44864</v>
      </c>
      <c r="F599" s="3">
        <v>44864</v>
      </c>
      <c r="G599" s="2">
        <v>22029229</v>
      </c>
      <c r="H599" s="2">
        <v>2237802</v>
      </c>
      <c r="I599" s="2">
        <v>10013498631</v>
      </c>
      <c r="J599" s="2" t="s">
        <v>573</v>
      </c>
      <c r="K599" s="10">
        <v>129640</v>
      </c>
      <c r="L599" s="10">
        <v>0</v>
      </c>
      <c r="M599" s="10">
        <v>129640</v>
      </c>
      <c r="N599" s="10">
        <v>1400</v>
      </c>
      <c r="O599" s="10">
        <f>Table1[[#This Row],[NET Amount]]-Table1[[#This Row],[Paid Amount]]</f>
        <v>128240</v>
      </c>
      <c r="P599" s="2" t="s">
        <v>23</v>
      </c>
      <c r="Q599" s="2" t="s">
        <v>24</v>
      </c>
      <c r="R599" s="16">
        <f>(Table1[[#This Row],[NET Amount]]-Table1[[#This Row],[Total Outstanding Amount]])/Table1[[#This Row],[NET Amount]]</f>
        <v>1.079913606911447E-2</v>
      </c>
      <c r="S599" s="2" t="s">
        <v>39</v>
      </c>
    </row>
    <row r="600" spans="1:19" x14ac:dyDescent="0.3">
      <c r="A600" s="4">
        <v>598</v>
      </c>
      <c r="B600" s="2" t="s">
        <v>2253</v>
      </c>
      <c r="C600" s="3">
        <v>44837</v>
      </c>
      <c r="D600" s="3" t="str">
        <f>TEXT(Table1[[#This Row],[Admission Date]],"MMMM")</f>
        <v>October</v>
      </c>
      <c r="E600" s="3">
        <v>44842</v>
      </c>
      <c r="F600" s="3">
        <v>44842</v>
      </c>
      <c r="G600" s="2">
        <v>22026196</v>
      </c>
      <c r="H600" s="2">
        <v>2234414</v>
      </c>
      <c r="I600" s="2">
        <v>1001775627</v>
      </c>
      <c r="J600" s="2" t="s">
        <v>574</v>
      </c>
      <c r="K600" s="10">
        <v>41352</v>
      </c>
      <c r="L600" s="10">
        <v>0</v>
      </c>
      <c r="M600" s="10">
        <v>41352</v>
      </c>
      <c r="N600" s="10">
        <v>0</v>
      </c>
      <c r="O600" s="10">
        <f>Table1[[#This Row],[NET Amount]]-Table1[[#This Row],[Paid Amount]]</f>
        <v>41352</v>
      </c>
      <c r="P600" s="2" t="s">
        <v>23</v>
      </c>
      <c r="Q600" s="2" t="s">
        <v>19</v>
      </c>
      <c r="R600" s="16">
        <f>(Table1[[#This Row],[NET Amount]]-Table1[[#This Row],[Total Outstanding Amount]])/Table1[[#This Row],[NET Amount]]</f>
        <v>0</v>
      </c>
      <c r="S600" s="2" t="s">
        <v>20</v>
      </c>
    </row>
    <row r="601" spans="1:19" x14ac:dyDescent="0.3">
      <c r="A601" s="4">
        <v>599</v>
      </c>
      <c r="B601" s="2" t="s">
        <v>25</v>
      </c>
      <c r="C601" s="3">
        <v>44854</v>
      </c>
      <c r="D601" s="3" t="str">
        <f>TEXT(Table1[[#This Row],[Admission Date]],"MMMM")</f>
        <v>October</v>
      </c>
      <c r="E601" s="3">
        <v>44865</v>
      </c>
      <c r="F601" s="3">
        <v>44865</v>
      </c>
      <c r="G601" s="2">
        <v>22029299</v>
      </c>
      <c r="H601" s="2">
        <v>2236851</v>
      </c>
      <c r="I601" s="2">
        <v>10013491587</v>
      </c>
      <c r="J601" s="2" t="s">
        <v>575</v>
      </c>
      <c r="K601" s="10">
        <v>270525</v>
      </c>
      <c r="L601" s="10">
        <v>39525</v>
      </c>
      <c r="M601" s="10">
        <v>231000</v>
      </c>
      <c r="N601" s="10">
        <v>231000</v>
      </c>
      <c r="O601" s="10">
        <f>Table1[[#This Row],[NET Amount]]-Table1[[#This Row],[Paid Amount]]</f>
        <v>0</v>
      </c>
      <c r="P601" s="2" t="s">
        <v>18</v>
      </c>
      <c r="Q601" s="2" t="s">
        <v>69</v>
      </c>
      <c r="R601" s="16">
        <f>(Table1[[#This Row],[NET Amount]]-Table1[[#This Row],[Total Outstanding Amount]])/Table1[[#This Row],[NET Amount]]</f>
        <v>1</v>
      </c>
      <c r="S601" s="2" t="s">
        <v>39</v>
      </c>
    </row>
    <row r="602" spans="1:19" x14ac:dyDescent="0.3">
      <c r="A602" s="4">
        <v>600</v>
      </c>
      <c r="B602" s="2" t="s">
        <v>25</v>
      </c>
      <c r="C602" s="3">
        <v>44842</v>
      </c>
      <c r="D602" s="3" t="str">
        <f>TEXT(Table1[[#This Row],[Admission Date]],"MMMM")</f>
        <v>October</v>
      </c>
      <c r="E602" s="3">
        <v>44843</v>
      </c>
      <c r="F602" s="3">
        <v>44843</v>
      </c>
      <c r="G602" s="2">
        <v>22026247</v>
      </c>
      <c r="H602" s="2">
        <v>2235150</v>
      </c>
      <c r="I602" s="2">
        <v>1001803227</v>
      </c>
      <c r="J602" s="2" t="s">
        <v>576</v>
      </c>
      <c r="K602" s="10">
        <v>184154</v>
      </c>
      <c r="L602" s="10">
        <v>26750</v>
      </c>
      <c r="M602" s="10">
        <v>157404</v>
      </c>
      <c r="N602" s="10">
        <v>157404</v>
      </c>
      <c r="O602" s="10">
        <f>Table1[[#This Row],[NET Amount]]-Table1[[#This Row],[Paid Amount]]</f>
        <v>0</v>
      </c>
      <c r="P602" s="2" t="s">
        <v>18</v>
      </c>
      <c r="Q602" s="2" t="s">
        <v>69</v>
      </c>
      <c r="R602" s="16">
        <f>(Table1[[#This Row],[NET Amount]]-Table1[[#This Row],[Total Outstanding Amount]])/Table1[[#This Row],[NET Amount]]</f>
        <v>1</v>
      </c>
      <c r="S602" s="2" t="s">
        <v>39</v>
      </c>
    </row>
    <row r="603" spans="1:19" x14ac:dyDescent="0.3">
      <c r="A603" s="4">
        <v>601</v>
      </c>
      <c r="B603" s="2" t="s">
        <v>25</v>
      </c>
      <c r="C603" s="3">
        <v>44843</v>
      </c>
      <c r="D603" s="3" t="str">
        <f>TEXT(Table1[[#This Row],[Admission Date]],"MMMM")</f>
        <v>October</v>
      </c>
      <c r="E603" s="3">
        <v>44844</v>
      </c>
      <c r="F603" s="3">
        <v>44844</v>
      </c>
      <c r="G603" s="2">
        <v>22026367</v>
      </c>
      <c r="H603" s="2">
        <v>2235264</v>
      </c>
      <c r="I603" s="2">
        <v>1001803393</v>
      </c>
      <c r="J603" s="2" t="s">
        <v>577</v>
      </c>
      <c r="K603" s="10">
        <v>29786</v>
      </c>
      <c r="L603" s="10">
        <v>1250</v>
      </c>
      <c r="M603" s="10">
        <v>28536</v>
      </c>
      <c r="N603" s="10">
        <v>28536</v>
      </c>
      <c r="O603" s="10">
        <f>Table1[[#This Row],[NET Amount]]-Table1[[#This Row],[Paid Amount]]</f>
        <v>0</v>
      </c>
      <c r="P603" s="2" t="s">
        <v>18</v>
      </c>
      <c r="Q603" s="2" t="s">
        <v>24</v>
      </c>
      <c r="R603" s="16">
        <f>(Table1[[#This Row],[NET Amount]]-Table1[[#This Row],[Total Outstanding Amount]])/Table1[[#This Row],[NET Amount]]</f>
        <v>1</v>
      </c>
      <c r="S603" s="2" t="s">
        <v>201</v>
      </c>
    </row>
    <row r="604" spans="1:19" x14ac:dyDescent="0.3">
      <c r="A604" s="4">
        <v>602</v>
      </c>
      <c r="B604" s="2" t="s">
        <v>329</v>
      </c>
      <c r="C604" s="3">
        <v>44852</v>
      </c>
      <c r="D604" s="3" t="str">
        <f>TEXT(Table1[[#This Row],[Admission Date]],"MMMM")</f>
        <v>October</v>
      </c>
      <c r="E604" s="3">
        <v>44852</v>
      </c>
      <c r="F604" s="3">
        <v>44852</v>
      </c>
      <c r="G604" s="2">
        <v>22027611</v>
      </c>
      <c r="H604" s="2">
        <v>2236455</v>
      </c>
      <c r="I604" s="2">
        <v>10013543443</v>
      </c>
      <c r="J604" s="2" t="s">
        <v>578</v>
      </c>
      <c r="K604" s="10">
        <v>9048</v>
      </c>
      <c r="L604" s="10">
        <v>0</v>
      </c>
      <c r="M604" s="10">
        <v>9048</v>
      </c>
      <c r="N604" s="10">
        <v>9048</v>
      </c>
      <c r="O604" s="10">
        <f>Table1[[#This Row],[NET Amount]]-Table1[[#This Row],[Paid Amount]]</f>
        <v>0</v>
      </c>
      <c r="P604" s="2" t="s">
        <v>18</v>
      </c>
      <c r="Q604" s="2" t="s">
        <v>24</v>
      </c>
      <c r="R604" s="16">
        <f>(Table1[[#This Row],[NET Amount]]-Table1[[#This Row],[Total Outstanding Amount]])/Table1[[#This Row],[NET Amount]]</f>
        <v>1</v>
      </c>
      <c r="S604" s="2" t="s">
        <v>27</v>
      </c>
    </row>
    <row r="605" spans="1:19" x14ac:dyDescent="0.3">
      <c r="A605" s="4">
        <v>603</v>
      </c>
      <c r="B605" s="2" t="s">
        <v>25</v>
      </c>
      <c r="C605" s="3">
        <v>44856</v>
      </c>
      <c r="D605" s="3" t="str">
        <f>TEXT(Table1[[#This Row],[Admission Date]],"MMMM")</f>
        <v>October</v>
      </c>
      <c r="E605" s="3">
        <v>44864</v>
      </c>
      <c r="F605" s="3">
        <v>44864</v>
      </c>
      <c r="G605" s="2">
        <v>22029232</v>
      </c>
      <c r="H605" s="2">
        <v>2236992</v>
      </c>
      <c r="I605" s="2">
        <v>10013544102</v>
      </c>
      <c r="J605" s="2" t="s">
        <v>579</v>
      </c>
      <c r="K605" s="10">
        <v>217166</v>
      </c>
      <c r="L605" s="10">
        <v>31105</v>
      </c>
      <c r="M605" s="10">
        <v>186060</v>
      </c>
      <c r="N605" s="10">
        <v>186060</v>
      </c>
      <c r="O605" s="10">
        <f>Table1[[#This Row],[NET Amount]]-Table1[[#This Row],[Paid Amount]]</f>
        <v>0</v>
      </c>
      <c r="P605" s="2" t="s">
        <v>18</v>
      </c>
      <c r="Q605" s="2" t="s">
        <v>69</v>
      </c>
      <c r="R605" s="16">
        <f>(Table1[[#This Row],[NET Amount]]-Table1[[#This Row],[Total Outstanding Amount]])/Table1[[#This Row],[NET Amount]]</f>
        <v>1</v>
      </c>
      <c r="S605" s="2" t="s">
        <v>494</v>
      </c>
    </row>
    <row r="606" spans="1:19" x14ac:dyDescent="0.3">
      <c r="A606" s="4">
        <v>604</v>
      </c>
      <c r="B606" s="2" t="s">
        <v>113</v>
      </c>
      <c r="C606" s="3">
        <v>44835</v>
      </c>
      <c r="D606" s="3" t="str">
        <f>TEXT(Table1[[#This Row],[Admission Date]],"MMMM")</f>
        <v>October</v>
      </c>
      <c r="E606" s="3">
        <v>44836</v>
      </c>
      <c r="F606" s="3">
        <v>44836</v>
      </c>
      <c r="G606" s="2">
        <v>22025323</v>
      </c>
      <c r="H606" s="2">
        <v>2234180</v>
      </c>
      <c r="I606" s="2">
        <v>10013541112</v>
      </c>
      <c r="J606" s="2" t="s">
        <v>98</v>
      </c>
      <c r="K606" s="10">
        <v>101536</v>
      </c>
      <c r="L606" s="10">
        <v>0</v>
      </c>
      <c r="M606" s="10">
        <v>101536</v>
      </c>
      <c r="N606" s="10">
        <v>101536</v>
      </c>
      <c r="O606" s="10">
        <f>Table1[[#This Row],[NET Amount]]-Table1[[#This Row],[Paid Amount]]</f>
        <v>0</v>
      </c>
      <c r="P606" s="2" t="s">
        <v>18</v>
      </c>
      <c r="Q606" s="2" t="s">
        <v>24</v>
      </c>
      <c r="R606" s="16">
        <f>(Table1[[#This Row],[NET Amount]]-Table1[[#This Row],[Total Outstanding Amount]])/Table1[[#This Row],[NET Amount]]</f>
        <v>1</v>
      </c>
      <c r="S606" s="2" t="s">
        <v>57</v>
      </c>
    </row>
    <row r="607" spans="1:19" x14ac:dyDescent="0.3">
      <c r="A607" s="4">
        <v>605</v>
      </c>
      <c r="B607" s="2" t="s">
        <v>520</v>
      </c>
      <c r="C607" s="3">
        <v>44835</v>
      </c>
      <c r="D607" s="3" t="str">
        <f>TEXT(Table1[[#This Row],[Admission Date]],"MMMM")</f>
        <v>October</v>
      </c>
      <c r="E607" s="3">
        <v>44839</v>
      </c>
      <c r="F607" s="3">
        <v>44839</v>
      </c>
      <c r="G607" s="2">
        <v>22025750</v>
      </c>
      <c r="H607" s="2">
        <v>2234183</v>
      </c>
      <c r="I607" s="2">
        <v>10013541111</v>
      </c>
      <c r="J607" s="2" t="s">
        <v>580</v>
      </c>
      <c r="K607" s="10">
        <v>73772</v>
      </c>
      <c r="L607" s="10">
        <v>0</v>
      </c>
      <c r="M607" s="10">
        <v>73772</v>
      </c>
      <c r="N607" s="10">
        <v>73772</v>
      </c>
      <c r="O607" s="10">
        <f>Table1[[#This Row],[NET Amount]]-Table1[[#This Row],[Paid Amount]]</f>
        <v>0</v>
      </c>
      <c r="P607" s="2" t="s">
        <v>18</v>
      </c>
      <c r="Q607" s="2" t="s">
        <v>24</v>
      </c>
      <c r="R607" s="16">
        <f>(Table1[[#This Row],[NET Amount]]-Table1[[#This Row],[Total Outstanding Amount]])/Table1[[#This Row],[NET Amount]]</f>
        <v>1</v>
      </c>
      <c r="S607" s="2" t="s">
        <v>20</v>
      </c>
    </row>
    <row r="608" spans="1:19" x14ac:dyDescent="0.3">
      <c r="A608" s="4">
        <v>606</v>
      </c>
      <c r="B608" s="2" t="s">
        <v>152</v>
      </c>
      <c r="C608" s="3">
        <v>44835</v>
      </c>
      <c r="D608" s="3" t="str">
        <f>TEXT(Table1[[#This Row],[Admission Date]],"MMMM")</f>
        <v>October</v>
      </c>
      <c r="E608" s="3">
        <v>44839</v>
      </c>
      <c r="F608" s="3">
        <v>44839</v>
      </c>
      <c r="G608" s="2">
        <v>22025743</v>
      </c>
      <c r="H608" s="2">
        <v>2234227</v>
      </c>
      <c r="I608" s="2">
        <v>1001572622</v>
      </c>
      <c r="J608" s="2" t="s">
        <v>581</v>
      </c>
      <c r="K608" s="10">
        <v>41086</v>
      </c>
      <c r="L608" s="10">
        <v>0</v>
      </c>
      <c r="M608" s="10">
        <v>41086</v>
      </c>
      <c r="N608" s="10">
        <v>41086</v>
      </c>
      <c r="O608" s="10">
        <f>Table1[[#This Row],[NET Amount]]-Table1[[#This Row],[Paid Amount]]</f>
        <v>0</v>
      </c>
      <c r="P608" s="2" t="s">
        <v>18</v>
      </c>
      <c r="Q608" s="2" t="s">
        <v>30</v>
      </c>
      <c r="R608" s="16">
        <f>(Table1[[#This Row],[NET Amount]]-Table1[[#This Row],[Total Outstanding Amount]])/Table1[[#This Row],[NET Amount]]</f>
        <v>1</v>
      </c>
      <c r="S608" s="2" t="s">
        <v>20</v>
      </c>
    </row>
    <row r="609" spans="1:19" x14ac:dyDescent="0.3">
      <c r="A609" s="4">
        <v>607</v>
      </c>
      <c r="B609" s="2" t="s">
        <v>117</v>
      </c>
      <c r="C609" s="3">
        <v>44842</v>
      </c>
      <c r="D609" s="3" t="str">
        <f>TEXT(Table1[[#This Row],[Admission Date]],"MMMM")</f>
        <v>October</v>
      </c>
      <c r="E609" s="3">
        <v>44842</v>
      </c>
      <c r="F609" s="3">
        <v>44842</v>
      </c>
      <c r="G609" s="2">
        <v>22026153</v>
      </c>
      <c r="H609" s="2">
        <v>2235162</v>
      </c>
      <c r="I609" s="2">
        <v>10013383005</v>
      </c>
      <c r="J609" s="2" t="s">
        <v>184</v>
      </c>
      <c r="K609" s="10">
        <v>2064</v>
      </c>
      <c r="L609" s="10">
        <v>0</v>
      </c>
      <c r="M609" s="10">
        <v>2064</v>
      </c>
      <c r="N609" s="10">
        <v>2064</v>
      </c>
      <c r="O609" s="10">
        <f>Table1[[#This Row],[NET Amount]]-Table1[[#This Row],[Paid Amount]]</f>
        <v>0</v>
      </c>
      <c r="P609" s="2" t="s">
        <v>18</v>
      </c>
      <c r="Q609" s="2" t="s">
        <v>54</v>
      </c>
      <c r="R609" s="16">
        <f>(Table1[[#This Row],[NET Amount]]-Table1[[#This Row],[Total Outstanding Amount]])/Table1[[#This Row],[NET Amount]]</f>
        <v>1</v>
      </c>
      <c r="S609" s="2" t="s">
        <v>97</v>
      </c>
    </row>
    <row r="610" spans="1:19" x14ac:dyDescent="0.3">
      <c r="A610" s="4">
        <v>608</v>
      </c>
      <c r="B610" s="2" t="s">
        <v>126</v>
      </c>
      <c r="C610" s="3">
        <v>44861</v>
      </c>
      <c r="D610" s="3" t="str">
        <f>TEXT(Table1[[#This Row],[Admission Date]],"MMMM")</f>
        <v>October</v>
      </c>
      <c r="E610" s="3">
        <v>44865</v>
      </c>
      <c r="F610" s="3">
        <v>44865</v>
      </c>
      <c r="G610" s="2">
        <v>22029255</v>
      </c>
      <c r="H610" s="2">
        <v>2237676</v>
      </c>
      <c r="I610" s="2">
        <v>1000973033</v>
      </c>
      <c r="J610" s="2" t="s">
        <v>582</v>
      </c>
      <c r="K610" s="10">
        <v>47373</v>
      </c>
      <c r="L610" s="10">
        <v>6061</v>
      </c>
      <c r="M610" s="10">
        <v>41312</v>
      </c>
      <c r="N610" s="10">
        <v>2494</v>
      </c>
      <c r="O610" s="10">
        <f>Table1[[#This Row],[NET Amount]]-Table1[[#This Row],[Paid Amount]]</f>
        <v>38818</v>
      </c>
      <c r="P610" s="2" t="s">
        <v>23</v>
      </c>
      <c r="Q610" s="2" t="s">
        <v>24</v>
      </c>
      <c r="R610" s="16">
        <f>(Table1[[#This Row],[NET Amount]]-Table1[[#This Row],[Total Outstanding Amount]])/Table1[[#This Row],[NET Amount]]</f>
        <v>6.0369868319132457E-2</v>
      </c>
      <c r="S610" s="2" t="s">
        <v>20</v>
      </c>
    </row>
    <row r="611" spans="1:19" x14ac:dyDescent="0.3">
      <c r="A611" s="4">
        <v>609</v>
      </c>
      <c r="B611" s="2" t="s">
        <v>122</v>
      </c>
      <c r="C611" s="3">
        <v>44852</v>
      </c>
      <c r="D611" s="3" t="str">
        <f>TEXT(Table1[[#This Row],[Admission Date]],"MMMM")</f>
        <v>October</v>
      </c>
      <c r="E611" s="3">
        <v>44852</v>
      </c>
      <c r="F611" s="3">
        <v>44852</v>
      </c>
      <c r="G611" s="2">
        <v>22027616</v>
      </c>
      <c r="H611" s="2">
        <v>2236494</v>
      </c>
      <c r="I611" s="2">
        <v>1000950490</v>
      </c>
      <c r="J611" s="2" t="s">
        <v>288</v>
      </c>
      <c r="K611" s="10">
        <v>21040</v>
      </c>
      <c r="L611" s="10">
        <v>21040</v>
      </c>
      <c r="M611" s="10">
        <v>0</v>
      </c>
      <c r="N611" s="10">
        <v>0</v>
      </c>
      <c r="O611" s="10">
        <f>Table1[[#This Row],[NET Amount]]-Table1[[#This Row],[Paid Amount]]</f>
        <v>0</v>
      </c>
      <c r="P611" s="2" t="s">
        <v>18</v>
      </c>
      <c r="Q611" s="2" t="s">
        <v>90</v>
      </c>
      <c r="R611" s="16" t="e">
        <f>(Table1[[#This Row],[NET Amount]]-Table1[[#This Row],[Total Outstanding Amount]])/Table1[[#This Row],[NET Amount]]</f>
        <v>#DIV/0!</v>
      </c>
      <c r="S611" s="2" t="s">
        <v>162</v>
      </c>
    </row>
    <row r="612" spans="1:19" x14ac:dyDescent="0.3">
      <c r="A612" s="4">
        <v>610</v>
      </c>
      <c r="B612" s="2" t="s">
        <v>166</v>
      </c>
      <c r="C612" s="3">
        <v>44848</v>
      </c>
      <c r="D612" s="3" t="str">
        <f>TEXT(Table1[[#This Row],[Admission Date]],"MMMM")</f>
        <v>October</v>
      </c>
      <c r="E612" s="3">
        <v>44852</v>
      </c>
      <c r="F612" s="3">
        <v>44852</v>
      </c>
      <c r="G612" s="2">
        <v>22027614</v>
      </c>
      <c r="H612" s="2">
        <v>2236018</v>
      </c>
      <c r="I612" s="2">
        <v>10013543035</v>
      </c>
      <c r="J612" s="2" t="s">
        <v>583</v>
      </c>
      <c r="K612" s="10">
        <v>480499</v>
      </c>
      <c r="L612" s="10">
        <v>0</v>
      </c>
      <c r="M612" s="10">
        <v>480499</v>
      </c>
      <c r="N612" s="10">
        <v>231330</v>
      </c>
      <c r="O612" s="10">
        <f>Table1[[#This Row],[NET Amount]]-Table1[[#This Row],[Paid Amount]]</f>
        <v>249169</v>
      </c>
      <c r="P612" s="2" t="s">
        <v>23</v>
      </c>
      <c r="Q612" s="2" t="s">
        <v>42</v>
      </c>
      <c r="R612" s="16">
        <f>(Table1[[#This Row],[NET Amount]]-Table1[[#This Row],[Total Outstanding Amount]])/Table1[[#This Row],[NET Amount]]</f>
        <v>0.48143700611239565</v>
      </c>
      <c r="S612" s="2" t="s">
        <v>20</v>
      </c>
    </row>
    <row r="613" spans="1:19" x14ac:dyDescent="0.3">
      <c r="A613" s="4">
        <v>611</v>
      </c>
      <c r="B613" s="2" t="s">
        <v>40</v>
      </c>
      <c r="C613" s="3">
        <v>44858</v>
      </c>
      <c r="D613" s="3" t="str">
        <f>TEXT(Table1[[#This Row],[Admission Date]],"MMMM")</f>
        <v>October</v>
      </c>
      <c r="E613" s="3">
        <v>44864</v>
      </c>
      <c r="F613" s="3">
        <v>44864</v>
      </c>
      <c r="G613" s="2">
        <v>22029219</v>
      </c>
      <c r="H613" s="2">
        <v>2237223</v>
      </c>
      <c r="I613" s="2">
        <v>1000860417</v>
      </c>
      <c r="J613" s="2" t="s">
        <v>508</v>
      </c>
      <c r="K613" s="10">
        <v>152867</v>
      </c>
      <c r="L613" s="10">
        <v>18696</v>
      </c>
      <c r="M613" s="10">
        <v>134171</v>
      </c>
      <c r="N613" s="10">
        <v>37410</v>
      </c>
      <c r="O613" s="10">
        <f>Table1[[#This Row],[NET Amount]]-Table1[[#This Row],[Paid Amount]]</f>
        <v>96761</v>
      </c>
      <c r="P613" s="2" t="s">
        <v>23</v>
      </c>
      <c r="Q613" s="2" t="s">
        <v>42</v>
      </c>
      <c r="R613" s="16">
        <f>(Table1[[#This Row],[NET Amount]]-Table1[[#This Row],[Total Outstanding Amount]])/Table1[[#This Row],[NET Amount]]</f>
        <v>0.27882329266383943</v>
      </c>
      <c r="S613" s="2" t="s">
        <v>20</v>
      </c>
    </row>
    <row r="614" spans="1:19" x14ac:dyDescent="0.3">
      <c r="A614" s="4">
        <v>612</v>
      </c>
      <c r="B614" s="2" t="s">
        <v>584</v>
      </c>
      <c r="C614" s="3">
        <v>44865</v>
      </c>
      <c r="D614" s="3" t="str">
        <f>TEXT(Table1[[#This Row],[Admission Date]],"MMMM")</f>
        <v>October</v>
      </c>
      <c r="E614" s="3">
        <v>44865</v>
      </c>
      <c r="F614" s="3">
        <v>44865</v>
      </c>
      <c r="G614" s="2">
        <v>22029330</v>
      </c>
      <c r="H614" s="2">
        <v>2238178</v>
      </c>
      <c r="I614" s="2">
        <v>10013376566</v>
      </c>
      <c r="J614" s="2" t="s">
        <v>585</v>
      </c>
      <c r="K614" s="10">
        <v>2200</v>
      </c>
      <c r="L614" s="10">
        <v>0</v>
      </c>
      <c r="M614" s="10">
        <v>2200</v>
      </c>
      <c r="N614" s="10">
        <v>440</v>
      </c>
      <c r="O614" s="10">
        <f>Table1[[#This Row],[NET Amount]]-Table1[[#This Row],[Paid Amount]]</f>
        <v>1760</v>
      </c>
      <c r="P614" s="2" t="s">
        <v>23</v>
      </c>
      <c r="Q614" s="2" t="s">
        <v>147</v>
      </c>
      <c r="R614" s="16">
        <f>(Table1[[#This Row],[NET Amount]]-Table1[[#This Row],[Total Outstanding Amount]])/Table1[[#This Row],[NET Amount]]</f>
        <v>0.2</v>
      </c>
      <c r="S614" s="2" t="s">
        <v>97</v>
      </c>
    </row>
    <row r="615" spans="1:19" x14ac:dyDescent="0.3">
      <c r="A615" s="4">
        <v>613</v>
      </c>
      <c r="B615" s="2" t="s">
        <v>25</v>
      </c>
      <c r="C615" s="3">
        <v>44865</v>
      </c>
      <c r="D615" s="3" t="str">
        <f>TEXT(Table1[[#This Row],[Admission Date]],"MMMM")</f>
        <v>October</v>
      </c>
      <c r="E615" s="3">
        <v>44865</v>
      </c>
      <c r="F615" s="3">
        <v>44865</v>
      </c>
      <c r="G615" s="2">
        <v>22029343</v>
      </c>
      <c r="H615" s="2">
        <v>2238185</v>
      </c>
      <c r="I615" s="2">
        <v>10013339576</v>
      </c>
      <c r="J615" s="2" t="s">
        <v>242</v>
      </c>
      <c r="K615" s="10">
        <v>2794</v>
      </c>
      <c r="L615" s="10">
        <v>2794</v>
      </c>
      <c r="M615" s="10">
        <v>0</v>
      </c>
      <c r="N615" s="10">
        <v>0</v>
      </c>
      <c r="O615" s="10">
        <f>Table1[[#This Row],[NET Amount]]-Table1[[#This Row],[Paid Amount]]</f>
        <v>0</v>
      </c>
      <c r="P615" s="2" t="s">
        <v>18</v>
      </c>
      <c r="Q615" s="2" t="s">
        <v>90</v>
      </c>
      <c r="R615" s="16" t="e">
        <f>(Table1[[#This Row],[NET Amount]]-Table1[[#This Row],[Total Outstanding Amount]])/Table1[[#This Row],[NET Amount]]</f>
        <v>#DIV/0!</v>
      </c>
      <c r="S615" s="2" t="s">
        <v>97</v>
      </c>
    </row>
    <row r="616" spans="1:19" x14ac:dyDescent="0.3">
      <c r="A616" s="4">
        <v>614</v>
      </c>
      <c r="B616" s="2" t="s">
        <v>25</v>
      </c>
      <c r="C616" s="3">
        <v>44837</v>
      </c>
      <c r="D616" s="3" t="str">
        <f>TEXT(Table1[[#This Row],[Admission Date]],"MMMM")</f>
        <v>October</v>
      </c>
      <c r="E616" s="3">
        <v>44843</v>
      </c>
      <c r="F616" s="3">
        <v>44843</v>
      </c>
      <c r="G616" s="2">
        <v>22026311</v>
      </c>
      <c r="H616" s="2">
        <v>2234460</v>
      </c>
      <c r="I616" s="2">
        <v>1001159027</v>
      </c>
      <c r="J616" s="2" t="s">
        <v>586</v>
      </c>
      <c r="K616" s="10">
        <v>369120</v>
      </c>
      <c r="L616" s="10">
        <v>126703</v>
      </c>
      <c r="M616" s="10">
        <v>242418</v>
      </c>
      <c r="N616" s="10">
        <v>242418</v>
      </c>
      <c r="O616" s="10">
        <f>Table1[[#This Row],[NET Amount]]-Table1[[#This Row],[Paid Amount]]</f>
        <v>0</v>
      </c>
      <c r="P616" s="2" t="s">
        <v>18</v>
      </c>
      <c r="Q616" s="2" t="s">
        <v>69</v>
      </c>
      <c r="R616" s="16">
        <f>(Table1[[#This Row],[NET Amount]]-Table1[[#This Row],[Total Outstanding Amount]])/Table1[[#This Row],[NET Amount]]</f>
        <v>1</v>
      </c>
      <c r="S616" s="2" t="s">
        <v>77</v>
      </c>
    </row>
    <row r="617" spans="1:19" x14ac:dyDescent="0.3">
      <c r="A617" s="4">
        <v>615</v>
      </c>
      <c r="B617" s="2" t="s">
        <v>2267</v>
      </c>
      <c r="C617" s="3">
        <v>44828</v>
      </c>
      <c r="D617" s="3" t="str">
        <f>TEXT(Table1[[#This Row],[Admission Date]],"MMMM")</f>
        <v>September</v>
      </c>
      <c r="E617" s="3">
        <v>44838</v>
      </c>
      <c r="F617" s="3">
        <v>44838</v>
      </c>
      <c r="G617" s="2">
        <v>22025583</v>
      </c>
      <c r="H617" s="2">
        <v>2233324</v>
      </c>
      <c r="I617" s="2">
        <v>1001241551</v>
      </c>
      <c r="J617" s="2" t="s">
        <v>587</v>
      </c>
      <c r="K617" s="10">
        <v>284132</v>
      </c>
      <c r="L617" s="10">
        <v>46132</v>
      </c>
      <c r="M617" s="10">
        <v>238000</v>
      </c>
      <c r="N617" s="10">
        <v>41500</v>
      </c>
      <c r="O617" s="10">
        <f>Table1[[#This Row],[NET Amount]]-Table1[[#This Row],[Paid Amount]]</f>
        <v>196500</v>
      </c>
      <c r="P617" s="2" t="s">
        <v>23</v>
      </c>
      <c r="Q617" s="2" t="s">
        <v>42</v>
      </c>
      <c r="R617" s="16">
        <f>(Table1[[#This Row],[NET Amount]]-Table1[[#This Row],[Total Outstanding Amount]])/Table1[[#This Row],[NET Amount]]</f>
        <v>0.17436974789915966</v>
      </c>
      <c r="S617" s="2" t="s">
        <v>20</v>
      </c>
    </row>
    <row r="618" spans="1:19" x14ac:dyDescent="0.3">
      <c r="A618" s="4">
        <v>616</v>
      </c>
      <c r="B618" s="2" t="s">
        <v>25</v>
      </c>
      <c r="C618" s="3">
        <v>44838</v>
      </c>
      <c r="D618" s="3" t="str">
        <f>TEXT(Table1[[#This Row],[Admission Date]],"MMMM")</f>
        <v>October</v>
      </c>
      <c r="E618" s="3">
        <v>44845</v>
      </c>
      <c r="F618" s="3">
        <v>44845</v>
      </c>
      <c r="G618" s="2">
        <v>22026631</v>
      </c>
      <c r="H618" s="2">
        <v>2234632</v>
      </c>
      <c r="I618" s="2">
        <v>10013541588</v>
      </c>
      <c r="J618" s="2" t="s">
        <v>588</v>
      </c>
      <c r="K618" s="10">
        <v>333232</v>
      </c>
      <c r="L618" s="10">
        <v>71638</v>
      </c>
      <c r="M618" s="10">
        <v>261594</v>
      </c>
      <c r="N618" s="10">
        <v>261594</v>
      </c>
      <c r="O618" s="10">
        <f>Table1[[#This Row],[NET Amount]]-Table1[[#This Row],[Paid Amount]]</f>
        <v>0</v>
      </c>
      <c r="P618" s="2" t="s">
        <v>18</v>
      </c>
      <c r="Q618" s="2" t="s">
        <v>225</v>
      </c>
      <c r="R618" s="16">
        <f>(Table1[[#This Row],[NET Amount]]-Table1[[#This Row],[Total Outstanding Amount]])/Table1[[#This Row],[NET Amount]]</f>
        <v>1</v>
      </c>
      <c r="S618" s="2" t="s">
        <v>20</v>
      </c>
    </row>
    <row r="619" spans="1:19" x14ac:dyDescent="0.3">
      <c r="A619" s="4">
        <v>617</v>
      </c>
      <c r="B619" s="2" t="s">
        <v>25</v>
      </c>
      <c r="C619" s="3">
        <v>44840</v>
      </c>
      <c r="D619" s="3" t="str">
        <f>TEXT(Table1[[#This Row],[Admission Date]],"MMMM")</f>
        <v>October</v>
      </c>
      <c r="E619" s="3">
        <v>44845</v>
      </c>
      <c r="F619" s="3">
        <v>44845</v>
      </c>
      <c r="G619" s="2">
        <v>22026521</v>
      </c>
      <c r="H619" s="2">
        <v>2234938</v>
      </c>
      <c r="I619" s="2">
        <v>10013537495</v>
      </c>
      <c r="J619" s="2" t="s">
        <v>589</v>
      </c>
      <c r="K619" s="10">
        <v>203657</v>
      </c>
      <c r="L619" s="10">
        <v>41740</v>
      </c>
      <c r="M619" s="10">
        <v>161917</v>
      </c>
      <c r="N619" s="10">
        <v>161917</v>
      </c>
      <c r="O619" s="10">
        <f>Table1[[#This Row],[NET Amount]]-Table1[[#This Row],[Paid Amount]]</f>
        <v>0</v>
      </c>
      <c r="P619" s="2" t="s">
        <v>18</v>
      </c>
      <c r="Q619" s="2" t="s">
        <v>88</v>
      </c>
      <c r="R619" s="16">
        <f>(Table1[[#This Row],[NET Amount]]-Table1[[#This Row],[Total Outstanding Amount]])/Table1[[#This Row],[NET Amount]]</f>
        <v>1</v>
      </c>
      <c r="S619" s="2" t="s">
        <v>20</v>
      </c>
    </row>
    <row r="620" spans="1:19" x14ac:dyDescent="0.3">
      <c r="A620" s="4">
        <v>618</v>
      </c>
      <c r="B620" s="2" t="s">
        <v>45</v>
      </c>
      <c r="C620" s="3">
        <v>44848</v>
      </c>
      <c r="D620" s="3" t="str">
        <f>TEXT(Table1[[#This Row],[Admission Date]],"MMMM")</f>
        <v>October</v>
      </c>
      <c r="E620" s="3">
        <v>44853</v>
      </c>
      <c r="F620" s="3">
        <v>44853</v>
      </c>
      <c r="G620" s="2">
        <v>22027663</v>
      </c>
      <c r="H620" s="2">
        <v>2236054</v>
      </c>
      <c r="I620" s="2">
        <v>10013542910</v>
      </c>
      <c r="J620" s="2" t="s">
        <v>590</v>
      </c>
      <c r="K620" s="10">
        <v>102905</v>
      </c>
      <c r="L620" s="10">
        <v>14551</v>
      </c>
      <c r="M620" s="10">
        <v>88354</v>
      </c>
      <c r="N620" s="10">
        <v>18172</v>
      </c>
      <c r="O620" s="10">
        <f>Table1[[#This Row],[NET Amount]]-Table1[[#This Row],[Paid Amount]]</f>
        <v>70182</v>
      </c>
      <c r="P620" s="2" t="s">
        <v>23</v>
      </c>
      <c r="Q620" s="2" t="s">
        <v>52</v>
      </c>
      <c r="R620" s="16">
        <f>(Table1[[#This Row],[NET Amount]]-Table1[[#This Row],[Total Outstanding Amount]])/Table1[[#This Row],[NET Amount]]</f>
        <v>0.20567263508160355</v>
      </c>
      <c r="S620" s="2" t="s">
        <v>77</v>
      </c>
    </row>
    <row r="621" spans="1:19" x14ac:dyDescent="0.3">
      <c r="A621" s="4">
        <v>619</v>
      </c>
      <c r="B621" s="2" t="s">
        <v>25</v>
      </c>
      <c r="C621" s="3">
        <v>44853</v>
      </c>
      <c r="D621" s="3" t="str">
        <f>TEXT(Table1[[#This Row],[Admission Date]],"MMMM")</f>
        <v>October</v>
      </c>
      <c r="E621" s="3">
        <v>44853</v>
      </c>
      <c r="F621" s="3">
        <v>44853</v>
      </c>
      <c r="G621" s="2">
        <v>22027720</v>
      </c>
      <c r="H621" s="2">
        <v>2236617</v>
      </c>
      <c r="I621" s="2">
        <v>10013543527</v>
      </c>
      <c r="J621" s="2" t="s">
        <v>358</v>
      </c>
      <c r="K621" s="10">
        <v>0</v>
      </c>
      <c r="L621" s="10">
        <v>0</v>
      </c>
      <c r="M621" s="10">
        <v>0</v>
      </c>
      <c r="N621" s="10">
        <v>0</v>
      </c>
      <c r="O621" s="10">
        <f>Table1[[#This Row],[NET Amount]]-Table1[[#This Row],[Paid Amount]]</f>
        <v>0</v>
      </c>
      <c r="P621" s="2" t="s">
        <v>18</v>
      </c>
      <c r="Q621" s="2" t="s">
        <v>54</v>
      </c>
      <c r="R621" s="16" t="e">
        <f>(Table1[[#This Row],[NET Amount]]-Table1[[#This Row],[Total Outstanding Amount]])/Table1[[#This Row],[NET Amount]]</f>
        <v>#DIV/0!</v>
      </c>
      <c r="S621" s="2" t="s">
        <v>27</v>
      </c>
    </row>
    <row r="622" spans="1:19" x14ac:dyDescent="0.3">
      <c r="A622" s="4">
        <v>620</v>
      </c>
      <c r="B622" s="2" t="s">
        <v>28</v>
      </c>
      <c r="C622" s="3">
        <v>44863</v>
      </c>
      <c r="D622" s="3" t="str">
        <f>TEXT(Table1[[#This Row],[Admission Date]],"MMMM")</f>
        <v>October</v>
      </c>
      <c r="E622" s="3">
        <v>44864</v>
      </c>
      <c r="F622" s="3">
        <v>44864</v>
      </c>
      <c r="G622" s="2">
        <v>22029191</v>
      </c>
      <c r="H622" s="2">
        <v>2237903</v>
      </c>
      <c r="I622" s="2">
        <v>10013545001</v>
      </c>
      <c r="J622" s="2" t="s">
        <v>591</v>
      </c>
      <c r="K622" s="10">
        <v>272449</v>
      </c>
      <c r="L622" s="10">
        <v>0</v>
      </c>
      <c r="M622" s="10">
        <v>272449</v>
      </c>
      <c r="N622" s="10">
        <v>19650</v>
      </c>
      <c r="O622" s="10">
        <f>Table1[[#This Row],[NET Amount]]-Table1[[#This Row],[Paid Amount]]</f>
        <v>252799</v>
      </c>
      <c r="P622" s="2" t="s">
        <v>23</v>
      </c>
      <c r="Q622" s="2" t="s">
        <v>47</v>
      </c>
      <c r="R622" s="16">
        <f>(Table1[[#This Row],[NET Amount]]-Table1[[#This Row],[Total Outstanding Amount]])/Table1[[#This Row],[NET Amount]]</f>
        <v>7.2123590103101862E-2</v>
      </c>
      <c r="S622" s="2" t="s">
        <v>39</v>
      </c>
    </row>
    <row r="623" spans="1:19" x14ac:dyDescent="0.3">
      <c r="A623" s="4">
        <v>621</v>
      </c>
      <c r="B623" s="2" t="s">
        <v>35</v>
      </c>
      <c r="C623" s="3">
        <v>44838</v>
      </c>
      <c r="D623" s="3" t="str">
        <f>TEXT(Table1[[#This Row],[Admission Date]],"MMMM")</f>
        <v>October</v>
      </c>
      <c r="E623" s="3">
        <v>44838</v>
      </c>
      <c r="F623" s="3">
        <v>44838</v>
      </c>
      <c r="G623" s="2">
        <v>22025571</v>
      </c>
      <c r="H623" s="2">
        <v>2234499</v>
      </c>
      <c r="I623" s="2">
        <v>1001802294</v>
      </c>
      <c r="J623" s="2" t="s">
        <v>322</v>
      </c>
      <c r="K623" s="10">
        <v>9980</v>
      </c>
      <c r="L623" s="10">
        <v>0</v>
      </c>
      <c r="M623" s="10">
        <v>9980</v>
      </c>
      <c r="N623" s="10">
        <v>9980</v>
      </c>
      <c r="O623" s="10">
        <f>Table1[[#This Row],[NET Amount]]-Table1[[#This Row],[Paid Amount]]</f>
        <v>0</v>
      </c>
      <c r="P623" s="2" t="s">
        <v>18</v>
      </c>
      <c r="Q623" s="2" t="s">
        <v>24</v>
      </c>
      <c r="R623" s="16">
        <f>(Table1[[#This Row],[NET Amount]]-Table1[[#This Row],[Total Outstanding Amount]])/Table1[[#This Row],[NET Amount]]</f>
        <v>1</v>
      </c>
      <c r="S623" s="2" t="s">
        <v>27</v>
      </c>
    </row>
    <row r="624" spans="1:19" x14ac:dyDescent="0.3">
      <c r="A624" s="4">
        <v>622</v>
      </c>
      <c r="B624" s="2" t="s">
        <v>117</v>
      </c>
      <c r="C624" s="3">
        <v>44838</v>
      </c>
      <c r="D624" s="3" t="str">
        <f>TEXT(Table1[[#This Row],[Admission Date]],"MMMM")</f>
        <v>October</v>
      </c>
      <c r="E624" s="3">
        <v>44839</v>
      </c>
      <c r="F624" s="3">
        <v>44839</v>
      </c>
      <c r="G624" s="2">
        <v>22025693</v>
      </c>
      <c r="H624" s="2">
        <v>2234588</v>
      </c>
      <c r="I624" s="2">
        <v>10013257869</v>
      </c>
      <c r="J624" s="2" t="s">
        <v>592</v>
      </c>
      <c r="K624" s="10">
        <v>19976</v>
      </c>
      <c r="L624" s="10">
        <v>0</v>
      </c>
      <c r="M624" s="10">
        <v>19976</v>
      </c>
      <c r="N624" s="10">
        <v>19976</v>
      </c>
      <c r="O624" s="10">
        <f>Table1[[#This Row],[NET Amount]]-Table1[[#This Row],[Paid Amount]]</f>
        <v>0</v>
      </c>
      <c r="P624" s="2" t="s">
        <v>18</v>
      </c>
      <c r="Q624" s="2" t="s">
        <v>30</v>
      </c>
      <c r="R624" s="16">
        <f>(Table1[[#This Row],[NET Amount]]-Table1[[#This Row],[Total Outstanding Amount]])/Table1[[#This Row],[NET Amount]]</f>
        <v>1</v>
      </c>
      <c r="S624" s="2" t="s">
        <v>39</v>
      </c>
    </row>
    <row r="625" spans="1:19" x14ac:dyDescent="0.3">
      <c r="A625" s="4">
        <v>623</v>
      </c>
      <c r="B625" s="2" t="s">
        <v>25</v>
      </c>
      <c r="C625" s="3">
        <v>44831</v>
      </c>
      <c r="D625" s="3" t="str">
        <f>TEXT(Table1[[#This Row],[Admission Date]],"MMMM")</f>
        <v>September</v>
      </c>
      <c r="E625" s="3">
        <v>44844</v>
      </c>
      <c r="F625" s="3">
        <v>44844</v>
      </c>
      <c r="G625" s="2">
        <v>22026362</v>
      </c>
      <c r="H625" s="2">
        <v>2233695</v>
      </c>
      <c r="I625" s="2">
        <v>1001130314</v>
      </c>
      <c r="J625" s="2" t="s">
        <v>593</v>
      </c>
      <c r="K625" s="10">
        <v>339224</v>
      </c>
      <c r="L625" s="10">
        <v>339224</v>
      </c>
      <c r="M625" s="10">
        <v>0</v>
      </c>
      <c r="N625" s="10">
        <v>0</v>
      </c>
      <c r="O625" s="10">
        <f>Table1[[#This Row],[NET Amount]]-Table1[[#This Row],[Paid Amount]]</f>
        <v>0</v>
      </c>
      <c r="P625" s="2" t="s">
        <v>18</v>
      </c>
      <c r="Q625" s="2" t="s">
        <v>90</v>
      </c>
      <c r="R625" s="16" t="e">
        <f>(Table1[[#This Row],[NET Amount]]-Table1[[#This Row],[Total Outstanding Amount]])/Table1[[#This Row],[NET Amount]]</f>
        <v>#DIV/0!</v>
      </c>
      <c r="S625" s="2" t="s">
        <v>20</v>
      </c>
    </row>
    <row r="626" spans="1:19" x14ac:dyDescent="0.3">
      <c r="A626" s="4">
        <v>624</v>
      </c>
      <c r="B626" s="2" t="s">
        <v>25</v>
      </c>
      <c r="C626" s="3">
        <v>44835</v>
      </c>
      <c r="D626" s="3" t="str">
        <f>TEXT(Table1[[#This Row],[Admission Date]],"MMMM")</f>
        <v>October</v>
      </c>
      <c r="E626" s="3">
        <v>44841</v>
      </c>
      <c r="F626" s="3">
        <v>44841</v>
      </c>
      <c r="G626" s="2">
        <v>22026002</v>
      </c>
      <c r="H626" s="2">
        <v>2234196</v>
      </c>
      <c r="I626" s="2">
        <v>10013541105</v>
      </c>
      <c r="J626" s="2" t="s">
        <v>594</v>
      </c>
      <c r="K626" s="10">
        <v>114920</v>
      </c>
      <c r="L626" s="10">
        <v>32668</v>
      </c>
      <c r="M626" s="10">
        <v>82253</v>
      </c>
      <c r="N626" s="10">
        <v>82253</v>
      </c>
      <c r="O626" s="10">
        <f>Table1[[#This Row],[NET Amount]]-Table1[[#This Row],[Paid Amount]]</f>
        <v>0</v>
      </c>
      <c r="P626" s="2" t="s">
        <v>18</v>
      </c>
      <c r="Q626" s="2" t="s">
        <v>69</v>
      </c>
      <c r="R626" s="16">
        <f>(Table1[[#This Row],[NET Amount]]-Table1[[#This Row],[Total Outstanding Amount]])/Table1[[#This Row],[NET Amount]]</f>
        <v>1</v>
      </c>
      <c r="S626" s="2" t="s">
        <v>20</v>
      </c>
    </row>
    <row r="627" spans="1:19" x14ac:dyDescent="0.3">
      <c r="A627" s="4">
        <v>625</v>
      </c>
      <c r="B627" s="2" t="s">
        <v>25</v>
      </c>
      <c r="C627" s="3">
        <v>44840</v>
      </c>
      <c r="D627" s="3" t="str">
        <f>TEXT(Table1[[#This Row],[Admission Date]],"MMMM")</f>
        <v>October</v>
      </c>
      <c r="E627" s="3">
        <v>44842</v>
      </c>
      <c r="F627" s="3">
        <v>44842</v>
      </c>
      <c r="G627" s="2">
        <v>22026101</v>
      </c>
      <c r="H627" s="2">
        <v>2234960</v>
      </c>
      <c r="I627" s="2">
        <v>10013532599</v>
      </c>
      <c r="J627" s="2" t="s">
        <v>595</v>
      </c>
      <c r="K627" s="10">
        <v>37837</v>
      </c>
      <c r="L627" s="10">
        <v>5260</v>
      </c>
      <c r="M627" s="10">
        <v>32577</v>
      </c>
      <c r="N627" s="10">
        <v>32577</v>
      </c>
      <c r="O627" s="10">
        <f>Table1[[#This Row],[NET Amount]]-Table1[[#This Row],[Paid Amount]]</f>
        <v>0</v>
      </c>
      <c r="P627" s="2" t="s">
        <v>18</v>
      </c>
      <c r="Q627" s="2" t="s">
        <v>30</v>
      </c>
      <c r="R627" s="16">
        <f>(Table1[[#This Row],[NET Amount]]-Table1[[#This Row],[Total Outstanding Amount]])/Table1[[#This Row],[NET Amount]]</f>
        <v>1</v>
      </c>
      <c r="S627" s="2" t="s">
        <v>27</v>
      </c>
    </row>
    <row r="628" spans="1:19" x14ac:dyDescent="0.3">
      <c r="A628" s="4">
        <v>626</v>
      </c>
      <c r="B628" s="2" t="s">
        <v>126</v>
      </c>
      <c r="C628" s="3">
        <v>44835</v>
      </c>
      <c r="D628" s="3" t="str">
        <f>TEXT(Table1[[#This Row],[Admission Date]],"MMMM")</f>
        <v>October</v>
      </c>
      <c r="E628" s="3">
        <v>44843</v>
      </c>
      <c r="F628" s="3">
        <v>44843</v>
      </c>
      <c r="G628" s="2">
        <v>22026250</v>
      </c>
      <c r="H628" s="2">
        <v>2234139</v>
      </c>
      <c r="I628" s="2">
        <v>10013541061</v>
      </c>
      <c r="J628" s="2" t="s">
        <v>524</v>
      </c>
      <c r="K628" s="10">
        <v>734506</v>
      </c>
      <c r="L628" s="10">
        <v>59157</v>
      </c>
      <c r="M628" s="10">
        <v>675349</v>
      </c>
      <c r="N628" s="10">
        <v>41415</v>
      </c>
      <c r="O628" s="10">
        <f>Table1[[#This Row],[NET Amount]]-Table1[[#This Row],[Paid Amount]]</f>
        <v>633934</v>
      </c>
      <c r="P628" s="2" t="s">
        <v>23</v>
      </c>
      <c r="Q628" s="2" t="s">
        <v>19</v>
      </c>
      <c r="R628" s="16">
        <f>(Table1[[#This Row],[NET Amount]]-Table1[[#This Row],[Total Outstanding Amount]])/Table1[[#This Row],[NET Amount]]</f>
        <v>6.1323848854444148E-2</v>
      </c>
      <c r="S628" s="2" t="s">
        <v>20</v>
      </c>
    </row>
    <row r="629" spans="1:19" x14ac:dyDescent="0.3">
      <c r="A629" s="4">
        <v>627</v>
      </c>
      <c r="B629" s="2" t="s">
        <v>25</v>
      </c>
      <c r="C629" s="3">
        <v>44844</v>
      </c>
      <c r="D629" s="3" t="str">
        <f>TEXT(Table1[[#This Row],[Admission Date]],"MMMM")</f>
        <v>October</v>
      </c>
      <c r="E629" s="3">
        <v>44844</v>
      </c>
      <c r="F629" s="3">
        <v>44844</v>
      </c>
      <c r="G629" s="2">
        <v>22026470</v>
      </c>
      <c r="H629" s="2">
        <v>2235431</v>
      </c>
      <c r="I629" s="2">
        <v>10013440543</v>
      </c>
      <c r="J629" s="2" t="s">
        <v>96</v>
      </c>
      <c r="K629" s="10">
        <v>2794</v>
      </c>
      <c r="L629" s="10">
        <v>2794</v>
      </c>
      <c r="M629" s="10">
        <v>0</v>
      </c>
      <c r="N629" s="10">
        <v>0</v>
      </c>
      <c r="O629" s="10">
        <f>Table1[[#This Row],[NET Amount]]-Table1[[#This Row],[Paid Amount]]</f>
        <v>0</v>
      </c>
      <c r="P629" s="2" t="s">
        <v>18</v>
      </c>
      <c r="Q629" s="2" t="s">
        <v>90</v>
      </c>
      <c r="R629" s="16" t="e">
        <f>(Table1[[#This Row],[NET Amount]]-Table1[[#This Row],[Total Outstanding Amount]])/Table1[[#This Row],[NET Amount]]</f>
        <v>#DIV/0!</v>
      </c>
      <c r="S629" s="2" t="s">
        <v>97</v>
      </c>
    </row>
    <row r="630" spans="1:19" x14ac:dyDescent="0.3">
      <c r="A630" s="4">
        <v>628</v>
      </c>
      <c r="B630" s="2" t="s">
        <v>117</v>
      </c>
      <c r="C630" s="3">
        <v>44833</v>
      </c>
      <c r="D630" s="3" t="str">
        <f>TEXT(Table1[[#This Row],[Admission Date]],"MMMM")</f>
        <v>September</v>
      </c>
      <c r="E630" s="3">
        <v>44838</v>
      </c>
      <c r="F630" s="3">
        <v>44838</v>
      </c>
      <c r="G630" s="2">
        <v>22025551</v>
      </c>
      <c r="H630" s="2">
        <v>2233941</v>
      </c>
      <c r="I630" s="2">
        <v>10013538602</v>
      </c>
      <c r="J630" s="2" t="s">
        <v>596</v>
      </c>
      <c r="K630" s="10">
        <v>44423</v>
      </c>
      <c r="L630" s="10">
        <v>0</v>
      </c>
      <c r="M630" s="10">
        <v>44423</v>
      </c>
      <c r="N630" s="10">
        <v>44423</v>
      </c>
      <c r="O630" s="10">
        <f>Table1[[#This Row],[NET Amount]]-Table1[[#This Row],[Paid Amount]]</f>
        <v>0</v>
      </c>
      <c r="P630" s="2" t="s">
        <v>18</v>
      </c>
      <c r="Q630" s="2" t="s">
        <v>19</v>
      </c>
      <c r="R630" s="16">
        <f>(Table1[[#This Row],[NET Amount]]-Table1[[#This Row],[Total Outstanding Amount]])/Table1[[#This Row],[NET Amount]]</f>
        <v>1</v>
      </c>
      <c r="S630" s="2" t="s">
        <v>20</v>
      </c>
    </row>
    <row r="631" spans="1:19" x14ac:dyDescent="0.3">
      <c r="A631" s="4">
        <v>629</v>
      </c>
      <c r="B631" s="2" t="s">
        <v>45</v>
      </c>
      <c r="C631" s="3">
        <v>44849</v>
      </c>
      <c r="D631" s="3" t="str">
        <f>TEXT(Table1[[#This Row],[Admission Date]],"MMMM")</f>
        <v>October</v>
      </c>
      <c r="E631" s="3">
        <v>44853</v>
      </c>
      <c r="F631" s="3">
        <v>44853</v>
      </c>
      <c r="G631" s="2">
        <v>22027727</v>
      </c>
      <c r="H631" s="2">
        <v>2236119</v>
      </c>
      <c r="I631" s="2">
        <v>1000969689</v>
      </c>
      <c r="J631" s="2" t="s">
        <v>597</v>
      </c>
      <c r="K631" s="10">
        <v>76518</v>
      </c>
      <c r="L631" s="10">
        <v>10764</v>
      </c>
      <c r="M631" s="10">
        <v>65754</v>
      </c>
      <c r="N631" s="10">
        <v>3025</v>
      </c>
      <c r="O631" s="10">
        <f>Table1[[#This Row],[NET Amount]]-Table1[[#This Row],[Paid Amount]]</f>
        <v>62729</v>
      </c>
      <c r="P631" s="2" t="s">
        <v>23</v>
      </c>
      <c r="Q631" s="2" t="s">
        <v>42</v>
      </c>
      <c r="R631" s="16">
        <f>(Table1[[#This Row],[NET Amount]]-Table1[[#This Row],[Total Outstanding Amount]])/Table1[[#This Row],[NET Amount]]</f>
        <v>4.600480579128266E-2</v>
      </c>
      <c r="S631" s="2" t="s">
        <v>20</v>
      </c>
    </row>
    <row r="632" spans="1:19" x14ac:dyDescent="0.3">
      <c r="A632" s="4">
        <v>630</v>
      </c>
      <c r="B632" s="2" t="s">
        <v>282</v>
      </c>
      <c r="C632" s="3">
        <v>44833</v>
      </c>
      <c r="D632" s="3" t="str">
        <f>TEXT(Table1[[#This Row],[Admission Date]],"MMMM")</f>
        <v>September</v>
      </c>
      <c r="E632" s="3">
        <v>44835</v>
      </c>
      <c r="F632" s="3">
        <v>44835</v>
      </c>
      <c r="G632" s="2">
        <v>22025201</v>
      </c>
      <c r="H632" s="2">
        <v>2233945</v>
      </c>
      <c r="I632" s="2">
        <v>10013540496</v>
      </c>
      <c r="J632" s="2" t="s">
        <v>598</v>
      </c>
      <c r="K632" s="10">
        <v>20846</v>
      </c>
      <c r="L632" s="10">
        <v>20846</v>
      </c>
      <c r="M632" s="10">
        <v>0</v>
      </c>
      <c r="N632" s="10">
        <v>0</v>
      </c>
      <c r="O632" s="10">
        <f>Table1[[#This Row],[NET Amount]]-Table1[[#This Row],[Paid Amount]]</f>
        <v>0</v>
      </c>
      <c r="P632" s="2" t="s">
        <v>18</v>
      </c>
      <c r="Q632" s="2" t="s">
        <v>24</v>
      </c>
      <c r="R632" s="16" t="e">
        <f>(Table1[[#This Row],[NET Amount]]-Table1[[#This Row],[Total Outstanding Amount]])/Table1[[#This Row],[NET Amount]]</f>
        <v>#DIV/0!</v>
      </c>
      <c r="S632" s="2" t="s">
        <v>55</v>
      </c>
    </row>
    <row r="633" spans="1:19" x14ac:dyDescent="0.3">
      <c r="A633" s="4">
        <v>631</v>
      </c>
      <c r="B633" s="2" t="s">
        <v>2266</v>
      </c>
      <c r="C633" s="3">
        <v>44840</v>
      </c>
      <c r="D633" s="3" t="str">
        <f>TEXT(Table1[[#This Row],[Admission Date]],"MMMM")</f>
        <v>October</v>
      </c>
      <c r="E633" s="3">
        <v>44841</v>
      </c>
      <c r="F633" s="3">
        <v>44841</v>
      </c>
      <c r="G633" s="2">
        <v>22025957</v>
      </c>
      <c r="H633" s="2">
        <v>2234811</v>
      </c>
      <c r="I633" s="2">
        <v>1001802640</v>
      </c>
      <c r="J633" s="2" t="s">
        <v>599</v>
      </c>
      <c r="K633" s="10">
        <v>41861</v>
      </c>
      <c r="L633" s="10">
        <v>7188</v>
      </c>
      <c r="M633" s="10">
        <v>34673</v>
      </c>
      <c r="N633" s="10">
        <v>8350</v>
      </c>
      <c r="O633" s="10">
        <f>Table1[[#This Row],[NET Amount]]-Table1[[#This Row],[Paid Amount]]</f>
        <v>26323</v>
      </c>
      <c r="P633" s="2" t="s">
        <v>23</v>
      </c>
      <c r="Q633" s="2" t="s">
        <v>24</v>
      </c>
      <c r="R633" s="16">
        <f>(Table1[[#This Row],[NET Amount]]-Table1[[#This Row],[Total Outstanding Amount]])/Table1[[#This Row],[NET Amount]]</f>
        <v>0.24082138840019612</v>
      </c>
      <c r="S633" s="2" t="s">
        <v>20</v>
      </c>
    </row>
    <row r="634" spans="1:19" x14ac:dyDescent="0.3">
      <c r="A634" s="4">
        <v>632</v>
      </c>
      <c r="B634" s="2" t="s">
        <v>545</v>
      </c>
      <c r="C634" s="3">
        <v>44844</v>
      </c>
      <c r="D634" s="3" t="str">
        <f>TEXT(Table1[[#This Row],[Admission Date]],"MMMM")</f>
        <v>October</v>
      </c>
      <c r="E634" s="3">
        <v>44849</v>
      </c>
      <c r="F634" s="3">
        <v>44849</v>
      </c>
      <c r="G634" s="2">
        <v>22027140</v>
      </c>
      <c r="H634" s="2">
        <v>2235470</v>
      </c>
      <c r="I634" s="2">
        <v>10013542475</v>
      </c>
      <c r="J634" s="2" t="s">
        <v>600</v>
      </c>
      <c r="K634" s="10">
        <v>67116</v>
      </c>
      <c r="L634" s="10">
        <v>5906</v>
      </c>
      <c r="M634" s="10">
        <v>61210</v>
      </c>
      <c r="N634" s="10">
        <v>2944</v>
      </c>
      <c r="O634" s="10">
        <f>Table1[[#This Row],[NET Amount]]-Table1[[#This Row],[Paid Amount]]</f>
        <v>58266</v>
      </c>
      <c r="P634" s="2" t="s">
        <v>23</v>
      </c>
      <c r="Q634" s="2" t="s">
        <v>30</v>
      </c>
      <c r="R634" s="16">
        <f>(Table1[[#This Row],[NET Amount]]-Table1[[#This Row],[Total Outstanding Amount]])/Table1[[#This Row],[NET Amount]]</f>
        <v>4.8096716222839404E-2</v>
      </c>
      <c r="S634" s="2" t="s">
        <v>37</v>
      </c>
    </row>
    <row r="635" spans="1:19" x14ac:dyDescent="0.3">
      <c r="A635" s="4">
        <v>633</v>
      </c>
      <c r="B635" s="2" t="s">
        <v>25</v>
      </c>
      <c r="C635" s="3">
        <v>44845</v>
      </c>
      <c r="D635" s="3" t="str">
        <f>TEXT(Table1[[#This Row],[Admission Date]],"MMMM")</f>
        <v>October</v>
      </c>
      <c r="E635" s="3">
        <v>44845</v>
      </c>
      <c r="F635" s="3">
        <v>44845</v>
      </c>
      <c r="G635" s="2">
        <v>22026501</v>
      </c>
      <c r="H635" s="2">
        <v>2235478</v>
      </c>
      <c r="I635" s="2">
        <v>10013542486</v>
      </c>
      <c r="J635" s="2" t="s">
        <v>601</v>
      </c>
      <c r="K635" s="10">
        <v>42516</v>
      </c>
      <c r="L635" s="10">
        <v>8359</v>
      </c>
      <c r="M635" s="10">
        <v>34157</v>
      </c>
      <c r="N635" s="10">
        <v>34157</v>
      </c>
      <c r="O635" s="10">
        <f>Table1[[#This Row],[NET Amount]]-Table1[[#This Row],[Paid Amount]]</f>
        <v>0</v>
      </c>
      <c r="P635" s="2" t="s">
        <v>18</v>
      </c>
      <c r="Q635" s="2" t="s">
        <v>24</v>
      </c>
      <c r="R635" s="16">
        <f>(Table1[[#This Row],[NET Amount]]-Table1[[#This Row],[Total Outstanding Amount]])/Table1[[#This Row],[NET Amount]]</f>
        <v>1</v>
      </c>
      <c r="S635" s="2" t="s">
        <v>39</v>
      </c>
    </row>
    <row r="636" spans="1:19" x14ac:dyDescent="0.3">
      <c r="A636" s="4">
        <v>634</v>
      </c>
      <c r="B636" s="2" t="s">
        <v>168</v>
      </c>
      <c r="C636" s="3">
        <v>44837</v>
      </c>
      <c r="D636" s="3" t="str">
        <f>TEXT(Table1[[#This Row],[Admission Date]],"MMMM")</f>
        <v>October</v>
      </c>
      <c r="E636" s="3">
        <v>44841</v>
      </c>
      <c r="F636" s="3">
        <v>44841</v>
      </c>
      <c r="G636" s="2">
        <v>22025995</v>
      </c>
      <c r="H636" s="2">
        <v>2234469</v>
      </c>
      <c r="I636" s="2">
        <v>1000837081</v>
      </c>
      <c r="J636" s="2" t="s">
        <v>602</v>
      </c>
      <c r="K636" s="10">
        <v>249947</v>
      </c>
      <c r="L636" s="10">
        <v>28755</v>
      </c>
      <c r="M636" s="10">
        <v>221192</v>
      </c>
      <c r="N636" s="10">
        <v>34500</v>
      </c>
      <c r="O636" s="10">
        <f>Table1[[#This Row],[NET Amount]]-Table1[[#This Row],[Paid Amount]]</f>
        <v>186692</v>
      </c>
      <c r="P636" s="2" t="s">
        <v>23</v>
      </c>
      <c r="Q636" s="2" t="s">
        <v>42</v>
      </c>
      <c r="R636" s="16">
        <f>(Table1[[#This Row],[NET Amount]]-Table1[[#This Row],[Total Outstanding Amount]])/Table1[[#This Row],[NET Amount]]</f>
        <v>0.15597309125103981</v>
      </c>
      <c r="S636" s="2" t="s">
        <v>20</v>
      </c>
    </row>
    <row r="637" spans="1:19" x14ac:dyDescent="0.3">
      <c r="A637" s="4">
        <v>635</v>
      </c>
      <c r="B637" s="2" t="s">
        <v>25</v>
      </c>
      <c r="C637" s="3">
        <v>44852</v>
      </c>
      <c r="D637" s="3" t="str">
        <f>TEXT(Table1[[#This Row],[Admission Date]],"MMMM")</f>
        <v>October</v>
      </c>
      <c r="E637" s="3">
        <v>44854</v>
      </c>
      <c r="F637" s="3">
        <v>44854</v>
      </c>
      <c r="G637" s="2">
        <v>22027856</v>
      </c>
      <c r="H637" s="2">
        <v>2236444</v>
      </c>
      <c r="I637" s="2">
        <v>10013543510</v>
      </c>
      <c r="J637" s="2" t="s">
        <v>603</v>
      </c>
      <c r="K637" s="10">
        <v>77891</v>
      </c>
      <c r="L637" s="10">
        <v>16952</v>
      </c>
      <c r="M637" s="10">
        <v>60939</v>
      </c>
      <c r="N637" s="10">
        <v>60939</v>
      </c>
      <c r="O637" s="10">
        <f>Table1[[#This Row],[NET Amount]]-Table1[[#This Row],[Paid Amount]]</f>
        <v>0</v>
      </c>
      <c r="P637" s="2" t="s">
        <v>18</v>
      </c>
      <c r="Q637" s="2" t="s">
        <v>88</v>
      </c>
      <c r="R637" s="16">
        <f>(Table1[[#This Row],[NET Amount]]-Table1[[#This Row],[Total Outstanding Amount]])/Table1[[#This Row],[NET Amount]]</f>
        <v>1</v>
      </c>
      <c r="S637" s="2" t="s">
        <v>20</v>
      </c>
    </row>
    <row r="638" spans="1:19" x14ac:dyDescent="0.3">
      <c r="A638" s="4">
        <v>636</v>
      </c>
      <c r="B638" s="2" t="s">
        <v>25</v>
      </c>
      <c r="C638" s="3">
        <v>44838</v>
      </c>
      <c r="D638" s="3" t="str">
        <f>TEXT(Table1[[#This Row],[Admission Date]],"MMMM")</f>
        <v>October</v>
      </c>
      <c r="E638" s="3">
        <v>44846</v>
      </c>
      <c r="F638" s="3">
        <v>44846</v>
      </c>
      <c r="G638" s="2">
        <v>22026697</v>
      </c>
      <c r="H638" s="2">
        <v>2234624</v>
      </c>
      <c r="I638" s="2">
        <v>10013536754</v>
      </c>
      <c r="J638" s="2" t="s">
        <v>323</v>
      </c>
      <c r="K638" s="10">
        <v>127864</v>
      </c>
      <c r="L638" s="10">
        <v>127864</v>
      </c>
      <c r="M638" s="10">
        <v>0</v>
      </c>
      <c r="N638" s="10">
        <v>0</v>
      </c>
      <c r="O638" s="10">
        <f>Table1[[#This Row],[NET Amount]]-Table1[[#This Row],[Paid Amount]]</f>
        <v>0</v>
      </c>
      <c r="P638" s="2" t="s">
        <v>18</v>
      </c>
      <c r="Q638" s="2" t="s">
        <v>90</v>
      </c>
      <c r="R638" s="16" t="e">
        <f>(Table1[[#This Row],[NET Amount]]-Table1[[#This Row],[Total Outstanding Amount]])/Table1[[#This Row],[NET Amount]]</f>
        <v>#DIV/0!</v>
      </c>
      <c r="S638" s="2" t="s">
        <v>20</v>
      </c>
    </row>
    <row r="639" spans="1:19" x14ac:dyDescent="0.3">
      <c r="A639" s="4">
        <v>637</v>
      </c>
      <c r="B639" s="2" t="s">
        <v>155</v>
      </c>
      <c r="C639" s="3">
        <v>44847</v>
      </c>
      <c r="D639" s="3" t="str">
        <f>TEXT(Table1[[#This Row],[Admission Date]],"MMMM")</f>
        <v>October</v>
      </c>
      <c r="E639" s="3">
        <v>44847</v>
      </c>
      <c r="F639" s="3">
        <v>44847</v>
      </c>
      <c r="G639" s="2">
        <v>22026820</v>
      </c>
      <c r="H639" s="2">
        <v>2235799</v>
      </c>
      <c r="I639" s="2">
        <v>10013521425</v>
      </c>
      <c r="J639" s="2" t="s">
        <v>156</v>
      </c>
      <c r="K639" s="10">
        <v>1610</v>
      </c>
      <c r="L639" s="10">
        <v>0</v>
      </c>
      <c r="M639" s="10">
        <v>1610</v>
      </c>
      <c r="N639" s="10">
        <v>1610</v>
      </c>
      <c r="O639" s="10">
        <f>Table1[[#This Row],[NET Amount]]-Table1[[#This Row],[Paid Amount]]</f>
        <v>0</v>
      </c>
      <c r="P639" s="2" t="s">
        <v>18</v>
      </c>
      <c r="Q639" s="2" t="s">
        <v>54</v>
      </c>
      <c r="R639" s="16">
        <f>(Table1[[#This Row],[NET Amount]]-Table1[[#This Row],[Total Outstanding Amount]])/Table1[[#This Row],[NET Amount]]</f>
        <v>1</v>
      </c>
      <c r="S639" s="2" t="s">
        <v>97</v>
      </c>
    </row>
    <row r="640" spans="1:19" x14ac:dyDescent="0.3">
      <c r="A640" s="4">
        <v>638</v>
      </c>
      <c r="B640" s="2" t="s">
        <v>2247</v>
      </c>
      <c r="C640" s="3">
        <v>44846</v>
      </c>
      <c r="D640" s="3" t="str">
        <f>TEXT(Table1[[#This Row],[Admission Date]],"MMMM")</f>
        <v>October</v>
      </c>
      <c r="E640" s="3">
        <v>44848</v>
      </c>
      <c r="F640" s="3">
        <v>44848</v>
      </c>
      <c r="G640" s="2">
        <v>22026999</v>
      </c>
      <c r="H640" s="2">
        <v>2235683</v>
      </c>
      <c r="I640" s="2">
        <v>1001803769</v>
      </c>
      <c r="J640" s="2" t="s">
        <v>604</v>
      </c>
      <c r="K640" s="10">
        <v>15364</v>
      </c>
      <c r="L640" s="10">
        <v>0</v>
      </c>
      <c r="M640" s="10">
        <v>15364</v>
      </c>
      <c r="N640" s="10">
        <v>15364</v>
      </c>
      <c r="O640" s="10">
        <f>Table1[[#This Row],[NET Amount]]-Table1[[#This Row],[Paid Amount]]</f>
        <v>0</v>
      </c>
      <c r="P640" s="2" t="s">
        <v>18</v>
      </c>
      <c r="Q640" s="2" t="s">
        <v>52</v>
      </c>
      <c r="R640" s="16">
        <f>(Table1[[#This Row],[NET Amount]]-Table1[[#This Row],[Total Outstanding Amount]])/Table1[[#This Row],[NET Amount]]</f>
        <v>1</v>
      </c>
      <c r="S640" s="2" t="s">
        <v>37</v>
      </c>
    </row>
    <row r="641" spans="1:19" x14ac:dyDescent="0.3">
      <c r="A641" s="4">
        <v>639</v>
      </c>
      <c r="B641" s="2" t="s">
        <v>25</v>
      </c>
      <c r="C641" s="3">
        <v>44841</v>
      </c>
      <c r="D641" s="3" t="str">
        <f>TEXT(Table1[[#This Row],[Admission Date]],"MMMM")</f>
        <v>October</v>
      </c>
      <c r="E641" s="3">
        <v>44856</v>
      </c>
      <c r="F641" s="3">
        <v>44856</v>
      </c>
      <c r="G641" s="2">
        <v>22028257</v>
      </c>
      <c r="H641" s="2">
        <v>2234970</v>
      </c>
      <c r="I641" s="2">
        <v>1001222446</v>
      </c>
      <c r="J641" s="2" t="s">
        <v>605</v>
      </c>
      <c r="K641" s="10">
        <v>789844</v>
      </c>
      <c r="L641" s="10">
        <v>426359</v>
      </c>
      <c r="M641" s="10">
        <v>363485</v>
      </c>
      <c r="N641" s="10">
        <v>199000</v>
      </c>
      <c r="O641" s="10">
        <f>Table1[[#This Row],[NET Amount]]-Table1[[#This Row],[Paid Amount]]</f>
        <v>164485</v>
      </c>
      <c r="P641" s="2" t="s">
        <v>23</v>
      </c>
      <c r="Q641" s="2" t="s">
        <v>69</v>
      </c>
      <c r="R641" s="16">
        <f>(Table1[[#This Row],[NET Amount]]-Table1[[#This Row],[Total Outstanding Amount]])/Table1[[#This Row],[NET Amount]]</f>
        <v>0.5474778876707429</v>
      </c>
      <c r="S641" s="2" t="s">
        <v>280</v>
      </c>
    </row>
    <row r="642" spans="1:19" x14ac:dyDescent="0.3">
      <c r="A642" s="4">
        <v>640</v>
      </c>
      <c r="B642" s="2" t="s">
        <v>126</v>
      </c>
      <c r="C642" s="3">
        <v>44845</v>
      </c>
      <c r="D642" s="3" t="str">
        <f>TEXT(Table1[[#This Row],[Admission Date]],"MMMM")</f>
        <v>October</v>
      </c>
      <c r="E642" s="3">
        <v>44853</v>
      </c>
      <c r="F642" s="3">
        <v>44853</v>
      </c>
      <c r="G642" s="2">
        <v>22027725</v>
      </c>
      <c r="H642" s="2">
        <v>2235548</v>
      </c>
      <c r="I642" s="2">
        <v>10013542531</v>
      </c>
      <c r="J642" s="2" t="s">
        <v>49</v>
      </c>
      <c r="K642" s="10">
        <v>147810</v>
      </c>
      <c r="L642" s="10">
        <v>21015</v>
      </c>
      <c r="M642" s="10">
        <v>126795</v>
      </c>
      <c r="N642" s="10">
        <v>9986</v>
      </c>
      <c r="O642" s="10">
        <f>Table1[[#This Row],[NET Amount]]-Table1[[#This Row],[Paid Amount]]</f>
        <v>116809</v>
      </c>
      <c r="P642" s="2" t="s">
        <v>23</v>
      </c>
      <c r="Q642" s="2" t="s">
        <v>30</v>
      </c>
      <c r="R642" s="16">
        <f>(Table1[[#This Row],[NET Amount]]-Table1[[#This Row],[Total Outstanding Amount]])/Table1[[#This Row],[NET Amount]]</f>
        <v>7.8757048779526009E-2</v>
      </c>
      <c r="S642" s="2" t="s">
        <v>27</v>
      </c>
    </row>
    <row r="643" spans="1:19" x14ac:dyDescent="0.3">
      <c r="A643" s="4">
        <v>641</v>
      </c>
      <c r="B643" s="2" t="s">
        <v>2254</v>
      </c>
      <c r="C643" s="3">
        <v>44854</v>
      </c>
      <c r="D643" s="3" t="str">
        <f>TEXT(Table1[[#This Row],[Admission Date]],"MMMM")</f>
        <v>October</v>
      </c>
      <c r="E643" s="3">
        <v>44855</v>
      </c>
      <c r="F643" s="3">
        <v>44855</v>
      </c>
      <c r="G643" s="2">
        <v>22027993</v>
      </c>
      <c r="H643" s="2">
        <v>2236716</v>
      </c>
      <c r="I643" s="2">
        <v>1001805344</v>
      </c>
      <c r="J643" s="2" t="s">
        <v>606</v>
      </c>
      <c r="K643" s="10">
        <v>35963</v>
      </c>
      <c r="L643" s="10">
        <v>0</v>
      </c>
      <c r="M643" s="10">
        <v>35963</v>
      </c>
      <c r="N643" s="10">
        <v>35963</v>
      </c>
      <c r="O643" s="10">
        <f>Table1[[#This Row],[NET Amount]]-Table1[[#This Row],[Paid Amount]]</f>
        <v>0</v>
      </c>
      <c r="P643" s="2" t="s">
        <v>18</v>
      </c>
      <c r="Q643" s="2" t="s">
        <v>24</v>
      </c>
      <c r="R643" s="16">
        <f>(Table1[[#This Row],[NET Amount]]-Table1[[#This Row],[Total Outstanding Amount]])/Table1[[#This Row],[NET Amount]]</f>
        <v>1</v>
      </c>
      <c r="S643" s="2" t="s">
        <v>27</v>
      </c>
    </row>
    <row r="644" spans="1:19" x14ac:dyDescent="0.3">
      <c r="A644" s="4">
        <v>642</v>
      </c>
      <c r="B644" s="2" t="s">
        <v>178</v>
      </c>
      <c r="C644" s="3">
        <v>44834</v>
      </c>
      <c r="D644" s="3" t="str">
        <f>TEXT(Table1[[#This Row],[Admission Date]],"MMMM")</f>
        <v>September</v>
      </c>
      <c r="E644" s="3">
        <v>44838</v>
      </c>
      <c r="F644" s="3">
        <v>44838</v>
      </c>
      <c r="G644" s="2">
        <v>22025516</v>
      </c>
      <c r="H644" s="2">
        <v>2234128</v>
      </c>
      <c r="I644" s="2">
        <v>1001801762</v>
      </c>
      <c r="J644" s="2" t="s">
        <v>607</v>
      </c>
      <c r="K644" s="10">
        <v>70881</v>
      </c>
      <c r="L644" s="10">
        <v>10049</v>
      </c>
      <c r="M644" s="10">
        <v>60832</v>
      </c>
      <c r="N644" s="10">
        <v>5921</v>
      </c>
      <c r="O644" s="10">
        <f>Table1[[#This Row],[NET Amount]]-Table1[[#This Row],[Paid Amount]]</f>
        <v>54911</v>
      </c>
      <c r="P644" s="2" t="s">
        <v>23</v>
      </c>
      <c r="Q644" s="2" t="s">
        <v>52</v>
      </c>
      <c r="R644" s="16">
        <f>(Table1[[#This Row],[NET Amount]]-Table1[[#This Row],[Total Outstanding Amount]])/Table1[[#This Row],[NET Amount]]</f>
        <v>9.7333640189374016E-2</v>
      </c>
      <c r="S644" s="2" t="s">
        <v>37</v>
      </c>
    </row>
    <row r="645" spans="1:19" x14ac:dyDescent="0.3">
      <c r="A645" s="4">
        <v>643</v>
      </c>
      <c r="B645" s="2" t="s">
        <v>75</v>
      </c>
      <c r="C645" s="3">
        <v>44847</v>
      </c>
      <c r="D645" s="3" t="str">
        <f>TEXT(Table1[[#This Row],[Admission Date]],"MMMM")</f>
        <v>October</v>
      </c>
      <c r="E645" s="3">
        <v>44854</v>
      </c>
      <c r="F645" s="3">
        <v>44854</v>
      </c>
      <c r="G645" s="2">
        <v>22027889</v>
      </c>
      <c r="H645" s="2">
        <v>2235788</v>
      </c>
      <c r="I645" s="2">
        <v>10013541425</v>
      </c>
      <c r="J645" s="2" t="s">
        <v>608</v>
      </c>
      <c r="K645" s="10">
        <v>64291</v>
      </c>
      <c r="L645" s="10">
        <v>0</v>
      </c>
      <c r="M645" s="10">
        <v>64291</v>
      </c>
      <c r="N645" s="10">
        <v>1092</v>
      </c>
      <c r="O645" s="10">
        <f>Table1[[#This Row],[NET Amount]]-Table1[[#This Row],[Paid Amount]]</f>
        <v>63199</v>
      </c>
      <c r="P645" s="2" t="s">
        <v>23</v>
      </c>
      <c r="Q645" s="2" t="s">
        <v>24</v>
      </c>
      <c r="R645" s="16">
        <f>(Table1[[#This Row],[NET Amount]]-Table1[[#This Row],[Total Outstanding Amount]])/Table1[[#This Row],[NET Amount]]</f>
        <v>1.6985270100013997E-2</v>
      </c>
      <c r="S645" s="2" t="s">
        <v>20</v>
      </c>
    </row>
    <row r="646" spans="1:19" x14ac:dyDescent="0.3">
      <c r="A646" s="4">
        <v>644</v>
      </c>
      <c r="B646" s="2" t="s">
        <v>168</v>
      </c>
      <c r="C646" s="3">
        <v>44849</v>
      </c>
      <c r="D646" s="3" t="str">
        <f>TEXT(Table1[[#This Row],[Admission Date]],"MMMM")</f>
        <v>October</v>
      </c>
      <c r="E646" s="3">
        <v>44849</v>
      </c>
      <c r="F646" s="3">
        <v>44849</v>
      </c>
      <c r="G646" s="2">
        <v>22027186</v>
      </c>
      <c r="H646" s="2">
        <v>2236101</v>
      </c>
      <c r="I646" s="2">
        <v>10013529905</v>
      </c>
      <c r="J646" s="2" t="s">
        <v>609</v>
      </c>
      <c r="K646" s="10">
        <v>0</v>
      </c>
      <c r="L646" s="10">
        <v>0</v>
      </c>
      <c r="M646" s="10">
        <v>0</v>
      </c>
      <c r="N646" s="10">
        <v>0</v>
      </c>
      <c r="O646" s="10">
        <f>Table1[[#This Row],[NET Amount]]-Table1[[#This Row],[Paid Amount]]</f>
        <v>0</v>
      </c>
      <c r="P646" s="2" t="s">
        <v>18</v>
      </c>
      <c r="Q646" s="2" t="s">
        <v>147</v>
      </c>
      <c r="R646" s="16" t="e">
        <f>(Table1[[#This Row],[NET Amount]]-Table1[[#This Row],[Total Outstanding Amount]])/Table1[[#This Row],[NET Amount]]</f>
        <v>#DIV/0!</v>
      </c>
      <c r="S646" s="2" t="s">
        <v>55</v>
      </c>
    </row>
    <row r="647" spans="1:19" x14ac:dyDescent="0.3">
      <c r="A647" s="4">
        <v>645</v>
      </c>
      <c r="B647" s="2" t="s">
        <v>45</v>
      </c>
      <c r="C647" s="3">
        <v>44860</v>
      </c>
      <c r="D647" s="3" t="str">
        <f>TEXT(Table1[[#This Row],[Admission Date]],"MMMM")</f>
        <v>October</v>
      </c>
      <c r="E647" s="3">
        <v>44860</v>
      </c>
      <c r="F647" s="3">
        <v>44860</v>
      </c>
      <c r="G647" s="2">
        <v>22028597</v>
      </c>
      <c r="H647" s="2">
        <v>2237457</v>
      </c>
      <c r="I647" s="2">
        <v>10013464572</v>
      </c>
      <c r="J647" s="2" t="s">
        <v>278</v>
      </c>
      <c r="K647" s="10">
        <v>4840</v>
      </c>
      <c r="L647" s="10">
        <v>1070</v>
      </c>
      <c r="M647" s="10">
        <v>3770</v>
      </c>
      <c r="N647" s="10">
        <v>1570</v>
      </c>
      <c r="O647" s="10">
        <f>Table1[[#This Row],[NET Amount]]-Table1[[#This Row],[Paid Amount]]</f>
        <v>2200</v>
      </c>
      <c r="P647" s="2" t="s">
        <v>23</v>
      </c>
      <c r="Q647" s="2" t="s">
        <v>147</v>
      </c>
      <c r="R647" s="16">
        <f>(Table1[[#This Row],[NET Amount]]-Table1[[#This Row],[Total Outstanding Amount]])/Table1[[#This Row],[NET Amount]]</f>
        <v>0.41644562334217505</v>
      </c>
      <c r="S647" s="2" t="s">
        <v>97</v>
      </c>
    </row>
    <row r="648" spans="1:19" x14ac:dyDescent="0.3">
      <c r="A648" s="4">
        <v>646</v>
      </c>
      <c r="B648" s="2" t="s">
        <v>282</v>
      </c>
      <c r="C648" s="3">
        <v>44860</v>
      </c>
      <c r="D648" s="3" t="str">
        <f>TEXT(Table1[[#This Row],[Admission Date]],"MMMM")</f>
        <v>October</v>
      </c>
      <c r="E648" s="3">
        <v>44860</v>
      </c>
      <c r="F648" s="3">
        <v>44860</v>
      </c>
      <c r="G648" s="2">
        <v>22028667</v>
      </c>
      <c r="H648" s="2">
        <v>2237451</v>
      </c>
      <c r="I648" s="2">
        <v>10013270939</v>
      </c>
      <c r="J648" s="2" t="s">
        <v>610</v>
      </c>
      <c r="K648" s="10">
        <v>9326</v>
      </c>
      <c r="L648" s="10">
        <v>9326</v>
      </c>
      <c r="M648" s="10">
        <v>0</v>
      </c>
      <c r="N648" s="10">
        <v>0</v>
      </c>
      <c r="O648" s="10">
        <f>Table1[[#This Row],[NET Amount]]-Table1[[#This Row],[Paid Amount]]</f>
        <v>0</v>
      </c>
      <c r="P648" s="2" t="s">
        <v>18</v>
      </c>
      <c r="Q648" s="2" t="s">
        <v>54</v>
      </c>
      <c r="R648" s="16" t="e">
        <f>(Table1[[#This Row],[NET Amount]]-Table1[[#This Row],[Total Outstanding Amount]])/Table1[[#This Row],[NET Amount]]</f>
        <v>#DIV/0!</v>
      </c>
      <c r="S648" s="2" t="s">
        <v>55</v>
      </c>
    </row>
    <row r="649" spans="1:19" x14ac:dyDescent="0.3">
      <c r="A649" s="4">
        <v>647</v>
      </c>
      <c r="B649" s="2" t="s">
        <v>25</v>
      </c>
      <c r="C649" s="3">
        <v>44831</v>
      </c>
      <c r="D649" s="3" t="str">
        <f>TEXT(Table1[[#This Row],[Admission Date]],"MMMM")</f>
        <v>September</v>
      </c>
      <c r="E649" s="3">
        <v>44840</v>
      </c>
      <c r="F649" s="3">
        <v>44840</v>
      </c>
      <c r="G649" s="2">
        <v>22025910</v>
      </c>
      <c r="H649" s="2">
        <v>2233656</v>
      </c>
      <c r="I649" s="2">
        <v>10013540527</v>
      </c>
      <c r="J649" s="2" t="s">
        <v>611</v>
      </c>
      <c r="K649" s="10">
        <v>271271</v>
      </c>
      <c r="L649" s="10">
        <v>73771</v>
      </c>
      <c r="M649" s="10">
        <v>197500</v>
      </c>
      <c r="N649" s="10">
        <v>197500</v>
      </c>
      <c r="O649" s="10">
        <f>Table1[[#This Row],[NET Amount]]-Table1[[#This Row],[Paid Amount]]</f>
        <v>0</v>
      </c>
      <c r="P649" s="2" t="s">
        <v>18</v>
      </c>
      <c r="Q649" s="2" t="s">
        <v>69</v>
      </c>
      <c r="R649" s="16">
        <f>(Table1[[#This Row],[NET Amount]]-Table1[[#This Row],[Total Outstanding Amount]])/Table1[[#This Row],[NET Amount]]</f>
        <v>1</v>
      </c>
      <c r="S649" s="2" t="s">
        <v>65</v>
      </c>
    </row>
    <row r="650" spans="1:19" x14ac:dyDescent="0.3">
      <c r="A650" s="4">
        <v>648</v>
      </c>
      <c r="B650" s="2" t="s">
        <v>25</v>
      </c>
      <c r="C650" s="3">
        <v>44848</v>
      </c>
      <c r="D650" s="3" t="str">
        <f>TEXT(Table1[[#This Row],[Admission Date]],"MMMM")</f>
        <v>October</v>
      </c>
      <c r="E650" s="3">
        <v>44852</v>
      </c>
      <c r="F650" s="3">
        <v>44852</v>
      </c>
      <c r="G650" s="2">
        <v>22027522</v>
      </c>
      <c r="H650" s="2">
        <v>2236055</v>
      </c>
      <c r="I650" s="2">
        <v>1001803728</v>
      </c>
      <c r="J650" s="2" t="s">
        <v>612</v>
      </c>
      <c r="K650" s="10">
        <v>88377</v>
      </c>
      <c r="L650" s="10">
        <v>10297</v>
      </c>
      <c r="M650" s="10">
        <v>78080</v>
      </c>
      <c r="N650" s="10">
        <v>78080</v>
      </c>
      <c r="O650" s="10">
        <f>Table1[[#This Row],[NET Amount]]-Table1[[#This Row],[Paid Amount]]</f>
        <v>0</v>
      </c>
      <c r="P650" s="2" t="s">
        <v>18</v>
      </c>
      <c r="Q650" s="2" t="s">
        <v>24</v>
      </c>
      <c r="R650" s="16">
        <f>(Table1[[#This Row],[NET Amount]]-Table1[[#This Row],[Total Outstanding Amount]])/Table1[[#This Row],[NET Amount]]</f>
        <v>1</v>
      </c>
      <c r="S650" s="2" t="s">
        <v>27</v>
      </c>
    </row>
    <row r="651" spans="1:19" x14ac:dyDescent="0.3">
      <c r="A651" s="4">
        <v>649</v>
      </c>
      <c r="B651" s="2" t="s">
        <v>40</v>
      </c>
      <c r="C651" s="3">
        <v>44848</v>
      </c>
      <c r="D651" s="3" t="str">
        <f>TEXT(Table1[[#This Row],[Admission Date]],"MMMM")</f>
        <v>October</v>
      </c>
      <c r="E651" s="3">
        <v>44851</v>
      </c>
      <c r="F651" s="3">
        <v>44851</v>
      </c>
      <c r="G651" s="2">
        <v>22027404</v>
      </c>
      <c r="H651" s="2">
        <v>2236048</v>
      </c>
      <c r="I651" s="2">
        <v>10013543071</v>
      </c>
      <c r="J651" s="2" t="s">
        <v>613</v>
      </c>
      <c r="K651" s="10">
        <v>64077</v>
      </c>
      <c r="L651" s="10">
        <v>8974</v>
      </c>
      <c r="M651" s="10">
        <v>55103</v>
      </c>
      <c r="N651" s="10">
        <v>21299</v>
      </c>
      <c r="O651" s="10">
        <f>Table1[[#This Row],[NET Amount]]-Table1[[#This Row],[Paid Amount]]</f>
        <v>33804</v>
      </c>
      <c r="P651" s="2" t="s">
        <v>23</v>
      </c>
      <c r="Q651" s="2" t="s">
        <v>396</v>
      </c>
      <c r="R651" s="16">
        <f>(Table1[[#This Row],[NET Amount]]-Table1[[#This Row],[Total Outstanding Amount]])/Table1[[#This Row],[NET Amount]]</f>
        <v>0.38653067891040416</v>
      </c>
      <c r="S651" s="2" t="s">
        <v>37</v>
      </c>
    </row>
    <row r="652" spans="1:19" x14ac:dyDescent="0.3">
      <c r="A652" s="4">
        <v>650</v>
      </c>
      <c r="B652" s="2" t="s">
        <v>25</v>
      </c>
      <c r="C652" s="3">
        <v>44851</v>
      </c>
      <c r="D652" s="3" t="str">
        <f>TEXT(Table1[[#This Row],[Admission Date]],"MMMM")</f>
        <v>October</v>
      </c>
      <c r="E652" s="3">
        <v>44851</v>
      </c>
      <c r="F652" s="3">
        <v>44851</v>
      </c>
      <c r="G652" s="2">
        <v>22027429</v>
      </c>
      <c r="H652" s="2">
        <v>2236320</v>
      </c>
      <c r="I652" s="2">
        <v>10013543303</v>
      </c>
      <c r="J652" s="2" t="s">
        <v>614</v>
      </c>
      <c r="K652" s="10">
        <v>14000</v>
      </c>
      <c r="L652" s="10">
        <v>780</v>
      </c>
      <c r="M652" s="10">
        <v>13220</v>
      </c>
      <c r="N652" s="10">
        <v>13220</v>
      </c>
      <c r="O652" s="10">
        <f>Table1[[#This Row],[NET Amount]]-Table1[[#This Row],[Paid Amount]]</f>
        <v>0</v>
      </c>
      <c r="P652" s="2" t="s">
        <v>18</v>
      </c>
      <c r="Q652" s="2" t="s">
        <v>54</v>
      </c>
      <c r="R652" s="16">
        <f>(Table1[[#This Row],[NET Amount]]-Table1[[#This Row],[Total Outstanding Amount]])/Table1[[#This Row],[NET Amount]]</f>
        <v>1</v>
      </c>
      <c r="S652" s="2" t="s">
        <v>39</v>
      </c>
    </row>
    <row r="653" spans="1:19" x14ac:dyDescent="0.3">
      <c r="A653" s="4">
        <v>651</v>
      </c>
      <c r="B653" s="2" t="s">
        <v>168</v>
      </c>
      <c r="C653" s="3">
        <v>44838</v>
      </c>
      <c r="D653" s="3" t="str">
        <f>TEXT(Table1[[#This Row],[Admission Date]],"MMMM")</f>
        <v>October</v>
      </c>
      <c r="E653" s="3">
        <v>44846</v>
      </c>
      <c r="F653" s="3">
        <v>44846</v>
      </c>
      <c r="G653" s="2">
        <v>22026682</v>
      </c>
      <c r="H653" s="2">
        <v>2234617</v>
      </c>
      <c r="I653" s="2">
        <v>10013481582</v>
      </c>
      <c r="J653" s="2" t="s">
        <v>615</v>
      </c>
      <c r="K653" s="10">
        <v>192848</v>
      </c>
      <c r="L653" s="10">
        <v>25218</v>
      </c>
      <c r="M653" s="10">
        <v>167630</v>
      </c>
      <c r="N653" s="10">
        <v>8672</v>
      </c>
      <c r="O653" s="10">
        <f>Table1[[#This Row],[NET Amount]]-Table1[[#This Row],[Paid Amount]]</f>
        <v>158958</v>
      </c>
      <c r="P653" s="2" t="s">
        <v>23</v>
      </c>
      <c r="Q653" s="2" t="s">
        <v>42</v>
      </c>
      <c r="R653" s="16">
        <f>(Table1[[#This Row],[NET Amount]]-Table1[[#This Row],[Total Outstanding Amount]])/Table1[[#This Row],[NET Amount]]</f>
        <v>5.1732983356201155E-2</v>
      </c>
      <c r="S653" s="2" t="s">
        <v>95</v>
      </c>
    </row>
    <row r="654" spans="1:19" x14ac:dyDescent="0.3">
      <c r="A654" s="4">
        <v>652</v>
      </c>
      <c r="B654" s="2" t="s">
        <v>45</v>
      </c>
      <c r="C654" s="3">
        <v>44848</v>
      </c>
      <c r="D654" s="3" t="str">
        <f>TEXT(Table1[[#This Row],[Admission Date]],"MMMM")</f>
        <v>October</v>
      </c>
      <c r="E654" s="3">
        <v>44851</v>
      </c>
      <c r="F654" s="3">
        <v>44851</v>
      </c>
      <c r="G654" s="2">
        <v>22027405</v>
      </c>
      <c r="H654" s="2">
        <v>2236059</v>
      </c>
      <c r="I654" s="2">
        <v>10013543080</v>
      </c>
      <c r="J654" s="2" t="s">
        <v>616</v>
      </c>
      <c r="K654" s="10">
        <v>88058</v>
      </c>
      <c r="L654" s="10">
        <v>11130</v>
      </c>
      <c r="M654" s="10">
        <v>76928</v>
      </c>
      <c r="N654" s="10">
        <v>34942</v>
      </c>
      <c r="O654" s="10">
        <f>Table1[[#This Row],[NET Amount]]-Table1[[#This Row],[Paid Amount]]</f>
        <v>41986</v>
      </c>
      <c r="P654" s="2" t="s">
        <v>23</v>
      </c>
      <c r="Q654" s="2" t="s">
        <v>47</v>
      </c>
      <c r="R654" s="16">
        <f>(Table1[[#This Row],[NET Amount]]-Table1[[#This Row],[Total Outstanding Amount]])/Table1[[#This Row],[NET Amount]]</f>
        <v>0.45421693011647257</v>
      </c>
      <c r="S654" s="2" t="s">
        <v>39</v>
      </c>
    </row>
    <row r="655" spans="1:19" x14ac:dyDescent="0.3">
      <c r="A655" s="4">
        <v>653</v>
      </c>
      <c r="B655" s="2" t="s">
        <v>40</v>
      </c>
      <c r="C655" s="3">
        <v>44849</v>
      </c>
      <c r="D655" s="3" t="str">
        <f>TEXT(Table1[[#This Row],[Admission Date]],"MMMM")</f>
        <v>October</v>
      </c>
      <c r="E655" s="3">
        <v>44851</v>
      </c>
      <c r="F655" s="3">
        <v>44851</v>
      </c>
      <c r="G655" s="2">
        <v>22027397</v>
      </c>
      <c r="H655" s="2">
        <v>2236158</v>
      </c>
      <c r="I655" s="2">
        <v>10013543184</v>
      </c>
      <c r="J655" s="2" t="s">
        <v>617</v>
      </c>
      <c r="K655" s="10">
        <v>84949</v>
      </c>
      <c r="L655" s="10">
        <v>11834</v>
      </c>
      <c r="M655" s="10">
        <v>73115</v>
      </c>
      <c r="N655" s="10">
        <v>2354</v>
      </c>
      <c r="O655" s="10">
        <f>Table1[[#This Row],[NET Amount]]-Table1[[#This Row],[Paid Amount]]</f>
        <v>70761</v>
      </c>
      <c r="P655" s="2" t="s">
        <v>23</v>
      </c>
      <c r="Q655" s="2" t="s">
        <v>42</v>
      </c>
      <c r="R655" s="16">
        <f>(Table1[[#This Row],[NET Amount]]-Table1[[#This Row],[Total Outstanding Amount]])/Table1[[#This Row],[NET Amount]]</f>
        <v>3.2195855843534162E-2</v>
      </c>
      <c r="S655" s="2" t="s">
        <v>55</v>
      </c>
    </row>
    <row r="656" spans="1:19" x14ac:dyDescent="0.3">
      <c r="A656" s="4">
        <v>654</v>
      </c>
      <c r="B656" s="2" t="s">
        <v>25</v>
      </c>
      <c r="C656" s="3">
        <v>44839</v>
      </c>
      <c r="D656" s="3" t="str">
        <f>TEXT(Table1[[#This Row],[Admission Date]],"MMMM")</f>
        <v>October</v>
      </c>
      <c r="E656" s="3">
        <v>44843</v>
      </c>
      <c r="F656" s="3">
        <v>44843</v>
      </c>
      <c r="G656" s="2">
        <v>22026294</v>
      </c>
      <c r="H656" s="2">
        <v>2234666</v>
      </c>
      <c r="I656" s="2">
        <v>1001802518</v>
      </c>
      <c r="J656" s="2" t="s">
        <v>618</v>
      </c>
      <c r="K656" s="10">
        <v>84422</v>
      </c>
      <c r="L656" s="10">
        <v>9972</v>
      </c>
      <c r="M656" s="10">
        <v>74450</v>
      </c>
      <c r="N656" s="10">
        <v>74450</v>
      </c>
      <c r="O656" s="10">
        <f>Table1[[#This Row],[NET Amount]]-Table1[[#This Row],[Paid Amount]]</f>
        <v>0</v>
      </c>
      <c r="P656" s="2" t="s">
        <v>18</v>
      </c>
      <c r="Q656" s="2" t="s">
        <v>19</v>
      </c>
      <c r="R656" s="16">
        <f>(Table1[[#This Row],[NET Amount]]-Table1[[#This Row],[Total Outstanding Amount]])/Table1[[#This Row],[NET Amount]]</f>
        <v>1</v>
      </c>
      <c r="S656" s="2" t="s">
        <v>37</v>
      </c>
    </row>
    <row r="657" spans="1:19" x14ac:dyDescent="0.3">
      <c r="A657" s="4">
        <v>655</v>
      </c>
      <c r="B657" s="2" t="s">
        <v>25</v>
      </c>
      <c r="C657" s="3">
        <v>44836</v>
      </c>
      <c r="D657" s="3" t="str">
        <f>TEXT(Table1[[#This Row],[Admission Date]],"MMMM")</f>
        <v>October</v>
      </c>
      <c r="E657" s="3">
        <v>44837</v>
      </c>
      <c r="F657" s="3">
        <v>44837</v>
      </c>
      <c r="G657" s="2">
        <v>22025469</v>
      </c>
      <c r="H657" s="2">
        <v>2234316</v>
      </c>
      <c r="I657" s="2">
        <v>1001802015</v>
      </c>
      <c r="J657" s="2" t="s">
        <v>619</v>
      </c>
      <c r="K657" s="10">
        <v>62149</v>
      </c>
      <c r="L657" s="10">
        <v>7962</v>
      </c>
      <c r="M657" s="10">
        <v>54187</v>
      </c>
      <c r="N657" s="10">
        <v>54187</v>
      </c>
      <c r="O657" s="10">
        <f>Table1[[#This Row],[NET Amount]]-Table1[[#This Row],[Paid Amount]]</f>
        <v>0</v>
      </c>
      <c r="P657" s="2" t="s">
        <v>18</v>
      </c>
      <c r="Q657" s="2" t="s">
        <v>24</v>
      </c>
      <c r="R657" s="16">
        <f>(Table1[[#This Row],[NET Amount]]-Table1[[#This Row],[Total Outstanding Amount]])/Table1[[#This Row],[NET Amount]]</f>
        <v>1</v>
      </c>
      <c r="S657" s="2" t="s">
        <v>27</v>
      </c>
    </row>
    <row r="658" spans="1:19" x14ac:dyDescent="0.3">
      <c r="A658" s="4">
        <v>656</v>
      </c>
      <c r="B658" s="2" t="s">
        <v>25</v>
      </c>
      <c r="C658" s="3">
        <v>44856</v>
      </c>
      <c r="D658" s="3" t="str">
        <f>TEXT(Table1[[#This Row],[Admission Date]],"MMMM")</f>
        <v>October</v>
      </c>
      <c r="E658" s="3">
        <v>44856</v>
      </c>
      <c r="F658" s="3">
        <v>44856</v>
      </c>
      <c r="G658" s="2">
        <v>22028136</v>
      </c>
      <c r="H658" s="2">
        <v>2236998</v>
      </c>
      <c r="I658" s="2">
        <v>1001561182</v>
      </c>
      <c r="J658" s="2" t="s">
        <v>222</v>
      </c>
      <c r="K658" s="10">
        <v>2680</v>
      </c>
      <c r="L658" s="10">
        <v>0</v>
      </c>
      <c r="M658" s="10">
        <v>2680</v>
      </c>
      <c r="N658" s="10">
        <v>2680</v>
      </c>
      <c r="O658" s="10">
        <f>Table1[[#This Row],[NET Amount]]-Table1[[#This Row],[Paid Amount]]</f>
        <v>0</v>
      </c>
      <c r="P658" s="2" t="s">
        <v>18</v>
      </c>
      <c r="Q658" s="2" t="s">
        <v>54</v>
      </c>
      <c r="R658" s="16">
        <f>(Table1[[#This Row],[NET Amount]]-Table1[[#This Row],[Total Outstanding Amount]])/Table1[[#This Row],[NET Amount]]</f>
        <v>1</v>
      </c>
      <c r="S658" s="2" t="s">
        <v>97</v>
      </c>
    </row>
    <row r="659" spans="1:19" x14ac:dyDescent="0.3">
      <c r="A659" s="4">
        <v>657</v>
      </c>
      <c r="B659" s="2" t="s">
        <v>25</v>
      </c>
      <c r="C659" s="3">
        <v>44861</v>
      </c>
      <c r="D659" s="3" t="str">
        <f>TEXT(Table1[[#This Row],[Admission Date]],"MMMM")</f>
        <v>October</v>
      </c>
      <c r="E659" s="3">
        <v>44863</v>
      </c>
      <c r="F659" s="3">
        <v>44863</v>
      </c>
      <c r="G659" s="2">
        <v>22029072</v>
      </c>
      <c r="H659" s="2">
        <v>2237714</v>
      </c>
      <c r="I659" s="2">
        <v>10013321602</v>
      </c>
      <c r="J659" s="2" t="s">
        <v>620</v>
      </c>
      <c r="K659" s="10">
        <v>97115</v>
      </c>
      <c r="L659" s="10">
        <v>19723</v>
      </c>
      <c r="M659" s="10">
        <v>77392</v>
      </c>
      <c r="N659" s="10">
        <v>77392</v>
      </c>
      <c r="O659" s="10">
        <f>Table1[[#This Row],[NET Amount]]-Table1[[#This Row],[Paid Amount]]</f>
        <v>0</v>
      </c>
      <c r="P659" s="2" t="s">
        <v>18</v>
      </c>
      <c r="Q659" s="2" t="s">
        <v>88</v>
      </c>
      <c r="R659" s="16">
        <f>(Table1[[#This Row],[NET Amount]]-Table1[[#This Row],[Total Outstanding Amount]])/Table1[[#This Row],[NET Amount]]</f>
        <v>1</v>
      </c>
      <c r="S659" s="2" t="s">
        <v>20</v>
      </c>
    </row>
    <row r="660" spans="1:19" x14ac:dyDescent="0.3">
      <c r="A660" s="4">
        <v>658</v>
      </c>
      <c r="B660" s="2" t="s">
        <v>21</v>
      </c>
      <c r="C660" s="3">
        <v>44847</v>
      </c>
      <c r="D660" s="3" t="str">
        <f>TEXT(Table1[[#This Row],[Admission Date]],"MMMM")</f>
        <v>October</v>
      </c>
      <c r="E660" s="3">
        <v>44847</v>
      </c>
      <c r="F660" s="3">
        <v>44847</v>
      </c>
      <c r="G660" s="2">
        <v>22026907</v>
      </c>
      <c r="H660" s="2">
        <v>2235825</v>
      </c>
      <c r="I660" s="2">
        <v>1001804092</v>
      </c>
      <c r="J660" s="2" t="s">
        <v>232</v>
      </c>
      <c r="K660" s="10">
        <v>15209</v>
      </c>
      <c r="L660" s="10">
        <v>0</v>
      </c>
      <c r="M660" s="10">
        <v>15209</v>
      </c>
      <c r="N660" s="10">
        <v>15209</v>
      </c>
      <c r="O660" s="10">
        <f>Table1[[#This Row],[NET Amount]]-Table1[[#This Row],[Paid Amount]]</f>
        <v>0</v>
      </c>
      <c r="P660" s="2" t="s">
        <v>18</v>
      </c>
      <c r="Q660" s="2" t="s">
        <v>30</v>
      </c>
      <c r="R660" s="16">
        <f>(Table1[[#This Row],[NET Amount]]-Table1[[#This Row],[Total Outstanding Amount]])/Table1[[#This Row],[NET Amount]]</f>
        <v>1</v>
      </c>
      <c r="S660" s="2" t="s">
        <v>39</v>
      </c>
    </row>
    <row r="661" spans="1:19" x14ac:dyDescent="0.3">
      <c r="A661" s="4">
        <v>659</v>
      </c>
      <c r="B661" s="2" t="s">
        <v>178</v>
      </c>
      <c r="C661" s="3">
        <v>44844</v>
      </c>
      <c r="D661" s="3" t="str">
        <f>TEXT(Table1[[#This Row],[Admission Date]],"MMMM")</f>
        <v>October</v>
      </c>
      <c r="E661" s="3">
        <v>44847</v>
      </c>
      <c r="F661" s="3">
        <v>44847</v>
      </c>
      <c r="G661" s="2">
        <v>22026895</v>
      </c>
      <c r="H661" s="2">
        <v>2235437</v>
      </c>
      <c r="I661" s="2">
        <v>10013504776</v>
      </c>
      <c r="J661" s="2" t="s">
        <v>179</v>
      </c>
      <c r="K661" s="10">
        <v>84286</v>
      </c>
      <c r="L661" s="10">
        <v>7872</v>
      </c>
      <c r="M661" s="10">
        <v>76414</v>
      </c>
      <c r="N661" s="10">
        <v>5396</v>
      </c>
      <c r="O661" s="10">
        <f>Table1[[#This Row],[NET Amount]]-Table1[[#This Row],[Paid Amount]]</f>
        <v>71018</v>
      </c>
      <c r="P661" s="2" t="s">
        <v>23</v>
      </c>
      <c r="Q661" s="2" t="s">
        <v>42</v>
      </c>
      <c r="R661" s="16">
        <f>(Table1[[#This Row],[NET Amount]]-Table1[[#This Row],[Total Outstanding Amount]])/Table1[[#This Row],[NET Amount]]</f>
        <v>7.0615332268955944E-2</v>
      </c>
      <c r="S661" s="2" t="s">
        <v>77</v>
      </c>
    </row>
    <row r="662" spans="1:19" x14ac:dyDescent="0.3">
      <c r="A662" s="4">
        <v>660</v>
      </c>
      <c r="B662" s="2" t="s">
        <v>50</v>
      </c>
      <c r="C662" s="3">
        <v>44852</v>
      </c>
      <c r="D662" s="3" t="str">
        <f>TEXT(Table1[[#This Row],[Admission Date]],"MMMM")</f>
        <v>October</v>
      </c>
      <c r="E662" s="3">
        <v>44852</v>
      </c>
      <c r="F662" s="3">
        <v>44852</v>
      </c>
      <c r="G662" s="2">
        <v>22027594</v>
      </c>
      <c r="H662" s="2">
        <v>2236483</v>
      </c>
      <c r="I662" s="2">
        <v>1001564406</v>
      </c>
      <c r="J662" s="2" t="s">
        <v>183</v>
      </c>
      <c r="K662" s="10">
        <v>2200</v>
      </c>
      <c r="L662" s="10">
        <v>0</v>
      </c>
      <c r="M662" s="10">
        <v>2200</v>
      </c>
      <c r="N662" s="10">
        <v>330</v>
      </c>
      <c r="O662" s="10">
        <f>Table1[[#This Row],[NET Amount]]-Table1[[#This Row],[Paid Amount]]</f>
        <v>1870</v>
      </c>
      <c r="P662" s="2" t="s">
        <v>23</v>
      </c>
      <c r="Q662" s="2" t="s">
        <v>147</v>
      </c>
      <c r="R662" s="16">
        <f>(Table1[[#This Row],[NET Amount]]-Table1[[#This Row],[Total Outstanding Amount]])/Table1[[#This Row],[NET Amount]]</f>
        <v>0.15</v>
      </c>
      <c r="S662" s="2" t="s">
        <v>97</v>
      </c>
    </row>
    <row r="663" spans="1:19" x14ac:dyDescent="0.3">
      <c r="A663" s="4">
        <v>661</v>
      </c>
      <c r="B663" s="2" t="s">
        <v>50</v>
      </c>
      <c r="C663" s="3">
        <v>44836</v>
      </c>
      <c r="D663" s="3" t="str">
        <f>TEXT(Table1[[#This Row],[Admission Date]],"MMMM")</f>
        <v>October</v>
      </c>
      <c r="E663" s="3">
        <v>44839</v>
      </c>
      <c r="F663" s="3">
        <v>44839</v>
      </c>
      <c r="G663" s="2">
        <v>22025674</v>
      </c>
      <c r="H663" s="2">
        <v>2234325</v>
      </c>
      <c r="I663" s="2">
        <v>10013541250</v>
      </c>
      <c r="J663" s="2" t="s">
        <v>621</v>
      </c>
      <c r="K663" s="10">
        <v>107586</v>
      </c>
      <c r="L663" s="10">
        <v>7763</v>
      </c>
      <c r="M663" s="10">
        <v>99823</v>
      </c>
      <c r="N663" s="10">
        <v>23837</v>
      </c>
      <c r="O663" s="10">
        <f>Table1[[#This Row],[NET Amount]]-Table1[[#This Row],[Paid Amount]]</f>
        <v>75986</v>
      </c>
      <c r="P663" s="2" t="s">
        <v>23</v>
      </c>
      <c r="Q663" s="2" t="s">
        <v>47</v>
      </c>
      <c r="R663" s="16">
        <f>(Table1[[#This Row],[NET Amount]]-Table1[[#This Row],[Total Outstanding Amount]])/Table1[[#This Row],[NET Amount]]</f>
        <v>0.23879266301353397</v>
      </c>
      <c r="S663" s="2" t="s">
        <v>39</v>
      </c>
    </row>
    <row r="664" spans="1:19" x14ac:dyDescent="0.3">
      <c r="A664" s="4">
        <v>662</v>
      </c>
      <c r="B664" s="2" t="s">
        <v>25</v>
      </c>
      <c r="C664" s="3">
        <v>44837</v>
      </c>
      <c r="D664" s="3" t="str">
        <f>TEXT(Table1[[#This Row],[Admission Date]],"MMMM")</f>
        <v>October</v>
      </c>
      <c r="E664" s="3">
        <v>44837</v>
      </c>
      <c r="F664" s="3">
        <v>44837</v>
      </c>
      <c r="G664" s="2">
        <v>22025426</v>
      </c>
      <c r="H664" s="2">
        <v>2234415</v>
      </c>
      <c r="I664" s="2">
        <v>10013541345</v>
      </c>
      <c r="J664" s="2" t="s">
        <v>622</v>
      </c>
      <c r="K664" s="10">
        <v>14000</v>
      </c>
      <c r="L664" s="10">
        <v>2350</v>
      </c>
      <c r="M664" s="10">
        <v>11650</v>
      </c>
      <c r="N664" s="10">
        <v>11650</v>
      </c>
      <c r="O664" s="10">
        <f>Table1[[#This Row],[NET Amount]]-Table1[[#This Row],[Paid Amount]]</f>
        <v>0</v>
      </c>
      <c r="P664" s="2" t="s">
        <v>18</v>
      </c>
      <c r="Q664" s="2" t="s">
        <v>69</v>
      </c>
      <c r="R664" s="16">
        <f>(Table1[[#This Row],[NET Amount]]-Table1[[#This Row],[Total Outstanding Amount]])/Table1[[#This Row],[NET Amount]]</f>
        <v>1</v>
      </c>
      <c r="S664" s="2" t="s">
        <v>39</v>
      </c>
    </row>
    <row r="665" spans="1:19" x14ac:dyDescent="0.3">
      <c r="A665" s="4">
        <v>663</v>
      </c>
      <c r="B665" s="2" t="s">
        <v>139</v>
      </c>
      <c r="C665" s="3">
        <v>44834</v>
      </c>
      <c r="D665" s="3" t="str">
        <f>TEXT(Table1[[#This Row],[Admission Date]],"MMMM")</f>
        <v>September</v>
      </c>
      <c r="E665" s="3">
        <v>44839</v>
      </c>
      <c r="F665" s="3">
        <v>44839</v>
      </c>
      <c r="G665" s="2">
        <v>22025692</v>
      </c>
      <c r="H665" s="2">
        <v>2234005</v>
      </c>
      <c r="I665" s="2">
        <v>10013339280</v>
      </c>
      <c r="J665" s="2" t="s">
        <v>623</v>
      </c>
      <c r="K665" s="10">
        <v>104446</v>
      </c>
      <c r="L665" s="10">
        <v>0</v>
      </c>
      <c r="M665" s="10">
        <v>104446</v>
      </c>
      <c r="N665" s="10">
        <v>12655</v>
      </c>
      <c r="O665" s="10">
        <f>Table1[[#This Row],[NET Amount]]-Table1[[#This Row],[Paid Amount]]</f>
        <v>91791</v>
      </c>
      <c r="P665" s="2" t="s">
        <v>23</v>
      </c>
      <c r="Q665" s="2" t="s">
        <v>30</v>
      </c>
      <c r="R665" s="16">
        <f>(Table1[[#This Row],[NET Amount]]-Table1[[#This Row],[Total Outstanding Amount]])/Table1[[#This Row],[NET Amount]]</f>
        <v>0.12116308906037569</v>
      </c>
      <c r="S665" s="2" t="s">
        <v>20</v>
      </c>
    </row>
    <row r="666" spans="1:19" x14ac:dyDescent="0.3">
      <c r="A666" s="4">
        <v>664</v>
      </c>
      <c r="B666" s="2" t="s">
        <v>115</v>
      </c>
      <c r="C666" s="3">
        <v>44862</v>
      </c>
      <c r="D666" s="3" t="str">
        <f>TEXT(Table1[[#This Row],[Admission Date]],"MMMM")</f>
        <v>October</v>
      </c>
      <c r="E666" s="3">
        <v>44863</v>
      </c>
      <c r="F666" s="3">
        <v>44863</v>
      </c>
      <c r="G666" s="2">
        <v>22029114</v>
      </c>
      <c r="H666" s="2">
        <v>2237744</v>
      </c>
      <c r="I666" s="2">
        <v>10013544750</v>
      </c>
      <c r="J666" s="2" t="s">
        <v>624</v>
      </c>
      <c r="K666" s="10">
        <v>58790</v>
      </c>
      <c r="L666" s="10">
        <v>0</v>
      </c>
      <c r="M666" s="10">
        <v>58790</v>
      </c>
      <c r="N666" s="10">
        <v>1840</v>
      </c>
      <c r="O666" s="10">
        <f>Table1[[#This Row],[NET Amount]]-Table1[[#This Row],[Paid Amount]]</f>
        <v>56950</v>
      </c>
      <c r="P666" s="2" t="s">
        <v>23</v>
      </c>
      <c r="Q666" s="2" t="s">
        <v>52</v>
      </c>
      <c r="R666" s="16">
        <f>(Table1[[#This Row],[NET Amount]]-Table1[[#This Row],[Total Outstanding Amount]])/Table1[[#This Row],[NET Amount]]</f>
        <v>3.1297839768668144E-2</v>
      </c>
      <c r="S666" s="2" t="s">
        <v>77</v>
      </c>
    </row>
    <row r="667" spans="1:19" x14ac:dyDescent="0.3">
      <c r="A667" s="4">
        <v>665</v>
      </c>
      <c r="B667" s="2" t="s">
        <v>25</v>
      </c>
      <c r="C667" s="3">
        <v>44834</v>
      </c>
      <c r="D667" s="3" t="str">
        <f>TEXT(Table1[[#This Row],[Admission Date]],"MMMM")</f>
        <v>September</v>
      </c>
      <c r="E667" s="3">
        <v>44835</v>
      </c>
      <c r="F667" s="3">
        <v>44835</v>
      </c>
      <c r="G667" s="2">
        <v>22025106</v>
      </c>
      <c r="H667" s="2">
        <v>2234041</v>
      </c>
      <c r="I667" s="2">
        <v>1001797452</v>
      </c>
      <c r="J667" s="2" t="s">
        <v>625</v>
      </c>
      <c r="K667" s="10">
        <v>71866</v>
      </c>
      <c r="L667" s="10">
        <v>13366</v>
      </c>
      <c r="M667" s="10">
        <v>58500</v>
      </c>
      <c r="N667" s="10">
        <v>58500</v>
      </c>
      <c r="O667" s="10">
        <f>Table1[[#This Row],[NET Amount]]-Table1[[#This Row],[Paid Amount]]</f>
        <v>0</v>
      </c>
      <c r="P667" s="2" t="s">
        <v>18</v>
      </c>
      <c r="Q667" s="2" t="s">
        <v>69</v>
      </c>
      <c r="R667" s="16">
        <f>(Table1[[#This Row],[NET Amount]]-Table1[[#This Row],[Total Outstanding Amount]])/Table1[[#This Row],[NET Amount]]</f>
        <v>1</v>
      </c>
      <c r="S667" s="2" t="s">
        <v>201</v>
      </c>
    </row>
    <row r="668" spans="1:19" x14ac:dyDescent="0.3">
      <c r="A668" s="4">
        <v>666</v>
      </c>
      <c r="B668" s="2" t="s">
        <v>126</v>
      </c>
      <c r="C668" s="3">
        <v>44840</v>
      </c>
      <c r="D668" s="3" t="str">
        <f>TEXT(Table1[[#This Row],[Admission Date]],"MMMM")</f>
        <v>October</v>
      </c>
      <c r="E668" s="3">
        <v>44846</v>
      </c>
      <c r="F668" s="3">
        <v>44846</v>
      </c>
      <c r="G668" s="2">
        <v>22026730</v>
      </c>
      <c r="H668" s="2">
        <v>2234840</v>
      </c>
      <c r="I668" s="2">
        <v>10013541716</v>
      </c>
      <c r="J668" s="2" t="s">
        <v>626</v>
      </c>
      <c r="K668" s="10">
        <v>169188</v>
      </c>
      <c r="L668" s="10">
        <v>22196</v>
      </c>
      <c r="M668" s="10">
        <v>146992</v>
      </c>
      <c r="N668" s="10">
        <v>11107</v>
      </c>
      <c r="O668" s="10">
        <f>Table1[[#This Row],[NET Amount]]-Table1[[#This Row],[Paid Amount]]</f>
        <v>135885</v>
      </c>
      <c r="P668" s="2" t="s">
        <v>23</v>
      </c>
      <c r="Q668" s="2" t="s">
        <v>30</v>
      </c>
      <c r="R668" s="16">
        <f>(Table1[[#This Row],[NET Amount]]-Table1[[#This Row],[Total Outstanding Amount]])/Table1[[#This Row],[NET Amount]]</f>
        <v>7.5561935343420053E-2</v>
      </c>
      <c r="S668" s="2" t="s">
        <v>95</v>
      </c>
    </row>
    <row r="669" spans="1:19" x14ac:dyDescent="0.3">
      <c r="A669" s="4">
        <v>667</v>
      </c>
      <c r="B669" s="2" t="s">
        <v>25</v>
      </c>
      <c r="C669" s="3">
        <v>44831</v>
      </c>
      <c r="D669" s="3" t="str">
        <f>TEXT(Table1[[#This Row],[Admission Date]],"MMMM")</f>
        <v>September</v>
      </c>
      <c r="E669" s="3">
        <v>44840</v>
      </c>
      <c r="F669" s="3">
        <v>44840</v>
      </c>
      <c r="G669" s="2">
        <v>22025897</v>
      </c>
      <c r="H669" s="2">
        <v>2233660</v>
      </c>
      <c r="I669" s="2">
        <v>10013526339</v>
      </c>
      <c r="J669" s="2" t="s">
        <v>627</v>
      </c>
      <c r="K669" s="10">
        <v>468883</v>
      </c>
      <c r="L669" s="10">
        <v>84447</v>
      </c>
      <c r="M669" s="10">
        <v>384436</v>
      </c>
      <c r="N669" s="10">
        <v>384436</v>
      </c>
      <c r="O669" s="10">
        <f>Table1[[#This Row],[NET Amount]]-Table1[[#This Row],[Paid Amount]]</f>
        <v>0</v>
      </c>
      <c r="P669" s="2" t="s">
        <v>18</v>
      </c>
      <c r="Q669" s="2" t="s">
        <v>88</v>
      </c>
      <c r="R669" s="16">
        <f>(Table1[[#This Row],[NET Amount]]-Table1[[#This Row],[Total Outstanding Amount]])/Table1[[#This Row],[NET Amount]]</f>
        <v>1</v>
      </c>
      <c r="S669" s="2" t="s">
        <v>20</v>
      </c>
    </row>
    <row r="670" spans="1:19" x14ac:dyDescent="0.3">
      <c r="A670" s="4">
        <v>668</v>
      </c>
      <c r="B670" s="2" t="s">
        <v>25</v>
      </c>
      <c r="C670" s="3">
        <v>44835</v>
      </c>
      <c r="D670" s="3" t="str">
        <f>TEXT(Table1[[#This Row],[Admission Date]],"MMMM")</f>
        <v>October</v>
      </c>
      <c r="E670" s="3">
        <v>44835</v>
      </c>
      <c r="F670" s="3">
        <v>44835</v>
      </c>
      <c r="G670" s="2">
        <v>22025196</v>
      </c>
      <c r="H670" s="2">
        <v>2234162</v>
      </c>
      <c r="I670" s="2">
        <v>1001801804</v>
      </c>
      <c r="J670" s="2" t="s">
        <v>628</v>
      </c>
      <c r="K670" s="10">
        <v>21788</v>
      </c>
      <c r="L670" s="10">
        <v>2750</v>
      </c>
      <c r="M670" s="10">
        <v>19038</v>
      </c>
      <c r="N670" s="10">
        <v>19038</v>
      </c>
      <c r="O670" s="10">
        <f>Table1[[#This Row],[NET Amount]]-Table1[[#This Row],[Paid Amount]]</f>
        <v>0</v>
      </c>
      <c r="P670" s="2" t="s">
        <v>18</v>
      </c>
      <c r="Q670" s="2" t="s">
        <v>54</v>
      </c>
      <c r="R670" s="16">
        <f>(Table1[[#This Row],[NET Amount]]-Table1[[#This Row],[Total Outstanding Amount]])/Table1[[#This Row],[NET Amount]]</f>
        <v>1</v>
      </c>
      <c r="S670" s="2" t="s">
        <v>27</v>
      </c>
    </row>
    <row r="671" spans="1:19" x14ac:dyDescent="0.3">
      <c r="A671" s="4">
        <v>669</v>
      </c>
      <c r="B671" s="2" t="s">
        <v>155</v>
      </c>
      <c r="C671" s="3">
        <v>44851</v>
      </c>
      <c r="D671" s="3" t="str">
        <f>TEXT(Table1[[#This Row],[Admission Date]],"MMMM")</f>
        <v>October</v>
      </c>
      <c r="E671" s="3">
        <v>44851</v>
      </c>
      <c r="F671" s="3">
        <v>44851</v>
      </c>
      <c r="G671" s="2">
        <v>22027358</v>
      </c>
      <c r="H671" s="2">
        <v>2236280</v>
      </c>
      <c r="I671" s="2">
        <v>10013386841</v>
      </c>
      <c r="J671" s="2" t="s">
        <v>629</v>
      </c>
      <c r="K671" s="10">
        <v>1610</v>
      </c>
      <c r="L671" s="10">
        <v>0</v>
      </c>
      <c r="M671" s="10">
        <v>1610</v>
      </c>
      <c r="N671" s="10">
        <v>1610</v>
      </c>
      <c r="O671" s="10">
        <f>Table1[[#This Row],[NET Amount]]-Table1[[#This Row],[Paid Amount]]</f>
        <v>0</v>
      </c>
      <c r="P671" s="2" t="s">
        <v>18</v>
      </c>
      <c r="Q671" s="2" t="s">
        <v>54</v>
      </c>
      <c r="R671" s="16">
        <f>(Table1[[#This Row],[NET Amount]]-Table1[[#This Row],[Total Outstanding Amount]])/Table1[[#This Row],[NET Amount]]</f>
        <v>1</v>
      </c>
      <c r="S671" s="2" t="s">
        <v>97</v>
      </c>
    </row>
    <row r="672" spans="1:19" x14ac:dyDescent="0.3">
      <c r="A672" s="4">
        <v>670</v>
      </c>
      <c r="B672" s="2" t="s">
        <v>93</v>
      </c>
      <c r="C672" s="3">
        <v>44840</v>
      </c>
      <c r="D672" s="3" t="str">
        <f>TEXT(Table1[[#This Row],[Admission Date]],"MMMM")</f>
        <v>October</v>
      </c>
      <c r="E672" s="3">
        <v>44841</v>
      </c>
      <c r="F672" s="3">
        <v>44841</v>
      </c>
      <c r="G672" s="2">
        <v>22025961</v>
      </c>
      <c r="H672" s="2">
        <v>2234871</v>
      </c>
      <c r="I672" s="2">
        <v>1001802809</v>
      </c>
      <c r="J672" s="2" t="s">
        <v>630</v>
      </c>
      <c r="K672" s="10">
        <v>4806</v>
      </c>
      <c r="L672" s="10">
        <v>0</v>
      </c>
      <c r="M672" s="10">
        <v>4806</v>
      </c>
      <c r="N672" s="10">
        <v>4806</v>
      </c>
      <c r="O672" s="10">
        <f>Table1[[#This Row],[NET Amount]]-Table1[[#This Row],[Paid Amount]]</f>
        <v>0</v>
      </c>
      <c r="P672" s="2" t="s">
        <v>18</v>
      </c>
      <c r="Q672" s="2" t="s">
        <v>30</v>
      </c>
      <c r="R672" s="16">
        <f>(Table1[[#This Row],[NET Amount]]-Table1[[#This Row],[Total Outstanding Amount]])/Table1[[#This Row],[NET Amount]]</f>
        <v>1</v>
      </c>
      <c r="S672" s="2" t="s">
        <v>37</v>
      </c>
    </row>
    <row r="673" spans="1:19" x14ac:dyDescent="0.3">
      <c r="A673" s="4">
        <v>671</v>
      </c>
      <c r="B673" s="2" t="s">
        <v>2246</v>
      </c>
      <c r="C673" s="3">
        <v>44841</v>
      </c>
      <c r="D673" s="3" t="str">
        <f>TEXT(Table1[[#This Row],[Admission Date]],"MMMM")</f>
        <v>October</v>
      </c>
      <c r="E673" s="3">
        <v>44841</v>
      </c>
      <c r="F673" s="3">
        <v>44841</v>
      </c>
      <c r="G673" s="2">
        <v>22026009</v>
      </c>
      <c r="H673" s="2">
        <v>2235032</v>
      </c>
      <c r="I673" s="2">
        <v>1001788579</v>
      </c>
      <c r="J673" s="2" t="s">
        <v>107</v>
      </c>
      <c r="K673" s="10">
        <v>2172</v>
      </c>
      <c r="L673" s="10">
        <v>0</v>
      </c>
      <c r="M673" s="10">
        <v>2172</v>
      </c>
      <c r="N673" s="10">
        <v>2172</v>
      </c>
      <c r="O673" s="10">
        <f>Table1[[#This Row],[NET Amount]]-Table1[[#This Row],[Paid Amount]]</f>
        <v>0</v>
      </c>
      <c r="P673" s="2" t="s">
        <v>18</v>
      </c>
      <c r="Q673" s="2" t="s">
        <v>54</v>
      </c>
      <c r="R673" s="16">
        <f>(Table1[[#This Row],[NET Amount]]-Table1[[#This Row],[Total Outstanding Amount]])/Table1[[#This Row],[NET Amount]]</f>
        <v>1</v>
      </c>
      <c r="S673" s="2" t="s">
        <v>97</v>
      </c>
    </row>
    <row r="674" spans="1:19" x14ac:dyDescent="0.3">
      <c r="A674" s="4">
        <v>672</v>
      </c>
      <c r="B674" s="2" t="s">
        <v>35</v>
      </c>
      <c r="C674" s="3">
        <v>44842</v>
      </c>
      <c r="D674" s="3" t="str">
        <f>TEXT(Table1[[#This Row],[Admission Date]],"MMMM")</f>
        <v>October</v>
      </c>
      <c r="E674" s="3">
        <v>44842</v>
      </c>
      <c r="F674" s="3">
        <v>44842</v>
      </c>
      <c r="G674" s="2">
        <v>22026083</v>
      </c>
      <c r="H674" s="2">
        <v>2235133</v>
      </c>
      <c r="I674" s="2">
        <v>10013401198</v>
      </c>
      <c r="J674" s="2" t="s">
        <v>631</v>
      </c>
      <c r="K674" s="10">
        <v>1610</v>
      </c>
      <c r="L674" s="10">
        <v>0</v>
      </c>
      <c r="M674" s="10">
        <v>1610</v>
      </c>
      <c r="N674" s="10">
        <v>1610</v>
      </c>
      <c r="O674" s="10">
        <f>Table1[[#This Row],[NET Amount]]-Table1[[#This Row],[Paid Amount]]</f>
        <v>0</v>
      </c>
      <c r="P674" s="2" t="s">
        <v>18</v>
      </c>
      <c r="Q674" s="2" t="s">
        <v>54</v>
      </c>
      <c r="R674" s="16">
        <f>(Table1[[#This Row],[NET Amount]]-Table1[[#This Row],[Total Outstanding Amount]])/Table1[[#This Row],[NET Amount]]</f>
        <v>1</v>
      </c>
      <c r="S674" s="2" t="s">
        <v>97</v>
      </c>
    </row>
    <row r="675" spans="1:19" x14ac:dyDescent="0.3">
      <c r="A675" s="4">
        <v>673</v>
      </c>
      <c r="B675" s="2" t="s">
        <v>25</v>
      </c>
      <c r="C675" s="3">
        <v>44856</v>
      </c>
      <c r="D675" s="3" t="str">
        <f>TEXT(Table1[[#This Row],[Admission Date]],"MMMM")</f>
        <v>October</v>
      </c>
      <c r="E675" s="3">
        <v>44856</v>
      </c>
      <c r="F675" s="3">
        <v>44856</v>
      </c>
      <c r="G675" s="2">
        <v>22028286</v>
      </c>
      <c r="H675" s="2">
        <v>2236987</v>
      </c>
      <c r="I675" s="2">
        <v>1001805707</v>
      </c>
      <c r="J675" s="2" t="s">
        <v>632</v>
      </c>
      <c r="K675" s="10">
        <v>40465</v>
      </c>
      <c r="L675" s="10">
        <v>5576</v>
      </c>
      <c r="M675" s="10">
        <v>34889</v>
      </c>
      <c r="N675" s="10">
        <v>34889</v>
      </c>
      <c r="O675" s="10">
        <f>Table1[[#This Row],[NET Amount]]-Table1[[#This Row],[Paid Amount]]</f>
        <v>0</v>
      </c>
      <c r="P675" s="2" t="s">
        <v>18</v>
      </c>
      <c r="Q675" s="2" t="s">
        <v>24</v>
      </c>
      <c r="R675" s="16">
        <f>(Table1[[#This Row],[NET Amount]]-Table1[[#This Row],[Total Outstanding Amount]])/Table1[[#This Row],[NET Amount]]</f>
        <v>1</v>
      </c>
      <c r="S675" s="2" t="s">
        <v>20</v>
      </c>
    </row>
    <row r="676" spans="1:19" x14ac:dyDescent="0.3">
      <c r="A676" s="4">
        <v>674</v>
      </c>
      <c r="B676" s="2" t="s">
        <v>25</v>
      </c>
      <c r="C676" s="3">
        <v>44859</v>
      </c>
      <c r="D676" s="3" t="str">
        <f>TEXT(Table1[[#This Row],[Admission Date]],"MMMM")</f>
        <v>October</v>
      </c>
      <c r="E676" s="3">
        <v>44859</v>
      </c>
      <c r="F676" s="3">
        <v>44859</v>
      </c>
      <c r="G676" s="2">
        <v>22028547</v>
      </c>
      <c r="H676" s="2">
        <v>2237362</v>
      </c>
      <c r="I676" s="2">
        <v>1001615161</v>
      </c>
      <c r="J676" s="2" t="s">
        <v>633</v>
      </c>
      <c r="K676" s="10">
        <v>3630</v>
      </c>
      <c r="L676" s="10">
        <v>0</v>
      </c>
      <c r="M676" s="10">
        <v>3630</v>
      </c>
      <c r="N676" s="10">
        <v>3630</v>
      </c>
      <c r="O676" s="10">
        <f>Table1[[#This Row],[NET Amount]]-Table1[[#This Row],[Paid Amount]]</f>
        <v>0</v>
      </c>
      <c r="P676" s="2" t="s">
        <v>18</v>
      </c>
      <c r="Q676" s="2" t="s">
        <v>54</v>
      </c>
      <c r="R676" s="16">
        <f>(Table1[[#This Row],[NET Amount]]-Table1[[#This Row],[Total Outstanding Amount]])/Table1[[#This Row],[NET Amount]]</f>
        <v>1</v>
      </c>
      <c r="S676" s="2" t="s">
        <v>97</v>
      </c>
    </row>
    <row r="677" spans="1:19" x14ac:dyDescent="0.3">
      <c r="A677" s="4">
        <v>675</v>
      </c>
      <c r="B677" s="2" t="s">
        <v>35</v>
      </c>
      <c r="C677" s="3">
        <v>44841</v>
      </c>
      <c r="D677" s="3" t="str">
        <f>TEXT(Table1[[#This Row],[Admission Date]],"MMMM")</f>
        <v>October</v>
      </c>
      <c r="E677" s="3">
        <v>44843</v>
      </c>
      <c r="F677" s="3">
        <v>44843</v>
      </c>
      <c r="G677" s="2">
        <v>22026305</v>
      </c>
      <c r="H677" s="2">
        <v>2235016</v>
      </c>
      <c r="I677" s="2">
        <v>10013538002</v>
      </c>
      <c r="J677" s="2" t="s">
        <v>634</v>
      </c>
      <c r="K677" s="10">
        <v>17667</v>
      </c>
      <c r="L677" s="10">
        <v>0</v>
      </c>
      <c r="M677" s="10">
        <v>17667</v>
      </c>
      <c r="N677" s="10">
        <v>17667</v>
      </c>
      <c r="O677" s="10">
        <f>Table1[[#This Row],[NET Amount]]-Table1[[#This Row],[Paid Amount]]</f>
        <v>0</v>
      </c>
      <c r="P677" s="2" t="s">
        <v>18</v>
      </c>
      <c r="Q677" s="2" t="s">
        <v>24</v>
      </c>
      <c r="R677" s="16">
        <f>(Table1[[#This Row],[NET Amount]]-Table1[[#This Row],[Total Outstanding Amount]])/Table1[[#This Row],[NET Amount]]</f>
        <v>1</v>
      </c>
      <c r="S677" s="2" t="s">
        <v>77</v>
      </c>
    </row>
    <row r="678" spans="1:19" x14ac:dyDescent="0.3">
      <c r="A678" s="4">
        <v>676</v>
      </c>
      <c r="B678" s="2" t="s">
        <v>93</v>
      </c>
      <c r="C678" s="3">
        <v>44853</v>
      </c>
      <c r="D678" s="3" t="str">
        <f>TEXT(Table1[[#This Row],[Admission Date]],"MMMM")</f>
        <v>October</v>
      </c>
      <c r="E678" s="3">
        <v>44863</v>
      </c>
      <c r="F678" s="3">
        <v>44863</v>
      </c>
      <c r="G678" s="2">
        <v>22029005</v>
      </c>
      <c r="H678" s="2">
        <v>2236669</v>
      </c>
      <c r="I678" s="2">
        <v>10013420951</v>
      </c>
      <c r="J678" s="2" t="s">
        <v>635</v>
      </c>
      <c r="K678" s="10">
        <v>346776</v>
      </c>
      <c r="L678" s="10">
        <v>43605</v>
      </c>
      <c r="M678" s="10">
        <v>303171</v>
      </c>
      <c r="N678" s="10">
        <v>72107</v>
      </c>
      <c r="O678" s="10">
        <f>Table1[[#This Row],[NET Amount]]-Table1[[#This Row],[Paid Amount]]</f>
        <v>231064</v>
      </c>
      <c r="P678" s="2" t="s">
        <v>23</v>
      </c>
      <c r="Q678" s="2" t="s">
        <v>30</v>
      </c>
      <c r="R678" s="16">
        <f>(Table1[[#This Row],[NET Amount]]-Table1[[#This Row],[Total Outstanding Amount]])/Table1[[#This Row],[NET Amount]]</f>
        <v>0.23784266964848222</v>
      </c>
      <c r="S678" s="2" t="s">
        <v>20</v>
      </c>
    </row>
    <row r="679" spans="1:19" x14ac:dyDescent="0.3">
      <c r="A679" s="4">
        <v>677</v>
      </c>
      <c r="B679" s="2" t="s">
        <v>25</v>
      </c>
      <c r="C679" s="3">
        <v>44854</v>
      </c>
      <c r="D679" s="3" t="str">
        <f>TEXT(Table1[[#This Row],[Admission Date]],"MMMM")</f>
        <v>October</v>
      </c>
      <c r="E679" s="3">
        <v>44857</v>
      </c>
      <c r="F679" s="3">
        <v>44857</v>
      </c>
      <c r="G679" s="2">
        <v>22028340</v>
      </c>
      <c r="H679" s="2">
        <v>2236850</v>
      </c>
      <c r="I679" s="2">
        <v>1001805536</v>
      </c>
      <c r="J679" s="2" t="s">
        <v>636</v>
      </c>
      <c r="K679" s="10">
        <v>24206</v>
      </c>
      <c r="L679" s="10">
        <v>3175</v>
      </c>
      <c r="M679" s="10">
        <v>21031</v>
      </c>
      <c r="N679" s="10">
        <v>21031</v>
      </c>
      <c r="O679" s="10">
        <f>Table1[[#This Row],[NET Amount]]-Table1[[#This Row],[Paid Amount]]</f>
        <v>0</v>
      </c>
      <c r="P679" s="2" t="s">
        <v>18</v>
      </c>
      <c r="Q679" s="2" t="s">
        <v>30</v>
      </c>
      <c r="R679" s="16">
        <f>(Table1[[#This Row],[NET Amount]]-Table1[[#This Row],[Total Outstanding Amount]])/Table1[[#This Row],[NET Amount]]</f>
        <v>1</v>
      </c>
      <c r="S679" s="2" t="s">
        <v>37</v>
      </c>
    </row>
    <row r="680" spans="1:19" x14ac:dyDescent="0.3">
      <c r="A680" s="4">
        <v>678</v>
      </c>
      <c r="B680" s="2" t="s">
        <v>152</v>
      </c>
      <c r="C680" s="3">
        <v>44846</v>
      </c>
      <c r="D680" s="3" t="str">
        <f>TEXT(Table1[[#This Row],[Admission Date]],"MMMM")</f>
        <v>October</v>
      </c>
      <c r="E680" s="3">
        <v>44851</v>
      </c>
      <c r="F680" s="3">
        <v>44851</v>
      </c>
      <c r="G680" s="2">
        <v>22027442</v>
      </c>
      <c r="H680" s="2">
        <v>2235730</v>
      </c>
      <c r="I680" s="2">
        <v>10013446702</v>
      </c>
      <c r="J680" s="2" t="s">
        <v>431</v>
      </c>
      <c r="K680" s="10">
        <v>88704</v>
      </c>
      <c r="L680" s="10">
        <v>0</v>
      </c>
      <c r="M680" s="10">
        <v>88704</v>
      </c>
      <c r="N680" s="10">
        <v>520</v>
      </c>
      <c r="O680" s="10">
        <f>Table1[[#This Row],[NET Amount]]-Table1[[#This Row],[Paid Amount]]</f>
        <v>88184</v>
      </c>
      <c r="P680" s="2" t="s">
        <v>23</v>
      </c>
      <c r="Q680" s="2" t="s">
        <v>30</v>
      </c>
      <c r="R680" s="16">
        <f>(Table1[[#This Row],[NET Amount]]-Table1[[#This Row],[Total Outstanding Amount]])/Table1[[#This Row],[NET Amount]]</f>
        <v>5.862193362193362E-3</v>
      </c>
      <c r="S680" s="2" t="s">
        <v>20</v>
      </c>
    </row>
    <row r="681" spans="1:19" x14ac:dyDescent="0.3">
      <c r="A681" s="4">
        <v>679</v>
      </c>
      <c r="B681" s="2" t="s">
        <v>72</v>
      </c>
      <c r="C681" s="3">
        <v>44844</v>
      </c>
      <c r="D681" s="3" t="str">
        <f>TEXT(Table1[[#This Row],[Admission Date]],"MMMM")</f>
        <v>October</v>
      </c>
      <c r="E681" s="3">
        <v>44849</v>
      </c>
      <c r="F681" s="3">
        <v>44849</v>
      </c>
      <c r="G681" s="2">
        <v>22027202</v>
      </c>
      <c r="H681" s="2">
        <v>2235323</v>
      </c>
      <c r="I681" s="2">
        <v>10013542344</v>
      </c>
      <c r="J681" s="2" t="s">
        <v>637</v>
      </c>
      <c r="K681" s="10">
        <v>226021</v>
      </c>
      <c r="L681" s="10">
        <v>25343</v>
      </c>
      <c r="M681" s="10">
        <v>200678</v>
      </c>
      <c r="N681" s="10">
        <v>59854</v>
      </c>
      <c r="O681" s="10">
        <f>Table1[[#This Row],[NET Amount]]-Table1[[#This Row],[Paid Amount]]</f>
        <v>140824</v>
      </c>
      <c r="P681" s="2" t="s">
        <v>23</v>
      </c>
      <c r="Q681" s="2" t="s">
        <v>42</v>
      </c>
      <c r="R681" s="16">
        <f>(Table1[[#This Row],[NET Amount]]-Table1[[#This Row],[Total Outstanding Amount]])/Table1[[#This Row],[NET Amount]]</f>
        <v>0.29825890232113139</v>
      </c>
      <c r="S681" s="2" t="s">
        <v>65</v>
      </c>
    </row>
    <row r="682" spans="1:19" x14ac:dyDescent="0.3">
      <c r="A682" s="4">
        <v>680</v>
      </c>
      <c r="B682" s="2" t="s">
        <v>126</v>
      </c>
      <c r="C682" s="3">
        <v>44848</v>
      </c>
      <c r="D682" s="3" t="str">
        <f>TEXT(Table1[[#This Row],[Admission Date]],"MMMM")</f>
        <v>October</v>
      </c>
      <c r="E682" s="3">
        <v>44849</v>
      </c>
      <c r="F682" s="3">
        <v>44849</v>
      </c>
      <c r="G682" s="2">
        <v>22027235</v>
      </c>
      <c r="H682" s="2">
        <v>2235955</v>
      </c>
      <c r="I682" s="2">
        <v>10013455241</v>
      </c>
      <c r="J682" s="2" t="s">
        <v>114</v>
      </c>
      <c r="K682" s="10">
        <v>54760</v>
      </c>
      <c r="L682" s="10">
        <v>0</v>
      </c>
      <c r="M682" s="10">
        <v>54760</v>
      </c>
      <c r="N682" s="10">
        <v>54760</v>
      </c>
      <c r="O682" s="10">
        <f>Table1[[#This Row],[NET Amount]]-Table1[[#This Row],[Paid Amount]]</f>
        <v>0</v>
      </c>
      <c r="P682" s="2" t="s">
        <v>18</v>
      </c>
      <c r="Q682" s="2" t="s">
        <v>24</v>
      </c>
      <c r="R682" s="16">
        <f>(Table1[[#This Row],[NET Amount]]-Table1[[#This Row],[Total Outstanding Amount]])/Table1[[#This Row],[NET Amount]]</f>
        <v>1</v>
      </c>
      <c r="S682" s="2" t="s">
        <v>39</v>
      </c>
    </row>
    <row r="683" spans="1:19" x14ac:dyDescent="0.3">
      <c r="A683" s="4">
        <v>681</v>
      </c>
      <c r="B683" s="2" t="s">
        <v>35</v>
      </c>
      <c r="C683" s="3">
        <v>44843</v>
      </c>
      <c r="D683" s="3" t="str">
        <f>TEXT(Table1[[#This Row],[Admission Date]],"MMMM")</f>
        <v>October</v>
      </c>
      <c r="E683" s="3">
        <v>44845</v>
      </c>
      <c r="F683" s="3">
        <v>44845</v>
      </c>
      <c r="G683" s="2">
        <v>22026535</v>
      </c>
      <c r="H683" s="2">
        <v>2235266</v>
      </c>
      <c r="I683" s="2">
        <v>1001803397</v>
      </c>
      <c r="J683" s="2" t="s">
        <v>638</v>
      </c>
      <c r="K683" s="10">
        <v>14542</v>
      </c>
      <c r="L683" s="10">
        <v>0</v>
      </c>
      <c r="M683" s="10">
        <v>14542</v>
      </c>
      <c r="N683" s="10">
        <v>14542</v>
      </c>
      <c r="O683" s="10">
        <f>Table1[[#This Row],[NET Amount]]-Table1[[#This Row],[Paid Amount]]</f>
        <v>0</v>
      </c>
      <c r="P683" s="2" t="s">
        <v>18</v>
      </c>
      <c r="Q683" s="2" t="s">
        <v>24</v>
      </c>
      <c r="R683" s="16">
        <f>(Table1[[#This Row],[NET Amount]]-Table1[[#This Row],[Total Outstanding Amount]])/Table1[[#This Row],[NET Amount]]</f>
        <v>1</v>
      </c>
      <c r="S683" s="2" t="s">
        <v>27</v>
      </c>
    </row>
    <row r="684" spans="1:19" x14ac:dyDescent="0.3">
      <c r="A684" s="4">
        <v>682</v>
      </c>
      <c r="B684" s="2" t="s">
        <v>35</v>
      </c>
      <c r="C684" s="3">
        <v>44843</v>
      </c>
      <c r="D684" s="3" t="str">
        <f>TEXT(Table1[[#This Row],[Admission Date]],"MMMM")</f>
        <v>October</v>
      </c>
      <c r="E684" s="3">
        <v>44845</v>
      </c>
      <c r="F684" s="3">
        <v>44845</v>
      </c>
      <c r="G684" s="2">
        <v>22026538</v>
      </c>
      <c r="H684" s="2">
        <v>2235277</v>
      </c>
      <c r="I684" s="2">
        <v>1001803412</v>
      </c>
      <c r="J684" s="2" t="s">
        <v>639</v>
      </c>
      <c r="K684" s="10">
        <v>4045</v>
      </c>
      <c r="L684" s="10">
        <v>0</v>
      </c>
      <c r="M684" s="10">
        <v>4045</v>
      </c>
      <c r="N684" s="10">
        <v>4045</v>
      </c>
      <c r="O684" s="10">
        <f>Table1[[#This Row],[NET Amount]]-Table1[[#This Row],[Paid Amount]]</f>
        <v>0</v>
      </c>
      <c r="P684" s="2" t="s">
        <v>18</v>
      </c>
      <c r="Q684" s="2" t="s">
        <v>24</v>
      </c>
      <c r="R684" s="16">
        <f>(Table1[[#This Row],[NET Amount]]-Table1[[#This Row],[Total Outstanding Amount]])/Table1[[#This Row],[NET Amount]]</f>
        <v>1</v>
      </c>
      <c r="S684" s="2" t="s">
        <v>37</v>
      </c>
    </row>
    <row r="685" spans="1:19" x14ac:dyDescent="0.3">
      <c r="A685" s="4">
        <v>683</v>
      </c>
      <c r="B685" s="2" t="s">
        <v>35</v>
      </c>
      <c r="C685" s="3">
        <v>44842</v>
      </c>
      <c r="D685" s="3" t="str">
        <f>TEXT(Table1[[#This Row],[Admission Date]],"MMMM")</f>
        <v>October</v>
      </c>
      <c r="E685" s="3">
        <v>44844</v>
      </c>
      <c r="F685" s="3">
        <v>44844</v>
      </c>
      <c r="G685" s="2">
        <v>22026490</v>
      </c>
      <c r="H685" s="2">
        <v>2235200</v>
      </c>
      <c r="I685" s="2">
        <v>10013542170</v>
      </c>
      <c r="J685" s="2" t="s">
        <v>640</v>
      </c>
      <c r="K685" s="10">
        <v>43582</v>
      </c>
      <c r="L685" s="10">
        <v>0</v>
      </c>
      <c r="M685" s="10">
        <v>43582</v>
      </c>
      <c r="N685" s="10">
        <v>43582</v>
      </c>
      <c r="O685" s="10">
        <f>Table1[[#This Row],[NET Amount]]-Table1[[#This Row],[Paid Amount]]</f>
        <v>0</v>
      </c>
      <c r="P685" s="2" t="s">
        <v>18</v>
      </c>
      <c r="Q685" s="2" t="s">
        <v>24</v>
      </c>
      <c r="R685" s="16">
        <f>(Table1[[#This Row],[NET Amount]]-Table1[[#This Row],[Total Outstanding Amount]])/Table1[[#This Row],[NET Amount]]</f>
        <v>1</v>
      </c>
      <c r="S685" s="2" t="s">
        <v>32</v>
      </c>
    </row>
    <row r="686" spans="1:19" x14ac:dyDescent="0.3">
      <c r="A686" s="4">
        <v>684</v>
      </c>
      <c r="B686" s="2" t="s">
        <v>122</v>
      </c>
      <c r="C686" s="3">
        <v>44840</v>
      </c>
      <c r="D686" s="3" t="str">
        <f>TEXT(Table1[[#This Row],[Admission Date]],"MMMM")</f>
        <v>October</v>
      </c>
      <c r="E686" s="3">
        <v>44840</v>
      </c>
      <c r="F686" s="3">
        <v>44840</v>
      </c>
      <c r="G686" s="2">
        <v>22025908</v>
      </c>
      <c r="H686" s="2">
        <v>2234922</v>
      </c>
      <c r="I686" s="2">
        <v>1001087967</v>
      </c>
      <c r="J686" s="2" t="s">
        <v>123</v>
      </c>
      <c r="K686" s="10">
        <v>3488</v>
      </c>
      <c r="L686" s="10">
        <v>3488</v>
      </c>
      <c r="M686" s="10">
        <v>0</v>
      </c>
      <c r="N686" s="10">
        <v>0</v>
      </c>
      <c r="O686" s="10">
        <f>Table1[[#This Row],[NET Amount]]-Table1[[#This Row],[Paid Amount]]</f>
        <v>0</v>
      </c>
      <c r="P686" s="2" t="s">
        <v>18</v>
      </c>
      <c r="Q686" s="2" t="s">
        <v>54</v>
      </c>
      <c r="R686" s="16" t="e">
        <f>(Table1[[#This Row],[NET Amount]]-Table1[[#This Row],[Total Outstanding Amount]])/Table1[[#This Row],[NET Amount]]</f>
        <v>#DIV/0!</v>
      </c>
      <c r="S686" s="2" t="s">
        <v>97</v>
      </c>
    </row>
    <row r="687" spans="1:19" x14ac:dyDescent="0.3">
      <c r="A687" s="4">
        <v>685</v>
      </c>
      <c r="B687" s="2" t="s">
        <v>25</v>
      </c>
      <c r="C687" s="3">
        <v>44855</v>
      </c>
      <c r="D687" s="3" t="str">
        <f>TEXT(Table1[[#This Row],[Admission Date]],"MMMM")</f>
        <v>October</v>
      </c>
      <c r="E687" s="3">
        <v>44856</v>
      </c>
      <c r="F687" s="3">
        <v>44856</v>
      </c>
      <c r="G687" s="2">
        <v>22028118</v>
      </c>
      <c r="H687" s="2">
        <v>2236855</v>
      </c>
      <c r="I687" s="2">
        <v>10013543963</v>
      </c>
      <c r="J687" s="2" t="s">
        <v>641</v>
      </c>
      <c r="K687" s="10">
        <v>108334</v>
      </c>
      <c r="L687" s="10">
        <v>14511</v>
      </c>
      <c r="M687" s="10">
        <v>93823</v>
      </c>
      <c r="N687" s="10">
        <v>93823</v>
      </c>
      <c r="O687" s="10">
        <f>Table1[[#This Row],[NET Amount]]-Table1[[#This Row],[Paid Amount]]</f>
        <v>0</v>
      </c>
      <c r="P687" s="2" t="s">
        <v>18</v>
      </c>
      <c r="Q687" s="2" t="s">
        <v>24</v>
      </c>
      <c r="R687" s="16">
        <f>(Table1[[#This Row],[NET Amount]]-Table1[[#This Row],[Total Outstanding Amount]])/Table1[[#This Row],[NET Amount]]</f>
        <v>1</v>
      </c>
      <c r="S687" s="2" t="s">
        <v>39</v>
      </c>
    </row>
    <row r="688" spans="1:19" x14ac:dyDescent="0.3">
      <c r="A688" s="4">
        <v>686</v>
      </c>
      <c r="B688" s="2" t="s">
        <v>25</v>
      </c>
      <c r="C688" s="3">
        <v>44855</v>
      </c>
      <c r="D688" s="3" t="str">
        <f>TEXT(Table1[[#This Row],[Admission Date]],"MMMM")</f>
        <v>October</v>
      </c>
      <c r="E688" s="3">
        <v>44855</v>
      </c>
      <c r="F688" s="3">
        <v>44855</v>
      </c>
      <c r="G688" s="2">
        <v>22028042</v>
      </c>
      <c r="H688" s="2">
        <v>2236876</v>
      </c>
      <c r="I688" s="2">
        <v>10013541678</v>
      </c>
      <c r="J688" s="2" t="s">
        <v>642</v>
      </c>
      <c r="K688" s="10">
        <v>19407</v>
      </c>
      <c r="L688" s="10">
        <v>2401</v>
      </c>
      <c r="M688" s="10">
        <v>17006</v>
      </c>
      <c r="N688" s="10">
        <v>17006</v>
      </c>
      <c r="O688" s="10">
        <f>Table1[[#This Row],[NET Amount]]-Table1[[#This Row],[Paid Amount]]</f>
        <v>0</v>
      </c>
      <c r="P688" s="2" t="s">
        <v>18</v>
      </c>
      <c r="Q688" s="2" t="s">
        <v>54</v>
      </c>
      <c r="R688" s="16">
        <f>(Table1[[#This Row],[NET Amount]]-Table1[[#This Row],[Total Outstanding Amount]])/Table1[[#This Row],[NET Amount]]</f>
        <v>1</v>
      </c>
      <c r="S688" s="2" t="s">
        <v>27</v>
      </c>
    </row>
    <row r="689" spans="1:19" x14ac:dyDescent="0.3">
      <c r="A689" s="4">
        <v>687</v>
      </c>
      <c r="B689" s="2" t="s">
        <v>110</v>
      </c>
      <c r="C689" s="3">
        <v>44854</v>
      </c>
      <c r="D689" s="3" t="str">
        <f>TEXT(Table1[[#This Row],[Admission Date]],"MMMM")</f>
        <v>October</v>
      </c>
      <c r="E689" s="3">
        <v>44855</v>
      </c>
      <c r="F689" s="3">
        <v>44855</v>
      </c>
      <c r="G689" s="2">
        <v>22028012</v>
      </c>
      <c r="H689" s="2">
        <v>2236760</v>
      </c>
      <c r="I689" s="2">
        <v>1001804728</v>
      </c>
      <c r="J689" s="2" t="s">
        <v>643</v>
      </c>
      <c r="K689" s="10">
        <v>96568</v>
      </c>
      <c r="L689" s="10">
        <v>0</v>
      </c>
      <c r="M689" s="10">
        <v>96568</v>
      </c>
      <c r="N689" s="10">
        <v>3891</v>
      </c>
      <c r="O689" s="10">
        <f>Table1[[#This Row],[NET Amount]]-Table1[[#This Row],[Paid Amount]]</f>
        <v>92677</v>
      </c>
      <c r="P689" s="2" t="s">
        <v>23</v>
      </c>
      <c r="Q689" s="2" t="s">
        <v>30</v>
      </c>
      <c r="R689" s="16">
        <f>(Table1[[#This Row],[NET Amount]]-Table1[[#This Row],[Total Outstanding Amount]])/Table1[[#This Row],[NET Amount]]</f>
        <v>4.0292850633750307E-2</v>
      </c>
      <c r="S689" s="2" t="s">
        <v>77</v>
      </c>
    </row>
    <row r="690" spans="1:19" x14ac:dyDescent="0.3">
      <c r="A690" s="4">
        <v>688</v>
      </c>
      <c r="B690" s="2" t="s">
        <v>25</v>
      </c>
      <c r="C690" s="3">
        <v>44855</v>
      </c>
      <c r="D690" s="3" t="str">
        <f>TEXT(Table1[[#This Row],[Admission Date]],"MMMM")</f>
        <v>October</v>
      </c>
      <c r="E690" s="3">
        <v>44856</v>
      </c>
      <c r="F690" s="3">
        <v>44856</v>
      </c>
      <c r="G690" s="2">
        <v>22028149</v>
      </c>
      <c r="H690" s="2">
        <v>2236893</v>
      </c>
      <c r="I690" s="2">
        <v>10013254882</v>
      </c>
      <c r="J690" s="2" t="s">
        <v>644</v>
      </c>
      <c r="K690" s="10">
        <v>42833</v>
      </c>
      <c r="L690" s="10">
        <v>8957</v>
      </c>
      <c r="M690" s="10">
        <v>33876</v>
      </c>
      <c r="N690" s="10">
        <v>33876</v>
      </c>
      <c r="O690" s="10">
        <f>Table1[[#This Row],[NET Amount]]-Table1[[#This Row],[Paid Amount]]</f>
        <v>0</v>
      </c>
      <c r="P690" s="2" t="s">
        <v>18</v>
      </c>
      <c r="Q690" s="2" t="s">
        <v>24</v>
      </c>
      <c r="R690" s="16">
        <f>(Table1[[#This Row],[NET Amount]]-Table1[[#This Row],[Total Outstanding Amount]])/Table1[[#This Row],[NET Amount]]</f>
        <v>1</v>
      </c>
      <c r="S690" s="2" t="s">
        <v>39</v>
      </c>
    </row>
    <row r="691" spans="1:19" x14ac:dyDescent="0.3">
      <c r="A691" s="4">
        <v>689</v>
      </c>
      <c r="B691" s="2" t="s">
        <v>45</v>
      </c>
      <c r="C691" s="3">
        <v>44845</v>
      </c>
      <c r="D691" s="3" t="str">
        <f>TEXT(Table1[[#This Row],[Admission Date]],"MMMM")</f>
        <v>October</v>
      </c>
      <c r="E691" s="3">
        <v>44847</v>
      </c>
      <c r="F691" s="3">
        <v>44847</v>
      </c>
      <c r="G691" s="2">
        <v>22026851</v>
      </c>
      <c r="H691" s="2">
        <v>2235484</v>
      </c>
      <c r="I691" s="2">
        <v>10013541745</v>
      </c>
      <c r="J691" s="2" t="s">
        <v>645</v>
      </c>
      <c r="K691" s="10">
        <v>107993</v>
      </c>
      <c r="L691" s="10">
        <v>5897</v>
      </c>
      <c r="M691" s="10">
        <v>102096</v>
      </c>
      <c r="N691" s="10">
        <v>17724</v>
      </c>
      <c r="O691" s="10">
        <f>Table1[[#This Row],[NET Amount]]-Table1[[#This Row],[Paid Amount]]</f>
        <v>84372</v>
      </c>
      <c r="P691" s="2" t="s">
        <v>23</v>
      </c>
      <c r="Q691" s="2" t="s">
        <v>52</v>
      </c>
      <c r="R691" s="16">
        <f>(Table1[[#This Row],[NET Amount]]-Table1[[#This Row],[Total Outstanding Amount]])/Table1[[#This Row],[NET Amount]]</f>
        <v>0.17360131640808651</v>
      </c>
      <c r="S691" s="2" t="s">
        <v>27</v>
      </c>
    </row>
    <row r="692" spans="1:19" x14ac:dyDescent="0.3">
      <c r="A692" s="4">
        <v>690</v>
      </c>
      <c r="B692" s="2" t="s">
        <v>126</v>
      </c>
      <c r="C692" s="3">
        <v>44834</v>
      </c>
      <c r="D692" s="3" t="str">
        <f>TEXT(Table1[[#This Row],[Admission Date]],"MMMM")</f>
        <v>September</v>
      </c>
      <c r="E692" s="3">
        <v>44837</v>
      </c>
      <c r="F692" s="3">
        <v>44837</v>
      </c>
      <c r="G692" s="2">
        <v>22025375</v>
      </c>
      <c r="H692" s="2">
        <v>2234039</v>
      </c>
      <c r="I692" s="2">
        <v>10013478711</v>
      </c>
      <c r="J692" s="2" t="s">
        <v>646</v>
      </c>
      <c r="K692" s="10">
        <v>72007</v>
      </c>
      <c r="L692" s="10">
        <v>9796</v>
      </c>
      <c r="M692" s="10">
        <v>62211</v>
      </c>
      <c r="N692" s="10">
        <v>62211</v>
      </c>
      <c r="O692" s="10">
        <f>Table1[[#This Row],[NET Amount]]-Table1[[#This Row],[Paid Amount]]</f>
        <v>0</v>
      </c>
      <c r="P692" s="2" t="s">
        <v>18</v>
      </c>
      <c r="Q692" s="2" t="s">
        <v>30</v>
      </c>
      <c r="R692" s="16">
        <f>(Table1[[#This Row],[NET Amount]]-Table1[[#This Row],[Total Outstanding Amount]])/Table1[[#This Row],[NET Amount]]</f>
        <v>1</v>
      </c>
      <c r="S692" s="2" t="s">
        <v>37</v>
      </c>
    </row>
    <row r="693" spans="1:19" x14ac:dyDescent="0.3">
      <c r="A693" s="4">
        <v>691</v>
      </c>
      <c r="B693" s="2" t="s">
        <v>91</v>
      </c>
      <c r="C693" s="3">
        <v>44855</v>
      </c>
      <c r="D693" s="3" t="str">
        <f>TEXT(Table1[[#This Row],[Admission Date]],"MMMM")</f>
        <v>October</v>
      </c>
      <c r="E693" s="3">
        <v>44857</v>
      </c>
      <c r="F693" s="3">
        <v>44857</v>
      </c>
      <c r="G693" s="2">
        <v>22028337</v>
      </c>
      <c r="H693" s="2">
        <v>2236981</v>
      </c>
      <c r="I693" s="2">
        <v>1000996415</v>
      </c>
      <c r="J693" s="2" t="s">
        <v>321</v>
      </c>
      <c r="K693" s="10">
        <v>51260</v>
      </c>
      <c r="L693" s="10">
        <v>0</v>
      </c>
      <c r="M693" s="10">
        <v>51260</v>
      </c>
      <c r="N693" s="10">
        <v>51260</v>
      </c>
      <c r="O693" s="10">
        <f>Table1[[#This Row],[NET Amount]]-Table1[[#This Row],[Paid Amount]]</f>
        <v>0</v>
      </c>
      <c r="P693" s="2" t="s">
        <v>18</v>
      </c>
      <c r="Q693" s="2" t="s">
        <v>30</v>
      </c>
      <c r="R693" s="16">
        <f>(Table1[[#This Row],[NET Amount]]-Table1[[#This Row],[Total Outstanding Amount]])/Table1[[#This Row],[NET Amount]]</f>
        <v>1</v>
      </c>
      <c r="S693" s="2" t="s">
        <v>20</v>
      </c>
    </row>
    <row r="694" spans="1:19" x14ac:dyDescent="0.3">
      <c r="A694" s="4">
        <v>692</v>
      </c>
      <c r="B694" s="2" t="s">
        <v>2244</v>
      </c>
      <c r="C694" s="3">
        <v>44856</v>
      </c>
      <c r="D694" s="3" t="str">
        <f>TEXT(Table1[[#This Row],[Admission Date]],"MMMM")</f>
        <v>October</v>
      </c>
      <c r="E694" s="3">
        <v>44856</v>
      </c>
      <c r="F694" s="3">
        <v>44856</v>
      </c>
      <c r="G694" s="2">
        <v>22028277</v>
      </c>
      <c r="H694" s="2">
        <v>2237079</v>
      </c>
      <c r="I694" s="2">
        <v>1001783673</v>
      </c>
      <c r="J694" s="2" t="s">
        <v>647</v>
      </c>
      <c r="K694" s="10">
        <v>2560</v>
      </c>
      <c r="L694" s="10">
        <v>0</v>
      </c>
      <c r="M694" s="10">
        <v>2560</v>
      </c>
      <c r="N694" s="10">
        <v>2560</v>
      </c>
      <c r="O694" s="10">
        <f>Table1[[#This Row],[NET Amount]]-Table1[[#This Row],[Paid Amount]]</f>
        <v>0</v>
      </c>
      <c r="P694" s="2" t="s">
        <v>18</v>
      </c>
      <c r="Q694" s="2" t="s">
        <v>54</v>
      </c>
      <c r="R694" s="16">
        <f>(Table1[[#This Row],[NET Amount]]-Table1[[#This Row],[Total Outstanding Amount]])/Table1[[#This Row],[NET Amount]]</f>
        <v>1</v>
      </c>
      <c r="S694" s="2" t="s">
        <v>97</v>
      </c>
    </row>
    <row r="695" spans="1:19" x14ac:dyDescent="0.3">
      <c r="A695" s="4">
        <v>693</v>
      </c>
      <c r="B695" s="2" t="s">
        <v>25</v>
      </c>
      <c r="C695" s="3">
        <v>44857</v>
      </c>
      <c r="D695" s="3" t="str">
        <f>TEXT(Table1[[#This Row],[Admission Date]],"MMMM")</f>
        <v>October</v>
      </c>
      <c r="E695" s="3">
        <v>44857</v>
      </c>
      <c r="F695" s="3">
        <v>44857</v>
      </c>
      <c r="G695" s="2">
        <v>22028314</v>
      </c>
      <c r="H695" s="2">
        <v>2237126</v>
      </c>
      <c r="I695" s="2">
        <v>10013539422</v>
      </c>
      <c r="J695" s="2" t="s">
        <v>552</v>
      </c>
      <c r="K695" s="10">
        <v>2844</v>
      </c>
      <c r="L695" s="10">
        <v>308</v>
      </c>
      <c r="M695" s="10">
        <v>2536</v>
      </c>
      <c r="N695" s="10">
        <v>2536</v>
      </c>
      <c r="O695" s="10">
        <f>Table1[[#This Row],[NET Amount]]-Table1[[#This Row],[Paid Amount]]</f>
        <v>0</v>
      </c>
      <c r="P695" s="2" t="s">
        <v>18</v>
      </c>
      <c r="Q695" s="2" t="s">
        <v>54</v>
      </c>
      <c r="R695" s="16">
        <f>(Table1[[#This Row],[NET Amount]]-Table1[[#This Row],[Total Outstanding Amount]])/Table1[[#This Row],[NET Amount]]</f>
        <v>1</v>
      </c>
      <c r="S695" s="2" t="s">
        <v>97</v>
      </c>
    </row>
    <row r="696" spans="1:19" x14ac:dyDescent="0.3">
      <c r="A696" s="4">
        <v>694</v>
      </c>
      <c r="B696" s="2" t="s">
        <v>25</v>
      </c>
      <c r="C696" s="3">
        <v>44857</v>
      </c>
      <c r="D696" s="3" t="str">
        <f>TEXT(Table1[[#This Row],[Admission Date]],"MMMM")</f>
        <v>October</v>
      </c>
      <c r="E696" s="3">
        <v>44857</v>
      </c>
      <c r="F696" s="3">
        <v>44857</v>
      </c>
      <c r="G696" s="2">
        <v>22028327</v>
      </c>
      <c r="H696" s="2">
        <v>2237129</v>
      </c>
      <c r="I696" s="2">
        <v>10013533934</v>
      </c>
      <c r="J696" s="2" t="s">
        <v>498</v>
      </c>
      <c r="K696" s="10">
        <v>4990</v>
      </c>
      <c r="L696" s="10">
        <v>413</v>
      </c>
      <c r="M696" s="10">
        <v>4577</v>
      </c>
      <c r="N696" s="10">
        <v>4577</v>
      </c>
      <c r="O696" s="10">
        <f>Table1[[#This Row],[NET Amount]]-Table1[[#This Row],[Paid Amount]]</f>
        <v>0</v>
      </c>
      <c r="P696" s="2" t="s">
        <v>18</v>
      </c>
      <c r="Q696" s="2" t="s">
        <v>54</v>
      </c>
      <c r="R696" s="16">
        <f>(Table1[[#This Row],[NET Amount]]-Table1[[#This Row],[Total Outstanding Amount]])/Table1[[#This Row],[NET Amount]]</f>
        <v>1</v>
      </c>
      <c r="S696" s="2" t="s">
        <v>97</v>
      </c>
    </row>
    <row r="697" spans="1:19" x14ac:dyDescent="0.3">
      <c r="A697" s="4">
        <v>695</v>
      </c>
      <c r="B697" s="2" t="s">
        <v>25</v>
      </c>
      <c r="C697" s="3">
        <v>44857</v>
      </c>
      <c r="D697" s="3" t="str">
        <f>TEXT(Table1[[#This Row],[Admission Date]],"MMMM")</f>
        <v>October</v>
      </c>
      <c r="E697" s="3">
        <v>44857</v>
      </c>
      <c r="F697" s="3">
        <v>44857</v>
      </c>
      <c r="G697" s="2">
        <v>22028326</v>
      </c>
      <c r="H697" s="2">
        <v>2237132</v>
      </c>
      <c r="I697" s="2">
        <v>10013518452</v>
      </c>
      <c r="J697" s="2" t="s">
        <v>648</v>
      </c>
      <c r="K697" s="10">
        <v>4990</v>
      </c>
      <c r="L697" s="10">
        <v>413</v>
      </c>
      <c r="M697" s="10">
        <v>4577</v>
      </c>
      <c r="N697" s="10">
        <v>4577</v>
      </c>
      <c r="O697" s="10">
        <f>Table1[[#This Row],[NET Amount]]-Table1[[#This Row],[Paid Amount]]</f>
        <v>0</v>
      </c>
      <c r="P697" s="2" t="s">
        <v>18</v>
      </c>
      <c r="Q697" s="2" t="s">
        <v>54</v>
      </c>
      <c r="R697" s="16">
        <f>(Table1[[#This Row],[NET Amount]]-Table1[[#This Row],[Total Outstanding Amount]])/Table1[[#This Row],[NET Amount]]</f>
        <v>1</v>
      </c>
      <c r="S697" s="2" t="s">
        <v>97</v>
      </c>
    </row>
    <row r="698" spans="1:19" x14ac:dyDescent="0.3">
      <c r="A698" s="4">
        <v>696</v>
      </c>
      <c r="B698" s="2" t="s">
        <v>25</v>
      </c>
      <c r="C698" s="3">
        <v>44857</v>
      </c>
      <c r="D698" s="3" t="str">
        <f>TEXT(Table1[[#This Row],[Admission Date]],"MMMM")</f>
        <v>October</v>
      </c>
      <c r="E698" s="3">
        <v>44857</v>
      </c>
      <c r="F698" s="3">
        <v>44857</v>
      </c>
      <c r="G698" s="2">
        <v>22028329</v>
      </c>
      <c r="H698" s="2">
        <v>2237130</v>
      </c>
      <c r="I698" s="2">
        <v>1001542684</v>
      </c>
      <c r="J698" s="2" t="s">
        <v>176</v>
      </c>
      <c r="K698" s="10">
        <v>3666</v>
      </c>
      <c r="L698" s="10">
        <v>290</v>
      </c>
      <c r="M698" s="10">
        <v>3376</v>
      </c>
      <c r="N698" s="10">
        <v>3376</v>
      </c>
      <c r="O698" s="10">
        <f>Table1[[#This Row],[NET Amount]]-Table1[[#This Row],[Paid Amount]]</f>
        <v>0</v>
      </c>
      <c r="P698" s="2" t="s">
        <v>18</v>
      </c>
      <c r="Q698" s="2" t="s">
        <v>54</v>
      </c>
      <c r="R698" s="16">
        <f>(Table1[[#This Row],[NET Amount]]-Table1[[#This Row],[Total Outstanding Amount]])/Table1[[#This Row],[NET Amount]]</f>
        <v>1</v>
      </c>
      <c r="S698" s="2" t="s">
        <v>97</v>
      </c>
    </row>
    <row r="699" spans="1:19" x14ac:dyDescent="0.3">
      <c r="A699" s="4">
        <v>697</v>
      </c>
      <c r="B699" s="2" t="s">
        <v>152</v>
      </c>
      <c r="C699" s="3">
        <v>44858</v>
      </c>
      <c r="D699" s="3" t="str">
        <f>TEXT(Table1[[#This Row],[Admission Date]],"MMMM")</f>
        <v>October</v>
      </c>
      <c r="E699" s="3">
        <v>44862</v>
      </c>
      <c r="F699" s="3">
        <v>44862</v>
      </c>
      <c r="G699" s="2">
        <v>22028952</v>
      </c>
      <c r="H699" s="2">
        <v>2237244</v>
      </c>
      <c r="I699" s="2">
        <v>10013544310</v>
      </c>
      <c r="J699" s="2" t="s">
        <v>649</v>
      </c>
      <c r="K699" s="10">
        <v>39424</v>
      </c>
      <c r="L699" s="10">
        <v>0</v>
      </c>
      <c r="M699" s="10">
        <v>39424</v>
      </c>
      <c r="N699" s="10">
        <v>70000</v>
      </c>
      <c r="O699" s="10">
        <f>Table1[[#This Row],[NET Amount]]-Table1[[#This Row],[Paid Amount]]</f>
        <v>-30576</v>
      </c>
      <c r="P699" s="2" t="s">
        <v>23</v>
      </c>
      <c r="Q699" s="2" t="s">
        <v>24</v>
      </c>
      <c r="R699" s="16">
        <f>(Table1[[#This Row],[NET Amount]]-Table1[[#This Row],[Total Outstanding Amount]])/Table1[[#This Row],[NET Amount]]</f>
        <v>1.7755681818181819</v>
      </c>
      <c r="S699" s="2" t="s">
        <v>65</v>
      </c>
    </row>
    <row r="700" spans="1:19" x14ac:dyDescent="0.3">
      <c r="A700" s="4">
        <v>698</v>
      </c>
      <c r="B700" s="2" t="s">
        <v>21</v>
      </c>
      <c r="C700" s="3">
        <v>44859</v>
      </c>
      <c r="D700" s="3" t="str">
        <f>TEXT(Table1[[#This Row],[Admission Date]],"MMMM")</f>
        <v>October</v>
      </c>
      <c r="E700" s="3">
        <v>44863</v>
      </c>
      <c r="F700" s="3">
        <v>44863</v>
      </c>
      <c r="G700" s="2">
        <v>22029044</v>
      </c>
      <c r="H700" s="2">
        <v>2237249</v>
      </c>
      <c r="I700" s="2">
        <v>1001805992</v>
      </c>
      <c r="J700" s="2" t="s">
        <v>650</v>
      </c>
      <c r="K700" s="10">
        <v>34569</v>
      </c>
      <c r="L700" s="10">
        <v>0</v>
      </c>
      <c r="M700" s="10">
        <v>34569</v>
      </c>
      <c r="N700" s="10">
        <v>34569</v>
      </c>
      <c r="O700" s="10">
        <f>Table1[[#This Row],[NET Amount]]-Table1[[#This Row],[Paid Amount]]</f>
        <v>0</v>
      </c>
      <c r="P700" s="2" t="s">
        <v>18</v>
      </c>
      <c r="Q700" s="2" t="s">
        <v>19</v>
      </c>
      <c r="R700" s="16">
        <f>(Table1[[#This Row],[NET Amount]]-Table1[[#This Row],[Total Outstanding Amount]])/Table1[[#This Row],[NET Amount]]</f>
        <v>1</v>
      </c>
      <c r="S700" s="2" t="s">
        <v>37</v>
      </c>
    </row>
    <row r="701" spans="1:19" x14ac:dyDescent="0.3">
      <c r="A701" s="4">
        <v>699</v>
      </c>
      <c r="B701" s="2" t="s">
        <v>126</v>
      </c>
      <c r="C701" s="3">
        <v>44848</v>
      </c>
      <c r="D701" s="3" t="str">
        <f>TEXT(Table1[[#This Row],[Admission Date]],"MMMM")</f>
        <v>October</v>
      </c>
      <c r="E701" s="3">
        <v>44849</v>
      </c>
      <c r="F701" s="3">
        <v>44849</v>
      </c>
      <c r="G701" s="2">
        <v>22027144</v>
      </c>
      <c r="H701" s="2">
        <v>2235939</v>
      </c>
      <c r="I701" s="2">
        <v>1001359771</v>
      </c>
      <c r="J701" s="2" t="s">
        <v>651</v>
      </c>
      <c r="K701" s="10">
        <v>246224</v>
      </c>
      <c r="L701" s="10">
        <v>0</v>
      </c>
      <c r="M701" s="10">
        <v>246224</v>
      </c>
      <c r="N701" s="10">
        <v>13555</v>
      </c>
      <c r="O701" s="10">
        <f>Table1[[#This Row],[NET Amount]]-Table1[[#This Row],[Paid Amount]]</f>
        <v>232669</v>
      </c>
      <c r="P701" s="2" t="s">
        <v>23</v>
      </c>
      <c r="Q701" s="2" t="s">
        <v>24</v>
      </c>
      <c r="R701" s="16">
        <f>(Table1[[#This Row],[NET Amount]]-Table1[[#This Row],[Total Outstanding Amount]])/Table1[[#This Row],[NET Amount]]</f>
        <v>5.505149782312041E-2</v>
      </c>
      <c r="S701" s="2" t="s">
        <v>39</v>
      </c>
    </row>
    <row r="702" spans="1:19" x14ac:dyDescent="0.3">
      <c r="A702" s="4">
        <v>700</v>
      </c>
      <c r="B702" s="2" t="s">
        <v>168</v>
      </c>
      <c r="C702" s="3">
        <v>44836</v>
      </c>
      <c r="D702" s="3" t="str">
        <f>TEXT(Table1[[#This Row],[Admission Date]],"MMMM")</f>
        <v>October</v>
      </c>
      <c r="E702" s="3">
        <v>44836</v>
      </c>
      <c r="F702" s="3">
        <v>44836</v>
      </c>
      <c r="G702" s="2">
        <v>22025290</v>
      </c>
      <c r="H702" s="2">
        <v>2234302</v>
      </c>
      <c r="I702" s="2">
        <v>10013540827</v>
      </c>
      <c r="J702" s="2" t="s">
        <v>652</v>
      </c>
      <c r="K702" s="10">
        <v>22500</v>
      </c>
      <c r="L702" s="10">
        <v>0</v>
      </c>
      <c r="M702" s="10">
        <v>22500</v>
      </c>
      <c r="N702" s="10">
        <v>20715</v>
      </c>
      <c r="O702" s="10">
        <f>Table1[[#This Row],[NET Amount]]-Table1[[#This Row],[Paid Amount]]</f>
        <v>1785</v>
      </c>
      <c r="P702" s="2" t="s">
        <v>18</v>
      </c>
      <c r="Q702" s="2" t="s">
        <v>47</v>
      </c>
      <c r="R702" s="16">
        <f>(Table1[[#This Row],[NET Amount]]-Table1[[#This Row],[Total Outstanding Amount]])/Table1[[#This Row],[NET Amount]]</f>
        <v>0.92066666666666663</v>
      </c>
      <c r="S702" s="2" t="s">
        <v>39</v>
      </c>
    </row>
    <row r="703" spans="1:19" x14ac:dyDescent="0.3">
      <c r="A703" s="4">
        <v>701</v>
      </c>
      <c r="B703" s="2" t="s">
        <v>25</v>
      </c>
      <c r="C703" s="3">
        <v>44842</v>
      </c>
      <c r="D703" s="3" t="str">
        <f>TEXT(Table1[[#This Row],[Admission Date]],"MMMM")</f>
        <v>October</v>
      </c>
      <c r="E703" s="3">
        <v>44842</v>
      </c>
      <c r="F703" s="3">
        <v>44842</v>
      </c>
      <c r="G703" s="2">
        <v>22026218</v>
      </c>
      <c r="H703" s="2">
        <v>2235117</v>
      </c>
      <c r="I703" s="2">
        <v>1000847185</v>
      </c>
      <c r="J703" s="2" t="s">
        <v>606</v>
      </c>
      <c r="K703" s="10">
        <v>74245</v>
      </c>
      <c r="L703" s="10">
        <v>10577</v>
      </c>
      <c r="M703" s="10">
        <v>63667</v>
      </c>
      <c r="N703" s="10">
        <v>63667</v>
      </c>
      <c r="O703" s="10">
        <f>Table1[[#This Row],[NET Amount]]-Table1[[#This Row],[Paid Amount]]</f>
        <v>0</v>
      </c>
      <c r="P703" s="2" t="s">
        <v>18</v>
      </c>
      <c r="Q703" s="2" t="s">
        <v>24</v>
      </c>
      <c r="R703" s="16">
        <f>(Table1[[#This Row],[NET Amount]]-Table1[[#This Row],[Total Outstanding Amount]])/Table1[[#This Row],[NET Amount]]</f>
        <v>1</v>
      </c>
      <c r="S703" s="2" t="s">
        <v>55</v>
      </c>
    </row>
    <row r="704" spans="1:19" x14ac:dyDescent="0.3">
      <c r="A704" s="4">
        <v>702</v>
      </c>
      <c r="B704" s="2" t="s">
        <v>28</v>
      </c>
      <c r="C704" s="3">
        <v>44860</v>
      </c>
      <c r="D704" s="3" t="str">
        <f>TEXT(Table1[[#This Row],[Admission Date]],"MMMM")</f>
        <v>October</v>
      </c>
      <c r="E704" s="3">
        <v>44863</v>
      </c>
      <c r="F704" s="3">
        <v>44863</v>
      </c>
      <c r="G704" s="2">
        <v>22029050</v>
      </c>
      <c r="H704" s="2">
        <v>2237422</v>
      </c>
      <c r="I704" s="2">
        <v>10013517362</v>
      </c>
      <c r="J704" s="2" t="s">
        <v>653</v>
      </c>
      <c r="K704" s="10">
        <v>72400</v>
      </c>
      <c r="L704" s="10">
        <v>5000</v>
      </c>
      <c r="M704" s="10">
        <v>67400</v>
      </c>
      <c r="N704" s="10">
        <v>22400</v>
      </c>
      <c r="O704" s="10">
        <f>Table1[[#This Row],[NET Amount]]-Table1[[#This Row],[Paid Amount]]</f>
        <v>45000</v>
      </c>
      <c r="P704" s="2" t="s">
        <v>23</v>
      </c>
      <c r="Q704" s="2" t="s">
        <v>24</v>
      </c>
      <c r="R704" s="16">
        <f>(Table1[[#This Row],[NET Amount]]-Table1[[#This Row],[Total Outstanding Amount]])/Table1[[#This Row],[NET Amount]]</f>
        <v>0.33234421364985162</v>
      </c>
      <c r="S704" s="2" t="s">
        <v>27</v>
      </c>
    </row>
    <row r="705" spans="1:19" x14ac:dyDescent="0.3">
      <c r="A705" s="4">
        <v>703</v>
      </c>
      <c r="B705" s="2" t="s">
        <v>25</v>
      </c>
      <c r="C705" s="3">
        <v>44857</v>
      </c>
      <c r="D705" s="3" t="str">
        <f>TEXT(Table1[[#This Row],[Admission Date]],"MMMM")</f>
        <v>October</v>
      </c>
      <c r="E705" s="3">
        <v>44860</v>
      </c>
      <c r="F705" s="3">
        <v>44860</v>
      </c>
      <c r="G705" s="2">
        <v>22028595</v>
      </c>
      <c r="H705" s="2">
        <v>2237173</v>
      </c>
      <c r="I705" s="2">
        <v>1001805899</v>
      </c>
      <c r="J705" s="2" t="s">
        <v>654</v>
      </c>
      <c r="K705" s="10">
        <v>69698</v>
      </c>
      <c r="L705" s="10">
        <v>69698</v>
      </c>
      <c r="M705" s="10">
        <v>0</v>
      </c>
      <c r="N705" s="10">
        <v>0</v>
      </c>
      <c r="O705" s="10">
        <f>Table1[[#This Row],[NET Amount]]-Table1[[#This Row],[Paid Amount]]</f>
        <v>0</v>
      </c>
      <c r="P705" s="2" t="s">
        <v>18</v>
      </c>
      <c r="Q705" s="2" t="s">
        <v>90</v>
      </c>
      <c r="R705" s="16" t="e">
        <f>(Table1[[#This Row],[NET Amount]]-Table1[[#This Row],[Total Outstanding Amount]])/Table1[[#This Row],[NET Amount]]</f>
        <v>#DIV/0!</v>
      </c>
      <c r="S705" s="2" t="s">
        <v>27</v>
      </c>
    </row>
    <row r="706" spans="1:19" x14ac:dyDescent="0.3">
      <c r="A706" s="4">
        <v>704</v>
      </c>
      <c r="B706" s="2" t="s">
        <v>152</v>
      </c>
      <c r="C706" s="3">
        <v>44859</v>
      </c>
      <c r="D706" s="3" t="str">
        <f>TEXT(Table1[[#This Row],[Admission Date]],"MMMM")</f>
        <v>October</v>
      </c>
      <c r="E706" s="3">
        <v>44862</v>
      </c>
      <c r="F706" s="3">
        <v>44862</v>
      </c>
      <c r="G706" s="2">
        <v>22028894</v>
      </c>
      <c r="H706" s="2">
        <v>2237357</v>
      </c>
      <c r="I706" s="2">
        <v>10013388600</v>
      </c>
      <c r="J706" s="2" t="s">
        <v>655</v>
      </c>
      <c r="K706" s="10">
        <v>190853</v>
      </c>
      <c r="L706" s="10">
        <v>0</v>
      </c>
      <c r="M706" s="10">
        <v>190853</v>
      </c>
      <c r="N706" s="10">
        <v>190853</v>
      </c>
      <c r="O706" s="10">
        <f>Table1[[#This Row],[NET Amount]]-Table1[[#This Row],[Paid Amount]]</f>
        <v>0</v>
      </c>
      <c r="P706" s="2" t="s">
        <v>18</v>
      </c>
      <c r="Q706" s="2" t="s">
        <v>24</v>
      </c>
      <c r="R706" s="16">
        <f>(Table1[[#This Row],[NET Amount]]-Table1[[#This Row],[Total Outstanding Amount]])/Table1[[#This Row],[NET Amount]]</f>
        <v>1</v>
      </c>
      <c r="S706" s="2" t="s">
        <v>39</v>
      </c>
    </row>
    <row r="707" spans="1:19" x14ac:dyDescent="0.3">
      <c r="A707" s="4">
        <v>705</v>
      </c>
      <c r="B707" s="2" t="s">
        <v>25</v>
      </c>
      <c r="C707" s="3">
        <v>44849</v>
      </c>
      <c r="D707" s="3" t="str">
        <f>TEXT(Table1[[#This Row],[Admission Date]],"MMMM")</f>
        <v>October</v>
      </c>
      <c r="E707" s="3">
        <v>44852</v>
      </c>
      <c r="F707" s="3">
        <v>44852</v>
      </c>
      <c r="G707" s="2">
        <v>22027518</v>
      </c>
      <c r="H707" s="2">
        <v>2236181</v>
      </c>
      <c r="I707" s="2">
        <v>1001804598</v>
      </c>
      <c r="J707" s="2" t="s">
        <v>656</v>
      </c>
      <c r="K707" s="10">
        <v>22943</v>
      </c>
      <c r="L707" s="10">
        <v>2946</v>
      </c>
      <c r="M707" s="10">
        <v>19998</v>
      </c>
      <c r="N707" s="10">
        <v>19998</v>
      </c>
      <c r="O707" s="10">
        <f>Table1[[#This Row],[NET Amount]]-Table1[[#This Row],[Paid Amount]]</f>
        <v>0</v>
      </c>
      <c r="P707" s="2" t="s">
        <v>18</v>
      </c>
      <c r="Q707" s="2" t="s">
        <v>24</v>
      </c>
      <c r="R707" s="16">
        <f>(Table1[[#This Row],[NET Amount]]-Table1[[#This Row],[Total Outstanding Amount]])/Table1[[#This Row],[NET Amount]]</f>
        <v>1</v>
      </c>
      <c r="S707" s="2" t="s">
        <v>37</v>
      </c>
    </row>
    <row r="708" spans="1:19" x14ac:dyDescent="0.3">
      <c r="A708" s="4">
        <v>706</v>
      </c>
      <c r="B708" s="2" t="s">
        <v>2253</v>
      </c>
      <c r="C708" s="3">
        <v>44852</v>
      </c>
      <c r="D708" s="3" t="str">
        <f>TEXT(Table1[[#This Row],[Admission Date]],"MMMM")</f>
        <v>October</v>
      </c>
      <c r="E708" s="3">
        <v>44854</v>
      </c>
      <c r="F708" s="3">
        <v>44854</v>
      </c>
      <c r="G708" s="2">
        <v>22027916</v>
      </c>
      <c r="H708" s="2">
        <v>2236457</v>
      </c>
      <c r="I708" s="2">
        <v>1001804964</v>
      </c>
      <c r="J708" s="2" t="s">
        <v>657</v>
      </c>
      <c r="K708" s="10">
        <v>17681</v>
      </c>
      <c r="L708" s="10">
        <v>0</v>
      </c>
      <c r="M708" s="10">
        <v>17681</v>
      </c>
      <c r="N708" s="10">
        <v>595</v>
      </c>
      <c r="O708" s="10">
        <f>Table1[[#This Row],[NET Amount]]-Table1[[#This Row],[Paid Amount]]</f>
        <v>17086</v>
      </c>
      <c r="P708" s="2" t="s">
        <v>23</v>
      </c>
      <c r="Q708" s="2" t="s">
        <v>19</v>
      </c>
      <c r="R708" s="16">
        <f>(Table1[[#This Row],[NET Amount]]-Table1[[#This Row],[Total Outstanding Amount]])/Table1[[#This Row],[NET Amount]]</f>
        <v>3.365194276341836E-2</v>
      </c>
      <c r="S708" s="2" t="s">
        <v>20</v>
      </c>
    </row>
    <row r="709" spans="1:19" x14ac:dyDescent="0.3">
      <c r="A709" s="4">
        <v>707</v>
      </c>
      <c r="B709" s="2" t="s">
        <v>259</v>
      </c>
      <c r="C709" s="3">
        <v>44840</v>
      </c>
      <c r="D709" s="3" t="str">
        <f>TEXT(Table1[[#This Row],[Admission Date]],"MMMM")</f>
        <v>October</v>
      </c>
      <c r="E709" s="3">
        <v>44842</v>
      </c>
      <c r="F709" s="3">
        <v>44842</v>
      </c>
      <c r="G709" s="2">
        <v>22026174</v>
      </c>
      <c r="H709" s="2">
        <v>2234926</v>
      </c>
      <c r="I709" s="2">
        <v>10013541855</v>
      </c>
      <c r="J709" s="2" t="s">
        <v>658</v>
      </c>
      <c r="K709" s="10">
        <v>73263</v>
      </c>
      <c r="L709" s="10">
        <v>0</v>
      </c>
      <c r="M709" s="10">
        <v>73263</v>
      </c>
      <c r="N709" s="10">
        <v>1500</v>
      </c>
      <c r="O709" s="10">
        <f>Table1[[#This Row],[NET Amount]]-Table1[[#This Row],[Paid Amount]]</f>
        <v>71763</v>
      </c>
      <c r="P709" s="2" t="s">
        <v>23</v>
      </c>
      <c r="Q709" s="2" t="s">
        <v>19</v>
      </c>
      <c r="R709" s="16">
        <f>(Table1[[#This Row],[NET Amount]]-Table1[[#This Row],[Total Outstanding Amount]])/Table1[[#This Row],[NET Amount]]</f>
        <v>2.0474182056426846E-2</v>
      </c>
      <c r="S709" s="2" t="s">
        <v>95</v>
      </c>
    </row>
    <row r="710" spans="1:19" x14ac:dyDescent="0.3">
      <c r="A710" s="4">
        <v>708</v>
      </c>
      <c r="B710" s="2" t="s">
        <v>91</v>
      </c>
      <c r="C710" s="3">
        <v>44841</v>
      </c>
      <c r="D710" s="3" t="str">
        <f>TEXT(Table1[[#This Row],[Admission Date]],"MMMM")</f>
        <v>October</v>
      </c>
      <c r="E710" s="3">
        <v>44842</v>
      </c>
      <c r="F710" s="3">
        <v>44842</v>
      </c>
      <c r="G710" s="2">
        <v>22026227</v>
      </c>
      <c r="H710" s="2">
        <v>2235100</v>
      </c>
      <c r="I710" s="2">
        <v>10013514437</v>
      </c>
      <c r="J710" s="2" t="s">
        <v>659</v>
      </c>
      <c r="K710" s="10">
        <v>36951</v>
      </c>
      <c r="L710" s="10">
        <v>916</v>
      </c>
      <c r="M710" s="10">
        <v>36035</v>
      </c>
      <c r="N710" s="10">
        <v>8944</v>
      </c>
      <c r="O710" s="10">
        <f>Table1[[#This Row],[NET Amount]]-Table1[[#This Row],[Paid Amount]]</f>
        <v>27091</v>
      </c>
      <c r="P710" s="2" t="s">
        <v>23</v>
      </c>
      <c r="Q710" s="2" t="s">
        <v>19</v>
      </c>
      <c r="R710" s="16">
        <f>(Table1[[#This Row],[NET Amount]]-Table1[[#This Row],[Total Outstanding Amount]])/Table1[[#This Row],[NET Amount]]</f>
        <v>0.24820313584015541</v>
      </c>
      <c r="S710" s="2" t="s">
        <v>20</v>
      </c>
    </row>
    <row r="711" spans="1:19" x14ac:dyDescent="0.3">
      <c r="A711" s="4">
        <v>709</v>
      </c>
      <c r="B711" s="2" t="s">
        <v>50</v>
      </c>
      <c r="C711" s="3">
        <v>44847</v>
      </c>
      <c r="D711" s="3" t="str">
        <f>TEXT(Table1[[#This Row],[Admission Date]],"MMMM")</f>
        <v>October</v>
      </c>
      <c r="E711" s="3">
        <v>44849</v>
      </c>
      <c r="F711" s="3">
        <v>44849</v>
      </c>
      <c r="G711" s="2">
        <v>22027176</v>
      </c>
      <c r="H711" s="2">
        <v>2235786</v>
      </c>
      <c r="I711" s="2">
        <v>10013542778</v>
      </c>
      <c r="J711" s="2" t="s">
        <v>660</v>
      </c>
      <c r="K711" s="10">
        <v>275654</v>
      </c>
      <c r="L711" s="10">
        <v>473</v>
      </c>
      <c r="M711" s="10">
        <v>275181</v>
      </c>
      <c r="N711" s="10">
        <v>0</v>
      </c>
      <c r="O711" s="10">
        <f>Table1[[#This Row],[NET Amount]]-Table1[[#This Row],[Paid Amount]]</f>
        <v>275181</v>
      </c>
      <c r="P711" s="2" t="s">
        <v>23</v>
      </c>
      <c r="Q711" s="2" t="s">
        <v>47</v>
      </c>
      <c r="R711" s="16">
        <f>(Table1[[#This Row],[NET Amount]]-Table1[[#This Row],[Total Outstanding Amount]])/Table1[[#This Row],[NET Amount]]</f>
        <v>0</v>
      </c>
      <c r="S711" s="2" t="s">
        <v>39</v>
      </c>
    </row>
    <row r="712" spans="1:19" x14ac:dyDescent="0.3">
      <c r="A712" s="4">
        <v>710</v>
      </c>
      <c r="B712" s="2" t="s">
        <v>25</v>
      </c>
      <c r="C712" s="3">
        <v>44861</v>
      </c>
      <c r="D712" s="3" t="str">
        <f>TEXT(Table1[[#This Row],[Admission Date]],"MMMM")</f>
        <v>October</v>
      </c>
      <c r="E712" s="3">
        <v>44865</v>
      </c>
      <c r="F712" s="3">
        <v>44865</v>
      </c>
      <c r="G712" s="2">
        <v>22029292</v>
      </c>
      <c r="H712" s="2">
        <v>2237590</v>
      </c>
      <c r="I712" s="2">
        <v>1001806451</v>
      </c>
      <c r="J712" s="2" t="s">
        <v>661</v>
      </c>
      <c r="K712" s="10">
        <v>118120</v>
      </c>
      <c r="L712" s="10">
        <v>24087</v>
      </c>
      <c r="M712" s="10">
        <v>94033</v>
      </c>
      <c r="N712" s="10">
        <v>94033</v>
      </c>
      <c r="O712" s="10">
        <f>Table1[[#This Row],[NET Amount]]-Table1[[#This Row],[Paid Amount]]</f>
        <v>0</v>
      </c>
      <c r="P712" s="2" t="s">
        <v>18</v>
      </c>
      <c r="Q712" s="2" t="s">
        <v>24</v>
      </c>
      <c r="R712" s="16">
        <f>(Table1[[#This Row],[NET Amount]]-Table1[[#This Row],[Total Outstanding Amount]])/Table1[[#This Row],[NET Amount]]</f>
        <v>1</v>
      </c>
      <c r="S712" s="2" t="s">
        <v>27</v>
      </c>
    </row>
    <row r="713" spans="1:19" x14ac:dyDescent="0.3">
      <c r="A713" s="4">
        <v>711</v>
      </c>
      <c r="B713" s="2" t="s">
        <v>2256</v>
      </c>
      <c r="C713" s="3">
        <v>44853</v>
      </c>
      <c r="D713" s="3" t="str">
        <f>TEXT(Table1[[#This Row],[Admission Date]],"MMMM")</f>
        <v>October</v>
      </c>
      <c r="E713" s="3">
        <v>44855</v>
      </c>
      <c r="F713" s="3">
        <v>44855</v>
      </c>
      <c r="G713" s="2">
        <v>22028084</v>
      </c>
      <c r="H713" s="2">
        <v>2236621</v>
      </c>
      <c r="I713" s="2">
        <v>1001805240</v>
      </c>
      <c r="J713" s="2" t="s">
        <v>662</v>
      </c>
      <c r="K713" s="10">
        <v>70594</v>
      </c>
      <c r="L713" s="10">
        <v>28923</v>
      </c>
      <c r="M713" s="10">
        <v>41671</v>
      </c>
      <c r="N713" s="10">
        <v>8000</v>
      </c>
      <c r="O713" s="10">
        <f>Table1[[#This Row],[NET Amount]]-Table1[[#This Row],[Paid Amount]]</f>
        <v>33671</v>
      </c>
      <c r="P713" s="2" t="s">
        <v>23</v>
      </c>
      <c r="Q713" s="2" t="s">
        <v>24</v>
      </c>
      <c r="R713" s="16">
        <f>(Table1[[#This Row],[NET Amount]]-Table1[[#This Row],[Total Outstanding Amount]])/Table1[[#This Row],[NET Amount]]</f>
        <v>0.19198003407645606</v>
      </c>
      <c r="S713" s="2" t="s">
        <v>97</v>
      </c>
    </row>
    <row r="714" spans="1:19" x14ac:dyDescent="0.3">
      <c r="A714" s="4">
        <v>712</v>
      </c>
      <c r="B714" s="2" t="s">
        <v>25</v>
      </c>
      <c r="C714" s="3">
        <v>44854</v>
      </c>
      <c r="D714" s="3" t="str">
        <f>TEXT(Table1[[#This Row],[Admission Date]],"MMMM")</f>
        <v>October</v>
      </c>
      <c r="E714" s="3">
        <v>44856</v>
      </c>
      <c r="F714" s="3">
        <v>44856</v>
      </c>
      <c r="G714" s="2">
        <v>22028168</v>
      </c>
      <c r="H714" s="2">
        <v>2236798</v>
      </c>
      <c r="I714" s="2">
        <v>1001805475</v>
      </c>
      <c r="J714" s="2" t="s">
        <v>663</v>
      </c>
      <c r="K714" s="10">
        <v>50450</v>
      </c>
      <c r="L714" s="10">
        <v>6250</v>
      </c>
      <c r="M714" s="10">
        <v>44200</v>
      </c>
      <c r="N714" s="10">
        <v>44200</v>
      </c>
      <c r="O714" s="10">
        <f>Table1[[#This Row],[NET Amount]]-Table1[[#This Row],[Paid Amount]]</f>
        <v>0</v>
      </c>
      <c r="P714" s="2" t="s">
        <v>18</v>
      </c>
      <c r="Q714" s="2" t="s">
        <v>24</v>
      </c>
      <c r="R714" s="16">
        <f>(Table1[[#This Row],[NET Amount]]-Table1[[#This Row],[Total Outstanding Amount]])/Table1[[#This Row],[NET Amount]]</f>
        <v>1</v>
      </c>
      <c r="S714" s="2" t="s">
        <v>20</v>
      </c>
    </row>
    <row r="715" spans="1:19" x14ac:dyDescent="0.3">
      <c r="A715" s="4">
        <v>713</v>
      </c>
      <c r="B715" s="2" t="s">
        <v>155</v>
      </c>
      <c r="C715" s="3">
        <v>44857</v>
      </c>
      <c r="D715" s="3" t="str">
        <f>TEXT(Table1[[#This Row],[Admission Date]],"MMMM")</f>
        <v>October</v>
      </c>
      <c r="E715" s="3">
        <v>44857</v>
      </c>
      <c r="F715" s="3">
        <v>44857</v>
      </c>
      <c r="G715" s="2">
        <v>22028317</v>
      </c>
      <c r="H715" s="2">
        <v>2237125</v>
      </c>
      <c r="I715" s="2">
        <v>10013386841</v>
      </c>
      <c r="J715" s="2" t="s">
        <v>629</v>
      </c>
      <c r="K715" s="10">
        <v>1610</v>
      </c>
      <c r="L715" s="10">
        <v>0</v>
      </c>
      <c r="M715" s="10">
        <v>1610</v>
      </c>
      <c r="N715" s="10">
        <v>1610</v>
      </c>
      <c r="O715" s="10">
        <f>Table1[[#This Row],[NET Amount]]-Table1[[#This Row],[Paid Amount]]</f>
        <v>0</v>
      </c>
      <c r="P715" s="2" t="s">
        <v>18</v>
      </c>
      <c r="Q715" s="2" t="s">
        <v>54</v>
      </c>
      <c r="R715" s="16">
        <f>(Table1[[#This Row],[NET Amount]]-Table1[[#This Row],[Total Outstanding Amount]])/Table1[[#This Row],[NET Amount]]</f>
        <v>1</v>
      </c>
      <c r="S715" s="2" t="s">
        <v>97</v>
      </c>
    </row>
    <row r="716" spans="1:19" x14ac:dyDescent="0.3">
      <c r="A716" s="4">
        <v>714</v>
      </c>
      <c r="B716" s="2" t="s">
        <v>25</v>
      </c>
      <c r="C716" s="3">
        <v>44835</v>
      </c>
      <c r="D716" s="3" t="str">
        <f>TEXT(Table1[[#This Row],[Admission Date]],"MMMM")</f>
        <v>October</v>
      </c>
      <c r="E716" s="3">
        <v>44835</v>
      </c>
      <c r="F716" s="3">
        <v>44835</v>
      </c>
      <c r="G716" s="2">
        <v>22025239</v>
      </c>
      <c r="H716" s="2">
        <v>2234239</v>
      </c>
      <c r="I716" s="2">
        <v>10013541160</v>
      </c>
      <c r="J716" s="2" t="s">
        <v>336</v>
      </c>
      <c r="K716" s="10">
        <v>4990</v>
      </c>
      <c r="L716" s="10">
        <v>566</v>
      </c>
      <c r="M716" s="10">
        <v>4424</v>
      </c>
      <c r="N716" s="10">
        <v>4424</v>
      </c>
      <c r="O716" s="10">
        <f>Table1[[#This Row],[NET Amount]]-Table1[[#This Row],[Paid Amount]]</f>
        <v>0</v>
      </c>
      <c r="P716" s="2" t="s">
        <v>18</v>
      </c>
      <c r="Q716" s="2" t="s">
        <v>54</v>
      </c>
      <c r="R716" s="16">
        <f>(Table1[[#This Row],[NET Amount]]-Table1[[#This Row],[Total Outstanding Amount]])/Table1[[#This Row],[NET Amount]]</f>
        <v>1</v>
      </c>
      <c r="S716" s="2" t="s">
        <v>97</v>
      </c>
    </row>
    <row r="717" spans="1:19" x14ac:dyDescent="0.3">
      <c r="A717" s="4">
        <v>715</v>
      </c>
      <c r="B717" s="2" t="s">
        <v>91</v>
      </c>
      <c r="C717" s="3">
        <v>44862</v>
      </c>
      <c r="D717" s="3" t="str">
        <f>TEXT(Table1[[#This Row],[Admission Date]],"MMMM")</f>
        <v>October</v>
      </c>
      <c r="E717" s="3">
        <v>44862</v>
      </c>
      <c r="F717" s="3">
        <v>44862</v>
      </c>
      <c r="G717" s="2">
        <v>22028959</v>
      </c>
      <c r="H717" s="2">
        <v>2237766</v>
      </c>
      <c r="I717" s="2">
        <v>10013497346</v>
      </c>
      <c r="J717" s="2" t="s">
        <v>664</v>
      </c>
      <c r="K717" s="10">
        <v>34085</v>
      </c>
      <c r="L717" s="10">
        <v>1386</v>
      </c>
      <c r="M717" s="10">
        <v>32698</v>
      </c>
      <c r="N717" s="10">
        <v>1685</v>
      </c>
      <c r="O717" s="10">
        <f>Table1[[#This Row],[NET Amount]]-Table1[[#This Row],[Paid Amount]]</f>
        <v>31013</v>
      </c>
      <c r="P717" s="2" t="s">
        <v>23</v>
      </c>
      <c r="Q717" s="2" t="s">
        <v>54</v>
      </c>
      <c r="R717" s="16">
        <f>(Table1[[#This Row],[NET Amount]]-Table1[[#This Row],[Total Outstanding Amount]])/Table1[[#This Row],[NET Amount]]</f>
        <v>5.1532203804514037E-2</v>
      </c>
      <c r="S717" s="2" t="s">
        <v>27</v>
      </c>
    </row>
    <row r="718" spans="1:19" x14ac:dyDescent="0.3">
      <c r="A718" s="4">
        <v>716</v>
      </c>
      <c r="B718" s="2" t="s">
        <v>259</v>
      </c>
      <c r="C718" s="3">
        <v>44861</v>
      </c>
      <c r="D718" s="3" t="str">
        <f>TEXT(Table1[[#This Row],[Admission Date]],"MMMM")</f>
        <v>October</v>
      </c>
      <c r="E718" s="3">
        <v>44863</v>
      </c>
      <c r="F718" s="3">
        <v>44863</v>
      </c>
      <c r="G718" s="2">
        <v>22029043</v>
      </c>
      <c r="H718" s="2">
        <v>2237672</v>
      </c>
      <c r="I718" s="2">
        <v>10013542252</v>
      </c>
      <c r="J718" s="2" t="s">
        <v>665</v>
      </c>
      <c r="K718" s="10">
        <v>73470</v>
      </c>
      <c r="L718" s="10">
        <v>0</v>
      </c>
      <c r="M718" s="10">
        <v>73470</v>
      </c>
      <c r="N718" s="10">
        <v>1500</v>
      </c>
      <c r="O718" s="10">
        <f>Table1[[#This Row],[NET Amount]]-Table1[[#This Row],[Paid Amount]]</f>
        <v>71970</v>
      </c>
      <c r="P718" s="2" t="s">
        <v>23</v>
      </c>
      <c r="Q718" s="2" t="s">
        <v>30</v>
      </c>
      <c r="R718" s="16">
        <f>(Table1[[#This Row],[NET Amount]]-Table1[[#This Row],[Total Outstanding Amount]])/Table1[[#This Row],[NET Amount]]</f>
        <v>2.0416496529195589E-2</v>
      </c>
      <c r="S718" s="2" t="s">
        <v>77</v>
      </c>
    </row>
    <row r="719" spans="1:19" x14ac:dyDescent="0.3">
      <c r="A719" s="4">
        <v>717</v>
      </c>
      <c r="B719" s="2" t="s">
        <v>152</v>
      </c>
      <c r="C719" s="3">
        <v>44862</v>
      </c>
      <c r="D719" s="3" t="str">
        <f>TEXT(Table1[[#This Row],[Admission Date]],"MMMM")</f>
        <v>October</v>
      </c>
      <c r="E719" s="3">
        <v>44865</v>
      </c>
      <c r="F719" s="3">
        <v>44865</v>
      </c>
      <c r="G719" s="2">
        <v>22029393</v>
      </c>
      <c r="H719" s="2">
        <v>2237817</v>
      </c>
      <c r="I719" s="2">
        <v>10013419196</v>
      </c>
      <c r="J719" s="2" t="s">
        <v>666</v>
      </c>
      <c r="K719" s="10">
        <v>102086</v>
      </c>
      <c r="L719" s="10">
        <v>0</v>
      </c>
      <c r="M719" s="10">
        <v>102086</v>
      </c>
      <c r="N719" s="10">
        <v>2107</v>
      </c>
      <c r="O719" s="10">
        <f>Table1[[#This Row],[NET Amount]]-Table1[[#This Row],[Paid Amount]]</f>
        <v>99979</v>
      </c>
      <c r="P719" s="2" t="s">
        <v>23</v>
      </c>
      <c r="Q719" s="2" t="s">
        <v>30</v>
      </c>
      <c r="R719" s="16">
        <f>(Table1[[#This Row],[NET Amount]]-Table1[[#This Row],[Total Outstanding Amount]])/Table1[[#This Row],[NET Amount]]</f>
        <v>2.0639460846737064E-2</v>
      </c>
      <c r="S719" s="2" t="s">
        <v>20</v>
      </c>
    </row>
    <row r="720" spans="1:19" x14ac:dyDescent="0.3">
      <c r="A720" s="4">
        <v>718</v>
      </c>
      <c r="B720" s="2" t="s">
        <v>25</v>
      </c>
      <c r="C720" s="3">
        <v>44858</v>
      </c>
      <c r="D720" s="3" t="str">
        <f>TEXT(Table1[[#This Row],[Admission Date]],"MMMM")</f>
        <v>October</v>
      </c>
      <c r="E720" s="3">
        <v>44859</v>
      </c>
      <c r="F720" s="3">
        <v>44859</v>
      </c>
      <c r="G720" s="2">
        <v>22028465</v>
      </c>
      <c r="H720" s="2">
        <v>2237238</v>
      </c>
      <c r="I720" s="2">
        <v>1001805968</v>
      </c>
      <c r="J720" s="2" t="s">
        <v>667</v>
      </c>
      <c r="K720" s="10">
        <v>47098</v>
      </c>
      <c r="L720" s="10">
        <v>47098</v>
      </c>
      <c r="M720" s="10">
        <v>0</v>
      </c>
      <c r="N720" s="10">
        <v>0</v>
      </c>
      <c r="O720" s="10">
        <f>Table1[[#This Row],[NET Amount]]-Table1[[#This Row],[Paid Amount]]</f>
        <v>0</v>
      </c>
      <c r="P720" s="2" t="s">
        <v>18</v>
      </c>
      <c r="Q720" s="2" t="s">
        <v>90</v>
      </c>
      <c r="R720" s="16" t="e">
        <f>(Table1[[#This Row],[NET Amount]]-Table1[[#This Row],[Total Outstanding Amount]])/Table1[[#This Row],[NET Amount]]</f>
        <v>#DIV/0!</v>
      </c>
      <c r="S720" s="2" t="s">
        <v>37</v>
      </c>
    </row>
    <row r="721" spans="1:19" x14ac:dyDescent="0.3">
      <c r="A721" s="4">
        <v>719</v>
      </c>
      <c r="B721" s="2" t="s">
        <v>25</v>
      </c>
      <c r="C721" s="3">
        <v>44853</v>
      </c>
      <c r="D721" s="3" t="str">
        <f>TEXT(Table1[[#This Row],[Admission Date]],"MMMM")</f>
        <v>October</v>
      </c>
      <c r="E721" s="3">
        <v>44856</v>
      </c>
      <c r="F721" s="3">
        <v>44856</v>
      </c>
      <c r="G721" s="2">
        <v>22028174</v>
      </c>
      <c r="H721" s="2">
        <v>2236665</v>
      </c>
      <c r="I721" s="2">
        <v>10013543757</v>
      </c>
      <c r="J721" s="2" t="s">
        <v>668</v>
      </c>
      <c r="K721" s="10">
        <v>61210</v>
      </c>
      <c r="L721" s="10">
        <v>61210</v>
      </c>
      <c r="M721" s="10">
        <v>0</v>
      </c>
      <c r="N721" s="10">
        <v>0</v>
      </c>
      <c r="O721" s="10">
        <f>Table1[[#This Row],[NET Amount]]-Table1[[#This Row],[Paid Amount]]</f>
        <v>0</v>
      </c>
      <c r="P721" s="2" t="s">
        <v>18</v>
      </c>
      <c r="Q721" s="2" t="s">
        <v>90</v>
      </c>
      <c r="R721" s="16" t="e">
        <f>(Table1[[#This Row],[NET Amount]]-Table1[[#This Row],[Total Outstanding Amount]])/Table1[[#This Row],[NET Amount]]</f>
        <v>#DIV/0!</v>
      </c>
      <c r="S721" s="2" t="s">
        <v>20</v>
      </c>
    </row>
    <row r="722" spans="1:19" x14ac:dyDescent="0.3">
      <c r="A722" s="4">
        <v>720</v>
      </c>
      <c r="B722" s="2" t="s">
        <v>2243</v>
      </c>
      <c r="C722" s="3">
        <v>44835</v>
      </c>
      <c r="D722" s="3" t="str">
        <f>TEXT(Table1[[#This Row],[Admission Date]],"MMMM")</f>
        <v>October</v>
      </c>
      <c r="E722" s="3">
        <v>44839</v>
      </c>
      <c r="F722" s="3">
        <v>44839</v>
      </c>
      <c r="G722" s="2">
        <v>22025756</v>
      </c>
      <c r="H722" s="2">
        <v>2234189</v>
      </c>
      <c r="I722" s="2">
        <v>1001624933</v>
      </c>
      <c r="J722" s="2" t="s">
        <v>669</v>
      </c>
      <c r="K722" s="10">
        <v>69725</v>
      </c>
      <c r="L722" s="10">
        <v>69725</v>
      </c>
      <c r="M722" s="10">
        <v>0</v>
      </c>
      <c r="N722" s="10">
        <v>0</v>
      </c>
      <c r="O722" s="10">
        <f>Table1[[#This Row],[NET Amount]]-Table1[[#This Row],[Paid Amount]]</f>
        <v>0</v>
      </c>
      <c r="P722" s="2" t="s">
        <v>18</v>
      </c>
      <c r="Q722" s="2" t="s">
        <v>90</v>
      </c>
      <c r="R722" s="16" t="e">
        <f>(Table1[[#This Row],[NET Amount]]-Table1[[#This Row],[Total Outstanding Amount]])/Table1[[#This Row],[NET Amount]]</f>
        <v>#DIV/0!</v>
      </c>
      <c r="S722" s="2" t="s">
        <v>37</v>
      </c>
    </row>
    <row r="723" spans="1:19" x14ac:dyDescent="0.3">
      <c r="A723" s="4">
        <v>721</v>
      </c>
      <c r="B723" s="2" t="s">
        <v>152</v>
      </c>
      <c r="C723" s="3">
        <v>44844</v>
      </c>
      <c r="D723" s="3" t="str">
        <f>TEXT(Table1[[#This Row],[Admission Date]],"MMMM")</f>
        <v>October</v>
      </c>
      <c r="E723" s="3">
        <v>44846</v>
      </c>
      <c r="F723" s="3">
        <v>44846</v>
      </c>
      <c r="G723" s="2">
        <v>22026688</v>
      </c>
      <c r="H723" s="2">
        <v>2235475</v>
      </c>
      <c r="I723" s="2">
        <v>1001249346</v>
      </c>
      <c r="J723" s="2" t="s">
        <v>670</v>
      </c>
      <c r="K723" s="10">
        <v>26510</v>
      </c>
      <c r="L723" s="10">
        <v>0</v>
      </c>
      <c r="M723" s="10">
        <v>26510</v>
      </c>
      <c r="N723" s="10">
        <v>981</v>
      </c>
      <c r="O723" s="10">
        <f>Table1[[#This Row],[NET Amount]]-Table1[[#This Row],[Paid Amount]]</f>
        <v>25529</v>
      </c>
      <c r="P723" s="2" t="s">
        <v>23</v>
      </c>
      <c r="Q723" s="2" t="s">
        <v>19</v>
      </c>
      <c r="R723" s="16">
        <f>(Table1[[#This Row],[NET Amount]]-Table1[[#This Row],[Total Outstanding Amount]])/Table1[[#This Row],[NET Amount]]</f>
        <v>3.7004903809883062E-2</v>
      </c>
      <c r="S723" s="2" t="s">
        <v>20</v>
      </c>
    </row>
    <row r="724" spans="1:19" x14ac:dyDescent="0.3">
      <c r="A724" s="4">
        <v>722</v>
      </c>
      <c r="B724" s="2" t="s">
        <v>35</v>
      </c>
      <c r="C724" s="3">
        <v>44838</v>
      </c>
      <c r="D724" s="3" t="str">
        <f>TEXT(Table1[[#This Row],[Admission Date]],"MMMM")</f>
        <v>October</v>
      </c>
      <c r="E724" s="3">
        <v>44838</v>
      </c>
      <c r="F724" s="3">
        <v>44838</v>
      </c>
      <c r="G724" s="2">
        <v>22025575</v>
      </c>
      <c r="H724" s="2">
        <v>2234586</v>
      </c>
      <c r="I724" s="2">
        <v>10013519440</v>
      </c>
      <c r="J724" s="2" t="s">
        <v>339</v>
      </c>
      <c r="K724" s="10">
        <v>1610</v>
      </c>
      <c r="L724" s="10">
        <v>0</v>
      </c>
      <c r="M724" s="10">
        <v>1610</v>
      </c>
      <c r="N724" s="10">
        <v>1610</v>
      </c>
      <c r="O724" s="10">
        <f>Table1[[#This Row],[NET Amount]]-Table1[[#This Row],[Paid Amount]]</f>
        <v>0</v>
      </c>
      <c r="P724" s="2" t="s">
        <v>18</v>
      </c>
      <c r="Q724" s="2" t="s">
        <v>54</v>
      </c>
      <c r="R724" s="16">
        <f>(Table1[[#This Row],[NET Amount]]-Table1[[#This Row],[Total Outstanding Amount]])/Table1[[#This Row],[NET Amount]]</f>
        <v>1</v>
      </c>
      <c r="S724" s="2" t="s">
        <v>97</v>
      </c>
    </row>
    <row r="725" spans="1:19" x14ac:dyDescent="0.3">
      <c r="A725" s="4">
        <v>723</v>
      </c>
      <c r="B725" s="2" t="s">
        <v>25</v>
      </c>
      <c r="C725" s="3">
        <v>44838</v>
      </c>
      <c r="D725" s="3" t="str">
        <f>TEXT(Table1[[#This Row],[Admission Date]],"MMMM")</f>
        <v>October</v>
      </c>
      <c r="E725" s="3">
        <v>44838</v>
      </c>
      <c r="F725" s="3">
        <v>44838</v>
      </c>
      <c r="G725" s="2">
        <v>22025584</v>
      </c>
      <c r="H725" s="2">
        <v>2234583</v>
      </c>
      <c r="I725" s="2">
        <v>1000891328</v>
      </c>
      <c r="J725" s="2" t="s">
        <v>367</v>
      </c>
      <c r="K725" s="10">
        <v>3288</v>
      </c>
      <c r="L725" s="10">
        <v>3288</v>
      </c>
      <c r="M725" s="10">
        <v>0</v>
      </c>
      <c r="N725" s="10">
        <v>0</v>
      </c>
      <c r="O725" s="10">
        <f>Table1[[#This Row],[NET Amount]]-Table1[[#This Row],[Paid Amount]]</f>
        <v>0</v>
      </c>
      <c r="P725" s="2" t="s">
        <v>18</v>
      </c>
      <c r="Q725" s="2" t="s">
        <v>90</v>
      </c>
      <c r="R725" s="16" t="e">
        <f>(Table1[[#This Row],[NET Amount]]-Table1[[#This Row],[Total Outstanding Amount]])/Table1[[#This Row],[NET Amount]]</f>
        <v>#DIV/0!</v>
      </c>
      <c r="S725" s="2" t="s">
        <v>97</v>
      </c>
    </row>
    <row r="726" spans="1:19" x14ac:dyDescent="0.3">
      <c r="A726" s="4">
        <v>724</v>
      </c>
      <c r="B726" s="2" t="s">
        <v>2244</v>
      </c>
      <c r="C726" s="3">
        <v>44839</v>
      </c>
      <c r="D726" s="3" t="str">
        <f>TEXT(Table1[[#This Row],[Admission Date]],"MMMM")</f>
        <v>October</v>
      </c>
      <c r="E726" s="3">
        <v>44841</v>
      </c>
      <c r="F726" s="3">
        <v>44841</v>
      </c>
      <c r="G726" s="2">
        <v>22026027</v>
      </c>
      <c r="H726" s="2">
        <v>2234803</v>
      </c>
      <c r="I726" s="2">
        <v>1001802620</v>
      </c>
      <c r="J726" s="2" t="s">
        <v>671</v>
      </c>
      <c r="K726" s="10">
        <v>10935</v>
      </c>
      <c r="L726" s="10">
        <v>0</v>
      </c>
      <c r="M726" s="10">
        <v>10935</v>
      </c>
      <c r="N726" s="10">
        <v>10935</v>
      </c>
      <c r="O726" s="10">
        <f>Table1[[#This Row],[NET Amount]]-Table1[[#This Row],[Paid Amount]]</f>
        <v>0</v>
      </c>
      <c r="P726" s="2" t="s">
        <v>18</v>
      </c>
      <c r="Q726" s="2" t="s">
        <v>24</v>
      </c>
      <c r="R726" s="16">
        <f>(Table1[[#This Row],[NET Amount]]-Table1[[#This Row],[Total Outstanding Amount]])/Table1[[#This Row],[NET Amount]]</f>
        <v>1</v>
      </c>
      <c r="S726" s="2" t="s">
        <v>37</v>
      </c>
    </row>
    <row r="727" spans="1:19" x14ac:dyDescent="0.3">
      <c r="A727" s="4">
        <v>725</v>
      </c>
      <c r="B727" s="2" t="s">
        <v>117</v>
      </c>
      <c r="C727" s="3">
        <v>44844</v>
      </c>
      <c r="D727" s="3" t="str">
        <f>TEXT(Table1[[#This Row],[Admission Date]],"MMMM")</f>
        <v>October</v>
      </c>
      <c r="E727" s="3">
        <v>44847</v>
      </c>
      <c r="F727" s="3">
        <v>44847</v>
      </c>
      <c r="G727" s="2">
        <v>22026870</v>
      </c>
      <c r="H727" s="2">
        <v>2235413</v>
      </c>
      <c r="I727" s="2">
        <v>1001803602</v>
      </c>
      <c r="J727" s="2" t="s">
        <v>672</v>
      </c>
      <c r="K727" s="10">
        <v>5153</v>
      </c>
      <c r="L727" s="10">
        <v>0</v>
      </c>
      <c r="M727" s="10">
        <v>5153</v>
      </c>
      <c r="N727" s="10">
        <v>5153</v>
      </c>
      <c r="O727" s="10">
        <f>Table1[[#This Row],[NET Amount]]-Table1[[#This Row],[Paid Amount]]</f>
        <v>0</v>
      </c>
      <c r="P727" s="2" t="s">
        <v>18</v>
      </c>
      <c r="Q727" s="2" t="s">
        <v>24</v>
      </c>
      <c r="R727" s="16">
        <f>(Table1[[#This Row],[NET Amount]]-Table1[[#This Row],[Total Outstanding Amount]])/Table1[[#This Row],[NET Amount]]</f>
        <v>1</v>
      </c>
      <c r="S727" s="2" t="s">
        <v>37</v>
      </c>
    </row>
    <row r="728" spans="1:19" x14ac:dyDescent="0.3">
      <c r="A728" s="4">
        <v>726</v>
      </c>
      <c r="B728" s="2" t="s">
        <v>25</v>
      </c>
      <c r="C728" s="3">
        <v>44860</v>
      </c>
      <c r="D728" s="3" t="str">
        <f>TEXT(Table1[[#This Row],[Admission Date]],"MMMM")</f>
        <v>October</v>
      </c>
      <c r="E728" s="3">
        <v>44860</v>
      </c>
      <c r="F728" s="3">
        <v>44860</v>
      </c>
      <c r="G728" s="2">
        <v>22028654</v>
      </c>
      <c r="H728" s="2">
        <v>2237497</v>
      </c>
      <c r="I728" s="2">
        <v>10013542866</v>
      </c>
      <c r="J728" s="2" t="s">
        <v>673</v>
      </c>
      <c r="K728" s="10">
        <v>4990</v>
      </c>
      <c r="L728" s="10">
        <v>412</v>
      </c>
      <c r="M728" s="10">
        <v>4578</v>
      </c>
      <c r="N728" s="10">
        <v>4578</v>
      </c>
      <c r="O728" s="10">
        <f>Table1[[#This Row],[NET Amount]]-Table1[[#This Row],[Paid Amount]]</f>
        <v>0</v>
      </c>
      <c r="P728" s="2" t="s">
        <v>18</v>
      </c>
      <c r="Q728" s="2" t="s">
        <v>54</v>
      </c>
      <c r="R728" s="16">
        <f>(Table1[[#This Row],[NET Amount]]-Table1[[#This Row],[Total Outstanding Amount]])/Table1[[#This Row],[NET Amount]]</f>
        <v>1</v>
      </c>
      <c r="S728" s="2" t="s">
        <v>97</v>
      </c>
    </row>
    <row r="729" spans="1:19" x14ac:dyDescent="0.3">
      <c r="A729" s="4">
        <v>727</v>
      </c>
      <c r="B729" s="2" t="s">
        <v>141</v>
      </c>
      <c r="C729" s="3">
        <v>44857</v>
      </c>
      <c r="D729" s="3" t="str">
        <f>TEXT(Table1[[#This Row],[Admission Date]],"MMMM")</f>
        <v>October</v>
      </c>
      <c r="E729" s="3">
        <v>44860</v>
      </c>
      <c r="F729" s="3">
        <v>44860</v>
      </c>
      <c r="G729" s="2">
        <v>22028628</v>
      </c>
      <c r="H729" s="2">
        <v>2237160</v>
      </c>
      <c r="I729" s="2">
        <v>1001805878</v>
      </c>
      <c r="J729" s="2" t="s">
        <v>674</v>
      </c>
      <c r="K729" s="10">
        <v>12724</v>
      </c>
      <c r="L729" s="10">
        <v>0</v>
      </c>
      <c r="M729" s="10">
        <v>12724</v>
      </c>
      <c r="N729" s="10">
        <v>12724</v>
      </c>
      <c r="O729" s="10">
        <f>Table1[[#This Row],[NET Amount]]-Table1[[#This Row],[Paid Amount]]</f>
        <v>0</v>
      </c>
      <c r="P729" s="2" t="s">
        <v>18</v>
      </c>
      <c r="Q729" s="2" t="s">
        <v>396</v>
      </c>
      <c r="R729" s="16">
        <f>(Table1[[#This Row],[NET Amount]]-Table1[[#This Row],[Total Outstanding Amount]])/Table1[[#This Row],[NET Amount]]</f>
        <v>1</v>
      </c>
      <c r="S729" s="2" t="s">
        <v>37</v>
      </c>
    </row>
    <row r="730" spans="1:19" x14ac:dyDescent="0.3">
      <c r="A730" s="4">
        <v>728</v>
      </c>
      <c r="B730" s="2" t="s">
        <v>61</v>
      </c>
      <c r="C730" s="3">
        <v>44839</v>
      </c>
      <c r="D730" s="3" t="str">
        <f>TEXT(Table1[[#This Row],[Admission Date]],"MMMM")</f>
        <v>October</v>
      </c>
      <c r="E730" s="3">
        <v>44840</v>
      </c>
      <c r="F730" s="3">
        <v>44840</v>
      </c>
      <c r="G730" s="2">
        <v>22025878</v>
      </c>
      <c r="H730" s="2">
        <v>2234746</v>
      </c>
      <c r="I730" s="2">
        <v>1001802564</v>
      </c>
      <c r="J730" s="2" t="s">
        <v>675</v>
      </c>
      <c r="K730" s="10">
        <v>4806</v>
      </c>
      <c r="L730" s="10">
        <v>0</v>
      </c>
      <c r="M730" s="10">
        <v>4806</v>
      </c>
      <c r="N730" s="10">
        <v>4806</v>
      </c>
      <c r="O730" s="10">
        <f>Table1[[#This Row],[NET Amount]]-Table1[[#This Row],[Paid Amount]]</f>
        <v>0</v>
      </c>
      <c r="P730" s="2" t="s">
        <v>18</v>
      </c>
      <c r="Q730" s="2" t="s">
        <v>30</v>
      </c>
      <c r="R730" s="16">
        <f>(Table1[[#This Row],[NET Amount]]-Table1[[#This Row],[Total Outstanding Amount]])/Table1[[#This Row],[NET Amount]]</f>
        <v>1</v>
      </c>
      <c r="S730" s="2" t="s">
        <v>37</v>
      </c>
    </row>
    <row r="731" spans="1:19" x14ac:dyDescent="0.3">
      <c r="A731" s="4">
        <v>729</v>
      </c>
      <c r="B731" s="2" t="s">
        <v>144</v>
      </c>
      <c r="C731" s="3">
        <v>44839</v>
      </c>
      <c r="D731" s="3" t="str">
        <f>TEXT(Table1[[#This Row],[Admission Date]],"MMMM")</f>
        <v>October</v>
      </c>
      <c r="E731" s="3">
        <v>44843</v>
      </c>
      <c r="F731" s="3">
        <v>44843</v>
      </c>
      <c r="G731" s="2">
        <v>22026288</v>
      </c>
      <c r="H731" s="2">
        <v>2234747</v>
      </c>
      <c r="I731" s="2">
        <v>10013430023</v>
      </c>
      <c r="J731" s="2" t="s">
        <v>676</v>
      </c>
      <c r="K731" s="10">
        <v>84064</v>
      </c>
      <c r="L731" s="10">
        <v>0</v>
      </c>
      <c r="M731" s="10">
        <v>84064</v>
      </c>
      <c r="N731" s="10">
        <v>31852</v>
      </c>
      <c r="O731" s="10">
        <f>Table1[[#This Row],[NET Amount]]-Table1[[#This Row],[Paid Amount]]</f>
        <v>52212</v>
      </c>
      <c r="P731" s="2" t="s">
        <v>23</v>
      </c>
      <c r="Q731" s="2" t="s">
        <v>30</v>
      </c>
      <c r="R731" s="16">
        <f>(Table1[[#This Row],[NET Amount]]-Table1[[#This Row],[Total Outstanding Amount]])/Table1[[#This Row],[NET Amount]]</f>
        <v>0.37890178911305672</v>
      </c>
      <c r="S731" s="2" t="s">
        <v>20</v>
      </c>
    </row>
    <row r="732" spans="1:19" x14ac:dyDescent="0.3">
      <c r="A732" s="4">
        <v>730</v>
      </c>
      <c r="B732" s="2" t="s">
        <v>25</v>
      </c>
      <c r="C732" s="3">
        <v>44839</v>
      </c>
      <c r="D732" s="3" t="str">
        <f>TEXT(Table1[[#This Row],[Admission Date]],"MMMM")</f>
        <v>October</v>
      </c>
      <c r="E732" s="3">
        <v>44841</v>
      </c>
      <c r="F732" s="3">
        <v>44841</v>
      </c>
      <c r="G732" s="2">
        <v>22025952</v>
      </c>
      <c r="H732" s="2">
        <v>2234772</v>
      </c>
      <c r="I732" s="2">
        <v>10013541652</v>
      </c>
      <c r="J732" s="2" t="s">
        <v>677</v>
      </c>
      <c r="K732" s="10">
        <v>191548</v>
      </c>
      <c r="L732" s="10">
        <v>0</v>
      </c>
      <c r="M732" s="10">
        <v>191548</v>
      </c>
      <c r="N732" s="10">
        <v>191548</v>
      </c>
      <c r="O732" s="10">
        <f>Table1[[#This Row],[NET Amount]]-Table1[[#This Row],[Paid Amount]]</f>
        <v>0</v>
      </c>
      <c r="P732" s="2" t="s">
        <v>18</v>
      </c>
      <c r="Q732" s="2" t="s">
        <v>24</v>
      </c>
      <c r="R732" s="16">
        <f>(Table1[[#This Row],[NET Amount]]-Table1[[#This Row],[Total Outstanding Amount]])/Table1[[#This Row],[NET Amount]]</f>
        <v>1</v>
      </c>
      <c r="S732" s="2" t="s">
        <v>39</v>
      </c>
    </row>
    <row r="733" spans="1:19" x14ac:dyDescent="0.3">
      <c r="A733" s="4">
        <v>731</v>
      </c>
      <c r="B733" s="2" t="s">
        <v>45</v>
      </c>
      <c r="C733" s="3">
        <v>44835</v>
      </c>
      <c r="D733" s="3" t="str">
        <f>TEXT(Table1[[#This Row],[Admission Date]],"MMMM")</f>
        <v>October</v>
      </c>
      <c r="E733" s="3">
        <v>44838</v>
      </c>
      <c r="F733" s="3">
        <v>44838</v>
      </c>
      <c r="G733" s="2">
        <v>22025581</v>
      </c>
      <c r="H733" s="2">
        <v>2234217</v>
      </c>
      <c r="I733" s="2">
        <v>10013541135</v>
      </c>
      <c r="J733" s="2" t="s">
        <v>678</v>
      </c>
      <c r="K733" s="10">
        <v>43772</v>
      </c>
      <c r="L733" s="10">
        <v>5982</v>
      </c>
      <c r="M733" s="10">
        <v>37790</v>
      </c>
      <c r="N733" s="10">
        <v>1641</v>
      </c>
      <c r="O733" s="10">
        <f>Table1[[#This Row],[NET Amount]]-Table1[[#This Row],[Paid Amount]]</f>
        <v>36149</v>
      </c>
      <c r="P733" s="2" t="s">
        <v>23</v>
      </c>
      <c r="Q733" s="2" t="s">
        <v>52</v>
      </c>
      <c r="R733" s="16">
        <f>(Table1[[#This Row],[NET Amount]]-Table1[[#This Row],[Total Outstanding Amount]])/Table1[[#This Row],[NET Amount]]</f>
        <v>4.3424186292670017E-2</v>
      </c>
      <c r="S733" s="2" t="s">
        <v>20</v>
      </c>
    </row>
    <row r="734" spans="1:19" x14ac:dyDescent="0.3">
      <c r="A734" s="4">
        <v>732</v>
      </c>
      <c r="B734" s="2" t="s">
        <v>679</v>
      </c>
      <c r="C734" s="3">
        <v>44835</v>
      </c>
      <c r="D734" s="3" t="str">
        <f>TEXT(Table1[[#This Row],[Admission Date]],"MMMM")</f>
        <v>October</v>
      </c>
      <c r="E734" s="3">
        <v>44848</v>
      </c>
      <c r="F734" s="3">
        <v>44848</v>
      </c>
      <c r="G734" s="2">
        <v>22027060</v>
      </c>
      <c r="H734" s="2">
        <v>2234269</v>
      </c>
      <c r="I734" s="2">
        <v>10013541177</v>
      </c>
      <c r="J734" s="2" t="s">
        <v>680</v>
      </c>
      <c r="K734" s="10">
        <v>63105</v>
      </c>
      <c r="L734" s="10">
        <v>0</v>
      </c>
      <c r="M734" s="10">
        <v>63105</v>
      </c>
      <c r="N734" s="10">
        <v>1971</v>
      </c>
      <c r="O734" s="10">
        <f>Table1[[#This Row],[NET Amount]]-Table1[[#This Row],[Paid Amount]]</f>
        <v>61134</v>
      </c>
      <c r="P734" s="2" t="s">
        <v>23</v>
      </c>
      <c r="Q734" s="2" t="s">
        <v>24</v>
      </c>
      <c r="R734" s="16">
        <f>(Table1[[#This Row],[NET Amount]]-Table1[[#This Row],[Total Outstanding Amount]])/Table1[[#This Row],[NET Amount]]</f>
        <v>3.1233658188733065E-2</v>
      </c>
      <c r="S734" s="2" t="s">
        <v>32</v>
      </c>
    </row>
    <row r="735" spans="1:19" x14ac:dyDescent="0.3">
      <c r="A735" s="4">
        <v>733</v>
      </c>
      <c r="B735" s="2" t="s">
        <v>80</v>
      </c>
      <c r="C735" s="3">
        <v>44849</v>
      </c>
      <c r="D735" s="3" t="str">
        <f>TEXT(Table1[[#This Row],[Admission Date]],"MMMM")</f>
        <v>October</v>
      </c>
      <c r="E735" s="3">
        <v>44858</v>
      </c>
      <c r="F735" s="3">
        <v>44858</v>
      </c>
      <c r="G735" s="2">
        <v>22028456</v>
      </c>
      <c r="H735" s="2">
        <v>2236112</v>
      </c>
      <c r="I735" s="2">
        <v>1001716329</v>
      </c>
      <c r="J735" s="2" t="s">
        <v>681</v>
      </c>
      <c r="K735" s="10">
        <v>821139</v>
      </c>
      <c r="L735" s="10">
        <v>50593</v>
      </c>
      <c r="M735" s="10">
        <v>770546</v>
      </c>
      <c r="N735" s="10">
        <v>153491</v>
      </c>
      <c r="O735" s="10">
        <f>Table1[[#This Row],[NET Amount]]-Table1[[#This Row],[Paid Amount]]</f>
        <v>617055</v>
      </c>
      <c r="P735" s="2" t="s">
        <v>23</v>
      </c>
      <c r="Q735" s="2" t="s">
        <v>24</v>
      </c>
      <c r="R735" s="16">
        <f>(Table1[[#This Row],[NET Amount]]-Table1[[#This Row],[Total Outstanding Amount]])/Table1[[#This Row],[NET Amount]]</f>
        <v>0.19919771175244566</v>
      </c>
      <c r="S735" s="2" t="s">
        <v>32</v>
      </c>
    </row>
    <row r="736" spans="1:19" x14ac:dyDescent="0.3">
      <c r="A736" s="4">
        <v>734</v>
      </c>
      <c r="B736" s="2" t="s">
        <v>25</v>
      </c>
      <c r="C736" s="3">
        <v>44835</v>
      </c>
      <c r="D736" s="3" t="str">
        <f>TEXT(Table1[[#This Row],[Admission Date]],"MMMM")</f>
        <v>October</v>
      </c>
      <c r="E736" s="3">
        <v>44835</v>
      </c>
      <c r="F736" s="3">
        <v>44835</v>
      </c>
      <c r="G736" s="2">
        <v>22025187</v>
      </c>
      <c r="H736" s="2">
        <v>2234207</v>
      </c>
      <c r="I736" s="2">
        <v>10013533576</v>
      </c>
      <c r="J736" s="2" t="s">
        <v>143</v>
      </c>
      <c r="K736" s="10">
        <v>2844</v>
      </c>
      <c r="L736" s="10">
        <v>310</v>
      </c>
      <c r="M736" s="10">
        <v>2534</v>
      </c>
      <c r="N736" s="10">
        <v>2534</v>
      </c>
      <c r="O736" s="10">
        <f>Table1[[#This Row],[NET Amount]]-Table1[[#This Row],[Paid Amount]]</f>
        <v>0</v>
      </c>
      <c r="P736" s="2" t="s">
        <v>18</v>
      </c>
      <c r="Q736" s="2" t="s">
        <v>54</v>
      </c>
      <c r="R736" s="16">
        <f>(Table1[[#This Row],[NET Amount]]-Table1[[#This Row],[Total Outstanding Amount]])/Table1[[#This Row],[NET Amount]]</f>
        <v>1</v>
      </c>
      <c r="S736" s="2" t="s">
        <v>97</v>
      </c>
    </row>
    <row r="737" spans="1:19" x14ac:dyDescent="0.3">
      <c r="A737" s="4">
        <v>735</v>
      </c>
      <c r="B737" s="2" t="s">
        <v>75</v>
      </c>
      <c r="C737" s="3">
        <v>44844</v>
      </c>
      <c r="D737" s="3" t="str">
        <f>TEXT(Table1[[#This Row],[Admission Date]],"MMMM")</f>
        <v>October</v>
      </c>
      <c r="E737" s="3">
        <v>44847</v>
      </c>
      <c r="F737" s="3">
        <v>44847</v>
      </c>
      <c r="G737" s="2">
        <v>22026868</v>
      </c>
      <c r="H737" s="2">
        <v>2235449</v>
      </c>
      <c r="I737" s="2">
        <v>10013542463</v>
      </c>
      <c r="J737" s="2" t="s">
        <v>682</v>
      </c>
      <c r="K737" s="10">
        <v>21489</v>
      </c>
      <c r="L737" s="10">
        <v>0</v>
      </c>
      <c r="M737" s="10">
        <v>21489</v>
      </c>
      <c r="N737" s="10">
        <v>520</v>
      </c>
      <c r="O737" s="10">
        <f>Table1[[#This Row],[NET Amount]]-Table1[[#This Row],[Paid Amount]]</f>
        <v>20969</v>
      </c>
      <c r="P737" s="2" t="s">
        <v>23</v>
      </c>
      <c r="Q737" s="2" t="s">
        <v>19</v>
      </c>
      <c r="R737" s="16">
        <f>(Table1[[#This Row],[NET Amount]]-Table1[[#This Row],[Total Outstanding Amount]])/Table1[[#This Row],[NET Amount]]</f>
        <v>2.4198427102238355E-2</v>
      </c>
      <c r="S737" s="2" t="s">
        <v>20</v>
      </c>
    </row>
    <row r="738" spans="1:19" x14ac:dyDescent="0.3">
      <c r="A738" s="4">
        <v>736</v>
      </c>
      <c r="B738" s="2" t="s">
        <v>25</v>
      </c>
      <c r="C738" s="3">
        <v>44854</v>
      </c>
      <c r="D738" s="3" t="str">
        <f>TEXT(Table1[[#This Row],[Admission Date]],"MMMM")</f>
        <v>October</v>
      </c>
      <c r="E738" s="3">
        <v>44854</v>
      </c>
      <c r="F738" s="3">
        <v>44854</v>
      </c>
      <c r="G738" s="2">
        <v>22027890</v>
      </c>
      <c r="H738" s="2">
        <v>2236791</v>
      </c>
      <c r="I738" s="2">
        <v>1000891310</v>
      </c>
      <c r="J738" s="2" t="s">
        <v>683</v>
      </c>
      <c r="K738" s="10">
        <v>3319</v>
      </c>
      <c r="L738" s="10">
        <v>3319</v>
      </c>
      <c r="M738" s="10">
        <v>0</v>
      </c>
      <c r="N738" s="10">
        <v>0</v>
      </c>
      <c r="O738" s="10">
        <f>Table1[[#This Row],[NET Amount]]-Table1[[#This Row],[Paid Amount]]</f>
        <v>0</v>
      </c>
      <c r="P738" s="2" t="s">
        <v>18</v>
      </c>
      <c r="Q738" s="2" t="s">
        <v>90</v>
      </c>
      <c r="R738" s="16" t="e">
        <f>(Table1[[#This Row],[NET Amount]]-Table1[[#This Row],[Total Outstanding Amount]])/Table1[[#This Row],[NET Amount]]</f>
        <v>#DIV/0!</v>
      </c>
      <c r="S738" s="2" t="s">
        <v>97</v>
      </c>
    </row>
    <row r="739" spans="1:19" x14ac:dyDescent="0.3">
      <c r="A739" s="4">
        <v>737</v>
      </c>
      <c r="B739" s="2" t="s">
        <v>152</v>
      </c>
      <c r="C739" s="3">
        <v>44851</v>
      </c>
      <c r="D739" s="3" t="str">
        <f>TEXT(Table1[[#This Row],[Admission Date]],"MMMM")</f>
        <v>October</v>
      </c>
      <c r="E739" s="3">
        <v>44855</v>
      </c>
      <c r="F739" s="3">
        <v>44855</v>
      </c>
      <c r="G739" s="2">
        <v>22028051</v>
      </c>
      <c r="H739" s="2">
        <v>2236403</v>
      </c>
      <c r="I739" s="2">
        <v>10013521270</v>
      </c>
      <c r="J739" s="2" t="s">
        <v>684</v>
      </c>
      <c r="K739" s="10">
        <v>57943</v>
      </c>
      <c r="L739" s="10">
        <v>0</v>
      </c>
      <c r="M739" s="10">
        <v>57943</v>
      </c>
      <c r="N739" s="10">
        <v>1944</v>
      </c>
      <c r="O739" s="10">
        <f>Table1[[#This Row],[NET Amount]]-Table1[[#This Row],[Paid Amount]]</f>
        <v>55999</v>
      </c>
      <c r="P739" s="2" t="s">
        <v>23</v>
      </c>
      <c r="Q739" s="2" t="s">
        <v>19</v>
      </c>
      <c r="R739" s="16">
        <f>(Table1[[#This Row],[NET Amount]]-Table1[[#This Row],[Total Outstanding Amount]])/Table1[[#This Row],[NET Amount]]</f>
        <v>3.3550213140500149E-2</v>
      </c>
      <c r="S739" s="2" t="s">
        <v>20</v>
      </c>
    </row>
    <row r="740" spans="1:19" x14ac:dyDescent="0.3">
      <c r="A740" s="4">
        <v>738</v>
      </c>
      <c r="B740" s="2" t="s">
        <v>2254</v>
      </c>
      <c r="C740" s="3">
        <v>44838</v>
      </c>
      <c r="D740" s="3" t="str">
        <f>TEXT(Table1[[#This Row],[Admission Date]],"MMMM")</f>
        <v>October</v>
      </c>
      <c r="E740" s="3">
        <v>44839</v>
      </c>
      <c r="F740" s="3">
        <v>44839</v>
      </c>
      <c r="G740" s="2">
        <v>22025747</v>
      </c>
      <c r="H740" s="2">
        <v>2234590</v>
      </c>
      <c r="I740" s="2">
        <v>1001802448</v>
      </c>
      <c r="J740" s="2" t="s">
        <v>2268</v>
      </c>
      <c r="K740" s="10">
        <v>57469</v>
      </c>
      <c r="L740" s="10">
        <v>4739</v>
      </c>
      <c r="M740" s="10">
        <v>52730</v>
      </c>
      <c r="N740" s="10">
        <v>1000</v>
      </c>
      <c r="O740" s="10">
        <f>Table1[[#This Row],[NET Amount]]-Table1[[#This Row],[Paid Amount]]</f>
        <v>51730</v>
      </c>
      <c r="P740" s="2" t="s">
        <v>23</v>
      </c>
      <c r="Q740" s="2" t="s">
        <v>19</v>
      </c>
      <c r="R740" s="16">
        <f>(Table1[[#This Row],[NET Amount]]-Table1[[#This Row],[Total Outstanding Amount]])/Table1[[#This Row],[NET Amount]]</f>
        <v>1.8964536317087048E-2</v>
      </c>
      <c r="S740" s="2" t="s">
        <v>77</v>
      </c>
    </row>
    <row r="741" spans="1:19" x14ac:dyDescent="0.3">
      <c r="A741" s="4">
        <v>739</v>
      </c>
      <c r="B741" s="2" t="s">
        <v>25</v>
      </c>
      <c r="C741" s="3">
        <v>44857</v>
      </c>
      <c r="D741" s="3" t="str">
        <f>TEXT(Table1[[#This Row],[Admission Date]],"MMMM")</f>
        <v>October</v>
      </c>
      <c r="E741" s="3">
        <v>44861</v>
      </c>
      <c r="F741" s="3">
        <v>44861</v>
      </c>
      <c r="G741" s="2">
        <v>22028760</v>
      </c>
      <c r="H741" s="2">
        <v>2237142</v>
      </c>
      <c r="I741" s="2">
        <v>10013544210</v>
      </c>
      <c r="J741" s="2" t="s">
        <v>685</v>
      </c>
      <c r="K741" s="10">
        <v>172243</v>
      </c>
      <c r="L741" s="10">
        <v>52787</v>
      </c>
      <c r="M741" s="10">
        <v>119455</v>
      </c>
      <c r="N741" s="10">
        <v>119455</v>
      </c>
      <c r="O741" s="10">
        <f>Table1[[#This Row],[NET Amount]]-Table1[[#This Row],[Paid Amount]]</f>
        <v>0</v>
      </c>
      <c r="P741" s="2" t="s">
        <v>18</v>
      </c>
      <c r="Q741" s="2" t="s">
        <v>69</v>
      </c>
      <c r="R741" s="16">
        <f>(Table1[[#This Row],[NET Amount]]-Table1[[#This Row],[Total Outstanding Amount]])/Table1[[#This Row],[NET Amount]]</f>
        <v>1</v>
      </c>
      <c r="S741" s="2" t="s">
        <v>20</v>
      </c>
    </row>
    <row r="742" spans="1:19" x14ac:dyDescent="0.3">
      <c r="A742" s="4">
        <v>740</v>
      </c>
      <c r="B742" s="2" t="s">
        <v>25</v>
      </c>
      <c r="C742" s="3">
        <v>44854</v>
      </c>
      <c r="D742" s="3" t="str">
        <f>TEXT(Table1[[#This Row],[Admission Date]],"MMMM")</f>
        <v>October</v>
      </c>
      <c r="E742" s="3">
        <v>44855</v>
      </c>
      <c r="F742" s="3">
        <v>44855</v>
      </c>
      <c r="G742" s="2">
        <v>22028043</v>
      </c>
      <c r="H742" s="2">
        <v>2236824</v>
      </c>
      <c r="I742" s="2">
        <v>10013543932</v>
      </c>
      <c r="J742" s="2" t="s">
        <v>686</v>
      </c>
      <c r="K742" s="10">
        <v>54897</v>
      </c>
      <c r="L742" s="10">
        <v>7409</v>
      </c>
      <c r="M742" s="10">
        <v>47488</v>
      </c>
      <c r="N742" s="10">
        <v>47488</v>
      </c>
      <c r="O742" s="10">
        <f>Table1[[#This Row],[NET Amount]]-Table1[[#This Row],[Paid Amount]]</f>
        <v>0</v>
      </c>
      <c r="P742" s="2" t="s">
        <v>18</v>
      </c>
      <c r="Q742" s="2" t="s">
        <v>24</v>
      </c>
      <c r="R742" s="16">
        <f>(Table1[[#This Row],[NET Amount]]-Table1[[#This Row],[Total Outstanding Amount]])/Table1[[#This Row],[NET Amount]]</f>
        <v>1</v>
      </c>
      <c r="S742" s="2" t="s">
        <v>39</v>
      </c>
    </row>
    <row r="743" spans="1:19" x14ac:dyDescent="0.3">
      <c r="A743" s="4">
        <v>741</v>
      </c>
      <c r="B743" s="2" t="s">
        <v>327</v>
      </c>
      <c r="C743" s="3">
        <v>44841</v>
      </c>
      <c r="D743" s="3" t="str">
        <f>TEXT(Table1[[#This Row],[Admission Date]],"MMMM")</f>
        <v>October</v>
      </c>
      <c r="E743" s="3">
        <v>44842</v>
      </c>
      <c r="F743" s="3">
        <v>44842</v>
      </c>
      <c r="G743" s="2">
        <v>22026108</v>
      </c>
      <c r="H743" s="2">
        <v>2235086</v>
      </c>
      <c r="I743" s="2">
        <v>10013542077</v>
      </c>
      <c r="J743" s="2" t="s">
        <v>687</v>
      </c>
      <c r="K743" s="10">
        <v>10160</v>
      </c>
      <c r="L743" s="10">
        <v>0</v>
      </c>
      <c r="M743" s="10">
        <v>10160</v>
      </c>
      <c r="N743" s="10">
        <v>10160</v>
      </c>
      <c r="O743" s="10">
        <f>Table1[[#This Row],[NET Amount]]-Table1[[#This Row],[Paid Amount]]</f>
        <v>0</v>
      </c>
      <c r="P743" s="2" t="s">
        <v>18</v>
      </c>
      <c r="Q743" s="2" t="s">
        <v>24</v>
      </c>
      <c r="R743" s="16">
        <f>(Table1[[#This Row],[NET Amount]]-Table1[[#This Row],[Total Outstanding Amount]])/Table1[[#This Row],[NET Amount]]</f>
        <v>1</v>
      </c>
      <c r="S743" s="2" t="s">
        <v>39</v>
      </c>
    </row>
    <row r="744" spans="1:19" x14ac:dyDescent="0.3">
      <c r="A744" s="4">
        <v>742</v>
      </c>
      <c r="B744" s="2" t="s">
        <v>50</v>
      </c>
      <c r="C744" s="3">
        <v>44842</v>
      </c>
      <c r="D744" s="3" t="str">
        <f>TEXT(Table1[[#This Row],[Admission Date]],"MMMM")</f>
        <v>October</v>
      </c>
      <c r="E744" s="3">
        <v>44843</v>
      </c>
      <c r="F744" s="3">
        <v>44843</v>
      </c>
      <c r="G744" s="2">
        <v>22026304</v>
      </c>
      <c r="H744" s="2">
        <v>2235145</v>
      </c>
      <c r="I744" s="2">
        <v>1001803208</v>
      </c>
      <c r="J744" s="2" t="s">
        <v>688</v>
      </c>
      <c r="K744" s="10">
        <v>49308</v>
      </c>
      <c r="L744" s="10">
        <v>0</v>
      </c>
      <c r="M744" s="10">
        <v>49308</v>
      </c>
      <c r="N744" s="10">
        <v>7103</v>
      </c>
      <c r="O744" s="10">
        <f>Table1[[#This Row],[NET Amount]]-Table1[[#This Row],[Paid Amount]]</f>
        <v>42205</v>
      </c>
      <c r="P744" s="2" t="s">
        <v>23</v>
      </c>
      <c r="Q744" s="2" t="s">
        <v>52</v>
      </c>
      <c r="R744" s="16">
        <f>(Table1[[#This Row],[NET Amount]]-Table1[[#This Row],[Total Outstanding Amount]])/Table1[[#This Row],[NET Amount]]</f>
        <v>0.14405370325302183</v>
      </c>
      <c r="S744" s="2" t="s">
        <v>20</v>
      </c>
    </row>
    <row r="745" spans="1:19" x14ac:dyDescent="0.3">
      <c r="A745" s="4">
        <v>743</v>
      </c>
      <c r="B745" s="2" t="s">
        <v>139</v>
      </c>
      <c r="C745" s="3">
        <v>44838</v>
      </c>
      <c r="D745" s="3" t="str">
        <f>TEXT(Table1[[#This Row],[Admission Date]],"MMMM")</f>
        <v>October</v>
      </c>
      <c r="E745" s="3">
        <v>44842</v>
      </c>
      <c r="F745" s="3">
        <v>44842</v>
      </c>
      <c r="G745" s="2">
        <v>22026142</v>
      </c>
      <c r="H745" s="2">
        <v>2234594</v>
      </c>
      <c r="I745" s="2">
        <v>10013541570</v>
      </c>
      <c r="J745" s="2" t="s">
        <v>689</v>
      </c>
      <c r="K745" s="10">
        <v>80494</v>
      </c>
      <c r="L745" s="10">
        <v>0</v>
      </c>
      <c r="M745" s="10">
        <v>80494</v>
      </c>
      <c r="N745" s="10">
        <v>7987</v>
      </c>
      <c r="O745" s="10">
        <f>Table1[[#This Row],[NET Amount]]-Table1[[#This Row],[Paid Amount]]</f>
        <v>72507</v>
      </c>
      <c r="P745" s="2" t="s">
        <v>23</v>
      </c>
      <c r="Q745" s="2" t="s">
        <v>52</v>
      </c>
      <c r="R745" s="16">
        <f>(Table1[[#This Row],[NET Amount]]-Table1[[#This Row],[Total Outstanding Amount]])/Table1[[#This Row],[NET Amount]]</f>
        <v>9.9224786940641532E-2</v>
      </c>
      <c r="S745" s="2" t="s">
        <v>20</v>
      </c>
    </row>
    <row r="746" spans="1:19" x14ac:dyDescent="0.3">
      <c r="A746" s="4">
        <v>744</v>
      </c>
      <c r="B746" s="2" t="s">
        <v>50</v>
      </c>
      <c r="C746" s="3">
        <v>44837</v>
      </c>
      <c r="D746" s="3" t="str">
        <f>TEXT(Table1[[#This Row],[Admission Date]],"MMMM")</f>
        <v>October</v>
      </c>
      <c r="E746" s="3">
        <v>44839</v>
      </c>
      <c r="F746" s="3">
        <v>44839</v>
      </c>
      <c r="G746" s="2">
        <v>22025668</v>
      </c>
      <c r="H746" s="2">
        <v>2234397</v>
      </c>
      <c r="I746" s="2">
        <v>10013312816</v>
      </c>
      <c r="J746" s="2" t="s">
        <v>690</v>
      </c>
      <c r="K746" s="10">
        <v>62444</v>
      </c>
      <c r="L746" s="10">
        <v>1717</v>
      </c>
      <c r="M746" s="10">
        <v>60727</v>
      </c>
      <c r="N746" s="10">
        <v>10727</v>
      </c>
      <c r="O746" s="10">
        <f>Table1[[#This Row],[NET Amount]]-Table1[[#This Row],[Paid Amount]]</f>
        <v>50000</v>
      </c>
      <c r="P746" s="2" t="s">
        <v>23</v>
      </c>
      <c r="Q746" s="2" t="s">
        <v>42</v>
      </c>
      <c r="R746" s="16">
        <f>(Table1[[#This Row],[NET Amount]]-Table1[[#This Row],[Total Outstanding Amount]])/Table1[[#This Row],[NET Amount]]</f>
        <v>0.17664300887578838</v>
      </c>
      <c r="S746" s="2" t="s">
        <v>27</v>
      </c>
    </row>
    <row r="747" spans="1:19" x14ac:dyDescent="0.3">
      <c r="A747" s="4">
        <v>745</v>
      </c>
      <c r="B747" s="2" t="s">
        <v>61</v>
      </c>
      <c r="C747" s="3">
        <v>44849</v>
      </c>
      <c r="D747" s="3" t="str">
        <f>TEXT(Table1[[#This Row],[Admission Date]],"MMMM")</f>
        <v>October</v>
      </c>
      <c r="E747" s="3">
        <v>44853</v>
      </c>
      <c r="F747" s="3">
        <v>44853</v>
      </c>
      <c r="G747" s="2">
        <v>22027707</v>
      </c>
      <c r="H747" s="2">
        <v>2236202</v>
      </c>
      <c r="I747" s="2">
        <v>10013543220</v>
      </c>
      <c r="J747" s="2" t="s">
        <v>691</v>
      </c>
      <c r="K747" s="10">
        <v>79374</v>
      </c>
      <c r="L747" s="10">
        <v>8780</v>
      </c>
      <c r="M747" s="10">
        <v>70594</v>
      </c>
      <c r="N747" s="10">
        <v>2125</v>
      </c>
      <c r="O747" s="10">
        <f>Table1[[#This Row],[NET Amount]]-Table1[[#This Row],[Paid Amount]]</f>
        <v>68469</v>
      </c>
      <c r="P747" s="2" t="s">
        <v>23</v>
      </c>
      <c r="Q747" s="2" t="s">
        <v>30</v>
      </c>
      <c r="R747" s="16">
        <f>(Table1[[#This Row],[NET Amount]]-Table1[[#This Row],[Total Outstanding Amount]])/Table1[[#This Row],[NET Amount]]</f>
        <v>3.0101708360483894E-2</v>
      </c>
      <c r="S747" s="2" t="s">
        <v>20</v>
      </c>
    </row>
    <row r="748" spans="1:19" x14ac:dyDescent="0.3">
      <c r="A748" s="4">
        <v>746</v>
      </c>
      <c r="B748" s="2" t="s">
        <v>80</v>
      </c>
      <c r="C748" s="3">
        <v>44844</v>
      </c>
      <c r="D748" s="3" t="str">
        <f>TEXT(Table1[[#This Row],[Admission Date]],"MMMM")</f>
        <v>October</v>
      </c>
      <c r="E748" s="3">
        <v>44846</v>
      </c>
      <c r="F748" s="3">
        <v>44846</v>
      </c>
      <c r="G748" s="2">
        <v>22026756</v>
      </c>
      <c r="H748" s="2">
        <v>2235448</v>
      </c>
      <c r="I748" s="2">
        <v>10013541364</v>
      </c>
      <c r="J748" s="2" t="s">
        <v>461</v>
      </c>
      <c r="K748" s="10">
        <v>75738</v>
      </c>
      <c r="L748" s="10">
        <v>0</v>
      </c>
      <c r="M748" s="10">
        <v>75738</v>
      </c>
      <c r="N748" s="10">
        <v>2016</v>
      </c>
      <c r="O748" s="10">
        <f>Table1[[#This Row],[NET Amount]]-Table1[[#This Row],[Paid Amount]]</f>
        <v>73722</v>
      </c>
      <c r="P748" s="2" t="s">
        <v>23</v>
      </c>
      <c r="Q748" s="2" t="s">
        <v>24</v>
      </c>
      <c r="R748" s="16">
        <f>(Table1[[#This Row],[NET Amount]]-Table1[[#This Row],[Total Outstanding Amount]])/Table1[[#This Row],[NET Amount]]</f>
        <v>2.6618078111383982E-2</v>
      </c>
      <c r="S748" s="2" t="s">
        <v>77</v>
      </c>
    </row>
    <row r="749" spans="1:19" x14ac:dyDescent="0.3">
      <c r="A749" s="4">
        <v>747</v>
      </c>
      <c r="B749" s="2" t="s">
        <v>2254</v>
      </c>
      <c r="C749" s="3">
        <v>44835</v>
      </c>
      <c r="D749" s="3" t="str">
        <f>TEXT(Table1[[#This Row],[Admission Date]],"MMMM")</f>
        <v>October</v>
      </c>
      <c r="E749" s="3">
        <v>44841</v>
      </c>
      <c r="F749" s="3">
        <v>44841</v>
      </c>
      <c r="G749" s="2">
        <v>22025960</v>
      </c>
      <c r="H749" s="2">
        <v>2234231</v>
      </c>
      <c r="I749" s="2">
        <v>1001547744</v>
      </c>
      <c r="J749" s="2" t="s">
        <v>692</v>
      </c>
      <c r="K749" s="10">
        <v>50986</v>
      </c>
      <c r="L749" s="10">
        <v>4026</v>
      </c>
      <c r="M749" s="10">
        <v>46960</v>
      </c>
      <c r="N749" s="10">
        <v>6700</v>
      </c>
      <c r="O749" s="10">
        <f>Table1[[#This Row],[NET Amount]]-Table1[[#This Row],[Paid Amount]]</f>
        <v>40260</v>
      </c>
      <c r="P749" s="2" t="s">
        <v>23</v>
      </c>
      <c r="Q749" s="2" t="s">
        <v>52</v>
      </c>
      <c r="R749" s="16">
        <f>(Table1[[#This Row],[NET Amount]]-Table1[[#This Row],[Total Outstanding Amount]])/Table1[[#This Row],[NET Amount]]</f>
        <v>0.14267461669505963</v>
      </c>
      <c r="S749" s="2" t="s">
        <v>20</v>
      </c>
    </row>
    <row r="750" spans="1:19" x14ac:dyDescent="0.3">
      <c r="A750" s="4">
        <v>748</v>
      </c>
      <c r="B750" s="2" t="s">
        <v>2244</v>
      </c>
      <c r="C750" s="3">
        <v>44835</v>
      </c>
      <c r="D750" s="3" t="str">
        <f>TEXT(Table1[[#This Row],[Admission Date]],"MMMM")</f>
        <v>October</v>
      </c>
      <c r="E750" s="3">
        <v>44835</v>
      </c>
      <c r="F750" s="3">
        <v>44835</v>
      </c>
      <c r="G750" s="2">
        <v>22025175</v>
      </c>
      <c r="H750" s="2">
        <v>2234225</v>
      </c>
      <c r="I750" s="2">
        <v>1001735831</v>
      </c>
      <c r="J750" s="2" t="s">
        <v>693</v>
      </c>
      <c r="K750" s="10">
        <v>2560</v>
      </c>
      <c r="L750" s="10">
        <v>0</v>
      </c>
      <c r="M750" s="10">
        <v>2560</v>
      </c>
      <c r="N750" s="10">
        <v>2560</v>
      </c>
      <c r="O750" s="10">
        <f>Table1[[#This Row],[NET Amount]]-Table1[[#This Row],[Paid Amount]]</f>
        <v>0</v>
      </c>
      <c r="P750" s="2" t="s">
        <v>18</v>
      </c>
      <c r="Q750" s="2" t="s">
        <v>54</v>
      </c>
      <c r="R750" s="16">
        <f>(Table1[[#This Row],[NET Amount]]-Table1[[#This Row],[Total Outstanding Amount]])/Table1[[#This Row],[NET Amount]]</f>
        <v>1</v>
      </c>
      <c r="S750" s="2" t="s">
        <v>97</v>
      </c>
    </row>
    <row r="751" spans="1:19" x14ac:dyDescent="0.3">
      <c r="A751" s="4">
        <v>749</v>
      </c>
      <c r="B751" s="2" t="s">
        <v>25</v>
      </c>
      <c r="C751" s="3">
        <v>44825</v>
      </c>
      <c r="D751" s="3" t="str">
        <f>TEXT(Table1[[#This Row],[Admission Date]],"MMMM")</f>
        <v>September</v>
      </c>
      <c r="E751" s="3">
        <v>44841</v>
      </c>
      <c r="F751" s="3">
        <v>44841</v>
      </c>
      <c r="G751" s="2">
        <v>22025990</v>
      </c>
      <c r="H751" s="2">
        <v>2232846</v>
      </c>
      <c r="I751" s="2">
        <v>10013472363</v>
      </c>
      <c r="J751" s="2" t="s">
        <v>694</v>
      </c>
      <c r="K751" s="10">
        <v>518775</v>
      </c>
      <c r="L751" s="10">
        <v>105749</v>
      </c>
      <c r="M751" s="10">
        <v>413026</v>
      </c>
      <c r="N751" s="10">
        <v>100000</v>
      </c>
      <c r="O751" s="10">
        <f>Table1[[#This Row],[NET Amount]]-Table1[[#This Row],[Paid Amount]]</f>
        <v>313026</v>
      </c>
      <c r="P751" s="2" t="s">
        <v>23</v>
      </c>
      <c r="Q751" s="2" t="s">
        <v>695</v>
      </c>
      <c r="R751" s="16">
        <f>(Table1[[#This Row],[NET Amount]]-Table1[[#This Row],[Total Outstanding Amount]])/Table1[[#This Row],[NET Amount]]</f>
        <v>0.24211550846677934</v>
      </c>
      <c r="S751" s="2" t="s">
        <v>20</v>
      </c>
    </row>
    <row r="752" spans="1:19" x14ac:dyDescent="0.3">
      <c r="A752" s="4">
        <v>750</v>
      </c>
      <c r="B752" s="2" t="s">
        <v>75</v>
      </c>
      <c r="C752" s="3">
        <v>44863</v>
      </c>
      <c r="D752" s="3" t="str">
        <f>TEXT(Table1[[#This Row],[Admission Date]],"MMMM")</f>
        <v>October</v>
      </c>
      <c r="E752" s="3">
        <v>44863</v>
      </c>
      <c r="F752" s="3">
        <v>44863</v>
      </c>
      <c r="G752" s="2">
        <v>22029059</v>
      </c>
      <c r="H752" s="2">
        <v>2237900</v>
      </c>
      <c r="I752" s="2">
        <v>10013355624</v>
      </c>
      <c r="J752" s="2" t="s">
        <v>696</v>
      </c>
      <c r="K752" s="10">
        <v>7825</v>
      </c>
      <c r="L752" s="10">
        <v>0</v>
      </c>
      <c r="M752" s="10">
        <v>7825</v>
      </c>
      <c r="N752" s="10">
        <v>252</v>
      </c>
      <c r="O752" s="10">
        <f>Table1[[#This Row],[NET Amount]]-Table1[[#This Row],[Paid Amount]]</f>
        <v>7573</v>
      </c>
      <c r="P752" s="2" t="s">
        <v>23</v>
      </c>
      <c r="Q752" s="2" t="s">
        <v>19</v>
      </c>
      <c r="R752" s="16">
        <f>(Table1[[#This Row],[NET Amount]]-Table1[[#This Row],[Total Outstanding Amount]])/Table1[[#This Row],[NET Amount]]</f>
        <v>3.2204472843450481E-2</v>
      </c>
      <c r="S752" s="2" t="s">
        <v>39</v>
      </c>
    </row>
    <row r="753" spans="1:19" x14ac:dyDescent="0.3">
      <c r="A753" s="4">
        <v>751</v>
      </c>
      <c r="B753" s="2" t="s">
        <v>139</v>
      </c>
      <c r="C753" s="3">
        <v>44837</v>
      </c>
      <c r="D753" s="3" t="str">
        <f>TEXT(Table1[[#This Row],[Admission Date]],"MMMM")</f>
        <v>October</v>
      </c>
      <c r="E753" s="3">
        <v>44837</v>
      </c>
      <c r="F753" s="3">
        <v>44837</v>
      </c>
      <c r="G753" s="2">
        <v>22025451</v>
      </c>
      <c r="H753" s="2">
        <v>2234439</v>
      </c>
      <c r="I753" s="2">
        <v>10013353354</v>
      </c>
      <c r="J753" s="2" t="s">
        <v>374</v>
      </c>
      <c r="K753" s="10">
        <v>2200</v>
      </c>
      <c r="L753" s="10">
        <v>0</v>
      </c>
      <c r="M753" s="10">
        <v>2200</v>
      </c>
      <c r="N753" s="10">
        <v>220</v>
      </c>
      <c r="O753" s="10">
        <f>Table1[[#This Row],[NET Amount]]-Table1[[#This Row],[Paid Amount]]</f>
        <v>1980</v>
      </c>
      <c r="P753" s="2" t="s">
        <v>23</v>
      </c>
      <c r="Q753" s="2" t="s">
        <v>147</v>
      </c>
      <c r="R753" s="16">
        <f>(Table1[[#This Row],[NET Amount]]-Table1[[#This Row],[Total Outstanding Amount]])/Table1[[#This Row],[NET Amount]]</f>
        <v>0.1</v>
      </c>
      <c r="S753" s="2" t="s">
        <v>97</v>
      </c>
    </row>
    <row r="754" spans="1:19" x14ac:dyDescent="0.3">
      <c r="A754" s="4">
        <v>752</v>
      </c>
      <c r="B754" s="2" t="s">
        <v>25</v>
      </c>
      <c r="C754" s="3">
        <v>44845</v>
      </c>
      <c r="D754" s="3" t="str">
        <f>TEXT(Table1[[#This Row],[Admission Date]],"MMMM")</f>
        <v>October</v>
      </c>
      <c r="E754" s="3">
        <v>44845</v>
      </c>
      <c r="F754" s="3">
        <v>44845</v>
      </c>
      <c r="G754" s="2">
        <v>22026621</v>
      </c>
      <c r="H754" s="2">
        <v>2235588</v>
      </c>
      <c r="I754" s="2">
        <v>10013352607</v>
      </c>
      <c r="J754" s="2" t="s">
        <v>305</v>
      </c>
      <c r="K754" s="10">
        <v>2844</v>
      </c>
      <c r="L754" s="10">
        <v>310</v>
      </c>
      <c r="M754" s="10">
        <v>2534</v>
      </c>
      <c r="N754" s="10">
        <v>2534</v>
      </c>
      <c r="O754" s="10">
        <f>Table1[[#This Row],[NET Amount]]-Table1[[#This Row],[Paid Amount]]</f>
        <v>0</v>
      </c>
      <c r="P754" s="2" t="s">
        <v>18</v>
      </c>
      <c r="Q754" s="2" t="s">
        <v>54</v>
      </c>
      <c r="R754" s="16">
        <f>(Table1[[#This Row],[NET Amount]]-Table1[[#This Row],[Total Outstanding Amount]])/Table1[[#This Row],[NET Amount]]</f>
        <v>1</v>
      </c>
      <c r="S754" s="2" t="s">
        <v>97</v>
      </c>
    </row>
    <row r="755" spans="1:19" x14ac:dyDescent="0.3">
      <c r="A755" s="4">
        <v>753</v>
      </c>
      <c r="B755" s="2" t="s">
        <v>520</v>
      </c>
      <c r="C755" s="3">
        <v>44833</v>
      </c>
      <c r="D755" s="3" t="str">
        <f>TEXT(Table1[[#This Row],[Admission Date]],"MMMM")</f>
        <v>September</v>
      </c>
      <c r="E755" s="3">
        <v>44843</v>
      </c>
      <c r="F755" s="3">
        <v>44843</v>
      </c>
      <c r="G755" s="2">
        <v>22026321</v>
      </c>
      <c r="H755" s="2">
        <v>2233997</v>
      </c>
      <c r="I755" s="2">
        <v>10013540903</v>
      </c>
      <c r="J755" s="2" t="s">
        <v>521</v>
      </c>
      <c r="K755" s="10">
        <v>165431</v>
      </c>
      <c r="L755" s="10">
        <v>0</v>
      </c>
      <c r="M755" s="10">
        <v>165431</v>
      </c>
      <c r="N755" s="10">
        <v>165431</v>
      </c>
      <c r="O755" s="10">
        <f>Table1[[#This Row],[NET Amount]]-Table1[[#This Row],[Paid Amount]]</f>
        <v>0</v>
      </c>
      <c r="P755" s="2" t="s">
        <v>18</v>
      </c>
      <c r="Q755" s="2" t="s">
        <v>30</v>
      </c>
      <c r="R755" s="16">
        <f>(Table1[[#This Row],[NET Amount]]-Table1[[#This Row],[Total Outstanding Amount]])/Table1[[#This Row],[NET Amount]]</f>
        <v>1</v>
      </c>
      <c r="S755" s="2" t="s">
        <v>20</v>
      </c>
    </row>
    <row r="756" spans="1:19" x14ac:dyDescent="0.3">
      <c r="A756" s="4">
        <v>754</v>
      </c>
      <c r="B756" s="2" t="s">
        <v>25</v>
      </c>
      <c r="C756" s="3">
        <v>44835</v>
      </c>
      <c r="D756" s="3" t="str">
        <f>TEXT(Table1[[#This Row],[Admission Date]],"MMMM")</f>
        <v>October</v>
      </c>
      <c r="E756" s="3">
        <v>44843</v>
      </c>
      <c r="F756" s="3">
        <v>44843</v>
      </c>
      <c r="G756" s="2">
        <v>22026270</v>
      </c>
      <c r="H756" s="2">
        <v>2234209</v>
      </c>
      <c r="I756" s="2">
        <v>10013369851</v>
      </c>
      <c r="J756" s="2" t="s">
        <v>697</v>
      </c>
      <c r="K756" s="10">
        <v>108237</v>
      </c>
      <c r="L756" s="10">
        <v>108237</v>
      </c>
      <c r="M756" s="10">
        <v>0</v>
      </c>
      <c r="N756" s="10">
        <v>0</v>
      </c>
      <c r="O756" s="10">
        <f>Table1[[#This Row],[NET Amount]]-Table1[[#This Row],[Paid Amount]]</f>
        <v>0</v>
      </c>
      <c r="P756" s="2" t="s">
        <v>18</v>
      </c>
      <c r="Q756" s="2" t="s">
        <v>90</v>
      </c>
      <c r="R756" s="16" t="e">
        <f>(Table1[[#This Row],[NET Amount]]-Table1[[#This Row],[Total Outstanding Amount]])/Table1[[#This Row],[NET Amount]]</f>
        <v>#DIV/0!</v>
      </c>
      <c r="S756" s="2" t="s">
        <v>20</v>
      </c>
    </row>
    <row r="757" spans="1:19" x14ac:dyDescent="0.3">
      <c r="A757" s="4">
        <v>755</v>
      </c>
      <c r="B757" s="2" t="s">
        <v>25</v>
      </c>
      <c r="C757" s="3">
        <v>44830</v>
      </c>
      <c r="D757" s="3" t="str">
        <f>TEXT(Table1[[#This Row],[Admission Date]],"MMMM")</f>
        <v>September</v>
      </c>
      <c r="E757" s="3">
        <v>44836</v>
      </c>
      <c r="F757" s="3">
        <v>44836</v>
      </c>
      <c r="G757" s="2">
        <v>22025272</v>
      </c>
      <c r="H757" s="2">
        <v>2233543</v>
      </c>
      <c r="I757" s="2">
        <v>10013540367</v>
      </c>
      <c r="J757" s="2" t="s">
        <v>698</v>
      </c>
      <c r="K757" s="10">
        <v>274772</v>
      </c>
      <c r="L757" s="10">
        <v>33506</v>
      </c>
      <c r="M757" s="10">
        <v>241265</v>
      </c>
      <c r="N757" s="10">
        <v>241265</v>
      </c>
      <c r="O757" s="10">
        <f>Table1[[#This Row],[NET Amount]]-Table1[[#This Row],[Paid Amount]]</f>
        <v>0</v>
      </c>
      <c r="P757" s="2" t="s">
        <v>18</v>
      </c>
      <c r="Q757" s="2" t="s">
        <v>24</v>
      </c>
      <c r="R757" s="16">
        <f>(Table1[[#This Row],[NET Amount]]-Table1[[#This Row],[Total Outstanding Amount]])/Table1[[#This Row],[NET Amount]]</f>
        <v>1</v>
      </c>
      <c r="S757" s="2" t="s">
        <v>32</v>
      </c>
    </row>
    <row r="758" spans="1:19" x14ac:dyDescent="0.3">
      <c r="A758" s="4">
        <v>756</v>
      </c>
      <c r="B758" s="2" t="s">
        <v>155</v>
      </c>
      <c r="C758" s="3">
        <v>44837</v>
      </c>
      <c r="D758" s="3" t="str">
        <f>TEXT(Table1[[#This Row],[Admission Date]],"MMMM")</f>
        <v>October</v>
      </c>
      <c r="E758" s="3">
        <v>44837</v>
      </c>
      <c r="F758" s="3">
        <v>44837</v>
      </c>
      <c r="G758" s="2">
        <v>22025343</v>
      </c>
      <c r="H758" s="2">
        <v>2234352</v>
      </c>
      <c r="I758" s="2">
        <v>10013521425</v>
      </c>
      <c r="J758" s="2" t="s">
        <v>156</v>
      </c>
      <c r="K758" s="10">
        <v>1610</v>
      </c>
      <c r="L758" s="10">
        <v>0</v>
      </c>
      <c r="M758" s="10">
        <v>1610</v>
      </c>
      <c r="N758" s="10">
        <v>1610</v>
      </c>
      <c r="O758" s="10">
        <f>Table1[[#This Row],[NET Amount]]-Table1[[#This Row],[Paid Amount]]</f>
        <v>0</v>
      </c>
      <c r="P758" s="2" t="s">
        <v>18</v>
      </c>
      <c r="Q758" s="2" t="s">
        <v>54</v>
      </c>
      <c r="R758" s="16">
        <f>(Table1[[#This Row],[NET Amount]]-Table1[[#This Row],[Total Outstanding Amount]])/Table1[[#This Row],[NET Amount]]</f>
        <v>1</v>
      </c>
      <c r="S758" s="2" t="s">
        <v>97</v>
      </c>
    </row>
    <row r="759" spans="1:19" x14ac:dyDescent="0.3">
      <c r="A759" s="4">
        <v>757</v>
      </c>
      <c r="B759" s="2" t="s">
        <v>25</v>
      </c>
      <c r="C759" s="3">
        <v>44837</v>
      </c>
      <c r="D759" s="3" t="str">
        <f>TEXT(Table1[[#This Row],[Admission Date]],"MMMM")</f>
        <v>October</v>
      </c>
      <c r="E759" s="3">
        <v>44837</v>
      </c>
      <c r="F759" s="3">
        <v>44837</v>
      </c>
      <c r="G759" s="2">
        <v>22025353</v>
      </c>
      <c r="H759" s="2">
        <v>2234375</v>
      </c>
      <c r="I759" s="2">
        <v>10013424453</v>
      </c>
      <c r="J759" s="2" t="s">
        <v>333</v>
      </c>
      <c r="K759" s="10">
        <v>4990</v>
      </c>
      <c r="L759" s="10">
        <v>419</v>
      </c>
      <c r="M759" s="10">
        <v>4571</v>
      </c>
      <c r="N759" s="10">
        <v>4571</v>
      </c>
      <c r="O759" s="10">
        <f>Table1[[#This Row],[NET Amount]]-Table1[[#This Row],[Paid Amount]]</f>
        <v>0</v>
      </c>
      <c r="P759" s="2" t="s">
        <v>18</v>
      </c>
      <c r="Q759" s="2" t="s">
        <v>54</v>
      </c>
      <c r="R759" s="16">
        <f>(Table1[[#This Row],[NET Amount]]-Table1[[#This Row],[Total Outstanding Amount]])/Table1[[#This Row],[NET Amount]]</f>
        <v>1</v>
      </c>
      <c r="S759" s="2" t="s">
        <v>97</v>
      </c>
    </row>
    <row r="760" spans="1:19" x14ac:dyDescent="0.3">
      <c r="A760" s="4">
        <v>758</v>
      </c>
      <c r="B760" s="2" t="s">
        <v>152</v>
      </c>
      <c r="C760" s="3">
        <v>44846</v>
      </c>
      <c r="D760" s="3" t="str">
        <f>TEXT(Table1[[#This Row],[Admission Date]],"MMMM")</f>
        <v>October</v>
      </c>
      <c r="E760" s="3">
        <v>44848</v>
      </c>
      <c r="F760" s="3">
        <v>44849</v>
      </c>
      <c r="G760" s="2">
        <v>22027135</v>
      </c>
      <c r="H760" s="2">
        <v>2235710</v>
      </c>
      <c r="I760" s="2">
        <v>10013517732</v>
      </c>
      <c r="J760" s="2" t="s">
        <v>699</v>
      </c>
      <c r="K760" s="10">
        <v>166464</v>
      </c>
      <c r="L760" s="10">
        <v>0</v>
      </c>
      <c r="M760" s="10">
        <v>166464</v>
      </c>
      <c r="N760" s="10">
        <v>12210</v>
      </c>
      <c r="O760" s="10">
        <f>Table1[[#This Row],[NET Amount]]-Table1[[#This Row],[Paid Amount]]</f>
        <v>154254</v>
      </c>
      <c r="P760" s="2" t="s">
        <v>23</v>
      </c>
      <c r="Q760" s="2" t="s">
        <v>30</v>
      </c>
      <c r="R760" s="16">
        <f>(Table1[[#This Row],[NET Amount]]-Table1[[#This Row],[Total Outstanding Amount]])/Table1[[#This Row],[NET Amount]]</f>
        <v>7.3349192618223757E-2</v>
      </c>
      <c r="S760" s="2" t="s">
        <v>39</v>
      </c>
    </row>
    <row r="761" spans="1:19" x14ac:dyDescent="0.3">
      <c r="A761" s="4">
        <v>759</v>
      </c>
      <c r="B761" s="2" t="s">
        <v>139</v>
      </c>
      <c r="C761" s="3">
        <v>44834</v>
      </c>
      <c r="D761" s="3" t="str">
        <f>TEXT(Table1[[#This Row],[Admission Date]],"MMMM")</f>
        <v>September</v>
      </c>
      <c r="E761" s="3">
        <v>44837</v>
      </c>
      <c r="F761" s="3">
        <v>44837</v>
      </c>
      <c r="G761" s="2">
        <v>22025365</v>
      </c>
      <c r="H761" s="2">
        <v>2234137</v>
      </c>
      <c r="I761" s="2">
        <v>1001801770</v>
      </c>
      <c r="J761" s="2" t="s">
        <v>700</v>
      </c>
      <c r="K761" s="10">
        <v>286856</v>
      </c>
      <c r="L761" s="10">
        <v>2883</v>
      </c>
      <c r="M761" s="10">
        <v>283973</v>
      </c>
      <c r="N761" s="10">
        <v>49454</v>
      </c>
      <c r="O761" s="10">
        <f>Table1[[#This Row],[NET Amount]]-Table1[[#This Row],[Paid Amount]]</f>
        <v>234519</v>
      </c>
      <c r="P761" s="2" t="s">
        <v>23</v>
      </c>
      <c r="Q761" s="2" t="s">
        <v>47</v>
      </c>
      <c r="R761" s="16">
        <f>(Table1[[#This Row],[NET Amount]]-Table1[[#This Row],[Total Outstanding Amount]])/Table1[[#This Row],[NET Amount]]</f>
        <v>0.17415035936515091</v>
      </c>
      <c r="S761" s="2" t="s">
        <v>39</v>
      </c>
    </row>
    <row r="762" spans="1:19" x14ac:dyDescent="0.3">
      <c r="A762" s="4">
        <v>760</v>
      </c>
      <c r="B762" s="2" t="s">
        <v>126</v>
      </c>
      <c r="C762" s="3">
        <v>44838</v>
      </c>
      <c r="D762" s="3" t="str">
        <f>TEXT(Table1[[#This Row],[Admission Date]],"MMMM")</f>
        <v>October</v>
      </c>
      <c r="E762" s="3">
        <v>44843</v>
      </c>
      <c r="F762" s="3">
        <v>44843</v>
      </c>
      <c r="G762" s="2">
        <v>22026242</v>
      </c>
      <c r="H762" s="2">
        <v>2234560</v>
      </c>
      <c r="I762" s="2">
        <v>10013441830</v>
      </c>
      <c r="J762" s="2" t="s">
        <v>701</v>
      </c>
      <c r="K762" s="10">
        <v>123518</v>
      </c>
      <c r="L762" s="10">
        <v>14329</v>
      </c>
      <c r="M762" s="10">
        <v>109189</v>
      </c>
      <c r="N762" s="10">
        <v>8616</v>
      </c>
      <c r="O762" s="10">
        <f>Table1[[#This Row],[NET Amount]]-Table1[[#This Row],[Paid Amount]]</f>
        <v>100573</v>
      </c>
      <c r="P762" s="2" t="s">
        <v>23</v>
      </c>
      <c r="Q762" s="2" t="s">
        <v>19</v>
      </c>
      <c r="R762" s="16">
        <f>(Table1[[#This Row],[NET Amount]]-Table1[[#This Row],[Total Outstanding Amount]])/Table1[[#This Row],[NET Amount]]</f>
        <v>7.8909047614686464E-2</v>
      </c>
      <c r="S762" s="2" t="s">
        <v>20</v>
      </c>
    </row>
    <row r="763" spans="1:19" x14ac:dyDescent="0.3">
      <c r="A763" s="4">
        <v>761</v>
      </c>
      <c r="B763" s="2" t="s">
        <v>2253</v>
      </c>
      <c r="C763" s="3">
        <v>44833</v>
      </c>
      <c r="D763" s="3" t="str">
        <f>TEXT(Table1[[#This Row],[Admission Date]],"MMMM")</f>
        <v>September</v>
      </c>
      <c r="E763" s="3">
        <v>44838</v>
      </c>
      <c r="F763" s="3">
        <v>44838</v>
      </c>
      <c r="G763" s="2">
        <v>22025520</v>
      </c>
      <c r="H763" s="2">
        <v>2233996</v>
      </c>
      <c r="I763" s="2">
        <v>1001703064</v>
      </c>
      <c r="J763" s="2" t="s">
        <v>433</v>
      </c>
      <c r="K763" s="10">
        <v>39030</v>
      </c>
      <c r="L763" s="10">
        <v>0</v>
      </c>
      <c r="M763" s="10">
        <v>39030</v>
      </c>
      <c r="N763" s="10">
        <v>1473</v>
      </c>
      <c r="O763" s="10">
        <f>Table1[[#This Row],[NET Amount]]-Table1[[#This Row],[Paid Amount]]</f>
        <v>37557</v>
      </c>
      <c r="P763" s="2" t="s">
        <v>23</v>
      </c>
      <c r="Q763" s="2" t="s">
        <v>24</v>
      </c>
      <c r="R763" s="16">
        <f>(Table1[[#This Row],[NET Amount]]-Table1[[#This Row],[Total Outstanding Amount]])/Table1[[#This Row],[NET Amount]]</f>
        <v>3.7740199846272096E-2</v>
      </c>
      <c r="S763" s="2" t="s">
        <v>20</v>
      </c>
    </row>
    <row r="764" spans="1:19" x14ac:dyDescent="0.3">
      <c r="A764" s="4">
        <v>762</v>
      </c>
      <c r="B764" s="2" t="s">
        <v>75</v>
      </c>
      <c r="C764" s="3">
        <v>44850</v>
      </c>
      <c r="D764" s="3" t="str">
        <f>TEXT(Table1[[#This Row],[Admission Date]],"MMMM")</f>
        <v>October</v>
      </c>
      <c r="E764" s="3">
        <v>44854</v>
      </c>
      <c r="F764" s="3">
        <v>44854</v>
      </c>
      <c r="G764" s="2">
        <v>22027912</v>
      </c>
      <c r="H764" s="2">
        <v>2236247</v>
      </c>
      <c r="I764" s="2">
        <v>1001016184</v>
      </c>
      <c r="J764" s="2" t="s">
        <v>702</v>
      </c>
      <c r="K764" s="10">
        <v>54864</v>
      </c>
      <c r="L764" s="10">
        <v>0</v>
      </c>
      <c r="M764" s="10">
        <v>54864</v>
      </c>
      <c r="N764" s="10">
        <v>1092</v>
      </c>
      <c r="O764" s="10">
        <f>Table1[[#This Row],[NET Amount]]-Table1[[#This Row],[Paid Amount]]</f>
        <v>53772</v>
      </c>
      <c r="P764" s="2" t="s">
        <v>23</v>
      </c>
      <c r="Q764" s="2" t="s">
        <v>24</v>
      </c>
      <c r="R764" s="16">
        <f>(Table1[[#This Row],[NET Amount]]-Table1[[#This Row],[Total Outstanding Amount]])/Table1[[#This Row],[NET Amount]]</f>
        <v>1.990376202974628E-2</v>
      </c>
      <c r="S764" s="2" t="s">
        <v>20</v>
      </c>
    </row>
    <row r="765" spans="1:19" x14ac:dyDescent="0.3">
      <c r="A765" s="4">
        <v>763</v>
      </c>
      <c r="B765" s="2" t="s">
        <v>25</v>
      </c>
      <c r="C765" s="3">
        <v>44842</v>
      </c>
      <c r="D765" s="3" t="str">
        <f>TEXT(Table1[[#This Row],[Admission Date]],"MMMM")</f>
        <v>October</v>
      </c>
      <c r="E765" s="3">
        <v>44842</v>
      </c>
      <c r="F765" s="3">
        <v>44842</v>
      </c>
      <c r="G765" s="2">
        <v>22026148</v>
      </c>
      <c r="H765" s="2">
        <v>2235173</v>
      </c>
      <c r="I765" s="2">
        <v>10013526375</v>
      </c>
      <c r="J765" s="2" t="s">
        <v>241</v>
      </c>
      <c r="K765" s="10">
        <v>4990</v>
      </c>
      <c r="L765" s="10">
        <v>415</v>
      </c>
      <c r="M765" s="10">
        <v>4575</v>
      </c>
      <c r="N765" s="10">
        <v>4575</v>
      </c>
      <c r="O765" s="10">
        <f>Table1[[#This Row],[NET Amount]]-Table1[[#This Row],[Paid Amount]]</f>
        <v>0</v>
      </c>
      <c r="P765" s="2" t="s">
        <v>18</v>
      </c>
      <c r="Q765" s="2" t="s">
        <v>54</v>
      </c>
      <c r="R765" s="16">
        <f>(Table1[[#This Row],[NET Amount]]-Table1[[#This Row],[Total Outstanding Amount]])/Table1[[#This Row],[NET Amount]]</f>
        <v>1</v>
      </c>
      <c r="S765" s="2" t="s">
        <v>97</v>
      </c>
    </row>
    <row r="766" spans="1:19" x14ac:dyDescent="0.3">
      <c r="A766" s="4">
        <v>764</v>
      </c>
      <c r="B766" s="2" t="s">
        <v>163</v>
      </c>
      <c r="C766" s="3">
        <v>44833</v>
      </c>
      <c r="D766" s="3" t="str">
        <f>TEXT(Table1[[#This Row],[Admission Date]],"MMMM")</f>
        <v>September</v>
      </c>
      <c r="E766" s="3">
        <v>44836</v>
      </c>
      <c r="F766" s="3">
        <v>44836</v>
      </c>
      <c r="G766" s="2">
        <v>22025269</v>
      </c>
      <c r="H766" s="2">
        <v>2233995</v>
      </c>
      <c r="I766" s="2">
        <v>1001801573</v>
      </c>
      <c r="J766" s="2" t="s">
        <v>703</v>
      </c>
      <c r="K766" s="10">
        <v>272536</v>
      </c>
      <c r="L766" s="10">
        <v>0</v>
      </c>
      <c r="M766" s="10">
        <v>272536</v>
      </c>
      <c r="N766" s="10">
        <v>2128</v>
      </c>
      <c r="O766" s="10">
        <f>Table1[[#This Row],[NET Amount]]-Table1[[#This Row],[Paid Amount]]</f>
        <v>270408</v>
      </c>
      <c r="P766" s="2" t="s">
        <v>23</v>
      </c>
      <c r="Q766" s="2" t="s">
        <v>104</v>
      </c>
      <c r="R766" s="16">
        <f>(Table1[[#This Row],[NET Amount]]-Table1[[#This Row],[Total Outstanding Amount]])/Table1[[#This Row],[NET Amount]]</f>
        <v>7.8081427774679309E-3</v>
      </c>
      <c r="S766" s="2" t="s">
        <v>201</v>
      </c>
    </row>
    <row r="767" spans="1:19" x14ac:dyDescent="0.3">
      <c r="A767" s="4">
        <v>765</v>
      </c>
      <c r="B767" s="2" t="s">
        <v>2244</v>
      </c>
      <c r="C767" s="3">
        <v>44838</v>
      </c>
      <c r="D767" s="3" t="str">
        <f>TEXT(Table1[[#This Row],[Admission Date]],"MMMM")</f>
        <v>October</v>
      </c>
      <c r="E767" s="3">
        <v>44838</v>
      </c>
      <c r="F767" s="3">
        <v>44838</v>
      </c>
      <c r="G767" s="2">
        <v>22025562</v>
      </c>
      <c r="H767" s="2">
        <v>2234565</v>
      </c>
      <c r="I767" s="2">
        <v>1001797549</v>
      </c>
      <c r="J767" s="2" t="s">
        <v>121</v>
      </c>
      <c r="K767" s="10">
        <v>1610</v>
      </c>
      <c r="L767" s="10">
        <v>0</v>
      </c>
      <c r="M767" s="10">
        <v>1610</v>
      </c>
      <c r="N767" s="10">
        <v>1610</v>
      </c>
      <c r="O767" s="10">
        <f>Table1[[#This Row],[NET Amount]]-Table1[[#This Row],[Paid Amount]]</f>
        <v>0</v>
      </c>
      <c r="P767" s="2" t="s">
        <v>18</v>
      </c>
      <c r="Q767" s="2" t="s">
        <v>54</v>
      </c>
      <c r="R767" s="16">
        <f>(Table1[[#This Row],[NET Amount]]-Table1[[#This Row],[Total Outstanding Amount]])/Table1[[#This Row],[NET Amount]]</f>
        <v>1</v>
      </c>
      <c r="S767" s="2" t="s">
        <v>97</v>
      </c>
    </row>
    <row r="768" spans="1:19" x14ac:dyDescent="0.3">
      <c r="A768" s="4">
        <v>766</v>
      </c>
      <c r="B768" s="2" t="s">
        <v>25</v>
      </c>
      <c r="C768" s="3">
        <v>44836</v>
      </c>
      <c r="D768" s="3" t="str">
        <f>TEXT(Table1[[#This Row],[Admission Date]],"MMMM")</f>
        <v>October</v>
      </c>
      <c r="E768" s="3">
        <v>44837</v>
      </c>
      <c r="F768" s="3">
        <v>44837</v>
      </c>
      <c r="G768" s="2">
        <v>22025381</v>
      </c>
      <c r="H768" s="2">
        <v>2234321</v>
      </c>
      <c r="I768" s="2">
        <v>10013541242</v>
      </c>
      <c r="J768" s="2" t="s">
        <v>704</v>
      </c>
      <c r="K768" s="10">
        <v>29222</v>
      </c>
      <c r="L768" s="10">
        <v>620</v>
      </c>
      <c r="M768" s="10">
        <v>28602</v>
      </c>
      <c r="N768" s="10">
        <v>28602</v>
      </c>
      <c r="O768" s="10">
        <f>Table1[[#This Row],[NET Amount]]-Table1[[#This Row],[Paid Amount]]</f>
        <v>0</v>
      </c>
      <c r="P768" s="2" t="s">
        <v>18</v>
      </c>
      <c r="Q768" s="2" t="s">
        <v>24</v>
      </c>
      <c r="R768" s="16">
        <f>(Table1[[#This Row],[NET Amount]]-Table1[[#This Row],[Total Outstanding Amount]])/Table1[[#This Row],[NET Amount]]</f>
        <v>1</v>
      </c>
      <c r="S768" s="2" t="s">
        <v>39</v>
      </c>
    </row>
    <row r="769" spans="1:19" x14ac:dyDescent="0.3">
      <c r="A769" s="4">
        <v>767</v>
      </c>
      <c r="B769" s="2" t="s">
        <v>25</v>
      </c>
      <c r="C769" s="3">
        <v>44855</v>
      </c>
      <c r="D769" s="3" t="str">
        <f>TEXT(Table1[[#This Row],[Admission Date]],"MMMM")</f>
        <v>October</v>
      </c>
      <c r="E769" s="3">
        <v>44855</v>
      </c>
      <c r="F769" s="3">
        <v>44855</v>
      </c>
      <c r="G769" s="2">
        <v>22028072</v>
      </c>
      <c r="H769" s="2">
        <v>2236908</v>
      </c>
      <c r="I769" s="2">
        <v>1000891328</v>
      </c>
      <c r="J769" s="2" t="s">
        <v>367</v>
      </c>
      <c r="K769" s="10">
        <v>3288</v>
      </c>
      <c r="L769" s="10">
        <v>3288</v>
      </c>
      <c r="M769" s="10">
        <v>0</v>
      </c>
      <c r="N769" s="10">
        <v>0</v>
      </c>
      <c r="O769" s="10">
        <f>Table1[[#This Row],[NET Amount]]-Table1[[#This Row],[Paid Amount]]</f>
        <v>0</v>
      </c>
      <c r="P769" s="2" t="s">
        <v>18</v>
      </c>
      <c r="Q769" s="2" t="s">
        <v>90</v>
      </c>
      <c r="R769" s="16" t="e">
        <f>(Table1[[#This Row],[NET Amount]]-Table1[[#This Row],[Total Outstanding Amount]])/Table1[[#This Row],[NET Amount]]</f>
        <v>#DIV/0!</v>
      </c>
      <c r="S769" s="2" t="s">
        <v>97</v>
      </c>
    </row>
    <row r="770" spans="1:19" x14ac:dyDescent="0.3">
      <c r="A770" s="4">
        <v>768</v>
      </c>
      <c r="B770" s="2" t="s">
        <v>126</v>
      </c>
      <c r="C770" s="3">
        <v>44857</v>
      </c>
      <c r="D770" s="3" t="str">
        <f>TEXT(Table1[[#This Row],[Admission Date]],"MMMM")</f>
        <v>October</v>
      </c>
      <c r="E770" s="3">
        <v>44860</v>
      </c>
      <c r="F770" s="3">
        <v>44860</v>
      </c>
      <c r="G770" s="2">
        <v>22028612</v>
      </c>
      <c r="H770" s="2">
        <v>2237175</v>
      </c>
      <c r="I770" s="2">
        <v>10013543651</v>
      </c>
      <c r="J770" s="2" t="s">
        <v>705</v>
      </c>
      <c r="K770" s="10">
        <v>59467</v>
      </c>
      <c r="L770" s="10">
        <v>7456</v>
      </c>
      <c r="M770" s="10">
        <v>52011</v>
      </c>
      <c r="N770" s="10">
        <v>4081</v>
      </c>
      <c r="O770" s="10">
        <f>Table1[[#This Row],[NET Amount]]-Table1[[#This Row],[Paid Amount]]</f>
        <v>47930</v>
      </c>
      <c r="P770" s="2" t="s">
        <v>23</v>
      </c>
      <c r="Q770" s="2" t="s">
        <v>19</v>
      </c>
      <c r="R770" s="16">
        <f>(Table1[[#This Row],[NET Amount]]-Table1[[#This Row],[Total Outstanding Amount]])/Table1[[#This Row],[NET Amount]]</f>
        <v>7.8464171040741382E-2</v>
      </c>
      <c r="S770" s="2" t="s">
        <v>20</v>
      </c>
    </row>
    <row r="771" spans="1:19" x14ac:dyDescent="0.3">
      <c r="A771" s="4">
        <v>769</v>
      </c>
      <c r="B771" s="2" t="s">
        <v>25</v>
      </c>
      <c r="C771" s="3">
        <v>44833</v>
      </c>
      <c r="D771" s="3" t="str">
        <f>TEXT(Table1[[#This Row],[Admission Date]],"MMMM")</f>
        <v>September</v>
      </c>
      <c r="E771" s="3">
        <v>44835</v>
      </c>
      <c r="F771" s="3">
        <v>44835</v>
      </c>
      <c r="G771" s="2">
        <v>22025122</v>
      </c>
      <c r="H771" s="2">
        <v>2233957</v>
      </c>
      <c r="I771" s="2">
        <v>10013486193</v>
      </c>
      <c r="J771" s="2" t="s">
        <v>223</v>
      </c>
      <c r="K771" s="10">
        <v>89466</v>
      </c>
      <c r="L771" s="10">
        <v>89466</v>
      </c>
      <c r="M771" s="10">
        <v>0</v>
      </c>
      <c r="N771" s="10">
        <v>0</v>
      </c>
      <c r="O771" s="10">
        <f>Table1[[#This Row],[NET Amount]]-Table1[[#This Row],[Paid Amount]]</f>
        <v>0</v>
      </c>
      <c r="P771" s="2" t="s">
        <v>18</v>
      </c>
      <c r="Q771" s="2" t="s">
        <v>90</v>
      </c>
      <c r="R771" s="16" t="e">
        <f>(Table1[[#This Row],[NET Amount]]-Table1[[#This Row],[Total Outstanding Amount]])/Table1[[#This Row],[NET Amount]]</f>
        <v>#DIV/0!</v>
      </c>
      <c r="S771" s="2" t="s">
        <v>77</v>
      </c>
    </row>
    <row r="772" spans="1:19" x14ac:dyDescent="0.3">
      <c r="A772" s="4">
        <v>770</v>
      </c>
      <c r="B772" s="2" t="s">
        <v>91</v>
      </c>
      <c r="C772" s="3">
        <v>44844</v>
      </c>
      <c r="D772" s="3" t="str">
        <f>TEXT(Table1[[#This Row],[Admission Date]],"MMMM")</f>
        <v>October</v>
      </c>
      <c r="E772" s="3">
        <v>44847</v>
      </c>
      <c r="F772" s="3">
        <v>44847</v>
      </c>
      <c r="G772" s="2">
        <v>22026835</v>
      </c>
      <c r="H772" s="2">
        <v>2235417</v>
      </c>
      <c r="I772" s="2">
        <v>10013470461</v>
      </c>
      <c r="J772" s="2" t="s">
        <v>706</v>
      </c>
      <c r="K772" s="10">
        <v>79015</v>
      </c>
      <c r="L772" s="10">
        <v>0</v>
      </c>
      <c r="M772" s="10">
        <v>79015</v>
      </c>
      <c r="N772" s="10">
        <v>1500</v>
      </c>
      <c r="O772" s="10">
        <f>Table1[[#This Row],[NET Amount]]-Table1[[#This Row],[Paid Amount]]</f>
        <v>77515</v>
      </c>
      <c r="P772" s="2" t="s">
        <v>23</v>
      </c>
      <c r="Q772" s="2" t="s">
        <v>30</v>
      </c>
      <c r="R772" s="16">
        <f>(Table1[[#This Row],[NET Amount]]-Table1[[#This Row],[Total Outstanding Amount]])/Table1[[#This Row],[NET Amount]]</f>
        <v>1.898373726507625E-2</v>
      </c>
      <c r="S772" s="2" t="s">
        <v>27</v>
      </c>
    </row>
    <row r="773" spans="1:19" x14ac:dyDescent="0.3">
      <c r="A773" s="4">
        <v>771</v>
      </c>
      <c r="B773" s="2" t="s">
        <v>75</v>
      </c>
      <c r="C773" s="3">
        <v>44838</v>
      </c>
      <c r="D773" s="3" t="str">
        <f>TEXT(Table1[[#This Row],[Admission Date]],"MMMM")</f>
        <v>October</v>
      </c>
      <c r="E773" s="3">
        <v>44843</v>
      </c>
      <c r="F773" s="3">
        <v>44843</v>
      </c>
      <c r="G773" s="2">
        <v>22026241</v>
      </c>
      <c r="H773" s="2">
        <v>2234650</v>
      </c>
      <c r="I773" s="2">
        <v>1001352014</v>
      </c>
      <c r="J773" s="2" t="s">
        <v>707</v>
      </c>
      <c r="K773" s="10">
        <v>121231</v>
      </c>
      <c r="L773" s="10">
        <v>0</v>
      </c>
      <c r="M773" s="10">
        <v>121231</v>
      </c>
      <c r="N773" s="10">
        <v>4920</v>
      </c>
      <c r="O773" s="10">
        <f>Table1[[#This Row],[NET Amount]]-Table1[[#This Row],[Paid Amount]]</f>
        <v>116311</v>
      </c>
      <c r="P773" s="2" t="s">
        <v>23</v>
      </c>
      <c r="Q773" s="2" t="s">
        <v>24</v>
      </c>
      <c r="R773" s="16">
        <f>(Table1[[#This Row],[NET Amount]]-Table1[[#This Row],[Total Outstanding Amount]])/Table1[[#This Row],[NET Amount]]</f>
        <v>4.0583679091981427E-2</v>
      </c>
      <c r="S773" s="2" t="s">
        <v>20</v>
      </c>
    </row>
    <row r="774" spans="1:19" x14ac:dyDescent="0.3">
      <c r="A774" s="4">
        <v>772</v>
      </c>
      <c r="B774" s="2" t="s">
        <v>75</v>
      </c>
      <c r="C774" s="3">
        <v>44813</v>
      </c>
      <c r="D774" s="3" t="str">
        <f>TEXT(Table1[[#This Row],[Admission Date]],"MMMM")</f>
        <v>September</v>
      </c>
      <c r="E774" s="3">
        <v>44847</v>
      </c>
      <c r="F774" s="3">
        <v>44847</v>
      </c>
      <c r="G774" s="2">
        <v>22026886</v>
      </c>
      <c r="H774" s="2">
        <v>2231253</v>
      </c>
      <c r="I774" s="2">
        <v>1001529079</v>
      </c>
      <c r="J774" s="2" t="s">
        <v>708</v>
      </c>
      <c r="K774" s="10">
        <v>578470</v>
      </c>
      <c r="L774" s="10">
        <v>0</v>
      </c>
      <c r="M774" s="10">
        <v>578470</v>
      </c>
      <c r="N774" s="10">
        <v>18200</v>
      </c>
      <c r="O774" s="10">
        <f>Table1[[#This Row],[NET Amount]]-Table1[[#This Row],[Paid Amount]]</f>
        <v>560270</v>
      </c>
      <c r="P774" s="2" t="s">
        <v>23</v>
      </c>
      <c r="Q774" s="2" t="s">
        <v>19</v>
      </c>
      <c r="R774" s="16">
        <f>(Table1[[#This Row],[NET Amount]]-Table1[[#This Row],[Total Outstanding Amount]])/Table1[[#This Row],[NET Amount]]</f>
        <v>3.1462305737549053E-2</v>
      </c>
      <c r="S774" s="2" t="s">
        <v>20</v>
      </c>
    </row>
    <row r="775" spans="1:19" x14ac:dyDescent="0.3">
      <c r="A775" s="4">
        <v>773</v>
      </c>
      <c r="B775" s="2" t="s">
        <v>709</v>
      </c>
      <c r="C775" s="3">
        <v>44846</v>
      </c>
      <c r="D775" s="3" t="str">
        <f>TEXT(Table1[[#This Row],[Admission Date]],"MMMM")</f>
        <v>October</v>
      </c>
      <c r="E775" s="3">
        <v>44849</v>
      </c>
      <c r="F775" s="3">
        <v>44849</v>
      </c>
      <c r="G775" s="2">
        <v>22027191</v>
      </c>
      <c r="H775" s="2">
        <v>2235621</v>
      </c>
      <c r="I775" s="2">
        <v>10013542626</v>
      </c>
      <c r="J775" s="2" t="s">
        <v>710</v>
      </c>
      <c r="K775" s="10">
        <v>74536</v>
      </c>
      <c r="L775" s="10">
        <v>0</v>
      </c>
      <c r="M775" s="10">
        <v>74536</v>
      </c>
      <c r="N775" s="10">
        <v>74536</v>
      </c>
      <c r="O775" s="10">
        <f>Table1[[#This Row],[NET Amount]]-Table1[[#This Row],[Paid Amount]]</f>
        <v>0</v>
      </c>
      <c r="P775" s="2" t="s">
        <v>18</v>
      </c>
      <c r="Q775" s="2" t="s">
        <v>19</v>
      </c>
      <c r="R775" s="16">
        <f>(Table1[[#This Row],[NET Amount]]-Table1[[#This Row],[Total Outstanding Amount]])/Table1[[#This Row],[NET Amount]]</f>
        <v>1</v>
      </c>
      <c r="S775" s="2" t="s">
        <v>20</v>
      </c>
    </row>
    <row r="776" spans="1:19" x14ac:dyDescent="0.3">
      <c r="A776" s="4">
        <v>774</v>
      </c>
      <c r="B776" s="2" t="s">
        <v>21</v>
      </c>
      <c r="C776" s="3">
        <v>44844</v>
      </c>
      <c r="D776" s="3" t="str">
        <f>TEXT(Table1[[#This Row],[Admission Date]],"MMMM")</f>
        <v>October</v>
      </c>
      <c r="E776" s="3">
        <v>44848</v>
      </c>
      <c r="F776" s="3">
        <v>44848</v>
      </c>
      <c r="G776" s="2">
        <v>22027079</v>
      </c>
      <c r="H776" s="2">
        <v>2235412</v>
      </c>
      <c r="I776" s="2">
        <v>10013542393</v>
      </c>
      <c r="J776" s="2" t="s">
        <v>711</v>
      </c>
      <c r="K776" s="10">
        <v>25995</v>
      </c>
      <c r="L776" s="10">
        <v>0</v>
      </c>
      <c r="M776" s="10">
        <v>25995</v>
      </c>
      <c r="N776" s="10">
        <v>25995</v>
      </c>
      <c r="O776" s="10">
        <f>Table1[[#This Row],[NET Amount]]-Table1[[#This Row],[Paid Amount]]</f>
        <v>0</v>
      </c>
      <c r="P776" s="2" t="s">
        <v>18</v>
      </c>
      <c r="Q776" s="2" t="s">
        <v>24</v>
      </c>
      <c r="R776" s="16">
        <f>(Table1[[#This Row],[NET Amount]]-Table1[[#This Row],[Total Outstanding Amount]])/Table1[[#This Row],[NET Amount]]</f>
        <v>1</v>
      </c>
      <c r="S776" s="2" t="s">
        <v>57</v>
      </c>
    </row>
    <row r="777" spans="1:19" x14ac:dyDescent="0.3">
      <c r="A777" s="4">
        <v>775</v>
      </c>
      <c r="B777" s="2" t="s">
        <v>25</v>
      </c>
      <c r="C777" s="3">
        <v>44841</v>
      </c>
      <c r="D777" s="3" t="str">
        <f>TEXT(Table1[[#This Row],[Admission Date]],"MMMM")</f>
        <v>October</v>
      </c>
      <c r="E777" s="3">
        <v>44841</v>
      </c>
      <c r="F777" s="3">
        <v>44841</v>
      </c>
      <c r="G777" s="2">
        <v>22026058</v>
      </c>
      <c r="H777" s="2">
        <v>2235096</v>
      </c>
      <c r="I777" s="2">
        <v>1001012376</v>
      </c>
      <c r="J777" s="2" t="s">
        <v>541</v>
      </c>
      <c r="K777" s="10">
        <v>2794</v>
      </c>
      <c r="L777" s="10">
        <v>2794</v>
      </c>
      <c r="M777" s="10">
        <v>0</v>
      </c>
      <c r="N777" s="10">
        <v>0</v>
      </c>
      <c r="O777" s="10">
        <f>Table1[[#This Row],[NET Amount]]-Table1[[#This Row],[Paid Amount]]</f>
        <v>0</v>
      </c>
      <c r="P777" s="2" t="s">
        <v>18</v>
      </c>
      <c r="Q777" s="2" t="s">
        <v>90</v>
      </c>
      <c r="R777" s="16" t="e">
        <f>(Table1[[#This Row],[NET Amount]]-Table1[[#This Row],[Total Outstanding Amount]])/Table1[[#This Row],[NET Amount]]</f>
        <v>#DIV/0!</v>
      </c>
      <c r="S777" s="2" t="s">
        <v>97</v>
      </c>
    </row>
    <row r="778" spans="1:19" x14ac:dyDescent="0.3">
      <c r="A778" s="4">
        <v>776</v>
      </c>
      <c r="B778" s="2" t="s">
        <v>25</v>
      </c>
      <c r="C778" s="3">
        <v>44838</v>
      </c>
      <c r="D778" s="3" t="str">
        <f>TEXT(Table1[[#This Row],[Admission Date]],"MMMM")</f>
        <v>October</v>
      </c>
      <c r="E778" s="3">
        <v>44838</v>
      </c>
      <c r="F778" s="3">
        <v>44838</v>
      </c>
      <c r="G778" s="2">
        <v>22025632</v>
      </c>
      <c r="H778" s="2">
        <v>2234643</v>
      </c>
      <c r="I778" s="2">
        <v>1001110018</v>
      </c>
      <c r="J778" s="2" t="s">
        <v>254</v>
      </c>
      <c r="K778" s="10">
        <v>2794</v>
      </c>
      <c r="L778" s="10">
        <v>2794</v>
      </c>
      <c r="M778" s="10">
        <v>0</v>
      </c>
      <c r="N778" s="10">
        <v>0</v>
      </c>
      <c r="O778" s="10">
        <f>Table1[[#This Row],[NET Amount]]-Table1[[#This Row],[Paid Amount]]</f>
        <v>0</v>
      </c>
      <c r="P778" s="2" t="s">
        <v>18</v>
      </c>
      <c r="Q778" s="2" t="s">
        <v>90</v>
      </c>
      <c r="R778" s="16" t="e">
        <f>(Table1[[#This Row],[NET Amount]]-Table1[[#This Row],[Total Outstanding Amount]])/Table1[[#This Row],[NET Amount]]</f>
        <v>#DIV/0!</v>
      </c>
      <c r="S778" s="2" t="s">
        <v>97</v>
      </c>
    </row>
    <row r="779" spans="1:19" x14ac:dyDescent="0.3">
      <c r="A779" s="4">
        <v>777</v>
      </c>
      <c r="B779" s="2" t="s">
        <v>25</v>
      </c>
      <c r="C779" s="3">
        <v>44846</v>
      </c>
      <c r="D779" s="3" t="str">
        <f>TEXT(Table1[[#This Row],[Admission Date]],"MMMM")</f>
        <v>October</v>
      </c>
      <c r="E779" s="3">
        <v>44848</v>
      </c>
      <c r="F779" s="3">
        <v>44848</v>
      </c>
      <c r="G779" s="2">
        <v>22027058</v>
      </c>
      <c r="H779" s="2">
        <v>2235759</v>
      </c>
      <c r="I779" s="2">
        <v>10013329154</v>
      </c>
      <c r="J779" s="2" t="s">
        <v>712</v>
      </c>
      <c r="K779" s="10">
        <v>118774</v>
      </c>
      <c r="L779" s="10">
        <v>10136</v>
      </c>
      <c r="M779" s="10">
        <v>108638</v>
      </c>
      <c r="N779" s="10">
        <v>108638</v>
      </c>
      <c r="O779" s="10">
        <f>Table1[[#This Row],[NET Amount]]-Table1[[#This Row],[Paid Amount]]</f>
        <v>0</v>
      </c>
      <c r="P779" s="2" t="s">
        <v>18</v>
      </c>
      <c r="Q779" s="2" t="s">
        <v>88</v>
      </c>
      <c r="R779" s="16">
        <f>(Table1[[#This Row],[NET Amount]]-Table1[[#This Row],[Total Outstanding Amount]])/Table1[[#This Row],[NET Amount]]</f>
        <v>1</v>
      </c>
      <c r="S779" s="2" t="s">
        <v>65</v>
      </c>
    </row>
    <row r="780" spans="1:19" x14ac:dyDescent="0.3">
      <c r="A780" s="4">
        <v>778</v>
      </c>
      <c r="B780" s="2" t="s">
        <v>139</v>
      </c>
      <c r="C780" s="3">
        <v>44851</v>
      </c>
      <c r="D780" s="3" t="str">
        <f>TEXT(Table1[[#This Row],[Admission Date]],"MMMM")</f>
        <v>October</v>
      </c>
      <c r="E780" s="3">
        <v>44851</v>
      </c>
      <c r="F780" s="3">
        <v>44851</v>
      </c>
      <c r="G780" s="2">
        <v>22027494</v>
      </c>
      <c r="H780" s="2">
        <v>2236388</v>
      </c>
      <c r="I780" s="2">
        <v>10013353354</v>
      </c>
      <c r="J780" s="2" t="s">
        <v>374</v>
      </c>
      <c r="K780" s="10">
        <v>2200</v>
      </c>
      <c r="L780" s="10">
        <v>0</v>
      </c>
      <c r="M780" s="10">
        <v>2200</v>
      </c>
      <c r="N780" s="10">
        <v>220</v>
      </c>
      <c r="O780" s="10">
        <f>Table1[[#This Row],[NET Amount]]-Table1[[#This Row],[Paid Amount]]</f>
        <v>1980</v>
      </c>
      <c r="P780" s="2" t="s">
        <v>23</v>
      </c>
      <c r="Q780" s="2" t="s">
        <v>147</v>
      </c>
      <c r="R780" s="16">
        <f>(Table1[[#This Row],[NET Amount]]-Table1[[#This Row],[Total Outstanding Amount]])/Table1[[#This Row],[NET Amount]]</f>
        <v>0.1</v>
      </c>
      <c r="S780" s="2" t="s">
        <v>97</v>
      </c>
    </row>
    <row r="781" spans="1:19" x14ac:dyDescent="0.3">
      <c r="A781" s="4">
        <v>779</v>
      </c>
      <c r="B781" s="2" t="s">
        <v>25</v>
      </c>
      <c r="C781" s="3">
        <v>44849</v>
      </c>
      <c r="D781" s="3" t="str">
        <f>TEXT(Table1[[#This Row],[Admission Date]],"MMMM")</f>
        <v>October</v>
      </c>
      <c r="E781" s="3">
        <v>44851</v>
      </c>
      <c r="F781" s="3">
        <v>44851</v>
      </c>
      <c r="G781" s="2">
        <v>22027395</v>
      </c>
      <c r="H781" s="2">
        <v>2236182</v>
      </c>
      <c r="I781" s="2">
        <v>10013543208</v>
      </c>
      <c r="J781" s="2" t="s">
        <v>713</v>
      </c>
      <c r="K781" s="10">
        <v>205191</v>
      </c>
      <c r="L781" s="10">
        <v>29574</v>
      </c>
      <c r="M781" s="10">
        <v>175617</v>
      </c>
      <c r="N781" s="10">
        <v>175617</v>
      </c>
      <c r="O781" s="10">
        <f>Table1[[#This Row],[NET Amount]]-Table1[[#This Row],[Paid Amount]]</f>
        <v>0</v>
      </c>
      <c r="P781" s="2" t="s">
        <v>18</v>
      </c>
      <c r="Q781" s="2" t="s">
        <v>69</v>
      </c>
      <c r="R781" s="16">
        <f>(Table1[[#This Row],[NET Amount]]-Table1[[#This Row],[Total Outstanding Amount]])/Table1[[#This Row],[NET Amount]]</f>
        <v>1</v>
      </c>
      <c r="S781" s="2" t="s">
        <v>39</v>
      </c>
    </row>
    <row r="782" spans="1:19" x14ac:dyDescent="0.3">
      <c r="A782" s="4">
        <v>780</v>
      </c>
      <c r="B782" s="2" t="s">
        <v>45</v>
      </c>
      <c r="C782" s="3">
        <v>44853</v>
      </c>
      <c r="D782" s="3" t="str">
        <f>TEXT(Table1[[#This Row],[Admission Date]],"MMMM")</f>
        <v>October</v>
      </c>
      <c r="E782" s="3">
        <v>44854</v>
      </c>
      <c r="F782" s="3">
        <v>44854</v>
      </c>
      <c r="G782" s="2">
        <v>22027915</v>
      </c>
      <c r="H782" s="2">
        <v>2236640</v>
      </c>
      <c r="I782" s="2">
        <v>10013536417</v>
      </c>
      <c r="J782" s="2" t="s">
        <v>398</v>
      </c>
      <c r="K782" s="10">
        <v>64510</v>
      </c>
      <c r="L782" s="10">
        <v>9151</v>
      </c>
      <c r="M782" s="10">
        <v>55359</v>
      </c>
      <c r="N782" s="10">
        <v>7228</v>
      </c>
      <c r="O782" s="10">
        <f>Table1[[#This Row],[NET Amount]]-Table1[[#This Row],[Paid Amount]]</f>
        <v>48131</v>
      </c>
      <c r="P782" s="2" t="s">
        <v>23</v>
      </c>
      <c r="Q782" s="2" t="s">
        <v>47</v>
      </c>
      <c r="R782" s="16">
        <f>(Table1[[#This Row],[NET Amount]]-Table1[[#This Row],[Total Outstanding Amount]])/Table1[[#This Row],[NET Amount]]</f>
        <v>0.13056594230387109</v>
      </c>
      <c r="S782" s="2" t="s">
        <v>39</v>
      </c>
    </row>
    <row r="783" spans="1:19" x14ac:dyDescent="0.3">
      <c r="A783" s="4">
        <v>781</v>
      </c>
      <c r="B783" s="2" t="s">
        <v>25</v>
      </c>
      <c r="C783" s="3">
        <v>44838</v>
      </c>
      <c r="D783" s="3" t="str">
        <f>TEXT(Table1[[#This Row],[Admission Date]],"MMMM")</f>
        <v>October</v>
      </c>
      <c r="E783" s="3">
        <v>44838</v>
      </c>
      <c r="F783" s="3">
        <v>44838</v>
      </c>
      <c r="G783" s="2">
        <v>22025633</v>
      </c>
      <c r="H783" s="2">
        <v>2234639</v>
      </c>
      <c r="I783" s="2">
        <v>1001012376</v>
      </c>
      <c r="J783" s="2" t="s">
        <v>541</v>
      </c>
      <c r="K783" s="10">
        <v>2794</v>
      </c>
      <c r="L783" s="10">
        <v>2794</v>
      </c>
      <c r="M783" s="10">
        <v>0</v>
      </c>
      <c r="N783" s="10">
        <v>0</v>
      </c>
      <c r="O783" s="10">
        <f>Table1[[#This Row],[NET Amount]]-Table1[[#This Row],[Paid Amount]]</f>
        <v>0</v>
      </c>
      <c r="P783" s="2" t="s">
        <v>18</v>
      </c>
      <c r="Q783" s="2" t="s">
        <v>90</v>
      </c>
      <c r="R783" s="16" t="e">
        <f>(Table1[[#This Row],[NET Amount]]-Table1[[#This Row],[Total Outstanding Amount]])/Table1[[#This Row],[NET Amount]]</f>
        <v>#DIV/0!</v>
      </c>
      <c r="S783" s="2" t="s">
        <v>97</v>
      </c>
    </row>
    <row r="784" spans="1:19" x14ac:dyDescent="0.3">
      <c r="A784" s="4">
        <v>782</v>
      </c>
      <c r="B784" s="2" t="s">
        <v>25</v>
      </c>
      <c r="C784" s="3">
        <v>44844</v>
      </c>
      <c r="D784" s="3" t="str">
        <f>TEXT(Table1[[#This Row],[Admission Date]],"MMMM")</f>
        <v>October</v>
      </c>
      <c r="E784" s="3">
        <v>44844</v>
      </c>
      <c r="F784" s="3">
        <v>44844</v>
      </c>
      <c r="G784" s="2">
        <v>22026414</v>
      </c>
      <c r="H784" s="2">
        <v>2235395</v>
      </c>
      <c r="I784" s="2">
        <v>1000891310</v>
      </c>
      <c r="J784" s="2" t="s">
        <v>683</v>
      </c>
      <c r="K784" s="10">
        <v>3288</v>
      </c>
      <c r="L784" s="10">
        <v>3288</v>
      </c>
      <c r="M784" s="10">
        <v>0</v>
      </c>
      <c r="N784" s="10">
        <v>0</v>
      </c>
      <c r="O784" s="10">
        <f>Table1[[#This Row],[NET Amount]]-Table1[[#This Row],[Paid Amount]]</f>
        <v>0</v>
      </c>
      <c r="P784" s="2" t="s">
        <v>18</v>
      </c>
      <c r="Q784" s="2" t="s">
        <v>90</v>
      </c>
      <c r="R784" s="16" t="e">
        <f>(Table1[[#This Row],[NET Amount]]-Table1[[#This Row],[Total Outstanding Amount]])/Table1[[#This Row],[NET Amount]]</f>
        <v>#DIV/0!</v>
      </c>
      <c r="S784" s="2" t="s">
        <v>97</v>
      </c>
    </row>
    <row r="785" spans="1:19" x14ac:dyDescent="0.3">
      <c r="A785" s="4">
        <v>783</v>
      </c>
      <c r="B785" s="2" t="s">
        <v>327</v>
      </c>
      <c r="C785" s="3">
        <v>44833</v>
      </c>
      <c r="D785" s="3" t="str">
        <f>TEXT(Table1[[#This Row],[Admission Date]],"MMMM")</f>
        <v>September</v>
      </c>
      <c r="E785" s="3">
        <v>44835</v>
      </c>
      <c r="F785" s="3">
        <v>44835</v>
      </c>
      <c r="G785" s="2">
        <v>22025166</v>
      </c>
      <c r="H785" s="2">
        <v>2233905</v>
      </c>
      <c r="I785" s="2">
        <v>10013540632</v>
      </c>
      <c r="J785" s="2" t="s">
        <v>714</v>
      </c>
      <c r="K785" s="10">
        <v>20519</v>
      </c>
      <c r="L785" s="10">
        <v>0</v>
      </c>
      <c r="M785" s="10">
        <v>20519</v>
      </c>
      <c r="N785" s="10">
        <v>20519</v>
      </c>
      <c r="O785" s="10">
        <f>Table1[[#This Row],[NET Amount]]-Table1[[#This Row],[Paid Amount]]</f>
        <v>0</v>
      </c>
      <c r="P785" s="2" t="s">
        <v>18</v>
      </c>
      <c r="Q785" s="2" t="s">
        <v>24</v>
      </c>
      <c r="R785" s="16">
        <f>(Table1[[#This Row],[NET Amount]]-Table1[[#This Row],[Total Outstanding Amount]])/Table1[[#This Row],[NET Amount]]</f>
        <v>1</v>
      </c>
      <c r="S785" s="2" t="s">
        <v>20</v>
      </c>
    </row>
    <row r="786" spans="1:19" x14ac:dyDescent="0.3">
      <c r="A786" s="4">
        <v>784</v>
      </c>
      <c r="B786" s="2" t="s">
        <v>715</v>
      </c>
      <c r="C786" s="3">
        <v>44850</v>
      </c>
      <c r="D786" s="3" t="str">
        <f>TEXT(Table1[[#This Row],[Admission Date]],"MMMM")</f>
        <v>October</v>
      </c>
      <c r="E786" s="3">
        <v>44854</v>
      </c>
      <c r="F786" s="3">
        <v>44854</v>
      </c>
      <c r="G786" s="2">
        <v>22027841</v>
      </c>
      <c r="H786" s="2">
        <v>2236244</v>
      </c>
      <c r="I786" s="2">
        <v>10013543268</v>
      </c>
      <c r="J786" s="2" t="s">
        <v>716</v>
      </c>
      <c r="K786" s="10">
        <v>92459</v>
      </c>
      <c r="L786" s="10">
        <v>11744</v>
      </c>
      <c r="M786" s="10">
        <v>80715</v>
      </c>
      <c r="N786" s="10">
        <v>4477</v>
      </c>
      <c r="O786" s="10">
        <f>Table1[[#This Row],[NET Amount]]-Table1[[#This Row],[Paid Amount]]</f>
        <v>76238</v>
      </c>
      <c r="P786" s="2" t="s">
        <v>23</v>
      </c>
      <c r="Q786" s="2" t="s">
        <v>396</v>
      </c>
      <c r="R786" s="16">
        <f>(Table1[[#This Row],[NET Amount]]-Table1[[#This Row],[Total Outstanding Amount]])/Table1[[#This Row],[NET Amount]]</f>
        <v>5.5466765780833795E-2</v>
      </c>
      <c r="S786" s="2" t="s">
        <v>20</v>
      </c>
    </row>
    <row r="787" spans="1:19" x14ac:dyDescent="0.3">
      <c r="A787" s="4">
        <v>785</v>
      </c>
      <c r="B787" s="2" t="s">
        <v>25</v>
      </c>
      <c r="C787" s="3">
        <v>44850</v>
      </c>
      <c r="D787" s="3" t="str">
        <f>TEXT(Table1[[#This Row],[Admission Date]],"MMMM")</f>
        <v>October</v>
      </c>
      <c r="E787" s="3">
        <v>44852</v>
      </c>
      <c r="F787" s="3">
        <v>44852</v>
      </c>
      <c r="G787" s="2">
        <v>22027606</v>
      </c>
      <c r="H787" s="2">
        <v>2236245</v>
      </c>
      <c r="I787" s="2">
        <v>10013401286</v>
      </c>
      <c r="J787" s="2" t="s">
        <v>717</v>
      </c>
      <c r="K787" s="10">
        <v>121778</v>
      </c>
      <c r="L787" s="10">
        <v>26958</v>
      </c>
      <c r="M787" s="10">
        <v>94821</v>
      </c>
      <c r="N787" s="10">
        <v>94821</v>
      </c>
      <c r="O787" s="10">
        <f>Table1[[#This Row],[NET Amount]]-Table1[[#This Row],[Paid Amount]]</f>
        <v>0</v>
      </c>
      <c r="P787" s="2" t="s">
        <v>18</v>
      </c>
      <c r="Q787" s="2" t="s">
        <v>24</v>
      </c>
      <c r="R787" s="16">
        <f>(Table1[[#This Row],[NET Amount]]-Table1[[#This Row],[Total Outstanding Amount]])/Table1[[#This Row],[NET Amount]]</f>
        <v>1</v>
      </c>
      <c r="S787" s="2" t="s">
        <v>39</v>
      </c>
    </row>
    <row r="788" spans="1:19" x14ac:dyDescent="0.3">
      <c r="A788" s="4">
        <v>786</v>
      </c>
      <c r="B788" s="2" t="s">
        <v>50</v>
      </c>
      <c r="C788" s="3">
        <v>44839</v>
      </c>
      <c r="D788" s="3" t="str">
        <f>TEXT(Table1[[#This Row],[Admission Date]],"MMMM")</f>
        <v>October</v>
      </c>
      <c r="E788" s="3">
        <v>44839</v>
      </c>
      <c r="F788" s="3">
        <v>44839</v>
      </c>
      <c r="G788" s="2">
        <v>22025769</v>
      </c>
      <c r="H788" s="2">
        <v>2234752</v>
      </c>
      <c r="I788" s="2">
        <v>10013538474</v>
      </c>
      <c r="J788" s="2" t="s">
        <v>324</v>
      </c>
      <c r="K788" s="10">
        <v>2200</v>
      </c>
      <c r="L788" s="10">
        <v>0</v>
      </c>
      <c r="M788" s="10">
        <v>2200</v>
      </c>
      <c r="N788" s="10">
        <v>440</v>
      </c>
      <c r="O788" s="10">
        <f>Table1[[#This Row],[NET Amount]]-Table1[[#This Row],[Paid Amount]]</f>
        <v>1760</v>
      </c>
      <c r="P788" s="2" t="s">
        <v>23</v>
      </c>
      <c r="Q788" s="2" t="s">
        <v>147</v>
      </c>
      <c r="R788" s="16">
        <f>(Table1[[#This Row],[NET Amount]]-Table1[[#This Row],[Total Outstanding Amount]])/Table1[[#This Row],[NET Amount]]</f>
        <v>0.2</v>
      </c>
      <c r="S788" s="2" t="s">
        <v>97</v>
      </c>
    </row>
    <row r="789" spans="1:19" x14ac:dyDescent="0.3">
      <c r="A789" s="4">
        <v>787</v>
      </c>
      <c r="B789" s="2" t="s">
        <v>2265</v>
      </c>
      <c r="C789" s="3">
        <v>44861</v>
      </c>
      <c r="D789" s="3" t="str">
        <f>TEXT(Table1[[#This Row],[Admission Date]],"MMMM")</f>
        <v>October</v>
      </c>
      <c r="E789" s="3">
        <v>44861</v>
      </c>
      <c r="F789" s="3">
        <v>44861</v>
      </c>
      <c r="G789" s="2">
        <v>22028813</v>
      </c>
      <c r="H789" s="2">
        <v>2237624</v>
      </c>
      <c r="I789" s="2">
        <v>1001806469</v>
      </c>
      <c r="J789" s="2" t="s">
        <v>718</v>
      </c>
      <c r="K789" s="10">
        <v>15700</v>
      </c>
      <c r="L789" s="10">
        <v>0</v>
      </c>
      <c r="M789" s="10">
        <v>15700</v>
      </c>
      <c r="N789" s="10">
        <v>500</v>
      </c>
      <c r="O789" s="10">
        <f>Table1[[#This Row],[NET Amount]]-Table1[[#This Row],[Paid Amount]]</f>
        <v>15200</v>
      </c>
      <c r="P789" s="2" t="s">
        <v>23</v>
      </c>
      <c r="Q789" s="2" t="s">
        <v>147</v>
      </c>
      <c r="R789" s="16">
        <f>(Table1[[#This Row],[NET Amount]]-Table1[[#This Row],[Total Outstanding Amount]])/Table1[[#This Row],[NET Amount]]</f>
        <v>3.1847133757961783E-2</v>
      </c>
      <c r="S789" s="2" t="s">
        <v>27</v>
      </c>
    </row>
    <row r="790" spans="1:19" x14ac:dyDescent="0.3">
      <c r="A790" s="4">
        <v>788</v>
      </c>
      <c r="B790" s="2" t="s">
        <v>25</v>
      </c>
      <c r="C790" s="3">
        <v>44854</v>
      </c>
      <c r="D790" s="3" t="str">
        <f>TEXT(Table1[[#This Row],[Admission Date]],"MMMM")</f>
        <v>October</v>
      </c>
      <c r="E790" s="3">
        <v>44855</v>
      </c>
      <c r="F790" s="3">
        <v>44855</v>
      </c>
      <c r="G790" s="2">
        <v>22028079</v>
      </c>
      <c r="H790" s="2">
        <v>2236759</v>
      </c>
      <c r="I790" s="2">
        <v>1001805419</v>
      </c>
      <c r="J790" s="2" t="s">
        <v>719</v>
      </c>
      <c r="K790" s="10">
        <v>54063</v>
      </c>
      <c r="L790" s="10">
        <v>0</v>
      </c>
      <c r="M790" s="10">
        <v>54063</v>
      </c>
      <c r="N790" s="10">
        <v>18000</v>
      </c>
      <c r="O790" s="10">
        <f>Table1[[#This Row],[NET Amount]]-Table1[[#This Row],[Paid Amount]]</f>
        <v>36063</v>
      </c>
      <c r="P790" s="2" t="s">
        <v>23</v>
      </c>
      <c r="Q790" s="2" t="s">
        <v>24</v>
      </c>
      <c r="R790" s="16">
        <f>(Table1[[#This Row],[NET Amount]]-Table1[[#This Row],[Total Outstanding Amount]])/Table1[[#This Row],[NET Amount]]</f>
        <v>0.33294489761944396</v>
      </c>
      <c r="S790" s="2" t="s">
        <v>138</v>
      </c>
    </row>
    <row r="791" spans="1:19" x14ac:dyDescent="0.3">
      <c r="A791" s="4">
        <v>789</v>
      </c>
      <c r="B791" s="2" t="s">
        <v>25</v>
      </c>
      <c r="C791" s="3">
        <v>44833</v>
      </c>
      <c r="D791" s="3" t="str">
        <f>TEXT(Table1[[#This Row],[Admission Date]],"MMMM")</f>
        <v>September</v>
      </c>
      <c r="E791" s="3">
        <v>44835</v>
      </c>
      <c r="F791" s="3">
        <v>44835</v>
      </c>
      <c r="G791" s="2">
        <v>22025134</v>
      </c>
      <c r="H791" s="2">
        <v>2233923</v>
      </c>
      <c r="I791" s="2">
        <v>1001801478</v>
      </c>
      <c r="J791" s="2" t="s">
        <v>720</v>
      </c>
      <c r="K791" s="10">
        <v>221489</v>
      </c>
      <c r="L791" s="10">
        <v>29325</v>
      </c>
      <c r="M791" s="10">
        <v>192164</v>
      </c>
      <c r="N791" s="10">
        <v>192164</v>
      </c>
      <c r="O791" s="10">
        <f>Table1[[#This Row],[NET Amount]]-Table1[[#This Row],[Paid Amount]]</f>
        <v>0</v>
      </c>
      <c r="P791" s="2" t="s">
        <v>18</v>
      </c>
      <c r="Q791" s="2" t="s">
        <v>69</v>
      </c>
      <c r="R791" s="16">
        <f>(Table1[[#This Row],[NET Amount]]-Table1[[#This Row],[Total Outstanding Amount]])/Table1[[#This Row],[NET Amount]]</f>
        <v>1</v>
      </c>
      <c r="S791" s="2" t="s">
        <v>39</v>
      </c>
    </row>
    <row r="792" spans="1:19" x14ac:dyDescent="0.3">
      <c r="A792" s="4">
        <v>790</v>
      </c>
      <c r="B792" s="2" t="s">
        <v>25</v>
      </c>
      <c r="C792" s="3">
        <v>44832</v>
      </c>
      <c r="D792" s="3" t="str">
        <f>TEXT(Table1[[#This Row],[Admission Date]],"MMMM")</f>
        <v>September</v>
      </c>
      <c r="E792" s="3">
        <v>44835</v>
      </c>
      <c r="F792" s="3">
        <v>44835</v>
      </c>
      <c r="G792" s="2">
        <v>22025180</v>
      </c>
      <c r="H792" s="2">
        <v>2233813</v>
      </c>
      <c r="I792" s="2">
        <v>1001801319</v>
      </c>
      <c r="J792" s="2" t="s">
        <v>721</v>
      </c>
      <c r="K792" s="10">
        <v>21101</v>
      </c>
      <c r="L792" s="10">
        <v>2820</v>
      </c>
      <c r="M792" s="10">
        <v>18282</v>
      </c>
      <c r="N792" s="10">
        <v>18282</v>
      </c>
      <c r="O792" s="10">
        <f>Table1[[#This Row],[NET Amount]]-Table1[[#This Row],[Paid Amount]]</f>
        <v>0</v>
      </c>
      <c r="P792" s="2" t="s">
        <v>18</v>
      </c>
      <c r="Q792" s="2" t="s">
        <v>30</v>
      </c>
      <c r="R792" s="16">
        <f>(Table1[[#This Row],[NET Amount]]-Table1[[#This Row],[Total Outstanding Amount]])/Table1[[#This Row],[NET Amount]]</f>
        <v>1</v>
      </c>
      <c r="S792" s="2" t="s">
        <v>37</v>
      </c>
    </row>
    <row r="793" spans="1:19" x14ac:dyDescent="0.3">
      <c r="A793" s="4">
        <v>791</v>
      </c>
      <c r="B793" s="2" t="s">
        <v>155</v>
      </c>
      <c r="C793" s="3">
        <v>44844</v>
      </c>
      <c r="D793" s="3" t="str">
        <f>TEXT(Table1[[#This Row],[Admission Date]],"MMMM")</f>
        <v>October</v>
      </c>
      <c r="E793" s="3">
        <v>44844</v>
      </c>
      <c r="F793" s="3">
        <v>44844</v>
      </c>
      <c r="G793" s="2">
        <v>22026346</v>
      </c>
      <c r="H793" s="2">
        <v>2235332</v>
      </c>
      <c r="I793" s="2">
        <v>10013386841</v>
      </c>
      <c r="J793" s="2" t="s">
        <v>629</v>
      </c>
      <c r="K793" s="10">
        <v>1610</v>
      </c>
      <c r="L793" s="10">
        <v>0</v>
      </c>
      <c r="M793" s="10">
        <v>1610</v>
      </c>
      <c r="N793" s="10">
        <v>1610</v>
      </c>
      <c r="O793" s="10">
        <f>Table1[[#This Row],[NET Amount]]-Table1[[#This Row],[Paid Amount]]</f>
        <v>0</v>
      </c>
      <c r="P793" s="2" t="s">
        <v>18</v>
      </c>
      <c r="Q793" s="2" t="s">
        <v>54</v>
      </c>
      <c r="R793" s="16">
        <f>(Table1[[#This Row],[NET Amount]]-Table1[[#This Row],[Total Outstanding Amount]])/Table1[[#This Row],[NET Amount]]</f>
        <v>1</v>
      </c>
      <c r="S793" s="2" t="s">
        <v>97</v>
      </c>
    </row>
    <row r="794" spans="1:19" x14ac:dyDescent="0.3">
      <c r="A794" s="4">
        <v>792</v>
      </c>
      <c r="B794" s="2" t="s">
        <v>75</v>
      </c>
      <c r="C794" s="3">
        <v>44842</v>
      </c>
      <c r="D794" s="3" t="str">
        <f>TEXT(Table1[[#This Row],[Admission Date]],"MMMM")</f>
        <v>October</v>
      </c>
      <c r="E794" s="3">
        <v>44854</v>
      </c>
      <c r="F794" s="3">
        <v>44854</v>
      </c>
      <c r="G794" s="2">
        <v>22027920</v>
      </c>
      <c r="H794" s="2">
        <v>2235112</v>
      </c>
      <c r="I794" s="2">
        <v>10013542098</v>
      </c>
      <c r="J794" s="2" t="s">
        <v>722</v>
      </c>
      <c r="K794" s="10">
        <v>97458</v>
      </c>
      <c r="L794" s="10">
        <v>0</v>
      </c>
      <c r="M794" s="10">
        <v>97458</v>
      </c>
      <c r="N794" s="10">
        <v>2045</v>
      </c>
      <c r="O794" s="10">
        <f>Table1[[#This Row],[NET Amount]]-Table1[[#This Row],[Paid Amount]]</f>
        <v>95413</v>
      </c>
      <c r="P794" s="2" t="s">
        <v>23</v>
      </c>
      <c r="Q794" s="2" t="s">
        <v>19</v>
      </c>
      <c r="R794" s="16">
        <f>(Table1[[#This Row],[NET Amount]]-Table1[[#This Row],[Total Outstanding Amount]])/Table1[[#This Row],[NET Amount]]</f>
        <v>2.0983397976564264E-2</v>
      </c>
      <c r="S794" s="2" t="s">
        <v>65</v>
      </c>
    </row>
    <row r="795" spans="1:19" x14ac:dyDescent="0.3">
      <c r="A795" s="4">
        <v>793</v>
      </c>
      <c r="B795" s="2" t="s">
        <v>25</v>
      </c>
      <c r="C795" s="3">
        <v>44845</v>
      </c>
      <c r="D795" s="3" t="str">
        <f>TEXT(Table1[[#This Row],[Admission Date]],"MMMM")</f>
        <v>October</v>
      </c>
      <c r="E795" s="3">
        <v>44846</v>
      </c>
      <c r="F795" s="3">
        <v>44846</v>
      </c>
      <c r="G795" s="2">
        <v>22026673</v>
      </c>
      <c r="H795" s="2">
        <v>2235617</v>
      </c>
      <c r="I795" s="2">
        <v>10013542611</v>
      </c>
      <c r="J795" s="2" t="s">
        <v>723</v>
      </c>
      <c r="K795" s="10">
        <v>49246</v>
      </c>
      <c r="L795" s="10">
        <v>6560</v>
      </c>
      <c r="M795" s="10">
        <v>42687</v>
      </c>
      <c r="N795" s="10">
        <v>42687</v>
      </c>
      <c r="O795" s="10">
        <f>Table1[[#This Row],[NET Amount]]-Table1[[#This Row],[Paid Amount]]</f>
        <v>0</v>
      </c>
      <c r="P795" s="2" t="s">
        <v>18</v>
      </c>
      <c r="Q795" s="2" t="s">
        <v>24</v>
      </c>
      <c r="R795" s="16">
        <f>(Table1[[#This Row],[NET Amount]]-Table1[[#This Row],[Total Outstanding Amount]])/Table1[[#This Row],[NET Amount]]</f>
        <v>1</v>
      </c>
      <c r="S795" s="2" t="s">
        <v>39</v>
      </c>
    </row>
    <row r="796" spans="1:19" x14ac:dyDescent="0.3">
      <c r="A796" s="4">
        <v>794</v>
      </c>
      <c r="B796" s="2" t="s">
        <v>152</v>
      </c>
      <c r="C796" s="3">
        <v>44848</v>
      </c>
      <c r="D796" s="3" t="str">
        <f>TEXT(Table1[[#This Row],[Admission Date]],"MMMM")</f>
        <v>October</v>
      </c>
      <c r="E796" s="3">
        <v>44857</v>
      </c>
      <c r="F796" s="3">
        <v>44857</v>
      </c>
      <c r="G796" s="2">
        <v>22028360</v>
      </c>
      <c r="H796" s="2">
        <v>2235992</v>
      </c>
      <c r="I796" s="2">
        <v>10013543038</v>
      </c>
      <c r="J796" s="2" t="s">
        <v>724</v>
      </c>
      <c r="K796" s="10">
        <v>384967</v>
      </c>
      <c r="L796" s="10">
        <v>0</v>
      </c>
      <c r="M796" s="10">
        <v>384966</v>
      </c>
      <c r="N796" s="10">
        <v>2050</v>
      </c>
      <c r="O796" s="10">
        <f>Table1[[#This Row],[NET Amount]]-Table1[[#This Row],[Paid Amount]]</f>
        <v>382916</v>
      </c>
      <c r="P796" s="2" t="s">
        <v>23</v>
      </c>
      <c r="Q796" s="2" t="s">
        <v>19</v>
      </c>
      <c r="R796" s="16">
        <f>(Table1[[#This Row],[NET Amount]]-Table1[[#This Row],[Total Outstanding Amount]])/Table1[[#This Row],[NET Amount]]</f>
        <v>5.3251455972735257E-3</v>
      </c>
      <c r="S796" s="2" t="s">
        <v>70</v>
      </c>
    </row>
    <row r="797" spans="1:19" x14ac:dyDescent="0.3">
      <c r="A797" s="4">
        <v>795</v>
      </c>
      <c r="B797" s="2" t="s">
        <v>25</v>
      </c>
      <c r="C797" s="3">
        <v>44845</v>
      </c>
      <c r="D797" s="3" t="str">
        <f>TEXT(Table1[[#This Row],[Admission Date]],"MMMM")</f>
        <v>October</v>
      </c>
      <c r="E797" s="3">
        <v>44845</v>
      </c>
      <c r="F797" s="3">
        <v>44845</v>
      </c>
      <c r="G797" s="2">
        <v>22026553</v>
      </c>
      <c r="H797" s="2">
        <v>2235554</v>
      </c>
      <c r="I797" s="2">
        <v>10013527702</v>
      </c>
      <c r="J797" s="2" t="s">
        <v>553</v>
      </c>
      <c r="K797" s="10">
        <v>4990</v>
      </c>
      <c r="L797" s="10">
        <v>413</v>
      </c>
      <c r="M797" s="10">
        <v>4577</v>
      </c>
      <c r="N797" s="10">
        <v>4577</v>
      </c>
      <c r="O797" s="10">
        <f>Table1[[#This Row],[NET Amount]]-Table1[[#This Row],[Paid Amount]]</f>
        <v>0</v>
      </c>
      <c r="P797" s="2" t="s">
        <v>18</v>
      </c>
      <c r="Q797" s="2" t="s">
        <v>54</v>
      </c>
      <c r="R797" s="16">
        <f>(Table1[[#This Row],[NET Amount]]-Table1[[#This Row],[Total Outstanding Amount]])/Table1[[#This Row],[NET Amount]]</f>
        <v>1</v>
      </c>
      <c r="S797" s="2" t="s">
        <v>97</v>
      </c>
    </row>
    <row r="798" spans="1:19" x14ac:dyDescent="0.3">
      <c r="A798" s="4">
        <v>796</v>
      </c>
      <c r="B798" s="2" t="s">
        <v>25</v>
      </c>
      <c r="C798" s="3">
        <v>44845</v>
      </c>
      <c r="D798" s="3" t="str">
        <f>TEXT(Table1[[#This Row],[Admission Date]],"MMMM")</f>
        <v>October</v>
      </c>
      <c r="E798" s="3">
        <v>44845</v>
      </c>
      <c r="F798" s="3">
        <v>44845</v>
      </c>
      <c r="G798" s="2">
        <v>22026584</v>
      </c>
      <c r="H798" s="2">
        <v>2235492</v>
      </c>
      <c r="I798" s="2">
        <v>10013451851</v>
      </c>
      <c r="J798" s="2" t="s">
        <v>300</v>
      </c>
      <c r="K798" s="10">
        <v>4990</v>
      </c>
      <c r="L798" s="10">
        <v>451</v>
      </c>
      <c r="M798" s="10">
        <v>4539</v>
      </c>
      <c r="N798" s="10">
        <v>4539</v>
      </c>
      <c r="O798" s="10">
        <f>Table1[[#This Row],[NET Amount]]-Table1[[#This Row],[Paid Amount]]</f>
        <v>0</v>
      </c>
      <c r="P798" s="2" t="s">
        <v>18</v>
      </c>
      <c r="Q798" s="2" t="s">
        <v>54</v>
      </c>
      <c r="R798" s="16">
        <f>(Table1[[#This Row],[NET Amount]]-Table1[[#This Row],[Total Outstanding Amount]])/Table1[[#This Row],[NET Amount]]</f>
        <v>1</v>
      </c>
      <c r="S798" s="2" t="s">
        <v>97</v>
      </c>
    </row>
    <row r="799" spans="1:19" x14ac:dyDescent="0.3">
      <c r="A799" s="4">
        <v>797</v>
      </c>
      <c r="B799" s="2" t="s">
        <v>25</v>
      </c>
      <c r="C799" s="3">
        <v>44845</v>
      </c>
      <c r="D799" s="3" t="str">
        <f>TEXT(Table1[[#This Row],[Admission Date]],"MMMM")</f>
        <v>October</v>
      </c>
      <c r="E799" s="3">
        <v>44845</v>
      </c>
      <c r="F799" s="3">
        <v>44845</v>
      </c>
      <c r="G799" s="2">
        <v>22026589</v>
      </c>
      <c r="H799" s="2">
        <v>2235488</v>
      </c>
      <c r="I799" s="2">
        <v>1000891305</v>
      </c>
      <c r="J799" s="2" t="s">
        <v>725</v>
      </c>
      <c r="K799" s="10">
        <v>2844</v>
      </c>
      <c r="L799" s="10">
        <v>286</v>
      </c>
      <c r="M799" s="10">
        <v>2558</v>
      </c>
      <c r="N799" s="10">
        <v>2558</v>
      </c>
      <c r="O799" s="10">
        <f>Table1[[#This Row],[NET Amount]]-Table1[[#This Row],[Paid Amount]]</f>
        <v>0</v>
      </c>
      <c r="P799" s="2" t="s">
        <v>18</v>
      </c>
      <c r="Q799" s="2" t="s">
        <v>54</v>
      </c>
      <c r="R799" s="16">
        <f>(Table1[[#This Row],[NET Amount]]-Table1[[#This Row],[Total Outstanding Amount]])/Table1[[#This Row],[NET Amount]]</f>
        <v>1</v>
      </c>
      <c r="S799" s="2" t="s">
        <v>97</v>
      </c>
    </row>
    <row r="800" spans="1:19" x14ac:dyDescent="0.3">
      <c r="A800" s="4">
        <v>798</v>
      </c>
      <c r="B800" s="2" t="s">
        <v>25</v>
      </c>
      <c r="C800" s="3">
        <v>44855</v>
      </c>
      <c r="D800" s="3" t="str">
        <f>TEXT(Table1[[#This Row],[Admission Date]],"MMMM")</f>
        <v>October</v>
      </c>
      <c r="E800" s="3">
        <v>44855</v>
      </c>
      <c r="F800" s="3">
        <v>44855</v>
      </c>
      <c r="G800" s="2">
        <v>22028017</v>
      </c>
      <c r="H800" s="2">
        <v>2236900</v>
      </c>
      <c r="I800" s="2">
        <v>10013460950</v>
      </c>
      <c r="J800" s="2" t="s">
        <v>248</v>
      </c>
      <c r="K800" s="10">
        <v>2844</v>
      </c>
      <c r="L800" s="10">
        <v>310</v>
      </c>
      <c r="M800" s="10">
        <v>2534</v>
      </c>
      <c r="N800" s="10">
        <v>2534</v>
      </c>
      <c r="O800" s="10">
        <f>Table1[[#This Row],[NET Amount]]-Table1[[#This Row],[Paid Amount]]</f>
        <v>0</v>
      </c>
      <c r="P800" s="2" t="s">
        <v>18</v>
      </c>
      <c r="Q800" s="2" t="s">
        <v>54</v>
      </c>
      <c r="R800" s="16">
        <f>(Table1[[#This Row],[NET Amount]]-Table1[[#This Row],[Total Outstanding Amount]])/Table1[[#This Row],[NET Amount]]</f>
        <v>1</v>
      </c>
      <c r="S800" s="2" t="s">
        <v>97</v>
      </c>
    </row>
    <row r="801" spans="1:19" x14ac:dyDescent="0.3">
      <c r="A801" s="4">
        <v>799</v>
      </c>
      <c r="B801" s="2" t="s">
        <v>244</v>
      </c>
      <c r="C801" s="3">
        <v>44848</v>
      </c>
      <c r="D801" s="3" t="str">
        <f>TEXT(Table1[[#This Row],[Admission Date]],"MMMM")</f>
        <v>October</v>
      </c>
      <c r="E801" s="3">
        <v>44849</v>
      </c>
      <c r="F801" s="3">
        <v>44849</v>
      </c>
      <c r="G801" s="2">
        <v>22027148</v>
      </c>
      <c r="H801" s="2">
        <v>2235945</v>
      </c>
      <c r="I801" s="2">
        <v>1001804304</v>
      </c>
      <c r="J801" s="2" t="s">
        <v>726</v>
      </c>
      <c r="K801" s="10">
        <v>202335</v>
      </c>
      <c r="L801" s="10">
        <v>0</v>
      </c>
      <c r="M801" s="10">
        <v>202335</v>
      </c>
      <c r="N801" s="10">
        <v>42750</v>
      </c>
      <c r="O801" s="10">
        <f>Table1[[#This Row],[NET Amount]]-Table1[[#This Row],[Paid Amount]]</f>
        <v>159585</v>
      </c>
      <c r="P801" s="2" t="s">
        <v>23</v>
      </c>
      <c r="Q801" s="2" t="s">
        <v>47</v>
      </c>
      <c r="R801" s="16">
        <f>(Table1[[#This Row],[NET Amount]]-Table1[[#This Row],[Total Outstanding Amount]])/Table1[[#This Row],[NET Amount]]</f>
        <v>0.21128326784787604</v>
      </c>
      <c r="S801" s="2" t="s">
        <v>39</v>
      </c>
    </row>
    <row r="802" spans="1:19" x14ac:dyDescent="0.3">
      <c r="A802" s="4">
        <v>800</v>
      </c>
      <c r="B802" s="2" t="s">
        <v>25</v>
      </c>
      <c r="C802" s="3">
        <v>44851</v>
      </c>
      <c r="D802" s="3" t="str">
        <f>TEXT(Table1[[#This Row],[Admission Date]],"MMMM")</f>
        <v>October</v>
      </c>
      <c r="E802" s="3">
        <v>44851</v>
      </c>
      <c r="F802" s="3">
        <v>44851</v>
      </c>
      <c r="G802" s="2">
        <v>22027389</v>
      </c>
      <c r="H802" s="2">
        <v>2236302</v>
      </c>
      <c r="I802" s="2">
        <v>1001561182</v>
      </c>
      <c r="J802" s="2" t="s">
        <v>222</v>
      </c>
      <c r="K802" s="10">
        <v>2680</v>
      </c>
      <c r="L802" s="10">
        <v>0</v>
      </c>
      <c r="M802" s="10">
        <v>2680</v>
      </c>
      <c r="N802" s="10">
        <v>2680</v>
      </c>
      <c r="O802" s="10">
        <f>Table1[[#This Row],[NET Amount]]-Table1[[#This Row],[Paid Amount]]</f>
        <v>0</v>
      </c>
      <c r="P802" s="2" t="s">
        <v>18</v>
      </c>
      <c r="Q802" s="2" t="s">
        <v>54</v>
      </c>
      <c r="R802" s="16">
        <f>(Table1[[#This Row],[NET Amount]]-Table1[[#This Row],[Total Outstanding Amount]])/Table1[[#This Row],[NET Amount]]</f>
        <v>1</v>
      </c>
      <c r="S802" s="2" t="s">
        <v>97</v>
      </c>
    </row>
    <row r="803" spans="1:19" x14ac:dyDescent="0.3">
      <c r="A803" s="4">
        <v>801</v>
      </c>
      <c r="B803" s="2" t="s">
        <v>126</v>
      </c>
      <c r="C803" s="3">
        <v>44857</v>
      </c>
      <c r="D803" s="3" t="str">
        <f>TEXT(Table1[[#This Row],[Admission Date]],"MMMM")</f>
        <v>October</v>
      </c>
      <c r="E803" s="3">
        <v>44859</v>
      </c>
      <c r="F803" s="3">
        <v>44859</v>
      </c>
      <c r="G803" s="2">
        <v>22028524</v>
      </c>
      <c r="H803" s="2">
        <v>2237166</v>
      </c>
      <c r="I803" s="2">
        <v>1001789610</v>
      </c>
      <c r="J803" s="2" t="s">
        <v>727</v>
      </c>
      <c r="K803" s="10">
        <v>67021</v>
      </c>
      <c r="L803" s="10">
        <v>6362</v>
      </c>
      <c r="M803" s="10">
        <v>60659</v>
      </c>
      <c r="N803" s="10">
        <v>7233</v>
      </c>
      <c r="O803" s="10">
        <f>Table1[[#This Row],[NET Amount]]-Table1[[#This Row],[Paid Amount]]</f>
        <v>53426</v>
      </c>
      <c r="P803" s="2" t="s">
        <v>23</v>
      </c>
      <c r="Q803" s="2" t="s">
        <v>47</v>
      </c>
      <c r="R803" s="16">
        <f>(Table1[[#This Row],[NET Amount]]-Table1[[#This Row],[Total Outstanding Amount]])/Table1[[#This Row],[NET Amount]]</f>
        <v>0.11924034355990043</v>
      </c>
      <c r="S803" s="2" t="s">
        <v>39</v>
      </c>
    </row>
    <row r="804" spans="1:19" x14ac:dyDescent="0.3">
      <c r="A804" s="4">
        <v>802</v>
      </c>
      <c r="B804" s="2" t="s">
        <v>50</v>
      </c>
      <c r="C804" s="3">
        <v>44861</v>
      </c>
      <c r="D804" s="3" t="str">
        <f>TEXT(Table1[[#This Row],[Admission Date]],"MMMM")</f>
        <v>October</v>
      </c>
      <c r="E804" s="3">
        <v>44861</v>
      </c>
      <c r="F804" s="3">
        <v>44861</v>
      </c>
      <c r="G804" s="2">
        <v>22028791</v>
      </c>
      <c r="H804" s="2">
        <v>2237635</v>
      </c>
      <c r="I804" s="2">
        <v>1001206152</v>
      </c>
      <c r="J804" s="2" t="s">
        <v>375</v>
      </c>
      <c r="K804" s="10">
        <v>2200</v>
      </c>
      <c r="L804" s="10">
        <v>0</v>
      </c>
      <c r="M804" s="10">
        <v>2200</v>
      </c>
      <c r="N804" s="10">
        <v>440</v>
      </c>
      <c r="O804" s="10">
        <f>Table1[[#This Row],[NET Amount]]-Table1[[#This Row],[Paid Amount]]</f>
        <v>1760</v>
      </c>
      <c r="P804" s="2" t="s">
        <v>23</v>
      </c>
      <c r="Q804" s="2" t="s">
        <v>147</v>
      </c>
      <c r="R804" s="16">
        <f>(Table1[[#This Row],[NET Amount]]-Table1[[#This Row],[Total Outstanding Amount]])/Table1[[#This Row],[NET Amount]]</f>
        <v>0.2</v>
      </c>
      <c r="S804" s="2" t="s">
        <v>97</v>
      </c>
    </row>
    <row r="805" spans="1:19" x14ac:dyDescent="0.3">
      <c r="A805" s="4">
        <v>803</v>
      </c>
      <c r="B805" s="2" t="s">
        <v>75</v>
      </c>
      <c r="C805" s="3">
        <v>44837</v>
      </c>
      <c r="D805" s="3" t="str">
        <f>TEXT(Table1[[#This Row],[Admission Date]],"MMMM")</f>
        <v>October</v>
      </c>
      <c r="E805" s="3">
        <v>44847</v>
      </c>
      <c r="F805" s="3">
        <v>44847</v>
      </c>
      <c r="G805" s="2">
        <v>22026916</v>
      </c>
      <c r="H805" s="2">
        <v>2234437</v>
      </c>
      <c r="I805" s="2">
        <v>10013528640</v>
      </c>
      <c r="J805" s="2" t="s">
        <v>728</v>
      </c>
      <c r="K805" s="10">
        <v>142657</v>
      </c>
      <c r="L805" s="10">
        <v>0</v>
      </c>
      <c r="M805" s="10">
        <v>142657</v>
      </c>
      <c r="N805" s="10">
        <v>18604</v>
      </c>
      <c r="O805" s="10">
        <f>Table1[[#This Row],[NET Amount]]-Table1[[#This Row],[Paid Amount]]</f>
        <v>124053</v>
      </c>
      <c r="P805" s="2" t="s">
        <v>23</v>
      </c>
      <c r="Q805" s="2" t="s">
        <v>24</v>
      </c>
      <c r="R805" s="16">
        <f>(Table1[[#This Row],[NET Amount]]-Table1[[#This Row],[Total Outstanding Amount]])/Table1[[#This Row],[NET Amount]]</f>
        <v>0.13041070539826297</v>
      </c>
      <c r="S805" s="2" t="s">
        <v>20</v>
      </c>
    </row>
    <row r="806" spans="1:19" x14ac:dyDescent="0.3">
      <c r="A806" s="4">
        <v>804</v>
      </c>
      <c r="B806" s="2" t="s">
        <v>166</v>
      </c>
      <c r="C806" s="3">
        <v>44859</v>
      </c>
      <c r="D806" s="3" t="str">
        <f>TEXT(Table1[[#This Row],[Admission Date]],"MMMM")</f>
        <v>October</v>
      </c>
      <c r="E806" s="3">
        <v>44859</v>
      </c>
      <c r="F806" s="3">
        <v>44859</v>
      </c>
      <c r="G806" s="2">
        <v>22028464</v>
      </c>
      <c r="H806" s="2">
        <v>2237265</v>
      </c>
      <c r="I806" s="2">
        <v>10013471499</v>
      </c>
      <c r="J806" s="2" t="s">
        <v>729</v>
      </c>
      <c r="K806" s="10">
        <v>2200</v>
      </c>
      <c r="L806" s="10">
        <v>0</v>
      </c>
      <c r="M806" s="10">
        <v>2200</v>
      </c>
      <c r="N806" s="10">
        <v>220</v>
      </c>
      <c r="O806" s="10">
        <f>Table1[[#This Row],[NET Amount]]-Table1[[#This Row],[Paid Amount]]</f>
        <v>1980</v>
      </c>
      <c r="P806" s="2" t="s">
        <v>23</v>
      </c>
      <c r="Q806" s="2" t="s">
        <v>147</v>
      </c>
      <c r="R806" s="16">
        <f>(Table1[[#This Row],[NET Amount]]-Table1[[#This Row],[Total Outstanding Amount]])/Table1[[#This Row],[NET Amount]]</f>
        <v>0.1</v>
      </c>
      <c r="S806" s="2" t="s">
        <v>97</v>
      </c>
    </row>
    <row r="807" spans="1:19" x14ac:dyDescent="0.3">
      <c r="A807" s="4">
        <v>805</v>
      </c>
      <c r="B807" s="2" t="s">
        <v>25</v>
      </c>
      <c r="C807" s="3">
        <v>44860</v>
      </c>
      <c r="D807" s="3" t="str">
        <f>TEXT(Table1[[#This Row],[Admission Date]],"MMMM")</f>
        <v>October</v>
      </c>
      <c r="E807" s="3">
        <v>44863</v>
      </c>
      <c r="F807" s="3">
        <v>44863</v>
      </c>
      <c r="G807" s="2">
        <v>22029042</v>
      </c>
      <c r="H807" s="2">
        <v>2237455</v>
      </c>
      <c r="I807" s="2">
        <v>10013544506</v>
      </c>
      <c r="J807" s="2" t="s">
        <v>730</v>
      </c>
      <c r="K807" s="10">
        <v>86573</v>
      </c>
      <c r="L807" s="10">
        <v>23329</v>
      </c>
      <c r="M807" s="10">
        <v>63244</v>
      </c>
      <c r="N807" s="10">
        <v>63244</v>
      </c>
      <c r="O807" s="10">
        <f>Table1[[#This Row],[NET Amount]]-Table1[[#This Row],[Paid Amount]]</f>
        <v>0</v>
      </c>
      <c r="P807" s="2" t="s">
        <v>18</v>
      </c>
      <c r="Q807" s="2" t="s">
        <v>69</v>
      </c>
      <c r="R807" s="16">
        <f>(Table1[[#This Row],[NET Amount]]-Table1[[#This Row],[Total Outstanding Amount]])/Table1[[#This Row],[NET Amount]]</f>
        <v>1</v>
      </c>
      <c r="S807" s="2" t="s">
        <v>20</v>
      </c>
    </row>
    <row r="808" spans="1:19" x14ac:dyDescent="0.3">
      <c r="A808" s="4">
        <v>806</v>
      </c>
      <c r="B808" s="2" t="s">
        <v>50</v>
      </c>
      <c r="C808" s="3">
        <v>44846</v>
      </c>
      <c r="D808" s="3" t="str">
        <f>TEXT(Table1[[#This Row],[Admission Date]],"MMMM")</f>
        <v>October</v>
      </c>
      <c r="E808" s="3">
        <v>44847</v>
      </c>
      <c r="F808" s="3">
        <v>44847</v>
      </c>
      <c r="G808" s="2">
        <v>22026872</v>
      </c>
      <c r="H808" s="2">
        <v>2235662</v>
      </c>
      <c r="I808" s="2">
        <v>10013531684</v>
      </c>
      <c r="J808" s="2" t="s">
        <v>731</v>
      </c>
      <c r="K808" s="10">
        <v>41045</v>
      </c>
      <c r="L808" s="10">
        <v>0</v>
      </c>
      <c r="M808" s="10">
        <v>41045</v>
      </c>
      <c r="N808" s="10">
        <v>41045</v>
      </c>
      <c r="O808" s="10">
        <f>Table1[[#This Row],[NET Amount]]-Table1[[#This Row],[Paid Amount]]</f>
        <v>0</v>
      </c>
      <c r="P808" s="2" t="s">
        <v>18</v>
      </c>
      <c r="Q808" s="2" t="s">
        <v>42</v>
      </c>
      <c r="R808" s="16">
        <f>(Table1[[#This Row],[NET Amount]]-Table1[[#This Row],[Total Outstanding Amount]])/Table1[[#This Row],[NET Amount]]</f>
        <v>1</v>
      </c>
      <c r="S808" s="2" t="s">
        <v>162</v>
      </c>
    </row>
    <row r="809" spans="1:19" x14ac:dyDescent="0.3">
      <c r="A809" s="4">
        <v>807</v>
      </c>
      <c r="B809" s="2" t="s">
        <v>28</v>
      </c>
      <c r="C809" s="3">
        <v>44843</v>
      </c>
      <c r="D809" s="3" t="str">
        <f>TEXT(Table1[[#This Row],[Admission Date]],"MMMM")</f>
        <v>October</v>
      </c>
      <c r="E809" s="3">
        <v>44847</v>
      </c>
      <c r="F809" s="3">
        <v>44847</v>
      </c>
      <c r="G809" s="2">
        <v>22026858</v>
      </c>
      <c r="H809" s="2">
        <v>2235273</v>
      </c>
      <c r="I809" s="2">
        <v>1000932732</v>
      </c>
      <c r="J809" s="2" t="s">
        <v>332</v>
      </c>
      <c r="K809" s="10">
        <v>108583</v>
      </c>
      <c r="L809" s="10">
        <v>10566</v>
      </c>
      <c r="M809" s="10">
        <v>98017</v>
      </c>
      <c r="N809" s="10">
        <v>3898</v>
      </c>
      <c r="O809" s="10">
        <f>Table1[[#This Row],[NET Amount]]-Table1[[#This Row],[Paid Amount]]</f>
        <v>94119</v>
      </c>
      <c r="P809" s="2" t="s">
        <v>23</v>
      </c>
      <c r="Q809" s="2" t="s">
        <v>30</v>
      </c>
      <c r="R809" s="16">
        <f>(Table1[[#This Row],[NET Amount]]-Table1[[#This Row],[Total Outstanding Amount]])/Table1[[#This Row],[NET Amount]]</f>
        <v>3.9768611567381165E-2</v>
      </c>
      <c r="S809" s="2" t="s">
        <v>20</v>
      </c>
    </row>
    <row r="810" spans="1:19" x14ac:dyDescent="0.3">
      <c r="A810" s="4">
        <v>808</v>
      </c>
      <c r="B810" s="2" t="s">
        <v>259</v>
      </c>
      <c r="C810" s="3">
        <v>44846</v>
      </c>
      <c r="D810" s="3" t="str">
        <f>TEXT(Table1[[#This Row],[Admission Date]],"MMMM")</f>
        <v>October</v>
      </c>
      <c r="E810" s="3">
        <v>44847</v>
      </c>
      <c r="F810" s="3">
        <v>44847</v>
      </c>
      <c r="G810" s="2">
        <v>22026912</v>
      </c>
      <c r="H810" s="2">
        <v>2235649</v>
      </c>
      <c r="I810" s="2">
        <v>10013542409</v>
      </c>
      <c r="J810" s="2" t="s">
        <v>732</v>
      </c>
      <c r="K810" s="10">
        <v>168386</v>
      </c>
      <c r="L810" s="10">
        <v>0</v>
      </c>
      <c r="M810" s="10">
        <v>168386</v>
      </c>
      <c r="N810" s="10">
        <v>1500</v>
      </c>
      <c r="O810" s="10">
        <f>Table1[[#This Row],[NET Amount]]-Table1[[#This Row],[Paid Amount]]</f>
        <v>166886</v>
      </c>
      <c r="P810" s="2" t="s">
        <v>23</v>
      </c>
      <c r="Q810" s="2" t="s">
        <v>30</v>
      </c>
      <c r="R810" s="16">
        <f>(Table1[[#This Row],[NET Amount]]-Table1[[#This Row],[Total Outstanding Amount]])/Table1[[#This Row],[NET Amount]]</f>
        <v>8.9081039991448212E-3</v>
      </c>
      <c r="S810" s="2" t="s">
        <v>201</v>
      </c>
    </row>
    <row r="811" spans="1:19" x14ac:dyDescent="0.3">
      <c r="A811" s="4">
        <v>809</v>
      </c>
      <c r="B811" s="2" t="s">
        <v>113</v>
      </c>
      <c r="C811" s="3">
        <v>44861</v>
      </c>
      <c r="D811" s="3" t="str">
        <f>TEXT(Table1[[#This Row],[Admission Date]],"MMMM")</f>
        <v>October</v>
      </c>
      <c r="E811" s="3">
        <v>44861</v>
      </c>
      <c r="F811" s="3">
        <v>44861</v>
      </c>
      <c r="G811" s="2">
        <v>22028711</v>
      </c>
      <c r="H811" s="2">
        <v>2237603</v>
      </c>
      <c r="I811" s="2">
        <v>10013524248</v>
      </c>
      <c r="J811" s="2" t="s">
        <v>211</v>
      </c>
      <c r="K811" s="10">
        <v>1610</v>
      </c>
      <c r="L811" s="10">
        <v>0</v>
      </c>
      <c r="M811" s="10">
        <v>1610</v>
      </c>
      <c r="N811" s="10">
        <v>1610</v>
      </c>
      <c r="O811" s="10">
        <f>Table1[[#This Row],[NET Amount]]-Table1[[#This Row],[Paid Amount]]</f>
        <v>0</v>
      </c>
      <c r="P811" s="2" t="s">
        <v>18</v>
      </c>
      <c r="Q811" s="2" t="s">
        <v>54</v>
      </c>
      <c r="R811" s="16">
        <f>(Table1[[#This Row],[NET Amount]]-Table1[[#This Row],[Total Outstanding Amount]])/Table1[[#This Row],[NET Amount]]</f>
        <v>1</v>
      </c>
      <c r="S811" s="2" t="s">
        <v>97</v>
      </c>
    </row>
    <row r="812" spans="1:19" x14ac:dyDescent="0.3">
      <c r="A812" s="4">
        <v>810</v>
      </c>
      <c r="B812" s="2" t="s">
        <v>259</v>
      </c>
      <c r="C812" s="3">
        <v>44854</v>
      </c>
      <c r="D812" s="3" t="str">
        <f>TEXT(Table1[[#This Row],[Admission Date]],"MMMM")</f>
        <v>October</v>
      </c>
      <c r="E812" s="3">
        <v>44854</v>
      </c>
      <c r="F812" s="3">
        <v>44854</v>
      </c>
      <c r="G812" s="2">
        <v>22027882</v>
      </c>
      <c r="H812" s="2">
        <v>2236744</v>
      </c>
      <c r="I812" s="2">
        <v>1001442060</v>
      </c>
      <c r="J812" s="2" t="s">
        <v>733</v>
      </c>
      <c r="K812" s="10">
        <v>23760</v>
      </c>
      <c r="L812" s="10">
        <v>0</v>
      </c>
      <c r="M812" s="10">
        <v>23760</v>
      </c>
      <c r="N812" s="10">
        <v>1500</v>
      </c>
      <c r="O812" s="10">
        <f>Table1[[#This Row],[NET Amount]]-Table1[[#This Row],[Paid Amount]]</f>
        <v>22260</v>
      </c>
      <c r="P812" s="2" t="s">
        <v>23</v>
      </c>
      <c r="Q812" s="2" t="s">
        <v>54</v>
      </c>
      <c r="R812" s="16">
        <f>(Table1[[#This Row],[NET Amount]]-Table1[[#This Row],[Total Outstanding Amount]])/Table1[[#This Row],[NET Amount]]</f>
        <v>6.3131313131313135E-2</v>
      </c>
      <c r="S812" s="2" t="s">
        <v>27</v>
      </c>
    </row>
    <row r="813" spans="1:19" x14ac:dyDescent="0.3">
      <c r="A813" s="4">
        <v>811</v>
      </c>
      <c r="B813" s="2" t="s">
        <v>2242</v>
      </c>
      <c r="C813" s="3">
        <v>44851</v>
      </c>
      <c r="D813" s="3" t="str">
        <f>TEXT(Table1[[#This Row],[Admission Date]],"MMMM")</f>
        <v>October</v>
      </c>
      <c r="E813" s="3">
        <v>44855</v>
      </c>
      <c r="F813" s="3">
        <v>44855</v>
      </c>
      <c r="G813" s="2">
        <v>22028034</v>
      </c>
      <c r="H813" s="2">
        <v>2236368</v>
      </c>
      <c r="I813" s="2">
        <v>1001054526</v>
      </c>
      <c r="J813" s="2" t="s">
        <v>734</v>
      </c>
      <c r="K813" s="10">
        <v>42711</v>
      </c>
      <c r="L813" s="10">
        <v>42711</v>
      </c>
      <c r="M813" s="10">
        <v>0</v>
      </c>
      <c r="N813" s="10">
        <v>0</v>
      </c>
      <c r="O813" s="10">
        <f>Table1[[#This Row],[NET Amount]]-Table1[[#This Row],[Paid Amount]]</f>
        <v>0</v>
      </c>
      <c r="P813" s="2" t="s">
        <v>18</v>
      </c>
      <c r="Q813" s="2" t="s">
        <v>90</v>
      </c>
      <c r="R813" s="16" t="e">
        <f>(Table1[[#This Row],[NET Amount]]-Table1[[#This Row],[Total Outstanding Amount]])/Table1[[#This Row],[NET Amount]]</f>
        <v>#DIV/0!</v>
      </c>
      <c r="S813" s="2" t="s">
        <v>20</v>
      </c>
    </row>
    <row r="814" spans="1:19" x14ac:dyDescent="0.3">
      <c r="A814" s="4">
        <v>812</v>
      </c>
      <c r="B814" s="2" t="s">
        <v>75</v>
      </c>
      <c r="C814" s="3">
        <v>44858</v>
      </c>
      <c r="D814" s="3" t="str">
        <f>TEXT(Table1[[#This Row],[Admission Date]],"MMMM")</f>
        <v>October</v>
      </c>
      <c r="E814" s="3">
        <v>44863</v>
      </c>
      <c r="F814" s="3">
        <v>44863</v>
      </c>
      <c r="G814" s="2">
        <v>22029090</v>
      </c>
      <c r="H814" s="2">
        <v>2237222</v>
      </c>
      <c r="I814" s="2">
        <v>10013544288</v>
      </c>
      <c r="J814" s="2" t="s">
        <v>735</v>
      </c>
      <c r="K814" s="10">
        <v>93959</v>
      </c>
      <c r="L814" s="10">
        <v>0</v>
      </c>
      <c r="M814" s="10">
        <v>93959</v>
      </c>
      <c r="N814" s="10">
        <v>1233</v>
      </c>
      <c r="O814" s="10">
        <f>Table1[[#This Row],[NET Amount]]-Table1[[#This Row],[Paid Amount]]</f>
        <v>92726</v>
      </c>
      <c r="P814" s="2" t="s">
        <v>23</v>
      </c>
      <c r="Q814" s="2" t="s">
        <v>24</v>
      </c>
      <c r="R814" s="16">
        <f>(Table1[[#This Row],[NET Amount]]-Table1[[#This Row],[Total Outstanding Amount]])/Table1[[#This Row],[NET Amount]]</f>
        <v>1.3122745027086283E-2</v>
      </c>
      <c r="S814" s="2" t="s">
        <v>20</v>
      </c>
    </row>
    <row r="815" spans="1:19" x14ac:dyDescent="0.3">
      <c r="A815" s="4">
        <v>813</v>
      </c>
      <c r="B815" s="2" t="s">
        <v>2291</v>
      </c>
      <c r="C815" s="3">
        <v>44863</v>
      </c>
      <c r="D815" s="3" t="str">
        <f>TEXT(Table1[[#This Row],[Admission Date]],"MMMM")</f>
        <v>October</v>
      </c>
      <c r="E815" s="3">
        <v>44863</v>
      </c>
      <c r="F815" s="3">
        <v>44863</v>
      </c>
      <c r="G815" s="2">
        <v>22029133</v>
      </c>
      <c r="H815" s="2">
        <v>2237942</v>
      </c>
      <c r="I815" s="2">
        <v>1001374958</v>
      </c>
      <c r="J815" s="2" t="s">
        <v>736</v>
      </c>
      <c r="K815" s="10">
        <v>19568</v>
      </c>
      <c r="L815" s="10">
        <v>19568</v>
      </c>
      <c r="M815" s="10">
        <v>0</v>
      </c>
      <c r="N815" s="10">
        <v>0</v>
      </c>
      <c r="O815" s="10">
        <f>Table1[[#This Row],[NET Amount]]-Table1[[#This Row],[Paid Amount]]</f>
        <v>0</v>
      </c>
      <c r="P815" s="2" t="s">
        <v>18</v>
      </c>
      <c r="Q815" s="2" t="s">
        <v>54</v>
      </c>
      <c r="R815" s="16" t="e">
        <f>(Table1[[#This Row],[NET Amount]]-Table1[[#This Row],[Total Outstanding Amount]])/Table1[[#This Row],[NET Amount]]</f>
        <v>#DIV/0!</v>
      </c>
      <c r="S815" s="2" t="s">
        <v>27</v>
      </c>
    </row>
    <row r="816" spans="1:19" x14ac:dyDescent="0.3">
      <c r="A816" s="4">
        <v>814</v>
      </c>
      <c r="B816" s="2" t="s">
        <v>126</v>
      </c>
      <c r="C816" s="3">
        <v>44849</v>
      </c>
      <c r="D816" s="3" t="str">
        <f>TEXT(Table1[[#This Row],[Admission Date]],"MMMM")</f>
        <v>October</v>
      </c>
      <c r="E816" s="3">
        <v>44855</v>
      </c>
      <c r="F816" s="3">
        <v>44855</v>
      </c>
      <c r="G816" s="2">
        <v>22028010</v>
      </c>
      <c r="H816" s="2">
        <v>2236200</v>
      </c>
      <c r="I816" s="2">
        <v>1001800022</v>
      </c>
      <c r="J816" s="2" t="s">
        <v>737</v>
      </c>
      <c r="K816" s="10">
        <v>113945</v>
      </c>
      <c r="L816" s="10">
        <v>5468</v>
      </c>
      <c r="M816" s="10">
        <v>108477</v>
      </c>
      <c r="N816" s="10">
        <v>71079</v>
      </c>
      <c r="O816" s="10">
        <f>Table1[[#This Row],[NET Amount]]-Table1[[#This Row],[Paid Amount]]</f>
        <v>37398</v>
      </c>
      <c r="P816" s="2" t="s">
        <v>23</v>
      </c>
      <c r="Q816" s="2" t="s">
        <v>30</v>
      </c>
      <c r="R816" s="16">
        <f>(Table1[[#This Row],[NET Amount]]-Table1[[#This Row],[Total Outstanding Amount]])/Table1[[#This Row],[NET Amount]]</f>
        <v>0.65524489062197522</v>
      </c>
      <c r="S816" s="2" t="s">
        <v>20</v>
      </c>
    </row>
    <row r="817" spans="1:19" x14ac:dyDescent="0.3">
      <c r="A817" s="4">
        <v>815</v>
      </c>
      <c r="B817" s="2" t="s">
        <v>738</v>
      </c>
      <c r="C817" s="3">
        <v>44843</v>
      </c>
      <c r="D817" s="3" t="str">
        <f>TEXT(Table1[[#This Row],[Admission Date]],"MMMM")</f>
        <v>October</v>
      </c>
      <c r="E817" s="3">
        <v>44855</v>
      </c>
      <c r="F817" s="3">
        <v>44855</v>
      </c>
      <c r="G817" s="2">
        <v>22028078</v>
      </c>
      <c r="H817" s="2">
        <v>2235307</v>
      </c>
      <c r="I817" s="2">
        <v>10013542318</v>
      </c>
      <c r="J817" s="2" t="s">
        <v>739</v>
      </c>
      <c r="K817" s="10">
        <v>414221</v>
      </c>
      <c r="L817" s="10">
        <v>31305</v>
      </c>
      <c r="M817" s="10">
        <v>382916</v>
      </c>
      <c r="N817" s="10">
        <v>23014</v>
      </c>
      <c r="O817" s="10">
        <f>Table1[[#This Row],[NET Amount]]-Table1[[#This Row],[Paid Amount]]</f>
        <v>359902</v>
      </c>
      <c r="P817" s="2" t="s">
        <v>23</v>
      </c>
      <c r="Q817" s="2" t="s">
        <v>19</v>
      </c>
      <c r="R817" s="16">
        <f>(Table1[[#This Row],[NET Amount]]-Table1[[#This Row],[Total Outstanding Amount]])/Table1[[#This Row],[NET Amount]]</f>
        <v>6.0101954475655237E-2</v>
      </c>
      <c r="S817" s="2" t="s">
        <v>20</v>
      </c>
    </row>
    <row r="818" spans="1:19" x14ac:dyDescent="0.3">
      <c r="A818" s="4">
        <v>816</v>
      </c>
      <c r="B818" s="2" t="s">
        <v>28</v>
      </c>
      <c r="C818" s="3">
        <v>44848</v>
      </c>
      <c r="D818" s="3" t="str">
        <f>TEXT(Table1[[#This Row],[Admission Date]],"MMMM")</f>
        <v>October</v>
      </c>
      <c r="E818" s="3">
        <v>44848</v>
      </c>
      <c r="F818" s="3">
        <v>44848</v>
      </c>
      <c r="G818" s="2">
        <v>22027078</v>
      </c>
      <c r="H818" s="2">
        <v>2235907</v>
      </c>
      <c r="I818" s="2">
        <v>1000969357</v>
      </c>
      <c r="J818" s="2" t="s">
        <v>740</v>
      </c>
      <c r="K818" s="10">
        <v>28124</v>
      </c>
      <c r="L818" s="10">
        <v>2792</v>
      </c>
      <c r="M818" s="10">
        <v>25332</v>
      </c>
      <c r="N818" s="10">
        <v>1500</v>
      </c>
      <c r="O818" s="10">
        <f>Table1[[#This Row],[NET Amount]]-Table1[[#This Row],[Paid Amount]]</f>
        <v>23832</v>
      </c>
      <c r="P818" s="2" t="s">
        <v>23</v>
      </c>
      <c r="Q818" s="2" t="s">
        <v>54</v>
      </c>
      <c r="R818" s="16">
        <f>(Table1[[#This Row],[NET Amount]]-Table1[[#This Row],[Total Outstanding Amount]])/Table1[[#This Row],[NET Amount]]</f>
        <v>5.9213642823306489E-2</v>
      </c>
      <c r="S818" s="2" t="s">
        <v>27</v>
      </c>
    </row>
    <row r="819" spans="1:19" x14ac:dyDescent="0.3">
      <c r="A819" s="4">
        <v>817</v>
      </c>
      <c r="B819" s="2" t="s">
        <v>2244</v>
      </c>
      <c r="C819" s="3">
        <v>44842</v>
      </c>
      <c r="D819" s="3" t="str">
        <f>TEXT(Table1[[#This Row],[Admission Date]],"MMMM")</f>
        <v>October</v>
      </c>
      <c r="E819" s="3">
        <v>44842</v>
      </c>
      <c r="F819" s="3">
        <v>44842</v>
      </c>
      <c r="G819" s="2">
        <v>22026180</v>
      </c>
      <c r="H819" s="2">
        <v>2235182</v>
      </c>
      <c r="I819" s="2">
        <v>1001797549</v>
      </c>
      <c r="J819" s="2" t="s">
        <v>121</v>
      </c>
      <c r="K819" s="10">
        <v>1610</v>
      </c>
      <c r="L819" s="10">
        <v>0</v>
      </c>
      <c r="M819" s="10">
        <v>1610</v>
      </c>
      <c r="N819" s="10">
        <v>1610</v>
      </c>
      <c r="O819" s="10">
        <f>Table1[[#This Row],[NET Amount]]-Table1[[#This Row],[Paid Amount]]</f>
        <v>0</v>
      </c>
      <c r="P819" s="2" t="s">
        <v>18</v>
      </c>
      <c r="Q819" s="2" t="s">
        <v>54</v>
      </c>
      <c r="R819" s="16">
        <f>(Table1[[#This Row],[NET Amount]]-Table1[[#This Row],[Total Outstanding Amount]])/Table1[[#This Row],[NET Amount]]</f>
        <v>1</v>
      </c>
      <c r="S819" s="2" t="s">
        <v>97</v>
      </c>
    </row>
    <row r="820" spans="1:19" x14ac:dyDescent="0.3">
      <c r="A820" s="4">
        <v>818</v>
      </c>
      <c r="B820" s="2" t="s">
        <v>91</v>
      </c>
      <c r="C820" s="3">
        <v>44839</v>
      </c>
      <c r="D820" s="3" t="str">
        <f>TEXT(Table1[[#This Row],[Admission Date]],"MMMM")</f>
        <v>October</v>
      </c>
      <c r="E820" s="3">
        <v>44843</v>
      </c>
      <c r="F820" s="3">
        <v>44843</v>
      </c>
      <c r="G820" s="2">
        <v>22026264</v>
      </c>
      <c r="H820" s="2">
        <v>2234667</v>
      </c>
      <c r="I820" s="2">
        <v>10013541616</v>
      </c>
      <c r="J820" s="2" t="s">
        <v>741</v>
      </c>
      <c r="K820" s="10">
        <v>83032</v>
      </c>
      <c r="L820" s="10">
        <v>1548</v>
      </c>
      <c r="M820" s="10">
        <v>81485</v>
      </c>
      <c r="N820" s="10">
        <v>14447</v>
      </c>
      <c r="O820" s="10">
        <f>Table1[[#This Row],[NET Amount]]-Table1[[#This Row],[Paid Amount]]</f>
        <v>67038</v>
      </c>
      <c r="P820" s="2" t="s">
        <v>23</v>
      </c>
      <c r="Q820" s="2" t="s">
        <v>24</v>
      </c>
      <c r="R820" s="16">
        <f>(Table1[[#This Row],[NET Amount]]-Table1[[#This Row],[Total Outstanding Amount]])/Table1[[#This Row],[NET Amount]]</f>
        <v>0.17729643492667363</v>
      </c>
      <c r="S820" s="2" t="s">
        <v>20</v>
      </c>
    </row>
    <row r="821" spans="1:19" x14ac:dyDescent="0.3">
      <c r="A821" s="4">
        <v>819</v>
      </c>
      <c r="B821" s="2" t="s">
        <v>139</v>
      </c>
      <c r="C821" s="3">
        <v>44861</v>
      </c>
      <c r="D821" s="3" t="str">
        <f>TEXT(Table1[[#This Row],[Admission Date]],"MMMM")</f>
        <v>October</v>
      </c>
      <c r="E821" s="3">
        <v>44863</v>
      </c>
      <c r="F821" s="3">
        <v>44863</v>
      </c>
      <c r="G821" s="2">
        <v>22029074</v>
      </c>
      <c r="H821" s="2">
        <v>2237723</v>
      </c>
      <c r="I821" s="2">
        <v>10013358987</v>
      </c>
      <c r="J821" s="2" t="s">
        <v>742</v>
      </c>
      <c r="K821" s="10">
        <v>48760</v>
      </c>
      <c r="L821" s="10">
        <v>0</v>
      </c>
      <c r="M821" s="10">
        <v>48760</v>
      </c>
      <c r="N821" s="10">
        <v>1500</v>
      </c>
      <c r="O821" s="10">
        <f>Table1[[#This Row],[NET Amount]]-Table1[[#This Row],[Paid Amount]]</f>
        <v>47260</v>
      </c>
      <c r="P821" s="2" t="s">
        <v>23</v>
      </c>
      <c r="Q821" s="2" t="s">
        <v>30</v>
      </c>
      <c r="R821" s="16">
        <f>(Table1[[#This Row],[NET Amount]]-Table1[[#This Row],[Total Outstanding Amount]])/Table1[[#This Row],[NET Amount]]</f>
        <v>3.0762920426579164E-2</v>
      </c>
      <c r="S821" s="2" t="s">
        <v>37</v>
      </c>
    </row>
    <row r="822" spans="1:19" x14ac:dyDescent="0.3">
      <c r="A822" s="4">
        <v>820</v>
      </c>
      <c r="B822" s="2" t="s">
        <v>75</v>
      </c>
      <c r="C822" s="3">
        <v>44861</v>
      </c>
      <c r="D822" s="3" t="str">
        <f>TEXT(Table1[[#This Row],[Admission Date]],"MMMM")</f>
        <v>October</v>
      </c>
      <c r="E822" s="3">
        <v>44865</v>
      </c>
      <c r="F822" s="3">
        <v>44865</v>
      </c>
      <c r="G822" s="2">
        <v>22029322</v>
      </c>
      <c r="H822" s="2">
        <v>2237665</v>
      </c>
      <c r="I822" s="2">
        <v>10013544764</v>
      </c>
      <c r="J822" s="2" t="s">
        <v>743</v>
      </c>
      <c r="K822" s="10">
        <v>41508</v>
      </c>
      <c r="L822" s="10">
        <v>0</v>
      </c>
      <c r="M822" s="10">
        <v>41508</v>
      </c>
      <c r="N822" s="10">
        <v>520</v>
      </c>
      <c r="O822" s="10">
        <f>Table1[[#This Row],[NET Amount]]-Table1[[#This Row],[Paid Amount]]</f>
        <v>40988</v>
      </c>
      <c r="P822" s="2" t="s">
        <v>23</v>
      </c>
      <c r="Q822" s="2" t="s">
        <v>30</v>
      </c>
      <c r="R822" s="16">
        <f>(Table1[[#This Row],[NET Amount]]-Table1[[#This Row],[Total Outstanding Amount]])/Table1[[#This Row],[NET Amount]]</f>
        <v>1.2527705502553724E-2</v>
      </c>
      <c r="S822" s="2" t="s">
        <v>20</v>
      </c>
    </row>
    <row r="823" spans="1:19" x14ac:dyDescent="0.3">
      <c r="A823" s="4">
        <v>821</v>
      </c>
      <c r="B823" s="2" t="s">
        <v>2251</v>
      </c>
      <c r="C823" s="3">
        <v>44855</v>
      </c>
      <c r="D823" s="3" t="str">
        <f>TEXT(Table1[[#This Row],[Admission Date]],"MMMM")</f>
        <v>October</v>
      </c>
      <c r="E823" s="3">
        <v>44857</v>
      </c>
      <c r="F823" s="3">
        <v>44857</v>
      </c>
      <c r="G823" s="2">
        <v>22028332</v>
      </c>
      <c r="H823" s="2">
        <v>2236959</v>
      </c>
      <c r="I823" s="2">
        <v>1001805675</v>
      </c>
      <c r="J823" s="2" t="s">
        <v>98</v>
      </c>
      <c r="K823" s="10">
        <v>43234</v>
      </c>
      <c r="L823" s="10">
        <v>0</v>
      </c>
      <c r="M823" s="10">
        <v>43234</v>
      </c>
      <c r="N823" s="10">
        <v>43234</v>
      </c>
      <c r="O823" s="10">
        <f>Table1[[#This Row],[NET Amount]]-Table1[[#This Row],[Paid Amount]]</f>
        <v>0</v>
      </c>
      <c r="P823" s="2" t="s">
        <v>18</v>
      </c>
      <c r="Q823" s="2" t="s">
        <v>24</v>
      </c>
      <c r="R823" s="16">
        <f>(Table1[[#This Row],[NET Amount]]-Table1[[#This Row],[Total Outstanding Amount]])/Table1[[#This Row],[NET Amount]]</f>
        <v>1</v>
      </c>
      <c r="S823" s="2" t="s">
        <v>39</v>
      </c>
    </row>
    <row r="824" spans="1:19" x14ac:dyDescent="0.3">
      <c r="A824" s="4">
        <v>822</v>
      </c>
      <c r="B824" s="2" t="s">
        <v>25</v>
      </c>
      <c r="C824" s="3">
        <v>44861</v>
      </c>
      <c r="D824" s="3" t="str">
        <f>TEXT(Table1[[#This Row],[Admission Date]],"MMMM")</f>
        <v>October</v>
      </c>
      <c r="E824" s="3">
        <v>44861</v>
      </c>
      <c r="F824" s="3">
        <v>44861</v>
      </c>
      <c r="G824" s="2">
        <v>22028821</v>
      </c>
      <c r="H824" s="2">
        <v>2237689</v>
      </c>
      <c r="I824" s="2">
        <v>10013518452</v>
      </c>
      <c r="J824" s="2" t="s">
        <v>648</v>
      </c>
      <c r="K824" s="10">
        <v>4990</v>
      </c>
      <c r="L824" s="10">
        <v>415</v>
      </c>
      <c r="M824" s="10">
        <v>4575</v>
      </c>
      <c r="N824" s="10">
        <v>4575</v>
      </c>
      <c r="O824" s="10">
        <f>Table1[[#This Row],[NET Amount]]-Table1[[#This Row],[Paid Amount]]</f>
        <v>0</v>
      </c>
      <c r="P824" s="2" t="s">
        <v>18</v>
      </c>
      <c r="Q824" s="2" t="s">
        <v>54</v>
      </c>
      <c r="R824" s="16">
        <f>(Table1[[#This Row],[NET Amount]]-Table1[[#This Row],[Total Outstanding Amount]])/Table1[[#This Row],[NET Amount]]</f>
        <v>1</v>
      </c>
      <c r="S824" s="2" t="s">
        <v>97</v>
      </c>
    </row>
    <row r="825" spans="1:19" x14ac:dyDescent="0.3">
      <c r="A825" s="4">
        <v>823</v>
      </c>
      <c r="B825" s="2" t="s">
        <v>25</v>
      </c>
      <c r="C825" s="3">
        <v>44848</v>
      </c>
      <c r="D825" s="3" t="str">
        <f>TEXT(Table1[[#This Row],[Admission Date]],"MMMM")</f>
        <v>October</v>
      </c>
      <c r="E825" s="3">
        <v>44850</v>
      </c>
      <c r="F825" s="3">
        <v>44850</v>
      </c>
      <c r="G825" s="2">
        <v>22027314</v>
      </c>
      <c r="H825" s="2">
        <v>2236023</v>
      </c>
      <c r="I825" s="2">
        <v>1001804400</v>
      </c>
      <c r="J825" s="2" t="s">
        <v>744</v>
      </c>
      <c r="K825" s="10">
        <v>70048</v>
      </c>
      <c r="L825" s="10">
        <v>8954</v>
      </c>
      <c r="M825" s="10">
        <v>61094</v>
      </c>
      <c r="N825" s="10">
        <v>61094</v>
      </c>
      <c r="O825" s="10">
        <f>Table1[[#This Row],[NET Amount]]-Table1[[#This Row],[Paid Amount]]</f>
        <v>0</v>
      </c>
      <c r="P825" s="2" t="s">
        <v>18</v>
      </c>
      <c r="Q825" s="2" t="s">
        <v>30</v>
      </c>
      <c r="R825" s="16">
        <f>(Table1[[#This Row],[NET Amount]]-Table1[[#This Row],[Total Outstanding Amount]])/Table1[[#This Row],[NET Amount]]</f>
        <v>1</v>
      </c>
      <c r="S825" s="2" t="s">
        <v>27</v>
      </c>
    </row>
    <row r="826" spans="1:19" x14ac:dyDescent="0.3">
      <c r="A826" s="4">
        <v>824</v>
      </c>
      <c r="B826" s="2" t="s">
        <v>2246</v>
      </c>
      <c r="C826" s="3">
        <v>44846</v>
      </c>
      <c r="D826" s="3" t="str">
        <f>TEXT(Table1[[#This Row],[Admission Date]],"MMMM")</f>
        <v>October</v>
      </c>
      <c r="E826" s="3">
        <v>44846</v>
      </c>
      <c r="F826" s="3">
        <v>44846</v>
      </c>
      <c r="G826" s="2">
        <v>22026681</v>
      </c>
      <c r="H826" s="2">
        <v>2235660</v>
      </c>
      <c r="I826" s="2">
        <v>1001788579</v>
      </c>
      <c r="J826" s="2" t="s">
        <v>107</v>
      </c>
      <c r="K826" s="10">
        <v>2172</v>
      </c>
      <c r="L826" s="10">
        <v>0</v>
      </c>
      <c r="M826" s="10">
        <v>2172</v>
      </c>
      <c r="N826" s="10">
        <v>2172</v>
      </c>
      <c r="O826" s="10">
        <f>Table1[[#This Row],[NET Amount]]-Table1[[#This Row],[Paid Amount]]</f>
        <v>0</v>
      </c>
      <c r="P826" s="2" t="s">
        <v>18</v>
      </c>
      <c r="Q826" s="2" t="s">
        <v>54</v>
      </c>
      <c r="R826" s="16">
        <f>(Table1[[#This Row],[NET Amount]]-Table1[[#This Row],[Total Outstanding Amount]])/Table1[[#This Row],[NET Amount]]</f>
        <v>1</v>
      </c>
      <c r="S826" s="2" t="s">
        <v>97</v>
      </c>
    </row>
    <row r="827" spans="1:19" x14ac:dyDescent="0.3">
      <c r="A827" s="4">
        <v>825</v>
      </c>
      <c r="B827" s="2" t="s">
        <v>152</v>
      </c>
      <c r="C827" s="3">
        <v>44837</v>
      </c>
      <c r="D827" s="3" t="str">
        <f>TEXT(Table1[[#This Row],[Admission Date]],"MMMM")</f>
        <v>October</v>
      </c>
      <c r="E827" s="3">
        <v>44850</v>
      </c>
      <c r="F827" s="3">
        <v>44850</v>
      </c>
      <c r="G827" s="2">
        <v>22027348</v>
      </c>
      <c r="H827" s="2">
        <v>2234344</v>
      </c>
      <c r="I827" s="2">
        <v>10013325906</v>
      </c>
      <c r="J827" s="2" t="s">
        <v>745</v>
      </c>
      <c r="K827" s="10">
        <v>312875</v>
      </c>
      <c r="L827" s="10">
        <v>0</v>
      </c>
      <c r="M827" s="10">
        <v>312875</v>
      </c>
      <c r="N827" s="10">
        <v>5125</v>
      </c>
      <c r="O827" s="10">
        <f>Table1[[#This Row],[NET Amount]]-Table1[[#This Row],[Paid Amount]]</f>
        <v>307750</v>
      </c>
      <c r="P827" s="2" t="s">
        <v>23</v>
      </c>
      <c r="Q827" s="2" t="s">
        <v>30</v>
      </c>
      <c r="R827" s="16">
        <f>(Table1[[#This Row],[NET Amount]]-Table1[[#This Row],[Total Outstanding Amount]])/Table1[[#This Row],[NET Amount]]</f>
        <v>1.6380343587694766E-2</v>
      </c>
      <c r="S827" s="2" t="s">
        <v>20</v>
      </c>
    </row>
    <row r="828" spans="1:19" x14ac:dyDescent="0.3">
      <c r="A828" s="4">
        <v>826</v>
      </c>
      <c r="B828" s="2" t="s">
        <v>25</v>
      </c>
      <c r="C828" s="3">
        <v>44837</v>
      </c>
      <c r="D828" s="3" t="str">
        <f>TEXT(Table1[[#This Row],[Admission Date]],"MMMM")</f>
        <v>October</v>
      </c>
      <c r="E828" s="3">
        <v>44838</v>
      </c>
      <c r="F828" s="3">
        <v>44838</v>
      </c>
      <c r="G828" s="2">
        <v>22025502</v>
      </c>
      <c r="H828" s="2">
        <v>2234379</v>
      </c>
      <c r="I828" s="2">
        <v>1001802136</v>
      </c>
      <c r="J828" s="2" t="s">
        <v>372</v>
      </c>
      <c r="K828" s="10">
        <v>64818</v>
      </c>
      <c r="L828" s="10">
        <v>2660</v>
      </c>
      <c r="M828" s="10">
        <v>62158</v>
      </c>
      <c r="N828" s="10">
        <v>62158</v>
      </c>
      <c r="O828" s="10">
        <f>Table1[[#This Row],[NET Amount]]-Table1[[#This Row],[Paid Amount]]</f>
        <v>0</v>
      </c>
      <c r="P828" s="2" t="s">
        <v>18</v>
      </c>
      <c r="Q828" s="2" t="s">
        <v>24</v>
      </c>
      <c r="R828" s="16">
        <f>(Table1[[#This Row],[NET Amount]]-Table1[[#This Row],[Total Outstanding Amount]])/Table1[[#This Row],[NET Amount]]</f>
        <v>1</v>
      </c>
      <c r="S828" s="2" t="s">
        <v>39</v>
      </c>
    </row>
    <row r="829" spans="1:19" x14ac:dyDescent="0.3">
      <c r="A829" s="4">
        <v>827</v>
      </c>
      <c r="B829" s="2" t="s">
        <v>746</v>
      </c>
      <c r="C829" s="3">
        <v>44837</v>
      </c>
      <c r="D829" s="3" t="str">
        <f>TEXT(Table1[[#This Row],[Admission Date]],"MMMM")</f>
        <v>October</v>
      </c>
      <c r="E829" s="3">
        <v>44840</v>
      </c>
      <c r="F829" s="3">
        <v>44840</v>
      </c>
      <c r="G829" s="2">
        <v>22025870</v>
      </c>
      <c r="H829" s="2">
        <v>2234405</v>
      </c>
      <c r="I829" s="2">
        <v>1001802196</v>
      </c>
      <c r="J829" s="2" t="s">
        <v>747</v>
      </c>
      <c r="K829" s="10">
        <v>15599</v>
      </c>
      <c r="L829" s="10">
        <v>0</v>
      </c>
      <c r="M829" s="10">
        <v>15599</v>
      </c>
      <c r="N829" s="10">
        <v>15599</v>
      </c>
      <c r="O829" s="10">
        <f>Table1[[#This Row],[NET Amount]]-Table1[[#This Row],[Paid Amount]]</f>
        <v>0</v>
      </c>
      <c r="P829" s="2" t="s">
        <v>18</v>
      </c>
      <c r="Q829" s="2" t="s">
        <v>19</v>
      </c>
      <c r="R829" s="16">
        <f>(Table1[[#This Row],[NET Amount]]-Table1[[#This Row],[Total Outstanding Amount]])/Table1[[#This Row],[NET Amount]]</f>
        <v>1</v>
      </c>
      <c r="S829" s="2" t="s">
        <v>37</v>
      </c>
    </row>
    <row r="830" spans="1:19" x14ac:dyDescent="0.3">
      <c r="A830" s="4">
        <v>828</v>
      </c>
      <c r="B830" s="2" t="s">
        <v>178</v>
      </c>
      <c r="C830" s="3">
        <v>44836</v>
      </c>
      <c r="D830" s="3" t="str">
        <f>TEXT(Table1[[#This Row],[Admission Date]],"MMMM")</f>
        <v>October</v>
      </c>
      <c r="E830" s="3">
        <v>44845</v>
      </c>
      <c r="F830" s="3">
        <v>44845</v>
      </c>
      <c r="G830" s="2">
        <v>22026503</v>
      </c>
      <c r="H830" s="2">
        <v>2234336</v>
      </c>
      <c r="I830" s="2">
        <v>10013541260</v>
      </c>
      <c r="J830" s="2" t="s">
        <v>748</v>
      </c>
      <c r="K830" s="10">
        <v>382095</v>
      </c>
      <c r="L830" s="10">
        <v>39804</v>
      </c>
      <c r="M830" s="10">
        <v>342291</v>
      </c>
      <c r="N830" s="10">
        <v>34500</v>
      </c>
      <c r="O830" s="10">
        <f>Table1[[#This Row],[NET Amount]]-Table1[[#This Row],[Paid Amount]]</f>
        <v>307791</v>
      </c>
      <c r="P830" s="2" t="s">
        <v>23</v>
      </c>
      <c r="Q830" s="2" t="s">
        <v>42</v>
      </c>
      <c r="R830" s="16">
        <f>(Table1[[#This Row],[NET Amount]]-Table1[[#This Row],[Total Outstanding Amount]])/Table1[[#This Row],[NET Amount]]</f>
        <v>0.10079143185184536</v>
      </c>
      <c r="S830" s="2" t="s">
        <v>20</v>
      </c>
    </row>
    <row r="831" spans="1:19" x14ac:dyDescent="0.3">
      <c r="A831" s="4">
        <v>829</v>
      </c>
      <c r="B831" s="2" t="s">
        <v>117</v>
      </c>
      <c r="C831" s="3">
        <v>44856</v>
      </c>
      <c r="D831" s="3" t="str">
        <f>TEXT(Table1[[#This Row],[Admission Date]],"MMMM")</f>
        <v>October</v>
      </c>
      <c r="E831" s="3">
        <v>44856</v>
      </c>
      <c r="F831" s="3">
        <v>44856</v>
      </c>
      <c r="G831" s="2">
        <v>22028229</v>
      </c>
      <c r="H831" s="2">
        <v>2237030</v>
      </c>
      <c r="I831" s="2">
        <v>10013383005</v>
      </c>
      <c r="J831" s="2" t="s">
        <v>184</v>
      </c>
      <c r="K831" s="10">
        <v>2064</v>
      </c>
      <c r="L831" s="10">
        <v>0</v>
      </c>
      <c r="M831" s="10">
        <v>2064</v>
      </c>
      <c r="N831" s="10">
        <v>2064</v>
      </c>
      <c r="O831" s="10">
        <f>Table1[[#This Row],[NET Amount]]-Table1[[#This Row],[Paid Amount]]</f>
        <v>0</v>
      </c>
      <c r="P831" s="2" t="s">
        <v>18</v>
      </c>
      <c r="Q831" s="2" t="s">
        <v>54</v>
      </c>
      <c r="R831" s="16">
        <f>(Table1[[#This Row],[NET Amount]]-Table1[[#This Row],[Total Outstanding Amount]])/Table1[[#This Row],[NET Amount]]</f>
        <v>1</v>
      </c>
      <c r="S831" s="2" t="s">
        <v>97</v>
      </c>
    </row>
    <row r="832" spans="1:19" x14ac:dyDescent="0.3">
      <c r="A832" s="4">
        <v>830</v>
      </c>
      <c r="B832" s="2" t="s">
        <v>25</v>
      </c>
      <c r="C832" s="3">
        <v>44839</v>
      </c>
      <c r="D832" s="3" t="str">
        <f>TEXT(Table1[[#This Row],[Admission Date]],"MMMM")</f>
        <v>October</v>
      </c>
      <c r="E832" s="3">
        <v>44840</v>
      </c>
      <c r="F832" s="3">
        <v>44840</v>
      </c>
      <c r="G832" s="2">
        <v>22025900</v>
      </c>
      <c r="H832" s="2">
        <v>2234802</v>
      </c>
      <c r="I832" s="2">
        <v>10013541682</v>
      </c>
      <c r="J832" s="2" t="s">
        <v>749</v>
      </c>
      <c r="K832" s="10">
        <v>48642</v>
      </c>
      <c r="L832" s="10">
        <v>7013</v>
      </c>
      <c r="M832" s="10">
        <v>41629</v>
      </c>
      <c r="N832" s="10">
        <v>41629</v>
      </c>
      <c r="O832" s="10">
        <f>Table1[[#This Row],[NET Amount]]-Table1[[#This Row],[Paid Amount]]</f>
        <v>0</v>
      </c>
      <c r="P832" s="2" t="s">
        <v>18</v>
      </c>
      <c r="Q832" s="2" t="s">
        <v>24</v>
      </c>
      <c r="R832" s="16">
        <f>(Table1[[#This Row],[NET Amount]]-Table1[[#This Row],[Total Outstanding Amount]])/Table1[[#This Row],[NET Amount]]</f>
        <v>1</v>
      </c>
      <c r="S832" s="2" t="s">
        <v>39</v>
      </c>
    </row>
    <row r="833" spans="1:19" x14ac:dyDescent="0.3">
      <c r="A833" s="4">
        <v>831</v>
      </c>
      <c r="B833" s="2" t="s">
        <v>117</v>
      </c>
      <c r="C833" s="3">
        <v>44860</v>
      </c>
      <c r="D833" s="3" t="str">
        <f>TEXT(Table1[[#This Row],[Admission Date]],"MMMM")</f>
        <v>October</v>
      </c>
      <c r="E833" s="3">
        <v>44860</v>
      </c>
      <c r="F833" s="3">
        <v>44860</v>
      </c>
      <c r="G833" s="2">
        <v>22028704</v>
      </c>
      <c r="H833" s="2">
        <v>2237564</v>
      </c>
      <c r="I833" s="2">
        <v>1001439428</v>
      </c>
      <c r="J833" s="2" t="s">
        <v>189</v>
      </c>
      <c r="K833" s="10">
        <v>2758</v>
      </c>
      <c r="L833" s="10">
        <v>0</v>
      </c>
      <c r="M833" s="10">
        <v>2758</v>
      </c>
      <c r="N833" s="10">
        <v>2758</v>
      </c>
      <c r="O833" s="10">
        <f>Table1[[#This Row],[NET Amount]]-Table1[[#This Row],[Paid Amount]]</f>
        <v>0</v>
      </c>
      <c r="P833" s="2" t="s">
        <v>18</v>
      </c>
      <c r="Q833" s="2" t="s">
        <v>54</v>
      </c>
      <c r="R833" s="16">
        <f>(Table1[[#This Row],[NET Amount]]-Table1[[#This Row],[Total Outstanding Amount]])/Table1[[#This Row],[NET Amount]]</f>
        <v>1</v>
      </c>
      <c r="S833" s="2" t="s">
        <v>97</v>
      </c>
    </row>
    <row r="834" spans="1:19" x14ac:dyDescent="0.3">
      <c r="A834" s="4">
        <v>832</v>
      </c>
      <c r="B834" s="2" t="s">
        <v>35</v>
      </c>
      <c r="C834" s="3">
        <v>44860</v>
      </c>
      <c r="D834" s="3" t="str">
        <f>TEXT(Table1[[#This Row],[Admission Date]],"MMMM")</f>
        <v>October</v>
      </c>
      <c r="E834" s="3">
        <v>44860</v>
      </c>
      <c r="F834" s="3">
        <v>44860</v>
      </c>
      <c r="G834" s="2">
        <v>22028594</v>
      </c>
      <c r="H834" s="2">
        <v>2237447</v>
      </c>
      <c r="I834" s="2">
        <v>10013401198</v>
      </c>
      <c r="J834" s="2" t="s">
        <v>631</v>
      </c>
      <c r="K834" s="10">
        <v>1610</v>
      </c>
      <c r="L834" s="10">
        <v>0</v>
      </c>
      <c r="M834" s="10">
        <v>1610</v>
      </c>
      <c r="N834" s="10">
        <v>1610</v>
      </c>
      <c r="O834" s="10">
        <f>Table1[[#This Row],[NET Amount]]-Table1[[#This Row],[Paid Amount]]</f>
        <v>0</v>
      </c>
      <c r="P834" s="2" t="s">
        <v>18</v>
      </c>
      <c r="Q834" s="2" t="s">
        <v>54</v>
      </c>
      <c r="R834" s="16">
        <f>(Table1[[#This Row],[NET Amount]]-Table1[[#This Row],[Total Outstanding Amount]])/Table1[[#This Row],[NET Amount]]</f>
        <v>1</v>
      </c>
      <c r="S834" s="2" t="s">
        <v>97</v>
      </c>
    </row>
    <row r="835" spans="1:19" x14ac:dyDescent="0.3">
      <c r="A835" s="4">
        <v>833</v>
      </c>
      <c r="B835" s="2" t="s">
        <v>2244</v>
      </c>
      <c r="C835" s="3">
        <v>44840</v>
      </c>
      <c r="D835" s="3" t="str">
        <f>TEXT(Table1[[#This Row],[Admission Date]],"MMMM")</f>
        <v>October</v>
      </c>
      <c r="E835" s="3">
        <v>44840</v>
      </c>
      <c r="F835" s="3">
        <v>44840</v>
      </c>
      <c r="G835" s="2">
        <v>22025825</v>
      </c>
      <c r="H835" s="2">
        <v>2234828</v>
      </c>
      <c r="I835" s="2">
        <v>1001755099</v>
      </c>
      <c r="J835" s="2" t="s">
        <v>750</v>
      </c>
      <c r="K835" s="10">
        <v>1610</v>
      </c>
      <c r="L835" s="10">
        <v>0</v>
      </c>
      <c r="M835" s="10">
        <v>1610</v>
      </c>
      <c r="N835" s="10">
        <v>1610</v>
      </c>
      <c r="O835" s="10">
        <f>Table1[[#This Row],[NET Amount]]-Table1[[#This Row],[Paid Amount]]</f>
        <v>0</v>
      </c>
      <c r="P835" s="2" t="s">
        <v>18</v>
      </c>
      <c r="Q835" s="2" t="s">
        <v>54</v>
      </c>
      <c r="R835" s="16">
        <f>(Table1[[#This Row],[NET Amount]]-Table1[[#This Row],[Total Outstanding Amount]])/Table1[[#This Row],[NET Amount]]</f>
        <v>1</v>
      </c>
      <c r="S835" s="2" t="s">
        <v>97</v>
      </c>
    </row>
    <row r="836" spans="1:19" x14ac:dyDescent="0.3">
      <c r="A836" s="4">
        <v>834</v>
      </c>
      <c r="B836" s="2" t="s">
        <v>751</v>
      </c>
      <c r="C836" s="3">
        <v>44845</v>
      </c>
      <c r="D836" s="3" t="str">
        <f>TEXT(Table1[[#This Row],[Admission Date]],"MMMM")</f>
        <v>October</v>
      </c>
      <c r="E836" s="3">
        <v>44847</v>
      </c>
      <c r="F836" s="3">
        <v>44847</v>
      </c>
      <c r="G836" s="2">
        <v>22026897</v>
      </c>
      <c r="H836" s="2">
        <v>2235578</v>
      </c>
      <c r="I836" s="2">
        <v>10013542584</v>
      </c>
      <c r="J836" s="2" t="s">
        <v>752</v>
      </c>
      <c r="K836" s="10">
        <v>11555</v>
      </c>
      <c r="L836" s="10">
        <v>0</v>
      </c>
      <c r="M836" s="10">
        <v>11555</v>
      </c>
      <c r="N836" s="10">
        <v>302</v>
      </c>
      <c r="O836" s="10">
        <f>Table1[[#This Row],[NET Amount]]-Table1[[#This Row],[Paid Amount]]</f>
        <v>11253</v>
      </c>
      <c r="P836" s="2" t="s">
        <v>23</v>
      </c>
      <c r="Q836" s="2" t="s">
        <v>19</v>
      </c>
      <c r="R836" s="16">
        <f>(Table1[[#This Row],[NET Amount]]-Table1[[#This Row],[Total Outstanding Amount]])/Table1[[#This Row],[NET Amount]]</f>
        <v>2.6135871916919084E-2</v>
      </c>
      <c r="S836" s="2" t="s">
        <v>65</v>
      </c>
    </row>
    <row r="837" spans="1:19" x14ac:dyDescent="0.3">
      <c r="A837" s="4">
        <v>835</v>
      </c>
      <c r="B837" s="2" t="s">
        <v>155</v>
      </c>
      <c r="C837" s="3">
        <v>44854</v>
      </c>
      <c r="D837" s="3" t="str">
        <f>TEXT(Table1[[#This Row],[Admission Date]],"MMMM")</f>
        <v>October</v>
      </c>
      <c r="E837" s="3">
        <v>44854</v>
      </c>
      <c r="F837" s="3">
        <v>44854</v>
      </c>
      <c r="G837" s="2">
        <v>22027810</v>
      </c>
      <c r="H837" s="2">
        <v>2236738</v>
      </c>
      <c r="I837" s="2">
        <v>10013386841</v>
      </c>
      <c r="J837" s="2" t="s">
        <v>629</v>
      </c>
      <c r="K837" s="10">
        <v>1610</v>
      </c>
      <c r="L837" s="10">
        <v>0</v>
      </c>
      <c r="M837" s="10">
        <v>1610</v>
      </c>
      <c r="N837" s="10">
        <v>1610</v>
      </c>
      <c r="O837" s="10">
        <f>Table1[[#This Row],[NET Amount]]-Table1[[#This Row],[Paid Amount]]</f>
        <v>0</v>
      </c>
      <c r="P837" s="2" t="s">
        <v>18</v>
      </c>
      <c r="Q837" s="2" t="s">
        <v>54</v>
      </c>
      <c r="R837" s="16">
        <f>(Table1[[#This Row],[NET Amount]]-Table1[[#This Row],[Total Outstanding Amount]])/Table1[[#This Row],[NET Amount]]</f>
        <v>1</v>
      </c>
      <c r="S837" s="2" t="s">
        <v>97</v>
      </c>
    </row>
    <row r="838" spans="1:19" x14ac:dyDescent="0.3">
      <c r="A838" s="4">
        <v>836</v>
      </c>
      <c r="B838" s="2" t="s">
        <v>25</v>
      </c>
      <c r="C838" s="3">
        <v>44854</v>
      </c>
      <c r="D838" s="3" t="str">
        <f>TEXT(Table1[[#This Row],[Admission Date]],"MMMM")</f>
        <v>October</v>
      </c>
      <c r="E838" s="3">
        <v>44854</v>
      </c>
      <c r="F838" s="3">
        <v>44854</v>
      </c>
      <c r="G838" s="2">
        <v>22027814</v>
      </c>
      <c r="H838" s="2">
        <v>2236737</v>
      </c>
      <c r="I838" s="2">
        <v>10013484177</v>
      </c>
      <c r="J838" s="2" t="s">
        <v>174</v>
      </c>
      <c r="K838" s="10">
        <v>3821</v>
      </c>
      <c r="L838" s="10">
        <v>266</v>
      </c>
      <c r="M838" s="10">
        <v>3555</v>
      </c>
      <c r="N838" s="10">
        <v>3555</v>
      </c>
      <c r="O838" s="10">
        <f>Table1[[#This Row],[NET Amount]]-Table1[[#This Row],[Paid Amount]]</f>
        <v>0</v>
      </c>
      <c r="P838" s="2" t="s">
        <v>18</v>
      </c>
      <c r="Q838" s="2" t="s">
        <v>54</v>
      </c>
      <c r="R838" s="16">
        <f>(Table1[[#This Row],[NET Amount]]-Table1[[#This Row],[Total Outstanding Amount]])/Table1[[#This Row],[NET Amount]]</f>
        <v>1</v>
      </c>
      <c r="S838" s="2" t="s">
        <v>97</v>
      </c>
    </row>
    <row r="839" spans="1:19" x14ac:dyDescent="0.3">
      <c r="A839" s="4">
        <v>837</v>
      </c>
      <c r="B839" s="2" t="s">
        <v>35</v>
      </c>
      <c r="C839" s="3">
        <v>44854</v>
      </c>
      <c r="D839" s="3" t="str">
        <f>TEXT(Table1[[#This Row],[Admission Date]],"MMMM")</f>
        <v>October</v>
      </c>
      <c r="E839" s="3">
        <v>44854</v>
      </c>
      <c r="F839" s="3">
        <v>44854</v>
      </c>
      <c r="G839" s="2">
        <v>22027818</v>
      </c>
      <c r="H839" s="2">
        <v>2236740</v>
      </c>
      <c r="I839" s="2">
        <v>10013480632</v>
      </c>
      <c r="J839" s="2" t="s">
        <v>210</v>
      </c>
      <c r="K839" s="10">
        <v>1610</v>
      </c>
      <c r="L839" s="10">
        <v>0</v>
      </c>
      <c r="M839" s="10">
        <v>1610</v>
      </c>
      <c r="N839" s="10">
        <v>1610</v>
      </c>
      <c r="O839" s="10">
        <f>Table1[[#This Row],[NET Amount]]-Table1[[#This Row],[Paid Amount]]</f>
        <v>0</v>
      </c>
      <c r="P839" s="2" t="s">
        <v>18</v>
      </c>
      <c r="Q839" s="2" t="s">
        <v>54</v>
      </c>
      <c r="R839" s="16">
        <f>(Table1[[#This Row],[NET Amount]]-Table1[[#This Row],[Total Outstanding Amount]])/Table1[[#This Row],[NET Amount]]</f>
        <v>1</v>
      </c>
      <c r="S839" s="2" t="s">
        <v>97</v>
      </c>
    </row>
    <row r="840" spans="1:19" x14ac:dyDescent="0.3">
      <c r="A840" s="4">
        <v>838</v>
      </c>
      <c r="B840" s="2" t="s">
        <v>25</v>
      </c>
      <c r="C840" s="3">
        <v>44854</v>
      </c>
      <c r="D840" s="3" t="str">
        <f>TEXT(Table1[[#This Row],[Admission Date]],"MMMM")</f>
        <v>October</v>
      </c>
      <c r="E840" s="3">
        <v>44854</v>
      </c>
      <c r="F840" s="3">
        <v>44854</v>
      </c>
      <c r="G840" s="2">
        <v>22027821</v>
      </c>
      <c r="H840" s="2">
        <v>2236727</v>
      </c>
      <c r="I840" s="2">
        <v>1001542684</v>
      </c>
      <c r="J840" s="2" t="s">
        <v>176</v>
      </c>
      <c r="K840" s="10">
        <v>3666</v>
      </c>
      <c r="L840" s="10">
        <v>274</v>
      </c>
      <c r="M840" s="10">
        <v>3392</v>
      </c>
      <c r="N840" s="10">
        <v>3392</v>
      </c>
      <c r="O840" s="10">
        <f>Table1[[#This Row],[NET Amount]]-Table1[[#This Row],[Paid Amount]]</f>
        <v>0</v>
      </c>
      <c r="P840" s="2" t="s">
        <v>18</v>
      </c>
      <c r="Q840" s="2" t="s">
        <v>54</v>
      </c>
      <c r="R840" s="16">
        <f>(Table1[[#This Row],[NET Amount]]-Table1[[#This Row],[Total Outstanding Amount]])/Table1[[#This Row],[NET Amount]]</f>
        <v>1</v>
      </c>
      <c r="S840" s="2" t="s">
        <v>97</v>
      </c>
    </row>
    <row r="841" spans="1:19" x14ac:dyDescent="0.3">
      <c r="A841" s="4">
        <v>839</v>
      </c>
      <c r="B841" s="2" t="s">
        <v>35</v>
      </c>
      <c r="C841" s="3">
        <v>44835</v>
      </c>
      <c r="D841" s="3" t="str">
        <f>TEXT(Table1[[#This Row],[Admission Date]],"MMMM")</f>
        <v>October</v>
      </c>
      <c r="E841" s="3">
        <v>44835</v>
      </c>
      <c r="F841" s="3">
        <v>44835</v>
      </c>
      <c r="G841" s="2">
        <v>22025097</v>
      </c>
      <c r="H841" s="2">
        <v>2234155</v>
      </c>
      <c r="I841" s="2">
        <v>10013480632</v>
      </c>
      <c r="J841" s="2" t="s">
        <v>210</v>
      </c>
      <c r="K841" s="10">
        <v>1610</v>
      </c>
      <c r="L841" s="10">
        <v>0</v>
      </c>
      <c r="M841" s="10">
        <v>1610</v>
      </c>
      <c r="N841" s="10">
        <v>1610</v>
      </c>
      <c r="O841" s="10">
        <f>Table1[[#This Row],[NET Amount]]-Table1[[#This Row],[Paid Amount]]</f>
        <v>0</v>
      </c>
      <c r="P841" s="2" t="s">
        <v>18</v>
      </c>
      <c r="Q841" s="2" t="s">
        <v>54</v>
      </c>
      <c r="R841" s="16">
        <f>(Table1[[#This Row],[NET Amount]]-Table1[[#This Row],[Total Outstanding Amount]])/Table1[[#This Row],[NET Amount]]</f>
        <v>1</v>
      </c>
      <c r="S841" s="2" t="s">
        <v>97</v>
      </c>
    </row>
    <row r="842" spans="1:19" x14ac:dyDescent="0.3">
      <c r="A842" s="4">
        <v>840</v>
      </c>
      <c r="B842" s="2" t="s">
        <v>45</v>
      </c>
      <c r="C842" s="3">
        <v>44835</v>
      </c>
      <c r="D842" s="3" t="str">
        <f>TEXT(Table1[[#This Row],[Admission Date]],"MMMM")</f>
        <v>October</v>
      </c>
      <c r="E842" s="3">
        <v>44835</v>
      </c>
      <c r="F842" s="3">
        <v>44835</v>
      </c>
      <c r="G842" s="2">
        <v>22025107</v>
      </c>
      <c r="H842" s="2">
        <v>2234156</v>
      </c>
      <c r="I842" s="2">
        <v>10013464572</v>
      </c>
      <c r="J842" s="2" t="s">
        <v>278</v>
      </c>
      <c r="K842" s="10">
        <v>4840</v>
      </c>
      <c r="L842" s="10">
        <v>1067</v>
      </c>
      <c r="M842" s="10">
        <v>3773</v>
      </c>
      <c r="N842" s="10">
        <v>1573</v>
      </c>
      <c r="O842" s="10">
        <f>Table1[[#This Row],[NET Amount]]-Table1[[#This Row],[Paid Amount]]</f>
        <v>2200</v>
      </c>
      <c r="P842" s="2" t="s">
        <v>23</v>
      </c>
      <c r="Q842" s="2" t="s">
        <v>147</v>
      </c>
      <c r="R842" s="16">
        <f>(Table1[[#This Row],[NET Amount]]-Table1[[#This Row],[Total Outstanding Amount]])/Table1[[#This Row],[NET Amount]]</f>
        <v>0.41690962099125367</v>
      </c>
      <c r="S842" s="2" t="s">
        <v>97</v>
      </c>
    </row>
    <row r="843" spans="1:19" x14ac:dyDescent="0.3">
      <c r="A843" s="4">
        <v>841</v>
      </c>
      <c r="B843" s="2" t="s">
        <v>753</v>
      </c>
      <c r="C843" s="3">
        <v>44832</v>
      </c>
      <c r="D843" s="3" t="str">
        <f>TEXT(Table1[[#This Row],[Admission Date]],"MMMM")</f>
        <v>September</v>
      </c>
      <c r="E843" s="3">
        <v>44836</v>
      </c>
      <c r="F843" s="3">
        <v>44836</v>
      </c>
      <c r="G843" s="2">
        <v>22025297</v>
      </c>
      <c r="H843" s="2">
        <v>2233800</v>
      </c>
      <c r="I843" s="2">
        <v>10013540648</v>
      </c>
      <c r="J843" s="2" t="s">
        <v>754</v>
      </c>
      <c r="K843" s="10">
        <v>70443</v>
      </c>
      <c r="L843" s="10">
        <v>2</v>
      </c>
      <c r="M843" s="10">
        <v>70441</v>
      </c>
      <c r="N843" s="10">
        <v>17081</v>
      </c>
      <c r="O843" s="10">
        <f>Table1[[#This Row],[NET Amount]]-Table1[[#This Row],[Paid Amount]]</f>
        <v>53360</v>
      </c>
      <c r="P843" s="2" t="s">
        <v>23</v>
      </c>
      <c r="Q843" s="2" t="s">
        <v>30</v>
      </c>
      <c r="R843" s="16">
        <f>(Table1[[#This Row],[NET Amount]]-Table1[[#This Row],[Total Outstanding Amount]])/Table1[[#This Row],[NET Amount]]</f>
        <v>0.24248662000823384</v>
      </c>
      <c r="S843" s="2" t="s">
        <v>20</v>
      </c>
    </row>
    <row r="844" spans="1:19" x14ac:dyDescent="0.3">
      <c r="A844" s="4">
        <v>842</v>
      </c>
      <c r="B844" s="2" t="s">
        <v>166</v>
      </c>
      <c r="C844" s="3">
        <v>44841</v>
      </c>
      <c r="D844" s="3" t="str">
        <f>TEXT(Table1[[#This Row],[Admission Date]],"MMMM")</f>
        <v>October</v>
      </c>
      <c r="E844" s="3">
        <v>44841</v>
      </c>
      <c r="F844" s="3">
        <v>44841</v>
      </c>
      <c r="G844" s="2">
        <v>22025981</v>
      </c>
      <c r="H844" s="2">
        <v>2235015</v>
      </c>
      <c r="I844" s="2">
        <v>10013471499</v>
      </c>
      <c r="J844" s="2" t="s">
        <v>729</v>
      </c>
      <c r="K844" s="10">
        <v>2200</v>
      </c>
      <c r="L844" s="10">
        <v>0</v>
      </c>
      <c r="M844" s="10">
        <v>2200</v>
      </c>
      <c r="N844" s="10">
        <v>220</v>
      </c>
      <c r="O844" s="10">
        <f>Table1[[#This Row],[NET Amount]]-Table1[[#This Row],[Paid Amount]]</f>
        <v>1980</v>
      </c>
      <c r="P844" s="2" t="s">
        <v>23</v>
      </c>
      <c r="Q844" s="2" t="s">
        <v>147</v>
      </c>
      <c r="R844" s="16">
        <f>(Table1[[#This Row],[NET Amount]]-Table1[[#This Row],[Total Outstanding Amount]])/Table1[[#This Row],[NET Amount]]</f>
        <v>0.1</v>
      </c>
      <c r="S844" s="2" t="s">
        <v>97</v>
      </c>
    </row>
    <row r="845" spans="1:19" x14ac:dyDescent="0.3">
      <c r="A845" s="4">
        <v>843</v>
      </c>
      <c r="B845" s="2" t="s">
        <v>126</v>
      </c>
      <c r="C845" s="3">
        <v>44863</v>
      </c>
      <c r="D845" s="3" t="str">
        <f>TEXT(Table1[[#This Row],[Admission Date]],"MMMM")</f>
        <v>October</v>
      </c>
      <c r="E845" s="3">
        <v>44863</v>
      </c>
      <c r="F845" s="3">
        <v>44863</v>
      </c>
      <c r="G845" s="2">
        <v>22029164</v>
      </c>
      <c r="H845" s="2">
        <v>2238030</v>
      </c>
      <c r="I845" s="2">
        <v>10013545155</v>
      </c>
      <c r="J845" s="2" t="s">
        <v>755</v>
      </c>
      <c r="K845" s="10">
        <v>0</v>
      </c>
      <c r="L845" s="10">
        <v>0</v>
      </c>
      <c r="M845" s="10">
        <v>0</v>
      </c>
      <c r="N845" s="10">
        <v>0</v>
      </c>
      <c r="O845" s="10">
        <f>Table1[[#This Row],[NET Amount]]-Table1[[#This Row],[Paid Amount]]</f>
        <v>0</v>
      </c>
      <c r="P845" s="2" t="s">
        <v>18</v>
      </c>
      <c r="Q845" s="2" t="s">
        <v>24</v>
      </c>
      <c r="R845" s="16" t="e">
        <f>(Table1[[#This Row],[NET Amount]]-Table1[[#This Row],[Total Outstanding Amount]])/Table1[[#This Row],[NET Amount]]</f>
        <v>#DIV/0!</v>
      </c>
      <c r="S845" s="2" t="s">
        <v>20</v>
      </c>
    </row>
    <row r="846" spans="1:19" x14ac:dyDescent="0.3">
      <c r="A846" s="4">
        <v>844</v>
      </c>
      <c r="B846" s="2" t="s">
        <v>50</v>
      </c>
      <c r="C846" s="3">
        <v>44846</v>
      </c>
      <c r="D846" s="3" t="str">
        <f>TEXT(Table1[[#This Row],[Admission Date]],"MMMM")</f>
        <v>October</v>
      </c>
      <c r="E846" s="3">
        <v>44846</v>
      </c>
      <c r="F846" s="3">
        <v>44846</v>
      </c>
      <c r="G846" s="2">
        <v>22026793</v>
      </c>
      <c r="H846" s="2">
        <v>2235751</v>
      </c>
      <c r="I846" s="2">
        <v>10013538474</v>
      </c>
      <c r="J846" s="2" t="s">
        <v>324</v>
      </c>
      <c r="K846" s="10">
        <v>2200</v>
      </c>
      <c r="L846" s="10">
        <v>0</v>
      </c>
      <c r="M846" s="10">
        <v>2200</v>
      </c>
      <c r="N846" s="10">
        <v>440</v>
      </c>
      <c r="O846" s="10">
        <f>Table1[[#This Row],[NET Amount]]-Table1[[#This Row],[Paid Amount]]</f>
        <v>1760</v>
      </c>
      <c r="P846" s="2" t="s">
        <v>23</v>
      </c>
      <c r="Q846" s="2" t="s">
        <v>147</v>
      </c>
      <c r="R846" s="16">
        <f>(Table1[[#This Row],[NET Amount]]-Table1[[#This Row],[Total Outstanding Amount]])/Table1[[#This Row],[NET Amount]]</f>
        <v>0.2</v>
      </c>
      <c r="S846" s="2" t="s">
        <v>97</v>
      </c>
    </row>
    <row r="847" spans="1:19" x14ac:dyDescent="0.3">
      <c r="A847" s="4">
        <v>845</v>
      </c>
      <c r="B847" s="2" t="s">
        <v>25</v>
      </c>
      <c r="C847" s="3">
        <v>44849</v>
      </c>
      <c r="D847" s="3" t="str">
        <f>TEXT(Table1[[#This Row],[Admission Date]],"MMMM")</f>
        <v>October</v>
      </c>
      <c r="E847" s="3">
        <v>44849</v>
      </c>
      <c r="F847" s="3">
        <v>44849</v>
      </c>
      <c r="G847" s="2">
        <v>22027178</v>
      </c>
      <c r="H847" s="2">
        <v>2236107</v>
      </c>
      <c r="I847" s="2">
        <v>1001308180</v>
      </c>
      <c r="J847" s="2" t="s">
        <v>227</v>
      </c>
      <c r="K847" s="10">
        <v>14000</v>
      </c>
      <c r="L847" s="10">
        <v>0</v>
      </c>
      <c r="M847" s="10">
        <v>14000</v>
      </c>
      <c r="N847" s="10">
        <v>14000</v>
      </c>
      <c r="O847" s="10">
        <f>Table1[[#This Row],[NET Amount]]-Table1[[#This Row],[Paid Amount]]</f>
        <v>0</v>
      </c>
      <c r="P847" s="2" t="s">
        <v>18</v>
      </c>
      <c r="Q847" s="2" t="s">
        <v>54</v>
      </c>
      <c r="R847" s="16">
        <f>(Table1[[#This Row],[NET Amount]]-Table1[[#This Row],[Total Outstanding Amount]])/Table1[[#This Row],[NET Amount]]</f>
        <v>1</v>
      </c>
      <c r="S847" s="2" t="s">
        <v>39</v>
      </c>
    </row>
    <row r="848" spans="1:19" x14ac:dyDescent="0.3">
      <c r="A848" s="4">
        <v>846</v>
      </c>
      <c r="B848" s="2" t="s">
        <v>25</v>
      </c>
      <c r="C848" s="3">
        <v>44849</v>
      </c>
      <c r="D848" s="3" t="str">
        <f>TEXT(Table1[[#This Row],[Admission Date]],"MMMM")</f>
        <v>October</v>
      </c>
      <c r="E848" s="3">
        <v>44851</v>
      </c>
      <c r="F848" s="3">
        <v>44851</v>
      </c>
      <c r="G848" s="2">
        <v>22027466</v>
      </c>
      <c r="H848" s="2">
        <v>2236139</v>
      </c>
      <c r="I848" s="2">
        <v>10013543169</v>
      </c>
      <c r="J848" s="2" t="s">
        <v>756</v>
      </c>
      <c r="K848" s="10">
        <v>185720</v>
      </c>
      <c r="L848" s="10">
        <v>0</v>
      </c>
      <c r="M848" s="10">
        <v>185720</v>
      </c>
      <c r="N848" s="10">
        <v>9500</v>
      </c>
      <c r="O848" s="10">
        <f>Table1[[#This Row],[NET Amount]]-Table1[[#This Row],[Paid Amount]]</f>
        <v>176220</v>
      </c>
      <c r="P848" s="2" t="s">
        <v>23</v>
      </c>
      <c r="Q848" s="2" t="s">
        <v>24</v>
      </c>
      <c r="R848" s="16">
        <f>(Table1[[#This Row],[NET Amount]]-Table1[[#This Row],[Total Outstanding Amount]])/Table1[[#This Row],[NET Amount]]</f>
        <v>5.1152272237777296E-2</v>
      </c>
      <c r="S848" s="2" t="s">
        <v>39</v>
      </c>
    </row>
    <row r="849" spans="1:19" x14ac:dyDescent="0.3">
      <c r="A849" s="4">
        <v>847</v>
      </c>
      <c r="B849" s="2" t="s">
        <v>75</v>
      </c>
      <c r="C849" s="3">
        <v>44831</v>
      </c>
      <c r="D849" s="3" t="str">
        <f>TEXT(Table1[[#This Row],[Admission Date]],"MMMM")</f>
        <v>September</v>
      </c>
      <c r="E849" s="3">
        <v>44838</v>
      </c>
      <c r="F849" s="3">
        <v>44838</v>
      </c>
      <c r="G849" s="2">
        <v>22025507</v>
      </c>
      <c r="H849" s="2">
        <v>2233659</v>
      </c>
      <c r="I849" s="2">
        <v>1001168698</v>
      </c>
      <c r="J849" s="2" t="s">
        <v>757</v>
      </c>
      <c r="K849" s="10">
        <v>73870</v>
      </c>
      <c r="L849" s="10">
        <v>0</v>
      </c>
      <c r="M849" s="10">
        <v>73870</v>
      </c>
      <c r="N849" s="10">
        <v>1836</v>
      </c>
      <c r="O849" s="10">
        <f>Table1[[#This Row],[NET Amount]]-Table1[[#This Row],[Paid Amount]]</f>
        <v>72034</v>
      </c>
      <c r="P849" s="2" t="s">
        <v>23</v>
      </c>
      <c r="Q849" s="2" t="s">
        <v>24</v>
      </c>
      <c r="R849" s="16">
        <f>(Table1[[#This Row],[NET Amount]]-Table1[[#This Row],[Total Outstanding Amount]])/Table1[[#This Row],[NET Amount]]</f>
        <v>2.4854474076079599E-2</v>
      </c>
      <c r="S849" s="2" t="s">
        <v>39</v>
      </c>
    </row>
    <row r="850" spans="1:19" x14ac:dyDescent="0.3">
      <c r="A850" s="4">
        <v>848</v>
      </c>
      <c r="B850" s="2" t="s">
        <v>25</v>
      </c>
      <c r="C850" s="3">
        <v>44838</v>
      </c>
      <c r="D850" s="3" t="str">
        <f>TEXT(Table1[[#This Row],[Admission Date]],"MMMM")</f>
        <v>October</v>
      </c>
      <c r="E850" s="3">
        <v>44843</v>
      </c>
      <c r="F850" s="3">
        <v>44843</v>
      </c>
      <c r="G850" s="2">
        <v>22026278</v>
      </c>
      <c r="H850" s="2">
        <v>2234575</v>
      </c>
      <c r="I850" s="2">
        <v>10013541252</v>
      </c>
      <c r="J850" s="2" t="s">
        <v>555</v>
      </c>
      <c r="K850" s="10">
        <v>65845</v>
      </c>
      <c r="L850" s="10">
        <v>65845</v>
      </c>
      <c r="M850" s="10">
        <v>0</v>
      </c>
      <c r="N850" s="10">
        <v>0</v>
      </c>
      <c r="O850" s="10">
        <f>Table1[[#This Row],[NET Amount]]-Table1[[#This Row],[Paid Amount]]</f>
        <v>0</v>
      </c>
      <c r="P850" s="2" t="s">
        <v>18</v>
      </c>
      <c r="Q850" s="2" t="s">
        <v>90</v>
      </c>
      <c r="R850" s="16" t="e">
        <f>(Table1[[#This Row],[NET Amount]]-Table1[[#This Row],[Total Outstanding Amount]])/Table1[[#This Row],[NET Amount]]</f>
        <v>#DIV/0!</v>
      </c>
      <c r="S850" s="2" t="s">
        <v>20</v>
      </c>
    </row>
    <row r="851" spans="1:19" x14ac:dyDescent="0.3">
      <c r="A851" s="4">
        <v>849</v>
      </c>
      <c r="B851" s="2" t="s">
        <v>25</v>
      </c>
      <c r="C851" s="3">
        <v>44853</v>
      </c>
      <c r="D851" s="3" t="str">
        <f>TEXT(Table1[[#This Row],[Admission Date]],"MMMM")</f>
        <v>October</v>
      </c>
      <c r="E851" s="3">
        <v>44853</v>
      </c>
      <c r="F851" s="3">
        <v>44853</v>
      </c>
      <c r="G851" s="2">
        <v>22027716</v>
      </c>
      <c r="H851" s="2">
        <v>2236626</v>
      </c>
      <c r="I851" s="2">
        <v>10013526375</v>
      </c>
      <c r="J851" s="2" t="s">
        <v>241</v>
      </c>
      <c r="K851" s="10">
        <v>4990</v>
      </c>
      <c r="L851" s="10">
        <v>433</v>
      </c>
      <c r="M851" s="10">
        <v>4557</v>
      </c>
      <c r="N851" s="10">
        <v>4557</v>
      </c>
      <c r="O851" s="10">
        <f>Table1[[#This Row],[NET Amount]]-Table1[[#This Row],[Paid Amount]]</f>
        <v>0</v>
      </c>
      <c r="P851" s="2" t="s">
        <v>18</v>
      </c>
      <c r="Q851" s="2" t="s">
        <v>54</v>
      </c>
      <c r="R851" s="16">
        <f>(Table1[[#This Row],[NET Amount]]-Table1[[#This Row],[Total Outstanding Amount]])/Table1[[#This Row],[NET Amount]]</f>
        <v>1</v>
      </c>
      <c r="S851" s="2" t="s">
        <v>97</v>
      </c>
    </row>
    <row r="852" spans="1:19" x14ac:dyDescent="0.3">
      <c r="A852" s="4">
        <v>850</v>
      </c>
      <c r="B852" s="2" t="s">
        <v>117</v>
      </c>
      <c r="C852" s="3">
        <v>44853</v>
      </c>
      <c r="D852" s="3" t="str">
        <f>TEXT(Table1[[#This Row],[Admission Date]],"MMMM")</f>
        <v>October</v>
      </c>
      <c r="E852" s="3">
        <v>44853</v>
      </c>
      <c r="F852" s="3">
        <v>44853</v>
      </c>
      <c r="G852" s="2">
        <v>22027706</v>
      </c>
      <c r="H852" s="2">
        <v>2236609</v>
      </c>
      <c r="I852" s="2">
        <v>10013383005</v>
      </c>
      <c r="J852" s="2" t="s">
        <v>184</v>
      </c>
      <c r="K852" s="10">
        <v>2949</v>
      </c>
      <c r="L852" s="10">
        <v>0</v>
      </c>
      <c r="M852" s="10">
        <v>2949</v>
      </c>
      <c r="N852" s="10">
        <v>2949</v>
      </c>
      <c r="O852" s="10">
        <f>Table1[[#This Row],[NET Amount]]-Table1[[#This Row],[Paid Amount]]</f>
        <v>0</v>
      </c>
      <c r="P852" s="2" t="s">
        <v>18</v>
      </c>
      <c r="Q852" s="2" t="s">
        <v>54</v>
      </c>
      <c r="R852" s="16">
        <f>(Table1[[#This Row],[NET Amount]]-Table1[[#This Row],[Total Outstanding Amount]])/Table1[[#This Row],[NET Amount]]</f>
        <v>1</v>
      </c>
      <c r="S852" s="2" t="s">
        <v>97</v>
      </c>
    </row>
    <row r="853" spans="1:19" x14ac:dyDescent="0.3">
      <c r="A853" s="4">
        <v>851</v>
      </c>
      <c r="B853" s="2" t="s">
        <v>25</v>
      </c>
      <c r="C853" s="3">
        <v>44862</v>
      </c>
      <c r="D853" s="3" t="str">
        <f>TEXT(Table1[[#This Row],[Admission Date]],"MMMM")</f>
        <v>October</v>
      </c>
      <c r="E853" s="3">
        <v>44862</v>
      </c>
      <c r="F853" s="3">
        <v>44862</v>
      </c>
      <c r="G853" s="2">
        <v>22028937</v>
      </c>
      <c r="H853" s="2">
        <v>2237814</v>
      </c>
      <c r="I853" s="2">
        <v>10013372212</v>
      </c>
      <c r="J853" s="2" t="s">
        <v>338</v>
      </c>
      <c r="K853" s="10">
        <v>4990</v>
      </c>
      <c r="L853" s="10">
        <v>414</v>
      </c>
      <c r="M853" s="10">
        <v>4576</v>
      </c>
      <c r="N853" s="10">
        <v>4576</v>
      </c>
      <c r="O853" s="10">
        <f>Table1[[#This Row],[NET Amount]]-Table1[[#This Row],[Paid Amount]]</f>
        <v>0</v>
      </c>
      <c r="P853" s="2" t="s">
        <v>18</v>
      </c>
      <c r="Q853" s="2" t="s">
        <v>54</v>
      </c>
      <c r="R853" s="16">
        <f>(Table1[[#This Row],[NET Amount]]-Table1[[#This Row],[Total Outstanding Amount]])/Table1[[#This Row],[NET Amount]]</f>
        <v>1</v>
      </c>
      <c r="S853" s="2" t="s">
        <v>97</v>
      </c>
    </row>
    <row r="854" spans="1:19" x14ac:dyDescent="0.3">
      <c r="A854" s="4">
        <v>852</v>
      </c>
      <c r="B854" s="2" t="s">
        <v>25</v>
      </c>
      <c r="C854" s="3">
        <v>44862</v>
      </c>
      <c r="D854" s="3" t="str">
        <f>TEXT(Table1[[#This Row],[Admission Date]],"MMMM")</f>
        <v>October</v>
      </c>
      <c r="E854" s="3">
        <v>44862</v>
      </c>
      <c r="F854" s="3">
        <v>44862</v>
      </c>
      <c r="G854" s="2">
        <v>22028946</v>
      </c>
      <c r="H854" s="2">
        <v>2237819</v>
      </c>
      <c r="I854" s="2">
        <v>1000975940</v>
      </c>
      <c r="J854" s="2" t="s">
        <v>341</v>
      </c>
      <c r="K854" s="10">
        <v>4990</v>
      </c>
      <c r="L854" s="10">
        <v>421</v>
      </c>
      <c r="M854" s="10">
        <v>4569</v>
      </c>
      <c r="N854" s="10">
        <v>4569</v>
      </c>
      <c r="O854" s="10">
        <f>Table1[[#This Row],[NET Amount]]-Table1[[#This Row],[Paid Amount]]</f>
        <v>0</v>
      </c>
      <c r="P854" s="2" t="s">
        <v>18</v>
      </c>
      <c r="Q854" s="2" t="s">
        <v>54</v>
      </c>
      <c r="R854" s="16">
        <f>(Table1[[#This Row],[NET Amount]]-Table1[[#This Row],[Total Outstanding Amount]])/Table1[[#This Row],[NET Amount]]</f>
        <v>1</v>
      </c>
      <c r="S854" s="2" t="s">
        <v>97</v>
      </c>
    </row>
    <row r="855" spans="1:19" x14ac:dyDescent="0.3">
      <c r="A855" s="4">
        <v>853</v>
      </c>
      <c r="B855" s="2" t="s">
        <v>50</v>
      </c>
      <c r="C855" s="3">
        <v>44855</v>
      </c>
      <c r="D855" s="3" t="str">
        <f>TEXT(Table1[[#This Row],[Admission Date]],"MMMM")</f>
        <v>October</v>
      </c>
      <c r="E855" s="3">
        <v>44856</v>
      </c>
      <c r="F855" s="3">
        <v>44856</v>
      </c>
      <c r="G855" s="2">
        <v>22028153</v>
      </c>
      <c r="H855" s="2">
        <v>2236878</v>
      </c>
      <c r="I855" s="2">
        <v>10013538975</v>
      </c>
      <c r="J855" s="2" t="s">
        <v>758</v>
      </c>
      <c r="K855" s="10">
        <v>59250</v>
      </c>
      <c r="L855" s="10">
        <v>0</v>
      </c>
      <c r="M855" s="10">
        <v>59250</v>
      </c>
      <c r="N855" s="10">
        <v>1500</v>
      </c>
      <c r="O855" s="10">
        <f>Table1[[#This Row],[NET Amount]]-Table1[[#This Row],[Paid Amount]]</f>
        <v>57750</v>
      </c>
      <c r="P855" s="2" t="s">
        <v>23</v>
      </c>
      <c r="Q855" s="2" t="s">
        <v>42</v>
      </c>
      <c r="R855" s="16">
        <f>(Table1[[#This Row],[NET Amount]]-Table1[[#This Row],[Total Outstanding Amount]])/Table1[[#This Row],[NET Amount]]</f>
        <v>2.5316455696202531E-2</v>
      </c>
      <c r="S855" s="2" t="s">
        <v>77</v>
      </c>
    </row>
    <row r="856" spans="1:19" x14ac:dyDescent="0.3">
      <c r="A856" s="4">
        <v>854</v>
      </c>
      <c r="B856" s="2" t="s">
        <v>93</v>
      </c>
      <c r="C856" s="3">
        <v>44839</v>
      </c>
      <c r="D856" s="3" t="str">
        <f>TEXT(Table1[[#This Row],[Admission Date]],"MMMM")</f>
        <v>October</v>
      </c>
      <c r="E856" s="3">
        <v>44840</v>
      </c>
      <c r="F856" s="3">
        <v>44840</v>
      </c>
      <c r="G856" s="2">
        <v>22025810</v>
      </c>
      <c r="H856" s="2">
        <v>2234703</v>
      </c>
      <c r="I856" s="2">
        <v>1001802539</v>
      </c>
      <c r="J856" s="2" t="s">
        <v>759</v>
      </c>
      <c r="K856" s="10">
        <v>202335</v>
      </c>
      <c r="L856" s="10">
        <v>0</v>
      </c>
      <c r="M856" s="10">
        <v>202335</v>
      </c>
      <c r="N856" s="10">
        <v>31625</v>
      </c>
      <c r="O856" s="10">
        <f>Table1[[#This Row],[NET Amount]]-Table1[[#This Row],[Paid Amount]]</f>
        <v>170710</v>
      </c>
      <c r="P856" s="2" t="s">
        <v>23</v>
      </c>
      <c r="Q856" s="2" t="s">
        <v>47</v>
      </c>
      <c r="R856" s="16">
        <f>(Table1[[#This Row],[NET Amount]]-Table1[[#This Row],[Total Outstanding Amount]])/Table1[[#This Row],[NET Amount]]</f>
        <v>0.15630019522079719</v>
      </c>
      <c r="S856" s="2" t="s">
        <v>39</v>
      </c>
    </row>
    <row r="857" spans="1:19" x14ac:dyDescent="0.3">
      <c r="A857" s="4">
        <v>855</v>
      </c>
      <c r="B857" s="2" t="s">
        <v>152</v>
      </c>
      <c r="C857" s="3">
        <v>44835</v>
      </c>
      <c r="D857" s="3" t="str">
        <f>TEXT(Table1[[#This Row],[Admission Date]],"MMMM")</f>
        <v>October</v>
      </c>
      <c r="E857" s="3">
        <v>44836</v>
      </c>
      <c r="F857" s="3">
        <v>44836</v>
      </c>
      <c r="G857" s="2">
        <v>22025288</v>
      </c>
      <c r="H857" s="2">
        <v>2234175</v>
      </c>
      <c r="I857" s="2">
        <v>1000978180</v>
      </c>
      <c r="J857" s="2" t="s">
        <v>760</v>
      </c>
      <c r="K857" s="10">
        <v>179187</v>
      </c>
      <c r="L857" s="10">
        <v>0</v>
      </c>
      <c r="M857" s="10">
        <v>179187</v>
      </c>
      <c r="N857" s="10">
        <v>24420</v>
      </c>
      <c r="O857" s="10">
        <f>Table1[[#This Row],[NET Amount]]-Table1[[#This Row],[Paid Amount]]</f>
        <v>154767</v>
      </c>
      <c r="P857" s="2" t="s">
        <v>23</v>
      </c>
      <c r="Q857" s="2" t="s">
        <v>19</v>
      </c>
      <c r="R857" s="16">
        <f>(Table1[[#This Row],[NET Amount]]-Table1[[#This Row],[Total Outstanding Amount]])/Table1[[#This Row],[NET Amount]]</f>
        <v>0.13628220797267659</v>
      </c>
      <c r="S857" s="2" t="s">
        <v>39</v>
      </c>
    </row>
    <row r="858" spans="1:19" x14ac:dyDescent="0.3">
      <c r="A858" s="4">
        <v>856</v>
      </c>
      <c r="B858" s="2" t="s">
        <v>126</v>
      </c>
      <c r="C858" s="3">
        <v>44832</v>
      </c>
      <c r="D858" s="3" t="str">
        <f>TEXT(Table1[[#This Row],[Admission Date]],"MMMM")</f>
        <v>September</v>
      </c>
      <c r="E858" s="3">
        <v>44836</v>
      </c>
      <c r="F858" s="3">
        <v>44836</v>
      </c>
      <c r="G858" s="2">
        <v>22025294</v>
      </c>
      <c r="H858" s="2">
        <v>2233795</v>
      </c>
      <c r="I858" s="2">
        <v>10013540666</v>
      </c>
      <c r="J858" s="2" t="s">
        <v>761</v>
      </c>
      <c r="K858" s="10">
        <v>57953</v>
      </c>
      <c r="L858" s="10">
        <v>7583</v>
      </c>
      <c r="M858" s="10">
        <v>50370</v>
      </c>
      <c r="N858" s="10">
        <v>3705</v>
      </c>
      <c r="O858" s="10">
        <f>Table1[[#This Row],[NET Amount]]-Table1[[#This Row],[Paid Amount]]</f>
        <v>46665</v>
      </c>
      <c r="P858" s="2" t="s">
        <v>23</v>
      </c>
      <c r="Q858" s="2" t="s">
        <v>24</v>
      </c>
      <c r="R858" s="16">
        <f>(Table1[[#This Row],[NET Amount]]-Table1[[#This Row],[Total Outstanding Amount]])/Table1[[#This Row],[NET Amount]]</f>
        <v>7.3555687909469925E-2</v>
      </c>
      <c r="S858" s="2" t="s">
        <v>20</v>
      </c>
    </row>
    <row r="859" spans="1:19" x14ac:dyDescent="0.3">
      <c r="A859" s="4">
        <v>857</v>
      </c>
      <c r="B859" s="2" t="s">
        <v>2254</v>
      </c>
      <c r="C859" s="3">
        <v>44841</v>
      </c>
      <c r="D859" s="3" t="str">
        <f>TEXT(Table1[[#This Row],[Admission Date]],"MMMM")</f>
        <v>October</v>
      </c>
      <c r="E859" s="3">
        <v>44846</v>
      </c>
      <c r="F859" s="3">
        <v>44846</v>
      </c>
      <c r="G859" s="2">
        <v>22026707</v>
      </c>
      <c r="H859" s="2">
        <v>2235042</v>
      </c>
      <c r="I859" s="2">
        <v>1001803024</v>
      </c>
      <c r="J859" s="2" t="s">
        <v>762</v>
      </c>
      <c r="K859" s="10">
        <v>39173</v>
      </c>
      <c r="L859" s="10">
        <v>5803</v>
      </c>
      <c r="M859" s="10">
        <v>33370</v>
      </c>
      <c r="N859" s="10">
        <v>2090</v>
      </c>
      <c r="O859" s="10">
        <f>Table1[[#This Row],[NET Amount]]-Table1[[#This Row],[Paid Amount]]</f>
        <v>31280</v>
      </c>
      <c r="P859" s="2" t="s">
        <v>23</v>
      </c>
      <c r="Q859" s="2" t="s">
        <v>19</v>
      </c>
      <c r="R859" s="16">
        <f>(Table1[[#This Row],[NET Amount]]-Table1[[#This Row],[Total Outstanding Amount]])/Table1[[#This Row],[NET Amount]]</f>
        <v>6.2631105783637994E-2</v>
      </c>
      <c r="S859" s="2" t="s">
        <v>37</v>
      </c>
    </row>
    <row r="860" spans="1:19" x14ac:dyDescent="0.3">
      <c r="A860" s="4">
        <v>858</v>
      </c>
      <c r="B860" s="2" t="s">
        <v>2253</v>
      </c>
      <c r="C860" s="3">
        <v>44852</v>
      </c>
      <c r="D860" s="3" t="str">
        <f>TEXT(Table1[[#This Row],[Admission Date]],"MMMM")</f>
        <v>October</v>
      </c>
      <c r="E860" s="3">
        <v>44864</v>
      </c>
      <c r="F860" s="3">
        <v>44864</v>
      </c>
      <c r="G860" s="2">
        <v>22029217</v>
      </c>
      <c r="H860" s="2">
        <v>2236561</v>
      </c>
      <c r="I860" s="2">
        <v>1001805143</v>
      </c>
      <c r="J860" s="2" t="s">
        <v>763</v>
      </c>
      <c r="K860" s="10">
        <v>132428</v>
      </c>
      <c r="L860" s="10">
        <v>0</v>
      </c>
      <c r="M860" s="10">
        <v>132428</v>
      </c>
      <c r="N860" s="10">
        <v>4761</v>
      </c>
      <c r="O860" s="10">
        <f>Table1[[#This Row],[NET Amount]]-Table1[[#This Row],[Paid Amount]]</f>
        <v>127667</v>
      </c>
      <c r="P860" s="2" t="s">
        <v>23</v>
      </c>
      <c r="Q860" s="2" t="s">
        <v>19</v>
      </c>
      <c r="R860" s="16">
        <f>(Table1[[#This Row],[NET Amount]]-Table1[[#This Row],[Total Outstanding Amount]])/Table1[[#This Row],[NET Amount]]</f>
        <v>3.5951611441689069E-2</v>
      </c>
      <c r="S860" s="2" t="s">
        <v>20</v>
      </c>
    </row>
    <row r="861" spans="1:19" x14ac:dyDescent="0.3">
      <c r="A861" s="4">
        <v>859</v>
      </c>
      <c r="B861" s="2" t="s">
        <v>2253</v>
      </c>
      <c r="C861" s="3">
        <v>44849</v>
      </c>
      <c r="D861" s="3" t="str">
        <f>TEXT(Table1[[#This Row],[Admission Date]],"MMMM")</f>
        <v>October</v>
      </c>
      <c r="E861" s="3">
        <v>44853</v>
      </c>
      <c r="F861" s="3">
        <v>44853</v>
      </c>
      <c r="G861" s="2">
        <v>22027708</v>
      </c>
      <c r="H861" s="2">
        <v>2236073</v>
      </c>
      <c r="I861" s="2">
        <v>1001804442</v>
      </c>
      <c r="J861" s="2" t="s">
        <v>764</v>
      </c>
      <c r="K861" s="10">
        <v>182169</v>
      </c>
      <c r="L861" s="10">
        <v>0</v>
      </c>
      <c r="M861" s="10">
        <v>182169</v>
      </c>
      <c r="N861" s="10">
        <v>24420</v>
      </c>
      <c r="O861" s="10">
        <f>Table1[[#This Row],[NET Amount]]-Table1[[#This Row],[Paid Amount]]</f>
        <v>157749</v>
      </c>
      <c r="P861" s="2" t="s">
        <v>23</v>
      </c>
      <c r="Q861" s="2" t="s">
        <v>19</v>
      </c>
      <c r="R861" s="16">
        <f>(Table1[[#This Row],[NET Amount]]-Table1[[#This Row],[Total Outstanding Amount]])/Table1[[#This Row],[NET Amount]]</f>
        <v>0.1340513479241803</v>
      </c>
      <c r="S861" s="2" t="s">
        <v>39</v>
      </c>
    </row>
    <row r="862" spans="1:19" x14ac:dyDescent="0.3">
      <c r="A862" s="4">
        <v>860</v>
      </c>
      <c r="B862" s="2" t="s">
        <v>2269</v>
      </c>
      <c r="C862" s="3">
        <v>44851</v>
      </c>
      <c r="D862" s="3" t="str">
        <f>TEXT(Table1[[#This Row],[Admission Date]],"MMMM")</f>
        <v>October</v>
      </c>
      <c r="E862" s="3">
        <v>44855</v>
      </c>
      <c r="F862" s="3">
        <v>44855</v>
      </c>
      <c r="G862" s="2">
        <v>22027999</v>
      </c>
      <c r="H862" s="2">
        <v>2236339</v>
      </c>
      <c r="I862" s="2">
        <v>1001801619</v>
      </c>
      <c r="J862" s="2" t="s">
        <v>765</v>
      </c>
      <c r="K862" s="10">
        <v>26789</v>
      </c>
      <c r="L862" s="10">
        <v>0</v>
      </c>
      <c r="M862" s="10">
        <v>26789</v>
      </c>
      <c r="N862" s="10">
        <v>26789</v>
      </c>
      <c r="O862" s="10">
        <f>Table1[[#This Row],[NET Amount]]-Table1[[#This Row],[Paid Amount]]</f>
        <v>0</v>
      </c>
      <c r="P862" s="2" t="s">
        <v>18</v>
      </c>
      <c r="Q862" s="2" t="s">
        <v>24</v>
      </c>
      <c r="R862" s="16">
        <f>(Table1[[#This Row],[NET Amount]]-Table1[[#This Row],[Total Outstanding Amount]])/Table1[[#This Row],[NET Amount]]</f>
        <v>1</v>
      </c>
      <c r="S862" s="2" t="s">
        <v>20</v>
      </c>
    </row>
    <row r="863" spans="1:19" x14ac:dyDescent="0.3">
      <c r="A863" s="4">
        <v>861</v>
      </c>
      <c r="B863" s="2" t="s">
        <v>155</v>
      </c>
      <c r="C863" s="3">
        <v>44865</v>
      </c>
      <c r="D863" s="3" t="str">
        <f>TEXT(Table1[[#This Row],[Admission Date]],"MMMM")</f>
        <v>October</v>
      </c>
      <c r="E863" s="3">
        <v>44865</v>
      </c>
      <c r="F863" s="3">
        <v>44865</v>
      </c>
      <c r="G863" s="2">
        <v>22029248</v>
      </c>
      <c r="H863" s="2">
        <v>2238144</v>
      </c>
      <c r="I863" s="2">
        <v>10013521425</v>
      </c>
      <c r="J863" s="2" t="s">
        <v>156</v>
      </c>
      <c r="K863" s="10">
        <v>1610</v>
      </c>
      <c r="L863" s="10">
        <v>0</v>
      </c>
      <c r="M863" s="10">
        <v>1610</v>
      </c>
      <c r="N863" s="10">
        <v>1610</v>
      </c>
      <c r="O863" s="10">
        <f>Table1[[#This Row],[NET Amount]]-Table1[[#This Row],[Paid Amount]]</f>
        <v>0</v>
      </c>
      <c r="P863" s="2" t="s">
        <v>18</v>
      </c>
      <c r="Q863" s="2" t="s">
        <v>54</v>
      </c>
      <c r="R863" s="16">
        <f>(Table1[[#This Row],[NET Amount]]-Table1[[#This Row],[Total Outstanding Amount]])/Table1[[#This Row],[NET Amount]]</f>
        <v>1</v>
      </c>
      <c r="S863" s="2" t="s">
        <v>97</v>
      </c>
    </row>
    <row r="864" spans="1:19" x14ac:dyDescent="0.3">
      <c r="A864" s="4">
        <v>862</v>
      </c>
      <c r="B864" s="2" t="s">
        <v>155</v>
      </c>
      <c r="C864" s="3">
        <v>44865</v>
      </c>
      <c r="D864" s="3" t="str">
        <f>TEXT(Table1[[#This Row],[Admission Date]],"MMMM")</f>
        <v>October</v>
      </c>
      <c r="E864" s="3">
        <v>44865</v>
      </c>
      <c r="F864" s="3">
        <v>44865</v>
      </c>
      <c r="G864" s="2">
        <v>22029247</v>
      </c>
      <c r="H864" s="2">
        <v>2238146</v>
      </c>
      <c r="I864" s="2">
        <v>10013537888</v>
      </c>
      <c r="J864" s="2" t="s">
        <v>358</v>
      </c>
      <c r="K864" s="10">
        <v>1610</v>
      </c>
      <c r="L864" s="10">
        <v>0</v>
      </c>
      <c r="M864" s="10">
        <v>1610</v>
      </c>
      <c r="N864" s="10">
        <v>1610</v>
      </c>
      <c r="O864" s="10">
        <f>Table1[[#This Row],[NET Amount]]-Table1[[#This Row],[Paid Amount]]</f>
        <v>0</v>
      </c>
      <c r="P864" s="2" t="s">
        <v>18</v>
      </c>
      <c r="Q864" s="2" t="s">
        <v>54</v>
      </c>
      <c r="R864" s="16">
        <f>(Table1[[#This Row],[NET Amount]]-Table1[[#This Row],[Total Outstanding Amount]])/Table1[[#This Row],[NET Amount]]</f>
        <v>1</v>
      </c>
      <c r="S864" s="2" t="s">
        <v>97</v>
      </c>
    </row>
    <row r="865" spans="1:19" x14ac:dyDescent="0.3">
      <c r="A865" s="4">
        <v>863</v>
      </c>
      <c r="B865" s="2" t="s">
        <v>25</v>
      </c>
      <c r="C865" s="3">
        <v>44862</v>
      </c>
      <c r="D865" s="3" t="str">
        <f>TEXT(Table1[[#This Row],[Admission Date]],"MMMM")</f>
        <v>October</v>
      </c>
      <c r="E865" s="3">
        <v>44862</v>
      </c>
      <c r="F865" s="3">
        <v>44862</v>
      </c>
      <c r="G865" s="2">
        <v>22028916</v>
      </c>
      <c r="H865" s="2">
        <v>2237793</v>
      </c>
      <c r="I865" s="2">
        <v>1001526280</v>
      </c>
      <c r="J865" s="2" t="s">
        <v>362</v>
      </c>
      <c r="K865" s="10">
        <v>3630</v>
      </c>
      <c r="L865" s="10">
        <v>0</v>
      </c>
      <c r="M865" s="10">
        <v>3630</v>
      </c>
      <c r="N865" s="10">
        <v>3630</v>
      </c>
      <c r="O865" s="10">
        <f>Table1[[#This Row],[NET Amount]]-Table1[[#This Row],[Paid Amount]]</f>
        <v>0</v>
      </c>
      <c r="P865" s="2" t="s">
        <v>18</v>
      </c>
      <c r="Q865" s="2" t="s">
        <v>54</v>
      </c>
      <c r="R865" s="16">
        <f>(Table1[[#This Row],[NET Amount]]-Table1[[#This Row],[Total Outstanding Amount]])/Table1[[#This Row],[NET Amount]]</f>
        <v>1</v>
      </c>
      <c r="S865" s="2" t="s">
        <v>97</v>
      </c>
    </row>
    <row r="866" spans="1:19" x14ac:dyDescent="0.3">
      <c r="A866" s="4">
        <v>864</v>
      </c>
      <c r="B866" s="2" t="s">
        <v>50</v>
      </c>
      <c r="C866" s="3">
        <v>44851</v>
      </c>
      <c r="D866" s="3" t="str">
        <f>TEXT(Table1[[#This Row],[Admission Date]],"MMMM")</f>
        <v>October</v>
      </c>
      <c r="E866" s="3">
        <v>44851</v>
      </c>
      <c r="F866" s="3">
        <v>44851</v>
      </c>
      <c r="G866" s="2">
        <v>22027441</v>
      </c>
      <c r="H866" s="2">
        <v>2236322</v>
      </c>
      <c r="I866" s="2">
        <v>1000983811</v>
      </c>
      <c r="J866" s="2" t="s">
        <v>564</v>
      </c>
      <c r="K866" s="10">
        <v>2200</v>
      </c>
      <c r="L866" s="10">
        <v>0</v>
      </c>
      <c r="M866" s="10">
        <v>2200</v>
      </c>
      <c r="N866" s="10">
        <v>440</v>
      </c>
      <c r="O866" s="10">
        <f>Table1[[#This Row],[NET Amount]]-Table1[[#This Row],[Paid Amount]]</f>
        <v>1760</v>
      </c>
      <c r="P866" s="2" t="s">
        <v>23</v>
      </c>
      <c r="Q866" s="2" t="s">
        <v>147</v>
      </c>
      <c r="R866" s="16">
        <f>(Table1[[#This Row],[NET Amount]]-Table1[[#This Row],[Total Outstanding Amount]])/Table1[[#This Row],[NET Amount]]</f>
        <v>0.2</v>
      </c>
      <c r="S866" s="2" t="s">
        <v>97</v>
      </c>
    </row>
    <row r="867" spans="1:19" x14ac:dyDescent="0.3">
      <c r="A867" s="4">
        <v>865</v>
      </c>
      <c r="B867" s="2" t="s">
        <v>25</v>
      </c>
      <c r="C867" s="3">
        <v>44851</v>
      </c>
      <c r="D867" s="3" t="str">
        <f>TEXT(Table1[[#This Row],[Admission Date]],"MMMM")</f>
        <v>October</v>
      </c>
      <c r="E867" s="3">
        <v>44851</v>
      </c>
      <c r="F867" s="3">
        <v>44851</v>
      </c>
      <c r="G867" s="2">
        <v>22027439</v>
      </c>
      <c r="H867" s="2">
        <v>2236354</v>
      </c>
      <c r="I867" s="2">
        <v>10013541901</v>
      </c>
      <c r="J867" s="2" t="s">
        <v>556</v>
      </c>
      <c r="K867" s="10">
        <v>2844</v>
      </c>
      <c r="L867" s="10">
        <v>308</v>
      </c>
      <c r="M867" s="10">
        <v>2536</v>
      </c>
      <c r="N867" s="10">
        <v>2536</v>
      </c>
      <c r="O867" s="10">
        <f>Table1[[#This Row],[NET Amount]]-Table1[[#This Row],[Paid Amount]]</f>
        <v>0</v>
      </c>
      <c r="P867" s="2" t="s">
        <v>18</v>
      </c>
      <c r="Q867" s="2" t="s">
        <v>54</v>
      </c>
      <c r="R867" s="16">
        <f>(Table1[[#This Row],[NET Amount]]-Table1[[#This Row],[Total Outstanding Amount]])/Table1[[#This Row],[NET Amount]]</f>
        <v>1</v>
      </c>
      <c r="S867" s="2" t="s">
        <v>97</v>
      </c>
    </row>
    <row r="868" spans="1:19" x14ac:dyDescent="0.3">
      <c r="A868" s="4">
        <v>866</v>
      </c>
      <c r="B868" s="2" t="s">
        <v>75</v>
      </c>
      <c r="C868" s="3">
        <v>44821</v>
      </c>
      <c r="D868" s="3" t="str">
        <f>TEXT(Table1[[#This Row],[Admission Date]],"MMMM")</f>
        <v>September</v>
      </c>
      <c r="E868" s="3">
        <v>44859</v>
      </c>
      <c r="F868" s="3">
        <v>44860</v>
      </c>
      <c r="G868" s="2">
        <v>22028601</v>
      </c>
      <c r="H868" s="2">
        <v>2232408</v>
      </c>
      <c r="I868" s="2">
        <v>10013434143</v>
      </c>
      <c r="J868" s="2" t="s">
        <v>766</v>
      </c>
      <c r="K868" s="10">
        <v>815915</v>
      </c>
      <c r="L868" s="10">
        <v>0</v>
      </c>
      <c r="M868" s="10">
        <v>815915</v>
      </c>
      <c r="N868" s="10">
        <v>28643</v>
      </c>
      <c r="O868" s="10">
        <f>Table1[[#This Row],[NET Amount]]-Table1[[#This Row],[Paid Amount]]</f>
        <v>787272</v>
      </c>
      <c r="P868" s="2" t="s">
        <v>23</v>
      </c>
      <c r="Q868" s="2" t="s">
        <v>24</v>
      </c>
      <c r="R868" s="16">
        <f>(Table1[[#This Row],[NET Amount]]-Table1[[#This Row],[Total Outstanding Amount]])/Table1[[#This Row],[NET Amount]]</f>
        <v>3.5105372495909504E-2</v>
      </c>
      <c r="S868" s="2" t="s">
        <v>20</v>
      </c>
    </row>
    <row r="869" spans="1:19" x14ac:dyDescent="0.3">
      <c r="A869" s="4">
        <v>867</v>
      </c>
      <c r="B869" s="2" t="s">
        <v>25</v>
      </c>
      <c r="C869" s="3">
        <v>44852</v>
      </c>
      <c r="D869" s="3" t="str">
        <f>TEXT(Table1[[#This Row],[Admission Date]],"MMMM")</f>
        <v>October</v>
      </c>
      <c r="E869" s="3">
        <v>44852</v>
      </c>
      <c r="F869" s="3">
        <v>44852</v>
      </c>
      <c r="G869" s="2">
        <v>22027605</v>
      </c>
      <c r="H869" s="2">
        <v>2236465</v>
      </c>
      <c r="I869" s="2">
        <v>10013543155</v>
      </c>
      <c r="J869" s="2" t="s">
        <v>767</v>
      </c>
      <c r="K869" s="10">
        <v>43931</v>
      </c>
      <c r="L869" s="10">
        <v>43931</v>
      </c>
      <c r="M869" s="10">
        <v>0</v>
      </c>
      <c r="N869" s="10">
        <v>0</v>
      </c>
      <c r="O869" s="10">
        <f>Table1[[#This Row],[NET Amount]]-Table1[[#This Row],[Paid Amount]]</f>
        <v>0</v>
      </c>
      <c r="P869" s="2" t="s">
        <v>18</v>
      </c>
      <c r="Q869" s="2" t="s">
        <v>90</v>
      </c>
      <c r="R869" s="16" t="e">
        <f>(Table1[[#This Row],[NET Amount]]-Table1[[#This Row],[Total Outstanding Amount]])/Table1[[#This Row],[NET Amount]]</f>
        <v>#DIV/0!</v>
      </c>
      <c r="S869" s="2" t="s">
        <v>768</v>
      </c>
    </row>
    <row r="870" spans="1:19" x14ac:dyDescent="0.3">
      <c r="A870" s="4">
        <v>868</v>
      </c>
      <c r="B870" s="2" t="s">
        <v>25</v>
      </c>
      <c r="C870" s="3">
        <v>44849</v>
      </c>
      <c r="D870" s="3" t="str">
        <f>TEXT(Table1[[#This Row],[Admission Date]],"MMMM")</f>
        <v>October</v>
      </c>
      <c r="E870" s="3">
        <v>44849</v>
      </c>
      <c r="F870" s="3">
        <v>44849</v>
      </c>
      <c r="G870" s="2">
        <v>22027136</v>
      </c>
      <c r="H870" s="2">
        <v>2236079</v>
      </c>
      <c r="I870" s="2">
        <v>10013539422</v>
      </c>
      <c r="J870" s="2" t="s">
        <v>552</v>
      </c>
      <c r="K870" s="10">
        <v>3519</v>
      </c>
      <c r="L870" s="10">
        <v>290</v>
      </c>
      <c r="M870" s="10">
        <v>3229</v>
      </c>
      <c r="N870" s="10">
        <v>3229</v>
      </c>
      <c r="O870" s="10">
        <f>Table1[[#This Row],[NET Amount]]-Table1[[#This Row],[Paid Amount]]</f>
        <v>0</v>
      </c>
      <c r="P870" s="2" t="s">
        <v>18</v>
      </c>
      <c r="Q870" s="2" t="s">
        <v>54</v>
      </c>
      <c r="R870" s="16">
        <f>(Table1[[#This Row],[NET Amount]]-Table1[[#This Row],[Total Outstanding Amount]])/Table1[[#This Row],[NET Amount]]</f>
        <v>1</v>
      </c>
      <c r="S870" s="2" t="s">
        <v>97</v>
      </c>
    </row>
    <row r="871" spans="1:19" x14ac:dyDescent="0.3">
      <c r="A871" s="4">
        <v>869</v>
      </c>
      <c r="B871" s="2" t="s">
        <v>117</v>
      </c>
      <c r="C871" s="3">
        <v>44862</v>
      </c>
      <c r="D871" s="3" t="str">
        <f>TEXT(Table1[[#This Row],[Admission Date]],"MMMM")</f>
        <v>October</v>
      </c>
      <c r="E871" s="3">
        <v>44862</v>
      </c>
      <c r="F871" s="3">
        <v>44862</v>
      </c>
      <c r="G871" s="2">
        <v>22028846</v>
      </c>
      <c r="H871" s="2">
        <v>2237753</v>
      </c>
      <c r="I871" s="2">
        <v>10013461113</v>
      </c>
      <c r="J871" s="2" t="s">
        <v>308</v>
      </c>
      <c r="K871" s="10">
        <v>2949</v>
      </c>
      <c r="L871" s="10">
        <v>0</v>
      </c>
      <c r="M871" s="10">
        <v>2949</v>
      </c>
      <c r="N871" s="10">
        <v>2949</v>
      </c>
      <c r="O871" s="10">
        <f>Table1[[#This Row],[NET Amount]]-Table1[[#This Row],[Paid Amount]]</f>
        <v>0</v>
      </c>
      <c r="P871" s="2" t="s">
        <v>18</v>
      </c>
      <c r="Q871" s="2" t="s">
        <v>54</v>
      </c>
      <c r="R871" s="16">
        <f>(Table1[[#This Row],[NET Amount]]-Table1[[#This Row],[Total Outstanding Amount]])/Table1[[#This Row],[NET Amount]]</f>
        <v>1</v>
      </c>
      <c r="S871" s="2" t="s">
        <v>97</v>
      </c>
    </row>
    <row r="872" spans="1:19" x14ac:dyDescent="0.3">
      <c r="A872" s="4">
        <v>870</v>
      </c>
      <c r="B872" s="2" t="s">
        <v>25</v>
      </c>
      <c r="C872" s="3">
        <v>44834</v>
      </c>
      <c r="D872" s="3" t="str">
        <f>TEXT(Table1[[#This Row],[Admission Date]],"MMMM")</f>
        <v>September</v>
      </c>
      <c r="E872" s="3">
        <v>44836</v>
      </c>
      <c r="F872" s="3">
        <v>44836</v>
      </c>
      <c r="G872" s="2">
        <v>22025282</v>
      </c>
      <c r="H872" s="2">
        <v>2234126</v>
      </c>
      <c r="I872" s="2">
        <v>10013540375</v>
      </c>
      <c r="J872" s="2" t="s">
        <v>769</v>
      </c>
      <c r="K872" s="10">
        <v>37654</v>
      </c>
      <c r="L872" s="10">
        <v>37654</v>
      </c>
      <c r="M872" s="10">
        <v>0</v>
      </c>
      <c r="N872" s="10">
        <v>0</v>
      </c>
      <c r="O872" s="10">
        <f>Table1[[#This Row],[NET Amount]]-Table1[[#This Row],[Paid Amount]]</f>
        <v>0</v>
      </c>
      <c r="P872" s="2" t="s">
        <v>18</v>
      </c>
      <c r="Q872" s="2" t="s">
        <v>90</v>
      </c>
      <c r="R872" s="16" t="e">
        <f>(Table1[[#This Row],[NET Amount]]-Table1[[#This Row],[Total Outstanding Amount]])/Table1[[#This Row],[NET Amount]]</f>
        <v>#DIV/0!</v>
      </c>
      <c r="S872" s="2" t="s">
        <v>20</v>
      </c>
    </row>
    <row r="873" spans="1:19" x14ac:dyDescent="0.3">
      <c r="A873" s="4">
        <v>871</v>
      </c>
      <c r="B873" s="2" t="s">
        <v>25</v>
      </c>
      <c r="C873" s="3">
        <v>44833</v>
      </c>
      <c r="D873" s="3" t="str">
        <f>TEXT(Table1[[#This Row],[Admission Date]],"MMMM")</f>
        <v>September</v>
      </c>
      <c r="E873" s="3">
        <v>44836</v>
      </c>
      <c r="F873" s="3">
        <v>44836</v>
      </c>
      <c r="G873" s="2">
        <v>22025308</v>
      </c>
      <c r="H873" s="2">
        <v>2233978</v>
      </c>
      <c r="I873" s="2">
        <v>10013540885</v>
      </c>
      <c r="J873" s="2" t="s">
        <v>770</v>
      </c>
      <c r="K873" s="10">
        <v>54714</v>
      </c>
      <c r="L873" s="10">
        <v>54714</v>
      </c>
      <c r="M873" s="10">
        <v>0</v>
      </c>
      <c r="N873" s="10">
        <v>0</v>
      </c>
      <c r="O873" s="10">
        <f>Table1[[#This Row],[NET Amount]]-Table1[[#This Row],[Paid Amount]]</f>
        <v>0</v>
      </c>
      <c r="P873" s="2" t="s">
        <v>18</v>
      </c>
      <c r="Q873" s="2" t="s">
        <v>90</v>
      </c>
      <c r="R873" s="16" t="e">
        <f>(Table1[[#This Row],[NET Amount]]-Table1[[#This Row],[Total Outstanding Amount]])/Table1[[#This Row],[NET Amount]]</f>
        <v>#DIV/0!</v>
      </c>
      <c r="S873" s="2" t="s">
        <v>20</v>
      </c>
    </row>
    <row r="874" spans="1:19" x14ac:dyDescent="0.3">
      <c r="A874" s="4">
        <v>872</v>
      </c>
      <c r="B874" s="2" t="s">
        <v>2244</v>
      </c>
      <c r="C874" s="3">
        <v>44855</v>
      </c>
      <c r="D874" s="3" t="str">
        <f>TEXT(Table1[[#This Row],[Admission Date]],"MMMM")</f>
        <v>October</v>
      </c>
      <c r="E874" s="3">
        <v>44855</v>
      </c>
      <c r="F874" s="3">
        <v>44855</v>
      </c>
      <c r="G874" s="2">
        <v>22028094</v>
      </c>
      <c r="H874" s="2">
        <v>2236902</v>
      </c>
      <c r="I874" s="2">
        <v>1001801617</v>
      </c>
      <c r="J874" s="2" t="s">
        <v>771</v>
      </c>
      <c r="K874" s="10">
        <v>5356</v>
      </c>
      <c r="L874" s="10">
        <v>0</v>
      </c>
      <c r="M874" s="10">
        <v>5356</v>
      </c>
      <c r="N874" s="10">
        <v>5356</v>
      </c>
      <c r="O874" s="10">
        <f>Table1[[#This Row],[NET Amount]]-Table1[[#This Row],[Paid Amount]]</f>
        <v>0</v>
      </c>
      <c r="P874" s="2" t="s">
        <v>18</v>
      </c>
      <c r="Q874" s="2" t="s">
        <v>24</v>
      </c>
      <c r="R874" s="16">
        <f>(Table1[[#This Row],[NET Amount]]-Table1[[#This Row],[Total Outstanding Amount]])/Table1[[#This Row],[NET Amount]]</f>
        <v>1</v>
      </c>
      <c r="S874" s="2" t="s">
        <v>27</v>
      </c>
    </row>
    <row r="875" spans="1:19" x14ac:dyDescent="0.3">
      <c r="A875" s="4">
        <v>873</v>
      </c>
      <c r="B875" s="2" t="s">
        <v>21</v>
      </c>
      <c r="C875" s="3">
        <v>44834</v>
      </c>
      <c r="D875" s="3" t="str">
        <f>TEXT(Table1[[#This Row],[Admission Date]],"MMMM")</f>
        <v>September</v>
      </c>
      <c r="E875" s="3">
        <v>44836</v>
      </c>
      <c r="F875" s="3">
        <v>44836</v>
      </c>
      <c r="G875" s="2">
        <v>22025325</v>
      </c>
      <c r="H875" s="2">
        <v>2234008</v>
      </c>
      <c r="I875" s="2">
        <v>10013522072</v>
      </c>
      <c r="J875" s="2" t="s">
        <v>321</v>
      </c>
      <c r="K875" s="10">
        <v>14542</v>
      </c>
      <c r="L875" s="10">
        <v>0</v>
      </c>
      <c r="M875" s="10">
        <v>14542</v>
      </c>
      <c r="N875" s="10">
        <v>14542</v>
      </c>
      <c r="O875" s="10">
        <f>Table1[[#This Row],[NET Amount]]-Table1[[#This Row],[Paid Amount]]</f>
        <v>0</v>
      </c>
      <c r="P875" s="2" t="s">
        <v>18</v>
      </c>
      <c r="Q875" s="2" t="s">
        <v>24</v>
      </c>
      <c r="R875" s="16">
        <f>(Table1[[#This Row],[NET Amount]]-Table1[[#This Row],[Total Outstanding Amount]])/Table1[[#This Row],[NET Amount]]</f>
        <v>1</v>
      </c>
      <c r="S875" s="2" t="s">
        <v>27</v>
      </c>
    </row>
    <row r="876" spans="1:19" x14ac:dyDescent="0.3">
      <c r="A876" s="4">
        <v>874</v>
      </c>
      <c r="B876" s="2" t="s">
        <v>2269</v>
      </c>
      <c r="C876" s="3">
        <v>44835</v>
      </c>
      <c r="D876" s="3" t="str">
        <f>TEXT(Table1[[#This Row],[Admission Date]],"MMMM")</f>
        <v>October</v>
      </c>
      <c r="E876" s="3">
        <v>44835</v>
      </c>
      <c r="F876" s="3">
        <v>44835</v>
      </c>
      <c r="G876" s="2">
        <v>22025233</v>
      </c>
      <c r="H876" s="2">
        <v>2234249</v>
      </c>
      <c r="I876" s="2">
        <v>1001753780</v>
      </c>
      <c r="J876" s="2" t="s">
        <v>772</v>
      </c>
      <c r="K876" s="10">
        <v>2560</v>
      </c>
      <c r="L876" s="10">
        <v>0</v>
      </c>
      <c r="M876" s="10">
        <v>2560</v>
      </c>
      <c r="N876" s="10">
        <v>2560</v>
      </c>
      <c r="O876" s="10">
        <f>Table1[[#This Row],[NET Amount]]-Table1[[#This Row],[Paid Amount]]</f>
        <v>0</v>
      </c>
      <c r="P876" s="2" t="s">
        <v>18</v>
      </c>
      <c r="Q876" s="2" t="s">
        <v>54</v>
      </c>
      <c r="R876" s="16">
        <f>(Table1[[#This Row],[NET Amount]]-Table1[[#This Row],[Total Outstanding Amount]])/Table1[[#This Row],[NET Amount]]</f>
        <v>1</v>
      </c>
      <c r="S876" s="2" t="s">
        <v>97</v>
      </c>
    </row>
    <row r="877" spans="1:19" x14ac:dyDescent="0.3">
      <c r="A877" s="4">
        <v>875</v>
      </c>
      <c r="B877" s="2" t="s">
        <v>2256</v>
      </c>
      <c r="C877" s="3">
        <v>44835</v>
      </c>
      <c r="D877" s="3" t="str">
        <f>TEXT(Table1[[#This Row],[Admission Date]],"MMMM")</f>
        <v>October</v>
      </c>
      <c r="E877" s="3">
        <v>44835</v>
      </c>
      <c r="F877" s="3">
        <v>44835</v>
      </c>
      <c r="G877" s="2">
        <v>22025225</v>
      </c>
      <c r="H877" s="2">
        <v>2234229</v>
      </c>
      <c r="I877" s="2">
        <v>1001658205</v>
      </c>
      <c r="J877" s="2" t="s">
        <v>238</v>
      </c>
      <c r="K877" s="10">
        <v>2950</v>
      </c>
      <c r="L877" s="10">
        <v>0</v>
      </c>
      <c r="M877" s="10">
        <v>2950</v>
      </c>
      <c r="N877" s="10">
        <v>295</v>
      </c>
      <c r="O877" s="10">
        <f>Table1[[#This Row],[NET Amount]]-Table1[[#This Row],[Paid Amount]]</f>
        <v>2655</v>
      </c>
      <c r="P877" s="2" t="s">
        <v>23</v>
      </c>
      <c r="Q877" s="2" t="s">
        <v>54</v>
      </c>
      <c r="R877" s="16">
        <f>(Table1[[#This Row],[NET Amount]]-Table1[[#This Row],[Total Outstanding Amount]])/Table1[[#This Row],[NET Amount]]</f>
        <v>0.1</v>
      </c>
      <c r="S877" s="2" t="s">
        <v>97</v>
      </c>
    </row>
    <row r="878" spans="1:19" x14ac:dyDescent="0.3">
      <c r="A878" s="4">
        <v>876</v>
      </c>
      <c r="B878" s="2" t="s">
        <v>2253</v>
      </c>
      <c r="C878" s="3">
        <v>44835</v>
      </c>
      <c r="D878" s="3" t="str">
        <f>TEXT(Table1[[#This Row],[Admission Date]],"MMMM")</f>
        <v>October</v>
      </c>
      <c r="E878" s="3">
        <v>44841</v>
      </c>
      <c r="F878" s="3">
        <v>44841</v>
      </c>
      <c r="G878" s="2">
        <v>22025944</v>
      </c>
      <c r="H878" s="2">
        <v>2234230</v>
      </c>
      <c r="I878" s="2">
        <v>1001564592</v>
      </c>
      <c r="J878" s="2" t="s">
        <v>121</v>
      </c>
      <c r="K878" s="10">
        <v>130988</v>
      </c>
      <c r="L878" s="10">
        <v>0</v>
      </c>
      <c r="M878" s="10">
        <v>130988</v>
      </c>
      <c r="N878" s="10">
        <v>1996</v>
      </c>
      <c r="O878" s="10">
        <f>Table1[[#This Row],[NET Amount]]-Table1[[#This Row],[Paid Amount]]</f>
        <v>128992</v>
      </c>
      <c r="P878" s="2" t="s">
        <v>23</v>
      </c>
      <c r="Q878" s="2" t="s">
        <v>19</v>
      </c>
      <c r="R878" s="16">
        <f>(Table1[[#This Row],[NET Amount]]-Table1[[#This Row],[Total Outstanding Amount]])/Table1[[#This Row],[NET Amount]]</f>
        <v>1.5238037072098207E-2</v>
      </c>
      <c r="S878" s="2" t="s">
        <v>20</v>
      </c>
    </row>
    <row r="879" spans="1:19" x14ac:dyDescent="0.3">
      <c r="A879" s="4">
        <v>877</v>
      </c>
      <c r="B879" s="2" t="s">
        <v>25</v>
      </c>
      <c r="C879" s="3">
        <v>44859</v>
      </c>
      <c r="D879" s="3" t="str">
        <f>TEXT(Table1[[#This Row],[Admission Date]],"MMMM")</f>
        <v>October</v>
      </c>
      <c r="E879" s="3">
        <v>44859</v>
      </c>
      <c r="F879" s="3">
        <v>44859</v>
      </c>
      <c r="G879" s="2">
        <v>22028486</v>
      </c>
      <c r="H879" s="2">
        <v>2237288</v>
      </c>
      <c r="I879" s="2">
        <v>10013451851</v>
      </c>
      <c r="J879" s="2" t="s">
        <v>300</v>
      </c>
      <c r="K879" s="10">
        <v>4990</v>
      </c>
      <c r="L879" s="10">
        <v>428</v>
      </c>
      <c r="M879" s="10">
        <v>4562</v>
      </c>
      <c r="N879" s="10">
        <v>4562</v>
      </c>
      <c r="O879" s="10">
        <f>Table1[[#This Row],[NET Amount]]-Table1[[#This Row],[Paid Amount]]</f>
        <v>0</v>
      </c>
      <c r="P879" s="2" t="s">
        <v>18</v>
      </c>
      <c r="Q879" s="2" t="s">
        <v>54</v>
      </c>
      <c r="R879" s="16">
        <f>(Table1[[#This Row],[NET Amount]]-Table1[[#This Row],[Total Outstanding Amount]])/Table1[[#This Row],[NET Amount]]</f>
        <v>1</v>
      </c>
      <c r="S879" s="2" t="s">
        <v>97</v>
      </c>
    </row>
    <row r="880" spans="1:19" x14ac:dyDescent="0.3">
      <c r="A880" s="4">
        <v>878</v>
      </c>
      <c r="B880" s="2" t="s">
        <v>2244</v>
      </c>
      <c r="C880" s="3">
        <v>44842</v>
      </c>
      <c r="D880" s="3" t="str">
        <f>TEXT(Table1[[#This Row],[Admission Date]],"MMMM")</f>
        <v>October</v>
      </c>
      <c r="E880" s="3">
        <v>44842</v>
      </c>
      <c r="F880" s="3">
        <v>44842</v>
      </c>
      <c r="G880" s="2">
        <v>22026185</v>
      </c>
      <c r="H880" s="2">
        <v>2235186</v>
      </c>
      <c r="I880" s="2">
        <v>1001735831</v>
      </c>
      <c r="J880" s="2" t="s">
        <v>693</v>
      </c>
      <c r="K880" s="10">
        <v>2560</v>
      </c>
      <c r="L880" s="10">
        <v>0</v>
      </c>
      <c r="M880" s="10">
        <v>2560</v>
      </c>
      <c r="N880" s="10">
        <v>2560</v>
      </c>
      <c r="O880" s="10">
        <f>Table1[[#This Row],[NET Amount]]-Table1[[#This Row],[Paid Amount]]</f>
        <v>0</v>
      </c>
      <c r="P880" s="2" t="s">
        <v>18</v>
      </c>
      <c r="Q880" s="2" t="s">
        <v>54</v>
      </c>
      <c r="R880" s="16">
        <f>(Table1[[#This Row],[NET Amount]]-Table1[[#This Row],[Total Outstanding Amount]])/Table1[[#This Row],[NET Amount]]</f>
        <v>1</v>
      </c>
      <c r="S880" s="2" t="s">
        <v>97</v>
      </c>
    </row>
    <row r="881" spans="1:19" x14ac:dyDescent="0.3">
      <c r="A881" s="4">
        <v>879</v>
      </c>
      <c r="B881" s="2" t="s">
        <v>40</v>
      </c>
      <c r="C881" s="3">
        <v>44862</v>
      </c>
      <c r="D881" s="3" t="str">
        <f>TEXT(Table1[[#This Row],[Admission Date]],"MMMM")</f>
        <v>October</v>
      </c>
      <c r="E881" s="3">
        <v>44862</v>
      </c>
      <c r="F881" s="3">
        <v>44862</v>
      </c>
      <c r="G881" s="2">
        <v>22028949</v>
      </c>
      <c r="H881" s="2">
        <v>2237783</v>
      </c>
      <c r="I881" s="2">
        <v>10013436915</v>
      </c>
      <c r="J881" s="2" t="s">
        <v>773</v>
      </c>
      <c r="K881" s="10">
        <v>2200</v>
      </c>
      <c r="L881" s="10">
        <v>0</v>
      </c>
      <c r="M881" s="10">
        <v>2200</v>
      </c>
      <c r="N881" s="10">
        <v>0</v>
      </c>
      <c r="O881" s="10">
        <f>Table1[[#This Row],[NET Amount]]-Table1[[#This Row],[Paid Amount]]</f>
        <v>2200</v>
      </c>
      <c r="P881" s="2" t="s">
        <v>23</v>
      </c>
      <c r="Q881" s="2" t="s">
        <v>147</v>
      </c>
      <c r="R881" s="16">
        <f>(Table1[[#This Row],[NET Amount]]-Table1[[#This Row],[Total Outstanding Amount]])/Table1[[#This Row],[NET Amount]]</f>
        <v>0</v>
      </c>
      <c r="S881" s="2" t="s">
        <v>97</v>
      </c>
    </row>
    <row r="882" spans="1:19" x14ac:dyDescent="0.3">
      <c r="A882" s="4">
        <v>880</v>
      </c>
      <c r="B882" s="2" t="s">
        <v>2263</v>
      </c>
      <c r="C882" s="3">
        <v>44835</v>
      </c>
      <c r="D882" s="3" t="str">
        <f>TEXT(Table1[[#This Row],[Admission Date]],"MMMM")</f>
        <v>October</v>
      </c>
      <c r="E882" s="3">
        <v>44835</v>
      </c>
      <c r="F882" s="3">
        <v>44835</v>
      </c>
      <c r="G882" s="2">
        <v>22025119</v>
      </c>
      <c r="H882" s="2">
        <v>2234172</v>
      </c>
      <c r="I882" s="2">
        <v>1001680001</v>
      </c>
      <c r="J882" s="2" t="s">
        <v>394</v>
      </c>
      <c r="K882" s="10">
        <v>1274</v>
      </c>
      <c r="L882" s="10">
        <v>0</v>
      </c>
      <c r="M882" s="10">
        <v>1274</v>
      </c>
      <c r="N882" s="10">
        <v>0</v>
      </c>
      <c r="O882" s="10">
        <f>Table1[[#This Row],[NET Amount]]-Table1[[#This Row],[Paid Amount]]</f>
        <v>1274</v>
      </c>
      <c r="P882" s="2" t="s">
        <v>23</v>
      </c>
      <c r="Q882" s="2" t="s">
        <v>54</v>
      </c>
      <c r="R882" s="16">
        <f>(Table1[[#This Row],[NET Amount]]-Table1[[#This Row],[Total Outstanding Amount]])/Table1[[#This Row],[NET Amount]]</f>
        <v>0</v>
      </c>
      <c r="S882" s="2" t="s">
        <v>97</v>
      </c>
    </row>
    <row r="883" spans="1:19" x14ac:dyDescent="0.3">
      <c r="A883" s="4">
        <v>881</v>
      </c>
      <c r="B883" s="2" t="s">
        <v>168</v>
      </c>
      <c r="C883" s="3">
        <v>44865</v>
      </c>
      <c r="D883" s="3" t="str">
        <f>TEXT(Table1[[#This Row],[Admission Date]],"MMMM")</f>
        <v>October</v>
      </c>
      <c r="E883" s="3">
        <v>44865</v>
      </c>
      <c r="F883" s="3">
        <v>44865</v>
      </c>
      <c r="G883" s="2">
        <v>22029327</v>
      </c>
      <c r="H883" s="2">
        <v>2238179</v>
      </c>
      <c r="I883" s="2">
        <v>10013359873</v>
      </c>
      <c r="J883" s="2" t="s">
        <v>774</v>
      </c>
      <c r="K883" s="10">
        <v>2200</v>
      </c>
      <c r="L883" s="10">
        <v>0</v>
      </c>
      <c r="M883" s="10">
        <v>2200</v>
      </c>
      <c r="N883" s="10">
        <v>0</v>
      </c>
      <c r="O883" s="10">
        <f>Table1[[#This Row],[NET Amount]]-Table1[[#This Row],[Paid Amount]]</f>
        <v>2200</v>
      </c>
      <c r="P883" s="2" t="s">
        <v>23</v>
      </c>
      <c r="Q883" s="2" t="s">
        <v>147</v>
      </c>
      <c r="R883" s="16">
        <f>(Table1[[#This Row],[NET Amount]]-Table1[[#This Row],[Total Outstanding Amount]])/Table1[[#This Row],[NET Amount]]</f>
        <v>0</v>
      </c>
      <c r="S883" s="2" t="s">
        <v>97</v>
      </c>
    </row>
    <row r="884" spans="1:19" x14ac:dyDescent="0.3">
      <c r="A884" s="4">
        <v>882</v>
      </c>
      <c r="B884" s="2" t="s">
        <v>380</v>
      </c>
      <c r="C884" s="3">
        <v>44853</v>
      </c>
      <c r="D884" s="3" t="str">
        <f>TEXT(Table1[[#This Row],[Admission Date]],"MMMM")</f>
        <v>October</v>
      </c>
      <c r="E884" s="3">
        <v>44853</v>
      </c>
      <c r="F884" s="3">
        <v>44853</v>
      </c>
      <c r="G884" s="2">
        <v>22027794</v>
      </c>
      <c r="H884" s="2">
        <v>2236695</v>
      </c>
      <c r="I884" s="2">
        <v>10013507516</v>
      </c>
      <c r="J884" s="2" t="s">
        <v>481</v>
      </c>
      <c r="K884" s="10">
        <v>1274</v>
      </c>
      <c r="L884" s="10">
        <v>0</v>
      </c>
      <c r="M884" s="10">
        <v>1274</v>
      </c>
      <c r="N884" s="10">
        <v>0</v>
      </c>
      <c r="O884" s="10">
        <f>Table1[[#This Row],[NET Amount]]-Table1[[#This Row],[Paid Amount]]</f>
        <v>1274</v>
      </c>
      <c r="P884" s="2" t="s">
        <v>23</v>
      </c>
      <c r="Q884" s="2" t="s">
        <v>54</v>
      </c>
      <c r="R884" s="16">
        <f>(Table1[[#This Row],[NET Amount]]-Table1[[#This Row],[Total Outstanding Amount]])/Table1[[#This Row],[NET Amount]]</f>
        <v>0</v>
      </c>
      <c r="S884" s="2" t="s">
        <v>97</v>
      </c>
    </row>
    <row r="885" spans="1:19" x14ac:dyDescent="0.3">
      <c r="A885" s="4">
        <v>883</v>
      </c>
      <c r="B885" s="2" t="s">
        <v>380</v>
      </c>
      <c r="C885" s="3">
        <v>44846</v>
      </c>
      <c r="D885" s="3" t="str">
        <f>TEXT(Table1[[#This Row],[Admission Date]],"MMMM")</f>
        <v>October</v>
      </c>
      <c r="E885" s="3">
        <v>44846</v>
      </c>
      <c r="F885" s="3">
        <v>44846</v>
      </c>
      <c r="G885" s="2">
        <v>22026738</v>
      </c>
      <c r="H885" s="2">
        <v>2235697</v>
      </c>
      <c r="I885" s="2">
        <v>10013347178</v>
      </c>
      <c r="J885" s="2" t="s">
        <v>371</v>
      </c>
      <c r="K885" s="10">
        <v>1274</v>
      </c>
      <c r="L885" s="10">
        <v>0</v>
      </c>
      <c r="M885" s="10">
        <v>1274</v>
      </c>
      <c r="N885" s="10">
        <v>0</v>
      </c>
      <c r="O885" s="10">
        <f>Table1[[#This Row],[NET Amount]]-Table1[[#This Row],[Paid Amount]]</f>
        <v>1274</v>
      </c>
      <c r="P885" s="2" t="s">
        <v>23</v>
      </c>
      <c r="Q885" s="2" t="s">
        <v>54</v>
      </c>
      <c r="R885" s="16">
        <f>(Table1[[#This Row],[NET Amount]]-Table1[[#This Row],[Total Outstanding Amount]])/Table1[[#This Row],[NET Amount]]</f>
        <v>0</v>
      </c>
      <c r="S885" s="2" t="s">
        <v>97</v>
      </c>
    </row>
    <row r="886" spans="1:19" x14ac:dyDescent="0.3">
      <c r="A886" s="4">
        <v>884</v>
      </c>
      <c r="B886" s="2" t="s">
        <v>139</v>
      </c>
      <c r="C886" s="3">
        <v>44835</v>
      </c>
      <c r="D886" s="3" t="str">
        <f>TEXT(Table1[[#This Row],[Admission Date]],"MMMM")</f>
        <v>October</v>
      </c>
      <c r="E886" s="3">
        <v>44835</v>
      </c>
      <c r="F886" s="3">
        <v>44835</v>
      </c>
      <c r="G886" s="2">
        <v>22025195</v>
      </c>
      <c r="H886" s="2">
        <v>2234212</v>
      </c>
      <c r="I886" s="2">
        <v>1000947591</v>
      </c>
      <c r="J886" s="2" t="s">
        <v>146</v>
      </c>
      <c r="K886" s="10">
        <v>2200</v>
      </c>
      <c r="L886" s="10">
        <v>0</v>
      </c>
      <c r="M886" s="10">
        <v>2200</v>
      </c>
      <c r="N886" s="10">
        <v>0</v>
      </c>
      <c r="O886" s="10">
        <f>Table1[[#This Row],[NET Amount]]-Table1[[#This Row],[Paid Amount]]</f>
        <v>2200</v>
      </c>
      <c r="P886" s="2" t="s">
        <v>23</v>
      </c>
      <c r="Q886" s="2" t="s">
        <v>147</v>
      </c>
      <c r="R886" s="16">
        <f>(Table1[[#This Row],[NET Amount]]-Table1[[#This Row],[Total Outstanding Amount]])/Table1[[#This Row],[NET Amount]]</f>
        <v>0</v>
      </c>
      <c r="S886" s="2" t="s">
        <v>97</v>
      </c>
    </row>
    <row r="887" spans="1:19" x14ac:dyDescent="0.3">
      <c r="A887" s="4">
        <v>885</v>
      </c>
      <c r="B887" s="2" t="s">
        <v>2270</v>
      </c>
      <c r="C887" s="3">
        <v>44855</v>
      </c>
      <c r="D887" s="3" t="str">
        <f>TEXT(Table1[[#This Row],[Admission Date]],"MMMM")</f>
        <v>October</v>
      </c>
      <c r="E887" s="3">
        <v>44856</v>
      </c>
      <c r="F887" s="3">
        <v>44856</v>
      </c>
      <c r="G887" s="2">
        <v>22028224</v>
      </c>
      <c r="H887" s="2">
        <v>2236910</v>
      </c>
      <c r="I887" s="2">
        <v>1001805603</v>
      </c>
      <c r="J887" s="2" t="s">
        <v>775</v>
      </c>
      <c r="K887" s="10">
        <v>28842</v>
      </c>
      <c r="L887" s="10">
        <v>0</v>
      </c>
      <c r="M887" s="10">
        <v>28842</v>
      </c>
      <c r="N887" s="10">
        <v>0</v>
      </c>
      <c r="O887" s="10">
        <f>Table1[[#This Row],[NET Amount]]-Table1[[#This Row],[Paid Amount]]</f>
        <v>28842</v>
      </c>
      <c r="P887" s="2" t="s">
        <v>23</v>
      </c>
      <c r="Q887" s="2" t="s">
        <v>24</v>
      </c>
      <c r="R887" s="16">
        <f>(Table1[[#This Row],[NET Amount]]-Table1[[#This Row],[Total Outstanding Amount]])/Table1[[#This Row],[NET Amount]]</f>
        <v>0</v>
      </c>
      <c r="S887" s="2" t="s">
        <v>77</v>
      </c>
    </row>
    <row r="888" spans="1:19" x14ac:dyDescent="0.3">
      <c r="A888" s="4">
        <v>886</v>
      </c>
      <c r="B888" s="2" t="s">
        <v>380</v>
      </c>
      <c r="C888" s="3">
        <v>44862</v>
      </c>
      <c r="D888" s="3" t="str">
        <f>TEXT(Table1[[#This Row],[Admission Date]],"MMMM")</f>
        <v>October</v>
      </c>
      <c r="E888" s="3">
        <v>44862</v>
      </c>
      <c r="F888" s="3">
        <v>44862</v>
      </c>
      <c r="G888" s="2">
        <v>22028975</v>
      </c>
      <c r="H888" s="2">
        <v>2237855</v>
      </c>
      <c r="I888" s="2">
        <v>1001074266</v>
      </c>
      <c r="J888" s="2" t="s">
        <v>776</v>
      </c>
      <c r="K888" s="10">
        <v>1274</v>
      </c>
      <c r="L888" s="10">
        <v>0</v>
      </c>
      <c r="M888" s="10">
        <v>1274</v>
      </c>
      <c r="N888" s="10">
        <v>0</v>
      </c>
      <c r="O888" s="10">
        <f>Table1[[#This Row],[NET Amount]]-Table1[[#This Row],[Paid Amount]]</f>
        <v>1274</v>
      </c>
      <c r="P888" s="2" t="s">
        <v>23</v>
      </c>
      <c r="Q888" s="2" t="s">
        <v>54</v>
      </c>
      <c r="R888" s="16">
        <f>(Table1[[#This Row],[NET Amount]]-Table1[[#This Row],[Total Outstanding Amount]])/Table1[[#This Row],[NET Amount]]</f>
        <v>0</v>
      </c>
      <c r="S888" s="2" t="s">
        <v>97</v>
      </c>
    </row>
    <row r="889" spans="1:19" x14ac:dyDescent="0.3">
      <c r="A889" s="4">
        <v>887</v>
      </c>
      <c r="B889" s="2" t="s">
        <v>2258</v>
      </c>
      <c r="C889" s="3">
        <v>44859</v>
      </c>
      <c r="D889" s="3" t="str">
        <f>TEXT(Table1[[#This Row],[Admission Date]],"MMMM")</f>
        <v>October</v>
      </c>
      <c r="E889" s="3">
        <v>44859</v>
      </c>
      <c r="F889" s="3">
        <v>44859</v>
      </c>
      <c r="G889" s="2">
        <v>22028476</v>
      </c>
      <c r="H889" s="2">
        <v>2237277</v>
      </c>
      <c r="I889" s="2">
        <v>1001781083</v>
      </c>
      <c r="J889" s="2" t="s">
        <v>777</v>
      </c>
      <c r="K889" s="10">
        <v>1610</v>
      </c>
      <c r="L889" s="10">
        <v>0</v>
      </c>
      <c r="M889" s="10">
        <v>1610</v>
      </c>
      <c r="N889" s="10">
        <v>0</v>
      </c>
      <c r="O889" s="10">
        <f>Table1[[#This Row],[NET Amount]]-Table1[[#This Row],[Paid Amount]]</f>
        <v>1610</v>
      </c>
      <c r="P889" s="2" t="s">
        <v>23</v>
      </c>
      <c r="Q889" s="2" t="s">
        <v>54</v>
      </c>
      <c r="R889" s="16">
        <f>(Table1[[#This Row],[NET Amount]]-Table1[[#This Row],[Total Outstanding Amount]])/Table1[[#This Row],[NET Amount]]</f>
        <v>0</v>
      </c>
      <c r="S889" s="2" t="s">
        <v>97</v>
      </c>
    </row>
    <row r="890" spans="1:19" x14ac:dyDescent="0.3">
      <c r="A890" s="4">
        <v>888</v>
      </c>
      <c r="B890" s="2" t="s">
        <v>2253</v>
      </c>
      <c r="C890" s="3">
        <v>44851</v>
      </c>
      <c r="D890" s="3" t="str">
        <f>TEXT(Table1[[#This Row],[Admission Date]],"MMMM")</f>
        <v>October</v>
      </c>
      <c r="E890" s="3">
        <v>44851</v>
      </c>
      <c r="F890" s="3">
        <v>44851</v>
      </c>
      <c r="G890" s="2">
        <v>22027387</v>
      </c>
      <c r="H890" s="2">
        <v>2236300</v>
      </c>
      <c r="I890" s="2">
        <v>1001801530</v>
      </c>
      <c r="J890" s="2" t="s">
        <v>392</v>
      </c>
      <c r="K890" s="10">
        <v>1610</v>
      </c>
      <c r="L890" s="10">
        <v>0</v>
      </c>
      <c r="M890" s="10">
        <v>1610</v>
      </c>
      <c r="N890" s="10">
        <v>0</v>
      </c>
      <c r="O890" s="10">
        <f>Table1[[#This Row],[NET Amount]]-Table1[[#This Row],[Paid Amount]]</f>
        <v>1610</v>
      </c>
      <c r="P890" s="2" t="s">
        <v>23</v>
      </c>
      <c r="Q890" s="2" t="s">
        <v>54</v>
      </c>
      <c r="R890" s="16">
        <f>(Table1[[#This Row],[NET Amount]]-Table1[[#This Row],[Total Outstanding Amount]])/Table1[[#This Row],[NET Amount]]</f>
        <v>0</v>
      </c>
      <c r="S890" s="2" t="s">
        <v>97</v>
      </c>
    </row>
    <row r="891" spans="1:19" x14ac:dyDescent="0.3">
      <c r="A891" s="4">
        <v>889</v>
      </c>
      <c r="B891" s="2" t="s">
        <v>2264</v>
      </c>
      <c r="C891" s="3">
        <v>44853</v>
      </c>
      <c r="D891" s="3" t="str">
        <f>TEXT(Table1[[#This Row],[Admission Date]],"MMMM")</f>
        <v>October</v>
      </c>
      <c r="E891" s="3">
        <v>44853</v>
      </c>
      <c r="F891" s="3">
        <v>44853</v>
      </c>
      <c r="G891" s="2">
        <v>22027778</v>
      </c>
      <c r="H891" s="2">
        <v>2236672</v>
      </c>
      <c r="I891" s="2">
        <v>1001445916</v>
      </c>
      <c r="J891" s="2" t="s">
        <v>445</v>
      </c>
      <c r="K891" s="10">
        <v>2950</v>
      </c>
      <c r="L891" s="10">
        <v>0</v>
      </c>
      <c r="M891" s="10">
        <v>2950</v>
      </c>
      <c r="N891" s="10">
        <v>0</v>
      </c>
      <c r="O891" s="10">
        <f>Table1[[#This Row],[NET Amount]]-Table1[[#This Row],[Paid Amount]]</f>
        <v>2950</v>
      </c>
      <c r="P891" s="2" t="s">
        <v>23</v>
      </c>
      <c r="Q891" s="2" t="s">
        <v>54</v>
      </c>
      <c r="R891" s="16">
        <f>(Table1[[#This Row],[NET Amount]]-Table1[[#This Row],[Total Outstanding Amount]])/Table1[[#This Row],[NET Amount]]</f>
        <v>0</v>
      </c>
      <c r="S891" s="2" t="s">
        <v>97</v>
      </c>
    </row>
    <row r="892" spans="1:19" x14ac:dyDescent="0.3">
      <c r="A892" s="4">
        <v>890</v>
      </c>
      <c r="B892" s="2" t="s">
        <v>126</v>
      </c>
      <c r="C892" s="3">
        <v>44835</v>
      </c>
      <c r="D892" s="3" t="str">
        <f>TEXT(Table1[[#This Row],[Admission Date]],"MMMM")</f>
        <v>October</v>
      </c>
      <c r="E892" s="3">
        <v>44838</v>
      </c>
      <c r="F892" s="3">
        <v>44838</v>
      </c>
      <c r="G892" s="2">
        <v>22025538</v>
      </c>
      <c r="H892" s="2">
        <v>2234266</v>
      </c>
      <c r="I892" s="2">
        <v>1001801947</v>
      </c>
      <c r="J892" s="2" t="s">
        <v>778</v>
      </c>
      <c r="K892" s="10">
        <v>322359</v>
      </c>
      <c r="L892" s="10">
        <v>5868</v>
      </c>
      <c r="M892" s="10">
        <v>316491</v>
      </c>
      <c r="N892" s="10">
        <v>0</v>
      </c>
      <c r="O892" s="10">
        <f>Table1[[#This Row],[NET Amount]]-Table1[[#This Row],[Paid Amount]]</f>
        <v>316491</v>
      </c>
      <c r="P892" s="2" t="s">
        <v>23</v>
      </c>
      <c r="Q892" s="2" t="s">
        <v>30</v>
      </c>
      <c r="R892" s="16">
        <f>(Table1[[#This Row],[NET Amount]]-Table1[[#This Row],[Total Outstanding Amount]])/Table1[[#This Row],[NET Amount]]</f>
        <v>0</v>
      </c>
      <c r="S892" s="2" t="s">
        <v>39</v>
      </c>
    </row>
    <row r="893" spans="1:19" x14ac:dyDescent="0.3">
      <c r="A893" s="4">
        <v>891</v>
      </c>
      <c r="B893" s="2" t="s">
        <v>380</v>
      </c>
      <c r="C893" s="3">
        <v>44863</v>
      </c>
      <c r="D893" s="3" t="str">
        <f>TEXT(Table1[[#This Row],[Admission Date]],"MMMM")</f>
        <v>October</v>
      </c>
      <c r="E893" s="3">
        <v>44863</v>
      </c>
      <c r="F893" s="3">
        <v>44863</v>
      </c>
      <c r="G893" s="2">
        <v>22029158</v>
      </c>
      <c r="H893" s="2">
        <v>2238015</v>
      </c>
      <c r="I893" s="2">
        <v>1001542371</v>
      </c>
      <c r="J893" s="2" t="s">
        <v>385</v>
      </c>
      <c r="K893" s="10">
        <v>1274</v>
      </c>
      <c r="L893" s="10">
        <v>0</v>
      </c>
      <c r="M893" s="10">
        <v>1274</v>
      </c>
      <c r="N893" s="10">
        <v>0</v>
      </c>
      <c r="O893" s="10">
        <f>Table1[[#This Row],[NET Amount]]-Table1[[#This Row],[Paid Amount]]</f>
        <v>1274</v>
      </c>
      <c r="P893" s="2" t="s">
        <v>23</v>
      </c>
      <c r="Q893" s="2" t="s">
        <v>54</v>
      </c>
      <c r="R893" s="16">
        <f>(Table1[[#This Row],[NET Amount]]-Table1[[#This Row],[Total Outstanding Amount]])/Table1[[#This Row],[NET Amount]]</f>
        <v>0</v>
      </c>
      <c r="S893" s="2" t="s">
        <v>97</v>
      </c>
    </row>
    <row r="894" spans="1:19" x14ac:dyDescent="0.3">
      <c r="A894" s="4">
        <v>892</v>
      </c>
      <c r="B894" s="2" t="s">
        <v>2253</v>
      </c>
      <c r="C894" s="3">
        <v>44849</v>
      </c>
      <c r="D894" s="3" t="str">
        <f>TEXT(Table1[[#This Row],[Admission Date]],"MMMM")</f>
        <v>October</v>
      </c>
      <c r="E894" s="3">
        <v>44849</v>
      </c>
      <c r="F894" s="3">
        <v>44849</v>
      </c>
      <c r="G894" s="2">
        <v>22027241</v>
      </c>
      <c r="H894" s="2">
        <v>2236159</v>
      </c>
      <c r="I894" s="2">
        <v>1001722362</v>
      </c>
      <c r="J894" s="2" t="s">
        <v>418</v>
      </c>
      <c r="K894" s="10">
        <v>1610</v>
      </c>
      <c r="L894" s="10">
        <v>0</v>
      </c>
      <c r="M894" s="10">
        <v>1610</v>
      </c>
      <c r="N894" s="10">
        <v>0</v>
      </c>
      <c r="O894" s="10">
        <f>Table1[[#This Row],[NET Amount]]-Table1[[#This Row],[Paid Amount]]</f>
        <v>1610</v>
      </c>
      <c r="P894" s="2" t="s">
        <v>23</v>
      </c>
      <c r="Q894" s="2" t="s">
        <v>54</v>
      </c>
      <c r="R894" s="16">
        <f>(Table1[[#This Row],[NET Amount]]-Table1[[#This Row],[Total Outstanding Amount]])/Table1[[#This Row],[NET Amount]]</f>
        <v>0</v>
      </c>
      <c r="S894" s="2" t="s">
        <v>97</v>
      </c>
    </row>
    <row r="895" spans="1:19" x14ac:dyDescent="0.3">
      <c r="A895" s="4">
        <v>893</v>
      </c>
      <c r="B895" s="2" t="s">
        <v>2264</v>
      </c>
      <c r="C895" s="3">
        <v>44856</v>
      </c>
      <c r="D895" s="3" t="str">
        <f>TEXT(Table1[[#This Row],[Admission Date]],"MMMM")</f>
        <v>October</v>
      </c>
      <c r="E895" s="3">
        <v>44856</v>
      </c>
      <c r="F895" s="3">
        <v>44856</v>
      </c>
      <c r="G895" s="2">
        <v>22028276</v>
      </c>
      <c r="H895" s="2">
        <v>2237083</v>
      </c>
      <c r="I895" s="2">
        <v>1001445916</v>
      </c>
      <c r="J895" s="2" t="s">
        <v>445</v>
      </c>
      <c r="K895" s="10">
        <v>2000</v>
      </c>
      <c r="L895" s="10">
        <v>0</v>
      </c>
      <c r="M895" s="10">
        <v>2000</v>
      </c>
      <c r="N895" s="10">
        <v>0</v>
      </c>
      <c r="O895" s="10">
        <f>Table1[[#This Row],[NET Amount]]-Table1[[#This Row],[Paid Amount]]</f>
        <v>2000</v>
      </c>
      <c r="P895" s="2" t="s">
        <v>23</v>
      </c>
      <c r="Q895" s="2" t="s">
        <v>54</v>
      </c>
      <c r="R895" s="16">
        <f>(Table1[[#This Row],[NET Amount]]-Table1[[#This Row],[Total Outstanding Amount]])/Table1[[#This Row],[NET Amount]]</f>
        <v>0</v>
      </c>
      <c r="S895" s="2" t="s">
        <v>97</v>
      </c>
    </row>
    <row r="896" spans="1:19" x14ac:dyDescent="0.3">
      <c r="A896" s="4">
        <v>894</v>
      </c>
      <c r="B896" s="2" t="s">
        <v>2253</v>
      </c>
      <c r="C896" s="3">
        <v>44851</v>
      </c>
      <c r="D896" s="3" t="str">
        <f>TEXT(Table1[[#This Row],[Admission Date]],"MMMM")</f>
        <v>October</v>
      </c>
      <c r="E896" s="3">
        <v>44851</v>
      </c>
      <c r="F896" s="3">
        <v>44851</v>
      </c>
      <c r="G896" s="2">
        <v>22027450</v>
      </c>
      <c r="H896" s="2">
        <v>2236341</v>
      </c>
      <c r="I896" s="2">
        <v>1001772963</v>
      </c>
      <c r="J896" s="2" t="s">
        <v>569</v>
      </c>
      <c r="K896" s="10">
        <v>1610</v>
      </c>
      <c r="L896" s="10">
        <v>0</v>
      </c>
      <c r="M896" s="10">
        <v>1610</v>
      </c>
      <c r="N896" s="10">
        <v>0</v>
      </c>
      <c r="O896" s="10">
        <f>Table1[[#This Row],[NET Amount]]-Table1[[#This Row],[Paid Amount]]</f>
        <v>1610</v>
      </c>
      <c r="P896" s="2" t="s">
        <v>23</v>
      </c>
      <c r="Q896" s="2" t="s">
        <v>54</v>
      </c>
      <c r="R896" s="16">
        <f>(Table1[[#This Row],[NET Amount]]-Table1[[#This Row],[Total Outstanding Amount]])/Table1[[#This Row],[NET Amount]]</f>
        <v>0</v>
      </c>
      <c r="S896" s="2" t="s">
        <v>97</v>
      </c>
    </row>
    <row r="897" spans="1:19" x14ac:dyDescent="0.3">
      <c r="A897" s="4">
        <v>895</v>
      </c>
      <c r="B897" s="2" t="s">
        <v>2263</v>
      </c>
      <c r="C897" s="3">
        <v>44853</v>
      </c>
      <c r="D897" s="3" t="str">
        <f>TEXT(Table1[[#This Row],[Admission Date]],"MMMM")</f>
        <v>October</v>
      </c>
      <c r="E897" s="3">
        <v>44853</v>
      </c>
      <c r="F897" s="3">
        <v>44853</v>
      </c>
      <c r="G897" s="2">
        <v>22027768</v>
      </c>
      <c r="H897" s="2">
        <v>2236660</v>
      </c>
      <c r="I897" s="2">
        <v>1001767553</v>
      </c>
      <c r="J897" s="2" t="s">
        <v>417</v>
      </c>
      <c r="K897" s="10">
        <v>1274</v>
      </c>
      <c r="L897" s="10">
        <v>0</v>
      </c>
      <c r="M897" s="10">
        <v>1274</v>
      </c>
      <c r="N897" s="10">
        <v>0</v>
      </c>
      <c r="O897" s="10">
        <f>Table1[[#This Row],[NET Amount]]-Table1[[#This Row],[Paid Amount]]</f>
        <v>1274</v>
      </c>
      <c r="P897" s="2" t="s">
        <v>23</v>
      </c>
      <c r="Q897" s="2" t="s">
        <v>54</v>
      </c>
      <c r="R897" s="16">
        <f>(Table1[[#This Row],[NET Amount]]-Table1[[#This Row],[Total Outstanding Amount]])/Table1[[#This Row],[NET Amount]]</f>
        <v>0</v>
      </c>
      <c r="S897" s="2" t="s">
        <v>97</v>
      </c>
    </row>
    <row r="898" spans="1:19" x14ac:dyDescent="0.3">
      <c r="A898" s="4">
        <v>896</v>
      </c>
      <c r="B898" s="2" t="s">
        <v>2263</v>
      </c>
      <c r="C898" s="3">
        <v>44846</v>
      </c>
      <c r="D898" s="3" t="str">
        <f>TEXT(Table1[[#This Row],[Admission Date]],"MMMM")</f>
        <v>October</v>
      </c>
      <c r="E898" s="3">
        <v>44846</v>
      </c>
      <c r="F898" s="3">
        <v>44846</v>
      </c>
      <c r="G898" s="2">
        <v>22026798</v>
      </c>
      <c r="H898" s="2">
        <v>2235739</v>
      </c>
      <c r="I898" s="2">
        <v>1001767553</v>
      </c>
      <c r="J898" s="2" t="s">
        <v>417</v>
      </c>
      <c r="K898" s="10">
        <v>1274</v>
      </c>
      <c r="L898" s="10">
        <v>0</v>
      </c>
      <c r="M898" s="10">
        <v>1274</v>
      </c>
      <c r="N898" s="10">
        <v>0</v>
      </c>
      <c r="O898" s="10">
        <f>Table1[[#This Row],[NET Amount]]-Table1[[#This Row],[Paid Amount]]</f>
        <v>1274</v>
      </c>
      <c r="P898" s="2" t="s">
        <v>23</v>
      </c>
      <c r="Q898" s="2" t="s">
        <v>54</v>
      </c>
      <c r="R898" s="16">
        <f>(Table1[[#This Row],[NET Amount]]-Table1[[#This Row],[Total Outstanding Amount]])/Table1[[#This Row],[NET Amount]]</f>
        <v>0</v>
      </c>
      <c r="S898" s="2" t="s">
        <v>97</v>
      </c>
    </row>
    <row r="899" spans="1:19" x14ac:dyDescent="0.3">
      <c r="A899" s="4">
        <v>897</v>
      </c>
      <c r="B899" s="2" t="s">
        <v>380</v>
      </c>
      <c r="C899" s="3">
        <v>44862</v>
      </c>
      <c r="D899" s="3" t="str">
        <f>TEXT(Table1[[#This Row],[Admission Date]],"MMMM")</f>
        <v>October</v>
      </c>
      <c r="E899" s="3">
        <v>44862</v>
      </c>
      <c r="F899" s="3">
        <v>44862</v>
      </c>
      <c r="G899" s="2">
        <v>22028977</v>
      </c>
      <c r="H899" s="2">
        <v>2237852</v>
      </c>
      <c r="I899" s="2">
        <v>10013276269</v>
      </c>
      <c r="J899" s="2" t="s">
        <v>403</v>
      </c>
      <c r="K899" s="10">
        <v>1274</v>
      </c>
      <c r="L899" s="10">
        <v>0</v>
      </c>
      <c r="M899" s="10">
        <v>1274</v>
      </c>
      <c r="N899" s="10">
        <v>0</v>
      </c>
      <c r="O899" s="10">
        <f>Table1[[#This Row],[NET Amount]]-Table1[[#This Row],[Paid Amount]]</f>
        <v>1274</v>
      </c>
      <c r="P899" s="2" t="s">
        <v>23</v>
      </c>
      <c r="Q899" s="2" t="s">
        <v>54</v>
      </c>
      <c r="R899" s="16">
        <f>(Table1[[#This Row],[NET Amount]]-Table1[[#This Row],[Total Outstanding Amount]])/Table1[[#This Row],[NET Amount]]</f>
        <v>0</v>
      </c>
      <c r="S899" s="2" t="s">
        <v>97</v>
      </c>
    </row>
    <row r="900" spans="1:19" x14ac:dyDescent="0.3">
      <c r="A900" s="4">
        <v>898</v>
      </c>
      <c r="B900" s="2" t="s">
        <v>75</v>
      </c>
      <c r="C900" s="3">
        <v>44860</v>
      </c>
      <c r="D900" s="3" t="str">
        <f>TEXT(Table1[[#This Row],[Admission Date]],"MMMM")</f>
        <v>October</v>
      </c>
      <c r="E900" s="3">
        <v>44863</v>
      </c>
      <c r="F900" s="3">
        <v>44863</v>
      </c>
      <c r="G900" s="2">
        <v>22029096</v>
      </c>
      <c r="H900" s="2">
        <v>2237425</v>
      </c>
      <c r="I900" s="2">
        <v>1001135777</v>
      </c>
      <c r="J900" s="2" t="s">
        <v>389</v>
      </c>
      <c r="K900" s="10">
        <v>139358</v>
      </c>
      <c r="L900" s="10">
        <v>0</v>
      </c>
      <c r="M900" s="10">
        <v>139358</v>
      </c>
      <c r="N900" s="10">
        <v>0</v>
      </c>
      <c r="O900" s="10">
        <f>Table1[[#This Row],[NET Amount]]-Table1[[#This Row],[Paid Amount]]</f>
        <v>139358</v>
      </c>
      <c r="P900" s="2" t="s">
        <v>23</v>
      </c>
      <c r="Q900" s="2" t="s">
        <v>19</v>
      </c>
      <c r="R900" s="16">
        <f>(Table1[[#This Row],[NET Amount]]-Table1[[#This Row],[Total Outstanding Amount]])/Table1[[#This Row],[NET Amount]]</f>
        <v>0</v>
      </c>
      <c r="S900" s="2" t="s">
        <v>39</v>
      </c>
    </row>
    <row r="901" spans="1:19" x14ac:dyDescent="0.3">
      <c r="A901" s="4">
        <v>899</v>
      </c>
      <c r="B901" s="2" t="s">
        <v>380</v>
      </c>
      <c r="C901" s="3">
        <v>44835</v>
      </c>
      <c r="D901" s="3" t="str">
        <f>TEXT(Table1[[#This Row],[Admission Date]],"MMMM")</f>
        <v>October</v>
      </c>
      <c r="E901" s="3">
        <v>44835</v>
      </c>
      <c r="F901" s="3">
        <v>44835</v>
      </c>
      <c r="G901" s="2">
        <v>22025258</v>
      </c>
      <c r="H901" s="2">
        <v>2234282</v>
      </c>
      <c r="I901" s="2">
        <v>10013528076</v>
      </c>
      <c r="J901" s="2" t="s">
        <v>420</v>
      </c>
      <c r="K901" s="10">
        <v>1274</v>
      </c>
      <c r="L901" s="10">
        <v>0</v>
      </c>
      <c r="M901" s="10">
        <v>1274</v>
      </c>
      <c r="N901" s="10">
        <v>0</v>
      </c>
      <c r="O901" s="10">
        <f>Table1[[#This Row],[NET Amount]]-Table1[[#This Row],[Paid Amount]]</f>
        <v>1274</v>
      </c>
      <c r="P901" s="2" t="s">
        <v>23</v>
      </c>
      <c r="Q901" s="2" t="s">
        <v>54</v>
      </c>
      <c r="R901" s="16">
        <f>(Table1[[#This Row],[NET Amount]]-Table1[[#This Row],[Total Outstanding Amount]])/Table1[[#This Row],[NET Amount]]</f>
        <v>0</v>
      </c>
      <c r="S901" s="2" t="s">
        <v>97</v>
      </c>
    </row>
    <row r="902" spans="1:19" x14ac:dyDescent="0.3">
      <c r="A902" s="4">
        <v>900</v>
      </c>
      <c r="B902" s="2" t="s">
        <v>380</v>
      </c>
      <c r="C902" s="3">
        <v>44863</v>
      </c>
      <c r="D902" s="3" t="str">
        <f>TEXT(Table1[[#This Row],[Admission Date]],"MMMM")</f>
        <v>October</v>
      </c>
      <c r="E902" s="3">
        <v>44863</v>
      </c>
      <c r="F902" s="3">
        <v>44863</v>
      </c>
      <c r="G902" s="2">
        <v>22029169</v>
      </c>
      <c r="H902" s="2">
        <v>2238045</v>
      </c>
      <c r="I902" s="2">
        <v>10013453025</v>
      </c>
      <c r="J902" s="2" t="s">
        <v>435</v>
      </c>
      <c r="K902" s="10">
        <v>1274</v>
      </c>
      <c r="L902" s="10">
        <v>0</v>
      </c>
      <c r="M902" s="10">
        <v>1274</v>
      </c>
      <c r="N902" s="10">
        <v>0</v>
      </c>
      <c r="O902" s="10">
        <f>Table1[[#This Row],[NET Amount]]-Table1[[#This Row],[Paid Amount]]</f>
        <v>1274</v>
      </c>
      <c r="P902" s="2" t="s">
        <v>23</v>
      </c>
      <c r="Q902" s="2" t="s">
        <v>54</v>
      </c>
      <c r="R902" s="16">
        <f>(Table1[[#This Row],[NET Amount]]-Table1[[#This Row],[Total Outstanding Amount]])/Table1[[#This Row],[NET Amount]]</f>
        <v>0</v>
      </c>
      <c r="S902" s="2" t="s">
        <v>97</v>
      </c>
    </row>
    <row r="903" spans="1:19" x14ac:dyDescent="0.3">
      <c r="A903" s="4">
        <v>901</v>
      </c>
      <c r="B903" s="2" t="s">
        <v>380</v>
      </c>
      <c r="C903" s="3">
        <v>44859</v>
      </c>
      <c r="D903" s="3" t="str">
        <f>TEXT(Table1[[#This Row],[Admission Date]],"MMMM")</f>
        <v>October</v>
      </c>
      <c r="E903" s="3">
        <v>44859</v>
      </c>
      <c r="F903" s="3">
        <v>44859</v>
      </c>
      <c r="G903" s="2">
        <v>22028555</v>
      </c>
      <c r="H903" s="2">
        <v>2237367</v>
      </c>
      <c r="I903" s="2">
        <v>1001397167</v>
      </c>
      <c r="J903" s="2" t="s">
        <v>443</v>
      </c>
      <c r="K903" s="10">
        <v>1274</v>
      </c>
      <c r="L903" s="10">
        <v>0</v>
      </c>
      <c r="M903" s="10">
        <v>1274</v>
      </c>
      <c r="N903" s="10">
        <v>0</v>
      </c>
      <c r="O903" s="10">
        <f>Table1[[#This Row],[NET Amount]]-Table1[[#This Row],[Paid Amount]]</f>
        <v>1274</v>
      </c>
      <c r="P903" s="2" t="s">
        <v>23</v>
      </c>
      <c r="Q903" s="2" t="s">
        <v>54</v>
      </c>
      <c r="R903" s="16">
        <f>(Table1[[#This Row],[NET Amount]]-Table1[[#This Row],[Total Outstanding Amount]])/Table1[[#This Row],[NET Amount]]</f>
        <v>0</v>
      </c>
      <c r="S903" s="2" t="s">
        <v>97</v>
      </c>
    </row>
    <row r="904" spans="1:19" x14ac:dyDescent="0.3">
      <c r="A904" s="4">
        <v>902</v>
      </c>
      <c r="B904" s="2" t="s">
        <v>380</v>
      </c>
      <c r="C904" s="3">
        <v>44853</v>
      </c>
      <c r="D904" s="3" t="str">
        <f>TEXT(Table1[[#This Row],[Admission Date]],"MMMM")</f>
        <v>October</v>
      </c>
      <c r="E904" s="3">
        <v>44853</v>
      </c>
      <c r="F904" s="3">
        <v>44853</v>
      </c>
      <c r="G904" s="2">
        <v>22027788</v>
      </c>
      <c r="H904" s="2">
        <v>2236676</v>
      </c>
      <c r="I904" s="2">
        <v>1001590721</v>
      </c>
      <c r="J904" s="2" t="s">
        <v>461</v>
      </c>
      <c r="K904" s="10">
        <v>1274</v>
      </c>
      <c r="L904" s="10">
        <v>0</v>
      </c>
      <c r="M904" s="10">
        <v>1274</v>
      </c>
      <c r="N904" s="10">
        <v>0</v>
      </c>
      <c r="O904" s="10">
        <f>Table1[[#This Row],[NET Amount]]-Table1[[#This Row],[Paid Amount]]</f>
        <v>1274</v>
      </c>
      <c r="P904" s="2" t="s">
        <v>23</v>
      </c>
      <c r="Q904" s="2" t="s">
        <v>54</v>
      </c>
      <c r="R904" s="16">
        <f>(Table1[[#This Row],[NET Amount]]-Table1[[#This Row],[Total Outstanding Amount]])/Table1[[#This Row],[NET Amount]]</f>
        <v>0</v>
      </c>
      <c r="S904" s="2" t="s">
        <v>97</v>
      </c>
    </row>
    <row r="905" spans="1:19" x14ac:dyDescent="0.3">
      <c r="A905" s="4">
        <v>903</v>
      </c>
      <c r="B905" s="2" t="s">
        <v>178</v>
      </c>
      <c r="C905" s="3">
        <v>44863</v>
      </c>
      <c r="D905" s="3" t="str">
        <f>TEXT(Table1[[#This Row],[Admission Date]],"MMMM")</f>
        <v>October</v>
      </c>
      <c r="E905" s="3">
        <v>44863</v>
      </c>
      <c r="F905" s="3">
        <v>44863</v>
      </c>
      <c r="G905" s="2">
        <v>22029154</v>
      </c>
      <c r="H905" s="2">
        <v>2238010</v>
      </c>
      <c r="I905" s="2">
        <v>10013519562</v>
      </c>
      <c r="J905" s="2" t="s">
        <v>479</v>
      </c>
      <c r="K905" s="10">
        <v>2200</v>
      </c>
      <c r="L905" s="10">
        <v>0</v>
      </c>
      <c r="M905" s="10">
        <v>2200</v>
      </c>
      <c r="N905" s="10">
        <v>0</v>
      </c>
      <c r="O905" s="10">
        <f>Table1[[#This Row],[NET Amount]]-Table1[[#This Row],[Paid Amount]]</f>
        <v>2200</v>
      </c>
      <c r="P905" s="2" t="s">
        <v>23</v>
      </c>
      <c r="Q905" s="2" t="s">
        <v>147</v>
      </c>
      <c r="R905" s="16">
        <f>(Table1[[#This Row],[NET Amount]]-Table1[[#This Row],[Total Outstanding Amount]])/Table1[[#This Row],[NET Amount]]</f>
        <v>0</v>
      </c>
      <c r="S905" s="2" t="s">
        <v>97</v>
      </c>
    </row>
    <row r="906" spans="1:19" x14ac:dyDescent="0.3">
      <c r="A906" s="4">
        <v>904</v>
      </c>
      <c r="B906" s="2" t="s">
        <v>380</v>
      </c>
      <c r="C906" s="3">
        <v>44847</v>
      </c>
      <c r="D906" s="3" t="str">
        <f>TEXT(Table1[[#This Row],[Admission Date]],"MMMM")</f>
        <v>October</v>
      </c>
      <c r="E906" s="3">
        <v>44847</v>
      </c>
      <c r="F906" s="3">
        <v>44847</v>
      </c>
      <c r="G906" s="2">
        <v>22026952</v>
      </c>
      <c r="H906" s="2">
        <v>2235878</v>
      </c>
      <c r="I906" s="2">
        <v>10013292990</v>
      </c>
      <c r="J906" s="2" t="s">
        <v>779</v>
      </c>
      <c r="K906" s="10">
        <v>1274</v>
      </c>
      <c r="L906" s="10">
        <v>0</v>
      </c>
      <c r="M906" s="10">
        <v>1274</v>
      </c>
      <c r="N906" s="10">
        <v>0</v>
      </c>
      <c r="O906" s="10">
        <f>Table1[[#This Row],[NET Amount]]-Table1[[#This Row],[Paid Amount]]</f>
        <v>1274</v>
      </c>
      <c r="P906" s="2" t="s">
        <v>23</v>
      </c>
      <c r="Q906" s="2" t="s">
        <v>54</v>
      </c>
      <c r="R906" s="16">
        <f>(Table1[[#This Row],[NET Amount]]-Table1[[#This Row],[Total Outstanding Amount]])/Table1[[#This Row],[NET Amount]]</f>
        <v>0</v>
      </c>
      <c r="S906" s="2" t="s">
        <v>97</v>
      </c>
    </row>
    <row r="907" spans="1:19" x14ac:dyDescent="0.3">
      <c r="A907" s="4">
        <v>905</v>
      </c>
      <c r="B907" s="2" t="s">
        <v>380</v>
      </c>
      <c r="C907" s="3">
        <v>44842</v>
      </c>
      <c r="D907" s="3" t="str">
        <f>TEXT(Table1[[#This Row],[Admission Date]],"MMMM")</f>
        <v>October</v>
      </c>
      <c r="E907" s="3">
        <v>44842</v>
      </c>
      <c r="F907" s="3">
        <v>44842</v>
      </c>
      <c r="G907" s="2">
        <v>22026235</v>
      </c>
      <c r="H907" s="2">
        <v>2235240</v>
      </c>
      <c r="I907" s="2">
        <v>10013528076</v>
      </c>
      <c r="J907" s="2" t="s">
        <v>420</v>
      </c>
      <c r="K907" s="10">
        <v>1274</v>
      </c>
      <c r="L907" s="10">
        <v>0</v>
      </c>
      <c r="M907" s="10">
        <v>1274</v>
      </c>
      <c r="N907" s="10">
        <v>0</v>
      </c>
      <c r="O907" s="10">
        <f>Table1[[#This Row],[NET Amount]]-Table1[[#This Row],[Paid Amount]]</f>
        <v>1274</v>
      </c>
      <c r="P907" s="2" t="s">
        <v>23</v>
      </c>
      <c r="Q907" s="2" t="s">
        <v>54</v>
      </c>
      <c r="R907" s="16">
        <f>(Table1[[#This Row],[NET Amount]]-Table1[[#This Row],[Total Outstanding Amount]])/Table1[[#This Row],[NET Amount]]</f>
        <v>0</v>
      </c>
      <c r="S907" s="2" t="s">
        <v>97</v>
      </c>
    </row>
    <row r="908" spans="1:19" x14ac:dyDescent="0.3">
      <c r="A908" s="4">
        <v>906</v>
      </c>
      <c r="B908" s="2" t="s">
        <v>407</v>
      </c>
      <c r="C908" s="3">
        <v>44853</v>
      </c>
      <c r="D908" s="3" t="str">
        <f>TEXT(Table1[[#This Row],[Admission Date]],"MMMM")</f>
        <v>October</v>
      </c>
      <c r="E908" s="3">
        <v>44856</v>
      </c>
      <c r="F908" s="3">
        <v>44856</v>
      </c>
      <c r="G908" s="2">
        <v>22028230</v>
      </c>
      <c r="H908" s="2">
        <v>2236573</v>
      </c>
      <c r="I908" s="2">
        <v>1001027632</v>
      </c>
      <c r="J908" s="2" t="s">
        <v>340</v>
      </c>
      <c r="K908" s="10">
        <v>153053</v>
      </c>
      <c r="L908" s="10">
        <v>0</v>
      </c>
      <c r="M908" s="10">
        <v>153053</v>
      </c>
      <c r="N908" s="10">
        <v>0</v>
      </c>
      <c r="O908" s="10">
        <f>Table1[[#This Row],[NET Amount]]-Table1[[#This Row],[Paid Amount]]</f>
        <v>153053</v>
      </c>
      <c r="P908" s="2" t="s">
        <v>23</v>
      </c>
      <c r="Q908" s="2" t="s">
        <v>24</v>
      </c>
      <c r="R908" s="16">
        <f>(Table1[[#This Row],[NET Amount]]-Table1[[#This Row],[Total Outstanding Amount]])/Table1[[#This Row],[NET Amount]]</f>
        <v>0</v>
      </c>
      <c r="S908" s="2" t="s">
        <v>39</v>
      </c>
    </row>
    <row r="909" spans="1:19" x14ac:dyDescent="0.3">
      <c r="A909" s="4">
        <v>907</v>
      </c>
      <c r="B909" s="2" t="s">
        <v>2263</v>
      </c>
      <c r="C909" s="3">
        <v>44835</v>
      </c>
      <c r="D909" s="3" t="str">
        <f>TEXT(Table1[[#This Row],[Admission Date]],"MMMM")</f>
        <v>October</v>
      </c>
      <c r="E909" s="3">
        <v>44835</v>
      </c>
      <c r="F909" s="3">
        <v>44835</v>
      </c>
      <c r="G909" s="2">
        <v>22025173</v>
      </c>
      <c r="H909" s="2">
        <v>2234221</v>
      </c>
      <c r="I909" s="2">
        <v>1001711925</v>
      </c>
      <c r="J909" s="2" t="s">
        <v>302</v>
      </c>
      <c r="K909" s="10">
        <v>1274</v>
      </c>
      <c r="L909" s="10">
        <v>0</v>
      </c>
      <c r="M909" s="10">
        <v>1274</v>
      </c>
      <c r="N909" s="10">
        <v>0</v>
      </c>
      <c r="O909" s="10">
        <f>Table1[[#This Row],[NET Amount]]-Table1[[#This Row],[Paid Amount]]</f>
        <v>1274</v>
      </c>
      <c r="P909" s="2" t="s">
        <v>23</v>
      </c>
      <c r="Q909" s="2" t="s">
        <v>54</v>
      </c>
      <c r="R909" s="16">
        <f>(Table1[[#This Row],[NET Amount]]-Table1[[#This Row],[Total Outstanding Amount]])/Table1[[#This Row],[NET Amount]]</f>
        <v>0</v>
      </c>
      <c r="S909" s="2" t="s">
        <v>97</v>
      </c>
    </row>
    <row r="910" spans="1:19" x14ac:dyDescent="0.3">
      <c r="A910" s="4">
        <v>908</v>
      </c>
      <c r="B910" s="2" t="s">
        <v>380</v>
      </c>
      <c r="C910" s="3">
        <v>44851</v>
      </c>
      <c r="D910" s="3" t="str">
        <f>TEXT(Table1[[#This Row],[Admission Date]],"MMMM")</f>
        <v>October</v>
      </c>
      <c r="E910" s="3">
        <v>44851</v>
      </c>
      <c r="F910" s="3">
        <v>44851</v>
      </c>
      <c r="G910" s="2">
        <v>22027382</v>
      </c>
      <c r="H910" s="2">
        <v>2236287</v>
      </c>
      <c r="I910" s="2">
        <v>10013435866</v>
      </c>
      <c r="J910" s="2" t="s">
        <v>473</v>
      </c>
      <c r="K910" s="10">
        <v>1274</v>
      </c>
      <c r="L910" s="10">
        <v>0</v>
      </c>
      <c r="M910" s="10">
        <v>1274</v>
      </c>
      <c r="N910" s="10">
        <v>0</v>
      </c>
      <c r="O910" s="10">
        <f>Table1[[#This Row],[NET Amount]]-Table1[[#This Row],[Paid Amount]]</f>
        <v>1274</v>
      </c>
      <c r="P910" s="2" t="s">
        <v>23</v>
      </c>
      <c r="Q910" s="2" t="s">
        <v>54</v>
      </c>
      <c r="R910" s="16">
        <f>(Table1[[#This Row],[NET Amount]]-Table1[[#This Row],[Total Outstanding Amount]])/Table1[[#This Row],[NET Amount]]</f>
        <v>0</v>
      </c>
      <c r="S910" s="2" t="s">
        <v>97</v>
      </c>
    </row>
    <row r="911" spans="1:19" x14ac:dyDescent="0.3">
      <c r="A911" s="4">
        <v>909</v>
      </c>
      <c r="B911" s="2" t="s">
        <v>380</v>
      </c>
      <c r="C911" s="3">
        <v>44846</v>
      </c>
      <c r="D911" s="3" t="str">
        <f>TEXT(Table1[[#This Row],[Admission Date]],"MMMM")</f>
        <v>October</v>
      </c>
      <c r="E911" s="3">
        <v>44846</v>
      </c>
      <c r="F911" s="3">
        <v>44846</v>
      </c>
      <c r="G911" s="2">
        <v>22026665</v>
      </c>
      <c r="H911" s="2">
        <v>2235652</v>
      </c>
      <c r="I911" s="2">
        <v>10013475917</v>
      </c>
      <c r="J911" s="2" t="s">
        <v>429</v>
      </c>
      <c r="K911" s="10">
        <v>1274</v>
      </c>
      <c r="L911" s="10">
        <v>0</v>
      </c>
      <c r="M911" s="10">
        <v>1274</v>
      </c>
      <c r="N911" s="10">
        <v>0</v>
      </c>
      <c r="O911" s="10">
        <f>Table1[[#This Row],[NET Amount]]-Table1[[#This Row],[Paid Amount]]</f>
        <v>1274</v>
      </c>
      <c r="P911" s="2" t="s">
        <v>23</v>
      </c>
      <c r="Q911" s="2" t="s">
        <v>54</v>
      </c>
      <c r="R911" s="16">
        <f>(Table1[[#This Row],[NET Amount]]-Table1[[#This Row],[Total Outstanding Amount]])/Table1[[#This Row],[NET Amount]]</f>
        <v>0</v>
      </c>
      <c r="S911" s="2" t="s">
        <v>97</v>
      </c>
    </row>
    <row r="912" spans="1:19" x14ac:dyDescent="0.3">
      <c r="A912" s="4">
        <v>910</v>
      </c>
      <c r="B912" s="2" t="s">
        <v>380</v>
      </c>
      <c r="C912" s="3">
        <v>44846</v>
      </c>
      <c r="D912" s="3" t="str">
        <f>TEXT(Table1[[#This Row],[Admission Date]],"MMMM")</f>
        <v>October</v>
      </c>
      <c r="E912" s="3">
        <v>44846</v>
      </c>
      <c r="F912" s="3">
        <v>44846</v>
      </c>
      <c r="G912" s="2">
        <v>22026785</v>
      </c>
      <c r="H912" s="2">
        <v>2235742</v>
      </c>
      <c r="I912" s="2">
        <v>10013506167</v>
      </c>
      <c r="J912" s="2" t="s">
        <v>467</v>
      </c>
      <c r="K912" s="10">
        <v>1274</v>
      </c>
      <c r="L912" s="10">
        <v>0</v>
      </c>
      <c r="M912" s="10">
        <v>1274</v>
      </c>
      <c r="N912" s="10">
        <v>0</v>
      </c>
      <c r="O912" s="10">
        <f>Table1[[#This Row],[NET Amount]]-Table1[[#This Row],[Paid Amount]]</f>
        <v>1274</v>
      </c>
      <c r="P912" s="2" t="s">
        <v>23</v>
      </c>
      <c r="Q912" s="2" t="s">
        <v>54</v>
      </c>
      <c r="R912" s="16">
        <f>(Table1[[#This Row],[NET Amount]]-Table1[[#This Row],[Total Outstanding Amount]])/Table1[[#This Row],[NET Amount]]</f>
        <v>0</v>
      </c>
      <c r="S912" s="2" t="s">
        <v>97</v>
      </c>
    </row>
    <row r="913" spans="1:19" x14ac:dyDescent="0.3">
      <c r="A913" s="4">
        <v>911</v>
      </c>
      <c r="B913" s="2" t="s">
        <v>178</v>
      </c>
      <c r="C913" s="3">
        <v>44839</v>
      </c>
      <c r="D913" s="3" t="str">
        <f>TEXT(Table1[[#This Row],[Admission Date]],"MMMM")</f>
        <v>October</v>
      </c>
      <c r="E913" s="3">
        <v>44839</v>
      </c>
      <c r="F913" s="3">
        <v>44839</v>
      </c>
      <c r="G913" s="2">
        <v>22025770</v>
      </c>
      <c r="H913" s="2">
        <v>2234754</v>
      </c>
      <c r="I913" s="2">
        <v>10013519562</v>
      </c>
      <c r="J913" s="2" t="s">
        <v>479</v>
      </c>
      <c r="K913" s="10">
        <v>2200</v>
      </c>
      <c r="L913" s="10">
        <v>0</v>
      </c>
      <c r="M913" s="10">
        <v>2200</v>
      </c>
      <c r="N913" s="10">
        <v>0</v>
      </c>
      <c r="O913" s="10">
        <f>Table1[[#This Row],[NET Amount]]-Table1[[#This Row],[Paid Amount]]</f>
        <v>2200</v>
      </c>
      <c r="P913" s="2" t="s">
        <v>23</v>
      </c>
      <c r="Q913" s="2" t="s">
        <v>147</v>
      </c>
      <c r="R913" s="16">
        <f>(Table1[[#This Row],[NET Amount]]-Table1[[#This Row],[Total Outstanding Amount]])/Table1[[#This Row],[NET Amount]]</f>
        <v>0</v>
      </c>
      <c r="S913" s="2" t="s">
        <v>97</v>
      </c>
    </row>
    <row r="914" spans="1:19" x14ac:dyDescent="0.3">
      <c r="A914" s="4">
        <v>912</v>
      </c>
      <c r="B914" s="2" t="s">
        <v>2263</v>
      </c>
      <c r="C914" s="3">
        <v>44844</v>
      </c>
      <c r="D914" s="3" t="str">
        <f>TEXT(Table1[[#This Row],[Admission Date]],"MMMM")</f>
        <v>October</v>
      </c>
      <c r="E914" s="3">
        <v>44844</v>
      </c>
      <c r="F914" s="3">
        <v>44844</v>
      </c>
      <c r="G914" s="2">
        <v>22026349</v>
      </c>
      <c r="H914" s="2">
        <v>2235347</v>
      </c>
      <c r="I914" s="2">
        <v>1001678600</v>
      </c>
      <c r="J914" s="2" t="s">
        <v>413</v>
      </c>
      <c r="K914" s="10">
        <v>1274</v>
      </c>
      <c r="L914" s="10">
        <v>0</v>
      </c>
      <c r="M914" s="10">
        <v>1274</v>
      </c>
      <c r="N914" s="10">
        <v>0</v>
      </c>
      <c r="O914" s="10">
        <f>Table1[[#This Row],[NET Amount]]-Table1[[#This Row],[Paid Amount]]</f>
        <v>1274</v>
      </c>
      <c r="P914" s="2" t="s">
        <v>23</v>
      </c>
      <c r="Q914" s="2" t="s">
        <v>54</v>
      </c>
      <c r="R914" s="16">
        <f>(Table1[[#This Row],[NET Amount]]-Table1[[#This Row],[Total Outstanding Amount]])/Table1[[#This Row],[NET Amount]]</f>
        <v>0</v>
      </c>
      <c r="S914" s="2" t="s">
        <v>97</v>
      </c>
    </row>
    <row r="915" spans="1:19" x14ac:dyDescent="0.3">
      <c r="A915" s="4">
        <v>913</v>
      </c>
      <c r="B915" s="2" t="s">
        <v>139</v>
      </c>
      <c r="C915" s="3">
        <v>44854</v>
      </c>
      <c r="D915" s="3" t="str">
        <f>TEXT(Table1[[#This Row],[Admission Date]],"MMMM")</f>
        <v>October</v>
      </c>
      <c r="E915" s="3">
        <v>44855</v>
      </c>
      <c r="F915" s="3">
        <v>44855</v>
      </c>
      <c r="G915" s="2">
        <v>22028048</v>
      </c>
      <c r="H915" s="2">
        <v>2236779</v>
      </c>
      <c r="I915" s="2">
        <v>1001191897</v>
      </c>
      <c r="J915" s="2" t="s">
        <v>780</v>
      </c>
      <c r="K915" s="10">
        <v>43980</v>
      </c>
      <c r="L915" s="10">
        <v>2125</v>
      </c>
      <c r="M915" s="10">
        <v>41855</v>
      </c>
      <c r="N915" s="10">
        <v>0</v>
      </c>
      <c r="O915" s="10">
        <f>Table1[[#This Row],[NET Amount]]-Table1[[#This Row],[Paid Amount]]</f>
        <v>41855</v>
      </c>
      <c r="P915" s="2" t="s">
        <v>23</v>
      </c>
      <c r="Q915" s="2" t="s">
        <v>30</v>
      </c>
      <c r="R915" s="16">
        <f>(Table1[[#This Row],[NET Amount]]-Table1[[#This Row],[Total Outstanding Amount]])/Table1[[#This Row],[NET Amount]]</f>
        <v>0</v>
      </c>
      <c r="S915" s="2" t="s">
        <v>65</v>
      </c>
    </row>
    <row r="916" spans="1:19" x14ac:dyDescent="0.3">
      <c r="A916" s="4">
        <v>914</v>
      </c>
      <c r="B916" s="2" t="s">
        <v>380</v>
      </c>
      <c r="C916" s="3">
        <v>44837</v>
      </c>
      <c r="D916" s="3" t="str">
        <f>TEXT(Table1[[#This Row],[Admission Date]],"MMMM")</f>
        <v>October</v>
      </c>
      <c r="E916" s="3">
        <v>44839</v>
      </c>
      <c r="F916" s="3">
        <v>44840</v>
      </c>
      <c r="G916" s="2">
        <v>22025888</v>
      </c>
      <c r="H916" s="2">
        <v>2234467</v>
      </c>
      <c r="I916" s="2">
        <v>1001802205</v>
      </c>
      <c r="J916" s="2" t="s">
        <v>223</v>
      </c>
      <c r="K916" s="10">
        <v>99394</v>
      </c>
      <c r="L916" s="10">
        <v>0</v>
      </c>
      <c r="M916" s="10">
        <v>99394</v>
      </c>
      <c r="N916" s="10">
        <v>0</v>
      </c>
      <c r="O916" s="10">
        <f>Table1[[#This Row],[NET Amount]]-Table1[[#This Row],[Paid Amount]]</f>
        <v>99394</v>
      </c>
      <c r="P916" s="2" t="s">
        <v>23</v>
      </c>
      <c r="Q916" s="2" t="s">
        <v>406</v>
      </c>
      <c r="R916" s="16">
        <f>(Table1[[#This Row],[NET Amount]]-Table1[[#This Row],[Total Outstanding Amount]])/Table1[[#This Row],[NET Amount]]</f>
        <v>0</v>
      </c>
      <c r="S916" s="2" t="s">
        <v>39</v>
      </c>
    </row>
    <row r="917" spans="1:19" x14ac:dyDescent="0.3">
      <c r="A917" s="4">
        <v>915</v>
      </c>
      <c r="B917" s="2" t="s">
        <v>2253</v>
      </c>
      <c r="C917" s="3">
        <v>44858</v>
      </c>
      <c r="D917" s="3" t="str">
        <f>TEXT(Table1[[#This Row],[Admission Date]],"MMMM")</f>
        <v>October</v>
      </c>
      <c r="E917" s="3">
        <v>44858</v>
      </c>
      <c r="F917" s="3">
        <v>44858</v>
      </c>
      <c r="G917" s="2">
        <v>22028419</v>
      </c>
      <c r="H917" s="2">
        <v>2237212</v>
      </c>
      <c r="I917" s="2">
        <v>1001777526</v>
      </c>
      <c r="J917" s="2" t="s">
        <v>411</v>
      </c>
      <c r="K917" s="10">
        <v>1610</v>
      </c>
      <c r="L917" s="10">
        <v>0</v>
      </c>
      <c r="M917" s="10">
        <v>1610</v>
      </c>
      <c r="N917" s="10">
        <v>0</v>
      </c>
      <c r="O917" s="10">
        <f>Table1[[#This Row],[NET Amount]]-Table1[[#This Row],[Paid Amount]]</f>
        <v>1610</v>
      </c>
      <c r="P917" s="2" t="s">
        <v>23</v>
      </c>
      <c r="Q917" s="2" t="s">
        <v>54</v>
      </c>
      <c r="R917" s="16">
        <f>(Table1[[#This Row],[NET Amount]]-Table1[[#This Row],[Total Outstanding Amount]])/Table1[[#This Row],[NET Amount]]</f>
        <v>0</v>
      </c>
      <c r="S917" s="2" t="s">
        <v>97</v>
      </c>
    </row>
    <row r="918" spans="1:19" x14ac:dyDescent="0.3">
      <c r="A918" s="4">
        <v>916</v>
      </c>
      <c r="B918" s="2" t="s">
        <v>149</v>
      </c>
      <c r="C918" s="3">
        <v>44853</v>
      </c>
      <c r="D918" s="3" t="str">
        <f>TEXT(Table1[[#This Row],[Admission Date]],"MMMM")</f>
        <v>October</v>
      </c>
      <c r="E918" s="3">
        <v>44853</v>
      </c>
      <c r="F918" s="3">
        <v>44853</v>
      </c>
      <c r="G918" s="2">
        <v>22027804</v>
      </c>
      <c r="H918" s="2">
        <v>2236698</v>
      </c>
      <c r="I918" s="2">
        <v>10013477952</v>
      </c>
      <c r="J918" s="2" t="s">
        <v>781</v>
      </c>
      <c r="K918" s="10">
        <v>2240</v>
      </c>
      <c r="L918" s="10">
        <v>0</v>
      </c>
      <c r="M918" s="10">
        <v>2240</v>
      </c>
      <c r="N918" s="10">
        <v>0</v>
      </c>
      <c r="O918" s="10">
        <f>Table1[[#This Row],[NET Amount]]-Table1[[#This Row],[Paid Amount]]</f>
        <v>2240</v>
      </c>
      <c r="P918" s="2" t="s">
        <v>23</v>
      </c>
      <c r="Q918" s="2" t="s">
        <v>54</v>
      </c>
      <c r="R918" s="16">
        <f>(Table1[[#This Row],[NET Amount]]-Table1[[#This Row],[Total Outstanding Amount]])/Table1[[#This Row],[NET Amount]]</f>
        <v>0</v>
      </c>
      <c r="S918" s="2" t="s">
        <v>97</v>
      </c>
    </row>
    <row r="919" spans="1:19" x14ac:dyDescent="0.3">
      <c r="A919" s="4">
        <v>917</v>
      </c>
      <c r="B919" s="2" t="s">
        <v>380</v>
      </c>
      <c r="C919" s="3">
        <v>44863</v>
      </c>
      <c r="D919" s="3" t="str">
        <f>TEXT(Table1[[#This Row],[Admission Date]],"MMMM")</f>
        <v>October</v>
      </c>
      <c r="E919" s="3">
        <v>44863</v>
      </c>
      <c r="F919" s="3">
        <v>44863</v>
      </c>
      <c r="G919" s="2">
        <v>22029032</v>
      </c>
      <c r="H919" s="2">
        <v>2237918</v>
      </c>
      <c r="I919" s="2">
        <v>10013475917</v>
      </c>
      <c r="J919" s="2" t="s">
        <v>429</v>
      </c>
      <c r="K919" s="10">
        <v>1274</v>
      </c>
      <c r="L919" s="10">
        <v>0</v>
      </c>
      <c r="M919" s="10">
        <v>1274</v>
      </c>
      <c r="N919" s="10">
        <v>0</v>
      </c>
      <c r="O919" s="10">
        <f>Table1[[#This Row],[NET Amount]]-Table1[[#This Row],[Paid Amount]]</f>
        <v>1274</v>
      </c>
      <c r="P919" s="2" t="s">
        <v>23</v>
      </c>
      <c r="Q919" s="2" t="s">
        <v>54</v>
      </c>
      <c r="R919" s="16">
        <f>(Table1[[#This Row],[NET Amount]]-Table1[[#This Row],[Total Outstanding Amount]])/Table1[[#This Row],[NET Amount]]</f>
        <v>0</v>
      </c>
      <c r="S919" s="2" t="s">
        <v>97</v>
      </c>
    </row>
    <row r="920" spans="1:19" x14ac:dyDescent="0.3">
      <c r="A920" s="4">
        <v>918</v>
      </c>
      <c r="B920" s="2" t="s">
        <v>72</v>
      </c>
      <c r="C920" s="3">
        <v>44855</v>
      </c>
      <c r="D920" s="3" t="str">
        <f>TEXT(Table1[[#This Row],[Admission Date]],"MMMM")</f>
        <v>October</v>
      </c>
      <c r="E920" s="3">
        <v>44856</v>
      </c>
      <c r="F920" s="3">
        <v>44856</v>
      </c>
      <c r="G920" s="2">
        <v>22028159</v>
      </c>
      <c r="H920" s="2">
        <v>2236889</v>
      </c>
      <c r="I920" s="2">
        <v>10013543924</v>
      </c>
      <c r="J920" s="2" t="s">
        <v>782</v>
      </c>
      <c r="K920" s="10">
        <v>46975</v>
      </c>
      <c r="L920" s="10">
        <v>1500</v>
      </c>
      <c r="M920" s="10">
        <v>45475</v>
      </c>
      <c r="N920" s="10">
        <v>0</v>
      </c>
      <c r="O920" s="10">
        <f>Table1[[#This Row],[NET Amount]]-Table1[[#This Row],[Paid Amount]]</f>
        <v>45475</v>
      </c>
      <c r="P920" s="2" t="s">
        <v>23</v>
      </c>
      <c r="Q920" s="2" t="s">
        <v>30</v>
      </c>
      <c r="R920" s="16">
        <f>(Table1[[#This Row],[NET Amount]]-Table1[[#This Row],[Total Outstanding Amount]])/Table1[[#This Row],[NET Amount]]</f>
        <v>0</v>
      </c>
      <c r="S920" s="2" t="s">
        <v>77</v>
      </c>
    </row>
    <row r="921" spans="1:19" x14ac:dyDescent="0.3">
      <c r="A921" s="4">
        <v>919</v>
      </c>
      <c r="B921" s="2" t="s">
        <v>2257</v>
      </c>
      <c r="C921" s="3">
        <v>44861</v>
      </c>
      <c r="D921" s="3" t="str">
        <f>TEXT(Table1[[#This Row],[Admission Date]],"MMMM")</f>
        <v>October</v>
      </c>
      <c r="E921" s="3">
        <v>44861</v>
      </c>
      <c r="F921" s="3">
        <v>44861</v>
      </c>
      <c r="G921" s="2">
        <v>22028772</v>
      </c>
      <c r="H921" s="2">
        <v>2237650</v>
      </c>
      <c r="I921" s="2">
        <v>1001689981</v>
      </c>
      <c r="J921" s="2" t="s">
        <v>253</v>
      </c>
      <c r="K921" s="10">
        <v>2950</v>
      </c>
      <c r="L921" s="10">
        <v>0</v>
      </c>
      <c r="M921" s="10">
        <v>2950</v>
      </c>
      <c r="N921" s="10">
        <v>0</v>
      </c>
      <c r="O921" s="10">
        <f>Table1[[#This Row],[NET Amount]]-Table1[[#This Row],[Paid Amount]]</f>
        <v>2950</v>
      </c>
      <c r="P921" s="2" t="s">
        <v>23</v>
      </c>
      <c r="Q921" s="2" t="s">
        <v>54</v>
      </c>
      <c r="R921" s="16">
        <f>(Table1[[#This Row],[NET Amount]]-Table1[[#This Row],[Total Outstanding Amount]])/Table1[[#This Row],[NET Amount]]</f>
        <v>0</v>
      </c>
      <c r="S921" s="2" t="s">
        <v>97</v>
      </c>
    </row>
    <row r="922" spans="1:19" x14ac:dyDescent="0.3">
      <c r="A922" s="4">
        <v>920</v>
      </c>
      <c r="B922" s="2" t="s">
        <v>2253</v>
      </c>
      <c r="C922" s="3">
        <v>44862</v>
      </c>
      <c r="D922" s="3" t="str">
        <f>TEXT(Table1[[#This Row],[Admission Date]],"MMMM")</f>
        <v>October</v>
      </c>
      <c r="E922" s="3">
        <v>44862</v>
      </c>
      <c r="F922" s="3">
        <v>44862</v>
      </c>
      <c r="G922" s="2">
        <v>22028982</v>
      </c>
      <c r="H922" s="2">
        <v>2237849</v>
      </c>
      <c r="I922" s="2">
        <v>1001777526</v>
      </c>
      <c r="J922" s="2" t="s">
        <v>411</v>
      </c>
      <c r="K922" s="10">
        <v>1610</v>
      </c>
      <c r="L922" s="10">
        <v>0</v>
      </c>
      <c r="M922" s="10">
        <v>1610</v>
      </c>
      <c r="N922" s="10">
        <v>0</v>
      </c>
      <c r="O922" s="10">
        <f>Table1[[#This Row],[NET Amount]]-Table1[[#This Row],[Paid Amount]]</f>
        <v>1610</v>
      </c>
      <c r="P922" s="2" t="s">
        <v>23</v>
      </c>
      <c r="Q922" s="2" t="s">
        <v>54</v>
      </c>
      <c r="R922" s="16">
        <f>(Table1[[#This Row],[NET Amount]]-Table1[[#This Row],[Total Outstanding Amount]])/Table1[[#This Row],[NET Amount]]</f>
        <v>0</v>
      </c>
      <c r="S922" s="2" t="s">
        <v>97</v>
      </c>
    </row>
    <row r="923" spans="1:19" x14ac:dyDescent="0.3">
      <c r="A923" s="4">
        <v>921</v>
      </c>
      <c r="B923" s="2" t="s">
        <v>380</v>
      </c>
      <c r="C923" s="3">
        <v>44855</v>
      </c>
      <c r="D923" s="3" t="str">
        <f>TEXT(Table1[[#This Row],[Admission Date]],"MMMM")</f>
        <v>October</v>
      </c>
      <c r="E923" s="3">
        <v>44855</v>
      </c>
      <c r="F923" s="3">
        <v>44855</v>
      </c>
      <c r="G923" s="2">
        <v>22028093</v>
      </c>
      <c r="H923" s="2">
        <v>2236947</v>
      </c>
      <c r="I923" s="2">
        <v>1001074266</v>
      </c>
      <c r="J923" s="2" t="s">
        <v>776</v>
      </c>
      <c r="K923" s="10">
        <v>1274</v>
      </c>
      <c r="L923" s="10">
        <v>0</v>
      </c>
      <c r="M923" s="10">
        <v>1274</v>
      </c>
      <c r="N923" s="10">
        <v>0</v>
      </c>
      <c r="O923" s="10">
        <f>Table1[[#This Row],[NET Amount]]-Table1[[#This Row],[Paid Amount]]</f>
        <v>1274</v>
      </c>
      <c r="P923" s="2" t="s">
        <v>23</v>
      </c>
      <c r="Q923" s="2" t="s">
        <v>54</v>
      </c>
      <c r="R923" s="16">
        <f>(Table1[[#This Row],[NET Amount]]-Table1[[#This Row],[Total Outstanding Amount]])/Table1[[#This Row],[NET Amount]]</f>
        <v>0</v>
      </c>
      <c r="S923" s="2" t="s">
        <v>97</v>
      </c>
    </row>
    <row r="924" spans="1:19" x14ac:dyDescent="0.3">
      <c r="A924" s="4">
        <v>922</v>
      </c>
      <c r="B924" s="2" t="s">
        <v>2258</v>
      </c>
      <c r="C924" s="3">
        <v>44861</v>
      </c>
      <c r="D924" s="3" t="str">
        <f>TEXT(Table1[[#This Row],[Admission Date]],"MMMM")</f>
        <v>October</v>
      </c>
      <c r="E924" s="3">
        <v>44861</v>
      </c>
      <c r="F924" s="3">
        <v>44861</v>
      </c>
      <c r="G924" s="2">
        <v>22028725</v>
      </c>
      <c r="H924" s="2">
        <v>2237616</v>
      </c>
      <c r="I924" s="2">
        <v>1001781083</v>
      </c>
      <c r="J924" s="2" t="s">
        <v>777</v>
      </c>
      <c r="K924" s="10">
        <v>1610</v>
      </c>
      <c r="L924" s="10">
        <v>0</v>
      </c>
      <c r="M924" s="10">
        <v>1610</v>
      </c>
      <c r="N924" s="10">
        <v>0</v>
      </c>
      <c r="O924" s="10">
        <f>Table1[[#This Row],[NET Amount]]-Table1[[#This Row],[Paid Amount]]</f>
        <v>1610</v>
      </c>
      <c r="P924" s="2" t="s">
        <v>23</v>
      </c>
      <c r="Q924" s="2" t="s">
        <v>54</v>
      </c>
      <c r="R924" s="16">
        <f>(Table1[[#This Row],[NET Amount]]-Table1[[#This Row],[Total Outstanding Amount]])/Table1[[#This Row],[NET Amount]]</f>
        <v>0</v>
      </c>
      <c r="S924" s="2" t="s">
        <v>97</v>
      </c>
    </row>
    <row r="925" spans="1:19" x14ac:dyDescent="0.3">
      <c r="A925" s="4">
        <v>923</v>
      </c>
      <c r="B925" s="2" t="s">
        <v>2253</v>
      </c>
      <c r="C925" s="3">
        <v>44837</v>
      </c>
      <c r="D925" s="3" t="str">
        <f>TEXT(Table1[[#This Row],[Admission Date]],"MMMM")</f>
        <v>October</v>
      </c>
      <c r="E925" s="3">
        <v>44837</v>
      </c>
      <c r="F925" s="3">
        <v>44837</v>
      </c>
      <c r="G925" s="2">
        <v>22025425</v>
      </c>
      <c r="H925" s="2">
        <v>2234418</v>
      </c>
      <c r="I925" s="2">
        <v>1001736024</v>
      </c>
      <c r="J925" s="2" t="s">
        <v>442</v>
      </c>
      <c r="K925" s="10">
        <v>1610</v>
      </c>
      <c r="L925" s="10">
        <v>0</v>
      </c>
      <c r="M925" s="10">
        <v>1610</v>
      </c>
      <c r="N925" s="10">
        <v>0</v>
      </c>
      <c r="O925" s="10">
        <f>Table1[[#This Row],[NET Amount]]-Table1[[#This Row],[Paid Amount]]</f>
        <v>1610</v>
      </c>
      <c r="P925" s="2" t="s">
        <v>23</v>
      </c>
      <c r="Q925" s="2" t="s">
        <v>54</v>
      </c>
      <c r="R925" s="16">
        <f>(Table1[[#This Row],[NET Amount]]-Table1[[#This Row],[Total Outstanding Amount]])/Table1[[#This Row],[NET Amount]]</f>
        <v>0</v>
      </c>
      <c r="S925" s="2" t="s">
        <v>97</v>
      </c>
    </row>
    <row r="926" spans="1:19" x14ac:dyDescent="0.3">
      <c r="A926" s="4">
        <v>924</v>
      </c>
      <c r="B926" s="2" t="s">
        <v>45</v>
      </c>
      <c r="C926" s="3">
        <v>44856</v>
      </c>
      <c r="D926" s="3" t="str">
        <f>TEXT(Table1[[#This Row],[Admission Date]],"MMMM")</f>
        <v>October</v>
      </c>
      <c r="E926" s="3">
        <v>44856</v>
      </c>
      <c r="F926" s="3">
        <v>44856</v>
      </c>
      <c r="G926" s="2">
        <v>22028246</v>
      </c>
      <c r="H926" s="2">
        <v>2237029</v>
      </c>
      <c r="I926" s="2">
        <v>1001684515</v>
      </c>
      <c r="J926" s="2" t="s">
        <v>414</v>
      </c>
      <c r="K926" s="10">
        <v>2200</v>
      </c>
      <c r="L926" s="10">
        <v>0</v>
      </c>
      <c r="M926" s="10">
        <v>2200</v>
      </c>
      <c r="N926" s="10">
        <v>0</v>
      </c>
      <c r="O926" s="10">
        <f>Table1[[#This Row],[NET Amount]]-Table1[[#This Row],[Paid Amount]]</f>
        <v>2200</v>
      </c>
      <c r="P926" s="2" t="s">
        <v>23</v>
      </c>
      <c r="Q926" s="2" t="s">
        <v>147</v>
      </c>
      <c r="R926" s="16">
        <f>(Table1[[#This Row],[NET Amount]]-Table1[[#This Row],[Total Outstanding Amount]])/Table1[[#This Row],[NET Amount]]</f>
        <v>0</v>
      </c>
      <c r="S926" s="2" t="s">
        <v>97</v>
      </c>
    </row>
    <row r="927" spans="1:19" x14ac:dyDescent="0.3">
      <c r="A927" s="4">
        <v>925</v>
      </c>
      <c r="B927" s="2" t="s">
        <v>144</v>
      </c>
      <c r="C927" s="3">
        <v>44838</v>
      </c>
      <c r="D927" s="3" t="str">
        <f>TEXT(Table1[[#This Row],[Admission Date]],"MMMM")</f>
        <v>October</v>
      </c>
      <c r="E927" s="3">
        <v>44838</v>
      </c>
      <c r="F927" s="3">
        <v>44838</v>
      </c>
      <c r="G927" s="2">
        <v>22025480</v>
      </c>
      <c r="H927" s="2">
        <v>2234514</v>
      </c>
      <c r="I927" s="2">
        <v>1001183341</v>
      </c>
      <c r="J927" s="2" t="s">
        <v>485</v>
      </c>
      <c r="K927" s="10">
        <v>2200</v>
      </c>
      <c r="L927" s="10">
        <v>0</v>
      </c>
      <c r="M927" s="10">
        <v>2200</v>
      </c>
      <c r="N927" s="10">
        <v>0</v>
      </c>
      <c r="O927" s="10">
        <f>Table1[[#This Row],[NET Amount]]-Table1[[#This Row],[Paid Amount]]</f>
        <v>2200</v>
      </c>
      <c r="P927" s="2" t="s">
        <v>23</v>
      </c>
      <c r="Q927" s="2" t="s">
        <v>147</v>
      </c>
      <c r="R927" s="16">
        <f>(Table1[[#This Row],[NET Amount]]-Table1[[#This Row],[Total Outstanding Amount]])/Table1[[#This Row],[NET Amount]]</f>
        <v>0</v>
      </c>
      <c r="S927" s="2" t="s">
        <v>97</v>
      </c>
    </row>
    <row r="928" spans="1:19" x14ac:dyDescent="0.3">
      <c r="A928" s="4">
        <v>926</v>
      </c>
      <c r="B928" s="2" t="s">
        <v>115</v>
      </c>
      <c r="C928" s="3">
        <v>44851</v>
      </c>
      <c r="D928" s="3" t="str">
        <f>TEXT(Table1[[#This Row],[Admission Date]],"MMMM")</f>
        <v>October</v>
      </c>
      <c r="E928" s="3">
        <v>44851</v>
      </c>
      <c r="F928" s="3">
        <v>44851</v>
      </c>
      <c r="G928" s="2">
        <v>22027473</v>
      </c>
      <c r="H928" s="2">
        <v>2236306</v>
      </c>
      <c r="I928" s="2">
        <v>1000880823</v>
      </c>
      <c r="J928" s="2" t="s">
        <v>783</v>
      </c>
      <c r="K928" s="10">
        <v>38875</v>
      </c>
      <c r="L928" s="10">
        <v>1500</v>
      </c>
      <c r="M928" s="10">
        <v>37375</v>
      </c>
      <c r="N928" s="10">
        <v>0</v>
      </c>
      <c r="O928" s="10">
        <f>Table1[[#This Row],[NET Amount]]-Table1[[#This Row],[Paid Amount]]</f>
        <v>37375</v>
      </c>
      <c r="P928" s="2" t="s">
        <v>23</v>
      </c>
      <c r="Q928" s="2" t="s">
        <v>147</v>
      </c>
      <c r="R928" s="16">
        <f>(Table1[[#This Row],[NET Amount]]-Table1[[#This Row],[Total Outstanding Amount]])/Table1[[#This Row],[NET Amount]]</f>
        <v>0</v>
      </c>
      <c r="S928" s="2" t="s">
        <v>768</v>
      </c>
    </row>
    <row r="929" spans="1:19" x14ac:dyDescent="0.3">
      <c r="A929" s="4">
        <v>927</v>
      </c>
      <c r="B929" s="2" t="s">
        <v>2253</v>
      </c>
      <c r="C929" s="3">
        <v>44856</v>
      </c>
      <c r="D929" s="3" t="str">
        <f>TEXT(Table1[[#This Row],[Admission Date]],"MMMM")</f>
        <v>October</v>
      </c>
      <c r="E929" s="3">
        <v>44863</v>
      </c>
      <c r="F929" s="3">
        <v>44863</v>
      </c>
      <c r="G929" s="2">
        <v>22029031</v>
      </c>
      <c r="H929" s="2">
        <v>2237082</v>
      </c>
      <c r="I929" s="2">
        <v>1001800891</v>
      </c>
      <c r="J929" s="2" t="s">
        <v>784</v>
      </c>
      <c r="K929" s="10">
        <v>47447</v>
      </c>
      <c r="L929" s="10">
        <v>0</v>
      </c>
      <c r="M929" s="10">
        <v>47447</v>
      </c>
      <c r="N929" s="10">
        <v>0</v>
      </c>
      <c r="O929" s="10">
        <f>Table1[[#This Row],[NET Amount]]-Table1[[#This Row],[Paid Amount]]</f>
        <v>47447</v>
      </c>
      <c r="P929" s="2" t="s">
        <v>23</v>
      </c>
      <c r="Q929" s="2" t="s">
        <v>19</v>
      </c>
      <c r="R929" s="16">
        <f>(Table1[[#This Row],[NET Amount]]-Table1[[#This Row],[Total Outstanding Amount]])/Table1[[#This Row],[NET Amount]]</f>
        <v>0</v>
      </c>
      <c r="S929" s="2" t="s">
        <v>20</v>
      </c>
    </row>
    <row r="930" spans="1:19" x14ac:dyDescent="0.3">
      <c r="A930" s="4">
        <v>928</v>
      </c>
      <c r="B930" s="2" t="s">
        <v>2263</v>
      </c>
      <c r="C930" s="3">
        <v>44849</v>
      </c>
      <c r="D930" s="3" t="str">
        <f>TEXT(Table1[[#This Row],[Admission Date]],"MMMM")</f>
        <v>October</v>
      </c>
      <c r="E930" s="3">
        <v>44849</v>
      </c>
      <c r="F930" s="3">
        <v>44849</v>
      </c>
      <c r="G930" s="2">
        <v>22027131</v>
      </c>
      <c r="H930" s="2">
        <v>2236086</v>
      </c>
      <c r="I930" s="2">
        <v>1001678600</v>
      </c>
      <c r="J930" s="2" t="s">
        <v>413</v>
      </c>
      <c r="K930" s="10">
        <v>1274</v>
      </c>
      <c r="L930" s="10">
        <v>0</v>
      </c>
      <c r="M930" s="10">
        <v>1274</v>
      </c>
      <c r="N930" s="10">
        <v>0</v>
      </c>
      <c r="O930" s="10">
        <f>Table1[[#This Row],[NET Amount]]-Table1[[#This Row],[Paid Amount]]</f>
        <v>1274</v>
      </c>
      <c r="P930" s="2" t="s">
        <v>23</v>
      </c>
      <c r="Q930" s="2" t="s">
        <v>54</v>
      </c>
      <c r="R930" s="16">
        <f>(Table1[[#This Row],[NET Amount]]-Table1[[#This Row],[Total Outstanding Amount]])/Table1[[#This Row],[NET Amount]]</f>
        <v>0</v>
      </c>
      <c r="S930" s="2" t="s">
        <v>97</v>
      </c>
    </row>
    <row r="931" spans="1:19" x14ac:dyDescent="0.3">
      <c r="A931" s="4">
        <v>929</v>
      </c>
      <c r="B931" s="2" t="s">
        <v>155</v>
      </c>
      <c r="C931" s="3">
        <v>44842</v>
      </c>
      <c r="D931" s="3" t="str">
        <f>TEXT(Table1[[#This Row],[Admission Date]],"MMMM")</f>
        <v>October</v>
      </c>
      <c r="E931" s="3">
        <v>44842</v>
      </c>
      <c r="F931" s="3">
        <v>44842</v>
      </c>
      <c r="G931" s="2">
        <v>22026219</v>
      </c>
      <c r="H931" s="2">
        <v>2235214</v>
      </c>
      <c r="I931" s="2">
        <v>1000979923</v>
      </c>
      <c r="J931" s="2" t="s">
        <v>785</v>
      </c>
      <c r="K931" s="10">
        <v>1610</v>
      </c>
      <c r="L931" s="10">
        <v>0</v>
      </c>
      <c r="M931" s="10">
        <v>1610</v>
      </c>
      <c r="N931" s="10">
        <v>0</v>
      </c>
      <c r="O931" s="10">
        <f>Table1[[#This Row],[NET Amount]]-Table1[[#This Row],[Paid Amount]]</f>
        <v>1610</v>
      </c>
      <c r="P931" s="2" t="s">
        <v>23</v>
      </c>
      <c r="Q931" s="2" t="s">
        <v>54</v>
      </c>
      <c r="R931" s="16">
        <f>(Table1[[#This Row],[NET Amount]]-Table1[[#This Row],[Total Outstanding Amount]])/Table1[[#This Row],[NET Amount]]</f>
        <v>0</v>
      </c>
      <c r="S931" s="2" t="s">
        <v>97</v>
      </c>
    </row>
    <row r="932" spans="1:19" x14ac:dyDescent="0.3">
      <c r="A932" s="4">
        <v>930</v>
      </c>
      <c r="B932" s="2" t="s">
        <v>2253</v>
      </c>
      <c r="C932" s="3">
        <v>44846</v>
      </c>
      <c r="D932" s="3" t="str">
        <f>TEXT(Table1[[#This Row],[Admission Date]],"MMMM")</f>
        <v>October</v>
      </c>
      <c r="E932" s="3">
        <v>44846</v>
      </c>
      <c r="F932" s="3">
        <v>44846</v>
      </c>
      <c r="G932" s="2">
        <v>22026772</v>
      </c>
      <c r="H932" s="2">
        <v>2235714</v>
      </c>
      <c r="I932" s="2">
        <v>1001729640</v>
      </c>
      <c r="J932" s="2" t="s">
        <v>470</v>
      </c>
      <c r="K932" s="10">
        <v>1610</v>
      </c>
      <c r="L932" s="10">
        <v>0</v>
      </c>
      <c r="M932" s="10">
        <v>1610</v>
      </c>
      <c r="N932" s="10">
        <v>0</v>
      </c>
      <c r="O932" s="10">
        <f>Table1[[#This Row],[NET Amount]]-Table1[[#This Row],[Paid Amount]]</f>
        <v>1610</v>
      </c>
      <c r="P932" s="2" t="s">
        <v>23</v>
      </c>
      <c r="Q932" s="2" t="s">
        <v>54</v>
      </c>
      <c r="R932" s="16">
        <f>(Table1[[#This Row],[NET Amount]]-Table1[[#This Row],[Total Outstanding Amount]])/Table1[[#This Row],[NET Amount]]</f>
        <v>0</v>
      </c>
      <c r="S932" s="2" t="s">
        <v>97</v>
      </c>
    </row>
    <row r="933" spans="1:19" x14ac:dyDescent="0.3">
      <c r="A933" s="4">
        <v>931</v>
      </c>
      <c r="B933" s="2" t="s">
        <v>2263</v>
      </c>
      <c r="C933" s="3">
        <v>44841</v>
      </c>
      <c r="D933" s="3" t="str">
        <f>TEXT(Table1[[#This Row],[Admission Date]],"MMMM")</f>
        <v>October</v>
      </c>
      <c r="E933" s="3">
        <v>44841</v>
      </c>
      <c r="F933" s="3">
        <v>44841</v>
      </c>
      <c r="G933" s="2">
        <v>22025935</v>
      </c>
      <c r="H933" s="2">
        <v>2234984</v>
      </c>
      <c r="I933" s="2">
        <v>1001751950</v>
      </c>
      <c r="J933" s="2" t="s">
        <v>786</v>
      </c>
      <c r="K933" s="10">
        <v>1274</v>
      </c>
      <c r="L933" s="10">
        <v>0</v>
      </c>
      <c r="M933" s="10">
        <v>1274</v>
      </c>
      <c r="N933" s="10">
        <v>0</v>
      </c>
      <c r="O933" s="10">
        <f>Table1[[#This Row],[NET Amount]]-Table1[[#This Row],[Paid Amount]]</f>
        <v>1274</v>
      </c>
      <c r="P933" s="2" t="s">
        <v>23</v>
      </c>
      <c r="Q933" s="2" t="s">
        <v>54</v>
      </c>
      <c r="R933" s="16">
        <f>(Table1[[#This Row],[NET Amount]]-Table1[[#This Row],[Total Outstanding Amount]])/Table1[[#This Row],[NET Amount]]</f>
        <v>0</v>
      </c>
      <c r="S933" s="2" t="s">
        <v>97</v>
      </c>
    </row>
    <row r="934" spans="1:19" x14ac:dyDescent="0.3">
      <c r="A934" s="4">
        <v>932</v>
      </c>
      <c r="B934" s="2" t="s">
        <v>380</v>
      </c>
      <c r="C934" s="3">
        <v>44848</v>
      </c>
      <c r="D934" s="3" t="str">
        <f>TEXT(Table1[[#This Row],[Admission Date]],"MMMM")</f>
        <v>October</v>
      </c>
      <c r="E934" s="3">
        <v>44848</v>
      </c>
      <c r="F934" s="3">
        <v>44848</v>
      </c>
      <c r="G934" s="2">
        <v>22027099</v>
      </c>
      <c r="H934" s="2">
        <v>2236015</v>
      </c>
      <c r="I934" s="2">
        <v>1001074266</v>
      </c>
      <c r="J934" s="2" t="s">
        <v>776</v>
      </c>
      <c r="K934" s="10">
        <v>1274</v>
      </c>
      <c r="L934" s="10">
        <v>0</v>
      </c>
      <c r="M934" s="10">
        <v>1274</v>
      </c>
      <c r="N934" s="10">
        <v>0</v>
      </c>
      <c r="O934" s="10">
        <f>Table1[[#This Row],[NET Amount]]-Table1[[#This Row],[Paid Amount]]</f>
        <v>1274</v>
      </c>
      <c r="P934" s="2" t="s">
        <v>23</v>
      </c>
      <c r="Q934" s="2" t="s">
        <v>54</v>
      </c>
      <c r="R934" s="16">
        <f>(Table1[[#This Row],[NET Amount]]-Table1[[#This Row],[Total Outstanding Amount]])/Table1[[#This Row],[NET Amount]]</f>
        <v>0</v>
      </c>
      <c r="S934" s="2" t="s">
        <v>97</v>
      </c>
    </row>
    <row r="935" spans="1:19" x14ac:dyDescent="0.3">
      <c r="A935" s="4">
        <v>933</v>
      </c>
      <c r="B935" s="2" t="s">
        <v>2253</v>
      </c>
      <c r="C935" s="3">
        <v>44855</v>
      </c>
      <c r="D935" s="3" t="str">
        <f>TEXT(Table1[[#This Row],[Admission Date]],"MMMM")</f>
        <v>October</v>
      </c>
      <c r="E935" s="3">
        <v>44855</v>
      </c>
      <c r="F935" s="3">
        <v>44855</v>
      </c>
      <c r="G935" s="2">
        <v>22028065</v>
      </c>
      <c r="H935" s="2">
        <v>2236921</v>
      </c>
      <c r="I935" s="2">
        <v>1001736024</v>
      </c>
      <c r="J935" s="2" t="s">
        <v>442</v>
      </c>
      <c r="K935" s="10">
        <v>1610</v>
      </c>
      <c r="L935" s="10">
        <v>0</v>
      </c>
      <c r="M935" s="10">
        <v>1610</v>
      </c>
      <c r="N935" s="10">
        <v>0</v>
      </c>
      <c r="O935" s="10">
        <f>Table1[[#This Row],[NET Amount]]-Table1[[#This Row],[Paid Amount]]</f>
        <v>1610</v>
      </c>
      <c r="P935" s="2" t="s">
        <v>23</v>
      </c>
      <c r="Q935" s="2" t="s">
        <v>54</v>
      </c>
      <c r="R935" s="16">
        <f>(Table1[[#This Row],[NET Amount]]-Table1[[#This Row],[Total Outstanding Amount]])/Table1[[#This Row],[NET Amount]]</f>
        <v>0</v>
      </c>
      <c r="S935" s="2" t="s">
        <v>97</v>
      </c>
    </row>
    <row r="936" spans="1:19" x14ac:dyDescent="0.3">
      <c r="A936" s="4">
        <v>934</v>
      </c>
      <c r="B936" s="2" t="s">
        <v>126</v>
      </c>
      <c r="C936" s="3">
        <v>44853</v>
      </c>
      <c r="D936" s="3" t="str">
        <f>TEXT(Table1[[#This Row],[Admission Date]],"MMMM")</f>
        <v>October</v>
      </c>
      <c r="E936" s="3">
        <v>44856</v>
      </c>
      <c r="F936" s="3">
        <v>44856</v>
      </c>
      <c r="G936" s="2">
        <v>22028186</v>
      </c>
      <c r="H936" s="2">
        <v>2236566</v>
      </c>
      <c r="I936" s="2">
        <v>10013543482</v>
      </c>
      <c r="J936" s="2" t="s">
        <v>787</v>
      </c>
      <c r="K936" s="10">
        <v>84309</v>
      </c>
      <c r="L936" s="10">
        <v>11543</v>
      </c>
      <c r="M936" s="10">
        <v>72766</v>
      </c>
      <c r="N936" s="10">
        <v>0</v>
      </c>
      <c r="O936" s="10">
        <f>Table1[[#This Row],[NET Amount]]-Table1[[#This Row],[Paid Amount]]</f>
        <v>72766</v>
      </c>
      <c r="P936" s="2" t="s">
        <v>23</v>
      </c>
      <c r="Q936" s="2" t="s">
        <v>104</v>
      </c>
      <c r="R936" s="16">
        <f>(Table1[[#This Row],[NET Amount]]-Table1[[#This Row],[Total Outstanding Amount]])/Table1[[#This Row],[NET Amount]]</f>
        <v>0</v>
      </c>
      <c r="S936" s="2" t="s">
        <v>20</v>
      </c>
    </row>
    <row r="937" spans="1:19" x14ac:dyDescent="0.3">
      <c r="A937" s="4">
        <v>935</v>
      </c>
      <c r="B937" s="2" t="s">
        <v>2271</v>
      </c>
      <c r="C937" s="3">
        <v>44853</v>
      </c>
      <c r="D937" s="3" t="str">
        <f>TEXT(Table1[[#This Row],[Admission Date]],"MMMM")</f>
        <v>October</v>
      </c>
      <c r="E937" s="3">
        <v>44853</v>
      </c>
      <c r="F937" s="3">
        <v>44853</v>
      </c>
      <c r="G937" s="2">
        <v>22027745</v>
      </c>
      <c r="H937" s="2">
        <v>2236630</v>
      </c>
      <c r="I937" s="2">
        <v>1001729640</v>
      </c>
      <c r="J937" s="2" t="s">
        <v>470</v>
      </c>
      <c r="K937" s="10">
        <v>1610</v>
      </c>
      <c r="L937" s="10">
        <v>0</v>
      </c>
      <c r="M937" s="10">
        <v>1610</v>
      </c>
      <c r="N937" s="10">
        <v>0</v>
      </c>
      <c r="O937" s="10">
        <f>Table1[[#This Row],[NET Amount]]-Table1[[#This Row],[Paid Amount]]</f>
        <v>1610</v>
      </c>
      <c r="P937" s="2" t="s">
        <v>23</v>
      </c>
      <c r="Q937" s="2" t="s">
        <v>54</v>
      </c>
      <c r="R937" s="16">
        <f>(Table1[[#This Row],[NET Amount]]-Table1[[#This Row],[Total Outstanding Amount]])/Table1[[#This Row],[NET Amount]]</f>
        <v>0</v>
      </c>
      <c r="S937" s="2" t="s">
        <v>97</v>
      </c>
    </row>
    <row r="938" spans="1:19" x14ac:dyDescent="0.3">
      <c r="A938" s="4">
        <v>936</v>
      </c>
      <c r="B938" s="2" t="s">
        <v>25</v>
      </c>
      <c r="C938" s="3">
        <v>44856</v>
      </c>
      <c r="D938" s="3" t="str">
        <f>TEXT(Table1[[#This Row],[Admission Date]],"MMMM")</f>
        <v>October</v>
      </c>
      <c r="E938" s="3">
        <v>44859</v>
      </c>
      <c r="F938" s="3">
        <v>44859</v>
      </c>
      <c r="G938" s="2">
        <v>22028487</v>
      </c>
      <c r="H938" s="2">
        <v>2237074</v>
      </c>
      <c r="I938" s="2">
        <v>10013544177</v>
      </c>
      <c r="J938" s="2" t="s">
        <v>788</v>
      </c>
      <c r="K938" s="10">
        <v>146670</v>
      </c>
      <c r="L938" s="10">
        <v>18762</v>
      </c>
      <c r="M938" s="10">
        <v>127908</v>
      </c>
      <c r="N938" s="10">
        <v>0</v>
      </c>
      <c r="O938" s="10">
        <f>Table1[[#This Row],[NET Amount]]-Table1[[#This Row],[Paid Amount]]</f>
        <v>127908</v>
      </c>
      <c r="P938" s="2" t="s">
        <v>23</v>
      </c>
      <c r="Q938" s="2" t="s">
        <v>225</v>
      </c>
      <c r="R938" s="16">
        <f>(Table1[[#This Row],[NET Amount]]-Table1[[#This Row],[Total Outstanding Amount]])/Table1[[#This Row],[NET Amount]]</f>
        <v>0</v>
      </c>
      <c r="S938" s="2" t="s">
        <v>20</v>
      </c>
    </row>
    <row r="939" spans="1:19" x14ac:dyDescent="0.3">
      <c r="A939" s="4">
        <v>937</v>
      </c>
      <c r="B939" s="2" t="s">
        <v>380</v>
      </c>
      <c r="C939" s="3">
        <v>44851</v>
      </c>
      <c r="D939" s="3" t="str">
        <f>TEXT(Table1[[#This Row],[Admission Date]],"MMMM")</f>
        <v>October</v>
      </c>
      <c r="E939" s="3">
        <v>44851</v>
      </c>
      <c r="F939" s="3">
        <v>44851</v>
      </c>
      <c r="G939" s="2">
        <v>22027379</v>
      </c>
      <c r="H939" s="2">
        <v>2236289</v>
      </c>
      <c r="I939" s="2">
        <v>1000899251</v>
      </c>
      <c r="J939" s="2" t="s">
        <v>789</v>
      </c>
      <c r="K939" s="10">
        <v>1274</v>
      </c>
      <c r="L939" s="10">
        <v>0</v>
      </c>
      <c r="M939" s="10">
        <v>1274</v>
      </c>
      <c r="N939" s="10">
        <v>0</v>
      </c>
      <c r="O939" s="10">
        <f>Table1[[#This Row],[NET Amount]]-Table1[[#This Row],[Paid Amount]]</f>
        <v>1274</v>
      </c>
      <c r="P939" s="2" t="s">
        <v>23</v>
      </c>
      <c r="Q939" s="2" t="s">
        <v>54</v>
      </c>
      <c r="R939" s="16">
        <f>(Table1[[#This Row],[NET Amount]]-Table1[[#This Row],[Total Outstanding Amount]])/Table1[[#This Row],[NET Amount]]</f>
        <v>0</v>
      </c>
      <c r="S939" s="2" t="s">
        <v>97</v>
      </c>
    </row>
    <row r="940" spans="1:19" x14ac:dyDescent="0.3">
      <c r="A940" s="4">
        <v>938</v>
      </c>
      <c r="B940" s="2" t="s">
        <v>380</v>
      </c>
      <c r="C940" s="3">
        <v>44857</v>
      </c>
      <c r="D940" s="3" t="str">
        <f>TEXT(Table1[[#This Row],[Admission Date]],"MMMM")</f>
        <v>October</v>
      </c>
      <c r="E940" s="3">
        <v>44857</v>
      </c>
      <c r="F940" s="3">
        <v>44857</v>
      </c>
      <c r="G940" s="2">
        <v>22028411</v>
      </c>
      <c r="H940" s="2">
        <v>2237198</v>
      </c>
      <c r="I940" s="2">
        <v>1001237257</v>
      </c>
      <c r="J940" s="2" t="s">
        <v>419</v>
      </c>
      <c r="K940" s="10">
        <v>1274</v>
      </c>
      <c r="L940" s="10">
        <v>0</v>
      </c>
      <c r="M940" s="10">
        <v>1274</v>
      </c>
      <c r="N940" s="10">
        <v>0</v>
      </c>
      <c r="O940" s="10">
        <f>Table1[[#This Row],[NET Amount]]-Table1[[#This Row],[Paid Amount]]</f>
        <v>1274</v>
      </c>
      <c r="P940" s="2" t="s">
        <v>23</v>
      </c>
      <c r="Q940" s="2" t="s">
        <v>54</v>
      </c>
      <c r="R940" s="16">
        <f>(Table1[[#This Row],[NET Amount]]-Table1[[#This Row],[Total Outstanding Amount]])/Table1[[#This Row],[NET Amount]]</f>
        <v>0</v>
      </c>
      <c r="S940" s="2" t="s">
        <v>97</v>
      </c>
    </row>
    <row r="941" spans="1:19" x14ac:dyDescent="0.3">
      <c r="A941" s="4">
        <v>939</v>
      </c>
      <c r="B941" s="2" t="s">
        <v>2263</v>
      </c>
      <c r="C941" s="3">
        <v>44862</v>
      </c>
      <c r="D941" s="3" t="str">
        <f>TEXT(Table1[[#This Row],[Admission Date]],"MMMM")</f>
        <v>October</v>
      </c>
      <c r="E941" s="3">
        <v>44862</v>
      </c>
      <c r="F941" s="3">
        <v>44862</v>
      </c>
      <c r="G941" s="2">
        <v>22028926</v>
      </c>
      <c r="H941" s="2">
        <v>2237820</v>
      </c>
      <c r="I941" s="2">
        <v>1001677731</v>
      </c>
      <c r="J941" s="2" t="s">
        <v>397</v>
      </c>
      <c r="K941" s="10">
        <v>1274</v>
      </c>
      <c r="L941" s="10">
        <v>0</v>
      </c>
      <c r="M941" s="10">
        <v>1274</v>
      </c>
      <c r="N941" s="10">
        <v>0</v>
      </c>
      <c r="O941" s="10">
        <f>Table1[[#This Row],[NET Amount]]-Table1[[#This Row],[Paid Amount]]</f>
        <v>1274</v>
      </c>
      <c r="P941" s="2" t="s">
        <v>23</v>
      </c>
      <c r="Q941" s="2" t="s">
        <v>54</v>
      </c>
      <c r="R941" s="16">
        <f>(Table1[[#This Row],[NET Amount]]-Table1[[#This Row],[Total Outstanding Amount]])/Table1[[#This Row],[NET Amount]]</f>
        <v>0</v>
      </c>
      <c r="S941" s="2" t="s">
        <v>97</v>
      </c>
    </row>
    <row r="942" spans="1:19" x14ac:dyDescent="0.3">
      <c r="A942" s="4">
        <v>940</v>
      </c>
      <c r="B942" s="2" t="s">
        <v>178</v>
      </c>
      <c r="C942" s="3">
        <v>44839</v>
      </c>
      <c r="D942" s="3" t="str">
        <f>TEXT(Table1[[#This Row],[Admission Date]],"MMMM")</f>
        <v>October</v>
      </c>
      <c r="E942" s="3">
        <v>44839</v>
      </c>
      <c r="F942" s="3">
        <v>44839</v>
      </c>
      <c r="G942" s="2">
        <v>22025714</v>
      </c>
      <c r="H942" s="2">
        <v>2234710</v>
      </c>
      <c r="I942" s="2">
        <v>10013469159</v>
      </c>
      <c r="J942" s="2" t="s">
        <v>790</v>
      </c>
      <c r="K942" s="10">
        <v>2200</v>
      </c>
      <c r="L942" s="10">
        <v>0</v>
      </c>
      <c r="M942" s="10">
        <v>2200</v>
      </c>
      <c r="N942" s="10">
        <v>0</v>
      </c>
      <c r="O942" s="10">
        <f>Table1[[#This Row],[NET Amount]]-Table1[[#This Row],[Paid Amount]]</f>
        <v>2200</v>
      </c>
      <c r="P942" s="2" t="s">
        <v>23</v>
      </c>
      <c r="Q942" s="2" t="s">
        <v>147</v>
      </c>
      <c r="R942" s="16">
        <f>(Table1[[#This Row],[NET Amount]]-Table1[[#This Row],[Total Outstanding Amount]])/Table1[[#This Row],[NET Amount]]</f>
        <v>0</v>
      </c>
      <c r="S942" s="2" t="s">
        <v>97</v>
      </c>
    </row>
    <row r="943" spans="1:19" x14ac:dyDescent="0.3">
      <c r="A943" s="4">
        <v>941</v>
      </c>
      <c r="B943" s="2" t="s">
        <v>2263</v>
      </c>
      <c r="C943" s="3">
        <v>44842</v>
      </c>
      <c r="D943" s="3" t="str">
        <f>TEXT(Table1[[#This Row],[Admission Date]],"MMMM")</f>
        <v>October</v>
      </c>
      <c r="E943" s="3">
        <v>44842</v>
      </c>
      <c r="F943" s="3">
        <v>44842</v>
      </c>
      <c r="G943" s="2">
        <v>22026179</v>
      </c>
      <c r="H943" s="2">
        <v>2235187</v>
      </c>
      <c r="I943" s="2">
        <v>1001777331</v>
      </c>
      <c r="J943" s="2" t="s">
        <v>791</v>
      </c>
      <c r="K943" s="10">
        <v>1274</v>
      </c>
      <c r="L943" s="10">
        <v>0</v>
      </c>
      <c r="M943" s="10">
        <v>1274</v>
      </c>
      <c r="N943" s="10">
        <v>0</v>
      </c>
      <c r="O943" s="10">
        <f>Table1[[#This Row],[NET Amount]]-Table1[[#This Row],[Paid Amount]]</f>
        <v>1274</v>
      </c>
      <c r="P943" s="2" t="s">
        <v>23</v>
      </c>
      <c r="Q943" s="2" t="s">
        <v>54</v>
      </c>
      <c r="R943" s="16">
        <f>(Table1[[#This Row],[NET Amount]]-Table1[[#This Row],[Total Outstanding Amount]])/Table1[[#This Row],[NET Amount]]</f>
        <v>0</v>
      </c>
      <c r="S943" s="2" t="s">
        <v>97</v>
      </c>
    </row>
    <row r="944" spans="1:19" x14ac:dyDescent="0.3">
      <c r="A944" s="4">
        <v>942</v>
      </c>
      <c r="B944" s="2" t="s">
        <v>2263</v>
      </c>
      <c r="C944" s="3">
        <v>44853</v>
      </c>
      <c r="D944" s="3" t="str">
        <f>TEXT(Table1[[#This Row],[Admission Date]],"MMMM")</f>
        <v>October</v>
      </c>
      <c r="E944" s="3">
        <v>44853</v>
      </c>
      <c r="F944" s="3">
        <v>44853</v>
      </c>
      <c r="G944" s="2">
        <v>22027769</v>
      </c>
      <c r="H944" s="2">
        <v>2236662</v>
      </c>
      <c r="I944" s="2">
        <v>1001699417</v>
      </c>
      <c r="J944" s="2" t="s">
        <v>472</v>
      </c>
      <c r="K944" s="10">
        <v>1274</v>
      </c>
      <c r="L944" s="10">
        <v>0</v>
      </c>
      <c r="M944" s="10">
        <v>1274</v>
      </c>
      <c r="N944" s="10">
        <v>0</v>
      </c>
      <c r="O944" s="10">
        <f>Table1[[#This Row],[NET Amount]]-Table1[[#This Row],[Paid Amount]]</f>
        <v>1274</v>
      </c>
      <c r="P944" s="2" t="s">
        <v>23</v>
      </c>
      <c r="Q944" s="2" t="s">
        <v>54</v>
      </c>
      <c r="R944" s="16">
        <f>(Table1[[#This Row],[NET Amount]]-Table1[[#This Row],[Total Outstanding Amount]])/Table1[[#This Row],[NET Amount]]</f>
        <v>0</v>
      </c>
      <c r="S944" s="2" t="s">
        <v>97</v>
      </c>
    </row>
    <row r="945" spans="1:19" x14ac:dyDescent="0.3">
      <c r="A945" s="4">
        <v>943</v>
      </c>
      <c r="B945" s="2" t="s">
        <v>380</v>
      </c>
      <c r="C945" s="3">
        <v>44857</v>
      </c>
      <c r="D945" s="3" t="str">
        <f>TEXT(Table1[[#This Row],[Admission Date]],"MMMM")</f>
        <v>October</v>
      </c>
      <c r="E945" s="3">
        <v>44857</v>
      </c>
      <c r="F945" s="3">
        <v>44857</v>
      </c>
      <c r="G945" s="2">
        <v>22028409</v>
      </c>
      <c r="H945" s="2">
        <v>2237196</v>
      </c>
      <c r="I945" s="2">
        <v>10013437822</v>
      </c>
      <c r="J945" s="2" t="s">
        <v>441</v>
      </c>
      <c r="K945" s="10">
        <v>1274</v>
      </c>
      <c r="L945" s="10">
        <v>0</v>
      </c>
      <c r="M945" s="10">
        <v>1274</v>
      </c>
      <c r="N945" s="10">
        <v>0</v>
      </c>
      <c r="O945" s="10">
        <f>Table1[[#This Row],[NET Amount]]-Table1[[#This Row],[Paid Amount]]</f>
        <v>1274</v>
      </c>
      <c r="P945" s="2" t="s">
        <v>23</v>
      </c>
      <c r="Q945" s="2" t="s">
        <v>54</v>
      </c>
      <c r="R945" s="16">
        <f>(Table1[[#This Row],[NET Amount]]-Table1[[#This Row],[Total Outstanding Amount]])/Table1[[#This Row],[NET Amount]]</f>
        <v>0</v>
      </c>
      <c r="S945" s="2" t="s">
        <v>97</v>
      </c>
    </row>
    <row r="946" spans="1:19" x14ac:dyDescent="0.3">
      <c r="A946" s="4">
        <v>944</v>
      </c>
      <c r="B946" s="2" t="s">
        <v>2263</v>
      </c>
      <c r="C946" s="3">
        <v>44838</v>
      </c>
      <c r="D946" s="3" t="str">
        <f>TEXT(Table1[[#This Row],[Admission Date]],"MMMM")</f>
        <v>October</v>
      </c>
      <c r="E946" s="3">
        <v>44838</v>
      </c>
      <c r="F946" s="3">
        <v>44838</v>
      </c>
      <c r="G946" s="2">
        <v>22025494</v>
      </c>
      <c r="H946" s="2">
        <v>2234507</v>
      </c>
      <c r="I946" s="2">
        <v>1001751950</v>
      </c>
      <c r="J946" s="2" t="s">
        <v>786</v>
      </c>
      <c r="K946" s="10">
        <v>1274</v>
      </c>
      <c r="L946" s="10">
        <v>0</v>
      </c>
      <c r="M946" s="10">
        <v>1274</v>
      </c>
      <c r="N946" s="10">
        <v>0</v>
      </c>
      <c r="O946" s="10">
        <f>Table1[[#This Row],[NET Amount]]-Table1[[#This Row],[Paid Amount]]</f>
        <v>1274</v>
      </c>
      <c r="P946" s="2" t="s">
        <v>23</v>
      </c>
      <c r="Q946" s="2" t="s">
        <v>54</v>
      </c>
      <c r="R946" s="16">
        <f>(Table1[[#This Row],[NET Amount]]-Table1[[#This Row],[Total Outstanding Amount]])/Table1[[#This Row],[NET Amount]]</f>
        <v>0</v>
      </c>
      <c r="S946" s="2" t="s">
        <v>97</v>
      </c>
    </row>
    <row r="947" spans="1:19" x14ac:dyDescent="0.3">
      <c r="A947" s="4">
        <v>945</v>
      </c>
      <c r="B947" s="2" t="s">
        <v>380</v>
      </c>
      <c r="C947" s="3">
        <v>44855</v>
      </c>
      <c r="D947" s="3" t="str">
        <f>TEXT(Table1[[#This Row],[Admission Date]],"MMMM")</f>
        <v>October</v>
      </c>
      <c r="E947" s="3">
        <v>44855</v>
      </c>
      <c r="F947" s="3">
        <v>44855</v>
      </c>
      <c r="G947" s="2">
        <v>22028113</v>
      </c>
      <c r="H947" s="2">
        <v>2236965</v>
      </c>
      <c r="I947" s="2">
        <v>1000891355</v>
      </c>
      <c r="J947" s="2" t="s">
        <v>792</v>
      </c>
      <c r="K947" s="10">
        <v>1274</v>
      </c>
      <c r="L947" s="10">
        <v>0</v>
      </c>
      <c r="M947" s="10">
        <v>1274</v>
      </c>
      <c r="N947" s="10">
        <v>0</v>
      </c>
      <c r="O947" s="10">
        <f>Table1[[#This Row],[NET Amount]]-Table1[[#This Row],[Paid Amount]]</f>
        <v>1274</v>
      </c>
      <c r="P947" s="2" t="s">
        <v>23</v>
      </c>
      <c r="Q947" s="2" t="s">
        <v>54</v>
      </c>
      <c r="R947" s="16">
        <f>(Table1[[#This Row],[NET Amount]]-Table1[[#This Row],[Total Outstanding Amount]])/Table1[[#This Row],[NET Amount]]</f>
        <v>0</v>
      </c>
      <c r="S947" s="2" t="s">
        <v>97</v>
      </c>
    </row>
    <row r="948" spans="1:19" x14ac:dyDescent="0.3">
      <c r="A948" s="4">
        <v>946</v>
      </c>
      <c r="B948" s="2" t="s">
        <v>75</v>
      </c>
      <c r="C948" s="3">
        <v>44839</v>
      </c>
      <c r="D948" s="3" t="str">
        <f>TEXT(Table1[[#This Row],[Admission Date]],"MMMM")</f>
        <v>October</v>
      </c>
      <c r="E948" s="3">
        <v>44839</v>
      </c>
      <c r="F948" s="3">
        <v>44839</v>
      </c>
      <c r="G948" s="2">
        <v>22025646</v>
      </c>
      <c r="H948" s="2">
        <v>2234686</v>
      </c>
      <c r="I948" s="2">
        <v>10013373132</v>
      </c>
      <c r="J948" s="2" t="s">
        <v>402</v>
      </c>
      <c r="K948" s="10">
        <v>1610</v>
      </c>
      <c r="L948" s="10">
        <v>0</v>
      </c>
      <c r="M948" s="10">
        <v>1610</v>
      </c>
      <c r="N948" s="10">
        <v>0</v>
      </c>
      <c r="O948" s="10">
        <f>Table1[[#This Row],[NET Amount]]-Table1[[#This Row],[Paid Amount]]</f>
        <v>1610</v>
      </c>
      <c r="P948" s="2" t="s">
        <v>23</v>
      </c>
      <c r="Q948" s="2" t="s">
        <v>54</v>
      </c>
      <c r="R948" s="16">
        <f>(Table1[[#This Row],[NET Amount]]-Table1[[#This Row],[Total Outstanding Amount]])/Table1[[#This Row],[NET Amount]]</f>
        <v>0</v>
      </c>
      <c r="S948" s="2" t="s">
        <v>97</v>
      </c>
    </row>
    <row r="949" spans="1:19" x14ac:dyDescent="0.3">
      <c r="A949" s="4">
        <v>947</v>
      </c>
      <c r="B949" s="2" t="s">
        <v>126</v>
      </c>
      <c r="C949" s="3">
        <v>44838</v>
      </c>
      <c r="D949" s="3" t="str">
        <f>TEXT(Table1[[#This Row],[Admission Date]],"MMMM")</f>
        <v>October</v>
      </c>
      <c r="E949" s="3">
        <v>44847</v>
      </c>
      <c r="F949" s="3">
        <v>44847</v>
      </c>
      <c r="G949" s="2">
        <v>22026915</v>
      </c>
      <c r="H949" s="2">
        <v>2234494</v>
      </c>
      <c r="I949" s="2">
        <v>10013541440</v>
      </c>
      <c r="J949" s="2" t="s">
        <v>129</v>
      </c>
      <c r="K949" s="10">
        <v>257239</v>
      </c>
      <c r="L949" s="10">
        <v>33912</v>
      </c>
      <c r="M949" s="10">
        <v>223327</v>
      </c>
      <c r="N949" s="10">
        <v>0</v>
      </c>
      <c r="O949" s="10">
        <f>Table1[[#This Row],[NET Amount]]-Table1[[#This Row],[Paid Amount]]</f>
        <v>223327</v>
      </c>
      <c r="P949" s="2" t="s">
        <v>23</v>
      </c>
      <c r="Q949" s="2" t="s">
        <v>24</v>
      </c>
      <c r="R949" s="16">
        <f>(Table1[[#This Row],[NET Amount]]-Table1[[#This Row],[Total Outstanding Amount]])/Table1[[#This Row],[NET Amount]]</f>
        <v>0</v>
      </c>
      <c r="S949" s="2" t="s">
        <v>20</v>
      </c>
    </row>
    <row r="950" spans="1:19" x14ac:dyDescent="0.3">
      <c r="A950" s="4">
        <v>948</v>
      </c>
      <c r="B950" s="2" t="s">
        <v>380</v>
      </c>
      <c r="C950" s="3">
        <v>44863</v>
      </c>
      <c r="D950" s="3" t="str">
        <f>TEXT(Table1[[#This Row],[Admission Date]],"MMMM")</f>
        <v>October</v>
      </c>
      <c r="E950" s="3">
        <v>44863</v>
      </c>
      <c r="F950" s="3">
        <v>44863</v>
      </c>
      <c r="G950" s="2">
        <v>22029159</v>
      </c>
      <c r="H950" s="2">
        <v>2238016</v>
      </c>
      <c r="I950" s="2">
        <v>10013506167</v>
      </c>
      <c r="J950" s="2" t="s">
        <v>467</v>
      </c>
      <c r="K950" s="10">
        <v>1274</v>
      </c>
      <c r="L950" s="10">
        <v>0</v>
      </c>
      <c r="M950" s="10">
        <v>1274</v>
      </c>
      <c r="N950" s="10">
        <v>0</v>
      </c>
      <c r="O950" s="10">
        <f>Table1[[#This Row],[NET Amount]]-Table1[[#This Row],[Paid Amount]]</f>
        <v>1274</v>
      </c>
      <c r="P950" s="2" t="s">
        <v>23</v>
      </c>
      <c r="Q950" s="2" t="s">
        <v>54</v>
      </c>
      <c r="R950" s="16">
        <f>(Table1[[#This Row],[NET Amount]]-Table1[[#This Row],[Total Outstanding Amount]])/Table1[[#This Row],[NET Amount]]</f>
        <v>0</v>
      </c>
      <c r="S950" s="2" t="s">
        <v>97</v>
      </c>
    </row>
    <row r="951" spans="1:19" x14ac:dyDescent="0.3">
      <c r="A951" s="4">
        <v>949</v>
      </c>
      <c r="B951" s="2" t="s">
        <v>178</v>
      </c>
      <c r="C951" s="3">
        <v>44861</v>
      </c>
      <c r="D951" s="3" t="str">
        <f>TEXT(Table1[[#This Row],[Admission Date]],"MMMM")</f>
        <v>October</v>
      </c>
      <c r="E951" s="3">
        <v>44861</v>
      </c>
      <c r="F951" s="3">
        <v>44861</v>
      </c>
      <c r="G951" s="2">
        <v>22028789</v>
      </c>
      <c r="H951" s="2">
        <v>2237639</v>
      </c>
      <c r="I951" s="2">
        <v>10013469159</v>
      </c>
      <c r="J951" s="2" t="s">
        <v>790</v>
      </c>
      <c r="K951" s="10">
        <v>2200</v>
      </c>
      <c r="L951" s="10">
        <v>0</v>
      </c>
      <c r="M951" s="10">
        <v>2200</v>
      </c>
      <c r="N951" s="10">
        <v>0</v>
      </c>
      <c r="O951" s="10">
        <f>Table1[[#This Row],[NET Amount]]-Table1[[#This Row],[Paid Amount]]</f>
        <v>2200</v>
      </c>
      <c r="P951" s="2" t="s">
        <v>23</v>
      </c>
      <c r="Q951" s="2" t="s">
        <v>147</v>
      </c>
      <c r="R951" s="16">
        <f>(Table1[[#This Row],[NET Amount]]-Table1[[#This Row],[Total Outstanding Amount]])/Table1[[#This Row],[NET Amount]]</f>
        <v>0</v>
      </c>
      <c r="S951" s="2" t="s">
        <v>97</v>
      </c>
    </row>
    <row r="952" spans="1:19" x14ac:dyDescent="0.3">
      <c r="A952" s="4">
        <v>950</v>
      </c>
      <c r="B952" s="2" t="s">
        <v>380</v>
      </c>
      <c r="C952" s="3">
        <v>44852</v>
      </c>
      <c r="D952" s="3" t="str">
        <f>TEXT(Table1[[#This Row],[Admission Date]],"MMMM")</f>
        <v>October</v>
      </c>
      <c r="E952" s="3">
        <v>44852</v>
      </c>
      <c r="F952" s="3">
        <v>44852</v>
      </c>
      <c r="G952" s="2">
        <v>22027639</v>
      </c>
      <c r="H952" s="2">
        <v>2236550</v>
      </c>
      <c r="I952" s="2">
        <v>10013316109</v>
      </c>
      <c r="J952" s="2" t="s">
        <v>793</v>
      </c>
      <c r="K952" s="10">
        <v>1274</v>
      </c>
      <c r="L952" s="10">
        <v>0</v>
      </c>
      <c r="M952" s="10">
        <v>1274</v>
      </c>
      <c r="N952" s="10">
        <v>0</v>
      </c>
      <c r="O952" s="10">
        <f>Table1[[#This Row],[NET Amount]]-Table1[[#This Row],[Paid Amount]]</f>
        <v>1274</v>
      </c>
      <c r="P952" s="2" t="s">
        <v>23</v>
      </c>
      <c r="Q952" s="2" t="s">
        <v>54</v>
      </c>
      <c r="R952" s="16">
        <f>(Table1[[#This Row],[NET Amount]]-Table1[[#This Row],[Total Outstanding Amount]])/Table1[[#This Row],[NET Amount]]</f>
        <v>0</v>
      </c>
      <c r="S952" s="2" t="s">
        <v>97</v>
      </c>
    </row>
    <row r="953" spans="1:19" x14ac:dyDescent="0.3">
      <c r="A953" s="4">
        <v>951</v>
      </c>
      <c r="B953" s="2" t="s">
        <v>380</v>
      </c>
      <c r="C953" s="3">
        <v>44855</v>
      </c>
      <c r="D953" s="3" t="str">
        <f>TEXT(Table1[[#This Row],[Admission Date]],"MMMM")</f>
        <v>October</v>
      </c>
      <c r="E953" s="3">
        <v>44855</v>
      </c>
      <c r="F953" s="3">
        <v>44855</v>
      </c>
      <c r="G953" s="2">
        <v>22028111</v>
      </c>
      <c r="H953" s="2">
        <v>2236967</v>
      </c>
      <c r="I953" s="2">
        <v>10013521329</v>
      </c>
      <c r="J953" s="2" t="s">
        <v>457</v>
      </c>
      <c r="K953" s="10">
        <v>1274</v>
      </c>
      <c r="L953" s="10">
        <v>0</v>
      </c>
      <c r="M953" s="10">
        <v>1274</v>
      </c>
      <c r="N953" s="10">
        <v>0</v>
      </c>
      <c r="O953" s="10">
        <f>Table1[[#This Row],[NET Amount]]-Table1[[#This Row],[Paid Amount]]</f>
        <v>1274</v>
      </c>
      <c r="P953" s="2" t="s">
        <v>23</v>
      </c>
      <c r="Q953" s="2" t="s">
        <v>54</v>
      </c>
      <c r="R953" s="16">
        <f>(Table1[[#This Row],[NET Amount]]-Table1[[#This Row],[Total Outstanding Amount]])/Table1[[#This Row],[NET Amount]]</f>
        <v>0</v>
      </c>
      <c r="S953" s="2" t="s">
        <v>97</v>
      </c>
    </row>
    <row r="954" spans="1:19" x14ac:dyDescent="0.3">
      <c r="A954" s="4">
        <v>952</v>
      </c>
      <c r="B954" s="2" t="s">
        <v>380</v>
      </c>
      <c r="C954" s="3">
        <v>44840</v>
      </c>
      <c r="D954" s="3" t="str">
        <f>TEXT(Table1[[#This Row],[Admission Date]],"MMMM")</f>
        <v>October</v>
      </c>
      <c r="E954" s="3">
        <v>44840</v>
      </c>
      <c r="F954" s="3">
        <v>44840</v>
      </c>
      <c r="G954" s="2">
        <v>22025906</v>
      </c>
      <c r="H954" s="2">
        <v>2234919</v>
      </c>
      <c r="I954" s="2">
        <v>1000961855</v>
      </c>
      <c r="J954" s="2" t="s">
        <v>439</v>
      </c>
      <c r="K954" s="10">
        <v>1274</v>
      </c>
      <c r="L954" s="10">
        <v>0</v>
      </c>
      <c r="M954" s="10">
        <v>1274</v>
      </c>
      <c r="N954" s="10">
        <v>0</v>
      </c>
      <c r="O954" s="10">
        <f>Table1[[#This Row],[NET Amount]]-Table1[[#This Row],[Paid Amount]]</f>
        <v>1274</v>
      </c>
      <c r="P954" s="2" t="s">
        <v>23</v>
      </c>
      <c r="Q954" s="2" t="s">
        <v>54</v>
      </c>
      <c r="R954" s="16">
        <f>(Table1[[#This Row],[NET Amount]]-Table1[[#This Row],[Total Outstanding Amount]])/Table1[[#This Row],[NET Amount]]</f>
        <v>0</v>
      </c>
      <c r="S954" s="2" t="s">
        <v>97</v>
      </c>
    </row>
    <row r="955" spans="1:19" x14ac:dyDescent="0.3">
      <c r="A955" s="4">
        <v>953</v>
      </c>
      <c r="B955" s="2" t="s">
        <v>380</v>
      </c>
      <c r="C955" s="3">
        <v>44835</v>
      </c>
      <c r="D955" s="3" t="str">
        <f>TEXT(Table1[[#This Row],[Admission Date]],"MMMM")</f>
        <v>October</v>
      </c>
      <c r="E955" s="3">
        <v>44835</v>
      </c>
      <c r="F955" s="3">
        <v>44835</v>
      </c>
      <c r="G955" s="2">
        <v>22025126</v>
      </c>
      <c r="H955" s="2">
        <v>2234160</v>
      </c>
      <c r="I955" s="2">
        <v>10013436995</v>
      </c>
      <c r="J955" s="2" t="s">
        <v>794</v>
      </c>
      <c r="K955" s="10">
        <v>1274</v>
      </c>
      <c r="L955" s="10">
        <v>0</v>
      </c>
      <c r="M955" s="10">
        <v>1274</v>
      </c>
      <c r="N955" s="10">
        <v>0</v>
      </c>
      <c r="O955" s="10">
        <f>Table1[[#This Row],[NET Amount]]-Table1[[#This Row],[Paid Amount]]</f>
        <v>1274</v>
      </c>
      <c r="P955" s="2" t="s">
        <v>23</v>
      </c>
      <c r="Q955" s="2" t="s">
        <v>54</v>
      </c>
      <c r="R955" s="16">
        <f>(Table1[[#This Row],[NET Amount]]-Table1[[#This Row],[Total Outstanding Amount]])/Table1[[#This Row],[NET Amount]]</f>
        <v>0</v>
      </c>
      <c r="S955" s="2" t="s">
        <v>97</v>
      </c>
    </row>
    <row r="956" spans="1:19" x14ac:dyDescent="0.3">
      <c r="A956" s="4">
        <v>954</v>
      </c>
      <c r="B956" s="2" t="s">
        <v>2253</v>
      </c>
      <c r="C956" s="3">
        <v>44851</v>
      </c>
      <c r="D956" s="3" t="str">
        <f>TEXT(Table1[[#This Row],[Admission Date]],"MMMM")</f>
        <v>October</v>
      </c>
      <c r="E956" s="3">
        <v>44851</v>
      </c>
      <c r="F956" s="3">
        <v>44851</v>
      </c>
      <c r="G956" s="2">
        <v>22027482</v>
      </c>
      <c r="H956" s="2">
        <v>2236394</v>
      </c>
      <c r="I956" s="2">
        <v>1001777526</v>
      </c>
      <c r="J956" s="2" t="s">
        <v>411</v>
      </c>
      <c r="K956" s="10">
        <v>1610</v>
      </c>
      <c r="L956" s="10">
        <v>0</v>
      </c>
      <c r="M956" s="10">
        <v>1610</v>
      </c>
      <c r="N956" s="10">
        <v>0</v>
      </c>
      <c r="O956" s="10">
        <f>Table1[[#This Row],[NET Amount]]-Table1[[#This Row],[Paid Amount]]</f>
        <v>1610</v>
      </c>
      <c r="P956" s="2" t="s">
        <v>23</v>
      </c>
      <c r="Q956" s="2" t="s">
        <v>54</v>
      </c>
      <c r="R956" s="16">
        <f>(Table1[[#This Row],[NET Amount]]-Table1[[#This Row],[Total Outstanding Amount]])/Table1[[#This Row],[NET Amount]]</f>
        <v>0</v>
      </c>
      <c r="S956" s="2" t="s">
        <v>97</v>
      </c>
    </row>
    <row r="957" spans="1:19" x14ac:dyDescent="0.3">
      <c r="A957" s="4">
        <v>955</v>
      </c>
      <c r="B957" s="2" t="s">
        <v>75</v>
      </c>
      <c r="C957" s="3">
        <v>44846</v>
      </c>
      <c r="D957" s="3" t="str">
        <f>TEXT(Table1[[#This Row],[Admission Date]],"MMMM")</f>
        <v>October</v>
      </c>
      <c r="E957" s="3">
        <v>44846</v>
      </c>
      <c r="F957" s="3">
        <v>44846</v>
      </c>
      <c r="G957" s="2">
        <v>22026656</v>
      </c>
      <c r="H957" s="2">
        <v>2235640</v>
      </c>
      <c r="I957" s="2">
        <v>10013401847</v>
      </c>
      <c r="J957" s="2" t="s">
        <v>449</v>
      </c>
      <c r="K957" s="10">
        <v>1610</v>
      </c>
      <c r="L957" s="10">
        <v>0</v>
      </c>
      <c r="M957" s="10">
        <v>1610</v>
      </c>
      <c r="N957" s="10">
        <v>0</v>
      </c>
      <c r="O957" s="10">
        <f>Table1[[#This Row],[NET Amount]]-Table1[[#This Row],[Paid Amount]]</f>
        <v>1610</v>
      </c>
      <c r="P957" s="2" t="s">
        <v>23</v>
      </c>
      <c r="Q957" s="2" t="s">
        <v>54</v>
      </c>
      <c r="R957" s="16">
        <f>(Table1[[#This Row],[NET Amount]]-Table1[[#This Row],[Total Outstanding Amount]])/Table1[[#This Row],[NET Amount]]</f>
        <v>0</v>
      </c>
      <c r="S957" s="2" t="s">
        <v>97</v>
      </c>
    </row>
    <row r="958" spans="1:19" x14ac:dyDescent="0.3">
      <c r="A958" s="4">
        <v>956</v>
      </c>
      <c r="B958" s="2" t="s">
        <v>380</v>
      </c>
      <c r="C958" s="3">
        <v>44837</v>
      </c>
      <c r="D958" s="3" t="str">
        <f>TEXT(Table1[[#This Row],[Admission Date]],"MMMM")</f>
        <v>October</v>
      </c>
      <c r="E958" s="3">
        <v>44837</v>
      </c>
      <c r="F958" s="3">
        <v>44837</v>
      </c>
      <c r="G958" s="2">
        <v>22025462</v>
      </c>
      <c r="H958" s="2">
        <v>2234481</v>
      </c>
      <c r="I958" s="2">
        <v>1001237257</v>
      </c>
      <c r="J958" s="2" t="s">
        <v>419</v>
      </c>
      <c r="K958" s="10">
        <v>1274</v>
      </c>
      <c r="L958" s="10">
        <v>0</v>
      </c>
      <c r="M958" s="10">
        <v>1274</v>
      </c>
      <c r="N958" s="10">
        <v>0</v>
      </c>
      <c r="O958" s="10">
        <f>Table1[[#This Row],[NET Amount]]-Table1[[#This Row],[Paid Amount]]</f>
        <v>1274</v>
      </c>
      <c r="P958" s="2" t="s">
        <v>23</v>
      </c>
      <c r="Q958" s="2" t="s">
        <v>54</v>
      </c>
      <c r="R958" s="16">
        <f>(Table1[[#This Row],[NET Amount]]-Table1[[#This Row],[Total Outstanding Amount]])/Table1[[#This Row],[NET Amount]]</f>
        <v>0</v>
      </c>
      <c r="S958" s="2" t="s">
        <v>97</v>
      </c>
    </row>
    <row r="959" spans="1:19" x14ac:dyDescent="0.3">
      <c r="A959" s="4">
        <v>957</v>
      </c>
      <c r="B959" s="2" t="s">
        <v>380</v>
      </c>
      <c r="C959" s="3">
        <v>44859</v>
      </c>
      <c r="D959" s="3" t="str">
        <f>TEXT(Table1[[#This Row],[Admission Date]],"MMMM")</f>
        <v>October</v>
      </c>
      <c r="E959" s="3">
        <v>44859</v>
      </c>
      <c r="F959" s="3">
        <v>44859</v>
      </c>
      <c r="G959" s="2">
        <v>22028549</v>
      </c>
      <c r="H959" s="2">
        <v>2237369</v>
      </c>
      <c r="I959" s="2">
        <v>1001082290</v>
      </c>
      <c r="J959" s="2" t="s">
        <v>436</v>
      </c>
      <c r="K959" s="10">
        <v>1274</v>
      </c>
      <c r="L959" s="10">
        <v>0</v>
      </c>
      <c r="M959" s="10">
        <v>1274</v>
      </c>
      <c r="N959" s="10">
        <v>0</v>
      </c>
      <c r="O959" s="10">
        <f>Table1[[#This Row],[NET Amount]]-Table1[[#This Row],[Paid Amount]]</f>
        <v>1274</v>
      </c>
      <c r="P959" s="2" t="s">
        <v>23</v>
      </c>
      <c r="Q959" s="2" t="s">
        <v>54</v>
      </c>
      <c r="R959" s="16">
        <f>(Table1[[#This Row],[NET Amount]]-Table1[[#This Row],[Total Outstanding Amount]])/Table1[[#This Row],[NET Amount]]</f>
        <v>0</v>
      </c>
      <c r="S959" s="2" t="s">
        <v>97</v>
      </c>
    </row>
    <row r="960" spans="1:19" x14ac:dyDescent="0.3">
      <c r="A960" s="4">
        <v>958</v>
      </c>
      <c r="B960" s="2" t="s">
        <v>2263</v>
      </c>
      <c r="C960" s="3">
        <v>44862</v>
      </c>
      <c r="D960" s="3" t="str">
        <f>TEXT(Table1[[#This Row],[Admission Date]],"MMMM")</f>
        <v>October</v>
      </c>
      <c r="E960" s="3">
        <v>44862</v>
      </c>
      <c r="F960" s="3">
        <v>44862</v>
      </c>
      <c r="G960" s="2">
        <v>22028973</v>
      </c>
      <c r="H960" s="2">
        <v>2237847</v>
      </c>
      <c r="I960" s="2">
        <v>1001527101</v>
      </c>
      <c r="J960" s="2" t="s">
        <v>795</v>
      </c>
      <c r="K960" s="10">
        <v>1274</v>
      </c>
      <c r="L960" s="10">
        <v>0</v>
      </c>
      <c r="M960" s="10">
        <v>1274</v>
      </c>
      <c r="N960" s="10">
        <v>0</v>
      </c>
      <c r="O960" s="10">
        <f>Table1[[#This Row],[NET Amount]]-Table1[[#This Row],[Paid Amount]]</f>
        <v>1274</v>
      </c>
      <c r="P960" s="2" t="s">
        <v>23</v>
      </c>
      <c r="Q960" s="2" t="s">
        <v>54</v>
      </c>
      <c r="R960" s="16">
        <f>(Table1[[#This Row],[NET Amount]]-Table1[[#This Row],[Total Outstanding Amount]])/Table1[[#This Row],[NET Amount]]</f>
        <v>0</v>
      </c>
      <c r="S960" s="2" t="s">
        <v>97</v>
      </c>
    </row>
    <row r="961" spans="1:19" x14ac:dyDescent="0.3">
      <c r="A961" s="4">
        <v>959</v>
      </c>
      <c r="B961" s="2" t="s">
        <v>380</v>
      </c>
      <c r="C961" s="3">
        <v>44849</v>
      </c>
      <c r="D961" s="3" t="str">
        <f>TEXT(Table1[[#This Row],[Admission Date]],"MMMM")</f>
        <v>October</v>
      </c>
      <c r="E961" s="3">
        <v>44849</v>
      </c>
      <c r="F961" s="3">
        <v>44849</v>
      </c>
      <c r="G961" s="2">
        <v>22027273</v>
      </c>
      <c r="H961" s="2">
        <v>2236188</v>
      </c>
      <c r="I961" s="2">
        <v>10013453025</v>
      </c>
      <c r="J961" s="2" t="s">
        <v>435</v>
      </c>
      <c r="K961" s="10">
        <v>1274</v>
      </c>
      <c r="L961" s="10">
        <v>0</v>
      </c>
      <c r="M961" s="10">
        <v>1274</v>
      </c>
      <c r="N961" s="10">
        <v>0</v>
      </c>
      <c r="O961" s="10">
        <f>Table1[[#This Row],[NET Amount]]-Table1[[#This Row],[Paid Amount]]</f>
        <v>1274</v>
      </c>
      <c r="P961" s="2" t="s">
        <v>23</v>
      </c>
      <c r="Q961" s="2" t="s">
        <v>54</v>
      </c>
      <c r="R961" s="16">
        <f>(Table1[[#This Row],[NET Amount]]-Table1[[#This Row],[Total Outstanding Amount]])/Table1[[#This Row],[NET Amount]]</f>
        <v>0</v>
      </c>
      <c r="S961" s="2" t="s">
        <v>97</v>
      </c>
    </row>
    <row r="962" spans="1:19" x14ac:dyDescent="0.3">
      <c r="A962" s="4">
        <v>960</v>
      </c>
      <c r="B962" s="2" t="s">
        <v>2263</v>
      </c>
      <c r="C962" s="3">
        <v>44846</v>
      </c>
      <c r="D962" s="3" t="str">
        <f>TEXT(Table1[[#This Row],[Admission Date]],"MMMM")</f>
        <v>October</v>
      </c>
      <c r="E962" s="3">
        <v>44846</v>
      </c>
      <c r="F962" s="3">
        <v>44846</v>
      </c>
      <c r="G962" s="2">
        <v>22026770</v>
      </c>
      <c r="H962" s="2">
        <v>2235721</v>
      </c>
      <c r="I962" s="2">
        <v>1001684202</v>
      </c>
      <c r="J962" s="2" t="s">
        <v>446</v>
      </c>
      <c r="K962" s="10">
        <v>1274</v>
      </c>
      <c r="L962" s="10">
        <v>0</v>
      </c>
      <c r="M962" s="10">
        <v>1274</v>
      </c>
      <c r="N962" s="10">
        <v>0</v>
      </c>
      <c r="O962" s="10">
        <f>Table1[[#This Row],[NET Amount]]-Table1[[#This Row],[Paid Amount]]</f>
        <v>1274</v>
      </c>
      <c r="P962" s="2" t="s">
        <v>23</v>
      </c>
      <c r="Q962" s="2" t="s">
        <v>54</v>
      </c>
      <c r="R962" s="16">
        <f>(Table1[[#This Row],[NET Amount]]-Table1[[#This Row],[Total Outstanding Amount]])/Table1[[#This Row],[NET Amount]]</f>
        <v>0</v>
      </c>
      <c r="S962" s="2" t="s">
        <v>97</v>
      </c>
    </row>
    <row r="963" spans="1:19" x14ac:dyDescent="0.3">
      <c r="A963" s="4">
        <v>961</v>
      </c>
      <c r="B963" s="2" t="s">
        <v>2253</v>
      </c>
      <c r="C963" s="3">
        <v>44845</v>
      </c>
      <c r="D963" s="3" t="str">
        <f>TEXT(Table1[[#This Row],[Admission Date]],"MMMM")</f>
        <v>October</v>
      </c>
      <c r="E963" s="3">
        <v>44845</v>
      </c>
      <c r="F963" s="3">
        <v>44845</v>
      </c>
      <c r="G963" s="2">
        <v>22026499</v>
      </c>
      <c r="H963" s="2">
        <v>2235499</v>
      </c>
      <c r="I963" s="2">
        <v>1001626180</v>
      </c>
      <c r="J963" s="2" t="s">
        <v>389</v>
      </c>
      <c r="K963" s="10">
        <v>1610</v>
      </c>
      <c r="L963" s="10">
        <v>0</v>
      </c>
      <c r="M963" s="10">
        <v>1610</v>
      </c>
      <c r="N963" s="10">
        <v>0</v>
      </c>
      <c r="O963" s="10">
        <f>Table1[[#This Row],[NET Amount]]-Table1[[#This Row],[Paid Amount]]</f>
        <v>1610</v>
      </c>
      <c r="P963" s="2" t="s">
        <v>23</v>
      </c>
      <c r="Q963" s="2" t="s">
        <v>54</v>
      </c>
      <c r="R963" s="16">
        <f>(Table1[[#This Row],[NET Amount]]-Table1[[#This Row],[Total Outstanding Amount]])/Table1[[#This Row],[NET Amount]]</f>
        <v>0</v>
      </c>
      <c r="S963" s="2" t="s">
        <v>97</v>
      </c>
    </row>
    <row r="964" spans="1:19" x14ac:dyDescent="0.3">
      <c r="A964" s="4">
        <v>962</v>
      </c>
      <c r="B964" s="2" t="s">
        <v>2263</v>
      </c>
      <c r="C964" s="3">
        <v>44841</v>
      </c>
      <c r="D964" s="3" t="str">
        <f>TEXT(Table1[[#This Row],[Admission Date]],"MMMM")</f>
        <v>October</v>
      </c>
      <c r="E964" s="3">
        <v>44841</v>
      </c>
      <c r="F964" s="3">
        <v>44841</v>
      </c>
      <c r="G964" s="2">
        <v>22026033</v>
      </c>
      <c r="H964" s="2">
        <v>2235071</v>
      </c>
      <c r="I964" s="2">
        <v>1001699417</v>
      </c>
      <c r="J964" s="2" t="s">
        <v>472</v>
      </c>
      <c r="K964" s="10">
        <v>1274</v>
      </c>
      <c r="L964" s="10">
        <v>0</v>
      </c>
      <c r="M964" s="10">
        <v>1274</v>
      </c>
      <c r="N964" s="10">
        <v>0</v>
      </c>
      <c r="O964" s="10">
        <f>Table1[[#This Row],[NET Amount]]-Table1[[#This Row],[Paid Amount]]</f>
        <v>1274</v>
      </c>
      <c r="P964" s="2" t="s">
        <v>23</v>
      </c>
      <c r="Q964" s="2" t="s">
        <v>54</v>
      </c>
      <c r="R964" s="16">
        <f>(Table1[[#This Row],[NET Amount]]-Table1[[#This Row],[Total Outstanding Amount]])/Table1[[#This Row],[NET Amount]]</f>
        <v>0</v>
      </c>
      <c r="S964" s="2" t="s">
        <v>97</v>
      </c>
    </row>
    <row r="965" spans="1:19" x14ac:dyDescent="0.3">
      <c r="A965" s="4">
        <v>963</v>
      </c>
      <c r="B965" s="2" t="s">
        <v>155</v>
      </c>
      <c r="C965" s="3">
        <v>44854</v>
      </c>
      <c r="D965" s="3" t="str">
        <f>TEXT(Table1[[#This Row],[Admission Date]],"MMMM")</f>
        <v>October</v>
      </c>
      <c r="E965" s="3">
        <v>44854</v>
      </c>
      <c r="F965" s="3">
        <v>44854</v>
      </c>
      <c r="G965" s="2">
        <v>22027903</v>
      </c>
      <c r="H965" s="2">
        <v>2236784</v>
      </c>
      <c r="I965" s="2">
        <v>1000853411</v>
      </c>
      <c r="J965" s="2" t="s">
        <v>796</v>
      </c>
      <c r="K965" s="10">
        <v>1610</v>
      </c>
      <c r="L965" s="10">
        <v>0</v>
      </c>
      <c r="M965" s="10">
        <v>1610</v>
      </c>
      <c r="N965" s="10">
        <v>0</v>
      </c>
      <c r="O965" s="10">
        <f>Table1[[#This Row],[NET Amount]]-Table1[[#This Row],[Paid Amount]]</f>
        <v>1610</v>
      </c>
      <c r="P965" s="2" t="s">
        <v>23</v>
      </c>
      <c r="Q965" s="2" t="s">
        <v>54</v>
      </c>
      <c r="R965" s="16">
        <f>(Table1[[#This Row],[NET Amount]]-Table1[[#This Row],[Total Outstanding Amount]])/Table1[[#This Row],[NET Amount]]</f>
        <v>0</v>
      </c>
      <c r="S965" s="2" t="s">
        <v>97</v>
      </c>
    </row>
    <row r="966" spans="1:19" x14ac:dyDescent="0.3">
      <c r="A966" s="4">
        <v>964</v>
      </c>
      <c r="B966" s="2" t="s">
        <v>380</v>
      </c>
      <c r="C966" s="3">
        <v>44844</v>
      </c>
      <c r="D966" s="3" t="str">
        <f>TEXT(Table1[[#This Row],[Admission Date]],"MMMM")</f>
        <v>October</v>
      </c>
      <c r="E966" s="3">
        <v>44844</v>
      </c>
      <c r="F966" s="3">
        <v>44844</v>
      </c>
      <c r="G966" s="2">
        <v>22026486</v>
      </c>
      <c r="H966" s="2">
        <v>2235457</v>
      </c>
      <c r="I966" s="2">
        <v>1001004027</v>
      </c>
      <c r="J966" s="2" t="s">
        <v>454</v>
      </c>
      <c r="K966" s="10">
        <v>1274</v>
      </c>
      <c r="L966" s="10">
        <v>0</v>
      </c>
      <c r="M966" s="10">
        <v>1274</v>
      </c>
      <c r="N966" s="10">
        <v>0</v>
      </c>
      <c r="O966" s="10">
        <f>Table1[[#This Row],[NET Amount]]-Table1[[#This Row],[Paid Amount]]</f>
        <v>1274</v>
      </c>
      <c r="P966" s="2" t="s">
        <v>23</v>
      </c>
      <c r="Q966" s="2" t="s">
        <v>54</v>
      </c>
      <c r="R966" s="16">
        <f>(Table1[[#This Row],[NET Amount]]-Table1[[#This Row],[Total Outstanding Amount]])/Table1[[#This Row],[NET Amount]]</f>
        <v>0</v>
      </c>
      <c r="S966" s="2" t="s">
        <v>97</v>
      </c>
    </row>
    <row r="967" spans="1:19" x14ac:dyDescent="0.3">
      <c r="A967" s="4">
        <v>965</v>
      </c>
      <c r="B967" s="2" t="s">
        <v>380</v>
      </c>
      <c r="C967" s="3">
        <v>44861</v>
      </c>
      <c r="D967" s="3" t="str">
        <f>TEXT(Table1[[#This Row],[Admission Date]],"MMMM")</f>
        <v>October</v>
      </c>
      <c r="E967" s="3">
        <v>44861</v>
      </c>
      <c r="F967" s="3">
        <v>44861</v>
      </c>
      <c r="G967" s="2">
        <v>22028830</v>
      </c>
      <c r="H967" s="2">
        <v>2237699</v>
      </c>
      <c r="I967" s="2">
        <v>10013299539</v>
      </c>
      <c r="J967" s="2" t="s">
        <v>487</v>
      </c>
      <c r="K967" s="10">
        <v>1274</v>
      </c>
      <c r="L967" s="10">
        <v>0</v>
      </c>
      <c r="M967" s="10">
        <v>1274</v>
      </c>
      <c r="N967" s="10">
        <v>0</v>
      </c>
      <c r="O967" s="10">
        <f>Table1[[#This Row],[NET Amount]]-Table1[[#This Row],[Paid Amount]]</f>
        <v>1274</v>
      </c>
      <c r="P967" s="2" t="s">
        <v>23</v>
      </c>
      <c r="Q967" s="2" t="s">
        <v>54</v>
      </c>
      <c r="R967" s="16">
        <f>(Table1[[#This Row],[NET Amount]]-Table1[[#This Row],[Total Outstanding Amount]])/Table1[[#This Row],[NET Amount]]</f>
        <v>0</v>
      </c>
      <c r="S967" s="2" t="s">
        <v>97</v>
      </c>
    </row>
    <row r="968" spans="1:19" x14ac:dyDescent="0.3">
      <c r="A968" s="4">
        <v>966</v>
      </c>
      <c r="B968" s="2" t="s">
        <v>380</v>
      </c>
      <c r="C968" s="3">
        <v>44835</v>
      </c>
      <c r="D968" s="3" t="str">
        <f>TEXT(Table1[[#This Row],[Admission Date]],"MMMM")</f>
        <v>October</v>
      </c>
      <c r="E968" s="3">
        <v>44835</v>
      </c>
      <c r="F968" s="3">
        <v>44835</v>
      </c>
      <c r="G968" s="2">
        <v>22025247</v>
      </c>
      <c r="H968" s="2">
        <v>2234261</v>
      </c>
      <c r="I968" s="2">
        <v>1001761745</v>
      </c>
      <c r="J968" s="2" t="s">
        <v>455</v>
      </c>
      <c r="K968" s="10">
        <v>1274</v>
      </c>
      <c r="L968" s="10">
        <v>0</v>
      </c>
      <c r="M968" s="10">
        <v>1274</v>
      </c>
      <c r="N968" s="10">
        <v>0</v>
      </c>
      <c r="O968" s="10">
        <f>Table1[[#This Row],[NET Amount]]-Table1[[#This Row],[Paid Amount]]</f>
        <v>1274</v>
      </c>
      <c r="P968" s="2" t="s">
        <v>23</v>
      </c>
      <c r="Q968" s="2" t="s">
        <v>54</v>
      </c>
      <c r="R968" s="16">
        <f>(Table1[[#This Row],[NET Amount]]-Table1[[#This Row],[Total Outstanding Amount]])/Table1[[#This Row],[NET Amount]]</f>
        <v>0</v>
      </c>
      <c r="S968" s="2" t="s">
        <v>97</v>
      </c>
    </row>
    <row r="969" spans="1:19" x14ac:dyDescent="0.3">
      <c r="A969" s="4">
        <v>967</v>
      </c>
      <c r="B969" s="2" t="s">
        <v>126</v>
      </c>
      <c r="C969" s="3">
        <v>44841</v>
      </c>
      <c r="D969" s="3" t="str">
        <f>TEXT(Table1[[#This Row],[Admission Date]],"MMMM")</f>
        <v>October</v>
      </c>
      <c r="E969" s="3">
        <v>44844</v>
      </c>
      <c r="F969" s="3">
        <v>44844</v>
      </c>
      <c r="G969" s="2">
        <v>22026338</v>
      </c>
      <c r="H969" s="2">
        <v>2235018</v>
      </c>
      <c r="I969" s="2">
        <v>1001803063</v>
      </c>
      <c r="J969" s="2" t="s">
        <v>797</v>
      </c>
      <c r="K969" s="10">
        <v>76840</v>
      </c>
      <c r="L969" s="10">
        <v>10868</v>
      </c>
      <c r="M969" s="10">
        <v>65972</v>
      </c>
      <c r="N969" s="10">
        <v>0</v>
      </c>
      <c r="O969" s="10">
        <f>Table1[[#This Row],[NET Amount]]-Table1[[#This Row],[Paid Amount]]</f>
        <v>65972</v>
      </c>
      <c r="P969" s="2" t="s">
        <v>23</v>
      </c>
      <c r="Q969" s="2" t="s">
        <v>24</v>
      </c>
      <c r="R969" s="16">
        <f>(Table1[[#This Row],[NET Amount]]-Table1[[#This Row],[Total Outstanding Amount]])/Table1[[#This Row],[NET Amount]]</f>
        <v>0</v>
      </c>
      <c r="S969" s="2" t="s">
        <v>37</v>
      </c>
    </row>
    <row r="970" spans="1:19" x14ac:dyDescent="0.3">
      <c r="A970" s="4">
        <v>968</v>
      </c>
      <c r="B970" s="2" t="s">
        <v>75</v>
      </c>
      <c r="C970" s="3">
        <v>44851</v>
      </c>
      <c r="D970" s="3" t="str">
        <f>TEXT(Table1[[#This Row],[Admission Date]],"MMMM")</f>
        <v>October</v>
      </c>
      <c r="E970" s="3">
        <v>44851</v>
      </c>
      <c r="F970" s="3">
        <v>44851</v>
      </c>
      <c r="G970" s="2">
        <v>22027492</v>
      </c>
      <c r="H970" s="2">
        <v>2236380</v>
      </c>
      <c r="I970" s="2">
        <v>10013442733</v>
      </c>
      <c r="J970" s="2" t="s">
        <v>109</v>
      </c>
      <c r="K970" s="10">
        <v>1610</v>
      </c>
      <c r="L970" s="10">
        <v>0</v>
      </c>
      <c r="M970" s="10">
        <v>1610</v>
      </c>
      <c r="N970" s="10">
        <v>0</v>
      </c>
      <c r="O970" s="10">
        <f>Table1[[#This Row],[NET Amount]]-Table1[[#This Row],[Paid Amount]]</f>
        <v>1610</v>
      </c>
      <c r="P970" s="2" t="s">
        <v>23</v>
      </c>
      <c r="Q970" s="2" t="s">
        <v>54</v>
      </c>
      <c r="R970" s="16">
        <f>(Table1[[#This Row],[NET Amount]]-Table1[[#This Row],[Total Outstanding Amount]])/Table1[[#This Row],[NET Amount]]</f>
        <v>0</v>
      </c>
      <c r="S970" s="2" t="s">
        <v>97</v>
      </c>
    </row>
    <row r="971" spans="1:19" x14ac:dyDescent="0.3">
      <c r="A971" s="4">
        <v>969</v>
      </c>
      <c r="B971" s="2" t="s">
        <v>144</v>
      </c>
      <c r="C971" s="3">
        <v>44845</v>
      </c>
      <c r="D971" s="3" t="str">
        <f>TEXT(Table1[[#This Row],[Admission Date]],"MMMM")</f>
        <v>October</v>
      </c>
      <c r="E971" s="3">
        <v>44845</v>
      </c>
      <c r="F971" s="3">
        <v>44845</v>
      </c>
      <c r="G971" s="2">
        <v>22026569</v>
      </c>
      <c r="H971" s="2">
        <v>2235498</v>
      </c>
      <c r="I971" s="2">
        <v>1001183341</v>
      </c>
      <c r="J971" s="2" t="s">
        <v>485</v>
      </c>
      <c r="K971" s="10">
        <v>2200</v>
      </c>
      <c r="L971" s="10">
        <v>0</v>
      </c>
      <c r="M971" s="10">
        <v>2200</v>
      </c>
      <c r="N971" s="10">
        <v>0</v>
      </c>
      <c r="O971" s="10">
        <f>Table1[[#This Row],[NET Amount]]-Table1[[#This Row],[Paid Amount]]</f>
        <v>2200</v>
      </c>
      <c r="P971" s="2" t="s">
        <v>23</v>
      </c>
      <c r="Q971" s="2" t="s">
        <v>147</v>
      </c>
      <c r="R971" s="16">
        <f>(Table1[[#This Row],[NET Amount]]-Table1[[#This Row],[Total Outstanding Amount]])/Table1[[#This Row],[NET Amount]]</f>
        <v>0</v>
      </c>
      <c r="S971" s="2" t="s">
        <v>97</v>
      </c>
    </row>
    <row r="972" spans="1:19" x14ac:dyDescent="0.3">
      <c r="A972" s="4">
        <v>970</v>
      </c>
      <c r="B972" s="2" t="s">
        <v>2263</v>
      </c>
      <c r="C972" s="3">
        <v>44865</v>
      </c>
      <c r="D972" s="3" t="str">
        <f>TEXT(Table1[[#This Row],[Admission Date]],"MMMM")</f>
        <v>October</v>
      </c>
      <c r="E972" s="3">
        <v>44865</v>
      </c>
      <c r="F972" s="3">
        <v>44865</v>
      </c>
      <c r="G972" s="2">
        <v>22029370</v>
      </c>
      <c r="H972" s="2">
        <v>2238232</v>
      </c>
      <c r="I972" s="2">
        <v>1001657236</v>
      </c>
      <c r="J972" s="2" t="s">
        <v>798</v>
      </c>
      <c r="K972" s="10">
        <v>1274</v>
      </c>
      <c r="L972" s="10">
        <v>0</v>
      </c>
      <c r="M972" s="10">
        <v>1274</v>
      </c>
      <c r="N972" s="10">
        <v>0</v>
      </c>
      <c r="O972" s="10">
        <f>Table1[[#This Row],[NET Amount]]-Table1[[#This Row],[Paid Amount]]</f>
        <v>1274</v>
      </c>
      <c r="P972" s="2" t="s">
        <v>23</v>
      </c>
      <c r="Q972" s="2" t="s">
        <v>54</v>
      </c>
      <c r="R972" s="16">
        <f>(Table1[[#This Row],[NET Amount]]-Table1[[#This Row],[Total Outstanding Amount]])/Table1[[#This Row],[NET Amount]]</f>
        <v>0</v>
      </c>
      <c r="S972" s="2" t="s">
        <v>97</v>
      </c>
    </row>
    <row r="973" spans="1:19" x14ac:dyDescent="0.3">
      <c r="A973" s="4">
        <v>971</v>
      </c>
      <c r="B973" s="2" t="s">
        <v>50</v>
      </c>
      <c r="C973" s="3">
        <v>44859</v>
      </c>
      <c r="D973" s="3" t="str">
        <f>TEXT(Table1[[#This Row],[Admission Date]],"MMMM")</f>
        <v>October</v>
      </c>
      <c r="E973" s="3">
        <v>44859</v>
      </c>
      <c r="F973" s="3">
        <v>44859</v>
      </c>
      <c r="G973" s="2">
        <v>22028498</v>
      </c>
      <c r="H973" s="2">
        <v>2237313</v>
      </c>
      <c r="I973" s="2">
        <v>10013511637</v>
      </c>
      <c r="J973" s="2" t="s">
        <v>476</v>
      </c>
      <c r="K973" s="10">
        <v>2200</v>
      </c>
      <c r="L973" s="10">
        <v>0</v>
      </c>
      <c r="M973" s="10">
        <v>2200</v>
      </c>
      <c r="N973" s="10">
        <v>0</v>
      </c>
      <c r="O973" s="10">
        <f>Table1[[#This Row],[NET Amount]]-Table1[[#This Row],[Paid Amount]]</f>
        <v>2200</v>
      </c>
      <c r="P973" s="2" t="s">
        <v>23</v>
      </c>
      <c r="Q973" s="2" t="s">
        <v>147</v>
      </c>
      <c r="R973" s="16">
        <f>(Table1[[#This Row],[NET Amount]]-Table1[[#This Row],[Total Outstanding Amount]])/Table1[[#This Row],[NET Amount]]</f>
        <v>0</v>
      </c>
      <c r="S973" s="2" t="s">
        <v>97</v>
      </c>
    </row>
    <row r="974" spans="1:19" x14ac:dyDescent="0.3">
      <c r="A974" s="4">
        <v>972</v>
      </c>
      <c r="B974" s="2" t="s">
        <v>380</v>
      </c>
      <c r="C974" s="3">
        <v>44849</v>
      </c>
      <c r="D974" s="3" t="str">
        <f>TEXT(Table1[[#This Row],[Admission Date]],"MMMM")</f>
        <v>October</v>
      </c>
      <c r="E974" s="3">
        <v>44849</v>
      </c>
      <c r="F974" s="3">
        <v>44849</v>
      </c>
      <c r="G974" s="2">
        <v>22027269</v>
      </c>
      <c r="H974" s="2">
        <v>2236192</v>
      </c>
      <c r="I974" s="2">
        <v>10013370253</v>
      </c>
      <c r="J974" s="2" t="s">
        <v>488</v>
      </c>
      <c r="K974" s="10">
        <v>1274</v>
      </c>
      <c r="L974" s="10">
        <v>0</v>
      </c>
      <c r="M974" s="10">
        <v>1274</v>
      </c>
      <c r="N974" s="10">
        <v>0</v>
      </c>
      <c r="O974" s="10">
        <f>Table1[[#This Row],[NET Amount]]-Table1[[#This Row],[Paid Amount]]</f>
        <v>1274</v>
      </c>
      <c r="P974" s="2" t="s">
        <v>23</v>
      </c>
      <c r="Q974" s="2" t="s">
        <v>54</v>
      </c>
      <c r="R974" s="16">
        <f>(Table1[[#This Row],[NET Amount]]-Table1[[#This Row],[Total Outstanding Amount]])/Table1[[#This Row],[NET Amount]]</f>
        <v>0</v>
      </c>
      <c r="S974" s="2" t="s">
        <v>97</v>
      </c>
    </row>
    <row r="975" spans="1:19" x14ac:dyDescent="0.3">
      <c r="A975" s="4">
        <v>973</v>
      </c>
      <c r="B975" s="2" t="s">
        <v>380</v>
      </c>
      <c r="C975" s="3">
        <v>44861</v>
      </c>
      <c r="D975" s="3" t="str">
        <f>TEXT(Table1[[#This Row],[Admission Date]],"MMMM")</f>
        <v>October</v>
      </c>
      <c r="E975" s="3">
        <v>44861</v>
      </c>
      <c r="F975" s="3">
        <v>44861</v>
      </c>
      <c r="G975" s="2">
        <v>22028720</v>
      </c>
      <c r="H975" s="2">
        <v>2237613</v>
      </c>
      <c r="I975" s="2">
        <v>1000899251</v>
      </c>
      <c r="J975" s="2" t="s">
        <v>789</v>
      </c>
      <c r="K975" s="10">
        <v>1274</v>
      </c>
      <c r="L975" s="10">
        <v>0</v>
      </c>
      <c r="M975" s="10">
        <v>1274</v>
      </c>
      <c r="N975" s="10">
        <v>0</v>
      </c>
      <c r="O975" s="10">
        <f>Table1[[#This Row],[NET Amount]]-Table1[[#This Row],[Paid Amount]]</f>
        <v>1274</v>
      </c>
      <c r="P975" s="2" t="s">
        <v>23</v>
      </c>
      <c r="Q975" s="2" t="s">
        <v>54</v>
      </c>
      <c r="R975" s="16">
        <f>(Table1[[#This Row],[NET Amount]]-Table1[[#This Row],[Total Outstanding Amount]])/Table1[[#This Row],[NET Amount]]</f>
        <v>0</v>
      </c>
      <c r="S975" s="2" t="s">
        <v>97</v>
      </c>
    </row>
    <row r="976" spans="1:19" x14ac:dyDescent="0.3">
      <c r="A976" s="4">
        <v>974</v>
      </c>
      <c r="B976" s="2" t="s">
        <v>2263</v>
      </c>
      <c r="C976" s="3">
        <v>44837</v>
      </c>
      <c r="D976" s="3" t="str">
        <f>TEXT(Table1[[#This Row],[Admission Date]],"MMMM")</f>
        <v>October</v>
      </c>
      <c r="E976" s="3">
        <v>44837</v>
      </c>
      <c r="F976" s="3">
        <v>44837</v>
      </c>
      <c r="G976" s="2">
        <v>22025441</v>
      </c>
      <c r="H976" s="2">
        <v>2234446</v>
      </c>
      <c r="I976" s="2">
        <v>1001657236</v>
      </c>
      <c r="J976" s="2" t="s">
        <v>798</v>
      </c>
      <c r="K976" s="10">
        <v>1274</v>
      </c>
      <c r="L976" s="10">
        <v>0</v>
      </c>
      <c r="M976" s="10">
        <v>1274</v>
      </c>
      <c r="N976" s="10">
        <v>0</v>
      </c>
      <c r="O976" s="10">
        <f>Table1[[#This Row],[NET Amount]]-Table1[[#This Row],[Paid Amount]]</f>
        <v>1274</v>
      </c>
      <c r="P976" s="2" t="s">
        <v>23</v>
      </c>
      <c r="Q976" s="2" t="s">
        <v>54</v>
      </c>
      <c r="R976" s="16">
        <f>(Table1[[#This Row],[NET Amount]]-Table1[[#This Row],[Total Outstanding Amount]])/Table1[[#This Row],[NET Amount]]</f>
        <v>0</v>
      </c>
      <c r="S976" s="2" t="s">
        <v>97</v>
      </c>
    </row>
    <row r="977" spans="1:19" x14ac:dyDescent="0.3">
      <c r="A977" s="4">
        <v>975</v>
      </c>
      <c r="B977" s="2" t="s">
        <v>2263</v>
      </c>
      <c r="C977" s="3">
        <v>44858</v>
      </c>
      <c r="D977" s="3" t="str">
        <f>TEXT(Table1[[#This Row],[Admission Date]],"MMMM")</f>
        <v>October</v>
      </c>
      <c r="E977" s="3">
        <v>44858</v>
      </c>
      <c r="F977" s="3">
        <v>44858</v>
      </c>
      <c r="G977" s="2">
        <v>22028422</v>
      </c>
      <c r="H977" s="2">
        <v>2237216</v>
      </c>
      <c r="I977" s="2">
        <v>1001367923</v>
      </c>
      <c r="J977" s="2" t="s">
        <v>391</v>
      </c>
      <c r="K977" s="10">
        <v>1274</v>
      </c>
      <c r="L977" s="10">
        <v>0</v>
      </c>
      <c r="M977" s="10">
        <v>1274</v>
      </c>
      <c r="N977" s="10">
        <v>0</v>
      </c>
      <c r="O977" s="10">
        <f>Table1[[#This Row],[NET Amount]]-Table1[[#This Row],[Paid Amount]]</f>
        <v>1274</v>
      </c>
      <c r="P977" s="2" t="s">
        <v>23</v>
      </c>
      <c r="Q977" s="2" t="s">
        <v>54</v>
      </c>
      <c r="R977" s="16">
        <f>(Table1[[#This Row],[NET Amount]]-Table1[[#This Row],[Total Outstanding Amount]])/Table1[[#This Row],[NET Amount]]</f>
        <v>0</v>
      </c>
      <c r="S977" s="2" t="s">
        <v>97</v>
      </c>
    </row>
    <row r="978" spans="1:19" x14ac:dyDescent="0.3">
      <c r="A978" s="4">
        <v>976</v>
      </c>
      <c r="B978" s="2" t="s">
        <v>40</v>
      </c>
      <c r="C978" s="3">
        <v>44845</v>
      </c>
      <c r="D978" s="3" t="str">
        <f>TEXT(Table1[[#This Row],[Admission Date]],"MMMM")</f>
        <v>October</v>
      </c>
      <c r="E978" s="3">
        <v>44845</v>
      </c>
      <c r="F978" s="3">
        <v>44845</v>
      </c>
      <c r="G978" s="2">
        <v>22026556</v>
      </c>
      <c r="H978" s="2">
        <v>2235533</v>
      </c>
      <c r="I978" s="2">
        <v>10013436915</v>
      </c>
      <c r="J978" s="2" t="s">
        <v>773</v>
      </c>
      <c r="K978" s="10">
        <v>2200</v>
      </c>
      <c r="L978" s="10">
        <v>0</v>
      </c>
      <c r="M978" s="10">
        <v>2200</v>
      </c>
      <c r="N978" s="10">
        <v>0</v>
      </c>
      <c r="O978" s="10">
        <f>Table1[[#This Row],[NET Amount]]-Table1[[#This Row],[Paid Amount]]</f>
        <v>2200</v>
      </c>
      <c r="P978" s="2" t="s">
        <v>23</v>
      </c>
      <c r="Q978" s="2" t="s">
        <v>147</v>
      </c>
      <c r="R978" s="16">
        <f>(Table1[[#This Row],[NET Amount]]-Table1[[#This Row],[Total Outstanding Amount]])/Table1[[#This Row],[NET Amount]]</f>
        <v>0</v>
      </c>
      <c r="S978" s="2" t="s">
        <v>97</v>
      </c>
    </row>
    <row r="979" spans="1:19" x14ac:dyDescent="0.3">
      <c r="A979" s="4">
        <v>977</v>
      </c>
      <c r="B979" s="2" t="s">
        <v>380</v>
      </c>
      <c r="C979" s="3">
        <v>44854</v>
      </c>
      <c r="D979" s="3" t="str">
        <f>TEXT(Table1[[#This Row],[Admission Date]],"MMMM")</f>
        <v>October</v>
      </c>
      <c r="E979" s="3">
        <v>44854</v>
      </c>
      <c r="F979" s="3">
        <v>44854</v>
      </c>
      <c r="G979" s="2">
        <v>22027952</v>
      </c>
      <c r="H979" s="2">
        <v>2236836</v>
      </c>
      <c r="I979" s="2">
        <v>10013437822</v>
      </c>
      <c r="J979" s="2" t="s">
        <v>441</v>
      </c>
      <c r="K979" s="10">
        <v>1274</v>
      </c>
      <c r="L979" s="10">
        <v>0</v>
      </c>
      <c r="M979" s="10">
        <v>1274</v>
      </c>
      <c r="N979" s="10">
        <v>0</v>
      </c>
      <c r="O979" s="10">
        <f>Table1[[#This Row],[NET Amount]]-Table1[[#This Row],[Paid Amount]]</f>
        <v>1274</v>
      </c>
      <c r="P979" s="2" t="s">
        <v>23</v>
      </c>
      <c r="Q979" s="2" t="s">
        <v>54</v>
      </c>
      <c r="R979" s="16">
        <f>(Table1[[#This Row],[NET Amount]]-Table1[[#This Row],[Total Outstanding Amount]])/Table1[[#This Row],[NET Amount]]</f>
        <v>0</v>
      </c>
      <c r="S979" s="2" t="s">
        <v>97</v>
      </c>
    </row>
    <row r="980" spans="1:19" x14ac:dyDescent="0.3">
      <c r="A980" s="4">
        <v>978</v>
      </c>
      <c r="B980" s="2" t="s">
        <v>2258</v>
      </c>
      <c r="C980" s="3">
        <v>44854</v>
      </c>
      <c r="D980" s="3" t="str">
        <f>TEXT(Table1[[#This Row],[Admission Date]],"MMMM")</f>
        <v>October</v>
      </c>
      <c r="E980" s="3">
        <v>44854</v>
      </c>
      <c r="F980" s="3">
        <v>44854</v>
      </c>
      <c r="G980" s="2">
        <v>22027816</v>
      </c>
      <c r="H980" s="2">
        <v>2236733</v>
      </c>
      <c r="I980" s="2">
        <v>1001781083</v>
      </c>
      <c r="J980" s="2" t="s">
        <v>777</v>
      </c>
      <c r="K980" s="10">
        <v>1610</v>
      </c>
      <c r="L980" s="10">
        <v>0</v>
      </c>
      <c r="M980" s="10">
        <v>1610</v>
      </c>
      <c r="N980" s="10">
        <v>0</v>
      </c>
      <c r="O980" s="10">
        <f>Table1[[#This Row],[NET Amount]]-Table1[[#This Row],[Paid Amount]]</f>
        <v>1610</v>
      </c>
      <c r="P980" s="2" t="s">
        <v>23</v>
      </c>
      <c r="Q980" s="2" t="s">
        <v>54</v>
      </c>
      <c r="R980" s="16">
        <f>(Table1[[#This Row],[NET Amount]]-Table1[[#This Row],[Total Outstanding Amount]])/Table1[[#This Row],[NET Amount]]</f>
        <v>0</v>
      </c>
      <c r="S980" s="2" t="s">
        <v>97</v>
      </c>
    </row>
    <row r="981" spans="1:19" x14ac:dyDescent="0.3">
      <c r="A981" s="4">
        <v>979</v>
      </c>
      <c r="B981" s="2" t="s">
        <v>75</v>
      </c>
      <c r="C981" s="3">
        <v>44861</v>
      </c>
      <c r="D981" s="3" t="str">
        <f>TEXT(Table1[[#This Row],[Admission Date]],"MMMM")</f>
        <v>October</v>
      </c>
      <c r="E981" s="3">
        <v>44861</v>
      </c>
      <c r="F981" s="3">
        <v>44861</v>
      </c>
      <c r="G981" s="2">
        <v>22028832</v>
      </c>
      <c r="H981" s="2">
        <v>2237702</v>
      </c>
      <c r="I981" s="2">
        <v>10013442733</v>
      </c>
      <c r="J981" s="2" t="s">
        <v>109</v>
      </c>
      <c r="K981" s="10">
        <v>1610</v>
      </c>
      <c r="L981" s="10">
        <v>0</v>
      </c>
      <c r="M981" s="10">
        <v>1610</v>
      </c>
      <c r="N981" s="10">
        <v>0</v>
      </c>
      <c r="O981" s="10">
        <f>Table1[[#This Row],[NET Amount]]-Table1[[#This Row],[Paid Amount]]</f>
        <v>1610</v>
      </c>
      <c r="P981" s="2" t="s">
        <v>23</v>
      </c>
      <c r="Q981" s="2" t="s">
        <v>54</v>
      </c>
      <c r="R981" s="16">
        <f>(Table1[[#This Row],[NET Amount]]-Table1[[#This Row],[Total Outstanding Amount]])/Table1[[#This Row],[NET Amount]]</f>
        <v>0</v>
      </c>
      <c r="S981" s="2" t="s">
        <v>97</v>
      </c>
    </row>
    <row r="982" spans="1:19" x14ac:dyDescent="0.3">
      <c r="A982" s="4">
        <v>980</v>
      </c>
      <c r="B982" s="2" t="s">
        <v>380</v>
      </c>
      <c r="C982" s="3">
        <v>44835</v>
      </c>
      <c r="D982" s="3" t="str">
        <f>TEXT(Table1[[#This Row],[Admission Date]],"MMMM")</f>
        <v>October</v>
      </c>
      <c r="E982" s="3">
        <v>44835</v>
      </c>
      <c r="F982" s="3">
        <v>44835</v>
      </c>
      <c r="G982" s="2">
        <v>22025198</v>
      </c>
      <c r="H982" s="2">
        <v>2234226</v>
      </c>
      <c r="I982" s="2">
        <v>1000933464</v>
      </c>
      <c r="J982" s="2" t="s">
        <v>437</v>
      </c>
      <c r="K982" s="10">
        <v>1274</v>
      </c>
      <c r="L982" s="10">
        <v>0</v>
      </c>
      <c r="M982" s="10">
        <v>1274</v>
      </c>
      <c r="N982" s="10">
        <v>0</v>
      </c>
      <c r="O982" s="10">
        <f>Table1[[#This Row],[NET Amount]]-Table1[[#This Row],[Paid Amount]]</f>
        <v>1274</v>
      </c>
      <c r="P982" s="2" t="s">
        <v>23</v>
      </c>
      <c r="Q982" s="2" t="s">
        <v>54</v>
      </c>
      <c r="R982" s="16">
        <f>(Table1[[#This Row],[NET Amount]]-Table1[[#This Row],[Total Outstanding Amount]])/Table1[[#This Row],[NET Amount]]</f>
        <v>0</v>
      </c>
      <c r="S982" s="2" t="s">
        <v>97</v>
      </c>
    </row>
    <row r="983" spans="1:19" x14ac:dyDescent="0.3">
      <c r="A983" s="4">
        <v>981</v>
      </c>
      <c r="B983" s="2" t="s">
        <v>2263</v>
      </c>
      <c r="C983" s="3">
        <v>44851</v>
      </c>
      <c r="D983" s="3" t="str">
        <f>TEXT(Table1[[#This Row],[Admission Date]],"MMMM")</f>
        <v>October</v>
      </c>
      <c r="E983" s="3">
        <v>44851</v>
      </c>
      <c r="F983" s="3">
        <v>44851</v>
      </c>
      <c r="G983" s="2">
        <v>22027373</v>
      </c>
      <c r="H983" s="2">
        <v>2236304</v>
      </c>
      <c r="I983" s="2">
        <v>1001680001</v>
      </c>
      <c r="J983" s="2" t="s">
        <v>394</v>
      </c>
      <c r="K983" s="10">
        <v>1274</v>
      </c>
      <c r="L983" s="10">
        <v>0</v>
      </c>
      <c r="M983" s="10">
        <v>1274</v>
      </c>
      <c r="N983" s="10">
        <v>0</v>
      </c>
      <c r="O983" s="10">
        <f>Table1[[#This Row],[NET Amount]]-Table1[[#This Row],[Paid Amount]]</f>
        <v>1274</v>
      </c>
      <c r="P983" s="2" t="s">
        <v>23</v>
      </c>
      <c r="Q983" s="2" t="s">
        <v>54</v>
      </c>
      <c r="R983" s="16">
        <f>(Table1[[#This Row],[NET Amount]]-Table1[[#This Row],[Total Outstanding Amount]])/Table1[[#This Row],[NET Amount]]</f>
        <v>0</v>
      </c>
      <c r="S983" s="2" t="s">
        <v>97</v>
      </c>
    </row>
    <row r="984" spans="1:19" x14ac:dyDescent="0.3">
      <c r="A984" s="4">
        <v>982</v>
      </c>
      <c r="B984" s="2" t="s">
        <v>380</v>
      </c>
      <c r="C984" s="3">
        <v>44839</v>
      </c>
      <c r="D984" s="3" t="str">
        <f>TEXT(Table1[[#This Row],[Admission Date]],"MMMM")</f>
        <v>October</v>
      </c>
      <c r="E984" s="3">
        <v>44839</v>
      </c>
      <c r="F984" s="3">
        <v>44839</v>
      </c>
      <c r="G984" s="2">
        <v>22025774</v>
      </c>
      <c r="H984" s="2">
        <v>2234758</v>
      </c>
      <c r="I984" s="2">
        <v>10013385641</v>
      </c>
      <c r="J984" s="2" t="s">
        <v>799</v>
      </c>
      <c r="K984" s="10">
        <v>1274</v>
      </c>
      <c r="L984" s="10">
        <v>0</v>
      </c>
      <c r="M984" s="10">
        <v>1274</v>
      </c>
      <c r="N984" s="10">
        <v>0</v>
      </c>
      <c r="O984" s="10">
        <f>Table1[[#This Row],[NET Amount]]-Table1[[#This Row],[Paid Amount]]</f>
        <v>1274</v>
      </c>
      <c r="P984" s="2" t="s">
        <v>23</v>
      </c>
      <c r="Q984" s="2" t="s">
        <v>54</v>
      </c>
      <c r="R984" s="16">
        <f>(Table1[[#This Row],[NET Amount]]-Table1[[#This Row],[Total Outstanding Amount]])/Table1[[#This Row],[NET Amount]]</f>
        <v>0</v>
      </c>
      <c r="S984" s="2" t="s">
        <v>97</v>
      </c>
    </row>
    <row r="985" spans="1:19" x14ac:dyDescent="0.3">
      <c r="A985" s="4">
        <v>983</v>
      </c>
      <c r="B985" s="2" t="s">
        <v>2253</v>
      </c>
      <c r="C985" s="3">
        <v>44844</v>
      </c>
      <c r="D985" s="3" t="str">
        <f>TEXT(Table1[[#This Row],[Admission Date]],"MMMM")</f>
        <v>October</v>
      </c>
      <c r="E985" s="3">
        <v>44844</v>
      </c>
      <c r="F985" s="3">
        <v>44844</v>
      </c>
      <c r="G985" s="2">
        <v>22026430</v>
      </c>
      <c r="H985" s="2">
        <v>2235394</v>
      </c>
      <c r="I985" s="2">
        <v>1001692673</v>
      </c>
      <c r="J985" s="2" t="s">
        <v>383</v>
      </c>
      <c r="K985" s="10">
        <v>1610</v>
      </c>
      <c r="L985" s="10">
        <v>0</v>
      </c>
      <c r="M985" s="10">
        <v>1610</v>
      </c>
      <c r="N985" s="10">
        <v>0</v>
      </c>
      <c r="O985" s="10">
        <f>Table1[[#This Row],[NET Amount]]-Table1[[#This Row],[Paid Amount]]</f>
        <v>1610</v>
      </c>
      <c r="P985" s="2" t="s">
        <v>23</v>
      </c>
      <c r="Q985" s="2" t="s">
        <v>54</v>
      </c>
      <c r="R985" s="16">
        <f>(Table1[[#This Row],[NET Amount]]-Table1[[#This Row],[Total Outstanding Amount]])/Table1[[#This Row],[NET Amount]]</f>
        <v>0</v>
      </c>
      <c r="S985" s="2" t="s">
        <v>97</v>
      </c>
    </row>
    <row r="986" spans="1:19" x14ac:dyDescent="0.3">
      <c r="A986" s="4">
        <v>984</v>
      </c>
      <c r="B986" s="2" t="s">
        <v>800</v>
      </c>
      <c r="C986" s="3">
        <v>44855</v>
      </c>
      <c r="D986" s="3" t="str">
        <f>TEXT(Table1[[#This Row],[Admission Date]],"MMMM")</f>
        <v>October</v>
      </c>
      <c r="E986" s="3">
        <v>44862</v>
      </c>
      <c r="F986" s="3">
        <v>44862</v>
      </c>
      <c r="G986" s="2">
        <v>22028962</v>
      </c>
      <c r="H986" s="2">
        <v>2236854</v>
      </c>
      <c r="I986" s="2">
        <v>1001107137</v>
      </c>
      <c r="J986" s="2" t="s">
        <v>801</v>
      </c>
      <c r="K986" s="10">
        <v>51728</v>
      </c>
      <c r="L986" s="10">
        <v>0</v>
      </c>
      <c r="M986" s="10">
        <v>51728</v>
      </c>
      <c r="N986" s="10">
        <v>0</v>
      </c>
      <c r="O986" s="10">
        <f>Table1[[#This Row],[NET Amount]]-Table1[[#This Row],[Paid Amount]]</f>
        <v>51728</v>
      </c>
      <c r="P986" s="2" t="s">
        <v>23</v>
      </c>
      <c r="Q986" s="2" t="s">
        <v>24</v>
      </c>
      <c r="R986" s="16">
        <f>(Table1[[#This Row],[NET Amount]]-Table1[[#This Row],[Total Outstanding Amount]])/Table1[[#This Row],[NET Amount]]</f>
        <v>0</v>
      </c>
      <c r="S986" s="2" t="s">
        <v>77</v>
      </c>
    </row>
    <row r="987" spans="1:19" x14ac:dyDescent="0.3">
      <c r="A987" s="4">
        <v>985</v>
      </c>
      <c r="B987" s="2" t="s">
        <v>2254</v>
      </c>
      <c r="C987" s="3">
        <v>44860</v>
      </c>
      <c r="D987" s="3" t="str">
        <f>TEXT(Table1[[#This Row],[Admission Date]],"MMMM")</f>
        <v>October</v>
      </c>
      <c r="E987" s="3">
        <v>44861</v>
      </c>
      <c r="F987" s="3">
        <v>44861</v>
      </c>
      <c r="G987" s="2">
        <v>22028804</v>
      </c>
      <c r="H987" s="2">
        <v>2237477</v>
      </c>
      <c r="I987" s="2">
        <v>1001806290</v>
      </c>
      <c r="J987" s="2" t="s">
        <v>216</v>
      </c>
      <c r="K987" s="10">
        <v>37879</v>
      </c>
      <c r="L987" s="10">
        <v>3163</v>
      </c>
      <c r="M987" s="10">
        <v>34715</v>
      </c>
      <c r="N987" s="10">
        <v>0</v>
      </c>
      <c r="O987" s="10">
        <f>Table1[[#This Row],[NET Amount]]-Table1[[#This Row],[Paid Amount]]</f>
        <v>34715</v>
      </c>
      <c r="P987" s="2" t="s">
        <v>23</v>
      </c>
      <c r="Q987" s="2" t="s">
        <v>30</v>
      </c>
      <c r="R987" s="16">
        <f>(Table1[[#This Row],[NET Amount]]-Table1[[#This Row],[Total Outstanding Amount]])/Table1[[#This Row],[NET Amount]]</f>
        <v>0</v>
      </c>
      <c r="S987" s="2" t="s">
        <v>77</v>
      </c>
    </row>
    <row r="988" spans="1:19" x14ac:dyDescent="0.3">
      <c r="A988" s="4">
        <v>986</v>
      </c>
      <c r="B988" s="2" t="s">
        <v>2263</v>
      </c>
      <c r="C988" s="3">
        <v>44865</v>
      </c>
      <c r="D988" s="3" t="str">
        <f>TEXT(Table1[[#This Row],[Admission Date]],"MMMM")</f>
        <v>October</v>
      </c>
      <c r="E988" s="3">
        <v>44865</v>
      </c>
      <c r="F988" s="3">
        <v>44865</v>
      </c>
      <c r="G988" s="2">
        <v>22029245</v>
      </c>
      <c r="H988" s="2">
        <v>2238130</v>
      </c>
      <c r="I988" s="2">
        <v>1001647517</v>
      </c>
      <c r="J988" s="2" t="s">
        <v>802</v>
      </c>
      <c r="K988" s="10">
        <v>1274</v>
      </c>
      <c r="L988" s="10">
        <v>0</v>
      </c>
      <c r="M988" s="10">
        <v>1274</v>
      </c>
      <c r="N988" s="10">
        <v>0</v>
      </c>
      <c r="O988" s="10">
        <f>Table1[[#This Row],[NET Amount]]-Table1[[#This Row],[Paid Amount]]</f>
        <v>1274</v>
      </c>
      <c r="P988" s="2" t="s">
        <v>23</v>
      </c>
      <c r="Q988" s="2" t="s">
        <v>54</v>
      </c>
      <c r="R988" s="16">
        <f>(Table1[[#This Row],[NET Amount]]-Table1[[#This Row],[Total Outstanding Amount]])/Table1[[#This Row],[NET Amount]]</f>
        <v>0</v>
      </c>
      <c r="S988" s="2" t="s">
        <v>97</v>
      </c>
    </row>
    <row r="989" spans="1:19" x14ac:dyDescent="0.3">
      <c r="A989" s="4">
        <v>987</v>
      </c>
      <c r="B989" s="2" t="s">
        <v>152</v>
      </c>
      <c r="C989" s="3">
        <v>44845</v>
      </c>
      <c r="D989" s="3" t="str">
        <f>TEXT(Table1[[#This Row],[Admission Date]],"MMMM")</f>
        <v>October</v>
      </c>
      <c r="E989" s="3">
        <v>44845</v>
      </c>
      <c r="F989" s="3">
        <v>44845</v>
      </c>
      <c r="G989" s="2">
        <v>22026602</v>
      </c>
      <c r="H989" s="2">
        <v>2235515</v>
      </c>
      <c r="I989" s="2">
        <v>10013465058</v>
      </c>
      <c r="J989" s="2" t="s">
        <v>2272</v>
      </c>
      <c r="K989" s="10">
        <v>3105</v>
      </c>
      <c r="L989" s="10">
        <v>0</v>
      </c>
      <c r="M989" s="10">
        <v>3105</v>
      </c>
      <c r="N989" s="10">
        <v>0</v>
      </c>
      <c r="O989" s="10">
        <f>Table1[[#This Row],[NET Amount]]-Table1[[#This Row],[Paid Amount]]</f>
        <v>3105</v>
      </c>
      <c r="P989" s="2" t="s">
        <v>23</v>
      </c>
      <c r="Q989" s="2" t="s">
        <v>24</v>
      </c>
      <c r="R989" s="16">
        <f>(Table1[[#This Row],[NET Amount]]-Table1[[#This Row],[Total Outstanding Amount]])/Table1[[#This Row],[NET Amount]]</f>
        <v>0</v>
      </c>
      <c r="S989" s="2" t="s">
        <v>768</v>
      </c>
    </row>
    <row r="990" spans="1:19" x14ac:dyDescent="0.3">
      <c r="A990" s="4">
        <v>988</v>
      </c>
      <c r="B990" s="2" t="s">
        <v>2253</v>
      </c>
      <c r="C990" s="3">
        <v>44863</v>
      </c>
      <c r="D990" s="3" t="str">
        <f>TEXT(Table1[[#This Row],[Admission Date]],"MMMM")</f>
        <v>October</v>
      </c>
      <c r="E990" s="3">
        <v>44863</v>
      </c>
      <c r="F990" s="3">
        <v>44863</v>
      </c>
      <c r="G990" s="2">
        <v>22029153</v>
      </c>
      <c r="H990" s="2">
        <v>2238009</v>
      </c>
      <c r="I990" s="2">
        <v>1001722362</v>
      </c>
      <c r="J990" s="2" t="s">
        <v>418</v>
      </c>
      <c r="K990" s="10">
        <v>1610</v>
      </c>
      <c r="L990" s="10">
        <v>0</v>
      </c>
      <c r="M990" s="10">
        <v>1610</v>
      </c>
      <c r="N990" s="10">
        <v>0</v>
      </c>
      <c r="O990" s="10">
        <f>Table1[[#This Row],[NET Amount]]-Table1[[#This Row],[Paid Amount]]</f>
        <v>1610</v>
      </c>
      <c r="P990" s="2" t="s">
        <v>23</v>
      </c>
      <c r="Q990" s="2" t="s">
        <v>54</v>
      </c>
      <c r="R990" s="16">
        <f>(Table1[[#This Row],[NET Amount]]-Table1[[#This Row],[Total Outstanding Amount]])/Table1[[#This Row],[NET Amount]]</f>
        <v>0</v>
      </c>
      <c r="S990" s="2" t="s">
        <v>97</v>
      </c>
    </row>
    <row r="991" spans="1:19" x14ac:dyDescent="0.3">
      <c r="A991" s="4">
        <v>989</v>
      </c>
      <c r="B991" s="2" t="s">
        <v>2253</v>
      </c>
      <c r="C991" s="3">
        <v>44863</v>
      </c>
      <c r="D991" s="3" t="str">
        <f>TEXT(Table1[[#This Row],[Admission Date]],"MMMM")</f>
        <v>October</v>
      </c>
      <c r="E991" s="3">
        <v>44863</v>
      </c>
      <c r="F991" s="3">
        <v>44863</v>
      </c>
      <c r="G991" s="2">
        <v>22029011</v>
      </c>
      <c r="H991" s="2">
        <v>2237936</v>
      </c>
      <c r="I991" s="2">
        <v>1001626180</v>
      </c>
      <c r="J991" s="2" t="s">
        <v>389</v>
      </c>
      <c r="K991" s="10">
        <v>1610</v>
      </c>
      <c r="L991" s="10">
        <v>0</v>
      </c>
      <c r="M991" s="10">
        <v>1610</v>
      </c>
      <c r="N991" s="10">
        <v>0</v>
      </c>
      <c r="O991" s="10">
        <f>Table1[[#This Row],[NET Amount]]-Table1[[#This Row],[Paid Amount]]</f>
        <v>1610</v>
      </c>
      <c r="P991" s="2" t="s">
        <v>23</v>
      </c>
      <c r="Q991" s="2" t="s">
        <v>54</v>
      </c>
      <c r="R991" s="16">
        <f>(Table1[[#This Row],[NET Amount]]-Table1[[#This Row],[Total Outstanding Amount]])/Table1[[#This Row],[NET Amount]]</f>
        <v>0</v>
      </c>
      <c r="S991" s="2" t="s">
        <v>97</v>
      </c>
    </row>
    <row r="992" spans="1:19" x14ac:dyDescent="0.3">
      <c r="A992" s="4">
        <v>990</v>
      </c>
      <c r="B992" s="2" t="s">
        <v>168</v>
      </c>
      <c r="C992" s="3">
        <v>44847</v>
      </c>
      <c r="D992" s="3" t="str">
        <f>TEXT(Table1[[#This Row],[Admission Date]],"MMMM")</f>
        <v>October</v>
      </c>
      <c r="E992" s="3">
        <v>44847</v>
      </c>
      <c r="F992" s="3">
        <v>44847</v>
      </c>
      <c r="G992" s="2">
        <v>22026896</v>
      </c>
      <c r="H992" s="2">
        <v>2235832</v>
      </c>
      <c r="I992" s="2">
        <v>10013359873</v>
      </c>
      <c r="J992" s="2" t="s">
        <v>774</v>
      </c>
      <c r="K992" s="10">
        <v>2200</v>
      </c>
      <c r="L992" s="10">
        <v>0</v>
      </c>
      <c r="M992" s="10">
        <v>2200</v>
      </c>
      <c r="N992" s="10">
        <v>0</v>
      </c>
      <c r="O992" s="10">
        <f>Table1[[#This Row],[NET Amount]]-Table1[[#This Row],[Paid Amount]]</f>
        <v>2200</v>
      </c>
      <c r="P992" s="2" t="s">
        <v>23</v>
      </c>
      <c r="Q992" s="2" t="s">
        <v>147</v>
      </c>
      <c r="R992" s="16">
        <f>(Table1[[#This Row],[NET Amount]]-Table1[[#This Row],[Total Outstanding Amount]])/Table1[[#This Row],[NET Amount]]</f>
        <v>0</v>
      </c>
      <c r="S992" s="2" t="s">
        <v>97</v>
      </c>
    </row>
    <row r="993" spans="1:19" x14ac:dyDescent="0.3">
      <c r="A993" s="4">
        <v>991</v>
      </c>
      <c r="B993" s="2" t="s">
        <v>149</v>
      </c>
      <c r="C993" s="3">
        <v>44838</v>
      </c>
      <c r="D993" s="3" t="str">
        <f>TEXT(Table1[[#This Row],[Admission Date]],"MMMM")</f>
        <v>October</v>
      </c>
      <c r="E993" s="3">
        <v>44842</v>
      </c>
      <c r="F993" s="3">
        <v>44842</v>
      </c>
      <c r="G993" s="2">
        <v>22026109</v>
      </c>
      <c r="H993" s="2">
        <v>2234633</v>
      </c>
      <c r="I993" s="2">
        <v>10013391778</v>
      </c>
      <c r="J993" s="2" t="s">
        <v>803</v>
      </c>
      <c r="K993" s="10">
        <v>78693</v>
      </c>
      <c r="L993" s="10">
        <v>0</v>
      </c>
      <c r="M993" s="10">
        <v>78693</v>
      </c>
      <c r="N993" s="10">
        <v>0</v>
      </c>
      <c r="O993" s="10">
        <f>Table1[[#This Row],[NET Amount]]-Table1[[#This Row],[Paid Amount]]</f>
        <v>78693</v>
      </c>
      <c r="P993" s="2" t="s">
        <v>23</v>
      </c>
      <c r="Q993" s="2" t="s">
        <v>30</v>
      </c>
      <c r="R993" s="16">
        <f>(Table1[[#This Row],[NET Amount]]-Table1[[#This Row],[Total Outstanding Amount]])/Table1[[#This Row],[NET Amount]]</f>
        <v>0</v>
      </c>
      <c r="S993" s="2" t="s">
        <v>20</v>
      </c>
    </row>
    <row r="994" spans="1:19" x14ac:dyDescent="0.3">
      <c r="A994" s="4">
        <v>992</v>
      </c>
      <c r="B994" s="2" t="s">
        <v>2253</v>
      </c>
      <c r="C994" s="3">
        <v>44865</v>
      </c>
      <c r="D994" s="3" t="str">
        <f>TEXT(Table1[[#This Row],[Admission Date]],"MMMM")</f>
        <v>October</v>
      </c>
      <c r="E994" s="3">
        <v>44865</v>
      </c>
      <c r="F994" s="3">
        <v>44865</v>
      </c>
      <c r="G994" s="2">
        <v>22029355</v>
      </c>
      <c r="H994" s="2">
        <v>2238217</v>
      </c>
      <c r="I994" s="2">
        <v>1001692673</v>
      </c>
      <c r="J994" s="2" t="s">
        <v>383</v>
      </c>
      <c r="K994" s="10">
        <v>1610</v>
      </c>
      <c r="L994" s="10">
        <v>0</v>
      </c>
      <c r="M994" s="10">
        <v>1610</v>
      </c>
      <c r="N994" s="10">
        <v>0</v>
      </c>
      <c r="O994" s="10">
        <f>Table1[[#This Row],[NET Amount]]-Table1[[#This Row],[Paid Amount]]</f>
        <v>1610</v>
      </c>
      <c r="P994" s="2" t="s">
        <v>23</v>
      </c>
      <c r="Q994" s="2" t="s">
        <v>54</v>
      </c>
      <c r="R994" s="16">
        <f>(Table1[[#This Row],[NET Amount]]-Table1[[#This Row],[Total Outstanding Amount]])/Table1[[#This Row],[NET Amount]]</f>
        <v>0</v>
      </c>
      <c r="S994" s="2" t="s">
        <v>97</v>
      </c>
    </row>
    <row r="995" spans="1:19" x14ac:dyDescent="0.3">
      <c r="A995" s="4">
        <v>993</v>
      </c>
      <c r="B995" s="2" t="s">
        <v>380</v>
      </c>
      <c r="C995" s="3">
        <v>44842</v>
      </c>
      <c r="D995" s="3" t="str">
        <f>TEXT(Table1[[#This Row],[Admission Date]],"MMMM")</f>
        <v>October</v>
      </c>
      <c r="E995" s="3">
        <v>44842</v>
      </c>
      <c r="F995" s="3">
        <v>44842</v>
      </c>
      <c r="G995" s="2">
        <v>22026216</v>
      </c>
      <c r="H995" s="2">
        <v>2235208</v>
      </c>
      <c r="I995" s="2">
        <v>1001761745</v>
      </c>
      <c r="J995" s="2" t="s">
        <v>455</v>
      </c>
      <c r="K995" s="10">
        <v>1274</v>
      </c>
      <c r="L995" s="10">
        <v>0</v>
      </c>
      <c r="M995" s="10">
        <v>1274</v>
      </c>
      <c r="N995" s="10">
        <v>0</v>
      </c>
      <c r="O995" s="10">
        <f>Table1[[#This Row],[NET Amount]]-Table1[[#This Row],[Paid Amount]]</f>
        <v>1274</v>
      </c>
      <c r="P995" s="2" t="s">
        <v>23</v>
      </c>
      <c r="Q995" s="2" t="s">
        <v>54</v>
      </c>
      <c r="R995" s="16">
        <f>(Table1[[#This Row],[NET Amount]]-Table1[[#This Row],[Total Outstanding Amount]])/Table1[[#This Row],[NET Amount]]</f>
        <v>0</v>
      </c>
      <c r="S995" s="2" t="s">
        <v>97</v>
      </c>
    </row>
    <row r="996" spans="1:19" x14ac:dyDescent="0.3">
      <c r="A996" s="4">
        <v>994</v>
      </c>
      <c r="B996" s="2" t="s">
        <v>804</v>
      </c>
      <c r="C996" s="3">
        <v>44842</v>
      </c>
      <c r="D996" s="3" t="str">
        <f>TEXT(Table1[[#This Row],[Admission Date]],"MMMM")</f>
        <v>October</v>
      </c>
      <c r="E996" s="3">
        <v>44846</v>
      </c>
      <c r="F996" s="3">
        <v>44846</v>
      </c>
      <c r="G996" s="2">
        <v>22026758</v>
      </c>
      <c r="H996" s="2">
        <v>2235226</v>
      </c>
      <c r="I996" s="2">
        <v>1001155936</v>
      </c>
      <c r="J996" s="2" t="s">
        <v>805</v>
      </c>
      <c r="K996" s="10">
        <v>44580</v>
      </c>
      <c r="L996" s="10">
        <v>0</v>
      </c>
      <c r="M996" s="10">
        <v>44580</v>
      </c>
      <c r="N996" s="10">
        <v>0</v>
      </c>
      <c r="O996" s="10">
        <f>Table1[[#This Row],[NET Amount]]-Table1[[#This Row],[Paid Amount]]</f>
        <v>44580</v>
      </c>
      <c r="P996" s="2" t="s">
        <v>23</v>
      </c>
      <c r="Q996" s="2" t="s">
        <v>30</v>
      </c>
      <c r="R996" s="16">
        <f>(Table1[[#This Row],[NET Amount]]-Table1[[#This Row],[Total Outstanding Amount]])/Table1[[#This Row],[NET Amount]]</f>
        <v>0</v>
      </c>
      <c r="S996" s="2" t="s">
        <v>20</v>
      </c>
    </row>
    <row r="997" spans="1:19" x14ac:dyDescent="0.3">
      <c r="A997" s="4">
        <v>995</v>
      </c>
      <c r="B997" s="2" t="s">
        <v>178</v>
      </c>
      <c r="C997" s="3">
        <v>44853</v>
      </c>
      <c r="D997" s="3" t="str">
        <f>TEXT(Table1[[#This Row],[Admission Date]],"MMMM")</f>
        <v>October</v>
      </c>
      <c r="E997" s="3">
        <v>44853</v>
      </c>
      <c r="F997" s="3">
        <v>44853</v>
      </c>
      <c r="G997" s="2">
        <v>22027785</v>
      </c>
      <c r="H997" s="2">
        <v>2236670</v>
      </c>
      <c r="I997" s="2">
        <v>10013519562</v>
      </c>
      <c r="J997" s="2" t="s">
        <v>479</v>
      </c>
      <c r="K997" s="10">
        <v>2200</v>
      </c>
      <c r="L997" s="10">
        <v>0</v>
      </c>
      <c r="M997" s="10">
        <v>2200</v>
      </c>
      <c r="N997" s="10">
        <v>0</v>
      </c>
      <c r="O997" s="10">
        <f>Table1[[#This Row],[NET Amount]]-Table1[[#This Row],[Paid Amount]]</f>
        <v>2200</v>
      </c>
      <c r="P997" s="2" t="s">
        <v>23</v>
      </c>
      <c r="Q997" s="2" t="s">
        <v>147</v>
      </c>
      <c r="R997" s="16">
        <f>(Table1[[#This Row],[NET Amount]]-Table1[[#This Row],[Total Outstanding Amount]])/Table1[[#This Row],[NET Amount]]</f>
        <v>0</v>
      </c>
      <c r="S997" s="2" t="s">
        <v>97</v>
      </c>
    </row>
    <row r="998" spans="1:19" x14ac:dyDescent="0.3">
      <c r="A998" s="4">
        <v>996</v>
      </c>
      <c r="B998" s="2" t="s">
        <v>152</v>
      </c>
      <c r="C998" s="3">
        <v>44807</v>
      </c>
      <c r="D998" s="3" t="str">
        <f>TEXT(Table1[[#This Row],[Admission Date]],"MMMM")</f>
        <v>September</v>
      </c>
      <c r="E998" s="3">
        <v>44854</v>
      </c>
      <c r="F998" s="3">
        <v>44854</v>
      </c>
      <c r="G998" s="2">
        <v>22027917</v>
      </c>
      <c r="H998" s="2">
        <v>2230477</v>
      </c>
      <c r="I998" s="2">
        <v>10013457169</v>
      </c>
      <c r="J998" s="2" t="s">
        <v>806</v>
      </c>
      <c r="K998" s="10">
        <v>660311</v>
      </c>
      <c r="L998" s="10">
        <v>0</v>
      </c>
      <c r="M998" s="10">
        <v>660311</v>
      </c>
      <c r="N998" s="10">
        <v>0</v>
      </c>
      <c r="O998" s="10">
        <f>Table1[[#This Row],[NET Amount]]-Table1[[#This Row],[Paid Amount]]</f>
        <v>660311</v>
      </c>
      <c r="P998" s="2" t="s">
        <v>23</v>
      </c>
      <c r="Q998" s="2" t="s">
        <v>24</v>
      </c>
      <c r="R998" s="16">
        <f>(Table1[[#This Row],[NET Amount]]-Table1[[#This Row],[Total Outstanding Amount]])/Table1[[#This Row],[NET Amount]]</f>
        <v>0</v>
      </c>
      <c r="S998" s="2" t="s">
        <v>20</v>
      </c>
    </row>
    <row r="999" spans="1:19" x14ac:dyDescent="0.3">
      <c r="A999" s="4">
        <v>997</v>
      </c>
      <c r="B999" s="2" t="s">
        <v>380</v>
      </c>
      <c r="C999" s="3">
        <v>44841</v>
      </c>
      <c r="D999" s="3" t="str">
        <f>TEXT(Table1[[#This Row],[Admission Date]],"MMMM")</f>
        <v>October</v>
      </c>
      <c r="E999" s="3">
        <v>44841</v>
      </c>
      <c r="F999" s="3">
        <v>44841</v>
      </c>
      <c r="G999" s="2">
        <v>22026032</v>
      </c>
      <c r="H999" s="2">
        <v>2235055</v>
      </c>
      <c r="I999" s="2">
        <v>10013371134</v>
      </c>
      <c r="J999" s="2" t="s">
        <v>412</v>
      </c>
      <c r="K999" s="10">
        <v>1274</v>
      </c>
      <c r="L999" s="10">
        <v>0</v>
      </c>
      <c r="M999" s="10">
        <v>1274</v>
      </c>
      <c r="N999" s="10">
        <v>0</v>
      </c>
      <c r="O999" s="10">
        <f>Table1[[#This Row],[NET Amount]]-Table1[[#This Row],[Paid Amount]]</f>
        <v>1274</v>
      </c>
      <c r="P999" s="2" t="s">
        <v>23</v>
      </c>
      <c r="Q999" s="2" t="s">
        <v>54</v>
      </c>
      <c r="R999" s="16">
        <f>(Table1[[#This Row],[NET Amount]]-Table1[[#This Row],[Total Outstanding Amount]])/Table1[[#This Row],[NET Amount]]</f>
        <v>0</v>
      </c>
      <c r="S999" s="2" t="s">
        <v>97</v>
      </c>
    </row>
    <row r="1000" spans="1:19" x14ac:dyDescent="0.3">
      <c r="A1000" s="4">
        <v>998</v>
      </c>
      <c r="B1000" s="2" t="s">
        <v>2263</v>
      </c>
      <c r="C1000" s="3">
        <v>44837</v>
      </c>
      <c r="D1000" s="3" t="str">
        <f>TEXT(Table1[[#This Row],[Admission Date]],"MMMM")</f>
        <v>October</v>
      </c>
      <c r="E1000" s="3">
        <v>44837</v>
      </c>
      <c r="F1000" s="3">
        <v>44837</v>
      </c>
      <c r="G1000" s="2">
        <v>22025446</v>
      </c>
      <c r="H1000" s="2">
        <v>2234452</v>
      </c>
      <c r="I1000" s="2">
        <v>1001699417</v>
      </c>
      <c r="J1000" s="2" t="s">
        <v>472</v>
      </c>
      <c r="K1000" s="10">
        <v>1274</v>
      </c>
      <c r="L1000" s="10">
        <v>0</v>
      </c>
      <c r="M1000" s="10">
        <v>1274</v>
      </c>
      <c r="N1000" s="10">
        <v>0</v>
      </c>
      <c r="O1000" s="10">
        <f>Table1[[#This Row],[NET Amount]]-Table1[[#This Row],[Paid Amount]]</f>
        <v>1274</v>
      </c>
      <c r="P1000" s="2" t="s">
        <v>23</v>
      </c>
      <c r="Q1000" s="2" t="s">
        <v>54</v>
      </c>
      <c r="R1000" s="16">
        <f>(Table1[[#This Row],[NET Amount]]-Table1[[#This Row],[Total Outstanding Amount]])/Table1[[#This Row],[NET Amount]]</f>
        <v>0</v>
      </c>
      <c r="S1000" s="2" t="s">
        <v>97</v>
      </c>
    </row>
    <row r="1001" spans="1:19" x14ac:dyDescent="0.3">
      <c r="A1001" s="4">
        <v>999</v>
      </c>
      <c r="B1001" s="2" t="s">
        <v>25</v>
      </c>
      <c r="C1001" s="3">
        <v>44856</v>
      </c>
      <c r="D1001" s="3" t="str">
        <f>TEXT(Table1[[#This Row],[Admission Date]],"MMMM")</f>
        <v>October</v>
      </c>
      <c r="E1001" s="3">
        <v>44860</v>
      </c>
      <c r="F1001" s="3">
        <v>44860</v>
      </c>
      <c r="G1001" s="2">
        <v>22028605</v>
      </c>
      <c r="H1001" s="2">
        <v>2237049</v>
      </c>
      <c r="I1001" s="2">
        <v>10013544156</v>
      </c>
      <c r="J1001" s="2" t="s">
        <v>807</v>
      </c>
      <c r="K1001" s="10">
        <v>84663</v>
      </c>
      <c r="L1001" s="10">
        <v>8788</v>
      </c>
      <c r="M1001" s="10">
        <v>75875</v>
      </c>
      <c r="N1001" s="10">
        <v>0</v>
      </c>
      <c r="O1001" s="10">
        <f>Table1[[#This Row],[NET Amount]]-Table1[[#This Row],[Paid Amount]]</f>
        <v>75875</v>
      </c>
      <c r="P1001" s="2" t="s">
        <v>23</v>
      </c>
      <c r="Q1001" s="2" t="s">
        <v>19</v>
      </c>
      <c r="R1001" s="16">
        <f>(Table1[[#This Row],[NET Amount]]-Table1[[#This Row],[Total Outstanding Amount]])/Table1[[#This Row],[NET Amount]]</f>
        <v>0</v>
      </c>
      <c r="S1001" s="2" t="s">
        <v>20</v>
      </c>
    </row>
    <row r="1002" spans="1:19" x14ac:dyDescent="0.3">
      <c r="A1002" s="4">
        <v>1000</v>
      </c>
      <c r="B1002" s="2" t="s">
        <v>380</v>
      </c>
      <c r="C1002" s="3">
        <v>44849</v>
      </c>
      <c r="D1002" s="3" t="str">
        <f>TEXT(Table1[[#This Row],[Admission Date]],"MMMM")</f>
        <v>October</v>
      </c>
      <c r="E1002" s="3">
        <v>44849</v>
      </c>
      <c r="F1002" s="3">
        <v>44849</v>
      </c>
      <c r="G1002" s="2">
        <v>22027271</v>
      </c>
      <c r="H1002" s="2">
        <v>2236190</v>
      </c>
      <c r="I1002" s="2">
        <v>10013451090</v>
      </c>
      <c r="J1002" s="2" t="s">
        <v>808</v>
      </c>
      <c r="K1002" s="10">
        <v>1274</v>
      </c>
      <c r="L1002" s="10">
        <v>0</v>
      </c>
      <c r="M1002" s="10">
        <v>1274</v>
      </c>
      <c r="N1002" s="10">
        <v>0</v>
      </c>
      <c r="O1002" s="10">
        <f>Table1[[#This Row],[NET Amount]]-Table1[[#This Row],[Paid Amount]]</f>
        <v>1274</v>
      </c>
      <c r="P1002" s="2" t="s">
        <v>23</v>
      </c>
      <c r="Q1002" s="2" t="s">
        <v>54</v>
      </c>
      <c r="R1002" s="16">
        <f>(Table1[[#This Row],[NET Amount]]-Table1[[#This Row],[Total Outstanding Amount]])/Table1[[#This Row],[NET Amount]]</f>
        <v>0</v>
      </c>
      <c r="S1002" s="2" t="s">
        <v>97</v>
      </c>
    </row>
    <row r="1003" spans="1:19" x14ac:dyDescent="0.3">
      <c r="A1003" s="4">
        <v>1001</v>
      </c>
      <c r="B1003" s="2" t="s">
        <v>139</v>
      </c>
      <c r="C1003" s="3">
        <v>44860</v>
      </c>
      <c r="D1003" s="3" t="str">
        <f>TEXT(Table1[[#This Row],[Admission Date]],"MMMM")</f>
        <v>October</v>
      </c>
      <c r="E1003" s="3">
        <v>44860</v>
      </c>
      <c r="F1003" s="3">
        <v>44860</v>
      </c>
      <c r="G1003" s="2">
        <v>22028632</v>
      </c>
      <c r="H1003" s="2">
        <v>2237494</v>
      </c>
      <c r="I1003" s="2">
        <v>1000947591</v>
      </c>
      <c r="J1003" s="2" t="s">
        <v>146</v>
      </c>
      <c r="K1003" s="10">
        <v>2200</v>
      </c>
      <c r="L1003" s="10">
        <v>0</v>
      </c>
      <c r="M1003" s="10">
        <v>2200</v>
      </c>
      <c r="N1003" s="10">
        <v>0</v>
      </c>
      <c r="O1003" s="10">
        <f>Table1[[#This Row],[NET Amount]]-Table1[[#This Row],[Paid Amount]]</f>
        <v>2200</v>
      </c>
      <c r="P1003" s="2" t="s">
        <v>23</v>
      </c>
      <c r="Q1003" s="2" t="s">
        <v>147</v>
      </c>
      <c r="R1003" s="16">
        <f>(Table1[[#This Row],[NET Amount]]-Table1[[#This Row],[Total Outstanding Amount]])/Table1[[#This Row],[NET Amount]]</f>
        <v>0</v>
      </c>
      <c r="S1003" s="2" t="s">
        <v>97</v>
      </c>
    </row>
    <row r="1004" spans="1:19" x14ac:dyDescent="0.3">
      <c r="A1004" s="4">
        <v>1002</v>
      </c>
      <c r="B1004" s="2" t="s">
        <v>2264</v>
      </c>
      <c r="C1004" s="3">
        <v>44839</v>
      </c>
      <c r="D1004" s="3" t="str">
        <f>TEXT(Table1[[#This Row],[Admission Date]],"MMMM")</f>
        <v>October</v>
      </c>
      <c r="E1004" s="3">
        <v>44839</v>
      </c>
      <c r="F1004" s="3">
        <v>44839</v>
      </c>
      <c r="G1004" s="2">
        <v>22025763</v>
      </c>
      <c r="H1004" s="2">
        <v>2234770</v>
      </c>
      <c r="I1004" s="2">
        <v>1001445916</v>
      </c>
      <c r="J1004" s="2" t="s">
        <v>445</v>
      </c>
      <c r="K1004" s="10">
        <v>2000</v>
      </c>
      <c r="L1004" s="10">
        <v>0</v>
      </c>
      <c r="M1004" s="10">
        <v>2000</v>
      </c>
      <c r="N1004" s="10">
        <v>0</v>
      </c>
      <c r="O1004" s="10">
        <f>Table1[[#This Row],[NET Amount]]-Table1[[#This Row],[Paid Amount]]</f>
        <v>2000</v>
      </c>
      <c r="P1004" s="2" t="s">
        <v>23</v>
      </c>
      <c r="Q1004" s="2" t="s">
        <v>147</v>
      </c>
      <c r="R1004" s="16">
        <f>(Table1[[#This Row],[NET Amount]]-Table1[[#This Row],[Total Outstanding Amount]])/Table1[[#This Row],[NET Amount]]</f>
        <v>0</v>
      </c>
      <c r="S1004" s="2" t="s">
        <v>97</v>
      </c>
    </row>
    <row r="1005" spans="1:19" x14ac:dyDescent="0.3">
      <c r="A1005" s="4">
        <v>1003</v>
      </c>
      <c r="B1005" s="2" t="s">
        <v>2263</v>
      </c>
      <c r="C1005" s="3">
        <v>44842</v>
      </c>
      <c r="D1005" s="3" t="str">
        <f>TEXT(Table1[[#This Row],[Admission Date]],"MMMM")</f>
        <v>October</v>
      </c>
      <c r="E1005" s="3">
        <v>44842</v>
      </c>
      <c r="F1005" s="3">
        <v>44842</v>
      </c>
      <c r="G1005" s="2">
        <v>22026071</v>
      </c>
      <c r="H1005" s="2">
        <v>2235129</v>
      </c>
      <c r="I1005" s="2">
        <v>1001666089</v>
      </c>
      <c r="J1005" s="2" t="s">
        <v>809</v>
      </c>
      <c r="K1005" s="10">
        <v>1274</v>
      </c>
      <c r="L1005" s="10">
        <v>0</v>
      </c>
      <c r="M1005" s="10">
        <v>1274</v>
      </c>
      <c r="N1005" s="10">
        <v>0</v>
      </c>
      <c r="O1005" s="10">
        <f>Table1[[#This Row],[NET Amount]]-Table1[[#This Row],[Paid Amount]]</f>
        <v>1274</v>
      </c>
      <c r="P1005" s="2" t="s">
        <v>23</v>
      </c>
      <c r="Q1005" s="2" t="s">
        <v>54</v>
      </c>
      <c r="R1005" s="16">
        <f>(Table1[[#This Row],[NET Amount]]-Table1[[#This Row],[Total Outstanding Amount]])/Table1[[#This Row],[NET Amount]]</f>
        <v>0</v>
      </c>
      <c r="S1005" s="2" t="s">
        <v>97</v>
      </c>
    </row>
    <row r="1006" spans="1:19" x14ac:dyDescent="0.3">
      <c r="A1006" s="4">
        <v>1004</v>
      </c>
      <c r="B1006" s="2" t="s">
        <v>380</v>
      </c>
      <c r="C1006" s="3">
        <v>44846</v>
      </c>
      <c r="D1006" s="3" t="str">
        <f>TEXT(Table1[[#This Row],[Admission Date]],"MMMM")</f>
        <v>October</v>
      </c>
      <c r="E1006" s="3">
        <v>44846</v>
      </c>
      <c r="F1006" s="3">
        <v>44846</v>
      </c>
      <c r="G1006" s="2">
        <v>22026784</v>
      </c>
      <c r="H1006" s="2">
        <v>2235740</v>
      </c>
      <c r="I1006" s="2">
        <v>1001542371</v>
      </c>
      <c r="J1006" s="2" t="s">
        <v>385</v>
      </c>
      <c r="K1006" s="10">
        <v>1274</v>
      </c>
      <c r="L1006" s="10">
        <v>0</v>
      </c>
      <c r="M1006" s="10">
        <v>1274</v>
      </c>
      <c r="N1006" s="10">
        <v>0</v>
      </c>
      <c r="O1006" s="10">
        <f>Table1[[#This Row],[NET Amount]]-Table1[[#This Row],[Paid Amount]]</f>
        <v>1274</v>
      </c>
      <c r="P1006" s="2" t="s">
        <v>23</v>
      </c>
      <c r="Q1006" s="2" t="s">
        <v>54</v>
      </c>
      <c r="R1006" s="16">
        <f>(Table1[[#This Row],[NET Amount]]-Table1[[#This Row],[Total Outstanding Amount]])/Table1[[#This Row],[NET Amount]]</f>
        <v>0</v>
      </c>
      <c r="S1006" s="2" t="s">
        <v>97</v>
      </c>
    </row>
    <row r="1007" spans="1:19" x14ac:dyDescent="0.3">
      <c r="A1007" s="4">
        <v>1005</v>
      </c>
      <c r="B1007" s="2" t="s">
        <v>380</v>
      </c>
      <c r="C1007" s="3">
        <v>44856</v>
      </c>
      <c r="D1007" s="3" t="str">
        <f>TEXT(Table1[[#This Row],[Admission Date]],"MMMM")</f>
        <v>October</v>
      </c>
      <c r="E1007" s="3">
        <v>44856</v>
      </c>
      <c r="F1007" s="3">
        <v>44856</v>
      </c>
      <c r="G1007" s="2">
        <v>22028281</v>
      </c>
      <c r="H1007" s="2">
        <v>2237059</v>
      </c>
      <c r="I1007" s="2">
        <v>10013241267</v>
      </c>
      <c r="J1007" s="2" t="s">
        <v>480</v>
      </c>
      <c r="K1007" s="10">
        <v>1274</v>
      </c>
      <c r="L1007" s="10">
        <v>0</v>
      </c>
      <c r="M1007" s="10">
        <v>1274</v>
      </c>
      <c r="N1007" s="10">
        <v>0</v>
      </c>
      <c r="O1007" s="10">
        <f>Table1[[#This Row],[NET Amount]]-Table1[[#This Row],[Paid Amount]]</f>
        <v>1274</v>
      </c>
      <c r="P1007" s="2" t="s">
        <v>23</v>
      </c>
      <c r="Q1007" s="2" t="s">
        <v>54</v>
      </c>
      <c r="R1007" s="16">
        <f>(Table1[[#This Row],[NET Amount]]-Table1[[#This Row],[Total Outstanding Amount]])/Table1[[#This Row],[NET Amount]]</f>
        <v>0</v>
      </c>
      <c r="S1007" s="2" t="s">
        <v>97</v>
      </c>
    </row>
    <row r="1008" spans="1:19" x14ac:dyDescent="0.3">
      <c r="A1008" s="4">
        <v>1006</v>
      </c>
      <c r="B1008" s="2" t="s">
        <v>2253</v>
      </c>
      <c r="C1008" s="3">
        <v>44846</v>
      </c>
      <c r="D1008" s="3" t="str">
        <f>TEXT(Table1[[#This Row],[Admission Date]],"MMMM")</f>
        <v>October</v>
      </c>
      <c r="E1008" s="3">
        <v>44846</v>
      </c>
      <c r="F1008" s="3">
        <v>44846</v>
      </c>
      <c r="G1008" s="2">
        <v>22026659</v>
      </c>
      <c r="H1008" s="2">
        <v>2235658</v>
      </c>
      <c r="I1008" s="2">
        <v>1001749543</v>
      </c>
      <c r="J1008" s="2" t="s">
        <v>810</v>
      </c>
      <c r="K1008" s="10">
        <v>1610</v>
      </c>
      <c r="L1008" s="10">
        <v>0</v>
      </c>
      <c r="M1008" s="10">
        <v>1610</v>
      </c>
      <c r="N1008" s="10">
        <v>0</v>
      </c>
      <c r="O1008" s="10">
        <f>Table1[[#This Row],[NET Amount]]-Table1[[#This Row],[Paid Amount]]</f>
        <v>1610</v>
      </c>
      <c r="P1008" s="2" t="s">
        <v>23</v>
      </c>
      <c r="Q1008" s="2" t="s">
        <v>54</v>
      </c>
      <c r="R1008" s="16">
        <f>(Table1[[#This Row],[NET Amount]]-Table1[[#This Row],[Total Outstanding Amount]])/Table1[[#This Row],[NET Amount]]</f>
        <v>0</v>
      </c>
      <c r="S1008" s="2" t="s">
        <v>97</v>
      </c>
    </row>
    <row r="1009" spans="1:19" x14ac:dyDescent="0.3">
      <c r="A1009" s="4">
        <v>1007</v>
      </c>
      <c r="B1009" s="2" t="s">
        <v>2263</v>
      </c>
      <c r="C1009" s="3">
        <v>44859</v>
      </c>
      <c r="D1009" s="3" t="str">
        <f>TEXT(Table1[[#This Row],[Admission Date]],"MMMM")</f>
        <v>October</v>
      </c>
      <c r="E1009" s="3">
        <v>44859</v>
      </c>
      <c r="F1009" s="3">
        <v>44859</v>
      </c>
      <c r="G1009" s="2">
        <v>22028543</v>
      </c>
      <c r="H1009" s="2">
        <v>2237382</v>
      </c>
      <c r="I1009" s="2">
        <v>1001648223</v>
      </c>
      <c r="J1009" s="2" t="s">
        <v>458</v>
      </c>
      <c r="K1009" s="10">
        <v>1274</v>
      </c>
      <c r="L1009" s="10">
        <v>0</v>
      </c>
      <c r="M1009" s="10">
        <v>1274</v>
      </c>
      <c r="N1009" s="10">
        <v>0</v>
      </c>
      <c r="O1009" s="10">
        <f>Table1[[#This Row],[NET Amount]]-Table1[[#This Row],[Paid Amount]]</f>
        <v>1274</v>
      </c>
      <c r="P1009" s="2" t="s">
        <v>23</v>
      </c>
      <c r="Q1009" s="2" t="s">
        <v>54</v>
      </c>
      <c r="R1009" s="16">
        <f>(Table1[[#This Row],[NET Amount]]-Table1[[#This Row],[Total Outstanding Amount]])/Table1[[#This Row],[NET Amount]]</f>
        <v>0</v>
      </c>
      <c r="S1009" s="2" t="s">
        <v>97</v>
      </c>
    </row>
    <row r="1010" spans="1:19" x14ac:dyDescent="0.3">
      <c r="A1010" s="4">
        <v>1008</v>
      </c>
      <c r="B1010" s="2" t="s">
        <v>2264</v>
      </c>
      <c r="C1010" s="3">
        <v>44860</v>
      </c>
      <c r="D1010" s="3" t="str">
        <f>TEXT(Table1[[#This Row],[Admission Date]],"MMMM")</f>
        <v>October</v>
      </c>
      <c r="E1010" s="3">
        <v>44860</v>
      </c>
      <c r="F1010" s="3">
        <v>44860</v>
      </c>
      <c r="G1010" s="2">
        <v>22028676</v>
      </c>
      <c r="H1010" s="2">
        <v>2237542</v>
      </c>
      <c r="I1010" s="2">
        <v>1001445916</v>
      </c>
      <c r="J1010" s="2" t="s">
        <v>445</v>
      </c>
      <c r="K1010" s="10">
        <v>2000</v>
      </c>
      <c r="L1010" s="10">
        <v>0</v>
      </c>
      <c r="M1010" s="10">
        <v>2000</v>
      </c>
      <c r="N1010" s="10">
        <v>0</v>
      </c>
      <c r="O1010" s="10">
        <f>Table1[[#This Row],[NET Amount]]-Table1[[#This Row],[Paid Amount]]</f>
        <v>2000</v>
      </c>
      <c r="P1010" s="2" t="s">
        <v>23</v>
      </c>
      <c r="Q1010" s="2" t="s">
        <v>54</v>
      </c>
      <c r="R1010" s="16">
        <f>(Table1[[#This Row],[NET Amount]]-Table1[[#This Row],[Total Outstanding Amount]])/Table1[[#This Row],[NET Amount]]</f>
        <v>0</v>
      </c>
      <c r="S1010" s="2" t="s">
        <v>97</v>
      </c>
    </row>
    <row r="1011" spans="1:19" x14ac:dyDescent="0.3">
      <c r="A1011" s="4">
        <v>1009</v>
      </c>
      <c r="B1011" s="2" t="s">
        <v>380</v>
      </c>
      <c r="C1011" s="3">
        <v>44835</v>
      </c>
      <c r="D1011" s="3" t="str">
        <f>TEXT(Table1[[#This Row],[Admission Date]],"MMMM")</f>
        <v>October</v>
      </c>
      <c r="E1011" s="3">
        <v>44835</v>
      </c>
      <c r="F1011" s="3">
        <v>44835</v>
      </c>
      <c r="G1011" s="2">
        <v>22025260</v>
      </c>
      <c r="H1011" s="2">
        <v>2234274</v>
      </c>
      <c r="I1011" s="2">
        <v>10013507516</v>
      </c>
      <c r="J1011" s="2" t="s">
        <v>481</v>
      </c>
      <c r="K1011" s="10">
        <v>1274</v>
      </c>
      <c r="L1011" s="10">
        <v>0</v>
      </c>
      <c r="M1011" s="10">
        <v>1274</v>
      </c>
      <c r="N1011" s="10">
        <v>0</v>
      </c>
      <c r="O1011" s="10">
        <f>Table1[[#This Row],[NET Amount]]-Table1[[#This Row],[Paid Amount]]</f>
        <v>1274</v>
      </c>
      <c r="P1011" s="2" t="s">
        <v>23</v>
      </c>
      <c r="Q1011" s="2" t="s">
        <v>54</v>
      </c>
      <c r="R1011" s="16">
        <f>(Table1[[#This Row],[NET Amount]]-Table1[[#This Row],[Total Outstanding Amount]])/Table1[[#This Row],[NET Amount]]</f>
        <v>0</v>
      </c>
      <c r="S1011" s="2" t="s">
        <v>97</v>
      </c>
    </row>
    <row r="1012" spans="1:19" x14ac:dyDescent="0.3">
      <c r="A1012" s="4">
        <v>1010</v>
      </c>
      <c r="B1012" s="2" t="s">
        <v>2258</v>
      </c>
      <c r="C1012" s="3">
        <v>44831</v>
      </c>
      <c r="D1012" s="3" t="str">
        <f>TEXT(Table1[[#This Row],[Admission Date]],"MMMM")</f>
        <v>September</v>
      </c>
      <c r="E1012" s="3">
        <v>44838</v>
      </c>
      <c r="F1012" s="3">
        <v>44838</v>
      </c>
      <c r="G1012" s="2">
        <v>22025497</v>
      </c>
      <c r="H1012" s="2">
        <v>2233658</v>
      </c>
      <c r="I1012" s="2">
        <v>1001801105</v>
      </c>
      <c r="J1012" s="2" t="s">
        <v>283</v>
      </c>
      <c r="K1012" s="10">
        <v>29956</v>
      </c>
      <c r="L1012" s="10">
        <v>0</v>
      </c>
      <c r="M1012" s="10">
        <v>29956</v>
      </c>
      <c r="N1012" s="10">
        <v>0</v>
      </c>
      <c r="O1012" s="10">
        <f>Table1[[#This Row],[NET Amount]]-Table1[[#This Row],[Paid Amount]]</f>
        <v>29956</v>
      </c>
      <c r="P1012" s="2" t="s">
        <v>23</v>
      </c>
      <c r="Q1012" s="2" t="s">
        <v>19</v>
      </c>
      <c r="R1012" s="16">
        <f>(Table1[[#This Row],[NET Amount]]-Table1[[#This Row],[Total Outstanding Amount]])/Table1[[#This Row],[NET Amount]]</f>
        <v>0</v>
      </c>
      <c r="S1012" s="2" t="s">
        <v>20</v>
      </c>
    </row>
    <row r="1013" spans="1:19" x14ac:dyDescent="0.3">
      <c r="A1013" s="4">
        <v>1011</v>
      </c>
      <c r="B1013" s="2" t="s">
        <v>50</v>
      </c>
      <c r="C1013" s="3">
        <v>44865</v>
      </c>
      <c r="D1013" s="3" t="str">
        <f>TEXT(Table1[[#This Row],[Admission Date]],"MMMM")</f>
        <v>October</v>
      </c>
      <c r="E1013" s="3">
        <v>44865</v>
      </c>
      <c r="F1013" s="3">
        <v>44865</v>
      </c>
      <c r="G1013" s="2">
        <v>22029363</v>
      </c>
      <c r="H1013" s="2">
        <v>2238161</v>
      </c>
      <c r="I1013" s="2">
        <v>1000937952</v>
      </c>
      <c r="J1013" s="2" t="s">
        <v>811</v>
      </c>
      <c r="K1013" s="10">
        <v>38875</v>
      </c>
      <c r="L1013" s="10">
        <v>0</v>
      </c>
      <c r="M1013" s="10">
        <v>38875</v>
      </c>
      <c r="N1013" s="10">
        <v>0</v>
      </c>
      <c r="O1013" s="10">
        <f>Table1[[#This Row],[NET Amount]]-Table1[[#This Row],[Paid Amount]]</f>
        <v>38875</v>
      </c>
      <c r="P1013" s="2" t="s">
        <v>23</v>
      </c>
      <c r="Q1013" s="2" t="s">
        <v>147</v>
      </c>
      <c r="R1013" s="16">
        <f>(Table1[[#This Row],[NET Amount]]-Table1[[#This Row],[Total Outstanding Amount]])/Table1[[#This Row],[NET Amount]]</f>
        <v>0</v>
      </c>
      <c r="S1013" s="2" t="s">
        <v>768</v>
      </c>
    </row>
    <row r="1014" spans="1:19" x14ac:dyDescent="0.3">
      <c r="A1014" s="4">
        <v>1012</v>
      </c>
      <c r="B1014" s="2" t="s">
        <v>168</v>
      </c>
      <c r="C1014" s="3">
        <v>44854</v>
      </c>
      <c r="D1014" s="3" t="str">
        <f>TEXT(Table1[[#This Row],[Admission Date]],"MMMM")</f>
        <v>October</v>
      </c>
      <c r="E1014" s="3">
        <v>44854</v>
      </c>
      <c r="F1014" s="3">
        <v>44854</v>
      </c>
      <c r="G1014" s="2">
        <v>22027905</v>
      </c>
      <c r="H1014" s="2">
        <v>2236785</v>
      </c>
      <c r="I1014" s="2">
        <v>10013359873</v>
      </c>
      <c r="J1014" s="2" t="s">
        <v>774</v>
      </c>
      <c r="K1014" s="10">
        <v>2200</v>
      </c>
      <c r="L1014" s="10">
        <v>0</v>
      </c>
      <c r="M1014" s="10">
        <v>2200</v>
      </c>
      <c r="N1014" s="10">
        <v>0</v>
      </c>
      <c r="O1014" s="10">
        <f>Table1[[#This Row],[NET Amount]]-Table1[[#This Row],[Paid Amount]]</f>
        <v>2200</v>
      </c>
      <c r="P1014" s="2" t="s">
        <v>23</v>
      </c>
      <c r="Q1014" s="2" t="s">
        <v>147</v>
      </c>
      <c r="R1014" s="16">
        <f>(Table1[[#This Row],[NET Amount]]-Table1[[#This Row],[Total Outstanding Amount]])/Table1[[#This Row],[NET Amount]]</f>
        <v>0</v>
      </c>
      <c r="S1014" s="2" t="s">
        <v>97</v>
      </c>
    </row>
    <row r="1015" spans="1:19" x14ac:dyDescent="0.3">
      <c r="A1015" s="4">
        <v>1013</v>
      </c>
      <c r="B1015" s="2" t="s">
        <v>380</v>
      </c>
      <c r="C1015" s="3">
        <v>44862</v>
      </c>
      <c r="D1015" s="3" t="str">
        <f>TEXT(Table1[[#This Row],[Admission Date]],"MMMM")</f>
        <v>October</v>
      </c>
      <c r="E1015" s="3">
        <v>44862</v>
      </c>
      <c r="F1015" s="3">
        <v>44862</v>
      </c>
      <c r="G1015" s="2">
        <v>22028986</v>
      </c>
      <c r="H1015" s="2">
        <v>2237879</v>
      </c>
      <c r="I1015" s="2">
        <v>10013516483</v>
      </c>
      <c r="J1015" s="2" t="s">
        <v>812</v>
      </c>
      <c r="K1015" s="10">
        <v>1274</v>
      </c>
      <c r="L1015" s="10">
        <v>0</v>
      </c>
      <c r="M1015" s="10">
        <v>1274</v>
      </c>
      <c r="N1015" s="10">
        <v>0</v>
      </c>
      <c r="O1015" s="10">
        <f>Table1[[#This Row],[NET Amount]]-Table1[[#This Row],[Paid Amount]]</f>
        <v>1274</v>
      </c>
      <c r="P1015" s="2" t="s">
        <v>23</v>
      </c>
      <c r="Q1015" s="2" t="s">
        <v>54</v>
      </c>
      <c r="R1015" s="16">
        <f>(Table1[[#This Row],[NET Amount]]-Table1[[#This Row],[Total Outstanding Amount]])/Table1[[#This Row],[NET Amount]]</f>
        <v>0</v>
      </c>
      <c r="S1015" s="2" t="s">
        <v>97</v>
      </c>
    </row>
    <row r="1016" spans="1:19" x14ac:dyDescent="0.3">
      <c r="A1016" s="4">
        <v>1014</v>
      </c>
      <c r="B1016" s="2" t="s">
        <v>380</v>
      </c>
      <c r="C1016" s="3">
        <v>44842</v>
      </c>
      <c r="D1016" s="3" t="str">
        <f>TEXT(Table1[[#This Row],[Admission Date]],"MMMM")</f>
        <v>October</v>
      </c>
      <c r="E1016" s="3">
        <v>44842</v>
      </c>
      <c r="F1016" s="3">
        <v>44842</v>
      </c>
      <c r="G1016" s="2">
        <v>22026210</v>
      </c>
      <c r="H1016" s="2">
        <v>2235212</v>
      </c>
      <c r="I1016" s="2">
        <v>10013276269</v>
      </c>
      <c r="J1016" s="2" t="s">
        <v>403</v>
      </c>
      <c r="K1016" s="10">
        <v>1274</v>
      </c>
      <c r="L1016" s="10">
        <v>0</v>
      </c>
      <c r="M1016" s="10">
        <v>1274</v>
      </c>
      <c r="N1016" s="10">
        <v>0</v>
      </c>
      <c r="O1016" s="10">
        <f>Table1[[#This Row],[NET Amount]]-Table1[[#This Row],[Paid Amount]]</f>
        <v>1274</v>
      </c>
      <c r="P1016" s="2" t="s">
        <v>23</v>
      </c>
      <c r="Q1016" s="2" t="s">
        <v>54</v>
      </c>
      <c r="R1016" s="16">
        <f>(Table1[[#This Row],[NET Amount]]-Table1[[#This Row],[Total Outstanding Amount]])/Table1[[#This Row],[NET Amount]]</f>
        <v>0</v>
      </c>
      <c r="S1016" s="2" t="s">
        <v>97</v>
      </c>
    </row>
    <row r="1017" spans="1:19" x14ac:dyDescent="0.3">
      <c r="A1017" s="4">
        <v>1015</v>
      </c>
      <c r="B1017" s="2" t="s">
        <v>380</v>
      </c>
      <c r="C1017" s="3">
        <v>44842</v>
      </c>
      <c r="D1017" s="3" t="str">
        <f>TEXT(Table1[[#This Row],[Admission Date]],"MMMM")</f>
        <v>October</v>
      </c>
      <c r="E1017" s="3">
        <v>44842</v>
      </c>
      <c r="F1017" s="3">
        <v>44842</v>
      </c>
      <c r="G1017" s="2">
        <v>22026209</v>
      </c>
      <c r="H1017" s="2">
        <v>2235213</v>
      </c>
      <c r="I1017" s="2">
        <v>10013385641</v>
      </c>
      <c r="J1017" s="2" t="s">
        <v>799</v>
      </c>
      <c r="K1017" s="10">
        <v>1274</v>
      </c>
      <c r="L1017" s="10">
        <v>0</v>
      </c>
      <c r="M1017" s="10">
        <v>1274</v>
      </c>
      <c r="N1017" s="10">
        <v>0</v>
      </c>
      <c r="O1017" s="10">
        <f>Table1[[#This Row],[NET Amount]]-Table1[[#This Row],[Paid Amount]]</f>
        <v>1274</v>
      </c>
      <c r="P1017" s="2" t="s">
        <v>23</v>
      </c>
      <c r="Q1017" s="2" t="s">
        <v>54</v>
      </c>
      <c r="R1017" s="16">
        <f>(Table1[[#This Row],[NET Amount]]-Table1[[#This Row],[Total Outstanding Amount]])/Table1[[#This Row],[NET Amount]]</f>
        <v>0</v>
      </c>
      <c r="S1017" s="2" t="s">
        <v>97</v>
      </c>
    </row>
    <row r="1018" spans="1:19" x14ac:dyDescent="0.3">
      <c r="A1018" s="4">
        <v>1016</v>
      </c>
      <c r="B1018" s="2" t="s">
        <v>2263</v>
      </c>
      <c r="C1018" s="3">
        <v>44835</v>
      </c>
      <c r="D1018" s="3" t="str">
        <f>TEXT(Table1[[#This Row],[Admission Date]],"MMMM")</f>
        <v>October</v>
      </c>
      <c r="E1018" s="3">
        <v>44835</v>
      </c>
      <c r="F1018" s="3">
        <v>44835</v>
      </c>
      <c r="G1018" s="2">
        <v>22025124</v>
      </c>
      <c r="H1018" s="2">
        <v>2234174</v>
      </c>
      <c r="I1018" s="2">
        <v>1001666089</v>
      </c>
      <c r="J1018" s="2" t="s">
        <v>809</v>
      </c>
      <c r="K1018" s="10">
        <v>1274</v>
      </c>
      <c r="L1018" s="10">
        <v>0</v>
      </c>
      <c r="M1018" s="10">
        <v>1274</v>
      </c>
      <c r="N1018" s="10">
        <v>0</v>
      </c>
      <c r="O1018" s="10">
        <f>Table1[[#This Row],[NET Amount]]-Table1[[#This Row],[Paid Amount]]</f>
        <v>1274</v>
      </c>
      <c r="P1018" s="2" t="s">
        <v>23</v>
      </c>
      <c r="Q1018" s="2" t="s">
        <v>54</v>
      </c>
      <c r="R1018" s="16">
        <f>(Table1[[#This Row],[NET Amount]]-Table1[[#This Row],[Total Outstanding Amount]])/Table1[[#This Row],[NET Amount]]</f>
        <v>0</v>
      </c>
      <c r="S1018" s="2" t="s">
        <v>97</v>
      </c>
    </row>
    <row r="1019" spans="1:19" x14ac:dyDescent="0.3">
      <c r="A1019" s="4">
        <v>1017</v>
      </c>
      <c r="B1019" s="2" t="s">
        <v>380</v>
      </c>
      <c r="C1019" s="3">
        <v>44839</v>
      </c>
      <c r="D1019" s="3" t="str">
        <f>TEXT(Table1[[#This Row],[Admission Date]],"MMMM")</f>
        <v>October</v>
      </c>
      <c r="E1019" s="3">
        <v>44839</v>
      </c>
      <c r="F1019" s="3">
        <v>44839</v>
      </c>
      <c r="G1019" s="2">
        <v>22025785</v>
      </c>
      <c r="H1019" s="2">
        <v>2234786</v>
      </c>
      <c r="I1019" s="2">
        <v>1001188488</v>
      </c>
      <c r="J1019" s="2" t="s">
        <v>297</v>
      </c>
      <c r="K1019" s="10">
        <v>1274</v>
      </c>
      <c r="L1019" s="10">
        <v>0</v>
      </c>
      <c r="M1019" s="10">
        <v>1274</v>
      </c>
      <c r="N1019" s="10">
        <v>0</v>
      </c>
      <c r="O1019" s="10">
        <f>Table1[[#This Row],[NET Amount]]-Table1[[#This Row],[Paid Amount]]</f>
        <v>1274</v>
      </c>
      <c r="P1019" s="2" t="s">
        <v>23</v>
      </c>
      <c r="Q1019" s="2" t="s">
        <v>54</v>
      </c>
      <c r="R1019" s="16">
        <f>(Table1[[#This Row],[NET Amount]]-Table1[[#This Row],[Total Outstanding Amount]])/Table1[[#This Row],[NET Amount]]</f>
        <v>0</v>
      </c>
      <c r="S1019" s="2" t="s">
        <v>97</v>
      </c>
    </row>
    <row r="1020" spans="1:19" x14ac:dyDescent="0.3">
      <c r="A1020" s="4">
        <v>1018</v>
      </c>
      <c r="B1020" s="2" t="s">
        <v>178</v>
      </c>
      <c r="C1020" s="3">
        <v>44840</v>
      </c>
      <c r="D1020" s="3" t="str">
        <f>TEXT(Table1[[#This Row],[Admission Date]],"MMMM")</f>
        <v>October</v>
      </c>
      <c r="E1020" s="3">
        <v>44840</v>
      </c>
      <c r="F1020" s="3">
        <v>44840</v>
      </c>
      <c r="G1020" s="2">
        <v>22025907</v>
      </c>
      <c r="H1020" s="2">
        <v>2234921</v>
      </c>
      <c r="I1020" s="2">
        <v>10013332282</v>
      </c>
      <c r="J1020" s="2" t="s">
        <v>415</v>
      </c>
      <c r="K1020" s="10">
        <v>2200</v>
      </c>
      <c r="L1020" s="10">
        <v>0</v>
      </c>
      <c r="M1020" s="10">
        <v>2200</v>
      </c>
      <c r="N1020" s="10">
        <v>0</v>
      </c>
      <c r="O1020" s="10">
        <f>Table1[[#This Row],[NET Amount]]-Table1[[#This Row],[Paid Amount]]</f>
        <v>2200</v>
      </c>
      <c r="P1020" s="2" t="s">
        <v>23</v>
      </c>
      <c r="Q1020" s="2" t="s">
        <v>147</v>
      </c>
      <c r="R1020" s="16">
        <f>(Table1[[#This Row],[NET Amount]]-Table1[[#This Row],[Total Outstanding Amount]])/Table1[[#This Row],[NET Amount]]</f>
        <v>0</v>
      </c>
      <c r="S1020" s="2" t="s">
        <v>97</v>
      </c>
    </row>
    <row r="1021" spans="1:19" x14ac:dyDescent="0.3">
      <c r="A1021" s="4">
        <v>1019</v>
      </c>
      <c r="B1021" s="2" t="s">
        <v>2263</v>
      </c>
      <c r="C1021" s="3">
        <v>44861</v>
      </c>
      <c r="D1021" s="3" t="str">
        <f>TEXT(Table1[[#This Row],[Admission Date]],"MMMM")</f>
        <v>October</v>
      </c>
      <c r="E1021" s="3">
        <v>44861</v>
      </c>
      <c r="F1021" s="3">
        <v>44861</v>
      </c>
      <c r="G1021" s="2">
        <v>22028728</v>
      </c>
      <c r="H1021" s="2">
        <v>2237620</v>
      </c>
      <c r="I1021" s="2">
        <v>1001712791</v>
      </c>
      <c r="J1021" s="2" t="s">
        <v>450</v>
      </c>
      <c r="K1021" s="10">
        <v>1274</v>
      </c>
      <c r="L1021" s="10">
        <v>0</v>
      </c>
      <c r="M1021" s="10">
        <v>1274</v>
      </c>
      <c r="N1021" s="10">
        <v>0</v>
      </c>
      <c r="O1021" s="10">
        <f>Table1[[#This Row],[NET Amount]]-Table1[[#This Row],[Paid Amount]]</f>
        <v>1274</v>
      </c>
      <c r="P1021" s="2" t="s">
        <v>23</v>
      </c>
      <c r="Q1021" s="2" t="s">
        <v>54</v>
      </c>
      <c r="R1021" s="16">
        <f>(Table1[[#This Row],[NET Amount]]-Table1[[#This Row],[Total Outstanding Amount]])/Table1[[#This Row],[NET Amount]]</f>
        <v>0</v>
      </c>
      <c r="S1021" s="2" t="s">
        <v>97</v>
      </c>
    </row>
    <row r="1022" spans="1:19" x14ac:dyDescent="0.3">
      <c r="A1022" s="4">
        <v>1020</v>
      </c>
      <c r="B1022" s="2" t="s">
        <v>380</v>
      </c>
      <c r="C1022" s="3">
        <v>44860</v>
      </c>
      <c r="D1022" s="3" t="str">
        <f>TEXT(Table1[[#This Row],[Admission Date]],"MMMM")</f>
        <v>October</v>
      </c>
      <c r="E1022" s="3">
        <v>44860</v>
      </c>
      <c r="F1022" s="3">
        <v>44860</v>
      </c>
      <c r="G1022" s="2">
        <v>22028650</v>
      </c>
      <c r="H1022" s="2">
        <v>2237496</v>
      </c>
      <c r="I1022" s="2">
        <v>1001542371</v>
      </c>
      <c r="J1022" s="2" t="s">
        <v>385</v>
      </c>
      <c r="K1022" s="10">
        <v>1274</v>
      </c>
      <c r="L1022" s="10">
        <v>0</v>
      </c>
      <c r="M1022" s="10">
        <v>1274</v>
      </c>
      <c r="N1022" s="10">
        <v>0</v>
      </c>
      <c r="O1022" s="10">
        <f>Table1[[#This Row],[NET Amount]]-Table1[[#This Row],[Paid Amount]]</f>
        <v>1274</v>
      </c>
      <c r="P1022" s="2" t="s">
        <v>23</v>
      </c>
      <c r="Q1022" s="2" t="s">
        <v>54</v>
      </c>
      <c r="R1022" s="16">
        <f>(Table1[[#This Row],[NET Amount]]-Table1[[#This Row],[Total Outstanding Amount]])/Table1[[#This Row],[NET Amount]]</f>
        <v>0</v>
      </c>
      <c r="S1022" s="2" t="s">
        <v>97</v>
      </c>
    </row>
    <row r="1023" spans="1:19" x14ac:dyDescent="0.3">
      <c r="A1023" s="4">
        <v>1021</v>
      </c>
      <c r="B1023" s="2" t="s">
        <v>2258</v>
      </c>
      <c r="C1023" s="3">
        <v>44838</v>
      </c>
      <c r="D1023" s="3" t="str">
        <f>TEXT(Table1[[#This Row],[Admission Date]],"MMMM")</f>
        <v>October</v>
      </c>
      <c r="E1023" s="3">
        <v>44838</v>
      </c>
      <c r="F1023" s="3">
        <v>44838</v>
      </c>
      <c r="G1023" s="2">
        <v>22025488</v>
      </c>
      <c r="H1023" s="2">
        <v>2234508</v>
      </c>
      <c r="I1023" s="2">
        <v>1001763340</v>
      </c>
      <c r="J1023" s="2" t="s">
        <v>121</v>
      </c>
      <c r="K1023" s="10">
        <v>1610</v>
      </c>
      <c r="L1023" s="10">
        <v>0</v>
      </c>
      <c r="M1023" s="10">
        <v>1610</v>
      </c>
      <c r="N1023" s="10">
        <v>0</v>
      </c>
      <c r="O1023" s="10">
        <f>Table1[[#This Row],[NET Amount]]-Table1[[#This Row],[Paid Amount]]</f>
        <v>1610</v>
      </c>
      <c r="P1023" s="2" t="s">
        <v>23</v>
      </c>
      <c r="Q1023" s="2" t="s">
        <v>54</v>
      </c>
      <c r="R1023" s="16">
        <f>(Table1[[#This Row],[NET Amount]]-Table1[[#This Row],[Total Outstanding Amount]])/Table1[[#This Row],[NET Amount]]</f>
        <v>0</v>
      </c>
      <c r="S1023" s="2" t="s">
        <v>97</v>
      </c>
    </row>
    <row r="1024" spans="1:19" x14ac:dyDescent="0.3">
      <c r="A1024" s="4">
        <v>1022</v>
      </c>
      <c r="B1024" s="2" t="s">
        <v>380</v>
      </c>
      <c r="C1024" s="3">
        <v>44853</v>
      </c>
      <c r="D1024" s="3" t="str">
        <f>TEXT(Table1[[#This Row],[Admission Date]],"MMMM")</f>
        <v>October</v>
      </c>
      <c r="E1024" s="3">
        <v>44853</v>
      </c>
      <c r="F1024" s="3">
        <v>44853</v>
      </c>
      <c r="G1024" s="2">
        <v>22027803</v>
      </c>
      <c r="H1024" s="2">
        <v>2236699</v>
      </c>
      <c r="I1024" s="2">
        <v>10013370253</v>
      </c>
      <c r="J1024" s="2" t="s">
        <v>488</v>
      </c>
      <c r="K1024" s="10">
        <v>1274</v>
      </c>
      <c r="L1024" s="10">
        <v>0</v>
      </c>
      <c r="M1024" s="10">
        <v>1274</v>
      </c>
      <c r="N1024" s="10">
        <v>0</v>
      </c>
      <c r="O1024" s="10">
        <f>Table1[[#This Row],[NET Amount]]-Table1[[#This Row],[Paid Amount]]</f>
        <v>1274</v>
      </c>
      <c r="P1024" s="2" t="s">
        <v>23</v>
      </c>
      <c r="Q1024" s="2" t="s">
        <v>54</v>
      </c>
      <c r="R1024" s="16">
        <f>(Table1[[#This Row],[NET Amount]]-Table1[[#This Row],[Total Outstanding Amount]])/Table1[[#This Row],[NET Amount]]</f>
        <v>0</v>
      </c>
      <c r="S1024" s="2" t="s">
        <v>97</v>
      </c>
    </row>
    <row r="1025" spans="1:19" x14ac:dyDescent="0.3">
      <c r="A1025" s="4">
        <v>1023</v>
      </c>
      <c r="B1025" s="2" t="s">
        <v>122</v>
      </c>
      <c r="C1025" s="3">
        <v>44838</v>
      </c>
      <c r="D1025" s="3" t="str">
        <f>TEXT(Table1[[#This Row],[Admission Date]],"MMMM")</f>
        <v>October</v>
      </c>
      <c r="E1025" s="3">
        <v>44846</v>
      </c>
      <c r="F1025" s="3">
        <v>44846</v>
      </c>
      <c r="G1025" s="2">
        <v>22026775</v>
      </c>
      <c r="H1025" s="2">
        <v>2234539</v>
      </c>
      <c r="I1025" s="2">
        <v>1001222299</v>
      </c>
      <c r="J1025" s="2" t="s">
        <v>813</v>
      </c>
      <c r="K1025" s="10">
        <v>240546</v>
      </c>
      <c r="L1025" s="10">
        <v>240546</v>
      </c>
      <c r="M1025" s="10">
        <v>0</v>
      </c>
      <c r="N1025" s="10">
        <v>0</v>
      </c>
      <c r="O1025" s="10">
        <f>Table1[[#This Row],[NET Amount]]-Table1[[#This Row],[Paid Amount]]</f>
        <v>0</v>
      </c>
      <c r="P1025" s="2" t="s">
        <v>23</v>
      </c>
      <c r="Q1025" s="2" t="s">
        <v>90</v>
      </c>
      <c r="R1025" s="16" t="e">
        <f>(Table1[[#This Row],[NET Amount]]-Table1[[#This Row],[Total Outstanding Amount]])/Table1[[#This Row],[NET Amount]]</f>
        <v>#DIV/0!</v>
      </c>
      <c r="S1025" s="2" t="s">
        <v>162</v>
      </c>
    </row>
    <row r="1026" spans="1:19" x14ac:dyDescent="0.3">
      <c r="A1026" s="4">
        <v>1024</v>
      </c>
      <c r="B1026" s="2" t="s">
        <v>2253</v>
      </c>
      <c r="C1026" s="3">
        <v>44862</v>
      </c>
      <c r="D1026" s="3" t="str">
        <f>TEXT(Table1[[#This Row],[Admission Date]],"MMMM")</f>
        <v>October</v>
      </c>
      <c r="E1026" s="3">
        <v>44862</v>
      </c>
      <c r="F1026" s="3">
        <v>44862</v>
      </c>
      <c r="G1026" s="2">
        <v>22028920</v>
      </c>
      <c r="H1026" s="2">
        <v>2237809</v>
      </c>
      <c r="I1026" s="2">
        <v>1001681903</v>
      </c>
      <c r="J1026" s="2" t="s">
        <v>471</v>
      </c>
      <c r="K1026" s="10">
        <v>1610</v>
      </c>
      <c r="L1026" s="10">
        <v>0</v>
      </c>
      <c r="M1026" s="10">
        <v>1610</v>
      </c>
      <c r="N1026" s="10">
        <v>0</v>
      </c>
      <c r="O1026" s="10">
        <f>Table1[[#This Row],[NET Amount]]-Table1[[#This Row],[Paid Amount]]</f>
        <v>1610</v>
      </c>
      <c r="P1026" s="2" t="s">
        <v>23</v>
      </c>
      <c r="Q1026" s="2" t="s">
        <v>54</v>
      </c>
      <c r="R1026" s="16">
        <f>(Table1[[#This Row],[NET Amount]]-Table1[[#This Row],[Total Outstanding Amount]])/Table1[[#This Row],[NET Amount]]</f>
        <v>0</v>
      </c>
      <c r="S1026" s="2" t="s">
        <v>97</v>
      </c>
    </row>
    <row r="1027" spans="1:19" x14ac:dyDescent="0.3">
      <c r="A1027" s="4">
        <v>1025</v>
      </c>
      <c r="B1027" s="2" t="s">
        <v>2263</v>
      </c>
      <c r="C1027" s="3">
        <v>44856</v>
      </c>
      <c r="D1027" s="3" t="str">
        <f>TEXT(Table1[[#This Row],[Admission Date]],"MMMM")</f>
        <v>October</v>
      </c>
      <c r="E1027" s="3">
        <v>44856</v>
      </c>
      <c r="F1027" s="3">
        <v>44856</v>
      </c>
      <c r="G1027" s="2">
        <v>22028147</v>
      </c>
      <c r="H1027" s="2">
        <v>2237002</v>
      </c>
      <c r="I1027" s="2">
        <v>1001666089</v>
      </c>
      <c r="J1027" s="2" t="s">
        <v>809</v>
      </c>
      <c r="K1027" s="10">
        <v>1274</v>
      </c>
      <c r="L1027" s="10">
        <v>0</v>
      </c>
      <c r="M1027" s="10">
        <v>1274</v>
      </c>
      <c r="N1027" s="10">
        <v>0</v>
      </c>
      <c r="O1027" s="10">
        <f>Table1[[#This Row],[NET Amount]]-Table1[[#This Row],[Paid Amount]]</f>
        <v>1274</v>
      </c>
      <c r="P1027" s="2" t="s">
        <v>23</v>
      </c>
      <c r="Q1027" s="2" t="s">
        <v>54</v>
      </c>
      <c r="R1027" s="16">
        <f>(Table1[[#This Row],[NET Amount]]-Table1[[#This Row],[Total Outstanding Amount]])/Table1[[#This Row],[NET Amount]]</f>
        <v>0</v>
      </c>
      <c r="S1027" s="2" t="s">
        <v>97</v>
      </c>
    </row>
    <row r="1028" spans="1:19" x14ac:dyDescent="0.3">
      <c r="A1028" s="4">
        <v>1026</v>
      </c>
      <c r="B1028" s="2" t="s">
        <v>2263</v>
      </c>
      <c r="C1028" s="3">
        <v>44838</v>
      </c>
      <c r="D1028" s="3" t="str">
        <f>TEXT(Table1[[#This Row],[Admission Date]],"MMMM")</f>
        <v>October</v>
      </c>
      <c r="E1028" s="3">
        <v>44838</v>
      </c>
      <c r="F1028" s="3">
        <v>44838</v>
      </c>
      <c r="G1028" s="2">
        <v>22025605</v>
      </c>
      <c r="H1028" s="2">
        <v>2234607</v>
      </c>
      <c r="I1028" s="2">
        <v>1001677731</v>
      </c>
      <c r="J1028" s="2" t="s">
        <v>397</v>
      </c>
      <c r="K1028" s="10">
        <v>1274</v>
      </c>
      <c r="L1028" s="10">
        <v>0</v>
      </c>
      <c r="M1028" s="10">
        <v>1274</v>
      </c>
      <c r="N1028" s="10">
        <v>0</v>
      </c>
      <c r="O1028" s="10">
        <f>Table1[[#This Row],[NET Amount]]-Table1[[#This Row],[Paid Amount]]</f>
        <v>1274</v>
      </c>
      <c r="P1028" s="2" t="s">
        <v>23</v>
      </c>
      <c r="Q1028" s="2" t="s">
        <v>54</v>
      </c>
      <c r="R1028" s="16">
        <f>(Table1[[#This Row],[NET Amount]]-Table1[[#This Row],[Total Outstanding Amount]])/Table1[[#This Row],[NET Amount]]</f>
        <v>0</v>
      </c>
      <c r="S1028" s="2" t="s">
        <v>97</v>
      </c>
    </row>
    <row r="1029" spans="1:19" x14ac:dyDescent="0.3">
      <c r="A1029" s="4">
        <v>1027</v>
      </c>
      <c r="B1029" s="2" t="s">
        <v>75</v>
      </c>
      <c r="C1029" s="3">
        <v>44849</v>
      </c>
      <c r="D1029" s="3" t="str">
        <f>TEXT(Table1[[#This Row],[Admission Date]],"MMMM")</f>
        <v>October</v>
      </c>
      <c r="E1029" s="3">
        <v>44849</v>
      </c>
      <c r="F1029" s="3">
        <v>44849</v>
      </c>
      <c r="G1029" s="2">
        <v>22027217</v>
      </c>
      <c r="H1029" s="2">
        <v>2236138</v>
      </c>
      <c r="I1029" s="2">
        <v>10013514225</v>
      </c>
      <c r="J1029" s="2" t="s">
        <v>814</v>
      </c>
      <c r="K1029" s="10">
        <v>1610</v>
      </c>
      <c r="L1029" s="10">
        <v>0</v>
      </c>
      <c r="M1029" s="10">
        <v>1610</v>
      </c>
      <c r="N1029" s="10">
        <v>0</v>
      </c>
      <c r="O1029" s="10">
        <f>Table1[[#This Row],[NET Amount]]-Table1[[#This Row],[Paid Amount]]</f>
        <v>1610</v>
      </c>
      <c r="P1029" s="2" t="s">
        <v>23</v>
      </c>
      <c r="Q1029" s="2" t="s">
        <v>54</v>
      </c>
      <c r="R1029" s="16">
        <f>(Table1[[#This Row],[NET Amount]]-Table1[[#This Row],[Total Outstanding Amount]])/Table1[[#This Row],[NET Amount]]</f>
        <v>0</v>
      </c>
      <c r="S1029" s="2" t="s">
        <v>97</v>
      </c>
    </row>
    <row r="1030" spans="1:19" x14ac:dyDescent="0.3">
      <c r="A1030" s="4">
        <v>1028</v>
      </c>
      <c r="B1030" s="2" t="s">
        <v>75</v>
      </c>
      <c r="C1030" s="3">
        <v>44838</v>
      </c>
      <c r="D1030" s="3" t="str">
        <f>TEXT(Table1[[#This Row],[Admission Date]],"MMMM")</f>
        <v>October</v>
      </c>
      <c r="E1030" s="3">
        <v>44838</v>
      </c>
      <c r="F1030" s="3">
        <v>44838</v>
      </c>
      <c r="G1030" s="2">
        <v>22025623</v>
      </c>
      <c r="H1030" s="2">
        <v>2234549</v>
      </c>
      <c r="I1030" s="2">
        <v>10013453991</v>
      </c>
      <c r="J1030" s="2" t="s">
        <v>465</v>
      </c>
      <c r="K1030" s="10">
        <v>1610</v>
      </c>
      <c r="L1030" s="10">
        <v>0</v>
      </c>
      <c r="M1030" s="10">
        <v>1610</v>
      </c>
      <c r="N1030" s="10">
        <v>0</v>
      </c>
      <c r="O1030" s="10">
        <f>Table1[[#This Row],[NET Amount]]-Table1[[#This Row],[Paid Amount]]</f>
        <v>1610</v>
      </c>
      <c r="P1030" s="2" t="s">
        <v>23</v>
      </c>
      <c r="Q1030" s="2" t="s">
        <v>54</v>
      </c>
      <c r="R1030" s="16">
        <f>(Table1[[#This Row],[NET Amount]]-Table1[[#This Row],[Total Outstanding Amount]])/Table1[[#This Row],[NET Amount]]</f>
        <v>0</v>
      </c>
      <c r="S1030" s="2" t="s">
        <v>97</v>
      </c>
    </row>
    <row r="1031" spans="1:19" x14ac:dyDescent="0.3">
      <c r="A1031" s="4">
        <v>1029</v>
      </c>
      <c r="B1031" s="2" t="s">
        <v>2263</v>
      </c>
      <c r="C1031" s="3">
        <v>44845</v>
      </c>
      <c r="D1031" s="3" t="str">
        <f>TEXT(Table1[[#This Row],[Admission Date]],"MMMM")</f>
        <v>October</v>
      </c>
      <c r="E1031" s="3">
        <v>44845</v>
      </c>
      <c r="F1031" s="3">
        <v>44845</v>
      </c>
      <c r="G1031" s="2">
        <v>22026632</v>
      </c>
      <c r="H1031" s="2">
        <v>2235571</v>
      </c>
      <c r="I1031" s="2">
        <v>1001648223</v>
      </c>
      <c r="J1031" s="2" t="s">
        <v>458</v>
      </c>
      <c r="K1031" s="10">
        <v>1274</v>
      </c>
      <c r="L1031" s="10">
        <v>0</v>
      </c>
      <c r="M1031" s="10">
        <v>1274</v>
      </c>
      <c r="N1031" s="10">
        <v>0</v>
      </c>
      <c r="O1031" s="10">
        <f>Table1[[#This Row],[NET Amount]]-Table1[[#This Row],[Paid Amount]]</f>
        <v>1274</v>
      </c>
      <c r="P1031" s="2" t="s">
        <v>23</v>
      </c>
      <c r="Q1031" s="2" t="s">
        <v>54</v>
      </c>
      <c r="R1031" s="16">
        <f>(Table1[[#This Row],[NET Amount]]-Table1[[#This Row],[Total Outstanding Amount]])/Table1[[#This Row],[NET Amount]]</f>
        <v>0</v>
      </c>
      <c r="S1031" s="2" t="s">
        <v>97</v>
      </c>
    </row>
    <row r="1032" spans="1:19" x14ac:dyDescent="0.3">
      <c r="A1032" s="4">
        <v>1030</v>
      </c>
      <c r="B1032" s="2" t="s">
        <v>380</v>
      </c>
      <c r="C1032" s="3">
        <v>44862</v>
      </c>
      <c r="D1032" s="3" t="str">
        <f>TEXT(Table1[[#This Row],[Admission Date]],"MMMM")</f>
        <v>October</v>
      </c>
      <c r="E1032" s="3">
        <v>44862</v>
      </c>
      <c r="F1032" s="3">
        <v>44862</v>
      </c>
      <c r="G1032" s="2">
        <v>22028987</v>
      </c>
      <c r="H1032" s="2">
        <v>2237878</v>
      </c>
      <c r="I1032" s="2">
        <v>10013521329</v>
      </c>
      <c r="J1032" s="2" t="s">
        <v>457</v>
      </c>
      <c r="K1032" s="10">
        <v>1274</v>
      </c>
      <c r="L1032" s="10">
        <v>0</v>
      </c>
      <c r="M1032" s="10">
        <v>1274</v>
      </c>
      <c r="N1032" s="10">
        <v>0</v>
      </c>
      <c r="O1032" s="10">
        <f>Table1[[#This Row],[NET Amount]]-Table1[[#This Row],[Paid Amount]]</f>
        <v>1274</v>
      </c>
      <c r="P1032" s="2" t="s">
        <v>23</v>
      </c>
      <c r="Q1032" s="2" t="s">
        <v>54</v>
      </c>
      <c r="R1032" s="16">
        <f>(Table1[[#This Row],[NET Amount]]-Table1[[#This Row],[Total Outstanding Amount]])/Table1[[#This Row],[NET Amount]]</f>
        <v>0</v>
      </c>
      <c r="S1032" s="2" t="s">
        <v>97</v>
      </c>
    </row>
    <row r="1033" spans="1:19" x14ac:dyDescent="0.3">
      <c r="A1033" s="4">
        <v>1031</v>
      </c>
      <c r="B1033" s="2" t="s">
        <v>178</v>
      </c>
      <c r="C1033" s="3">
        <v>44856</v>
      </c>
      <c r="D1033" s="3" t="str">
        <f>TEXT(Table1[[#This Row],[Admission Date]],"MMMM")</f>
        <v>October</v>
      </c>
      <c r="E1033" s="3">
        <v>44857</v>
      </c>
      <c r="F1033" s="3">
        <v>44857</v>
      </c>
      <c r="G1033" s="2">
        <v>22028414</v>
      </c>
      <c r="H1033" s="2">
        <v>2237084</v>
      </c>
      <c r="I1033" s="2">
        <v>10013418363</v>
      </c>
      <c r="J1033" s="2" t="s">
        <v>532</v>
      </c>
      <c r="K1033" s="10">
        <v>55252</v>
      </c>
      <c r="L1033" s="10">
        <v>7753</v>
      </c>
      <c r="M1033" s="10">
        <v>47499</v>
      </c>
      <c r="N1033" s="10">
        <v>0</v>
      </c>
      <c r="O1033" s="10">
        <f>Table1[[#This Row],[NET Amount]]-Table1[[#This Row],[Paid Amount]]</f>
        <v>47499</v>
      </c>
      <c r="P1033" s="2" t="s">
        <v>23</v>
      </c>
      <c r="Q1033" s="2" t="s">
        <v>47</v>
      </c>
      <c r="R1033" s="16">
        <f>(Table1[[#This Row],[NET Amount]]-Table1[[#This Row],[Total Outstanding Amount]])/Table1[[#This Row],[NET Amount]]</f>
        <v>0</v>
      </c>
      <c r="S1033" s="2" t="s">
        <v>39</v>
      </c>
    </row>
    <row r="1034" spans="1:19" x14ac:dyDescent="0.3">
      <c r="A1034" s="4">
        <v>1032</v>
      </c>
      <c r="B1034" s="2" t="s">
        <v>380</v>
      </c>
      <c r="C1034" s="3">
        <v>44861</v>
      </c>
      <c r="D1034" s="3" t="str">
        <f>TEXT(Table1[[#This Row],[Admission Date]],"MMMM")</f>
        <v>October</v>
      </c>
      <c r="E1034" s="3">
        <v>44861</v>
      </c>
      <c r="F1034" s="3">
        <v>44861</v>
      </c>
      <c r="G1034" s="2">
        <v>22028828</v>
      </c>
      <c r="H1034" s="2">
        <v>2237694</v>
      </c>
      <c r="I1034" s="2">
        <v>1000891592</v>
      </c>
      <c r="J1034" s="2" t="s">
        <v>815</v>
      </c>
      <c r="K1034" s="10">
        <v>1274</v>
      </c>
      <c r="L1034" s="10">
        <v>0</v>
      </c>
      <c r="M1034" s="10">
        <v>1274</v>
      </c>
      <c r="N1034" s="10">
        <v>0</v>
      </c>
      <c r="O1034" s="10">
        <f>Table1[[#This Row],[NET Amount]]-Table1[[#This Row],[Paid Amount]]</f>
        <v>1274</v>
      </c>
      <c r="P1034" s="2" t="s">
        <v>23</v>
      </c>
      <c r="Q1034" s="2" t="s">
        <v>54</v>
      </c>
      <c r="R1034" s="16">
        <f>(Table1[[#This Row],[NET Amount]]-Table1[[#This Row],[Total Outstanding Amount]])/Table1[[#This Row],[NET Amount]]</f>
        <v>0</v>
      </c>
      <c r="S1034" s="2" t="s">
        <v>97</v>
      </c>
    </row>
    <row r="1035" spans="1:19" x14ac:dyDescent="0.3">
      <c r="A1035" s="4">
        <v>1033</v>
      </c>
      <c r="B1035" s="2" t="s">
        <v>45</v>
      </c>
      <c r="C1035" s="3">
        <v>44841</v>
      </c>
      <c r="D1035" s="3" t="str">
        <f>TEXT(Table1[[#This Row],[Admission Date]],"MMMM")</f>
        <v>October</v>
      </c>
      <c r="E1035" s="3">
        <v>44841</v>
      </c>
      <c r="F1035" s="3">
        <v>44841</v>
      </c>
      <c r="G1035" s="2">
        <v>22025968</v>
      </c>
      <c r="H1035" s="2">
        <v>2235010</v>
      </c>
      <c r="I1035" s="2">
        <v>1001684515</v>
      </c>
      <c r="J1035" s="2" t="s">
        <v>414</v>
      </c>
      <c r="K1035" s="10">
        <v>2200</v>
      </c>
      <c r="L1035" s="10">
        <v>0</v>
      </c>
      <c r="M1035" s="10">
        <v>2200</v>
      </c>
      <c r="N1035" s="10">
        <v>0</v>
      </c>
      <c r="O1035" s="10">
        <f>Table1[[#This Row],[NET Amount]]-Table1[[#This Row],[Paid Amount]]</f>
        <v>2200</v>
      </c>
      <c r="P1035" s="2" t="s">
        <v>23</v>
      </c>
      <c r="Q1035" s="2" t="s">
        <v>147</v>
      </c>
      <c r="R1035" s="16">
        <f>(Table1[[#This Row],[NET Amount]]-Table1[[#This Row],[Total Outstanding Amount]])/Table1[[#This Row],[NET Amount]]</f>
        <v>0</v>
      </c>
      <c r="S1035" s="2" t="s">
        <v>97</v>
      </c>
    </row>
    <row r="1036" spans="1:19" x14ac:dyDescent="0.3">
      <c r="A1036" s="4">
        <v>1034</v>
      </c>
      <c r="B1036" s="2" t="s">
        <v>380</v>
      </c>
      <c r="C1036" s="3">
        <v>44856</v>
      </c>
      <c r="D1036" s="3" t="str">
        <f>TEXT(Table1[[#This Row],[Admission Date]],"MMMM")</f>
        <v>October</v>
      </c>
      <c r="E1036" s="3">
        <v>44856</v>
      </c>
      <c r="F1036" s="3">
        <v>44856</v>
      </c>
      <c r="G1036" s="2">
        <v>22028265</v>
      </c>
      <c r="H1036" s="2">
        <v>2237068</v>
      </c>
      <c r="I1036" s="2">
        <v>10013422914</v>
      </c>
      <c r="J1036" s="2" t="s">
        <v>816</v>
      </c>
      <c r="K1036" s="10">
        <v>1274</v>
      </c>
      <c r="L1036" s="10">
        <v>0</v>
      </c>
      <c r="M1036" s="10">
        <v>1274</v>
      </c>
      <c r="N1036" s="10">
        <v>0</v>
      </c>
      <c r="O1036" s="10">
        <f>Table1[[#This Row],[NET Amount]]-Table1[[#This Row],[Paid Amount]]</f>
        <v>1274</v>
      </c>
      <c r="P1036" s="2" t="s">
        <v>23</v>
      </c>
      <c r="Q1036" s="2" t="s">
        <v>54</v>
      </c>
      <c r="R1036" s="16">
        <f>(Table1[[#This Row],[NET Amount]]-Table1[[#This Row],[Total Outstanding Amount]])/Table1[[#This Row],[NET Amount]]</f>
        <v>0</v>
      </c>
      <c r="S1036" s="2" t="s">
        <v>97</v>
      </c>
    </row>
    <row r="1037" spans="1:19" x14ac:dyDescent="0.3">
      <c r="A1037" s="4">
        <v>1035</v>
      </c>
      <c r="B1037" s="2" t="s">
        <v>2253</v>
      </c>
      <c r="C1037" s="3">
        <v>44840</v>
      </c>
      <c r="D1037" s="3" t="str">
        <f>TEXT(Table1[[#This Row],[Admission Date]],"MMMM")</f>
        <v>October</v>
      </c>
      <c r="E1037" s="3">
        <v>44840</v>
      </c>
      <c r="F1037" s="3">
        <v>44840</v>
      </c>
      <c r="G1037" s="2">
        <v>22025891</v>
      </c>
      <c r="H1037" s="2">
        <v>2234896</v>
      </c>
      <c r="I1037" s="2">
        <v>1001772963</v>
      </c>
      <c r="J1037" s="2" t="s">
        <v>569</v>
      </c>
      <c r="K1037" s="10">
        <v>1610</v>
      </c>
      <c r="L1037" s="10">
        <v>0</v>
      </c>
      <c r="M1037" s="10">
        <v>1610</v>
      </c>
      <c r="N1037" s="10">
        <v>0</v>
      </c>
      <c r="O1037" s="10">
        <f>Table1[[#This Row],[NET Amount]]-Table1[[#This Row],[Paid Amount]]</f>
        <v>1610</v>
      </c>
      <c r="P1037" s="2" t="s">
        <v>23</v>
      </c>
      <c r="Q1037" s="2" t="s">
        <v>54</v>
      </c>
      <c r="R1037" s="16">
        <f>(Table1[[#This Row],[NET Amount]]-Table1[[#This Row],[Total Outstanding Amount]])/Table1[[#This Row],[NET Amount]]</f>
        <v>0</v>
      </c>
      <c r="S1037" s="2" t="s">
        <v>97</v>
      </c>
    </row>
    <row r="1038" spans="1:19" x14ac:dyDescent="0.3">
      <c r="A1038" s="4">
        <v>1036</v>
      </c>
      <c r="B1038" s="2" t="s">
        <v>25</v>
      </c>
      <c r="C1038" s="3">
        <v>44838</v>
      </c>
      <c r="D1038" s="3" t="str">
        <f>TEXT(Table1[[#This Row],[Admission Date]],"MMMM")</f>
        <v>October</v>
      </c>
      <c r="E1038" s="3">
        <v>44845</v>
      </c>
      <c r="F1038" s="3">
        <v>44845</v>
      </c>
      <c r="G1038" s="2">
        <v>22026598</v>
      </c>
      <c r="H1038" s="2">
        <v>2234498</v>
      </c>
      <c r="I1038" s="2">
        <v>10013541450</v>
      </c>
      <c r="J1038" s="2" t="s">
        <v>817</v>
      </c>
      <c r="K1038" s="10">
        <v>183095</v>
      </c>
      <c r="L1038" s="10">
        <v>37274</v>
      </c>
      <c r="M1038" s="10">
        <v>145821</v>
      </c>
      <c r="N1038" s="10">
        <v>145821</v>
      </c>
      <c r="O1038" s="10">
        <f>Table1[[#This Row],[NET Amount]]-Table1[[#This Row],[Paid Amount]]</f>
        <v>0</v>
      </c>
      <c r="P1038" s="2" t="s">
        <v>18</v>
      </c>
      <c r="Q1038" s="2" t="s">
        <v>24</v>
      </c>
      <c r="R1038" s="16">
        <f>(Table1[[#This Row],[NET Amount]]-Table1[[#This Row],[Total Outstanding Amount]])/Table1[[#This Row],[NET Amount]]</f>
        <v>1</v>
      </c>
      <c r="S1038" s="2" t="s">
        <v>20</v>
      </c>
    </row>
    <row r="1039" spans="1:19" x14ac:dyDescent="0.3">
      <c r="A1039" s="4">
        <v>1037</v>
      </c>
      <c r="B1039" s="2" t="s">
        <v>126</v>
      </c>
      <c r="C1039" s="3">
        <v>44838</v>
      </c>
      <c r="D1039" s="3" t="str">
        <f>TEXT(Table1[[#This Row],[Admission Date]],"MMMM")</f>
        <v>October</v>
      </c>
      <c r="E1039" s="3">
        <v>44839</v>
      </c>
      <c r="F1039" s="3">
        <v>44839</v>
      </c>
      <c r="G1039" s="2">
        <v>22025661</v>
      </c>
      <c r="H1039" s="2">
        <v>2234533</v>
      </c>
      <c r="I1039" s="2">
        <v>1001302352</v>
      </c>
      <c r="J1039" s="2" t="s">
        <v>818</v>
      </c>
      <c r="K1039" s="10">
        <v>39178</v>
      </c>
      <c r="L1039" s="10">
        <v>0</v>
      </c>
      <c r="M1039" s="10">
        <v>39178</v>
      </c>
      <c r="N1039" s="10">
        <v>11178</v>
      </c>
      <c r="O1039" s="10">
        <f>Table1[[#This Row],[NET Amount]]-Table1[[#This Row],[Paid Amount]]</f>
        <v>28000</v>
      </c>
      <c r="P1039" s="2" t="s">
        <v>23</v>
      </c>
      <c r="Q1039" s="2" t="s">
        <v>24</v>
      </c>
      <c r="R1039" s="16">
        <f>(Table1[[#This Row],[NET Amount]]-Table1[[#This Row],[Total Outstanding Amount]])/Table1[[#This Row],[NET Amount]]</f>
        <v>0.28531318597171884</v>
      </c>
      <c r="S1039" s="2" t="s">
        <v>27</v>
      </c>
    </row>
    <row r="1040" spans="1:19" x14ac:dyDescent="0.3">
      <c r="A1040" s="4">
        <v>1038</v>
      </c>
      <c r="B1040" s="2" t="s">
        <v>50</v>
      </c>
      <c r="C1040" s="3">
        <v>44838</v>
      </c>
      <c r="D1040" s="3" t="str">
        <f>TEXT(Table1[[#This Row],[Admission Date]],"MMMM")</f>
        <v>October</v>
      </c>
      <c r="E1040" s="3">
        <v>44840</v>
      </c>
      <c r="F1040" s="3">
        <v>44840</v>
      </c>
      <c r="G1040" s="2">
        <v>22025876</v>
      </c>
      <c r="H1040" s="2">
        <v>2234561</v>
      </c>
      <c r="I1040" s="2">
        <v>1001802400</v>
      </c>
      <c r="J1040" s="2" t="s">
        <v>819</v>
      </c>
      <c r="K1040" s="10">
        <v>5195</v>
      </c>
      <c r="L1040" s="10">
        <v>0</v>
      </c>
      <c r="M1040" s="10">
        <v>5195</v>
      </c>
      <c r="N1040" s="10">
        <v>5195</v>
      </c>
      <c r="O1040" s="10">
        <f>Table1[[#This Row],[NET Amount]]-Table1[[#This Row],[Paid Amount]]</f>
        <v>0</v>
      </c>
      <c r="P1040" s="2" t="s">
        <v>18</v>
      </c>
      <c r="Q1040" s="2" t="s">
        <v>52</v>
      </c>
      <c r="R1040" s="16">
        <f>(Table1[[#This Row],[NET Amount]]-Table1[[#This Row],[Total Outstanding Amount]])/Table1[[#This Row],[NET Amount]]</f>
        <v>1</v>
      </c>
      <c r="S1040" s="2" t="s">
        <v>37</v>
      </c>
    </row>
    <row r="1041" spans="1:19" x14ac:dyDescent="0.3">
      <c r="A1041" s="4">
        <v>1039</v>
      </c>
      <c r="B1041" s="2" t="s">
        <v>407</v>
      </c>
      <c r="C1041" s="3">
        <v>44850</v>
      </c>
      <c r="D1041" s="3" t="str">
        <f>TEXT(Table1[[#This Row],[Admission Date]],"MMMM")</f>
        <v>October</v>
      </c>
      <c r="E1041" s="3">
        <v>44851</v>
      </c>
      <c r="F1041" s="3">
        <v>44851</v>
      </c>
      <c r="G1041" s="2">
        <v>22027464</v>
      </c>
      <c r="H1041" s="2">
        <v>2236221</v>
      </c>
      <c r="I1041" s="2">
        <v>1001804640</v>
      </c>
      <c r="J1041" s="2" t="s">
        <v>820</v>
      </c>
      <c r="K1041" s="10">
        <v>177472</v>
      </c>
      <c r="L1041" s="10">
        <v>0</v>
      </c>
      <c r="M1041" s="10">
        <v>177472</v>
      </c>
      <c r="N1041" s="10">
        <v>24420</v>
      </c>
      <c r="O1041" s="10">
        <f>Table1[[#This Row],[NET Amount]]-Table1[[#This Row],[Paid Amount]]</f>
        <v>153052</v>
      </c>
      <c r="P1041" s="2" t="s">
        <v>23</v>
      </c>
      <c r="Q1041" s="2" t="s">
        <v>24</v>
      </c>
      <c r="R1041" s="16">
        <f>(Table1[[#This Row],[NET Amount]]-Table1[[#This Row],[Total Outstanding Amount]])/Table1[[#This Row],[NET Amount]]</f>
        <v>0.13759917057338622</v>
      </c>
      <c r="S1041" s="2" t="s">
        <v>39</v>
      </c>
    </row>
    <row r="1042" spans="1:19" x14ac:dyDescent="0.3">
      <c r="A1042" s="4">
        <v>1040</v>
      </c>
      <c r="B1042" s="2" t="s">
        <v>35</v>
      </c>
      <c r="C1042" s="3">
        <v>44851</v>
      </c>
      <c r="D1042" s="3" t="str">
        <f>TEXT(Table1[[#This Row],[Admission Date]],"MMMM")</f>
        <v>October</v>
      </c>
      <c r="E1042" s="3">
        <v>44853</v>
      </c>
      <c r="F1042" s="3">
        <v>44853</v>
      </c>
      <c r="G1042" s="2">
        <v>22027670</v>
      </c>
      <c r="H1042" s="2">
        <v>2236369</v>
      </c>
      <c r="I1042" s="2">
        <v>10013543435</v>
      </c>
      <c r="J1042" s="2" t="s">
        <v>821</v>
      </c>
      <c r="K1042" s="10">
        <v>37156</v>
      </c>
      <c r="L1042" s="10">
        <v>0</v>
      </c>
      <c r="M1042" s="10">
        <v>37156</v>
      </c>
      <c r="N1042" s="10">
        <v>37156</v>
      </c>
      <c r="O1042" s="10">
        <f>Table1[[#This Row],[NET Amount]]-Table1[[#This Row],[Paid Amount]]</f>
        <v>0</v>
      </c>
      <c r="P1042" s="2" t="s">
        <v>18</v>
      </c>
      <c r="Q1042" s="2" t="s">
        <v>30</v>
      </c>
      <c r="R1042" s="16">
        <f>(Table1[[#This Row],[NET Amount]]-Table1[[#This Row],[Total Outstanding Amount]])/Table1[[#This Row],[NET Amount]]</f>
        <v>1</v>
      </c>
      <c r="S1042" s="2" t="s">
        <v>77</v>
      </c>
    </row>
    <row r="1043" spans="1:19" x14ac:dyDescent="0.3">
      <c r="A1043" s="4">
        <v>1041</v>
      </c>
      <c r="B1043" s="2" t="s">
        <v>25</v>
      </c>
      <c r="C1043" s="3">
        <v>44862</v>
      </c>
      <c r="D1043" s="3" t="str">
        <f>TEXT(Table1[[#This Row],[Admission Date]],"MMMM")</f>
        <v>October</v>
      </c>
      <c r="E1043" s="3">
        <v>44865</v>
      </c>
      <c r="F1043" s="3">
        <v>44865</v>
      </c>
      <c r="G1043" s="2">
        <v>22029305</v>
      </c>
      <c r="H1043" s="2">
        <v>2237892</v>
      </c>
      <c r="I1043" s="2">
        <v>10013544990</v>
      </c>
      <c r="J1043" s="2" t="s">
        <v>822</v>
      </c>
      <c r="K1043" s="10">
        <v>81295</v>
      </c>
      <c r="L1043" s="10">
        <v>10816</v>
      </c>
      <c r="M1043" s="10">
        <v>70479</v>
      </c>
      <c r="N1043" s="10">
        <v>70479</v>
      </c>
      <c r="O1043" s="10">
        <f>Table1[[#This Row],[NET Amount]]-Table1[[#This Row],[Paid Amount]]</f>
        <v>0</v>
      </c>
      <c r="P1043" s="2" t="s">
        <v>18</v>
      </c>
      <c r="Q1043" s="2" t="s">
        <v>24</v>
      </c>
      <c r="R1043" s="16">
        <f>(Table1[[#This Row],[NET Amount]]-Table1[[#This Row],[Total Outstanding Amount]])/Table1[[#This Row],[NET Amount]]</f>
        <v>1</v>
      </c>
      <c r="S1043" s="2" t="s">
        <v>65</v>
      </c>
    </row>
    <row r="1044" spans="1:19" x14ac:dyDescent="0.3">
      <c r="A1044" s="4">
        <v>1042</v>
      </c>
      <c r="B1044" s="2" t="s">
        <v>25</v>
      </c>
      <c r="C1044" s="3">
        <v>44846</v>
      </c>
      <c r="D1044" s="3" t="str">
        <f>TEXT(Table1[[#This Row],[Admission Date]],"MMMM")</f>
        <v>October</v>
      </c>
      <c r="E1044" s="3">
        <v>44856</v>
      </c>
      <c r="F1044" s="3">
        <v>44856</v>
      </c>
      <c r="G1044" s="2">
        <v>22028194</v>
      </c>
      <c r="H1044" s="2">
        <v>2235725</v>
      </c>
      <c r="I1044" s="2">
        <v>1000896597</v>
      </c>
      <c r="J1044" s="2" t="s">
        <v>823</v>
      </c>
      <c r="K1044" s="10">
        <v>307233</v>
      </c>
      <c r="L1044" s="10">
        <v>60799</v>
      </c>
      <c r="M1044" s="10">
        <v>246433</v>
      </c>
      <c r="N1044" s="10">
        <v>246433</v>
      </c>
      <c r="O1044" s="10">
        <f>Table1[[#This Row],[NET Amount]]-Table1[[#This Row],[Paid Amount]]</f>
        <v>0</v>
      </c>
      <c r="P1044" s="2" t="s">
        <v>18</v>
      </c>
      <c r="Q1044" s="2" t="s">
        <v>24</v>
      </c>
      <c r="R1044" s="16">
        <f>(Table1[[#This Row],[NET Amount]]-Table1[[#This Row],[Total Outstanding Amount]])/Table1[[#This Row],[NET Amount]]</f>
        <v>1</v>
      </c>
      <c r="S1044" s="2" t="s">
        <v>20</v>
      </c>
    </row>
    <row r="1045" spans="1:19" x14ac:dyDescent="0.3">
      <c r="A1045" s="4">
        <v>1043</v>
      </c>
      <c r="B1045" s="2" t="s">
        <v>25</v>
      </c>
      <c r="C1045" s="3">
        <v>44851</v>
      </c>
      <c r="D1045" s="3" t="str">
        <f>TEXT(Table1[[#This Row],[Admission Date]],"MMMM")</f>
        <v>October</v>
      </c>
      <c r="E1045" s="3">
        <v>44851</v>
      </c>
      <c r="F1045" s="3">
        <v>44851</v>
      </c>
      <c r="G1045" s="2">
        <v>22027488</v>
      </c>
      <c r="H1045" s="2">
        <v>2236337</v>
      </c>
      <c r="I1045" s="2">
        <v>1001804844</v>
      </c>
      <c r="J1045" s="2" t="s">
        <v>824</v>
      </c>
      <c r="K1045" s="10">
        <v>18161</v>
      </c>
      <c r="L1045" s="10">
        <v>2665</v>
      </c>
      <c r="M1045" s="10">
        <v>15496</v>
      </c>
      <c r="N1045" s="10">
        <v>15496</v>
      </c>
      <c r="O1045" s="10">
        <f>Table1[[#This Row],[NET Amount]]-Table1[[#This Row],[Paid Amount]]</f>
        <v>0</v>
      </c>
      <c r="P1045" s="2" t="s">
        <v>18</v>
      </c>
      <c r="Q1045" s="2" t="s">
        <v>24</v>
      </c>
      <c r="R1045" s="16">
        <f>(Table1[[#This Row],[NET Amount]]-Table1[[#This Row],[Total Outstanding Amount]])/Table1[[#This Row],[NET Amount]]</f>
        <v>1</v>
      </c>
      <c r="S1045" s="2" t="s">
        <v>37</v>
      </c>
    </row>
    <row r="1046" spans="1:19" x14ac:dyDescent="0.3">
      <c r="A1046" s="4">
        <v>1044</v>
      </c>
      <c r="B1046" s="2" t="s">
        <v>25</v>
      </c>
      <c r="C1046" s="3">
        <v>44837</v>
      </c>
      <c r="D1046" s="3" t="str">
        <f>TEXT(Table1[[#This Row],[Admission Date]],"MMMM")</f>
        <v>October</v>
      </c>
      <c r="E1046" s="3">
        <v>44846</v>
      </c>
      <c r="F1046" s="3">
        <v>44846</v>
      </c>
      <c r="G1046" s="2">
        <v>22026760</v>
      </c>
      <c r="H1046" s="2">
        <v>2234471</v>
      </c>
      <c r="I1046" s="2">
        <v>10013541420</v>
      </c>
      <c r="J1046" s="2" t="s">
        <v>825</v>
      </c>
      <c r="K1046" s="10">
        <v>250700</v>
      </c>
      <c r="L1046" s="10">
        <v>0</v>
      </c>
      <c r="M1046" s="10">
        <v>250700</v>
      </c>
      <c r="N1046" s="10">
        <v>250700</v>
      </c>
      <c r="O1046" s="10">
        <f>Table1[[#This Row],[NET Amount]]-Table1[[#This Row],[Paid Amount]]</f>
        <v>0</v>
      </c>
      <c r="P1046" s="2" t="s">
        <v>18</v>
      </c>
      <c r="Q1046" s="2" t="s">
        <v>24</v>
      </c>
      <c r="R1046" s="16">
        <f>(Table1[[#This Row],[NET Amount]]-Table1[[#This Row],[Total Outstanding Amount]])/Table1[[#This Row],[NET Amount]]</f>
        <v>1</v>
      </c>
      <c r="S1046" s="2" t="s">
        <v>70</v>
      </c>
    </row>
    <row r="1047" spans="1:19" x14ac:dyDescent="0.3">
      <c r="A1047" s="4">
        <v>1045</v>
      </c>
      <c r="B1047" s="2" t="s">
        <v>178</v>
      </c>
      <c r="C1047" s="3">
        <v>44833</v>
      </c>
      <c r="D1047" s="3" t="str">
        <f>TEXT(Table1[[#This Row],[Admission Date]],"MMMM")</f>
        <v>September</v>
      </c>
      <c r="E1047" s="3">
        <v>44838</v>
      </c>
      <c r="F1047" s="3">
        <v>44838</v>
      </c>
      <c r="G1047" s="2">
        <v>22025527</v>
      </c>
      <c r="H1047" s="2">
        <v>2233969</v>
      </c>
      <c r="I1047" s="2">
        <v>10013540876</v>
      </c>
      <c r="J1047" s="2" t="s">
        <v>826</v>
      </c>
      <c r="K1047" s="10">
        <v>130088</v>
      </c>
      <c r="L1047" s="10">
        <v>16893</v>
      </c>
      <c r="M1047" s="10">
        <v>113195</v>
      </c>
      <c r="N1047" s="10">
        <v>14609</v>
      </c>
      <c r="O1047" s="10">
        <f>Table1[[#This Row],[NET Amount]]-Table1[[#This Row],[Paid Amount]]</f>
        <v>98586</v>
      </c>
      <c r="P1047" s="2" t="s">
        <v>23</v>
      </c>
      <c r="Q1047" s="2" t="s">
        <v>24</v>
      </c>
      <c r="R1047" s="16">
        <f>(Table1[[#This Row],[NET Amount]]-Table1[[#This Row],[Total Outstanding Amount]])/Table1[[#This Row],[NET Amount]]</f>
        <v>0.12906047086885464</v>
      </c>
      <c r="S1047" s="2" t="s">
        <v>20</v>
      </c>
    </row>
    <row r="1048" spans="1:19" x14ac:dyDescent="0.3">
      <c r="A1048" s="4">
        <v>1046</v>
      </c>
      <c r="B1048" s="2" t="s">
        <v>152</v>
      </c>
      <c r="C1048" s="3">
        <v>44839</v>
      </c>
      <c r="D1048" s="3" t="str">
        <f>TEXT(Table1[[#This Row],[Admission Date]],"MMMM")</f>
        <v>October</v>
      </c>
      <c r="E1048" s="3">
        <v>44839</v>
      </c>
      <c r="F1048" s="3">
        <v>44839</v>
      </c>
      <c r="G1048" s="2">
        <v>22025691</v>
      </c>
      <c r="H1048" s="2">
        <v>2234701</v>
      </c>
      <c r="I1048" s="2">
        <v>1001802537</v>
      </c>
      <c r="J1048" s="2" t="s">
        <v>827</v>
      </c>
      <c r="K1048" s="10">
        <v>15209</v>
      </c>
      <c r="L1048" s="10">
        <v>0</v>
      </c>
      <c r="M1048" s="10">
        <v>15209</v>
      </c>
      <c r="N1048" s="10">
        <v>15209</v>
      </c>
      <c r="O1048" s="10">
        <f>Table1[[#This Row],[NET Amount]]-Table1[[#This Row],[Paid Amount]]</f>
        <v>0</v>
      </c>
      <c r="P1048" s="2" t="s">
        <v>18</v>
      </c>
      <c r="Q1048" s="2" t="s">
        <v>30</v>
      </c>
      <c r="R1048" s="16">
        <f>(Table1[[#This Row],[NET Amount]]-Table1[[#This Row],[Total Outstanding Amount]])/Table1[[#This Row],[NET Amount]]</f>
        <v>1</v>
      </c>
      <c r="S1048" s="2" t="s">
        <v>39</v>
      </c>
    </row>
    <row r="1049" spans="1:19" x14ac:dyDescent="0.3">
      <c r="A1049" s="4">
        <v>1047</v>
      </c>
      <c r="B1049" s="2" t="s">
        <v>2244</v>
      </c>
      <c r="C1049" s="3">
        <v>44845</v>
      </c>
      <c r="D1049" s="3" t="str">
        <f>TEXT(Table1[[#This Row],[Admission Date]],"MMMM")</f>
        <v>October</v>
      </c>
      <c r="E1049" s="3">
        <v>44845</v>
      </c>
      <c r="F1049" s="3">
        <v>44845</v>
      </c>
      <c r="G1049" s="2">
        <v>22026634</v>
      </c>
      <c r="H1049" s="2">
        <v>2235559</v>
      </c>
      <c r="I1049" s="2">
        <v>1001755099</v>
      </c>
      <c r="J1049" s="2" t="s">
        <v>750</v>
      </c>
      <c r="K1049" s="10">
        <v>2560</v>
      </c>
      <c r="L1049" s="10">
        <v>0</v>
      </c>
      <c r="M1049" s="10">
        <v>2560</v>
      </c>
      <c r="N1049" s="10">
        <v>2560</v>
      </c>
      <c r="O1049" s="10">
        <f>Table1[[#This Row],[NET Amount]]-Table1[[#This Row],[Paid Amount]]</f>
        <v>0</v>
      </c>
      <c r="P1049" s="2" t="s">
        <v>18</v>
      </c>
      <c r="Q1049" s="2" t="s">
        <v>54</v>
      </c>
      <c r="R1049" s="16">
        <f>(Table1[[#This Row],[NET Amount]]-Table1[[#This Row],[Total Outstanding Amount]])/Table1[[#This Row],[NET Amount]]</f>
        <v>1</v>
      </c>
      <c r="S1049" s="2" t="s">
        <v>97</v>
      </c>
    </row>
    <row r="1050" spans="1:19" x14ac:dyDescent="0.3">
      <c r="A1050" s="4">
        <v>1048</v>
      </c>
      <c r="B1050" s="2" t="s">
        <v>168</v>
      </c>
      <c r="C1050" s="3">
        <v>44860</v>
      </c>
      <c r="D1050" s="3" t="str">
        <f>TEXT(Table1[[#This Row],[Admission Date]],"MMMM")</f>
        <v>October</v>
      </c>
      <c r="E1050" s="3">
        <v>44861</v>
      </c>
      <c r="F1050" s="3">
        <v>44861</v>
      </c>
      <c r="G1050" s="2">
        <v>22028732</v>
      </c>
      <c r="H1050" s="2">
        <v>2237483</v>
      </c>
      <c r="I1050" s="2">
        <v>1001806306</v>
      </c>
      <c r="J1050" s="2" t="s">
        <v>828</v>
      </c>
      <c r="K1050" s="10">
        <v>202335</v>
      </c>
      <c r="L1050" s="10">
        <v>0</v>
      </c>
      <c r="M1050" s="10">
        <v>202335</v>
      </c>
      <c r="N1050" s="10">
        <v>3206</v>
      </c>
      <c r="O1050" s="10">
        <f>Table1[[#This Row],[NET Amount]]-Table1[[#This Row],[Paid Amount]]</f>
        <v>199129</v>
      </c>
      <c r="P1050" s="2" t="s">
        <v>23</v>
      </c>
      <c r="Q1050" s="2" t="s">
        <v>47</v>
      </c>
      <c r="R1050" s="16">
        <f>(Table1[[#This Row],[NET Amount]]-Table1[[#This Row],[Total Outstanding Amount]])/Table1[[#This Row],[NET Amount]]</f>
        <v>1.5845009513924927E-2</v>
      </c>
      <c r="S1050" s="2" t="s">
        <v>39</v>
      </c>
    </row>
    <row r="1051" spans="1:19" x14ac:dyDescent="0.3">
      <c r="A1051" s="4">
        <v>1049</v>
      </c>
      <c r="B1051" s="2" t="s">
        <v>753</v>
      </c>
      <c r="C1051" s="3">
        <v>44845</v>
      </c>
      <c r="D1051" s="3" t="str">
        <f>TEXT(Table1[[#This Row],[Admission Date]],"MMMM")</f>
        <v>October</v>
      </c>
      <c r="E1051" s="3">
        <v>44847</v>
      </c>
      <c r="F1051" s="3">
        <v>44847</v>
      </c>
      <c r="G1051" s="2">
        <v>22026914</v>
      </c>
      <c r="H1051" s="2">
        <v>2235530</v>
      </c>
      <c r="I1051" s="2">
        <v>1001803746</v>
      </c>
      <c r="J1051" s="2" t="s">
        <v>829</v>
      </c>
      <c r="K1051" s="10">
        <v>6950</v>
      </c>
      <c r="L1051" s="10">
        <v>0</v>
      </c>
      <c r="M1051" s="10">
        <v>6950</v>
      </c>
      <c r="N1051" s="10">
        <v>6950</v>
      </c>
      <c r="O1051" s="10">
        <f>Table1[[#This Row],[NET Amount]]-Table1[[#This Row],[Paid Amount]]</f>
        <v>0</v>
      </c>
      <c r="P1051" s="2" t="s">
        <v>18</v>
      </c>
      <c r="Q1051" s="2" t="s">
        <v>104</v>
      </c>
      <c r="R1051" s="16">
        <f>(Table1[[#This Row],[NET Amount]]-Table1[[#This Row],[Total Outstanding Amount]])/Table1[[#This Row],[NET Amount]]</f>
        <v>1</v>
      </c>
      <c r="S1051" s="2" t="s">
        <v>37</v>
      </c>
    </row>
    <row r="1052" spans="1:19" x14ac:dyDescent="0.3">
      <c r="A1052" s="4">
        <v>1050</v>
      </c>
      <c r="B1052" s="2" t="s">
        <v>126</v>
      </c>
      <c r="C1052" s="3">
        <v>44846</v>
      </c>
      <c r="D1052" s="3" t="str">
        <f>TEXT(Table1[[#This Row],[Admission Date]],"MMMM")</f>
        <v>October</v>
      </c>
      <c r="E1052" s="3">
        <v>44853</v>
      </c>
      <c r="F1052" s="3">
        <v>44853</v>
      </c>
      <c r="G1052" s="2">
        <v>22027805</v>
      </c>
      <c r="H1052" s="2">
        <v>2235783</v>
      </c>
      <c r="I1052" s="2">
        <v>10013542769</v>
      </c>
      <c r="J1052" s="2" t="s">
        <v>830</v>
      </c>
      <c r="K1052" s="10">
        <v>1145732</v>
      </c>
      <c r="L1052" s="10">
        <v>0</v>
      </c>
      <c r="M1052" s="10">
        <v>1145732</v>
      </c>
      <c r="N1052" s="10">
        <v>745732</v>
      </c>
      <c r="O1052" s="10">
        <f>Table1[[#This Row],[NET Amount]]-Table1[[#This Row],[Paid Amount]]</f>
        <v>400000</v>
      </c>
      <c r="P1052" s="2" t="s">
        <v>23</v>
      </c>
      <c r="Q1052" s="2" t="s">
        <v>24</v>
      </c>
      <c r="R1052" s="16">
        <f>(Table1[[#This Row],[NET Amount]]-Table1[[#This Row],[Total Outstanding Amount]])/Table1[[#This Row],[NET Amount]]</f>
        <v>0.65087821584803429</v>
      </c>
      <c r="S1052" s="2" t="s">
        <v>494</v>
      </c>
    </row>
    <row r="1053" spans="1:19" x14ac:dyDescent="0.3">
      <c r="A1053" s="4">
        <v>1051</v>
      </c>
      <c r="B1053" s="2" t="s">
        <v>117</v>
      </c>
      <c r="C1053" s="3">
        <v>44838</v>
      </c>
      <c r="D1053" s="3" t="str">
        <f>TEXT(Table1[[#This Row],[Admission Date]],"MMMM")</f>
        <v>October</v>
      </c>
      <c r="E1053" s="3">
        <v>44840</v>
      </c>
      <c r="F1053" s="3">
        <v>44840</v>
      </c>
      <c r="G1053" s="2">
        <v>22025875</v>
      </c>
      <c r="H1053" s="2">
        <v>2234627</v>
      </c>
      <c r="I1053" s="2">
        <v>10013541591</v>
      </c>
      <c r="J1053" s="2" t="s">
        <v>831</v>
      </c>
      <c r="K1053" s="10">
        <v>73440</v>
      </c>
      <c r="L1053" s="10">
        <v>0</v>
      </c>
      <c r="M1053" s="10">
        <v>73440</v>
      </c>
      <c r="N1053" s="10">
        <v>73440</v>
      </c>
      <c r="O1053" s="10">
        <f>Table1[[#This Row],[NET Amount]]-Table1[[#This Row],[Paid Amount]]</f>
        <v>0</v>
      </c>
      <c r="P1053" s="2" t="s">
        <v>18</v>
      </c>
      <c r="Q1053" s="2" t="s">
        <v>24</v>
      </c>
      <c r="R1053" s="16">
        <f>(Table1[[#This Row],[NET Amount]]-Table1[[#This Row],[Total Outstanding Amount]])/Table1[[#This Row],[NET Amount]]</f>
        <v>1</v>
      </c>
      <c r="S1053" s="2" t="s">
        <v>280</v>
      </c>
    </row>
    <row r="1054" spans="1:19" x14ac:dyDescent="0.3">
      <c r="A1054" s="4">
        <v>1052</v>
      </c>
      <c r="B1054" s="2" t="s">
        <v>126</v>
      </c>
      <c r="C1054" s="3">
        <v>44854</v>
      </c>
      <c r="D1054" s="3" t="str">
        <f>TEXT(Table1[[#This Row],[Admission Date]],"MMMM")</f>
        <v>October</v>
      </c>
      <c r="E1054" s="3">
        <v>44856</v>
      </c>
      <c r="F1054" s="3">
        <v>44856</v>
      </c>
      <c r="G1054" s="2">
        <v>22028177</v>
      </c>
      <c r="H1054" s="2">
        <v>2236777</v>
      </c>
      <c r="I1054" s="2">
        <v>10013543891</v>
      </c>
      <c r="J1054" s="2" t="s">
        <v>832</v>
      </c>
      <c r="K1054" s="10">
        <v>40944</v>
      </c>
      <c r="L1054" s="10">
        <v>5718</v>
      </c>
      <c r="M1054" s="10">
        <v>35226</v>
      </c>
      <c r="N1054" s="10">
        <v>6781</v>
      </c>
      <c r="O1054" s="10">
        <f>Table1[[#This Row],[NET Amount]]-Table1[[#This Row],[Paid Amount]]</f>
        <v>28445</v>
      </c>
      <c r="P1054" s="2" t="s">
        <v>23</v>
      </c>
      <c r="Q1054" s="2" t="s">
        <v>19</v>
      </c>
      <c r="R1054" s="16">
        <f>(Table1[[#This Row],[NET Amount]]-Table1[[#This Row],[Total Outstanding Amount]])/Table1[[#This Row],[NET Amount]]</f>
        <v>0.19249985805938796</v>
      </c>
      <c r="S1054" s="2" t="s">
        <v>20</v>
      </c>
    </row>
    <row r="1055" spans="1:19" x14ac:dyDescent="0.3">
      <c r="A1055" s="4">
        <v>1053</v>
      </c>
      <c r="B1055" s="2" t="s">
        <v>25</v>
      </c>
      <c r="C1055" s="3">
        <v>44860</v>
      </c>
      <c r="D1055" s="3" t="str">
        <f>TEXT(Table1[[#This Row],[Admission Date]],"MMMM")</f>
        <v>October</v>
      </c>
      <c r="E1055" s="3">
        <v>44861</v>
      </c>
      <c r="F1055" s="3">
        <v>44861</v>
      </c>
      <c r="G1055" s="2">
        <v>22028767</v>
      </c>
      <c r="H1055" s="2">
        <v>2237427</v>
      </c>
      <c r="I1055" s="2">
        <v>10013544475</v>
      </c>
      <c r="J1055" s="2" t="s">
        <v>833</v>
      </c>
      <c r="K1055" s="10">
        <v>41817</v>
      </c>
      <c r="L1055" s="10">
        <v>5297</v>
      </c>
      <c r="M1055" s="10">
        <v>36520</v>
      </c>
      <c r="N1055" s="10">
        <v>36520</v>
      </c>
      <c r="O1055" s="10">
        <f>Table1[[#This Row],[NET Amount]]-Table1[[#This Row],[Paid Amount]]</f>
        <v>0</v>
      </c>
      <c r="P1055" s="2" t="s">
        <v>18</v>
      </c>
      <c r="Q1055" s="2" t="s">
        <v>19</v>
      </c>
      <c r="R1055" s="16">
        <f>(Table1[[#This Row],[NET Amount]]-Table1[[#This Row],[Total Outstanding Amount]])/Table1[[#This Row],[NET Amount]]</f>
        <v>1</v>
      </c>
      <c r="S1055" s="2" t="s">
        <v>20</v>
      </c>
    </row>
    <row r="1056" spans="1:19" x14ac:dyDescent="0.3">
      <c r="A1056" s="4">
        <v>1054</v>
      </c>
      <c r="B1056" s="2" t="s">
        <v>152</v>
      </c>
      <c r="C1056" s="3">
        <v>44859</v>
      </c>
      <c r="D1056" s="3" t="str">
        <f>TEXT(Table1[[#This Row],[Admission Date]],"MMMM")</f>
        <v>October</v>
      </c>
      <c r="E1056" s="3">
        <v>44861</v>
      </c>
      <c r="F1056" s="3">
        <v>44861</v>
      </c>
      <c r="G1056" s="2">
        <v>22028779</v>
      </c>
      <c r="H1056" s="2">
        <v>2237285</v>
      </c>
      <c r="I1056" s="2">
        <v>10013543999</v>
      </c>
      <c r="J1056" s="2" t="s">
        <v>834</v>
      </c>
      <c r="K1056" s="10">
        <v>18170</v>
      </c>
      <c r="L1056" s="10">
        <v>0</v>
      </c>
      <c r="M1056" s="10">
        <v>18170</v>
      </c>
      <c r="N1056" s="10">
        <v>18170</v>
      </c>
      <c r="O1056" s="10">
        <f>Table1[[#This Row],[NET Amount]]-Table1[[#This Row],[Paid Amount]]</f>
        <v>0</v>
      </c>
      <c r="P1056" s="2" t="s">
        <v>18</v>
      </c>
      <c r="Q1056" s="2" t="s">
        <v>19</v>
      </c>
      <c r="R1056" s="16">
        <f>(Table1[[#This Row],[NET Amount]]-Table1[[#This Row],[Total Outstanding Amount]])/Table1[[#This Row],[NET Amount]]</f>
        <v>1</v>
      </c>
      <c r="S1056" s="2" t="s">
        <v>27</v>
      </c>
    </row>
    <row r="1057" spans="1:19" x14ac:dyDescent="0.3">
      <c r="A1057" s="4">
        <v>1055</v>
      </c>
      <c r="B1057" s="2" t="s">
        <v>25</v>
      </c>
      <c r="C1057" s="3">
        <v>44831</v>
      </c>
      <c r="D1057" s="3" t="str">
        <f>TEXT(Table1[[#This Row],[Admission Date]],"MMMM")</f>
        <v>September</v>
      </c>
      <c r="E1057" s="3">
        <v>44835</v>
      </c>
      <c r="F1057" s="3">
        <v>44835</v>
      </c>
      <c r="G1057" s="2">
        <v>22025133</v>
      </c>
      <c r="H1057" s="2">
        <v>2233676</v>
      </c>
      <c r="I1057" s="2">
        <v>10013520634</v>
      </c>
      <c r="J1057" s="2" t="s">
        <v>835</v>
      </c>
      <c r="K1057" s="10">
        <v>115276</v>
      </c>
      <c r="L1057" s="10">
        <v>24942</v>
      </c>
      <c r="M1057" s="10">
        <v>90334</v>
      </c>
      <c r="N1057" s="10">
        <v>90334</v>
      </c>
      <c r="O1057" s="10">
        <f>Table1[[#This Row],[NET Amount]]-Table1[[#This Row],[Paid Amount]]</f>
        <v>0</v>
      </c>
      <c r="P1057" s="2" t="s">
        <v>18</v>
      </c>
      <c r="Q1057" s="2" t="s">
        <v>24</v>
      </c>
      <c r="R1057" s="16">
        <f>(Table1[[#This Row],[NET Amount]]-Table1[[#This Row],[Total Outstanding Amount]])/Table1[[#This Row],[NET Amount]]</f>
        <v>1</v>
      </c>
      <c r="S1057" s="2" t="s">
        <v>65</v>
      </c>
    </row>
    <row r="1058" spans="1:19" x14ac:dyDescent="0.3">
      <c r="A1058" s="4">
        <v>1056</v>
      </c>
      <c r="B1058" s="2" t="s">
        <v>25</v>
      </c>
      <c r="C1058" s="3">
        <v>44837</v>
      </c>
      <c r="D1058" s="3" t="str">
        <f>TEXT(Table1[[#This Row],[Admission Date]],"MMMM")</f>
        <v>October</v>
      </c>
      <c r="E1058" s="3">
        <v>44852</v>
      </c>
      <c r="F1058" s="3">
        <v>44852</v>
      </c>
      <c r="G1058" s="2">
        <v>22027633</v>
      </c>
      <c r="H1058" s="2">
        <v>2234451</v>
      </c>
      <c r="I1058" s="2">
        <v>10013541369</v>
      </c>
      <c r="J1058" s="2" t="s">
        <v>836</v>
      </c>
      <c r="K1058" s="10">
        <v>887157</v>
      </c>
      <c r="L1058" s="10">
        <v>439055</v>
      </c>
      <c r="M1058" s="10">
        <v>448102</v>
      </c>
      <c r="N1058" s="10">
        <v>448102</v>
      </c>
      <c r="O1058" s="10">
        <f>Table1[[#This Row],[NET Amount]]-Table1[[#This Row],[Paid Amount]]</f>
        <v>0</v>
      </c>
      <c r="P1058" s="2" t="s">
        <v>23</v>
      </c>
      <c r="Q1058" s="2" t="s">
        <v>225</v>
      </c>
      <c r="R1058" s="16">
        <f>(Table1[[#This Row],[NET Amount]]-Table1[[#This Row],[Total Outstanding Amount]])/Table1[[#This Row],[NET Amount]]</f>
        <v>1</v>
      </c>
      <c r="S1058" s="2" t="s">
        <v>65</v>
      </c>
    </row>
    <row r="1059" spans="1:19" x14ac:dyDescent="0.3">
      <c r="A1059" s="4">
        <v>1057</v>
      </c>
      <c r="B1059" s="2" t="s">
        <v>2251</v>
      </c>
      <c r="C1059" s="3">
        <v>44851</v>
      </c>
      <c r="D1059" s="3" t="str">
        <f>TEXT(Table1[[#This Row],[Admission Date]],"MMMM")</f>
        <v>October</v>
      </c>
      <c r="E1059" s="3">
        <v>44855</v>
      </c>
      <c r="F1059" s="3">
        <v>44855</v>
      </c>
      <c r="G1059" s="2">
        <v>22028018</v>
      </c>
      <c r="H1059" s="2">
        <v>2236338</v>
      </c>
      <c r="I1059" s="2">
        <v>1001804689</v>
      </c>
      <c r="J1059" s="2" t="s">
        <v>837</v>
      </c>
      <c r="K1059" s="10">
        <v>64299</v>
      </c>
      <c r="L1059" s="10">
        <v>8952</v>
      </c>
      <c r="M1059" s="10">
        <v>55348</v>
      </c>
      <c r="N1059" s="10">
        <v>1000</v>
      </c>
      <c r="O1059" s="10">
        <f>Table1[[#This Row],[NET Amount]]-Table1[[#This Row],[Paid Amount]]</f>
        <v>54348</v>
      </c>
      <c r="P1059" s="2" t="s">
        <v>23</v>
      </c>
      <c r="Q1059" s="2" t="s">
        <v>30</v>
      </c>
      <c r="R1059" s="16">
        <f>(Table1[[#This Row],[NET Amount]]-Table1[[#This Row],[Total Outstanding Amount]])/Table1[[#This Row],[NET Amount]]</f>
        <v>1.8067500180675003E-2</v>
      </c>
      <c r="S1059" s="2" t="s">
        <v>20</v>
      </c>
    </row>
    <row r="1060" spans="1:19" x14ac:dyDescent="0.3">
      <c r="A1060" s="4">
        <v>1058</v>
      </c>
      <c r="B1060" s="2" t="s">
        <v>25</v>
      </c>
      <c r="C1060" s="3">
        <v>44837</v>
      </c>
      <c r="D1060" s="3" t="str">
        <f>TEXT(Table1[[#This Row],[Admission Date]],"MMMM")</f>
        <v>October</v>
      </c>
      <c r="E1060" s="3">
        <v>44839</v>
      </c>
      <c r="F1060" s="3">
        <v>44839</v>
      </c>
      <c r="G1060" s="2">
        <v>22025687</v>
      </c>
      <c r="H1060" s="2">
        <v>2234402</v>
      </c>
      <c r="I1060" s="2">
        <v>1001802191</v>
      </c>
      <c r="J1060" s="2" t="s">
        <v>838</v>
      </c>
      <c r="K1060" s="10">
        <v>16960</v>
      </c>
      <c r="L1060" s="10">
        <v>2059</v>
      </c>
      <c r="M1060" s="10">
        <v>14901</v>
      </c>
      <c r="N1060" s="10">
        <v>14901</v>
      </c>
      <c r="O1060" s="10">
        <f>Table1[[#This Row],[NET Amount]]-Table1[[#This Row],[Paid Amount]]</f>
        <v>0</v>
      </c>
      <c r="P1060" s="2" t="s">
        <v>18</v>
      </c>
      <c r="Q1060" s="2" t="s">
        <v>30</v>
      </c>
      <c r="R1060" s="16">
        <f>(Table1[[#This Row],[NET Amount]]-Table1[[#This Row],[Total Outstanding Amount]])/Table1[[#This Row],[NET Amount]]</f>
        <v>1</v>
      </c>
      <c r="S1060" s="2" t="s">
        <v>37</v>
      </c>
    </row>
    <row r="1061" spans="1:19" x14ac:dyDescent="0.3">
      <c r="A1061" s="4">
        <v>1059</v>
      </c>
      <c r="B1061" s="2" t="s">
        <v>259</v>
      </c>
      <c r="C1061" s="3">
        <v>44846</v>
      </c>
      <c r="D1061" s="3" t="str">
        <f>TEXT(Table1[[#This Row],[Admission Date]],"MMMM")</f>
        <v>October</v>
      </c>
      <c r="E1061" s="3">
        <v>44851</v>
      </c>
      <c r="F1061" s="3">
        <v>44851</v>
      </c>
      <c r="G1061" s="2">
        <v>22027368</v>
      </c>
      <c r="H1061" s="2">
        <v>2235663</v>
      </c>
      <c r="I1061" s="2">
        <v>10013542664</v>
      </c>
      <c r="J1061" s="2" t="s">
        <v>839</v>
      </c>
      <c r="K1061" s="10">
        <v>179433</v>
      </c>
      <c r="L1061" s="10">
        <v>0</v>
      </c>
      <c r="M1061" s="10">
        <v>179433</v>
      </c>
      <c r="N1061" s="10">
        <v>19379</v>
      </c>
      <c r="O1061" s="10">
        <f>Table1[[#This Row],[NET Amount]]-Table1[[#This Row],[Paid Amount]]</f>
        <v>160054</v>
      </c>
      <c r="P1061" s="2" t="s">
        <v>23</v>
      </c>
      <c r="Q1061" s="2" t="s">
        <v>24</v>
      </c>
      <c r="R1061" s="16">
        <f>(Table1[[#This Row],[NET Amount]]-Table1[[#This Row],[Total Outstanding Amount]])/Table1[[#This Row],[NET Amount]]</f>
        <v>0.10800131525416172</v>
      </c>
      <c r="S1061" s="2" t="s">
        <v>20</v>
      </c>
    </row>
    <row r="1062" spans="1:19" x14ac:dyDescent="0.3">
      <c r="A1062" s="4">
        <v>1060</v>
      </c>
      <c r="B1062" s="2" t="s">
        <v>35</v>
      </c>
      <c r="C1062" s="3">
        <v>44849</v>
      </c>
      <c r="D1062" s="3" t="str">
        <f>TEXT(Table1[[#This Row],[Admission Date]],"MMMM")</f>
        <v>October</v>
      </c>
      <c r="E1062" s="3">
        <v>44849</v>
      </c>
      <c r="F1062" s="3">
        <v>44849</v>
      </c>
      <c r="G1062" s="2">
        <v>22027175</v>
      </c>
      <c r="H1062" s="2">
        <v>2236111</v>
      </c>
      <c r="I1062" s="2">
        <v>1001804504</v>
      </c>
      <c r="J1062" s="2" t="s">
        <v>840</v>
      </c>
      <c r="K1062" s="10">
        <v>11903</v>
      </c>
      <c r="L1062" s="10">
        <v>0</v>
      </c>
      <c r="M1062" s="10">
        <v>11903</v>
      </c>
      <c r="N1062" s="10">
        <v>11903</v>
      </c>
      <c r="O1062" s="10">
        <f>Table1[[#This Row],[NET Amount]]-Table1[[#This Row],[Paid Amount]]</f>
        <v>0</v>
      </c>
      <c r="P1062" s="2" t="s">
        <v>18</v>
      </c>
      <c r="Q1062" s="2" t="s">
        <v>24</v>
      </c>
      <c r="R1062" s="16">
        <f>(Table1[[#This Row],[NET Amount]]-Table1[[#This Row],[Total Outstanding Amount]])/Table1[[#This Row],[NET Amount]]</f>
        <v>1</v>
      </c>
      <c r="S1062" s="2" t="s">
        <v>39</v>
      </c>
    </row>
    <row r="1063" spans="1:19" x14ac:dyDescent="0.3">
      <c r="A1063" s="4">
        <v>1061</v>
      </c>
      <c r="B1063" s="2" t="s">
        <v>93</v>
      </c>
      <c r="C1063" s="3">
        <v>44850</v>
      </c>
      <c r="D1063" s="3" t="str">
        <f>TEXT(Table1[[#This Row],[Admission Date]],"MMMM")</f>
        <v>October</v>
      </c>
      <c r="E1063" s="3">
        <v>44856</v>
      </c>
      <c r="F1063" s="3">
        <v>44856</v>
      </c>
      <c r="G1063" s="2">
        <v>22028188</v>
      </c>
      <c r="H1063" s="2">
        <v>2236238</v>
      </c>
      <c r="I1063" s="2">
        <v>1000921568</v>
      </c>
      <c r="J1063" s="2" t="s">
        <v>841</v>
      </c>
      <c r="K1063" s="10">
        <v>71044</v>
      </c>
      <c r="L1063" s="10">
        <v>9456</v>
      </c>
      <c r="M1063" s="10">
        <v>61588</v>
      </c>
      <c r="N1063" s="10">
        <v>2062</v>
      </c>
      <c r="O1063" s="10">
        <f>Table1[[#This Row],[NET Amount]]-Table1[[#This Row],[Paid Amount]]</f>
        <v>59526</v>
      </c>
      <c r="P1063" s="2" t="s">
        <v>23</v>
      </c>
      <c r="Q1063" s="2" t="s">
        <v>42</v>
      </c>
      <c r="R1063" s="16">
        <f>(Table1[[#This Row],[NET Amount]]-Table1[[#This Row],[Total Outstanding Amount]])/Table1[[#This Row],[NET Amount]]</f>
        <v>3.3480548158732221E-2</v>
      </c>
      <c r="S1063" s="2" t="s">
        <v>20</v>
      </c>
    </row>
    <row r="1064" spans="1:19" x14ac:dyDescent="0.3">
      <c r="A1064" s="4">
        <v>1062</v>
      </c>
      <c r="B1064" s="2" t="s">
        <v>25</v>
      </c>
      <c r="C1064" s="3">
        <v>44854</v>
      </c>
      <c r="D1064" s="3" t="str">
        <f>TEXT(Table1[[#This Row],[Admission Date]],"MMMM")</f>
        <v>October</v>
      </c>
      <c r="E1064" s="3">
        <v>44857</v>
      </c>
      <c r="F1064" s="3">
        <v>44857</v>
      </c>
      <c r="G1064" s="2">
        <v>22028351</v>
      </c>
      <c r="H1064" s="2">
        <v>2236832</v>
      </c>
      <c r="I1064" s="2">
        <v>1001805516</v>
      </c>
      <c r="J1064" s="2" t="s">
        <v>842</v>
      </c>
      <c r="K1064" s="10">
        <v>206910</v>
      </c>
      <c r="L1064" s="10">
        <v>15672</v>
      </c>
      <c r="M1064" s="10">
        <v>191237</v>
      </c>
      <c r="N1064" s="10">
        <v>191237</v>
      </c>
      <c r="O1064" s="10">
        <f>Table1[[#This Row],[NET Amount]]-Table1[[#This Row],[Paid Amount]]</f>
        <v>0</v>
      </c>
      <c r="P1064" s="2" t="s">
        <v>18</v>
      </c>
      <c r="Q1064" s="2" t="s">
        <v>24</v>
      </c>
      <c r="R1064" s="16">
        <f>(Table1[[#This Row],[NET Amount]]-Table1[[#This Row],[Total Outstanding Amount]])/Table1[[#This Row],[NET Amount]]</f>
        <v>1</v>
      </c>
      <c r="S1064" s="2" t="s">
        <v>39</v>
      </c>
    </row>
    <row r="1065" spans="1:19" x14ac:dyDescent="0.3">
      <c r="A1065" s="4">
        <v>1063</v>
      </c>
      <c r="B1065" s="2" t="s">
        <v>50</v>
      </c>
      <c r="C1065" s="3">
        <v>44846</v>
      </c>
      <c r="D1065" s="3" t="str">
        <f>TEXT(Table1[[#This Row],[Admission Date]],"MMMM")</f>
        <v>October</v>
      </c>
      <c r="E1065" s="3">
        <v>44849</v>
      </c>
      <c r="F1065" s="3">
        <v>44849</v>
      </c>
      <c r="G1065" s="2">
        <v>22027117</v>
      </c>
      <c r="H1065" s="2">
        <v>2235687</v>
      </c>
      <c r="I1065" s="2">
        <v>1001803945</v>
      </c>
      <c r="J1065" s="2" t="s">
        <v>843</v>
      </c>
      <c r="K1065" s="10">
        <v>6700</v>
      </c>
      <c r="L1065" s="10">
        <v>0</v>
      </c>
      <c r="M1065" s="10">
        <v>6700</v>
      </c>
      <c r="N1065" s="10">
        <v>6700</v>
      </c>
      <c r="O1065" s="10">
        <f>Table1[[#This Row],[NET Amount]]-Table1[[#This Row],[Paid Amount]]</f>
        <v>0</v>
      </c>
      <c r="P1065" s="2" t="s">
        <v>18</v>
      </c>
      <c r="Q1065" s="2" t="s">
        <v>42</v>
      </c>
      <c r="R1065" s="16">
        <f>(Table1[[#This Row],[NET Amount]]-Table1[[#This Row],[Total Outstanding Amount]])/Table1[[#This Row],[NET Amount]]</f>
        <v>1</v>
      </c>
      <c r="S1065" s="2" t="s">
        <v>37</v>
      </c>
    </row>
    <row r="1066" spans="1:19" x14ac:dyDescent="0.3">
      <c r="A1066" s="4">
        <v>1064</v>
      </c>
      <c r="B1066" s="2" t="s">
        <v>117</v>
      </c>
      <c r="C1066" s="3">
        <v>44851</v>
      </c>
      <c r="D1066" s="3" t="str">
        <f>TEXT(Table1[[#This Row],[Admission Date]],"MMMM")</f>
        <v>October</v>
      </c>
      <c r="E1066" s="3">
        <v>44853</v>
      </c>
      <c r="F1066" s="3">
        <v>44853</v>
      </c>
      <c r="G1066" s="2">
        <v>22027655</v>
      </c>
      <c r="H1066" s="2">
        <v>2236309</v>
      </c>
      <c r="I1066" s="2">
        <v>10013499738</v>
      </c>
      <c r="J1066" s="2" t="s">
        <v>844</v>
      </c>
      <c r="K1066" s="10">
        <v>33740</v>
      </c>
      <c r="L1066" s="10">
        <v>0</v>
      </c>
      <c r="M1066" s="10">
        <v>33740</v>
      </c>
      <c r="N1066" s="10">
        <v>33740</v>
      </c>
      <c r="O1066" s="10">
        <f>Table1[[#This Row],[NET Amount]]-Table1[[#This Row],[Paid Amount]]</f>
        <v>0</v>
      </c>
      <c r="P1066" s="2" t="s">
        <v>18</v>
      </c>
      <c r="Q1066" s="2" t="s">
        <v>24</v>
      </c>
      <c r="R1066" s="16">
        <f>(Table1[[#This Row],[NET Amount]]-Table1[[#This Row],[Total Outstanding Amount]])/Table1[[#This Row],[NET Amount]]</f>
        <v>1</v>
      </c>
      <c r="S1066" s="2" t="s">
        <v>77</v>
      </c>
    </row>
    <row r="1067" spans="1:19" x14ac:dyDescent="0.3">
      <c r="A1067" s="4">
        <v>1065</v>
      </c>
      <c r="B1067" s="2" t="s">
        <v>2273</v>
      </c>
      <c r="C1067" s="3">
        <v>44849</v>
      </c>
      <c r="D1067" s="3" t="str">
        <f>TEXT(Table1[[#This Row],[Admission Date]],"MMMM")</f>
        <v>October</v>
      </c>
      <c r="E1067" s="3">
        <v>44853</v>
      </c>
      <c r="F1067" s="3">
        <v>44853</v>
      </c>
      <c r="G1067" s="2">
        <v>22027703</v>
      </c>
      <c r="H1067" s="2">
        <v>2236213</v>
      </c>
      <c r="I1067" s="2">
        <v>1001804624</v>
      </c>
      <c r="J1067" s="2" t="s">
        <v>845</v>
      </c>
      <c r="K1067" s="10">
        <v>59865</v>
      </c>
      <c r="L1067" s="10">
        <v>0</v>
      </c>
      <c r="M1067" s="10">
        <v>59865</v>
      </c>
      <c r="N1067" s="10">
        <v>4008</v>
      </c>
      <c r="O1067" s="10">
        <f>Table1[[#This Row],[NET Amount]]-Table1[[#This Row],[Paid Amount]]</f>
        <v>55857</v>
      </c>
      <c r="P1067" s="2" t="s">
        <v>23</v>
      </c>
      <c r="Q1067" s="2" t="s">
        <v>52</v>
      </c>
      <c r="R1067" s="16">
        <f>(Table1[[#This Row],[NET Amount]]-Table1[[#This Row],[Total Outstanding Amount]])/Table1[[#This Row],[NET Amount]]</f>
        <v>6.6950638937609622E-2</v>
      </c>
      <c r="S1067" s="2" t="s">
        <v>20</v>
      </c>
    </row>
    <row r="1068" spans="1:19" x14ac:dyDescent="0.3">
      <c r="A1068" s="4">
        <v>1066</v>
      </c>
      <c r="B1068" s="2" t="s">
        <v>35</v>
      </c>
      <c r="C1068" s="3">
        <v>44861</v>
      </c>
      <c r="D1068" s="3" t="str">
        <f>TEXT(Table1[[#This Row],[Admission Date]],"MMMM")</f>
        <v>October</v>
      </c>
      <c r="E1068" s="3">
        <v>44861</v>
      </c>
      <c r="F1068" s="3">
        <v>44861</v>
      </c>
      <c r="G1068" s="2">
        <v>22028793</v>
      </c>
      <c r="H1068" s="2">
        <v>2237628</v>
      </c>
      <c r="I1068" s="2">
        <v>1001806499</v>
      </c>
      <c r="J1068" s="2" t="s">
        <v>846</v>
      </c>
      <c r="K1068" s="10">
        <v>2570</v>
      </c>
      <c r="L1068" s="10">
        <v>0</v>
      </c>
      <c r="M1068" s="10">
        <v>2570</v>
      </c>
      <c r="N1068" s="10">
        <v>2570</v>
      </c>
      <c r="O1068" s="10">
        <f>Table1[[#This Row],[NET Amount]]-Table1[[#This Row],[Paid Amount]]</f>
        <v>0</v>
      </c>
      <c r="P1068" s="2" t="s">
        <v>18</v>
      </c>
      <c r="Q1068" s="2" t="s">
        <v>24</v>
      </c>
      <c r="R1068" s="16">
        <f>(Table1[[#This Row],[NET Amount]]-Table1[[#This Row],[Total Outstanding Amount]])/Table1[[#This Row],[NET Amount]]</f>
        <v>1</v>
      </c>
      <c r="S1068" s="2" t="s">
        <v>27</v>
      </c>
    </row>
    <row r="1069" spans="1:19" x14ac:dyDescent="0.3">
      <c r="A1069" s="4">
        <v>1067</v>
      </c>
      <c r="B1069" s="2" t="s">
        <v>522</v>
      </c>
      <c r="C1069" s="3">
        <v>44855</v>
      </c>
      <c r="D1069" s="3" t="str">
        <f>TEXT(Table1[[#This Row],[Admission Date]],"MMMM")</f>
        <v>October</v>
      </c>
      <c r="E1069" s="3">
        <v>44861</v>
      </c>
      <c r="F1069" s="3">
        <v>44861</v>
      </c>
      <c r="G1069" s="2">
        <v>22028810</v>
      </c>
      <c r="H1069" s="2">
        <v>2236950</v>
      </c>
      <c r="I1069" s="2">
        <v>10013544063</v>
      </c>
      <c r="J1069" s="2" t="s">
        <v>847</v>
      </c>
      <c r="K1069" s="10">
        <v>27549</v>
      </c>
      <c r="L1069" s="10">
        <v>0</v>
      </c>
      <c r="M1069" s="10">
        <v>27549</v>
      </c>
      <c r="N1069" s="10">
        <v>1099</v>
      </c>
      <c r="O1069" s="10">
        <f>Table1[[#This Row],[NET Amount]]-Table1[[#This Row],[Paid Amount]]</f>
        <v>26450</v>
      </c>
      <c r="P1069" s="2" t="s">
        <v>23</v>
      </c>
      <c r="Q1069" s="2" t="s">
        <v>24</v>
      </c>
      <c r="R1069" s="16">
        <f>(Table1[[#This Row],[NET Amount]]-Table1[[#This Row],[Total Outstanding Amount]])/Table1[[#This Row],[NET Amount]]</f>
        <v>3.9892555083669096E-2</v>
      </c>
      <c r="S1069" s="2" t="s">
        <v>20</v>
      </c>
    </row>
    <row r="1070" spans="1:19" x14ac:dyDescent="0.3">
      <c r="A1070" s="4">
        <v>1068</v>
      </c>
      <c r="B1070" s="2" t="s">
        <v>25</v>
      </c>
      <c r="C1070" s="3">
        <v>44835</v>
      </c>
      <c r="D1070" s="3" t="str">
        <f>TEXT(Table1[[#This Row],[Admission Date]],"MMMM")</f>
        <v>October</v>
      </c>
      <c r="E1070" s="3">
        <v>44841</v>
      </c>
      <c r="F1070" s="3">
        <v>44841</v>
      </c>
      <c r="G1070" s="2">
        <v>22026068</v>
      </c>
      <c r="H1070" s="2">
        <v>2234268</v>
      </c>
      <c r="I1070" s="2">
        <v>1001801946</v>
      </c>
      <c r="J1070" s="2" t="s">
        <v>848</v>
      </c>
      <c r="K1070" s="10">
        <v>179244</v>
      </c>
      <c r="L1070" s="10">
        <v>15625</v>
      </c>
      <c r="M1070" s="10">
        <v>163619</v>
      </c>
      <c r="N1070" s="10">
        <v>163619</v>
      </c>
      <c r="O1070" s="10">
        <f>Table1[[#This Row],[NET Amount]]-Table1[[#This Row],[Paid Amount]]</f>
        <v>0</v>
      </c>
      <c r="P1070" s="2" t="s">
        <v>18</v>
      </c>
      <c r="Q1070" s="2" t="s">
        <v>19</v>
      </c>
      <c r="R1070" s="16">
        <f>(Table1[[#This Row],[NET Amount]]-Table1[[#This Row],[Total Outstanding Amount]])/Table1[[#This Row],[NET Amount]]</f>
        <v>1</v>
      </c>
      <c r="S1070" s="2" t="s">
        <v>20</v>
      </c>
    </row>
    <row r="1071" spans="1:19" x14ac:dyDescent="0.3">
      <c r="A1071" s="4">
        <v>1069</v>
      </c>
      <c r="B1071" s="2" t="s">
        <v>2274</v>
      </c>
      <c r="C1071" s="3">
        <v>44859</v>
      </c>
      <c r="D1071" s="3" t="str">
        <f>TEXT(Table1[[#This Row],[Admission Date]],"MMMM")</f>
        <v>October</v>
      </c>
      <c r="E1071" s="3">
        <v>44863</v>
      </c>
      <c r="F1071" s="3">
        <v>44863</v>
      </c>
      <c r="G1071" s="2">
        <v>22029049</v>
      </c>
      <c r="H1071" s="2">
        <v>2237336</v>
      </c>
      <c r="I1071" s="2">
        <v>1001633040</v>
      </c>
      <c r="J1071" s="2" t="s">
        <v>849</v>
      </c>
      <c r="K1071" s="10">
        <v>73683</v>
      </c>
      <c r="L1071" s="10">
        <v>7796</v>
      </c>
      <c r="M1071" s="10">
        <v>65887</v>
      </c>
      <c r="N1071" s="10">
        <v>30014</v>
      </c>
      <c r="O1071" s="10">
        <f>Table1[[#This Row],[NET Amount]]-Table1[[#This Row],[Paid Amount]]</f>
        <v>35873</v>
      </c>
      <c r="P1071" s="2" t="s">
        <v>23</v>
      </c>
      <c r="Q1071" s="2" t="s">
        <v>42</v>
      </c>
      <c r="R1071" s="16">
        <f>(Table1[[#This Row],[NET Amount]]-Table1[[#This Row],[Total Outstanding Amount]])/Table1[[#This Row],[NET Amount]]</f>
        <v>0.45553751119340691</v>
      </c>
      <c r="S1071" s="2" t="s">
        <v>20</v>
      </c>
    </row>
    <row r="1072" spans="1:19" x14ac:dyDescent="0.3">
      <c r="A1072" s="4">
        <v>1070</v>
      </c>
      <c r="B1072" s="2" t="s">
        <v>2256</v>
      </c>
      <c r="C1072" s="3">
        <v>44863</v>
      </c>
      <c r="D1072" s="3" t="str">
        <f>TEXT(Table1[[#This Row],[Admission Date]],"MMMM")</f>
        <v>October</v>
      </c>
      <c r="E1072" s="3">
        <v>44863</v>
      </c>
      <c r="F1072" s="3">
        <v>44863</v>
      </c>
      <c r="G1072" s="2">
        <v>22029150</v>
      </c>
      <c r="H1072" s="2">
        <v>2238017</v>
      </c>
      <c r="I1072" s="2">
        <v>1001658205</v>
      </c>
      <c r="J1072" s="2" t="s">
        <v>238</v>
      </c>
      <c r="K1072" s="10">
        <v>2950</v>
      </c>
      <c r="L1072" s="10">
        <v>0</v>
      </c>
      <c r="M1072" s="10">
        <v>2950</v>
      </c>
      <c r="N1072" s="10">
        <v>295</v>
      </c>
      <c r="O1072" s="10">
        <f>Table1[[#This Row],[NET Amount]]-Table1[[#This Row],[Paid Amount]]</f>
        <v>2655</v>
      </c>
      <c r="P1072" s="2" t="s">
        <v>23</v>
      </c>
      <c r="Q1072" s="2" t="s">
        <v>54</v>
      </c>
      <c r="R1072" s="16">
        <f>(Table1[[#This Row],[NET Amount]]-Table1[[#This Row],[Total Outstanding Amount]])/Table1[[#This Row],[NET Amount]]</f>
        <v>0.1</v>
      </c>
      <c r="S1072" s="2" t="s">
        <v>97</v>
      </c>
    </row>
    <row r="1073" spans="1:19" x14ac:dyDescent="0.3">
      <c r="A1073" s="4">
        <v>1071</v>
      </c>
      <c r="B1073" s="2" t="s">
        <v>75</v>
      </c>
      <c r="C1073" s="3">
        <v>44849</v>
      </c>
      <c r="D1073" s="3" t="str">
        <f>TEXT(Table1[[#This Row],[Admission Date]],"MMMM")</f>
        <v>October</v>
      </c>
      <c r="E1073" s="3">
        <v>44853</v>
      </c>
      <c r="F1073" s="3">
        <v>44853</v>
      </c>
      <c r="G1073" s="2">
        <v>22027776</v>
      </c>
      <c r="H1073" s="2">
        <v>2236129</v>
      </c>
      <c r="I1073" s="2">
        <v>10013540392</v>
      </c>
      <c r="J1073" s="2" t="s">
        <v>182</v>
      </c>
      <c r="K1073" s="10">
        <v>60182</v>
      </c>
      <c r="L1073" s="10">
        <v>0</v>
      </c>
      <c r="M1073" s="10">
        <v>60182</v>
      </c>
      <c r="N1073" s="10">
        <v>2362</v>
      </c>
      <c r="O1073" s="10">
        <f>Table1[[#This Row],[NET Amount]]-Table1[[#This Row],[Paid Amount]]</f>
        <v>57820</v>
      </c>
      <c r="P1073" s="2" t="s">
        <v>23</v>
      </c>
      <c r="Q1073" s="2" t="s">
        <v>19</v>
      </c>
      <c r="R1073" s="16">
        <f>(Table1[[#This Row],[NET Amount]]-Table1[[#This Row],[Total Outstanding Amount]])/Table1[[#This Row],[NET Amount]]</f>
        <v>3.9247615566116112E-2</v>
      </c>
      <c r="S1073" s="2" t="s">
        <v>39</v>
      </c>
    </row>
    <row r="1074" spans="1:19" x14ac:dyDescent="0.3">
      <c r="A1074" s="4">
        <v>1072</v>
      </c>
      <c r="B1074" s="2" t="s">
        <v>25</v>
      </c>
      <c r="C1074" s="3">
        <v>44855</v>
      </c>
      <c r="D1074" s="3" t="str">
        <f>TEXT(Table1[[#This Row],[Admission Date]],"MMMM")</f>
        <v>October</v>
      </c>
      <c r="E1074" s="3">
        <v>44855</v>
      </c>
      <c r="F1074" s="3">
        <v>44855</v>
      </c>
      <c r="G1074" s="2">
        <v>22028059</v>
      </c>
      <c r="H1074" s="2">
        <v>2236906</v>
      </c>
      <c r="I1074" s="2">
        <v>1000890994</v>
      </c>
      <c r="J1074" s="2" t="s">
        <v>271</v>
      </c>
      <c r="K1074" s="10">
        <v>3488</v>
      </c>
      <c r="L1074" s="10">
        <v>310</v>
      </c>
      <c r="M1074" s="10">
        <v>3178</v>
      </c>
      <c r="N1074" s="10">
        <v>3178</v>
      </c>
      <c r="O1074" s="10">
        <f>Table1[[#This Row],[NET Amount]]-Table1[[#This Row],[Paid Amount]]</f>
        <v>0</v>
      </c>
      <c r="P1074" s="2" t="s">
        <v>18</v>
      </c>
      <c r="Q1074" s="2" t="s">
        <v>54</v>
      </c>
      <c r="R1074" s="16">
        <f>(Table1[[#This Row],[NET Amount]]-Table1[[#This Row],[Total Outstanding Amount]])/Table1[[#This Row],[NET Amount]]</f>
        <v>1</v>
      </c>
      <c r="S1074" s="2" t="s">
        <v>97</v>
      </c>
    </row>
    <row r="1075" spans="1:19" x14ac:dyDescent="0.3">
      <c r="A1075" s="4">
        <v>1073</v>
      </c>
      <c r="B1075" s="2" t="s">
        <v>259</v>
      </c>
      <c r="C1075" s="3">
        <v>44853</v>
      </c>
      <c r="D1075" s="3" t="str">
        <f>TEXT(Table1[[#This Row],[Admission Date]],"MMMM")</f>
        <v>October</v>
      </c>
      <c r="E1075" s="3">
        <v>44857</v>
      </c>
      <c r="F1075" s="3">
        <v>44857</v>
      </c>
      <c r="G1075" s="2">
        <v>22028372</v>
      </c>
      <c r="H1075" s="2">
        <v>2236684</v>
      </c>
      <c r="I1075" s="2">
        <v>10013543228</v>
      </c>
      <c r="J1075" s="2" t="s">
        <v>850</v>
      </c>
      <c r="K1075" s="10">
        <v>67599</v>
      </c>
      <c r="L1075" s="10">
        <v>8317</v>
      </c>
      <c r="M1075" s="10">
        <v>59282</v>
      </c>
      <c r="N1075" s="10">
        <v>1501</v>
      </c>
      <c r="O1075" s="10">
        <f>Table1[[#This Row],[NET Amount]]-Table1[[#This Row],[Paid Amount]]</f>
        <v>57781</v>
      </c>
      <c r="P1075" s="2" t="s">
        <v>23</v>
      </c>
      <c r="Q1075" s="2" t="s">
        <v>24</v>
      </c>
      <c r="R1075" s="16">
        <f>(Table1[[#This Row],[NET Amount]]-Table1[[#This Row],[Total Outstanding Amount]])/Table1[[#This Row],[NET Amount]]</f>
        <v>2.5319658581019533E-2</v>
      </c>
      <c r="S1075" s="2" t="s">
        <v>20</v>
      </c>
    </row>
    <row r="1076" spans="1:19" x14ac:dyDescent="0.3">
      <c r="A1076" s="4">
        <v>1074</v>
      </c>
      <c r="B1076" s="2" t="s">
        <v>117</v>
      </c>
      <c r="C1076" s="3">
        <v>44856</v>
      </c>
      <c r="D1076" s="3" t="str">
        <f>TEXT(Table1[[#This Row],[Admission Date]],"MMMM")</f>
        <v>October</v>
      </c>
      <c r="E1076" s="3">
        <v>44856</v>
      </c>
      <c r="F1076" s="3">
        <v>44856</v>
      </c>
      <c r="G1076" s="2">
        <v>22028120</v>
      </c>
      <c r="H1076" s="2">
        <v>2236995</v>
      </c>
      <c r="I1076" s="2">
        <v>1000891454</v>
      </c>
      <c r="J1076" s="2" t="s">
        <v>232</v>
      </c>
      <c r="K1076" s="10">
        <v>2739</v>
      </c>
      <c r="L1076" s="10">
        <v>0</v>
      </c>
      <c r="M1076" s="10">
        <v>2739</v>
      </c>
      <c r="N1076" s="10">
        <v>2739</v>
      </c>
      <c r="O1076" s="10">
        <f>Table1[[#This Row],[NET Amount]]-Table1[[#This Row],[Paid Amount]]</f>
        <v>0</v>
      </c>
      <c r="P1076" s="2" t="s">
        <v>18</v>
      </c>
      <c r="Q1076" s="2" t="s">
        <v>54</v>
      </c>
      <c r="R1076" s="16">
        <f>(Table1[[#This Row],[NET Amount]]-Table1[[#This Row],[Total Outstanding Amount]])/Table1[[#This Row],[NET Amount]]</f>
        <v>1</v>
      </c>
      <c r="S1076" s="2" t="s">
        <v>97</v>
      </c>
    </row>
    <row r="1077" spans="1:19" x14ac:dyDescent="0.3">
      <c r="A1077" s="4">
        <v>1075</v>
      </c>
      <c r="B1077" s="2" t="s">
        <v>25</v>
      </c>
      <c r="C1077" s="3">
        <v>44856</v>
      </c>
      <c r="D1077" s="3" t="str">
        <f>TEXT(Table1[[#This Row],[Admission Date]],"MMMM")</f>
        <v>October</v>
      </c>
      <c r="E1077" s="3">
        <v>44856</v>
      </c>
      <c r="F1077" s="3">
        <v>44856</v>
      </c>
      <c r="G1077" s="2">
        <v>22028121</v>
      </c>
      <c r="H1077" s="2">
        <v>2237009</v>
      </c>
      <c r="I1077" s="2">
        <v>10013533576</v>
      </c>
      <c r="J1077" s="2" t="s">
        <v>143</v>
      </c>
      <c r="K1077" s="10">
        <v>2844</v>
      </c>
      <c r="L1077" s="10">
        <v>310</v>
      </c>
      <c r="M1077" s="10">
        <v>2534</v>
      </c>
      <c r="N1077" s="10">
        <v>2534</v>
      </c>
      <c r="O1077" s="10">
        <f>Table1[[#This Row],[NET Amount]]-Table1[[#This Row],[Paid Amount]]</f>
        <v>0</v>
      </c>
      <c r="P1077" s="2" t="s">
        <v>18</v>
      </c>
      <c r="Q1077" s="2" t="s">
        <v>54</v>
      </c>
      <c r="R1077" s="16">
        <f>(Table1[[#This Row],[NET Amount]]-Table1[[#This Row],[Total Outstanding Amount]])/Table1[[#This Row],[NET Amount]]</f>
        <v>1</v>
      </c>
      <c r="S1077" s="2" t="s">
        <v>97</v>
      </c>
    </row>
    <row r="1078" spans="1:19" x14ac:dyDescent="0.3">
      <c r="A1078" s="4">
        <v>1076</v>
      </c>
      <c r="B1078" s="2" t="s">
        <v>50</v>
      </c>
      <c r="C1078" s="3">
        <v>44856</v>
      </c>
      <c r="D1078" s="3" t="str">
        <f>TEXT(Table1[[#This Row],[Admission Date]],"MMMM")</f>
        <v>October</v>
      </c>
      <c r="E1078" s="3">
        <v>44856</v>
      </c>
      <c r="F1078" s="3">
        <v>44856</v>
      </c>
      <c r="G1078" s="2">
        <v>22028142</v>
      </c>
      <c r="H1078" s="2">
        <v>2237021</v>
      </c>
      <c r="I1078" s="2">
        <v>1001105051</v>
      </c>
      <c r="J1078" s="2" t="s">
        <v>275</v>
      </c>
      <c r="K1078" s="10">
        <v>4840</v>
      </c>
      <c r="L1078" s="10">
        <v>0</v>
      </c>
      <c r="M1078" s="10">
        <v>4840</v>
      </c>
      <c r="N1078" s="10">
        <v>242</v>
      </c>
      <c r="O1078" s="10">
        <f>Table1[[#This Row],[NET Amount]]-Table1[[#This Row],[Paid Amount]]</f>
        <v>4598</v>
      </c>
      <c r="P1078" s="2" t="s">
        <v>23</v>
      </c>
      <c r="Q1078" s="2" t="s">
        <v>147</v>
      </c>
      <c r="R1078" s="16">
        <f>(Table1[[#This Row],[NET Amount]]-Table1[[#This Row],[Total Outstanding Amount]])/Table1[[#This Row],[NET Amount]]</f>
        <v>0.05</v>
      </c>
      <c r="S1078" s="2" t="s">
        <v>97</v>
      </c>
    </row>
    <row r="1079" spans="1:19" x14ac:dyDescent="0.3">
      <c r="A1079" s="4">
        <v>1077</v>
      </c>
      <c r="B1079" s="2" t="s">
        <v>2244</v>
      </c>
      <c r="C1079" s="3">
        <v>44856</v>
      </c>
      <c r="D1079" s="3" t="str">
        <f>TEXT(Table1[[#This Row],[Admission Date]],"MMMM")</f>
        <v>October</v>
      </c>
      <c r="E1079" s="3">
        <v>44856</v>
      </c>
      <c r="F1079" s="3">
        <v>44856</v>
      </c>
      <c r="G1079" s="2">
        <v>22028206</v>
      </c>
      <c r="H1079" s="2">
        <v>2237047</v>
      </c>
      <c r="I1079" s="2">
        <v>1001755099</v>
      </c>
      <c r="J1079" s="2" t="s">
        <v>750</v>
      </c>
      <c r="K1079" s="10">
        <v>1610</v>
      </c>
      <c r="L1079" s="10">
        <v>0</v>
      </c>
      <c r="M1079" s="10">
        <v>1610</v>
      </c>
      <c r="N1079" s="10">
        <v>1610</v>
      </c>
      <c r="O1079" s="10">
        <f>Table1[[#This Row],[NET Amount]]-Table1[[#This Row],[Paid Amount]]</f>
        <v>0</v>
      </c>
      <c r="P1079" s="2" t="s">
        <v>18</v>
      </c>
      <c r="Q1079" s="2" t="s">
        <v>54</v>
      </c>
      <c r="R1079" s="16">
        <f>(Table1[[#This Row],[NET Amount]]-Table1[[#This Row],[Total Outstanding Amount]])/Table1[[#This Row],[NET Amount]]</f>
        <v>1</v>
      </c>
      <c r="S1079" s="2" t="s">
        <v>97</v>
      </c>
    </row>
    <row r="1080" spans="1:19" x14ac:dyDescent="0.3">
      <c r="A1080" s="4">
        <v>1078</v>
      </c>
      <c r="B1080" s="2" t="s">
        <v>152</v>
      </c>
      <c r="C1080" s="3">
        <v>44845</v>
      </c>
      <c r="D1080" s="3" t="str">
        <f>TEXT(Table1[[#This Row],[Admission Date]],"MMMM")</f>
        <v>October</v>
      </c>
      <c r="E1080" s="3">
        <v>44848</v>
      </c>
      <c r="F1080" s="3">
        <v>44848</v>
      </c>
      <c r="G1080" s="2">
        <v>22027008</v>
      </c>
      <c r="H1080" s="2">
        <v>2235599</v>
      </c>
      <c r="I1080" s="2">
        <v>10013541917</v>
      </c>
      <c r="J1080" s="2" t="s">
        <v>851</v>
      </c>
      <c r="K1080" s="10">
        <v>48682</v>
      </c>
      <c r="L1080" s="10">
        <v>0</v>
      </c>
      <c r="M1080" s="10">
        <v>48682</v>
      </c>
      <c r="N1080" s="10">
        <v>48682</v>
      </c>
      <c r="O1080" s="10">
        <f>Table1[[#This Row],[NET Amount]]-Table1[[#This Row],[Paid Amount]]</f>
        <v>0</v>
      </c>
      <c r="P1080" s="2" t="s">
        <v>18</v>
      </c>
      <c r="Q1080" s="2" t="s">
        <v>24</v>
      </c>
      <c r="R1080" s="16">
        <f>(Table1[[#This Row],[NET Amount]]-Table1[[#This Row],[Total Outstanding Amount]])/Table1[[#This Row],[NET Amount]]</f>
        <v>1</v>
      </c>
      <c r="S1080" s="2" t="s">
        <v>201</v>
      </c>
    </row>
    <row r="1081" spans="1:19" x14ac:dyDescent="0.3">
      <c r="A1081" s="4">
        <v>1079</v>
      </c>
      <c r="B1081" s="2" t="s">
        <v>117</v>
      </c>
      <c r="C1081" s="3">
        <v>44845</v>
      </c>
      <c r="D1081" s="3" t="str">
        <f>TEXT(Table1[[#This Row],[Admission Date]],"MMMM")</f>
        <v>October</v>
      </c>
      <c r="E1081" s="3">
        <v>44851</v>
      </c>
      <c r="F1081" s="3">
        <v>44851</v>
      </c>
      <c r="G1081" s="2">
        <v>22027412</v>
      </c>
      <c r="H1081" s="2">
        <v>2235607</v>
      </c>
      <c r="I1081" s="2">
        <v>1000890226</v>
      </c>
      <c r="J1081" s="2" t="s">
        <v>852</v>
      </c>
      <c r="K1081" s="10">
        <v>65786</v>
      </c>
      <c r="L1081" s="10">
        <v>0</v>
      </c>
      <c r="M1081" s="10">
        <v>65786</v>
      </c>
      <c r="N1081" s="10">
        <v>65786</v>
      </c>
      <c r="O1081" s="10">
        <f>Table1[[#This Row],[NET Amount]]-Table1[[#This Row],[Paid Amount]]</f>
        <v>0</v>
      </c>
      <c r="P1081" s="2" t="s">
        <v>18</v>
      </c>
      <c r="Q1081" s="2" t="s">
        <v>24</v>
      </c>
      <c r="R1081" s="16">
        <f>(Table1[[#This Row],[NET Amount]]-Table1[[#This Row],[Total Outstanding Amount]])/Table1[[#This Row],[NET Amount]]</f>
        <v>1</v>
      </c>
      <c r="S1081" s="2" t="s">
        <v>39</v>
      </c>
    </row>
    <row r="1082" spans="1:19" x14ac:dyDescent="0.3">
      <c r="A1082" s="4">
        <v>1080</v>
      </c>
      <c r="B1082" s="2" t="s">
        <v>853</v>
      </c>
      <c r="C1082" s="3">
        <v>44845</v>
      </c>
      <c r="D1082" s="3" t="str">
        <f>TEXT(Table1[[#This Row],[Admission Date]],"MMMM")</f>
        <v>October</v>
      </c>
      <c r="E1082" s="3">
        <v>44846</v>
      </c>
      <c r="F1082" s="3">
        <v>44846</v>
      </c>
      <c r="G1082" s="2">
        <v>22026695</v>
      </c>
      <c r="H1082" s="2">
        <v>2235525</v>
      </c>
      <c r="I1082" s="2">
        <v>1001803727</v>
      </c>
      <c r="J1082" s="2" t="s">
        <v>854</v>
      </c>
      <c r="K1082" s="10">
        <v>333715</v>
      </c>
      <c r="L1082" s="10">
        <v>0</v>
      </c>
      <c r="M1082" s="10">
        <v>333715</v>
      </c>
      <c r="N1082" s="10">
        <v>333715</v>
      </c>
      <c r="O1082" s="10">
        <f>Table1[[#This Row],[NET Amount]]-Table1[[#This Row],[Paid Amount]]</f>
        <v>0</v>
      </c>
      <c r="P1082" s="2" t="s">
        <v>18</v>
      </c>
      <c r="Q1082" s="2" t="s">
        <v>24</v>
      </c>
      <c r="R1082" s="16">
        <f>(Table1[[#This Row],[NET Amount]]-Table1[[#This Row],[Total Outstanding Amount]])/Table1[[#This Row],[NET Amount]]</f>
        <v>1</v>
      </c>
      <c r="S1082" s="2" t="s">
        <v>39</v>
      </c>
    </row>
    <row r="1083" spans="1:19" x14ac:dyDescent="0.3">
      <c r="A1083" s="4">
        <v>1081</v>
      </c>
      <c r="B1083" s="2" t="s">
        <v>21</v>
      </c>
      <c r="C1083" s="3">
        <v>44860</v>
      </c>
      <c r="D1083" s="3" t="str">
        <f>TEXT(Table1[[#This Row],[Admission Date]],"MMMM")</f>
        <v>October</v>
      </c>
      <c r="E1083" s="3">
        <v>44863</v>
      </c>
      <c r="F1083" s="3">
        <v>44863</v>
      </c>
      <c r="G1083" s="2">
        <v>22029063</v>
      </c>
      <c r="H1083" s="2">
        <v>2237581</v>
      </c>
      <c r="I1083" s="2">
        <v>10013544656</v>
      </c>
      <c r="J1083" s="2" t="s">
        <v>855</v>
      </c>
      <c r="K1083" s="10">
        <v>138552</v>
      </c>
      <c r="L1083" s="10">
        <v>0</v>
      </c>
      <c r="M1083" s="10">
        <v>138552</v>
      </c>
      <c r="N1083" s="10">
        <v>138552</v>
      </c>
      <c r="O1083" s="10">
        <f>Table1[[#This Row],[NET Amount]]-Table1[[#This Row],[Paid Amount]]</f>
        <v>0</v>
      </c>
      <c r="P1083" s="2" t="s">
        <v>18</v>
      </c>
      <c r="Q1083" s="2" t="s">
        <v>24</v>
      </c>
      <c r="R1083" s="16">
        <f>(Table1[[#This Row],[NET Amount]]-Table1[[#This Row],[Total Outstanding Amount]])/Table1[[#This Row],[NET Amount]]</f>
        <v>1</v>
      </c>
      <c r="S1083" s="2" t="s">
        <v>39</v>
      </c>
    </row>
    <row r="1084" spans="1:19" x14ac:dyDescent="0.3">
      <c r="A1084" s="4">
        <v>1082</v>
      </c>
      <c r="B1084" s="2" t="s">
        <v>25</v>
      </c>
      <c r="C1084" s="3">
        <v>44863</v>
      </c>
      <c r="D1084" s="3" t="str">
        <f>TEXT(Table1[[#This Row],[Admission Date]],"MMMM")</f>
        <v>October</v>
      </c>
      <c r="E1084" s="3">
        <v>44863</v>
      </c>
      <c r="F1084" s="3">
        <v>44863</v>
      </c>
      <c r="G1084" s="2">
        <v>22029064</v>
      </c>
      <c r="H1084" s="2">
        <v>2237953</v>
      </c>
      <c r="I1084" s="2">
        <v>10013460950</v>
      </c>
      <c r="J1084" s="2" t="s">
        <v>248</v>
      </c>
      <c r="K1084" s="10">
        <v>3729</v>
      </c>
      <c r="L1084" s="10">
        <v>319</v>
      </c>
      <c r="M1084" s="10">
        <v>3410</v>
      </c>
      <c r="N1084" s="10">
        <v>3410</v>
      </c>
      <c r="O1084" s="10">
        <f>Table1[[#This Row],[NET Amount]]-Table1[[#This Row],[Paid Amount]]</f>
        <v>0</v>
      </c>
      <c r="P1084" s="2" t="s">
        <v>18</v>
      </c>
      <c r="Q1084" s="2" t="s">
        <v>54</v>
      </c>
      <c r="R1084" s="16">
        <f>(Table1[[#This Row],[NET Amount]]-Table1[[#This Row],[Total Outstanding Amount]])/Table1[[#This Row],[NET Amount]]</f>
        <v>1</v>
      </c>
      <c r="S1084" s="2" t="s">
        <v>97</v>
      </c>
    </row>
    <row r="1085" spans="1:19" x14ac:dyDescent="0.3">
      <c r="A1085" s="4">
        <v>1083</v>
      </c>
      <c r="B1085" s="2" t="s">
        <v>25</v>
      </c>
      <c r="C1085" s="3">
        <v>44864</v>
      </c>
      <c r="D1085" s="3" t="str">
        <f>TEXT(Table1[[#This Row],[Admission Date]],"MMMM")</f>
        <v>October</v>
      </c>
      <c r="E1085" s="3">
        <v>44864</v>
      </c>
      <c r="F1085" s="3">
        <v>44864</v>
      </c>
      <c r="G1085" s="2">
        <v>22029179</v>
      </c>
      <c r="H1085" s="2">
        <v>2238063</v>
      </c>
      <c r="I1085" s="2">
        <v>10013545186</v>
      </c>
      <c r="J1085" s="2" t="s">
        <v>856</v>
      </c>
      <c r="K1085" s="10">
        <v>46466</v>
      </c>
      <c r="L1085" s="10">
        <v>9143</v>
      </c>
      <c r="M1085" s="10">
        <v>37323</v>
      </c>
      <c r="N1085" s="10">
        <v>37323</v>
      </c>
      <c r="O1085" s="10">
        <f>Table1[[#This Row],[NET Amount]]-Table1[[#This Row],[Paid Amount]]</f>
        <v>0</v>
      </c>
      <c r="P1085" s="2" t="s">
        <v>18</v>
      </c>
      <c r="Q1085" s="2" t="s">
        <v>24</v>
      </c>
      <c r="R1085" s="16">
        <f>(Table1[[#This Row],[NET Amount]]-Table1[[#This Row],[Total Outstanding Amount]])/Table1[[#This Row],[NET Amount]]</f>
        <v>1</v>
      </c>
      <c r="S1085" s="2" t="s">
        <v>39</v>
      </c>
    </row>
    <row r="1086" spans="1:19" x14ac:dyDescent="0.3">
      <c r="A1086" s="4">
        <v>1084</v>
      </c>
      <c r="B1086" s="2" t="s">
        <v>25</v>
      </c>
      <c r="C1086" s="3">
        <v>44859</v>
      </c>
      <c r="D1086" s="3" t="str">
        <f>TEXT(Table1[[#This Row],[Admission Date]],"MMMM")</f>
        <v>October</v>
      </c>
      <c r="E1086" s="3">
        <v>44859</v>
      </c>
      <c r="F1086" s="3">
        <v>44859</v>
      </c>
      <c r="G1086" s="2">
        <v>22028511</v>
      </c>
      <c r="H1086" s="2">
        <v>2237332</v>
      </c>
      <c r="I1086" s="2">
        <v>1001735249</v>
      </c>
      <c r="J1086" s="2" t="s">
        <v>857</v>
      </c>
      <c r="K1086" s="10">
        <v>2680</v>
      </c>
      <c r="L1086" s="10">
        <v>500</v>
      </c>
      <c r="M1086" s="10">
        <v>2180</v>
      </c>
      <c r="N1086" s="10">
        <v>2180</v>
      </c>
      <c r="O1086" s="10">
        <f>Table1[[#This Row],[NET Amount]]-Table1[[#This Row],[Paid Amount]]</f>
        <v>0</v>
      </c>
      <c r="P1086" s="2" t="s">
        <v>18</v>
      </c>
      <c r="Q1086" s="2" t="s">
        <v>54</v>
      </c>
      <c r="R1086" s="16">
        <f>(Table1[[#This Row],[NET Amount]]-Table1[[#This Row],[Total Outstanding Amount]])/Table1[[#This Row],[NET Amount]]</f>
        <v>1</v>
      </c>
      <c r="S1086" s="2" t="s">
        <v>97</v>
      </c>
    </row>
    <row r="1087" spans="1:19" x14ac:dyDescent="0.3">
      <c r="A1087" s="4">
        <v>1085</v>
      </c>
      <c r="B1087" s="2" t="s">
        <v>25</v>
      </c>
      <c r="C1087" s="3">
        <v>44855</v>
      </c>
      <c r="D1087" s="3" t="str">
        <f>TEXT(Table1[[#This Row],[Admission Date]],"MMMM")</f>
        <v>October</v>
      </c>
      <c r="E1087" s="3">
        <v>44859</v>
      </c>
      <c r="F1087" s="3">
        <v>44859</v>
      </c>
      <c r="G1087" s="2">
        <v>22028496</v>
      </c>
      <c r="H1087" s="2">
        <v>2236938</v>
      </c>
      <c r="I1087" s="2">
        <v>1001805650</v>
      </c>
      <c r="J1087" s="2" t="s">
        <v>858</v>
      </c>
      <c r="K1087" s="10">
        <v>198252</v>
      </c>
      <c r="L1087" s="10">
        <v>81753</v>
      </c>
      <c r="M1087" s="10">
        <v>116500</v>
      </c>
      <c r="N1087" s="10">
        <v>116500</v>
      </c>
      <c r="O1087" s="10">
        <f>Table1[[#This Row],[NET Amount]]-Table1[[#This Row],[Paid Amount]]</f>
        <v>0</v>
      </c>
      <c r="P1087" s="2" t="s">
        <v>23</v>
      </c>
      <c r="Q1087" s="2" t="s">
        <v>69</v>
      </c>
      <c r="R1087" s="16">
        <f>(Table1[[#This Row],[NET Amount]]-Table1[[#This Row],[Total Outstanding Amount]])/Table1[[#This Row],[NET Amount]]</f>
        <v>1</v>
      </c>
      <c r="S1087" s="2" t="s">
        <v>32</v>
      </c>
    </row>
    <row r="1088" spans="1:19" x14ac:dyDescent="0.3">
      <c r="A1088" s="4">
        <v>1086</v>
      </c>
      <c r="B1088" s="2" t="s">
        <v>45</v>
      </c>
      <c r="C1088" s="3">
        <v>44862</v>
      </c>
      <c r="D1088" s="3" t="str">
        <f>TEXT(Table1[[#This Row],[Admission Date]],"MMMM")</f>
        <v>October</v>
      </c>
      <c r="E1088" s="3">
        <v>44865</v>
      </c>
      <c r="F1088" s="3">
        <v>44865</v>
      </c>
      <c r="G1088" s="2">
        <v>22029288</v>
      </c>
      <c r="H1088" s="2">
        <v>2237835</v>
      </c>
      <c r="I1088" s="2">
        <v>10013322137</v>
      </c>
      <c r="J1088" s="2" t="s">
        <v>859</v>
      </c>
      <c r="K1088" s="10">
        <v>61326</v>
      </c>
      <c r="L1088" s="10">
        <v>7968</v>
      </c>
      <c r="M1088" s="10">
        <v>53358</v>
      </c>
      <c r="N1088" s="10">
        <v>11405</v>
      </c>
      <c r="O1088" s="10">
        <f>Table1[[#This Row],[NET Amount]]-Table1[[#This Row],[Paid Amount]]</f>
        <v>41953</v>
      </c>
      <c r="P1088" s="2" t="s">
        <v>23</v>
      </c>
      <c r="Q1088" s="2" t="s">
        <v>42</v>
      </c>
      <c r="R1088" s="16">
        <f>(Table1[[#This Row],[NET Amount]]-Table1[[#This Row],[Total Outstanding Amount]])/Table1[[#This Row],[NET Amount]]</f>
        <v>0.21374489298699351</v>
      </c>
      <c r="S1088" s="2" t="s">
        <v>20</v>
      </c>
    </row>
    <row r="1089" spans="1:19" x14ac:dyDescent="0.3">
      <c r="A1089" s="4">
        <v>1087</v>
      </c>
      <c r="B1089" s="2" t="s">
        <v>45</v>
      </c>
      <c r="C1089" s="3">
        <v>44862</v>
      </c>
      <c r="D1089" s="3" t="str">
        <f>TEXT(Table1[[#This Row],[Admission Date]],"MMMM")</f>
        <v>October</v>
      </c>
      <c r="E1089" s="3">
        <v>44865</v>
      </c>
      <c r="F1089" s="3">
        <v>44865</v>
      </c>
      <c r="G1089" s="2">
        <v>22029315</v>
      </c>
      <c r="H1089" s="2">
        <v>2237873</v>
      </c>
      <c r="I1089" s="2">
        <v>1001255206</v>
      </c>
      <c r="J1089" s="2" t="s">
        <v>860</v>
      </c>
      <c r="K1089" s="10">
        <v>43251</v>
      </c>
      <c r="L1089" s="10">
        <v>5523</v>
      </c>
      <c r="M1089" s="10">
        <v>37728</v>
      </c>
      <c r="N1089" s="10">
        <v>1573</v>
      </c>
      <c r="O1089" s="10">
        <f>Table1[[#This Row],[NET Amount]]-Table1[[#This Row],[Paid Amount]]</f>
        <v>36155</v>
      </c>
      <c r="P1089" s="2" t="s">
        <v>23</v>
      </c>
      <c r="Q1089" s="2" t="s">
        <v>42</v>
      </c>
      <c r="R1089" s="16">
        <f>(Table1[[#This Row],[NET Amount]]-Table1[[#This Row],[Total Outstanding Amount]])/Table1[[#This Row],[NET Amount]]</f>
        <v>4.1693172179813401E-2</v>
      </c>
      <c r="S1089" s="2" t="s">
        <v>20</v>
      </c>
    </row>
    <row r="1090" spans="1:19" x14ac:dyDescent="0.3">
      <c r="A1090" s="4">
        <v>1088</v>
      </c>
      <c r="B1090" s="2" t="s">
        <v>72</v>
      </c>
      <c r="C1090" s="3">
        <v>44838</v>
      </c>
      <c r="D1090" s="3" t="str">
        <f>TEXT(Table1[[#This Row],[Admission Date]],"MMMM")</f>
        <v>October</v>
      </c>
      <c r="E1090" s="3">
        <v>44838</v>
      </c>
      <c r="F1090" s="3">
        <v>44838</v>
      </c>
      <c r="G1090" s="2">
        <v>22025598</v>
      </c>
      <c r="H1090" s="2">
        <v>2234531</v>
      </c>
      <c r="I1090" s="2">
        <v>10013535154</v>
      </c>
      <c r="J1090" s="2" t="s">
        <v>861</v>
      </c>
      <c r="K1090" s="10">
        <v>22500</v>
      </c>
      <c r="L1090" s="10">
        <v>0</v>
      </c>
      <c r="M1090" s="10">
        <v>22500</v>
      </c>
      <c r="N1090" s="10">
        <v>1500</v>
      </c>
      <c r="O1090" s="10">
        <f>Table1[[#This Row],[NET Amount]]-Table1[[#This Row],[Paid Amount]]</f>
        <v>21000</v>
      </c>
      <c r="P1090" s="2" t="s">
        <v>23</v>
      </c>
      <c r="Q1090" s="2" t="s">
        <v>147</v>
      </c>
      <c r="R1090" s="16">
        <f>(Table1[[#This Row],[NET Amount]]-Table1[[#This Row],[Total Outstanding Amount]])/Table1[[#This Row],[NET Amount]]</f>
        <v>6.6666666666666666E-2</v>
      </c>
      <c r="S1090" s="2" t="s">
        <v>27</v>
      </c>
    </row>
    <row r="1091" spans="1:19" x14ac:dyDescent="0.3">
      <c r="A1091" s="4">
        <v>1089</v>
      </c>
      <c r="B1091" s="2" t="s">
        <v>35</v>
      </c>
      <c r="C1091" s="3">
        <v>44841</v>
      </c>
      <c r="D1091" s="3" t="str">
        <f>TEXT(Table1[[#This Row],[Admission Date]],"MMMM")</f>
        <v>October</v>
      </c>
      <c r="E1091" s="3">
        <v>44849</v>
      </c>
      <c r="F1091" s="3">
        <v>44849</v>
      </c>
      <c r="G1091" s="2">
        <v>22027192</v>
      </c>
      <c r="H1091" s="2">
        <v>2235049</v>
      </c>
      <c r="I1091" s="2">
        <v>10013542032</v>
      </c>
      <c r="J1091" s="2" t="s">
        <v>862</v>
      </c>
      <c r="K1091" s="10">
        <v>25888</v>
      </c>
      <c r="L1091" s="10">
        <v>0</v>
      </c>
      <c r="M1091" s="10">
        <v>25888</v>
      </c>
      <c r="N1091" s="10">
        <v>25888</v>
      </c>
      <c r="O1091" s="10">
        <f>Table1[[#This Row],[NET Amount]]-Table1[[#This Row],[Paid Amount]]</f>
        <v>0</v>
      </c>
      <c r="P1091" s="2" t="s">
        <v>18</v>
      </c>
      <c r="Q1091" s="2" t="s">
        <v>24</v>
      </c>
      <c r="R1091" s="16">
        <f>(Table1[[#This Row],[NET Amount]]-Table1[[#This Row],[Total Outstanding Amount]])/Table1[[#This Row],[NET Amount]]</f>
        <v>1</v>
      </c>
      <c r="S1091" s="2" t="s">
        <v>65</v>
      </c>
    </row>
    <row r="1092" spans="1:19" x14ac:dyDescent="0.3">
      <c r="A1092" s="4">
        <v>1090</v>
      </c>
      <c r="B1092" s="2" t="s">
        <v>25</v>
      </c>
      <c r="C1092" s="3">
        <v>44841</v>
      </c>
      <c r="D1092" s="3" t="str">
        <f>TEXT(Table1[[#This Row],[Admission Date]],"MMMM")</f>
        <v>October</v>
      </c>
      <c r="E1092" s="3">
        <v>44846</v>
      </c>
      <c r="F1092" s="3">
        <v>44846</v>
      </c>
      <c r="G1092" s="2">
        <v>22026743</v>
      </c>
      <c r="H1092" s="2">
        <v>2235054</v>
      </c>
      <c r="I1092" s="2">
        <v>1001003270</v>
      </c>
      <c r="J1092" s="2" t="s">
        <v>863</v>
      </c>
      <c r="K1092" s="10">
        <v>267977</v>
      </c>
      <c r="L1092" s="10">
        <v>57674</v>
      </c>
      <c r="M1092" s="10">
        <v>210303</v>
      </c>
      <c r="N1092" s="10">
        <v>210303</v>
      </c>
      <c r="O1092" s="10">
        <f>Table1[[#This Row],[NET Amount]]-Table1[[#This Row],[Paid Amount]]</f>
        <v>0</v>
      </c>
      <c r="P1092" s="2" t="s">
        <v>23</v>
      </c>
      <c r="Q1092" s="2" t="s">
        <v>88</v>
      </c>
      <c r="R1092" s="16">
        <f>(Table1[[#This Row],[NET Amount]]-Table1[[#This Row],[Total Outstanding Amount]])/Table1[[#This Row],[NET Amount]]</f>
        <v>1</v>
      </c>
      <c r="S1092" s="2" t="s">
        <v>20</v>
      </c>
    </row>
    <row r="1093" spans="1:19" x14ac:dyDescent="0.3">
      <c r="A1093" s="4">
        <v>1091</v>
      </c>
      <c r="B1093" s="2" t="s">
        <v>139</v>
      </c>
      <c r="C1093" s="3">
        <v>44857</v>
      </c>
      <c r="D1093" s="3" t="str">
        <f>TEXT(Table1[[#This Row],[Admission Date]],"MMMM")</f>
        <v>October</v>
      </c>
      <c r="E1093" s="3">
        <v>44857</v>
      </c>
      <c r="F1093" s="3">
        <v>44857</v>
      </c>
      <c r="G1093" s="2">
        <v>22028413</v>
      </c>
      <c r="H1093" s="2">
        <v>2237200</v>
      </c>
      <c r="I1093" s="2">
        <v>10013353354</v>
      </c>
      <c r="J1093" s="2" t="s">
        <v>374</v>
      </c>
      <c r="K1093" s="10">
        <v>2200</v>
      </c>
      <c r="L1093" s="10">
        <v>0</v>
      </c>
      <c r="M1093" s="10">
        <v>2200</v>
      </c>
      <c r="N1093" s="10">
        <v>220</v>
      </c>
      <c r="O1093" s="10">
        <f>Table1[[#This Row],[NET Amount]]-Table1[[#This Row],[Paid Amount]]</f>
        <v>1980</v>
      </c>
      <c r="P1093" s="2" t="s">
        <v>23</v>
      </c>
      <c r="Q1093" s="2" t="s">
        <v>147</v>
      </c>
      <c r="R1093" s="16">
        <f>(Table1[[#This Row],[NET Amount]]-Table1[[#This Row],[Total Outstanding Amount]])/Table1[[#This Row],[NET Amount]]</f>
        <v>0.1</v>
      </c>
      <c r="S1093" s="2" t="s">
        <v>97</v>
      </c>
    </row>
    <row r="1094" spans="1:19" x14ac:dyDescent="0.3">
      <c r="A1094" s="4">
        <v>1092</v>
      </c>
      <c r="B1094" s="2" t="s">
        <v>50</v>
      </c>
      <c r="C1094" s="3">
        <v>44863</v>
      </c>
      <c r="D1094" s="3" t="str">
        <f>TEXT(Table1[[#This Row],[Admission Date]],"MMMM")</f>
        <v>October</v>
      </c>
      <c r="E1094" s="3">
        <v>44863</v>
      </c>
      <c r="F1094" s="3">
        <v>44863</v>
      </c>
      <c r="G1094" s="2">
        <v>22029004</v>
      </c>
      <c r="H1094" s="2">
        <v>2237923</v>
      </c>
      <c r="I1094" s="2">
        <v>1001105051</v>
      </c>
      <c r="J1094" s="2" t="s">
        <v>275</v>
      </c>
      <c r="K1094" s="10">
        <v>4840</v>
      </c>
      <c r="L1094" s="10">
        <v>0</v>
      </c>
      <c r="M1094" s="10">
        <v>4840</v>
      </c>
      <c r="N1094" s="10">
        <v>242</v>
      </c>
      <c r="O1094" s="10">
        <f>Table1[[#This Row],[NET Amount]]-Table1[[#This Row],[Paid Amount]]</f>
        <v>4598</v>
      </c>
      <c r="P1094" s="2" t="s">
        <v>23</v>
      </c>
      <c r="Q1094" s="2" t="s">
        <v>147</v>
      </c>
      <c r="R1094" s="16">
        <f>(Table1[[#This Row],[NET Amount]]-Table1[[#This Row],[Total Outstanding Amount]])/Table1[[#This Row],[NET Amount]]</f>
        <v>0.05</v>
      </c>
      <c r="S1094" s="2" t="s">
        <v>97</v>
      </c>
    </row>
    <row r="1095" spans="1:19" x14ac:dyDescent="0.3">
      <c r="A1095" s="4">
        <v>1093</v>
      </c>
      <c r="B1095" s="2" t="s">
        <v>35</v>
      </c>
      <c r="C1095" s="3">
        <v>44863</v>
      </c>
      <c r="D1095" s="3" t="str">
        <f>TEXT(Table1[[#This Row],[Admission Date]],"MMMM")</f>
        <v>October</v>
      </c>
      <c r="E1095" s="3">
        <v>44863</v>
      </c>
      <c r="F1095" s="3">
        <v>44863</v>
      </c>
      <c r="G1095" s="2">
        <v>22029015</v>
      </c>
      <c r="H1095" s="2">
        <v>2237909</v>
      </c>
      <c r="I1095" s="2">
        <v>10013401198</v>
      </c>
      <c r="J1095" s="2" t="s">
        <v>631</v>
      </c>
      <c r="K1095" s="10">
        <v>1610</v>
      </c>
      <c r="L1095" s="10">
        <v>0</v>
      </c>
      <c r="M1095" s="10">
        <v>1610</v>
      </c>
      <c r="N1095" s="10">
        <v>1610</v>
      </c>
      <c r="O1095" s="10">
        <f>Table1[[#This Row],[NET Amount]]-Table1[[#This Row],[Paid Amount]]</f>
        <v>0</v>
      </c>
      <c r="P1095" s="2" t="s">
        <v>18</v>
      </c>
      <c r="Q1095" s="2" t="s">
        <v>54</v>
      </c>
      <c r="R1095" s="16">
        <f>(Table1[[#This Row],[NET Amount]]-Table1[[#This Row],[Total Outstanding Amount]])/Table1[[#This Row],[NET Amount]]</f>
        <v>1</v>
      </c>
      <c r="S1095" s="2" t="s">
        <v>97</v>
      </c>
    </row>
    <row r="1096" spans="1:19" x14ac:dyDescent="0.3">
      <c r="A1096" s="4">
        <v>1094</v>
      </c>
      <c r="B1096" s="2" t="s">
        <v>117</v>
      </c>
      <c r="C1096" s="3">
        <v>44863</v>
      </c>
      <c r="D1096" s="3" t="str">
        <f>TEXT(Table1[[#This Row],[Admission Date]],"MMMM")</f>
        <v>October</v>
      </c>
      <c r="E1096" s="3">
        <v>44863</v>
      </c>
      <c r="F1096" s="3">
        <v>44863</v>
      </c>
      <c r="G1096" s="2">
        <v>22029176</v>
      </c>
      <c r="H1096" s="2">
        <v>2238035</v>
      </c>
      <c r="I1096" s="2">
        <v>1001439428</v>
      </c>
      <c r="J1096" s="2" t="s">
        <v>189</v>
      </c>
      <c r="K1096" s="10">
        <v>2758</v>
      </c>
      <c r="L1096" s="10">
        <v>0</v>
      </c>
      <c r="M1096" s="10">
        <v>2758</v>
      </c>
      <c r="N1096" s="10">
        <v>2758</v>
      </c>
      <c r="O1096" s="10">
        <f>Table1[[#This Row],[NET Amount]]-Table1[[#This Row],[Paid Amount]]</f>
        <v>0</v>
      </c>
      <c r="P1096" s="2" t="s">
        <v>18</v>
      </c>
      <c r="Q1096" s="2" t="s">
        <v>54</v>
      </c>
      <c r="R1096" s="16">
        <f>(Table1[[#This Row],[NET Amount]]-Table1[[#This Row],[Total Outstanding Amount]])/Table1[[#This Row],[NET Amount]]</f>
        <v>1</v>
      </c>
      <c r="S1096" s="2" t="s">
        <v>97</v>
      </c>
    </row>
    <row r="1097" spans="1:19" x14ac:dyDescent="0.3">
      <c r="A1097" s="4">
        <v>1095</v>
      </c>
      <c r="B1097" s="2" t="s">
        <v>25</v>
      </c>
      <c r="C1097" s="3">
        <v>44843</v>
      </c>
      <c r="D1097" s="3" t="str">
        <f>TEXT(Table1[[#This Row],[Admission Date]],"MMMM")</f>
        <v>October</v>
      </c>
      <c r="E1097" s="3">
        <v>44843</v>
      </c>
      <c r="F1097" s="3">
        <v>44843</v>
      </c>
      <c r="G1097" s="2">
        <v>22026322</v>
      </c>
      <c r="H1097" s="2">
        <v>2235288</v>
      </c>
      <c r="I1097" s="2">
        <v>1001803420</v>
      </c>
      <c r="J1097" s="2" t="s">
        <v>864</v>
      </c>
      <c r="K1097" s="10">
        <v>61280</v>
      </c>
      <c r="L1097" s="10">
        <v>41280</v>
      </c>
      <c r="M1097" s="10">
        <v>20000</v>
      </c>
      <c r="N1097" s="10">
        <v>20000</v>
      </c>
      <c r="O1097" s="10">
        <f>Table1[[#This Row],[NET Amount]]-Table1[[#This Row],[Paid Amount]]</f>
        <v>0</v>
      </c>
      <c r="P1097" s="2" t="s">
        <v>18</v>
      </c>
      <c r="Q1097" s="2" t="s">
        <v>24</v>
      </c>
      <c r="R1097" s="16">
        <f>(Table1[[#This Row],[NET Amount]]-Table1[[#This Row],[Total Outstanding Amount]])/Table1[[#This Row],[NET Amount]]</f>
        <v>1</v>
      </c>
      <c r="S1097" s="2" t="s">
        <v>20</v>
      </c>
    </row>
    <row r="1098" spans="1:19" x14ac:dyDescent="0.3">
      <c r="A1098" s="4">
        <v>1096</v>
      </c>
      <c r="B1098" s="2" t="s">
        <v>25</v>
      </c>
      <c r="C1098" s="3">
        <v>44853</v>
      </c>
      <c r="D1098" s="3" t="str">
        <f>TEXT(Table1[[#This Row],[Admission Date]],"MMMM")</f>
        <v>October</v>
      </c>
      <c r="E1098" s="3">
        <v>44860</v>
      </c>
      <c r="F1098" s="3">
        <v>44860</v>
      </c>
      <c r="G1098" s="2">
        <v>22028614</v>
      </c>
      <c r="H1098" s="2">
        <v>2236565</v>
      </c>
      <c r="I1098" s="2">
        <v>1000863880</v>
      </c>
      <c r="J1098" s="2" t="s">
        <v>865</v>
      </c>
      <c r="K1098" s="10">
        <v>239982</v>
      </c>
      <c r="L1098" s="10">
        <v>39329</v>
      </c>
      <c r="M1098" s="10">
        <v>200653</v>
      </c>
      <c r="N1098" s="10">
        <v>200653</v>
      </c>
      <c r="O1098" s="10">
        <f>Table1[[#This Row],[NET Amount]]-Table1[[#This Row],[Paid Amount]]</f>
        <v>0</v>
      </c>
      <c r="P1098" s="2" t="s">
        <v>18</v>
      </c>
      <c r="Q1098" s="2" t="s">
        <v>24</v>
      </c>
      <c r="R1098" s="16">
        <f>(Table1[[#This Row],[NET Amount]]-Table1[[#This Row],[Total Outstanding Amount]])/Table1[[#This Row],[NET Amount]]</f>
        <v>1</v>
      </c>
      <c r="S1098" s="2" t="s">
        <v>20</v>
      </c>
    </row>
    <row r="1099" spans="1:19" x14ac:dyDescent="0.3">
      <c r="A1099" s="4">
        <v>1097</v>
      </c>
      <c r="B1099" s="2" t="s">
        <v>72</v>
      </c>
      <c r="C1099" s="3">
        <v>44858</v>
      </c>
      <c r="D1099" s="3" t="str">
        <f>TEXT(Table1[[#This Row],[Admission Date]],"MMMM")</f>
        <v>October</v>
      </c>
      <c r="E1099" s="3">
        <v>44862</v>
      </c>
      <c r="F1099" s="3">
        <v>44862</v>
      </c>
      <c r="G1099" s="2">
        <v>22028928</v>
      </c>
      <c r="H1099" s="2">
        <v>2237240</v>
      </c>
      <c r="I1099" s="2">
        <v>10013544307</v>
      </c>
      <c r="J1099" s="2" t="s">
        <v>866</v>
      </c>
      <c r="K1099" s="10">
        <v>77589</v>
      </c>
      <c r="L1099" s="10">
        <v>10789</v>
      </c>
      <c r="M1099" s="10">
        <v>66800</v>
      </c>
      <c r="N1099" s="10">
        <v>11517</v>
      </c>
      <c r="O1099" s="10">
        <f>Table1[[#This Row],[NET Amount]]-Table1[[#This Row],[Paid Amount]]</f>
        <v>55283</v>
      </c>
      <c r="P1099" s="2" t="s">
        <v>23</v>
      </c>
      <c r="Q1099" s="2" t="s">
        <v>52</v>
      </c>
      <c r="R1099" s="16">
        <f>(Table1[[#This Row],[NET Amount]]-Table1[[#This Row],[Total Outstanding Amount]])/Table1[[#This Row],[NET Amount]]</f>
        <v>0.17241017964071856</v>
      </c>
      <c r="S1099" s="2" t="s">
        <v>20</v>
      </c>
    </row>
    <row r="1100" spans="1:19" x14ac:dyDescent="0.3">
      <c r="A1100" s="4">
        <v>1098</v>
      </c>
      <c r="B1100" s="2" t="s">
        <v>149</v>
      </c>
      <c r="C1100" s="3">
        <v>44859</v>
      </c>
      <c r="D1100" s="3" t="str">
        <f>TEXT(Table1[[#This Row],[Admission Date]],"MMMM")</f>
        <v>October</v>
      </c>
      <c r="E1100" s="3">
        <v>44862</v>
      </c>
      <c r="F1100" s="3">
        <v>44862</v>
      </c>
      <c r="G1100" s="2">
        <v>22028960</v>
      </c>
      <c r="H1100" s="2">
        <v>2237335</v>
      </c>
      <c r="I1100" s="2">
        <v>10013543931</v>
      </c>
      <c r="J1100" s="2" t="s">
        <v>867</v>
      </c>
      <c r="K1100" s="10">
        <v>80420</v>
      </c>
      <c r="L1100" s="10">
        <v>0</v>
      </c>
      <c r="M1100" s="10">
        <v>80420</v>
      </c>
      <c r="N1100" s="10">
        <v>4470</v>
      </c>
      <c r="O1100" s="10">
        <f>Table1[[#This Row],[NET Amount]]-Table1[[#This Row],[Paid Amount]]</f>
        <v>75950</v>
      </c>
      <c r="P1100" s="2" t="s">
        <v>23</v>
      </c>
      <c r="Q1100" s="2" t="s">
        <v>30</v>
      </c>
      <c r="R1100" s="16">
        <f>(Table1[[#This Row],[NET Amount]]-Table1[[#This Row],[Total Outstanding Amount]])/Table1[[#This Row],[NET Amount]]</f>
        <v>5.5583188261626462E-2</v>
      </c>
      <c r="S1100" s="2" t="s">
        <v>43</v>
      </c>
    </row>
    <row r="1101" spans="1:19" x14ac:dyDescent="0.3">
      <c r="A1101" s="4">
        <v>1099</v>
      </c>
      <c r="B1101" s="2" t="s">
        <v>25</v>
      </c>
      <c r="C1101" s="3">
        <v>44831</v>
      </c>
      <c r="D1101" s="3" t="str">
        <f>TEXT(Table1[[#This Row],[Admission Date]],"MMMM")</f>
        <v>September</v>
      </c>
      <c r="E1101" s="3">
        <v>44835</v>
      </c>
      <c r="F1101" s="3">
        <v>44835</v>
      </c>
      <c r="G1101" s="2">
        <v>22025214</v>
      </c>
      <c r="H1101" s="2">
        <v>2233643</v>
      </c>
      <c r="I1101" s="2">
        <v>10013540512</v>
      </c>
      <c r="J1101" s="2" t="s">
        <v>868</v>
      </c>
      <c r="K1101" s="10">
        <v>111009</v>
      </c>
      <c r="L1101" s="10">
        <v>33893</v>
      </c>
      <c r="M1101" s="10">
        <v>77116</v>
      </c>
      <c r="N1101" s="10">
        <v>77116</v>
      </c>
      <c r="O1101" s="10">
        <f>Table1[[#This Row],[NET Amount]]-Table1[[#This Row],[Paid Amount]]</f>
        <v>0</v>
      </c>
      <c r="P1101" s="2" t="s">
        <v>18</v>
      </c>
      <c r="Q1101" s="2" t="s">
        <v>24</v>
      </c>
      <c r="R1101" s="16">
        <f>(Table1[[#This Row],[NET Amount]]-Table1[[#This Row],[Total Outstanding Amount]])/Table1[[#This Row],[NET Amount]]</f>
        <v>1</v>
      </c>
      <c r="S1101" s="2" t="s">
        <v>162</v>
      </c>
    </row>
    <row r="1102" spans="1:19" x14ac:dyDescent="0.3">
      <c r="A1102" s="4">
        <v>1100</v>
      </c>
      <c r="B1102" s="2" t="s">
        <v>2261</v>
      </c>
      <c r="C1102" s="3">
        <v>44839</v>
      </c>
      <c r="D1102" s="3" t="str">
        <f>TEXT(Table1[[#This Row],[Admission Date]],"MMMM")</f>
        <v>October</v>
      </c>
      <c r="E1102" s="3">
        <v>44842</v>
      </c>
      <c r="F1102" s="3">
        <v>44842</v>
      </c>
      <c r="G1102" s="2">
        <v>22026146</v>
      </c>
      <c r="H1102" s="2">
        <v>2234773</v>
      </c>
      <c r="I1102" s="2">
        <v>1001802579</v>
      </c>
      <c r="J1102" s="2" t="s">
        <v>869</v>
      </c>
      <c r="K1102" s="10">
        <v>43621</v>
      </c>
      <c r="L1102" s="10">
        <v>2973</v>
      </c>
      <c r="M1102" s="10">
        <v>40648</v>
      </c>
      <c r="N1102" s="10">
        <v>2800</v>
      </c>
      <c r="O1102" s="10">
        <f>Table1[[#This Row],[NET Amount]]-Table1[[#This Row],[Paid Amount]]</f>
        <v>37848</v>
      </c>
      <c r="P1102" s="2" t="s">
        <v>23</v>
      </c>
      <c r="Q1102" s="2" t="s">
        <v>52</v>
      </c>
      <c r="R1102" s="16">
        <f>(Table1[[#This Row],[NET Amount]]-Table1[[#This Row],[Total Outstanding Amount]])/Table1[[#This Row],[NET Amount]]</f>
        <v>6.8884077937413898E-2</v>
      </c>
      <c r="S1102" s="2" t="s">
        <v>77</v>
      </c>
    </row>
    <row r="1103" spans="1:19" x14ac:dyDescent="0.3">
      <c r="A1103" s="4">
        <v>1101</v>
      </c>
      <c r="B1103" s="2" t="s">
        <v>25</v>
      </c>
      <c r="C1103" s="3">
        <v>44839</v>
      </c>
      <c r="D1103" s="3" t="str">
        <f>TEXT(Table1[[#This Row],[Admission Date]],"MMMM")</f>
        <v>October</v>
      </c>
      <c r="E1103" s="3">
        <v>44845</v>
      </c>
      <c r="F1103" s="3">
        <v>44845</v>
      </c>
      <c r="G1103" s="2">
        <v>22026537</v>
      </c>
      <c r="H1103" s="2">
        <v>2234706</v>
      </c>
      <c r="I1103" s="2">
        <v>10013541627</v>
      </c>
      <c r="J1103" s="2" t="s">
        <v>870</v>
      </c>
      <c r="K1103" s="10">
        <v>221560</v>
      </c>
      <c r="L1103" s="10">
        <v>26384</v>
      </c>
      <c r="M1103" s="10">
        <v>195176</v>
      </c>
      <c r="N1103" s="10">
        <v>195176</v>
      </c>
      <c r="O1103" s="10">
        <f>Table1[[#This Row],[NET Amount]]-Table1[[#This Row],[Paid Amount]]</f>
        <v>0</v>
      </c>
      <c r="P1103" s="2" t="s">
        <v>18</v>
      </c>
      <c r="Q1103" s="2" t="s">
        <v>24</v>
      </c>
      <c r="R1103" s="16">
        <f>(Table1[[#This Row],[NET Amount]]-Table1[[#This Row],[Total Outstanding Amount]])/Table1[[#This Row],[NET Amount]]</f>
        <v>1</v>
      </c>
      <c r="S1103" s="2" t="s">
        <v>20</v>
      </c>
    </row>
    <row r="1104" spans="1:19" x14ac:dyDescent="0.3">
      <c r="A1104" s="4">
        <v>1102</v>
      </c>
      <c r="B1104" s="2" t="s">
        <v>35</v>
      </c>
      <c r="C1104" s="3">
        <v>44839</v>
      </c>
      <c r="D1104" s="3" t="str">
        <f>TEXT(Table1[[#This Row],[Admission Date]],"MMMM")</f>
        <v>October</v>
      </c>
      <c r="E1104" s="3">
        <v>44843</v>
      </c>
      <c r="F1104" s="3">
        <v>44843</v>
      </c>
      <c r="G1104" s="2">
        <v>22026300</v>
      </c>
      <c r="H1104" s="2">
        <v>2234806</v>
      </c>
      <c r="I1104" s="2">
        <v>10013517472</v>
      </c>
      <c r="J1104" s="2" t="s">
        <v>871</v>
      </c>
      <c r="K1104" s="10">
        <v>42274</v>
      </c>
      <c r="L1104" s="10">
        <v>0</v>
      </c>
      <c r="M1104" s="10">
        <v>42274</v>
      </c>
      <c r="N1104" s="10">
        <v>42274</v>
      </c>
      <c r="O1104" s="10">
        <f>Table1[[#This Row],[NET Amount]]-Table1[[#This Row],[Paid Amount]]</f>
        <v>0</v>
      </c>
      <c r="P1104" s="2" t="s">
        <v>18</v>
      </c>
      <c r="Q1104" s="2" t="s">
        <v>24</v>
      </c>
      <c r="R1104" s="16">
        <f>(Table1[[#This Row],[NET Amount]]-Table1[[#This Row],[Total Outstanding Amount]])/Table1[[#This Row],[NET Amount]]</f>
        <v>1</v>
      </c>
      <c r="S1104" s="2" t="s">
        <v>95</v>
      </c>
    </row>
    <row r="1105" spans="1:19" x14ac:dyDescent="0.3">
      <c r="A1105" s="4">
        <v>1103</v>
      </c>
      <c r="B1105" s="2" t="s">
        <v>50</v>
      </c>
      <c r="C1105" s="3">
        <v>44847</v>
      </c>
      <c r="D1105" s="3" t="str">
        <f>TEXT(Table1[[#This Row],[Admission Date]],"MMMM")</f>
        <v>October</v>
      </c>
      <c r="E1105" s="3">
        <v>44847</v>
      </c>
      <c r="F1105" s="3">
        <v>44847</v>
      </c>
      <c r="G1105" s="2">
        <v>22026906</v>
      </c>
      <c r="H1105" s="2">
        <v>2235838</v>
      </c>
      <c r="I1105" s="2">
        <v>1001206152</v>
      </c>
      <c r="J1105" s="2" t="s">
        <v>375</v>
      </c>
      <c r="K1105" s="10">
        <v>2200</v>
      </c>
      <c r="L1105" s="10">
        <v>0</v>
      </c>
      <c r="M1105" s="10">
        <v>2200</v>
      </c>
      <c r="N1105" s="10">
        <v>440</v>
      </c>
      <c r="O1105" s="10">
        <f>Table1[[#This Row],[NET Amount]]-Table1[[#This Row],[Paid Amount]]</f>
        <v>1760</v>
      </c>
      <c r="P1105" s="2" t="s">
        <v>23</v>
      </c>
      <c r="Q1105" s="2" t="s">
        <v>147</v>
      </c>
      <c r="R1105" s="16">
        <f>(Table1[[#This Row],[NET Amount]]-Table1[[#This Row],[Total Outstanding Amount]])/Table1[[#This Row],[NET Amount]]</f>
        <v>0.2</v>
      </c>
      <c r="S1105" s="2" t="s">
        <v>97</v>
      </c>
    </row>
    <row r="1106" spans="1:19" x14ac:dyDescent="0.3">
      <c r="A1106" s="4">
        <v>1104</v>
      </c>
      <c r="B1106" s="2" t="s">
        <v>25</v>
      </c>
      <c r="C1106" s="3">
        <v>44861</v>
      </c>
      <c r="D1106" s="3" t="str">
        <f>TEXT(Table1[[#This Row],[Admission Date]],"MMMM")</f>
        <v>October</v>
      </c>
      <c r="E1106" s="3">
        <v>44864</v>
      </c>
      <c r="F1106" s="3">
        <v>44864</v>
      </c>
      <c r="G1106" s="2">
        <v>22029181</v>
      </c>
      <c r="H1106" s="2">
        <v>2237594</v>
      </c>
      <c r="I1106" s="2">
        <v>10013408165</v>
      </c>
      <c r="J1106" s="2" t="s">
        <v>538</v>
      </c>
      <c r="K1106" s="10">
        <v>115704</v>
      </c>
      <c r="L1106" s="10">
        <v>34929</v>
      </c>
      <c r="M1106" s="10">
        <v>80775</v>
      </c>
      <c r="N1106" s="10">
        <v>80775</v>
      </c>
      <c r="O1106" s="10">
        <f>Table1[[#This Row],[NET Amount]]-Table1[[#This Row],[Paid Amount]]</f>
        <v>0</v>
      </c>
      <c r="P1106" s="2" t="s">
        <v>18</v>
      </c>
      <c r="Q1106" s="2" t="s">
        <v>69</v>
      </c>
      <c r="R1106" s="16">
        <f>(Table1[[#This Row],[NET Amount]]-Table1[[#This Row],[Total Outstanding Amount]])/Table1[[#This Row],[NET Amount]]</f>
        <v>1</v>
      </c>
      <c r="S1106" s="2" t="s">
        <v>20</v>
      </c>
    </row>
    <row r="1107" spans="1:19" x14ac:dyDescent="0.3">
      <c r="A1107" s="4">
        <v>1105</v>
      </c>
      <c r="B1107" s="2" t="s">
        <v>25</v>
      </c>
      <c r="C1107" s="3">
        <v>44865</v>
      </c>
      <c r="D1107" s="3" t="str">
        <f>TEXT(Table1[[#This Row],[Admission Date]],"MMMM")</f>
        <v>October</v>
      </c>
      <c r="E1107" s="3">
        <v>44865</v>
      </c>
      <c r="F1107" s="3">
        <v>44865</v>
      </c>
      <c r="G1107" s="2">
        <v>22029378</v>
      </c>
      <c r="H1107" s="2">
        <v>2238240</v>
      </c>
      <c r="I1107" s="2">
        <v>10013533934</v>
      </c>
      <c r="J1107" s="2" t="s">
        <v>498</v>
      </c>
      <c r="K1107" s="10">
        <v>4990</v>
      </c>
      <c r="L1107" s="10">
        <v>414</v>
      </c>
      <c r="M1107" s="10">
        <v>4576</v>
      </c>
      <c r="N1107" s="10">
        <v>4576</v>
      </c>
      <c r="O1107" s="10">
        <f>Table1[[#This Row],[NET Amount]]-Table1[[#This Row],[Paid Amount]]</f>
        <v>0</v>
      </c>
      <c r="P1107" s="2" t="s">
        <v>18</v>
      </c>
      <c r="Q1107" s="2" t="s">
        <v>54</v>
      </c>
      <c r="R1107" s="16">
        <f>(Table1[[#This Row],[NET Amount]]-Table1[[#This Row],[Total Outstanding Amount]])/Table1[[#This Row],[NET Amount]]</f>
        <v>1</v>
      </c>
      <c r="S1107" s="2" t="s">
        <v>97</v>
      </c>
    </row>
    <row r="1108" spans="1:19" x14ac:dyDescent="0.3">
      <c r="A1108" s="4">
        <v>1106</v>
      </c>
      <c r="B1108" s="2" t="s">
        <v>25</v>
      </c>
      <c r="C1108" s="3">
        <v>44865</v>
      </c>
      <c r="D1108" s="3" t="str">
        <f>TEXT(Table1[[#This Row],[Admission Date]],"MMMM")</f>
        <v>October</v>
      </c>
      <c r="E1108" s="3">
        <v>44865</v>
      </c>
      <c r="F1108" s="3">
        <v>44865</v>
      </c>
      <c r="G1108" s="2">
        <v>22029384</v>
      </c>
      <c r="H1108" s="2">
        <v>2238250</v>
      </c>
      <c r="I1108" s="2">
        <v>10013541901</v>
      </c>
      <c r="J1108" s="2" t="s">
        <v>556</v>
      </c>
      <c r="K1108" s="10">
        <v>2844</v>
      </c>
      <c r="L1108" s="10">
        <v>264</v>
      </c>
      <c r="M1108" s="10">
        <v>2580</v>
      </c>
      <c r="N1108" s="10">
        <v>2580</v>
      </c>
      <c r="O1108" s="10">
        <f>Table1[[#This Row],[NET Amount]]-Table1[[#This Row],[Paid Amount]]</f>
        <v>0</v>
      </c>
      <c r="P1108" s="2" t="s">
        <v>18</v>
      </c>
      <c r="Q1108" s="2" t="s">
        <v>54</v>
      </c>
      <c r="R1108" s="16">
        <f>(Table1[[#This Row],[NET Amount]]-Table1[[#This Row],[Total Outstanding Amount]])/Table1[[#This Row],[NET Amount]]</f>
        <v>1</v>
      </c>
      <c r="S1108" s="2" t="s">
        <v>97</v>
      </c>
    </row>
    <row r="1109" spans="1:19" x14ac:dyDescent="0.3">
      <c r="A1109" s="4">
        <v>1107</v>
      </c>
      <c r="B1109" s="2" t="s">
        <v>126</v>
      </c>
      <c r="C1109" s="3">
        <v>44860</v>
      </c>
      <c r="D1109" s="3" t="str">
        <f>TEXT(Table1[[#This Row],[Admission Date]],"MMMM")</f>
        <v>October</v>
      </c>
      <c r="E1109" s="3">
        <v>44864</v>
      </c>
      <c r="F1109" s="3">
        <v>44864</v>
      </c>
      <c r="G1109" s="2">
        <v>22029197</v>
      </c>
      <c r="H1109" s="2">
        <v>2237576</v>
      </c>
      <c r="I1109" s="2">
        <v>10013544653</v>
      </c>
      <c r="J1109" s="2" t="s">
        <v>872</v>
      </c>
      <c r="K1109" s="10">
        <v>57957</v>
      </c>
      <c r="L1109" s="10">
        <v>6222</v>
      </c>
      <c r="M1109" s="10">
        <v>51735</v>
      </c>
      <c r="N1109" s="10">
        <v>14787</v>
      </c>
      <c r="O1109" s="10">
        <f>Table1[[#This Row],[NET Amount]]-Table1[[#This Row],[Paid Amount]]</f>
        <v>36948</v>
      </c>
      <c r="P1109" s="2" t="s">
        <v>23</v>
      </c>
      <c r="Q1109" s="2" t="s">
        <v>24</v>
      </c>
      <c r="R1109" s="16">
        <f>(Table1[[#This Row],[NET Amount]]-Table1[[#This Row],[Total Outstanding Amount]])/Table1[[#This Row],[NET Amount]]</f>
        <v>0.28582197738474918</v>
      </c>
      <c r="S1109" s="2" t="s">
        <v>20</v>
      </c>
    </row>
    <row r="1110" spans="1:19" x14ac:dyDescent="0.3">
      <c r="A1110" s="4">
        <v>1108</v>
      </c>
      <c r="B1110" s="2" t="s">
        <v>91</v>
      </c>
      <c r="C1110" s="3">
        <v>44832</v>
      </c>
      <c r="D1110" s="3" t="str">
        <f>TEXT(Table1[[#This Row],[Admission Date]],"MMMM")</f>
        <v>September</v>
      </c>
      <c r="E1110" s="3">
        <v>44835</v>
      </c>
      <c r="F1110" s="3">
        <v>44835</v>
      </c>
      <c r="G1110" s="2">
        <v>22025171</v>
      </c>
      <c r="H1110" s="2">
        <v>2233762</v>
      </c>
      <c r="I1110" s="2">
        <v>10013340619</v>
      </c>
      <c r="J1110" s="2" t="s">
        <v>873</v>
      </c>
      <c r="K1110" s="10">
        <v>48155</v>
      </c>
      <c r="L1110" s="10">
        <v>2076</v>
      </c>
      <c r="M1110" s="10">
        <v>46080</v>
      </c>
      <c r="N1110" s="10">
        <v>3924</v>
      </c>
      <c r="O1110" s="10">
        <f>Table1[[#This Row],[NET Amount]]-Table1[[#This Row],[Paid Amount]]</f>
        <v>42156</v>
      </c>
      <c r="P1110" s="2" t="s">
        <v>23</v>
      </c>
      <c r="Q1110" s="2" t="s">
        <v>24</v>
      </c>
      <c r="R1110" s="16">
        <f>(Table1[[#This Row],[NET Amount]]-Table1[[#This Row],[Total Outstanding Amount]])/Table1[[#This Row],[NET Amount]]</f>
        <v>8.5156250000000003E-2</v>
      </c>
      <c r="S1110" s="2" t="s">
        <v>20</v>
      </c>
    </row>
    <row r="1111" spans="1:19" x14ac:dyDescent="0.3">
      <c r="A1111" s="4">
        <v>1109</v>
      </c>
      <c r="B1111" s="2" t="s">
        <v>144</v>
      </c>
      <c r="C1111" s="3">
        <v>44832</v>
      </c>
      <c r="D1111" s="3" t="str">
        <f>TEXT(Table1[[#This Row],[Admission Date]],"MMMM")</f>
        <v>September</v>
      </c>
      <c r="E1111" s="3">
        <v>44837</v>
      </c>
      <c r="F1111" s="3">
        <v>44837</v>
      </c>
      <c r="G1111" s="2">
        <v>22025372</v>
      </c>
      <c r="H1111" s="2">
        <v>2233754</v>
      </c>
      <c r="I1111" s="2">
        <v>10013540615</v>
      </c>
      <c r="J1111" s="2" t="s">
        <v>874</v>
      </c>
      <c r="K1111" s="10">
        <v>101659</v>
      </c>
      <c r="L1111" s="10">
        <v>0</v>
      </c>
      <c r="M1111" s="10">
        <v>101659</v>
      </c>
      <c r="N1111" s="10">
        <v>9221</v>
      </c>
      <c r="O1111" s="10">
        <f>Table1[[#This Row],[NET Amount]]-Table1[[#This Row],[Paid Amount]]</f>
        <v>92438</v>
      </c>
      <c r="P1111" s="2" t="s">
        <v>23</v>
      </c>
      <c r="Q1111" s="2" t="s">
        <v>30</v>
      </c>
      <c r="R1111" s="16">
        <f>(Table1[[#This Row],[NET Amount]]-Table1[[#This Row],[Total Outstanding Amount]])/Table1[[#This Row],[NET Amount]]</f>
        <v>9.0705200720054294E-2</v>
      </c>
      <c r="S1111" s="2" t="s">
        <v>37</v>
      </c>
    </row>
    <row r="1112" spans="1:19" x14ac:dyDescent="0.3">
      <c r="A1112" s="4">
        <v>1110</v>
      </c>
      <c r="B1112" s="2" t="s">
        <v>50</v>
      </c>
      <c r="C1112" s="3">
        <v>44865</v>
      </c>
      <c r="D1112" s="3" t="str">
        <f>TEXT(Table1[[#This Row],[Admission Date]],"MMMM")</f>
        <v>October</v>
      </c>
      <c r="E1112" s="3">
        <v>44865</v>
      </c>
      <c r="F1112" s="3">
        <v>44865</v>
      </c>
      <c r="G1112" s="2">
        <v>22029365</v>
      </c>
      <c r="H1112" s="2">
        <v>2238140</v>
      </c>
      <c r="I1112" s="2">
        <v>1000922329</v>
      </c>
      <c r="J1112" s="2" t="s">
        <v>875</v>
      </c>
      <c r="K1112" s="10">
        <v>31525</v>
      </c>
      <c r="L1112" s="10">
        <v>0</v>
      </c>
      <c r="M1112" s="10">
        <v>31525</v>
      </c>
      <c r="N1112" s="10">
        <v>1525</v>
      </c>
      <c r="O1112" s="10">
        <f>Table1[[#This Row],[NET Amount]]-Table1[[#This Row],[Paid Amount]]</f>
        <v>30000</v>
      </c>
      <c r="P1112" s="2" t="s">
        <v>23</v>
      </c>
      <c r="Q1112" s="2" t="s">
        <v>147</v>
      </c>
      <c r="R1112" s="16">
        <f>(Table1[[#This Row],[NET Amount]]-Table1[[#This Row],[Total Outstanding Amount]])/Table1[[#This Row],[NET Amount]]</f>
        <v>4.8374306106264871E-2</v>
      </c>
      <c r="S1112" s="2" t="s">
        <v>768</v>
      </c>
    </row>
    <row r="1113" spans="1:19" x14ac:dyDescent="0.3">
      <c r="A1113" s="4">
        <v>1111</v>
      </c>
      <c r="B1113" s="2" t="s">
        <v>25</v>
      </c>
      <c r="C1113" s="3">
        <v>44832</v>
      </c>
      <c r="D1113" s="3" t="str">
        <f>TEXT(Table1[[#This Row],[Admission Date]],"MMMM")</f>
        <v>September</v>
      </c>
      <c r="E1113" s="3">
        <v>44836</v>
      </c>
      <c r="F1113" s="3">
        <v>44836</v>
      </c>
      <c r="G1113" s="2">
        <v>22025283</v>
      </c>
      <c r="H1113" s="2">
        <v>2233834</v>
      </c>
      <c r="I1113" s="2">
        <v>10013540713</v>
      </c>
      <c r="J1113" s="2" t="s">
        <v>876</v>
      </c>
      <c r="K1113" s="10">
        <v>108063</v>
      </c>
      <c r="L1113" s="10">
        <v>13061</v>
      </c>
      <c r="M1113" s="10">
        <v>95002</v>
      </c>
      <c r="N1113" s="10">
        <v>95002</v>
      </c>
      <c r="O1113" s="10">
        <f>Table1[[#This Row],[NET Amount]]-Table1[[#This Row],[Paid Amount]]</f>
        <v>0</v>
      </c>
      <c r="P1113" s="2" t="s">
        <v>18</v>
      </c>
      <c r="Q1113" s="2" t="s">
        <v>19</v>
      </c>
      <c r="R1113" s="16">
        <f>(Table1[[#This Row],[NET Amount]]-Table1[[#This Row],[Total Outstanding Amount]])/Table1[[#This Row],[NET Amount]]</f>
        <v>1</v>
      </c>
      <c r="S1113" s="2" t="s">
        <v>27</v>
      </c>
    </row>
    <row r="1114" spans="1:19" x14ac:dyDescent="0.3">
      <c r="A1114" s="4">
        <v>1112</v>
      </c>
      <c r="B1114" s="2" t="s">
        <v>25</v>
      </c>
      <c r="C1114" s="3">
        <v>44842</v>
      </c>
      <c r="D1114" s="3" t="str">
        <f>TEXT(Table1[[#This Row],[Admission Date]],"MMMM")</f>
        <v>October</v>
      </c>
      <c r="E1114" s="3">
        <v>44844</v>
      </c>
      <c r="F1114" s="3">
        <v>44844</v>
      </c>
      <c r="G1114" s="2">
        <v>22026333</v>
      </c>
      <c r="H1114" s="2">
        <v>2235203</v>
      </c>
      <c r="I1114" s="2">
        <v>1001803326</v>
      </c>
      <c r="J1114" s="2" t="s">
        <v>184</v>
      </c>
      <c r="K1114" s="10">
        <v>184154</v>
      </c>
      <c r="L1114" s="10">
        <v>0</v>
      </c>
      <c r="M1114" s="10">
        <v>184154</v>
      </c>
      <c r="N1114" s="10">
        <v>184154</v>
      </c>
      <c r="O1114" s="10">
        <f>Table1[[#This Row],[NET Amount]]-Table1[[#This Row],[Paid Amount]]</f>
        <v>0</v>
      </c>
      <c r="P1114" s="2" t="s">
        <v>18</v>
      </c>
      <c r="Q1114" s="2" t="s">
        <v>24</v>
      </c>
      <c r="R1114" s="16">
        <f>(Table1[[#This Row],[NET Amount]]-Table1[[#This Row],[Total Outstanding Amount]])/Table1[[#This Row],[NET Amount]]</f>
        <v>1</v>
      </c>
      <c r="S1114" s="2" t="s">
        <v>39</v>
      </c>
    </row>
    <row r="1115" spans="1:19" x14ac:dyDescent="0.3">
      <c r="A1115" s="4">
        <v>1113</v>
      </c>
      <c r="B1115" s="2" t="s">
        <v>25</v>
      </c>
      <c r="C1115" s="3">
        <v>44840</v>
      </c>
      <c r="D1115" s="3" t="str">
        <f>TEXT(Table1[[#This Row],[Admission Date]],"MMMM")</f>
        <v>October</v>
      </c>
      <c r="E1115" s="3">
        <v>44848</v>
      </c>
      <c r="F1115" s="3">
        <v>44848</v>
      </c>
      <c r="G1115" s="2">
        <v>22027057</v>
      </c>
      <c r="H1115" s="2">
        <v>2234967</v>
      </c>
      <c r="I1115" s="2">
        <v>10013541901</v>
      </c>
      <c r="J1115" s="2" t="s">
        <v>877</v>
      </c>
      <c r="K1115" s="10">
        <v>264874</v>
      </c>
      <c r="L1115" s="10">
        <v>31063</v>
      </c>
      <c r="M1115" s="10">
        <v>233811</v>
      </c>
      <c r="N1115" s="10">
        <v>233811</v>
      </c>
      <c r="O1115" s="10">
        <f>Table1[[#This Row],[NET Amount]]-Table1[[#This Row],[Paid Amount]]</f>
        <v>0</v>
      </c>
      <c r="P1115" s="2" t="s">
        <v>18</v>
      </c>
      <c r="Q1115" s="2" t="s">
        <v>24</v>
      </c>
      <c r="R1115" s="16">
        <f>(Table1[[#This Row],[NET Amount]]-Table1[[#This Row],[Total Outstanding Amount]])/Table1[[#This Row],[NET Amount]]</f>
        <v>1</v>
      </c>
      <c r="S1115" s="2" t="s">
        <v>20</v>
      </c>
    </row>
    <row r="1116" spans="1:19" x14ac:dyDescent="0.3">
      <c r="A1116" s="4">
        <v>1114</v>
      </c>
      <c r="B1116" s="2" t="s">
        <v>25</v>
      </c>
      <c r="C1116" s="3">
        <v>44859</v>
      </c>
      <c r="D1116" s="3" t="str">
        <f>TEXT(Table1[[#This Row],[Admission Date]],"MMMM")</f>
        <v>October</v>
      </c>
      <c r="E1116" s="3">
        <v>44865</v>
      </c>
      <c r="F1116" s="3">
        <v>44865</v>
      </c>
      <c r="G1116" s="2">
        <v>22029309</v>
      </c>
      <c r="H1116" s="2">
        <v>2237413</v>
      </c>
      <c r="I1116" s="2">
        <v>1001255798</v>
      </c>
      <c r="J1116" s="2" t="s">
        <v>878</v>
      </c>
      <c r="K1116" s="10">
        <v>85315</v>
      </c>
      <c r="L1116" s="10">
        <v>27379</v>
      </c>
      <c r="M1116" s="10">
        <v>57935</v>
      </c>
      <c r="N1116" s="10">
        <v>57935</v>
      </c>
      <c r="O1116" s="10">
        <f>Table1[[#This Row],[NET Amount]]-Table1[[#This Row],[Paid Amount]]</f>
        <v>0</v>
      </c>
      <c r="P1116" s="2" t="s">
        <v>18</v>
      </c>
      <c r="Q1116" s="2" t="s">
        <v>69</v>
      </c>
      <c r="R1116" s="16">
        <f>(Table1[[#This Row],[NET Amount]]-Table1[[#This Row],[Total Outstanding Amount]])/Table1[[#This Row],[NET Amount]]</f>
        <v>1</v>
      </c>
      <c r="S1116" s="2" t="s">
        <v>20</v>
      </c>
    </row>
    <row r="1117" spans="1:19" x14ac:dyDescent="0.3">
      <c r="A1117" s="4">
        <v>1115</v>
      </c>
      <c r="B1117" s="2" t="s">
        <v>738</v>
      </c>
      <c r="C1117" s="3">
        <v>44861</v>
      </c>
      <c r="D1117" s="3" t="str">
        <f>TEXT(Table1[[#This Row],[Admission Date]],"MMMM")</f>
        <v>October</v>
      </c>
      <c r="E1117" s="3">
        <v>44865</v>
      </c>
      <c r="F1117" s="3">
        <v>44865</v>
      </c>
      <c r="G1117" s="2">
        <v>22029345</v>
      </c>
      <c r="H1117" s="2">
        <v>2237648</v>
      </c>
      <c r="I1117" s="2">
        <v>1001806555</v>
      </c>
      <c r="J1117" s="2" t="s">
        <v>879</v>
      </c>
      <c r="K1117" s="10">
        <v>16065</v>
      </c>
      <c r="L1117" s="10">
        <v>1488</v>
      </c>
      <c r="M1117" s="10">
        <v>14576</v>
      </c>
      <c r="N1117" s="10">
        <v>4329</v>
      </c>
      <c r="O1117" s="10">
        <f>Table1[[#This Row],[NET Amount]]-Table1[[#This Row],[Paid Amount]]</f>
        <v>10247</v>
      </c>
      <c r="P1117" s="2" t="s">
        <v>23</v>
      </c>
      <c r="Q1117" s="2" t="s">
        <v>19</v>
      </c>
      <c r="R1117" s="16">
        <f>(Table1[[#This Row],[NET Amount]]-Table1[[#This Row],[Total Outstanding Amount]])/Table1[[#This Row],[NET Amount]]</f>
        <v>0.29699506037321627</v>
      </c>
      <c r="S1117" s="2" t="s">
        <v>37</v>
      </c>
    </row>
    <row r="1118" spans="1:19" x14ac:dyDescent="0.3">
      <c r="A1118" s="4">
        <v>1116</v>
      </c>
      <c r="B1118" s="2" t="s">
        <v>25</v>
      </c>
      <c r="C1118" s="3">
        <v>44834</v>
      </c>
      <c r="D1118" s="3" t="str">
        <f>TEXT(Table1[[#This Row],[Admission Date]],"MMMM")</f>
        <v>September</v>
      </c>
      <c r="E1118" s="3">
        <v>44840</v>
      </c>
      <c r="F1118" s="3">
        <v>44840</v>
      </c>
      <c r="G1118" s="2">
        <v>22025831</v>
      </c>
      <c r="H1118" s="2">
        <v>2234135</v>
      </c>
      <c r="I1118" s="2">
        <v>10013260899</v>
      </c>
      <c r="J1118" s="2" t="s">
        <v>880</v>
      </c>
      <c r="K1118" s="10">
        <v>258733</v>
      </c>
      <c r="L1118" s="10">
        <v>46136</v>
      </c>
      <c r="M1118" s="10">
        <v>212597</v>
      </c>
      <c r="N1118" s="10">
        <v>212597</v>
      </c>
      <c r="O1118" s="10">
        <f>Table1[[#This Row],[NET Amount]]-Table1[[#This Row],[Paid Amount]]</f>
        <v>0</v>
      </c>
      <c r="P1118" s="2" t="s">
        <v>18</v>
      </c>
      <c r="Q1118" s="2" t="s">
        <v>88</v>
      </c>
      <c r="R1118" s="16">
        <f>(Table1[[#This Row],[NET Amount]]-Table1[[#This Row],[Total Outstanding Amount]])/Table1[[#This Row],[NET Amount]]</f>
        <v>1</v>
      </c>
      <c r="S1118" s="2" t="s">
        <v>20</v>
      </c>
    </row>
    <row r="1119" spans="1:19" x14ac:dyDescent="0.3">
      <c r="A1119" s="4">
        <v>1117</v>
      </c>
      <c r="B1119" s="2" t="s">
        <v>149</v>
      </c>
      <c r="C1119" s="3">
        <v>44849</v>
      </c>
      <c r="D1119" s="3" t="str">
        <f>TEXT(Table1[[#This Row],[Admission Date]],"MMMM")</f>
        <v>October</v>
      </c>
      <c r="E1119" s="3">
        <v>44851</v>
      </c>
      <c r="F1119" s="3">
        <v>44851</v>
      </c>
      <c r="G1119" s="2">
        <v>22027467</v>
      </c>
      <c r="H1119" s="2">
        <v>2236161</v>
      </c>
      <c r="I1119" s="2">
        <v>10013543178</v>
      </c>
      <c r="J1119" s="2" t="s">
        <v>555</v>
      </c>
      <c r="K1119" s="10">
        <v>88267</v>
      </c>
      <c r="L1119" s="10">
        <v>0</v>
      </c>
      <c r="M1119" s="10">
        <v>88267</v>
      </c>
      <c r="N1119" s="10">
        <v>9875</v>
      </c>
      <c r="O1119" s="10">
        <f>Table1[[#This Row],[NET Amount]]-Table1[[#This Row],[Paid Amount]]</f>
        <v>78392</v>
      </c>
      <c r="P1119" s="2" t="s">
        <v>23</v>
      </c>
      <c r="Q1119" s="2" t="s">
        <v>24</v>
      </c>
      <c r="R1119" s="16">
        <f>(Table1[[#This Row],[NET Amount]]-Table1[[#This Row],[Total Outstanding Amount]])/Table1[[#This Row],[NET Amount]]</f>
        <v>0.11187646572331675</v>
      </c>
      <c r="S1119" s="2" t="s">
        <v>32</v>
      </c>
    </row>
    <row r="1120" spans="1:19" x14ac:dyDescent="0.3">
      <c r="A1120" s="4">
        <v>1118</v>
      </c>
      <c r="B1120" s="2" t="s">
        <v>25</v>
      </c>
      <c r="C1120" s="3">
        <v>44863</v>
      </c>
      <c r="D1120" s="3" t="str">
        <f>TEXT(Table1[[#This Row],[Admission Date]],"MMMM")</f>
        <v>October</v>
      </c>
      <c r="E1120" s="3">
        <v>44864</v>
      </c>
      <c r="F1120" s="3">
        <v>44864</v>
      </c>
      <c r="G1120" s="2">
        <v>22029220</v>
      </c>
      <c r="H1120" s="2">
        <v>2237951</v>
      </c>
      <c r="I1120" s="2">
        <v>10013545030</v>
      </c>
      <c r="J1120" s="2" t="s">
        <v>881</v>
      </c>
      <c r="K1120" s="10">
        <v>407318</v>
      </c>
      <c r="L1120" s="10">
        <v>3658</v>
      </c>
      <c r="M1120" s="10">
        <v>403660</v>
      </c>
      <c r="N1120" s="10">
        <v>403660</v>
      </c>
      <c r="O1120" s="10">
        <f>Table1[[#This Row],[NET Amount]]-Table1[[#This Row],[Paid Amount]]</f>
        <v>0</v>
      </c>
      <c r="P1120" s="2" t="s">
        <v>18</v>
      </c>
      <c r="Q1120" s="2" t="s">
        <v>30</v>
      </c>
      <c r="R1120" s="16">
        <f>(Table1[[#This Row],[NET Amount]]-Table1[[#This Row],[Total Outstanding Amount]])/Table1[[#This Row],[NET Amount]]</f>
        <v>1</v>
      </c>
      <c r="S1120" s="2" t="s">
        <v>39</v>
      </c>
    </row>
    <row r="1121" spans="1:19" x14ac:dyDescent="0.3">
      <c r="A1121" s="4">
        <v>1119</v>
      </c>
      <c r="B1121" s="2" t="s">
        <v>882</v>
      </c>
      <c r="C1121" s="3">
        <v>44859</v>
      </c>
      <c r="D1121" s="3" t="str">
        <f>TEXT(Table1[[#This Row],[Admission Date]],"MMMM")</f>
        <v>October</v>
      </c>
      <c r="E1121" s="3">
        <v>44864</v>
      </c>
      <c r="F1121" s="3">
        <v>44864</v>
      </c>
      <c r="G1121" s="2">
        <v>22029202</v>
      </c>
      <c r="H1121" s="2">
        <v>2237385</v>
      </c>
      <c r="I1121" s="2">
        <v>10013544457</v>
      </c>
      <c r="J1121" s="2" t="s">
        <v>883</v>
      </c>
      <c r="K1121" s="10">
        <v>113704</v>
      </c>
      <c r="L1121" s="10">
        <v>0</v>
      </c>
      <c r="M1121" s="10">
        <v>113704</v>
      </c>
      <c r="N1121" s="10">
        <v>1899</v>
      </c>
      <c r="O1121" s="10">
        <f>Table1[[#This Row],[NET Amount]]-Table1[[#This Row],[Paid Amount]]</f>
        <v>111805</v>
      </c>
      <c r="P1121" s="2" t="s">
        <v>23</v>
      </c>
      <c r="Q1121" s="2" t="s">
        <v>30</v>
      </c>
      <c r="R1121" s="16">
        <f>(Table1[[#This Row],[NET Amount]]-Table1[[#This Row],[Total Outstanding Amount]])/Table1[[#This Row],[NET Amount]]</f>
        <v>1.670125941039893E-2</v>
      </c>
      <c r="S1121" s="2" t="s">
        <v>20</v>
      </c>
    </row>
    <row r="1122" spans="1:19" x14ac:dyDescent="0.3">
      <c r="A1122" s="4">
        <v>1120</v>
      </c>
      <c r="B1122" s="2" t="s">
        <v>2247</v>
      </c>
      <c r="C1122" s="3">
        <v>44837</v>
      </c>
      <c r="D1122" s="3" t="str">
        <f>TEXT(Table1[[#This Row],[Admission Date]],"MMMM")</f>
        <v>October</v>
      </c>
      <c r="E1122" s="3">
        <v>44837</v>
      </c>
      <c r="F1122" s="3">
        <v>44837</v>
      </c>
      <c r="G1122" s="2">
        <v>22025340</v>
      </c>
      <c r="H1122" s="2">
        <v>2234362</v>
      </c>
      <c r="I1122" s="2">
        <v>1001561182</v>
      </c>
      <c r="J1122" s="2" t="s">
        <v>222</v>
      </c>
      <c r="K1122" s="10">
        <v>2000</v>
      </c>
      <c r="L1122" s="10">
        <v>0</v>
      </c>
      <c r="M1122" s="10">
        <v>2000</v>
      </c>
      <c r="N1122" s="10">
        <v>300</v>
      </c>
      <c r="O1122" s="10">
        <f>Table1[[#This Row],[NET Amount]]-Table1[[#This Row],[Paid Amount]]</f>
        <v>1700</v>
      </c>
      <c r="P1122" s="2" t="s">
        <v>23</v>
      </c>
      <c r="Q1122" s="2" t="s">
        <v>147</v>
      </c>
      <c r="R1122" s="16">
        <f>(Table1[[#This Row],[NET Amount]]-Table1[[#This Row],[Total Outstanding Amount]])/Table1[[#This Row],[NET Amount]]</f>
        <v>0.15</v>
      </c>
      <c r="S1122" s="2" t="s">
        <v>97</v>
      </c>
    </row>
    <row r="1123" spans="1:19" x14ac:dyDescent="0.3">
      <c r="A1123" s="4">
        <v>1121</v>
      </c>
      <c r="B1123" s="2" t="s">
        <v>75</v>
      </c>
      <c r="C1123" s="3">
        <v>44839</v>
      </c>
      <c r="D1123" s="3" t="str">
        <f>TEXT(Table1[[#This Row],[Admission Date]],"MMMM")</f>
        <v>October</v>
      </c>
      <c r="E1123" s="3">
        <v>44844</v>
      </c>
      <c r="F1123" s="3">
        <v>44844</v>
      </c>
      <c r="G1123" s="2">
        <v>22026400</v>
      </c>
      <c r="H1123" s="2">
        <v>2234671</v>
      </c>
      <c r="I1123" s="2">
        <v>10013541622</v>
      </c>
      <c r="J1123" s="2" t="s">
        <v>884</v>
      </c>
      <c r="K1123" s="10">
        <v>31968</v>
      </c>
      <c r="L1123" s="10">
        <v>0</v>
      </c>
      <c r="M1123" s="10">
        <v>31968</v>
      </c>
      <c r="N1123" s="10">
        <v>478</v>
      </c>
      <c r="O1123" s="10">
        <f>Table1[[#This Row],[NET Amount]]-Table1[[#This Row],[Paid Amount]]</f>
        <v>31490</v>
      </c>
      <c r="P1123" s="2" t="s">
        <v>23</v>
      </c>
      <c r="Q1123" s="2" t="s">
        <v>24</v>
      </c>
      <c r="R1123" s="16">
        <f>(Table1[[#This Row],[NET Amount]]-Table1[[#This Row],[Total Outstanding Amount]])/Table1[[#This Row],[NET Amount]]</f>
        <v>1.4952452452452452E-2</v>
      </c>
      <c r="S1123" s="2" t="s">
        <v>20</v>
      </c>
    </row>
    <row r="1124" spans="1:19" x14ac:dyDescent="0.3">
      <c r="A1124" s="4">
        <v>1122</v>
      </c>
      <c r="B1124" s="2" t="s">
        <v>25</v>
      </c>
      <c r="C1124" s="3">
        <v>44844</v>
      </c>
      <c r="D1124" s="3" t="str">
        <f>TEXT(Table1[[#This Row],[Admission Date]],"MMMM")</f>
        <v>October</v>
      </c>
      <c r="E1124" s="3">
        <v>44844</v>
      </c>
      <c r="F1124" s="3">
        <v>44844</v>
      </c>
      <c r="G1124" s="2">
        <v>22026447</v>
      </c>
      <c r="H1124" s="2">
        <v>2235346</v>
      </c>
      <c r="I1124" s="2">
        <v>1001803503</v>
      </c>
      <c r="J1124" s="2" t="s">
        <v>885</v>
      </c>
      <c r="K1124" s="10">
        <v>25501</v>
      </c>
      <c r="L1124" s="10">
        <v>3381</v>
      </c>
      <c r="M1124" s="10">
        <v>22120</v>
      </c>
      <c r="N1124" s="10">
        <v>22120</v>
      </c>
      <c r="O1124" s="10">
        <f>Table1[[#This Row],[NET Amount]]-Table1[[#This Row],[Paid Amount]]</f>
        <v>0</v>
      </c>
      <c r="P1124" s="2" t="s">
        <v>18</v>
      </c>
      <c r="Q1124" s="2" t="s">
        <v>54</v>
      </c>
      <c r="R1124" s="16">
        <f>(Table1[[#This Row],[NET Amount]]-Table1[[#This Row],[Total Outstanding Amount]])/Table1[[#This Row],[NET Amount]]</f>
        <v>1</v>
      </c>
      <c r="S1124" s="2" t="s">
        <v>27</v>
      </c>
    </row>
    <row r="1125" spans="1:19" x14ac:dyDescent="0.3">
      <c r="A1125" s="4">
        <v>1123</v>
      </c>
      <c r="B1125" s="2" t="s">
        <v>35</v>
      </c>
      <c r="C1125" s="3">
        <v>44844</v>
      </c>
      <c r="D1125" s="3" t="str">
        <f>TEXT(Table1[[#This Row],[Admission Date]],"MMMM")</f>
        <v>October</v>
      </c>
      <c r="E1125" s="3">
        <v>44844</v>
      </c>
      <c r="F1125" s="3">
        <v>44844</v>
      </c>
      <c r="G1125" s="2">
        <v>22026444</v>
      </c>
      <c r="H1125" s="2">
        <v>2235345</v>
      </c>
      <c r="I1125" s="2">
        <v>1001239278</v>
      </c>
      <c r="J1125" s="2" t="s">
        <v>886</v>
      </c>
      <c r="K1125" s="10">
        <v>16670</v>
      </c>
      <c r="L1125" s="10">
        <v>0</v>
      </c>
      <c r="M1125" s="10">
        <v>16670</v>
      </c>
      <c r="N1125" s="10">
        <v>16670</v>
      </c>
      <c r="O1125" s="10">
        <f>Table1[[#This Row],[NET Amount]]-Table1[[#This Row],[Paid Amount]]</f>
        <v>0</v>
      </c>
      <c r="P1125" s="2" t="s">
        <v>18</v>
      </c>
      <c r="Q1125" s="2" t="s">
        <v>24</v>
      </c>
      <c r="R1125" s="16">
        <f>(Table1[[#This Row],[NET Amount]]-Table1[[#This Row],[Total Outstanding Amount]])/Table1[[#This Row],[NET Amount]]</f>
        <v>1</v>
      </c>
      <c r="S1125" s="2" t="s">
        <v>768</v>
      </c>
    </row>
    <row r="1126" spans="1:19" x14ac:dyDescent="0.3">
      <c r="A1126" s="4">
        <v>1124</v>
      </c>
      <c r="B1126" s="2" t="s">
        <v>2244</v>
      </c>
      <c r="C1126" s="3">
        <v>44844</v>
      </c>
      <c r="D1126" s="3" t="str">
        <f>TEXT(Table1[[#This Row],[Admission Date]],"MMMM")</f>
        <v>October</v>
      </c>
      <c r="E1126" s="3">
        <v>44845</v>
      </c>
      <c r="F1126" s="3">
        <v>44845</v>
      </c>
      <c r="G1126" s="2">
        <v>22026573</v>
      </c>
      <c r="H1126" s="2">
        <v>2235353</v>
      </c>
      <c r="I1126" s="2">
        <v>10013541351</v>
      </c>
      <c r="J1126" s="2" t="s">
        <v>887</v>
      </c>
      <c r="K1126" s="10">
        <v>14996</v>
      </c>
      <c r="L1126" s="10">
        <v>0</v>
      </c>
      <c r="M1126" s="10">
        <v>14996</v>
      </c>
      <c r="N1126" s="10">
        <v>14996</v>
      </c>
      <c r="O1126" s="10">
        <f>Table1[[#This Row],[NET Amount]]-Table1[[#This Row],[Paid Amount]]</f>
        <v>0</v>
      </c>
      <c r="P1126" s="2" t="s">
        <v>18</v>
      </c>
      <c r="Q1126" s="2" t="s">
        <v>24</v>
      </c>
      <c r="R1126" s="16">
        <f>(Table1[[#This Row],[NET Amount]]-Table1[[#This Row],[Total Outstanding Amount]])/Table1[[#This Row],[NET Amount]]</f>
        <v>1</v>
      </c>
      <c r="S1126" s="2" t="s">
        <v>138</v>
      </c>
    </row>
    <row r="1127" spans="1:19" x14ac:dyDescent="0.3">
      <c r="A1127" s="4">
        <v>1125</v>
      </c>
      <c r="B1127" s="2" t="s">
        <v>25</v>
      </c>
      <c r="C1127" s="3">
        <v>44844</v>
      </c>
      <c r="D1127" s="3" t="str">
        <f>TEXT(Table1[[#This Row],[Admission Date]],"MMMM")</f>
        <v>October</v>
      </c>
      <c r="E1127" s="3">
        <v>44844</v>
      </c>
      <c r="F1127" s="3">
        <v>44844</v>
      </c>
      <c r="G1127" s="2">
        <v>22026475</v>
      </c>
      <c r="H1127" s="2">
        <v>2235362</v>
      </c>
      <c r="I1127" s="2">
        <v>1001803517</v>
      </c>
      <c r="J1127" s="2" t="s">
        <v>888</v>
      </c>
      <c r="K1127" s="10">
        <v>14896</v>
      </c>
      <c r="L1127" s="10">
        <v>2647</v>
      </c>
      <c r="M1127" s="10">
        <v>12249</v>
      </c>
      <c r="N1127" s="10">
        <v>12249</v>
      </c>
      <c r="O1127" s="10">
        <f>Table1[[#This Row],[NET Amount]]-Table1[[#This Row],[Paid Amount]]</f>
        <v>0</v>
      </c>
      <c r="P1127" s="2" t="s">
        <v>18</v>
      </c>
      <c r="Q1127" s="2" t="s">
        <v>24</v>
      </c>
      <c r="R1127" s="16">
        <f>(Table1[[#This Row],[NET Amount]]-Table1[[#This Row],[Total Outstanding Amount]])/Table1[[#This Row],[NET Amount]]</f>
        <v>1</v>
      </c>
      <c r="S1127" s="2" t="s">
        <v>20</v>
      </c>
    </row>
    <row r="1128" spans="1:19" x14ac:dyDescent="0.3">
      <c r="A1128" s="4">
        <v>1126</v>
      </c>
      <c r="B1128" s="2" t="s">
        <v>2269</v>
      </c>
      <c r="C1128" s="3">
        <v>44836</v>
      </c>
      <c r="D1128" s="3" t="str">
        <f>TEXT(Table1[[#This Row],[Admission Date]],"MMMM")</f>
        <v>October</v>
      </c>
      <c r="E1128" s="3">
        <v>44849</v>
      </c>
      <c r="F1128" s="3">
        <v>44849</v>
      </c>
      <c r="G1128" s="2">
        <v>22027224</v>
      </c>
      <c r="H1128" s="2">
        <v>2234335</v>
      </c>
      <c r="I1128" s="2">
        <v>1001802046</v>
      </c>
      <c r="J1128" s="2" t="s">
        <v>889</v>
      </c>
      <c r="K1128" s="10">
        <v>149152</v>
      </c>
      <c r="L1128" s="10">
        <v>0</v>
      </c>
      <c r="M1128" s="10">
        <v>149152</v>
      </c>
      <c r="N1128" s="10">
        <v>149152</v>
      </c>
      <c r="O1128" s="10">
        <f>Table1[[#This Row],[NET Amount]]-Table1[[#This Row],[Paid Amount]]</f>
        <v>0</v>
      </c>
      <c r="P1128" s="2" t="s">
        <v>18</v>
      </c>
      <c r="Q1128" s="2" t="s">
        <v>19</v>
      </c>
      <c r="R1128" s="16">
        <f>(Table1[[#This Row],[NET Amount]]-Table1[[#This Row],[Total Outstanding Amount]])/Table1[[#This Row],[NET Amount]]</f>
        <v>1</v>
      </c>
      <c r="S1128" s="2" t="s">
        <v>20</v>
      </c>
    </row>
    <row r="1129" spans="1:19" x14ac:dyDescent="0.3">
      <c r="A1129" s="4">
        <v>1127</v>
      </c>
      <c r="B1129" s="2" t="s">
        <v>25</v>
      </c>
      <c r="C1129" s="3">
        <v>44841</v>
      </c>
      <c r="D1129" s="3" t="str">
        <f>TEXT(Table1[[#This Row],[Admission Date]],"MMMM")</f>
        <v>October</v>
      </c>
      <c r="E1129" s="3">
        <v>44844</v>
      </c>
      <c r="F1129" s="3">
        <v>44844</v>
      </c>
      <c r="G1129" s="2">
        <v>22026386</v>
      </c>
      <c r="H1129" s="2">
        <v>2235080</v>
      </c>
      <c r="I1129" s="2">
        <v>1001803128</v>
      </c>
      <c r="J1129" s="2" t="s">
        <v>890</v>
      </c>
      <c r="K1129" s="10">
        <v>105714</v>
      </c>
      <c r="L1129" s="10">
        <v>38944</v>
      </c>
      <c r="M1129" s="10">
        <v>66769</v>
      </c>
      <c r="N1129" s="10">
        <v>66769</v>
      </c>
      <c r="O1129" s="10">
        <f>Table1[[#This Row],[NET Amount]]-Table1[[#This Row],[Paid Amount]]</f>
        <v>0</v>
      </c>
      <c r="P1129" s="2" t="s">
        <v>18</v>
      </c>
      <c r="Q1129" s="2" t="s">
        <v>69</v>
      </c>
      <c r="R1129" s="16">
        <f>(Table1[[#This Row],[NET Amount]]-Table1[[#This Row],[Total Outstanding Amount]])/Table1[[#This Row],[NET Amount]]</f>
        <v>1</v>
      </c>
      <c r="S1129" s="2" t="s">
        <v>20</v>
      </c>
    </row>
    <row r="1130" spans="1:19" x14ac:dyDescent="0.3">
      <c r="A1130" s="4">
        <v>1128</v>
      </c>
      <c r="B1130" s="2" t="s">
        <v>50</v>
      </c>
      <c r="C1130" s="3">
        <v>44840</v>
      </c>
      <c r="D1130" s="3" t="str">
        <f>TEXT(Table1[[#This Row],[Admission Date]],"MMMM")</f>
        <v>October</v>
      </c>
      <c r="E1130" s="3">
        <v>44851</v>
      </c>
      <c r="F1130" s="3">
        <v>44851</v>
      </c>
      <c r="G1130" s="2">
        <v>22027418</v>
      </c>
      <c r="H1130" s="2">
        <v>2234892</v>
      </c>
      <c r="I1130" s="2">
        <v>1001802845</v>
      </c>
      <c r="J1130" s="2" t="s">
        <v>891</v>
      </c>
      <c r="K1130" s="10">
        <v>142553</v>
      </c>
      <c r="L1130" s="10">
        <v>18200</v>
      </c>
      <c r="M1130" s="10">
        <v>124353</v>
      </c>
      <c r="N1130" s="10">
        <v>12056</v>
      </c>
      <c r="O1130" s="10">
        <f>Table1[[#This Row],[NET Amount]]-Table1[[#This Row],[Paid Amount]]</f>
        <v>112297</v>
      </c>
      <c r="P1130" s="2" t="s">
        <v>23</v>
      </c>
      <c r="Q1130" s="2" t="s">
        <v>30</v>
      </c>
      <c r="R1130" s="16">
        <f>(Table1[[#This Row],[NET Amount]]-Table1[[#This Row],[Total Outstanding Amount]])/Table1[[#This Row],[NET Amount]]</f>
        <v>9.6949812228092611E-2</v>
      </c>
      <c r="S1130" s="2" t="s">
        <v>37</v>
      </c>
    </row>
    <row r="1131" spans="1:19" x14ac:dyDescent="0.3">
      <c r="A1131" s="4">
        <v>1129</v>
      </c>
      <c r="B1131" s="2" t="s">
        <v>126</v>
      </c>
      <c r="C1131" s="3">
        <v>44859</v>
      </c>
      <c r="D1131" s="3" t="str">
        <f>TEXT(Table1[[#This Row],[Admission Date]],"MMMM")</f>
        <v>October</v>
      </c>
      <c r="E1131" s="3">
        <v>44864</v>
      </c>
      <c r="F1131" s="3">
        <v>44864</v>
      </c>
      <c r="G1131" s="2">
        <v>22029221</v>
      </c>
      <c r="H1131" s="2">
        <v>2237388</v>
      </c>
      <c r="I1131" s="2">
        <v>1001806168</v>
      </c>
      <c r="J1131" s="2" t="s">
        <v>892</v>
      </c>
      <c r="K1131" s="10">
        <v>134637</v>
      </c>
      <c r="L1131" s="10">
        <v>14425</v>
      </c>
      <c r="M1131" s="10">
        <v>120212</v>
      </c>
      <c r="N1131" s="10">
        <v>17095</v>
      </c>
      <c r="O1131" s="10">
        <f>Table1[[#This Row],[NET Amount]]-Table1[[#This Row],[Paid Amount]]</f>
        <v>103117</v>
      </c>
      <c r="P1131" s="2" t="s">
        <v>23</v>
      </c>
      <c r="Q1131" s="2" t="s">
        <v>19</v>
      </c>
      <c r="R1131" s="16">
        <f>(Table1[[#This Row],[NET Amount]]-Table1[[#This Row],[Total Outstanding Amount]])/Table1[[#This Row],[NET Amount]]</f>
        <v>0.14220710078860679</v>
      </c>
      <c r="S1131" s="2" t="s">
        <v>20</v>
      </c>
    </row>
    <row r="1132" spans="1:19" x14ac:dyDescent="0.3">
      <c r="A1132" s="4">
        <v>1130</v>
      </c>
      <c r="B1132" s="2" t="s">
        <v>152</v>
      </c>
      <c r="C1132" s="3">
        <v>44839</v>
      </c>
      <c r="D1132" s="3" t="str">
        <f>TEXT(Table1[[#This Row],[Admission Date]],"MMMM")</f>
        <v>October</v>
      </c>
      <c r="E1132" s="3">
        <v>44850</v>
      </c>
      <c r="F1132" s="3">
        <v>44850</v>
      </c>
      <c r="G1132" s="2">
        <v>22027341</v>
      </c>
      <c r="H1132" s="2">
        <v>2234763</v>
      </c>
      <c r="I1132" s="2">
        <v>10013503916</v>
      </c>
      <c r="J1132" s="2" t="s">
        <v>893</v>
      </c>
      <c r="K1132" s="10">
        <v>197275</v>
      </c>
      <c r="L1132" s="10">
        <v>0</v>
      </c>
      <c r="M1132" s="10">
        <v>197275</v>
      </c>
      <c r="N1132" s="10">
        <v>197275</v>
      </c>
      <c r="O1132" s="10">
        <f>Table1[[#This Row],[NET Amount]]-Table1[[#This Row],[Paid Amount]]</f>
        <v>0</v>
      </c>
      <c r="P1132" s="2" t="s">
        <v>18</v>
      </c>
      <c r="Q1132" s="2" t="s">
        <v>30</v>
      </c>
      <c r="R1132" s="16">
        <f>(Table1[[#This Row],[NET Amount]]-Table1[[#This Row],[Total Outstanding Amount]])/Table1[[#This Row],[NET Amount]]</f>
        <v>1</v>
      </c>
      <c r="S1132" s="2" t="s">
        <v>20</v>
      </c>
    </row>
    <row r="1133" spans="1:19" x14ac:dyDescent="0.3">
      <c r="A1133" s="4">
        <v>1131</v>
      </c>
      <c r="B1133" s="2" t="s">
        <v>40</v>
      </c>
      <c r="C1133" s="3">
        <v>44862</v>
      </c>
      <c r="D1133" s="3" t="str">
        <f>TEXT(Table1[[#This Row],[Admission Date]],"MMMM")</f>
        <v>October</v>
      </c>
      <c r="E1133" s="3">
        <v>44865</v>
      </c>
      <c r="F1133" s="3">
        <v>44865</v>
      </c>
      <c r="G1133" s="2">
        <v>22029285</v>
      </c>
      <c r="H1133" s="2">
        <v>2237894</v>
      </c>
      <c r="I1133" s="2">
        <v>1001254895</v>
      </c>
      <c r="J1133" s="2" t="s">
        <v>894</v>
      </c>
      <c r="K1133" s="10">
        <v>85046</v>
      </c>
      <c r="L1133" s="10">
        <v>10966</v>
      </c>
      <c r="M1133" s="10">
        <v>74080</v>
      </c>
      <c r="N1133" s="10">
        <v>23546</v>
      </c>
      <c r="O1133" s="10">
        <f>Table1[[#This Row],[NET Amount]]-Table1[[#This Row],[Paid Amount]]</f>
        <v>50534</v>
      </c>
      <c r="P1133" s="2" t="s">
        <v>23</v>
      </c>
      <c r="Q1133" s="2" t="s">
        <v>52</v>
      </c>
      <c r="R1133" s="16">
        <f>(Table1[[#This Row],[NET Amount]]-Table1[[#This Row],[Total Outstanding Amount]])/Table1[[#This Row],[NET Amount]]</f>
        <v>0.31784557235421168</v>
      </c>
      <c r="S1133" s="2" t="s">
        <v>20</v>
      </c>
    </row>
    <row r="1134" spans="1:19" x14ac:dyDescent="0.3">
      <c r="A1134" s="4">
        <v>1132</v>
      </c>
      <c r="B1134" s="2" t="s">
        <v>50</v>
      </c>
      <c r="C1134" s="3">
        <v>44865</v>
      </c>
      <c r="D1134" s="3" t="str">
        <f>TEXT(Table1[[#This Row],[Admission Date]],"MMMM")</f>
        <v>October</v>
      </c>
      <c r="E1134" s="3">
        <v>44865</v>
      </c>
      <c r="F1134" s="3">
        <v>44865</v>
      </c>
      <c r="G1134" s="2">
        <v>22029331</v>
      </c>
      <c r="H1134" s="2">
        <v>2238183</v>
      </c>
      <c r="I1134" s="2">
        <v>1001206152</v>
      </c>
      <c r="J1134" s="2" t="s">
        <v>375</v>
      </c>
      <c r="K1134" s="10">
        <v>2200</v>
      </c>
      <c r="L1134" s="10">
        <v>0</v>
      </c>
      <c r="M1134" s="10">
        <v>2200</v>
      </c>
      <c r="N1134" s="10">
        <v>440</v>
      </c>
      <c r="O1134" s="10">
        <f>Table1[[#This Row],[NET Amount]]-Table1[[#This Row],[Paid Amount]]</f>
        <v>1760</v>
      </c>
      <c r="P1134" s="2" t="s">
        <v>23</v>
      </c>
      <c r="Q1134" s="2" t="s">
        <v>147</v>
      </c>
      <c r="R1134" s="16">
        <f>(Table1[[#This Row],[NET Amount]]-Table1[[#This Row],[Total Outstanding Amount]])/Table1[[#This Row],[NET Amount]]</f>
        <v>0.2</v>
      </c>
      <c r="S1134" s="2" t="s">
        <v>97</v>
      </c>
    </row>
    <row r="1135" spans="1:19" x14ac:dyDescent="0.3">
      <c r="A1135" s="4">
        <v>1133</v>
      </c>
      <c r="B1135" s="2" t="s">
        <v>895</v>
      </c>
      <c r="C1135" s="3">
        <v>44838</v>
      </c>
      <c r="D1135" s="3" t="str">
        <f>TEXT(Table1[[#This Row],[Admission Date]],"MMMM")</f>
        <v>October</v>
      </c>
      <c r="E1135" s="3">
        <v>44839</v>
      </c>
      <c r="F1135" s="3">
        <v>44839</v>
      </c>
      <c r="G1135" s="2">
        <v>22025689</v>
      </c>
      <c r="H1135" s="2">
        <v>2234492</v>
      </c>
      <c r="I1135" s="2">
        <v>10013541439</v>
      </c>
      <c r="J1135" s="2" t="s">
        <v>896</v>
      </c>
      <c r="K1135" s="10">
        <v>41561</v>
      </c>
      <c r="L1135" s="10">
        <v>3447</v>
      </c>
      <c r="M1135" s="10">
        <v>38114</v>
      </c>
      <c r="N1135" s="10">
        <v>4106</v>
      </c>
      <c r="O1135" s="10">
        <f>Table1[[#This Row],[NET Amount]]-Table1[[#This Row],[Paid Amount]]</f>
        <v>34008</v>
      </c>
      <c r="P1135" s="2" t="s">
        <v>23</v>
      </c>
      <c r="Q1135" s="2" t="s">
        <v>30</v>
      </c>
      <c r="R1135" s="16">
        <f>(Table1[[#This Row],[NET Amount]]-Table1[[#This Row],[Total Outstanding Amount]])/Table1[[#This Row],[NET Amount]]</f>
        <v>0.10772944324919977</v>
      </c>
      <c r="S1135" s="2" t="s">
        <v>39</v>
      </c>
    </row>
    <row r="1136" spans="1:19" x14ac:dyDescent="0.3">
      <c r="A1136" s="4">
        <v>1134</v>
      </c>
      <c r="B1136" s="2" t="s">
        <v>25</v>
      </c>
      <c r="C1136" s="3">
        <v>44840</v>
      </c>
      <c r="D1136" s="3" t="str">
        <f>TEXT(Table1[[#This Row],[Admission Date]],"MMMM")</f>
        <v>October</v>
      </c>
      <c r="E1136" s="3">
        <v>44844</v>
      </c>
      <c r="F1136" s="3">
        <v>44844</v>
      </c>
      <c r="G1136" s="2">
        <v>22026453</v>
      </c>
      <c r="H1136" s="2">
        <v>2234935</v>
      </c>
      <c r="I1136" s="2">
        <v>10013540684</v>
      </c>
      <c r="J1136" s="2" t="s">
        <v>897</v>
      </c>
      <c r="K1136" s="10">
        <v>143348</v>
      </c>
      <c r="L1136" s="10">
        <v>32316</v>
      </c>
      <c r="M1136" s="10">
        <v>111032</v>
      </c>
      <c r="N1136" s="10">
        <v>111032</v>
      </c>
      <c r="O1136" s="10">
        <f>Table1[[#This Row],[NET Amount]]-Table1[[#This Row],[Paid Amount]]</f>
        <v>0</v>
      </c>
      <c r="P1136" s="2" t="s">
        <v>18</v>
      </c>
      <c r="Q1136" s="2" t="s">
        <v>24</v>
      </c>
      <c r="R1136" s="16">
        <f>(Table1[[#This Row],[NET Amount]]-Table1[[#This Row],[Total Outstanding Amount]])/Table1[[#This Row],[NET Amount]]</f>
        <v>1</v>
      </c>
      <c r="S1136" s="2" t="s">
        <v>39</v>
      </c>
    </row>
    <row r="1137" spans="1:19" x14ac:dyDescent="0.3">
      <c r="A1137" s="4">
        <v>1135</v>
      </c>
      <c r="B1137" s="2" t="s">
        <v>898</v>
      </c>
      <c r="C1137" s="3">
        <v>44841</v>
      </c>
      <c r="D1137" s="3" t="str">
        <f>TEXT(Table1[[#This Row],[Admission Date]],"MMMM")</f>
        <v>October</v>
      </c>
      <c r="E1137" s="3">
        <v>44844</v>
      </c>
      <c r="F1137" s="3">
        <v>44844</v>
      </c>
      <c r="G1137" s="2">
        <v>22026395</v>
      </c>
      <c r="H1137" s="2">
        <v>2235048</v>
      </c>
      <c r="I1137" s="2">
        <v>1000964563</v>
      </c>
      <c r="J1137" s="2" t="s">
        <v>899</v>
      </c>
      <c r="K1137" s="10">
        <v>127911</v>
      </c>
      <c r="L1137" s="10">
        <v>0</v>
      </c>
      <c r="M1137" s="10">
        <v>127911</v>
      </c>
      <c r="N1137" s="10">
        <v>6088</v>
      </c>
      <c r="O1137" s="10">
        <f>Table1[[#This Row],[NET Amount]]-Table1[[#This Row],[Paid Amount]]</f>
        <v>121823</v>
      </c>
      <c r="P1137" s="2" t="s">
        <v>23</v>
      </c>
      <c r="Q1137" s="2" t="s">
        <v>19</v>
      </c>
      <c r="R1137" s="16">
        <f>(Table1[[#This Row],[NET Amount]]-Table1[[#This Row],[Total Outstanding Amount]])/Table1[[#This Row],[NET Amount]]</f>
        <v>4.7595593811321932E-2</v>
      </c>
      <c r="S1137" s="2" t="s">
        <v>27</v>
      </c>
    </row>
    <row r="1138" spans="1:19" x14ac:dyDescent="0.3">
      <c r="A1138" s="4">
        <v>1136</v>
      </c>
      <c r="B1138" s="2" t="s">
        <v>25</v>
      </c>
      <c r="C1138" s="3">
        <v>44844</v>
      </c>
      <c r="D1138" s="3" t="str">
        <f>TEXT(Table1[[#This Row],[Admission Date]],"MMMM")</f>
        <v>October</v>
      </c>
      <c r="E1138" s="3">
        <v>44844</v>
      </c>
      <c r="F1138" s="3">
        <v>44844</v>
      </c>
      <c r="G1138" s="2">
        <v>22026456</v>
      </c>
      <c r="H1138" s="2">
        <v>2235440</v>
      </c>
      <c r="I1138" s="2">
        <v>10013533934</v>
      </c>
      <c r="J1138" s="2" t="s">
        <v>498</v>
      </c>
      <c r="K1138" s="10">
        <v>4990</v>
      </c>
      <c r="L1138" s="10">
        <v>413</v>
      </c>
      <c r="M1138" s="10">
        <v>4577</v>
      </c>
      <c r="N1138" s="10">
        <v>4577</v>
      </c>
      <c r="O1138" s="10">
        <f>Table1[[#This Row],[NET Amount]]-Table1[[#This Row],[Paid Amount]]</f>
        <v>0</v>
      </c>
      <c r="P1138" s="2" t="s">
        <v>18</v>
      </c>
      <c r="Q1138" s="2" t="s">
        <v>54</v>
      </c>
      <c r="R1138" s="16">
        <f>(Table1[[#This Row],[NET Amount]]-Table1[[#This Row],[Total Outstanding Amount]])/Table1[[#This Row],[NET Amount]]</f>
        <v>1</v>
      </c>
      <c r="S1138" s="2" t="s">
        <v>97</v>
      </c>
    </row>
    <row r="1139" spans="1:19" x14ac:dyDescent="0.3">
      <c r="A1139" s="4">
        <v>1137</v>
      </c>
      <c r="B1139" s="2" t="s">
        <v>40</v>
      </c>
      <c r="C1139" s="3">
        <v>44849</v>
      </c>
      <c r="D1139" s="3" t="str">
        <f>TEXT(Table1[[#This Row],[Admission Date]],"MMMM")</f>
        <v>October</v>
      </c>
      <c r="E1139" s="3">
        <v>44853</v>
      </c>
      <c r="F1139" s="3">
        <v>44853</v>
      </c>
      <c r="G1139" s="2">
        <v>22027693</v>
      </c>
      <c r="H1139" s="2">
        <v>2236205</v>
      </c>
      <c r="I1139" s="2">
        <v>1001001167</v>
      </c>
      <c r="J1139" s="2" t="s">
        <v>900</v>
      </c>
      <c r="K1139" s="10">
        <v>63928</v>
      </c>
      <c r="L1139" s="10">
        <v>8626</v>
      </c>
      <c r="M1139" s="10">
        <v>55302</v>
      </c>
      <c r="N1139" s="10">
        <v>16441</v>
      </c>
      <c r="O1139" s="10">
        <f>Table1[[#This Row],[NET Amount]]-Table1[[#This Row],[Paid Amount]]</f>
        <v>38861</v>
      </c>
      <c r="P1139" s="2" t="s">
        <v>23</v>
      </c>
      <c r="Q1139" s="2" t="s">
        <v>52</v>
      </c>
      <c r="R1139" s="16">
        <f>(Table1[[#This Row],[NET Amount]]-Table1[[#This Row],[Total Outstanding Amount]])/Table1[[#This Row],[NET Amount]]</f>
        <v>0.29729485371234315</v>
      </c>
      <c r="S1139" s="2" t="s">
        <v>20</v>
      </c>
    </row>
    <row r="1140" spans="1:19" x14ac:dyDescent="0.3">
      <c r="A1140" s="4">
        <v>1138</v>
      </c>
      <c r="B1140" s="2" t="s">
        <v>152</v>
      </c>
      <c r="C1140" s="3">
        <v>44852</v>
      </c>
      <c r="D1140" s="3" t="str">
        <f>TEXT(Table1[[#This Row],[Admission Date]],"MMMM")</f>
        <v>October</v>
      </c>
      <c r="E1140" s="3">
        <v>44853</v>
      </c>
      <c r="F1140" s="3">
        <v>44853</v>
      </c>
      <c r="G1140" s="2">
        <v>22027755</v>
      </c>
      <c r="H1140" s="2">
        <v>2236536</v>
      </c>
      <c r="I1140" s="2">
        <v>10013430692</v>
      </c>
      <c r="J1140" s="2" t="s">
        <v>901</v>
      </c>
      <c r="K1140" s="10">
        <v>19412</v>
      </c>
      <c r="L1140" s="10">
        <v>0</v>
      </c>
      <c r="M1140" s="10">
        <v>19412</v>
      </c>
      <c r="N1140" s="10">
        <v>1565</v>
      </c>
      <c r="O1140" s="10">
        <f>Table1[[#This Row],[NET Amount]]-Table1[[#This Row],[Paid Amount]]</f>
        <v>17847</v>
      </c>
      <c r="P1140" s="2" t="s">
        <v>23</v>
      </c>
      <c r="Q1140" s="2" t="s">
        <v>30</v>
      </c>
      <c r="R1140" s="16">
        <f>(Table1[[#This Row],[NET Amount]]-Table1[[#This Row],[Total Outstanding Amount]])/Table1[[#This Row],[NET Amount]]</f>
        <v>8.0620234906243565E-2</v>
      </c>
      <c r="S1140" s="2" t="s">
        <v>20</v>
      </c>
    </row>
    <row r="1141" spans="1:19" x14ac:dyDescent="0.3">
      <c r="A1141" s="4">
        <v>1139</v>
      </c>
      <c r="B1141" s="2" t="s">
        <v>25</v>
      </c>
      <c r="C1141" s="3">
        <v>44865</v>
      </c>
      <c r="D1141" s="3" t="str">
        <f>TEXT(Table1[[#This Row],[Admission Date]],"MMMM")</f>
        <v>October</v>
      </c>
      <c r="E1141" s="3">
        <v>44865</v>
      </c>
      <c r="F1141" s="3">
        <v>44865</v>
      </c>
      <c r="G1141" s="2">
        <v>22029403</v>
      </c>
      <c r="H1141" s="2">
        <v>2238277</v>
      </c>
      <c r="I1141" s="2">
        <v>10013451851</v>
      </c>
      <c r="J1141" s="2" t="s">
        <v>300</v>
      </c>
      <c r="K1141" s="10">
        <v>3538</v>
      </c>
      <c r="L1141" s="10">
        <v>259</v>
      </c>
      <c r="M1141" s="10">
        <v>3279</v>
      </c>
      <c r="N1141" s="10">
        <v>3279</v>
      </c>
      <c r="O1141" s="10">
        <f>Table1[[#This Row],[NET Amount]]-Table1[[#This Row],[Paid Amount]]</f>
        <v>0</v>
      </c>
      <c r="P1141" s="2" t="s">
        <v>18</v>
      </c>
      <c r="Q1141" s="2" t="s">
        <v>54</v>
      </c>
      <c r="R1141" s="16">
        <f>(Table1[[#This Row],[NET Amount]]-Table1[[#This Row],[Total Outstanding Amount]])/Table1[[#This Row],[NET Amount]]</f>
        <v>1</v>
      </c>
      <c r="S1141" s="2" t="s">
        <v>97</v>
      </c>
    </row>
    <row r="1142" spans="1:19" x14ac:dyDescent="0.3">
      <c r="A1142" s="4">
        <v>1140</v>
      </c>
      <c r="B1142" s="2" t="s">
        <v>25</v>
      </c>
      <c r="C1142" s="3">
        <v>44840</v>
      </c>
      <c r="D1142" s="3" t="str">
        <f>TEXT(Table1[[#This Row],[Admission Date]],"MMMM")</f>
        <v>October</v>
      </c>
      <c r="E1142" s="3">
        <v>44840</v>
      </c>
      <c r="F1142" s="3">
        <v>44840</v>
      </c>
      <c r="G1142" s="2">
        <v>22025806</v>
      </c>
      <c r="H1142" s="2">
        <v>2234839</v>
      </c>
      <c r="I1142" s="2">
        <v>10013424453</v>
      </c>
      <c r="J1142" s="2" t="s">
        <v>333</v>
      </c>
      <c r="K1142" s="10">
        <v>4990</v>
      </c>
      <c r="L1142" s="10">
        <v>433</v>
      </c>
      <c r="M1142" s="10">
        <v>4557</v>
      </c>
      <c r="N1142" s="10">
        <v>4557</v>
      </c>
      <c r="O1142" s="10">
        <f>Table1[[#This Row],[NET Amount]]-Table1[[#This Row],[Paid Amount]]</f>
        <v>0</v>
      </c>
      <c r="P1142" s="2" t="s">
        <v>18</v>
      </c>
      <c r="Q1142" s="2" t="s">
        <v>54</v>
      </c>
      <c r="R1142" s="16">
        <f>(Table1[[#This Row],[NET Amount]]-Table1[[#This Row],[Total Outstanding Amount]])/Table1[[#This Row],[NET Amount]]</f>
        <v>1</v>
      </c>
      <c r="S1142" s="2" t="s">
        <v>97</v>
      </c>
    </row>
    <row r="1143" spans="1:19" x14ac:dyDescent="0.3">
      <c r="A1143" s="4">
        <v>1141</v>
      </c>
      <c r="B1143" s="2" t="s">
        <v>155</v>
      </c>
      <c r="C1143" s="3">
        <v>44840</v>
      </c>
      <c r="D1143" s="3" t="str">
        <f>TEXT(Table1[[#This Row],[Admission Date]],"MMMM")</f>
        <v>October</v>
      </c>
      <c r="E1143" s="3">
        <v>44840</v>
      </c>
      <c r="F1143" s="3">
        <v>44840</v>
      </c>
      <c r="G1143" s="2">
        <v>22025808</v>
      </c>
      <c r="H1143" s="2">
        <v>2234817</v>
      </c>
      <c r="I1143" s="2">
        <v>10013386841</v>
      </c>
      <c r="J1143" s="2" t="s">
        <v>629</v>
      </c>
      <c r="K1143" s="10">
        <v>1610</v>
      </c>
      <c r="L1143" s="10">
        <v>0</v>
      </c>
      <c r="M1143" s="10">
        <v>1610</v>
      </c>
      <c r="N1143" s="10">
        <v>1610</v>
      </c>
      <c r="O1143" s="10">
        <f>Table1[[#This Row],[NET Amount]]-Table1[[#This Row],[Paid Amount]]</f>
        <v>0</v>
      </c>
      <c r="P1143" s="2" t="s">
        <v>18</v>
      </c>
      <c r="Q1143" s="2" t="s">
        <v>54</v>
      </c>
      <c r="R1143" s="16">
        <f>(Table1[[#This Row],[NET Amount]]-Table1[[#This Row],[Total Outstanding Amount]])/Table1[[#This Row],[NET Amount]]</f>
        <v>1</v>
      </c>
      <c r="S1143" s="2" t="s">
        <v>97</v>
      </c>
    </row>
    <row r="1144" spans="1:19" x14ac:dyDescent="0.3">
      <c r="A1144" s="4">
        <v>1142</v>
      </c>
      <c r="B1144" s="2" t="s">
        <v>25</v>
      </c>
      <c r="C1144" s="3">
        <v>44844</v>
      </c>
      <c r="D1144" s="3" t="str">
        <f>TEXT(Table1[[#This Row],[Admission Date]],"MMMM")</f>
        <v>October</v>
      </c>
      <c r="E1144" s="3">
        <v>44845</v>
      </c>
      <c r="F1144" s="3">
        <v>44845</v>
      </c>
      <c r="G1144" s="2">
        <v>22026549</v>
      </c>
      <c r="H1144" s="2">
        <v>2235384</v>
      </c>
      <c r="I1144" s="2">
        <v>10013538758</v>
      </c>
      <c r="J1144" s="2" t="s">
        <v>902</v>
      </c>
      <c r="K1144" s="10">
        <v>69442</v>
      </c>
      <c r="L1144" s="10">
        <v>9478</v>
      </c>
      <c r="M1144" s="10">
        <v>59965</v>
      </c>
      <c r="N1144" s="10">
        <v>59965</v>
      </c>
      <c r="O1144" s="10">
        <f>Table1[[#This Row],[NET Amount]]-Table1[[#This Row],[Paid Amount]]</f>
        <v>0</v>
      </c>
      <c r="P1144" s="2" t="s">
        <v>18</v>
      </c>
      <c r="Q1144" s="2" t="s">
        <v>24</v>
      </c>
      <c r="R1144" s="16">
        <f>(Table1[[#This Row],[NET Amount]]-Table1[[#This Row],[Total Outstanding Amount]])/Table1[[#This Row],[NET Amount]]</f>
        <v>1</v>
      </c>
      <c r="S1144" s="2" t="s">
        <v>138</v>
      </c>
    </row>
    <row r="1145" spans="1:19" x14ac:dyDescent="0.3">
      <c r="A1145" s="4">
        <v>1143</v>
      </c>
      <c r="B1145" s="2" t="s">
        <v>21</v>
      </c>
      <c r="C1145" s="3">
        <v>44842</v>
      </c>
      <c r="D1145" s="3" t="str">
        <f>TEXT(Table1[[#This Row],[Admission Date]],"MMMM")</f>
        <v>October</v>
      </c>
      <c r="E1145" s="3">
        <v>44844</v>
      </c>
      <c r="F1145" s="3">
        <v>44844</v>
      </c>
      <c r="G1145" s="2">
        <v>22026438</v>
      </c>
      <c r="H1145" s="2">
        <v>2235118</v>
      </c>
      <c r="I1145" s="2">
        <v>10013540863</v>
      </c>
      <c r="J1145" s="2" t="s">
        <v>775</v>
      </c>
      <c r="K1145" s="10">
        <v>26121</v>
      </c>
      <c r="L1145" s="10">
        <v>0</v>
      </c>
      <c r="M1145" s="10">
        <v>26121</v>
      </c>
      <c r="N1145" s="10">
        <v>26121</v>
      </c>
      <c r="O1145" s="10">
        <f>Table1[[#This Row],[NET Amount]]-Table1[[#This Row],[Paid Amount]]</f>
        <v>0</v>
      </c>
      <c r="P1145" s="2" t="s">
        <v>18</v>
      </c>
      <c r="Q1145" s="2" t="s">
        <v>30</v>
      </c>
      <c r="R1145" s="16">
        <f>(Table1[[#This Row],[NET Amount]]-Table1[[#This Row],[Total Outstanding Amount]])/Table1[[#This Row],[NET Amount]]</f>
        <v>1</v>
      </c>
      <c r="S1145" s="2" t="s">
        <v>27</v>
      </c>
    </row>
    <row r="1146" spans="1:19" x14ac:dyDescent="0.3">
      <c r="A1146" s="4">
        <v>1144</v>
      </c>
      <c r="B1146" s="2" t="s">
        <v>93</v>
      </c>
      <c r="C1146" s="3">
        <v>44837</v>
      </c>
      <c r="D1146" s="3" t="str">
        <f>TEXT(Table1[[#This Row],[Admission Date]],"MMMM")</f>
        <v>October</v>
      </c>
      <c r="E1146" s="3">
        <v>44838</v>
      </c>
      <c r="F1146" s="3">
        <v>44838</v>
      </c>
      <c r="G1146" s="2">
        <v>22025500</v>
      </c>
      <c r="H1146" s="2">
        <v>2234345</v>
      </c>
      <c r="I1146" s="2">
        <v>1001802065</v>
      </c>
      <c r="J1146" s="2" t="s">
        <v>903</v>
      </c>
      <c r="K1146" s="10">
        <v>44740</v>
      </c>
      <c r="L1146" s="10">
        <v>0</v>
      </c>
      <c r="M1146" s="10">
        <v>44740</v>
      </c>
      <c r="N1146" s="10">
        <v>5824</v>
      </c>
      <c r="O1146" s="10">
        <f>Table1[[#This Row],[NET Amount]]-Table1[[#This Row],[Paid Amount]]</f>
        <v>38916</v>
      </c>
      <c r="P1146" s="2" t="s">
        <v>23</v>
      </c>
      <c r="Q1146" s="2" t="s">
        <v>42</v>
      </c>
      <c r="R1146" s="16">
        <f>(Table1[[#This Row],[NET Amount]]-Table1[[#This Row],[Total Outstanding Amount]])/Table1[[#This Row],[NET Amount]]</f>
        <v>0.13017434063477873</v>
      </c>
      <c r="S1146" s="2" t="s">
        <v>55</v>
      </c>
    </row>
    <row r="1147" spans="1:19" x14ac:dyDescent="0.3">
      <c r="A1147" s="4">
        <v>1145</v>
      </c>
      <c r="B1147" s="2" t="s">
        <v>25</v>
      </c>
      <c r="C1147" s="3">
        <v>44835</v>
      </c>
      <c r="D1147" s="3" t="str">
        <f>TEXT(Table1[[#This Row],[Admission Date]],"MMMM")</f>
        <v>October</v>
      </c>
      <c r="E1147" s="3">
        <v>44838</v>
      </c>
      <c r="F1147" s="3">
        <v>44838</v>
      </c>
      <c r="G1147" s="2">
        <v>22025572</v>
      </c>
      <c r="H1147" s="2">
        <v>2234265</v>
      </c>
      <c r="I1147" s="2">
        <v>10013541171</v>
      </c>
      <c r="J1147" s="2" t="s">
        <v>292</v>
      </c>
      <c r="K1147" s="10">
        <v>372153</v>
      </c>
      <c r="L1147" s="10">
        <v>51735</v>
      </c>
      <c r="M1147" s="10">
        <v>320418</v>
      </c>
      <c r="N1147" s="10">
        <v>320418</v>
      </c>
      <c r="O1147" s="10">
        <f>Table1[[#This Row],[NET Amount]]-Table1[[#This Row],[Paid Amount]]</f>
        <v>0</v>
      </c>
      <c r="P1147" s="2" t="s">
        <v>18</v>
      </c>
      <c r="Q1147" s="2" t="s">
        <v>24</v>
      </c>
      <c r="R1147" s="16">
        <f>(Table1[[#This Row],[NET Amount]]-Table1[[#This Row],[Total Outstanding Amount]])/Table1[[#This Row],[NET Amount]]</f>
        <v>1</v>
      </c>
      <c r="S1147" s="2" t="s">
        <v>32</v>
      </c>
    </row>
    <row r="1148" spans="1:19" x14ac:dyDescent="0.3">
      <c r="A1148" s="4">
        <v>1146</v>
      </c>
      <c r="B1148" s="2" t="s">
        <v>25</v>
      </c>
      <c r="C1148" s="3">
        <v>44853</v>
      </c>
      <c r="D1148" s="3" t="str">
        <f>TEXT(Table1[[#This Row],[Admission Date]],"MMMM")</f>
        <v>October</v>
      </c>
      <c r="E1148" s="3">
        <v>44853</v>
      </c>
      <c r="F1148" s="3">
        <v>44853</v>
      </c>
      <c r="G1148" s="2">
        <v>22027763</v>
      </c>
      <c r="H1148" s="2">
        <v>2236645</v>
      </c>
      <c r="I1148" s="2">
        <v>1001805277</v>
      </c>
      <c r="J1148" s="2" t="s">
        <v>904</v>
      </c>
      <c r="K1148" s="10">
        <v>14000</v>
      </c>
      <c r="L1148" s="10">
        <v>2350</v>
      </c>
      <c r="M1148" s="10">
        <v>11650</v>
      </c>
      <c r="N1148" s="10">
        <v>11650</v>
      </c>
      <c r="O1148" s="10">
        <f>Table1[[#This Row],[NET Amount]]-Table1[[#This Row],[Paid Amount]]</f>
        <v>0</v>
      </c>
      <c r="P1148" s="2" t="s">
        <v>18</v>
      </c>
      <c r="Q1148" s="2" t="s">
        <v>69</v>
      </c>
      <c r="R1148" s="16">
        <f>(Table1[[#This Row],[NET Amount]]-Table1[[#This Row],[Total Outstanding Amount]])/Table1[[#This Row],[NET Amount]]</f>
        <v>1</v>
      </c>
      <c r="S1148" s="2" t="s">
        <v>39</v>
      </c>
    </row>
    <row r="1149" spans="1:19" x14ac:dyDescent="0.3">
      <c r="A1149" s="4">
        <v>1147</v>
      </c>
      <c r="B1149" s="2" t="s">
        <v>25</v>
      </c>
      <c r="C1149" s="3">
        <v>44832</v>
      </c>
      <c r="D1149" s="3" t="str">
        <f>TEXT(Table1[[#This Row],[Admission Date]],"MMMM")</f>
        <v>September</v>
      </c>
      <c r="E1149" s="3">
        <v>44837</v>
      </c>
      <c r="F1149" s="3">
        <v>44837</v>
      </c>
      <c r="G1149" s="2">
        <v>22025367</v>
      </c>
      <c r="H1149" s="2">
        <v>2233794</v>
      </c>
      <c r="I1149" s="2">
        <v>1000996161</v>
      </c>
      <c r="J1149" s="2" t="s">
        <v>905</v>
      </c>
      <c r="K1149" s="10">
        <v>69598</v>
      </c>
      <c r="L1149" s="10">
        <v>69598</v>
      </c>
      <c r="M1149" s="10">
        <v>0</v>
      </c>
      <c r="N1149" s="10">
        <v>0</v>
      </c>
      <c r="O1149" s="10">
        <f>Table1[[#This Row],[NET Amount]]-Table1[[#This Row],[Paid Amount]]</f>
        <v>0</v>
      </c>
      <c r="P1149" s="2" t="s">
        <v>18</v>
      </c>
      <c r="Q1149" s="2" t="s">
        <v>90</v>
      </c>
      <c r="R1149" s="16" t="e">
        <f>(Table1[[#This Row],[NET Amount]]-Table1[[#This Row],[Total Outstanding Amount]])/Table1[[#This Row],[NET Amount]]</f>
        <v>#DIV/0!</v>
      </c>
      <c r="S1149" s="2" t="s">
        <v>20</v>
      </c>
    </row>
    <row r="1150" spans="1:19" x14ac:dyDescent="0.3">
      <c r="A1150" s="4">
        <v>1148</v>
      </c>
      <c r="B1150" s="2" t="s">
        <v>28</v>
      </c>
      <c r="C1150" s="3">
        <v>44845</v>
      </c>
      <c r="D1150" s="3" t="str">
        <f>TEXT(Table1[[#This Row],[Admission Date]],"MMMM")</f>
        <v>October</v>
      </c>
      <c r="E1150" s="3">
        <v>44846</v>
      </c>
      <c r="F1150" s="3">
        <v>44846</v>
      </c>
      <c r="G1150" s="2">
        <v>22026722</v>
      </c>
      <c r="H1150" s="2">
        <v>2235518</v>
      </c>
      <c r="I1150" s="2">
        <v>10013542453</v>
      </c>
      <c r="J1150" s="2" t="s">
        <v>906</v>
      </c>
      <c r="K1150" s="10">
        <v>59130</v>
      </c>
      <c r="L1150" s="10">
        <v>6369</v>
      </c>
      <c r="M1150" s="10">
        <v>52761</v>
      </c>
      <c r="N1150" s="10">
        <v>2643</v>
      </c>
      <c r="O1150" s="10">
        <f>Table1[[#This Row],[NET Amount]]-Table1[[#This Row],[Paid Amount]]</f>
        <v>50118</v>
      </c>
      <c r="P1150" s="2" t="s">
        <v>23</v>
      </c>
      <c r="Q1150" s="2" t="s">
        <v>30</v>
      </c>
      <c r="R1150" s="16">
        <f>(Table1[[#This Row],[NET Amount]]-Table1[[#This Row],[Total Outstanding Amount]])/Table1[[#This Row],[NET Amount]]</f>
        <v>5.0093819298345367E-2</v>
      </c>
      <c r="S1150" s="2" t="s">
        <v>77</v>
      </c>
    </row>
    <row r="1151" spans="1:19" x14ac:dyDescent="0.3">
      <c r="A1151" s="4">
        <v>1149</v>
      </c>
      <c r="B1151" s="2" t="s">
        <v>61</v>
      </c>
      <c r="C1151" s="3">
        <v>44837</v>
      </c>
      <c r="D1151" s="3" t="str">
        <f>TEXT(Table1[[#This Row],[Admission Date]],"MMMM")</f>
        <v>October</v>
      </c>
      <c r="E1151" s="3">
        <v>44842</v>
      </c>
      <c r="F1151" s="3">
        <v>44842</v>
      </c>
      <c r="G1151" s="2">
        <v>22026160</v>
      </c>
      <c r="H1151" s="2">
        <v>2234462</v>
      </c>
      <c r="I1151" s="2">
        <v>1000921607</v>
      </c>
      <c r="J1151" s="2" t="s">
        <v>907</v>
      </c>
      <c r="K1151" s="10">
        <v>71405</v>
      </c>
      <c r="L1151" s="10">
        <v>9475</v>
      </c>
      <c r="M1151" s="10">
        <v>61930</v>
      </c>
      <c r="N1151" s="10">
        <v>15075</v>
      </c>
      <c r="O1151" s="10">
        <f>Table1[[#This Row],[NET Amount]]-Table1[[#This Row],[Paid Amount]]</f>
        <v>46855</v>
      </c>
      <c r="P1151" s="2" t="s">
        <v>23</v>
      </c>
      <c r="Q1151" s="2" t="s">
        <v>52</v>
      </c>
      <c r="R1151" s="16">
        <f>(Table1[[#This Row],[NET Amount]]-Table1[[#This Row],[Total Outstanding Amount]])/Table1[[#This Row],[NET Amount]]</f>
        <v>0.24341999031164219</v>
      </c>
      <c r="S1151" s="2" t="s">
        <v>138</v>
      </c>
    </row>
    <row r="1152" spans="1:19" x14ac:dyDescent="0.3">
      <c r="A1152" s="4">
        <v>1150</v>
      </c>
      <c r="B1152" s="2" t="s">
        <v>35</v>
      </c>
      <c r="C1152" s="3">
        <v>44853</v>
      </c>
      <c r="D1152" s="3" t="str">
        <f>TEXT(Table1[[#This Row],[Admission Date]],"MMMM")</f>
        <v>October</v>
      </c>
      <c r="E1152" s="3">
        <v>44853</v>
      </c>
      <c r="F1152" s="3">
        <v>44853</v>
      </c>
      <c r="G1152" s="2">
        <v>22027764</v>
      </c>
      <c r="H1152" s="2">
        <v>2236593</v>
      </c>
      <c r="I1152" s="2">
        <v>10013538440</v>
      </c>
      <c r="J1152" s="2" t="s">
        <v>532</v>
      </c>
      <c r="K1152" s="10">
        <v>9318</v>
      </c>
      <c r="L1152" s="10">
        <v>0</v>
      </c>
      <c r="M1152" s="10">
        <v>9318</v>
      </c>
      <c r="N1152" s="10">
        <v>9318</v>
      </c>
      <c r="O1152" s="10">
        <f>Table1[[#This Row],[NET Amount]]-Table1[[#This Row],[Paid Amount]]</f>
        <v>0</v>
      </c>
      <c r="P1152" s="2" t="s">
        <v>18</v>
      </c>
      <c r="Q1152" s="2" t="s">
        <v>24</v>
      </c>
      <c r="R1152" s="16">
        <f>(Table1[[#This Row],[NET Amount]]-Table1[[#This Row],[Total Outstanding Amount]])/Table1[[#This Row],[NET Amount]]</f>
        <v>1</v>
      </c>
      <c r="S1152" s="2" t="s">
        <v>43</v>
      </c>
    </row>
    <row r="1153" spans="1:19" x14ac:dyDescent="0.3">
      <c r="A1153" s="4">
        <v>1151</v>
      </c>
      <c r="B1153" s="2" t="s">
        <v>91</v>
      </c>
      <c r="C1153" s="3">
        <v>44851</v>
      </c>
      <c r="D1153" s="3" t="str">
        <f>TEXT(Table1[[#This Row],[Admission Date]],"MMMM")</f>
        <v>October</v>
      </c>
      <c r="E1153" s="3">
        <v>44853</v>
      </c>
      <c r="F1153" s="3">
        <v>44853</v>
      </c>
      <c r="G1153" s="2">
        <v>22027714</v>
      </c>
      <c r="H1153" s="2">
        <v>2236430</v>
      </c>
      <c r="I1153" s="2">
        <v>10013538332</v>
      </c>
      <c r="J1153" s="2" t="s">
        <v>908</v>
      </c>
      <c r="K1153" s="10">
        <v>47372</v>
      </c>
      <c r="L1153" s="10">
        <v>0</v>
      </c>
      <c r="M1153" s="10">
        <v>47372</v>
      </c>
      <c r="N1153" s="10">
        <v>6000</v>
      </c>
      <c r="O1153" s="10">
        <f>Table1[[#This Row],[NET Amount]]-Table1[[#This Row],[Paid Amount]]</f>
        <v>41372</v>
      </c>
      <c r="P1153" s="2" t="s">
        <v>23</v>
      </c>
      <c r="Q1153" s="2" t="s">
        <v>47</v>
      </c>
      <c r="R1153" s="16">
        <f>(Table1[[#This Row],[NET Amount]]-Table1[[#This Row],[Total Outstanding Amount]])/Table1[[#This Row],[NET Amount]]</f>
        <v>0.12665709701933631</v>
      </c>
      <c r="S1153" s="2" t="s">
        <v>39</v>
      </c>
    </row>
    <row r="1154" spans="1:19" x14ac:dyDescent="0.3">
      <c r="A1154" s="4">
        <v>1152</v>
      </c>
      <c r="B1154" s="2" t="s">
        <v>149</v>
      </c>
      <c r="C1154" s="3">
        <v>44852</v>
      </c>
      <c r="D1154" s="3" t="str">
        <f>TEXT(Table1[[#This Row],[Admission Date]],"MMMM")</f>
        <v>October</v>
      </c>
      <c r="E1154" s="3">
        <v>44853</v>
      </c>
      <c r="F1154" s="3">
        <v>44853</v>
      </c>
      <c r="G1154" s="2">
        <v>22027704</v>
      </c>
      <c r="H1154" s="2">
        <v>2236476</v>
      </c>
      <c r="I1154" s="2">
        <v>1001805040</v>
      </c>
      <c r="J1154" s="2" t="s">
        <v>909</v>
      </c>
      <c r="K1154" s="10">
        <v>100959</v>
      </c>
      <c r="L1154" s="10">
        <v>0</v>
      </c>
      <c r="M1154" s="10">
        <v>100959</v>
      </c>
      <c r="N1154" s="10">
        <v>100959</v>
      </c>
      <c r="O1154" s="10">
        <f>Table1[[#This Row],[NET Amount]]-Table1[[#This Row],[Paid Amount]]</f>
        <v>0</v>
      </c>
      <c r="P1154" s="2" t="s">
        <v>18</v>
      </c>
      <c r="Q1154" s="2" t="s">
        <v>19</v>
      </c>
      <c r="R1154" s="16">
        <f>(Table1[[#This Row],[NET Amount]]-Table1[[#This Row],[Total Outstanding Amount]])/Table1[[#This Row],[NET Amount]]</f>
        <v>1</v>
      </c>
      <c r="S1154" s="2" t="s">
        <v>95</v>
      </c>
    </row>
    <row r="1155" spans="1:19" x14ac:dyDescent="0.3">
      <c r="A1155" s="4">
        <v>1153</v>
      </c>
      <c r="B1155" s="2" t="s">
        <v>117</v>
      </c>
      <c r="C1155" s="3">
        <v>44849</v>
      </c>
      <c r="D1155" s="3" t="str">
        <f>TEXT(Table1[[#This Row],[Admission Date]],"MMMM")</f>
        <v>October</v>
      </c>
      <c r="E1155" s="3">
        <v>44849</v>
      </c>
      <c r="F1155" s="3">
        <v>44849</v>
      </c>
      <c r="G1155" s="2">
        <v>22027129</v>
      </c>
      <c r="H1155" s="2">
        <v>2236076</v>
      </c>
      <c r="I1155" s="2">
        <v>1000891454</v>
      </c>
      <c r="J1155" s="2" t="s">
        <v>232</v>
      </c>
      <c r="K1155" s="10">
        <v>2064</v>
      </c>
      <c r="L1155" s="10">
        <v>0</v>
      </c>
      <c r="M1155" s="10">
        <v>2064</v>
      </c>
      <c r="N1155" s="10">
        <v>2064</v>
      </c>
      <c r="O1155" s="10">
        <f>Table1[[#This Row],[NET Amount]]-Table1[[#This Row],[Paid Amount]]</f>
        <v>0</v>
      </c>
      <c r="P1155" s="2" t="s">
        <v>18</v>
      </c>
      <c r="Q1155" s="2" t="s">
        <v>54</v>
      </c>
      <c r="R1155" s="16">
        <f>(Table1[[#This Row],[NET Amount]]-Table1[[#This Row],[Total Outstanding Amount]])/Table1[[#This Row],[NET Amount]]</f>
        <v>1</v>
      </c>
      <c r="S1155" s="2" t="s">
        <v>97</v>
      </c>
    </row>
    <row r="1156" spans="1:19" x14ac:dyDescent="0.3">
      <c r="A1156" s="4">
        <v>1154</v>
      </c>
      <c r="B1156" s="2" t="s">
        <v>2257</v>
      </c>
      <c r="C1156" s="3">
        <v>44846</v>
      </c>
      <c r="D1156" s="3" t="str">
        <f>TEXT(Table1[[#This Row],[Admission Date]],"MMMM")</f>
        <v>October</v>
      </c>
      <c r="E1156" s="3">
        <v>44846</v>
      </c>
      <c r="F1156" s="3">
        <v>44846</v>
      </c>
      <c r="G1156" s="2">
        <v>22026771</v>
      </c>
      <c r="H1156" s="2">
        <v>2235716</v>
      </c>
      <c r="I1156" s="2">
        <v>1001689981</v>
      </c>
      <c r="J1156" s="2" t="s">
        <v>253</v>
      </c>
      <c r="K1156" s="10">
        <v>2950</v>
      </c>
      <c r="L1156" s="10">
        <v>0</v>
      </c>
      <c r="M1156" s="10">
        <v>2950</v>
      </c>
      <c r="N1156" s="10">
        <v>374</v>
      </c>
      <c r="O1156" s="10">
        <f>Table1[[#This Row],[NET Amount]]-Table1[[#This Row],[Paid Amount]]</f>
        <v>2576</v>
      </c>
      <c r="P1156" s="2" t="s">
        <v>23</v>
      </c>
      <c r="Q1156" s="2" t="s">
        <v>54</v>
      </c>
      <c r="R1156" s="16">
        <f>(Table1[[#This Row],[NET Amount]]-Table1[[#This Row],[Total Outstanding Amount]])/Table1[[#This Row],[NET Amount]]</f>
        <v>0.12677966101694915</v>
      </c>
      <c r="S1156" s="2" t="s">
        <v>97</v>
      </c>
    </row>
    <row r="1157" spans="1:19" x14ac:dyDescent="0.3">
      <c r="A1157" s="4">
        <v>1155</v>
      </c>
      <c r="B1157" s="2" t="s">
        <v>2253</v>
      </c>
      <c r="C1157" s="3">
        <v>44843</v>
      </c>
      <c r="D1157" s="3" t="str">
        <f>TEXT(Table1[[#This Row],[Admission Date]],"MMMM")</f>
        <v>October</v>
      </c>
      <c r="E1157" s="3">
        <v>44846</v>
      </c>
      <c r="F1157" s="3">
        <v>44846</v>
      </c>
      <c r="G1157" s="2">
        <v>22026670</v>
      </c>
      <c r="H1157" s="2">
        <v>2235309</v>
      </c>
      <c r="I1157" s="2">
        <v>1001493617</v>
      </c>
      <c r="J1157" s="2" t="s">
        <v>910</v>
      </c>
      <c r="K1157" s="10">
        <v>20912</v>
      </c>
      <c r="L1157" s="10">
        <v>0</v>
      </c>
      <c r="M1157" s="10">
        <v>20912</v>
      </c>
      <c r="N1157" s="10">
        <v>600</v>
      </c>
      <c r="O1157" s="10">
        <f>Table1[[#This Row],[NET Amount]]-Table1[[#This Row],[Paid Amount]]</f>
        <v>20312</v>
      </c>
      <c r="P1157" s="2" t="s">
        <v>23</v>
      </c>
      <c r="Q1157" s="2" t="s">
        <v>30</v>
      </c>
      <c r="R1157" s="16">
        <f>(Table1[[#This Row],[NET Amount]]-Table1[[#This Row],[Total Outstanding Amount]])/Table1[[#This Row],[NET Amount]]</f>
        <v>2.8691660290742157E-2</v>
      </c>
      <c r="S1157" s="2" t="s">
        <v>20</v>
      </c>
    </row>
    <row r="1158" spans="1:19" x14ac:dyDescent="0.3">
      <c r="A1158" s="4">
        <v>1156</v>
      </c>
      <c r="B1158" s="2" t="s">
        <v>2254</v>
      </c>
      <c r="C1158" s="3">
        <v>44846</v>
      </c>
      <c r="D1158" s="3" t="str">
        <f>TEXT(Table1[[#This Row],[Admission Date]],"MMMM")</f>
        <v>October</v>
      </c>
      <c r="E1158" s="3">
        <v>44851</v>
      </c>
      <c r="F1158" s="3">
        <v>44851</v>
      </c>
      <c r="G1158" s="2">
        <v>22027417</v>
      </c>
      <c r="H1158" s="2">
        <v>2235728</v>
      </c>
      <c r="I1158" s="2">
        <v>1001421991</v>
      </c>
      <c r="J1158" s="2" t="s">
        <v>911</v>
      </c>
      <c r="K1158" s="10">
        <v>104378</v>
      </c>
      <c r="L1158" s="10">
        <v>8862</v>
      </c>
      <c r="M1158" s="10">
        <v>95516</v>
      </c>
      <c r="N1158" s="10">
        <v>6929</v>
      </c>
      <c r="O1158" s="10">
        <f>Table1[[#This Row],[NET Amount]]-Table1[[#This Row],[Paid Amount]]</f>
        <v>88587</v>
      </c>
      <c r="P1158" s="2" t="s">
        <v>23</v>
      </c>
      <c r="Q1158" s="2" t="s">
        <v>19</v>
      </c>
      <c r="R1158" s="16">
        <f>(Table1[[#This Row],[NET Amount]]-Table1[[#This Row],[Total Outstanding Amount]])/Table1[[#This Row],[NET Amount]]</f>
        <v>7.2542820051090917E-2</v>
      </c>
      <c r="S1158" s="2" t="s">
        <v>20</v>
      </c>
    </row>
    <row r="1159" spans="1:19" x14ac:dyDescent="0.3">
      <c r="A1159" s="4">
        <v>1157</v>
      </c>
      <c r="B1159" s="2" t="s">
        <v>25</v>
      </c>
      <c r="C1159" s="3">
        <v>44847</v>
      </c>
      <c r="D1159" s="3" t="str">
        <f>TEXT(Table1[[#This Row],[Admission Date]],"MMMM")</f>
        <v>October</v>
      </c>
      <c r="E1159" s="3">
        <v>44847</v>
      </c>
      <c r="F1159" s="3">
        <v>44847</v>
      </c>
      <c r="G1159" s="2">
        <v>22026818</v>
      </c>
      <c r="H1159" s="2">
        <v>2235797</v>
      </c>
      <c r="I1159" s="2">
        <v>10013531598</v>
      </c>
      <c r="J1159" s="2" t="s">
        <v>372</v>
      </c>
      <c r="K1159" s="10">
        <v>2844</v>
      </c>
      <c r="L1159" s="10">
        <v>310</v>
      </c>
      <c r="M1159" s="10">
        <v>2534</v>
      </c>
      <c r="N1159" s="10">
        <v>2534</v>
      </c>
      <c r="O1159" s="10">
        <f>Table1[[#This Row],[NET Amount]]-Table1[[#This Row],[Paid Amount]]</f>
        <v>0</v>
      </c>
      <c r="P1159" s="2" t="s">
        <v>18</v>
      </c>
      <c r="Q1159" s="2" t="s">
        <v>54</v>
      </c>
      <c r="R1159" s="16">
        <f>(Table1[[#This Row],[NET Amount]]-Table1[[#This Row],[Total Outstanding Amount]])/Table1[[#This Row],[NET Amount]]</f>
        <v>1</v>
      </c>
      <c r="S1159" s="2" t="s">
        <v>97</v>
      </c>
    </row>
    <row r="1160" spans="1:19" x14ac:dyDescent="0.3">
      <c r="A1160" s="4">
        <v>1158</v>
      </c>
      <c r="B1160" s="2" t="s">
        <v>50</v>
      </c>
      <c r="C1160" s="3">
        <v>44850</v>
      </c>
      <c r="D1160" s="3" t="str">
        <f>TEXT(Table1[[#This Row],[Admission Date]],"MMMM")</f>
        <v>October</v>
      </c>
      <c r="E1160" s="3">
        <v>44853</v>
      </c>
      <c r="F1160" s="3">
        <v>44853</v>
      </c>
      <c r="G1160" s="2">
        <v>22027697</v>
      </c>
      <c r="H1160" s="2">
        <v>2236230</v>
      </c>
      <c r="I1160" s="2">
        <v>10013498350</v>
      </c>
      <c r="J1160" s="2" t="s">
        <v>912</v>
      </c>
      <c r="K1160" s="10">
        <v>60320</v>
      </c>
      <c r="L1160" s="10">
        <v>225</v>
      </c>
      <c r="M1160" s="10">
        <v>60095</v>
      </c>
      <c r="N1160" s="10">
        <v>10095</v>
      </c>
      <c r="O1160" s="10">
        <f>Table1[[#This Row],[NET Amount]]-Table1[[#This Row],[Paid Amount]]</f>
        <v>50000</v>
      </c>
      <c r="P1160" s="2" t="s">
        <v>23</v>
      </c>
      <c r="Q1160" s="2" t="s">
        <v>52</v>
      </c>
      <c r="R1160" s="16">
        <f>(Table1[[#This Row],[NET Amount]]-Table1[[#This Row],[Total Outstanding Amount]])/Table1[[#This Row],[NET Amount]]</f>
        <v>0.16798402529328563</v>
      </c>
      <c r="S1160" s="2" t="s">
        <v>27</v>
      </c>
    </row>
    <row r="1161" spans="1:19" x14ac:dyDescent="0.3">
      <c r="A1161" s="4">
        <v>1159</v>
      </c>
      <c r="B1161" s="2" t="s">
        <v>75</v>
      </c>
      <c r="C1161" s="3">
        <v>44847</v>
      </c>
      <c r="D1161" s="3" t="str">
        <f>TEXT(Table1[[#This Row],[Admission Date]],"MMMM")</f>
        <v>October</v>
      </c>
      <c r="E1161" s="3">
        <v>44857</v>
      </c>
      <c r="F1161" s="3">
        <v>44857</v>
      </c>
      <c r="G1161" s="2">
        <v>22028331</v>
      </c>
      <c r="H1161" s="2">
        <v>2235791</v>
      </c>
      <c r="I1161" s="2">
        <v>10013534778</v>
      </c>
      <c r="J1161" s="2" t="s">
        <v>913</v>
      </c>
      <c r="K1161" s="10">
        <v>420102</v>
      </c>
      <c r="L1161" s="10">
        <v>0</v>
      </c>
      <c r="M1161" s="10">
        <v>420102</v>
      </c>
      <c r="N1161" s="10">
        <v>18980</v>
      </c>
      <c r="O1161" s="10">
        <f>Table1[[#This Row],[NET Amount]]-Table1[[#This Row],[Paid Amount]]</f>
        <v>401122</v>
      </c>
      <c r="P1161" s="2" t="s">
        <v>23</v>
      </c>
      <c r="Q1161" s="2" t="s">
        <v>19</v>
      </c>
      <c r="R1161" s="16">
        <f>(Table1[[#This Row],[NET Amount]]-Table1[[#This Row],[Total Outstanding Amount]])/Table1[[#This Row],[NET Amount]]</f>
        <v>4.5179504025212924E-2</v>
      </c>
      <c r="S1161" s="2" t="s">
        <v>32</v>
      </c>
    </row>
    <row r="1162" spans="1:19" x14ac:dyDescent="0.3">
      <c r="A1162" s="4">
        <v>1160</v>
      </c>
      <c r="B1162" s="2" t="s">
        <v>159</v>
      </c>
      <c r="C1162" s="3">
        <v>44849</v>
      </c>
      <c r="D1162" s="3" t="str">
        <f>TEXT(Table1[[#This Row],[Admission Date]],"MMMM")</f>
        <v>October</v>
      </c>
      <c r="E1162" s="3">
        <v>44853</v>
      </c>
      <c r="F1162" s="3">
        <v>44853</v>
      </c>
      <c r="G1162" s="2">
        <v>22027722</v>
      </c>
      <c r="H1162" s="2">
        <v>2236136</v>
      </c>
      <c r="I1162" s="2">
        <v>1000967517</v>
      </c>
      <c r="J1162" s="2" t="s">
        <v>914</v>
      </c>
      <c r="K1162" s="10">
        <v>315928</v>
      </c>
      <c r="L1162" s="10">
        <v>4384</v>
      </c>
      <c r="M1162" s="10">
        <v>311544</v>
      </c>
      <c r="N1162" s="10">
        <v>4511</v>
      </c>
      <c r="O1162" s="10">
        <f>Table1[[#This Row],[NET Amount]]-Table1[[#This Row],[Paid Amount]]</f>
        <v>307033</v>
      </c>
      <c r="P1162" s="2" t="s">
        <v>23</v>
      </c>
      <c r="Q1162" s="2" t="s">
        <v>47</v>
      </c>
      <c r="R1162" s="16">
        <f>(Table1[[#This Row],[NET Amount]]-Table1[[#This Row],[Total Outstanding Amount]])/Table1[[#This Row],[NET Amount]]</f>
        <v>1.4479495673163341E-2</v>
      </c>
      <c r="S1162" s="2" t="s">
        <v>39</v>
      </c>
    </row>
    <row r="1163" spans="1:19" x14ac:dyDescent="0.3">
      <c r="A1163" s="4">
        <v>1161</v>
      </c>
      <c r="B1163" s="2" t="s">
        <v>559</v>
      </c>
      <c r="C1163" s="3">
        <v>44843</v>
      </c>
      <c r="D1163" s="3" t="str">
        <f>TEXT(Table1[[#This Row],[Admission Date]],"MMMM")</f>
        <v>October</v>
      </c>
      <c r="E1163" s="3">
        <v>44844</v>
      </c>
      <c r="F1163" s="3">
        <v>44844</v>
      </c>
      <c r="G1163" s="2">
        <v>22026476</v>
      </c>
      <c r="H1163" s="2">
        <v>2235274</v>
      </c>
      <c r="I1163" s="2">
        <v>1001043447</v>
      </c>
      <c r="J1163" s="2" t="s">
        <v>915</v>
      </c>
      <c r="K1163" s="10">
        <v>82686</v>
      </c>
      <c r="L1163" s="10">
        <v>7769</v>
      </c>
      <c r="M1163" s="10">
        <v>74917</v>
      </c>
      <c r="N1163" s="10">
        <v>74917</v>
      </c>
      <c r="O1163" s="10">
        <f>Table1[[#This Row],[NET Amount]]-Table1[[#This Row],[Paid Amount]]</f>
        <v>0</v>
      </c>
      <c r="P1163" s="2" t="s">
        <v>18</v>
      </c>
      <c r="Q1163" s="2" t="s">
        <v>30</v>
      </c>
      <c r="R1163" s="16">
        <f>(Table1[[#This Row],[NET Amount]]-Table1[[#This Row],[Total Outstanding Amount]])/Table1[[#This Row],[NET Amount]]</f>
        <v>1</v>
      </c>
      <c r="S1163" s="2" t="s">
        <v>27</v>
      </c>
    </row>
    <row r="1164" spans="1:19" x14ac:dyDescent="0.3">
      <c r="A1164" s="4">
        <v>1162</v>
      </c>
      <c r="B1164" s="2" t="s">
        <v>25</v>
      </c>
      <c r="C1164" s="3">
        <v>44854</v>
      </c>
      <c r="D1164" s="3" t="str">
        <f>TEXT(Table1[[#This Row],[Admission Date]],"MMMM")</f>
        <v>October</v>
      </c>
      <c r="E1164" s="3">
        <v>44856</v>
      </c>
      <c r="F1164" s="3">
        <v>44856</v>
      </c>
      <c r="G1164" s="2">
        <v>22028202</v>
      </c>
      <c r="H1164" s="2">
        <v>2236722</v>
      </c>
      <c r="I1164" s="2">
        <v>1001301044</v>
      </c>
      <c r="J1164" s="2" t="s">
        <v>916</v>
      </c>
      <c r="K1164" s="10">
        <v>98359</v>
      </c>
      <c r="L1164" s="10">
        <v>12565</v>
      </c>
      <c r="M1164" s="10">
        <v>85794</v>
      </c>
      <c r="N1164" s="10">
        <v>85794</v>
      </c>
      <c r="O1164" s="10">
        <f>Table1[[#This Row],[NET Amount]]-Table1[[#This Row],[Paid Amount]]</f>
        <v>0</v>
      </c>
      <c r="P1164" s="2" t="s">
        <v>18</v>
      </c>
      <c r="Q1164" s="2" t="s">
        <v>104</v>
      </c>
      <c r="R1164" s="16">
        <f>(Table1[[#This Row],[NET Amount]]-Table1[[#This Row],[Total Outstanding Amount]])/Table1[[#This Row],[NET Amount]]</f>
        <v>1</v>
      </c>
      <c r="S1164" s="2" t="s">
        <v>27</v>
      </c>
    </row>
    <row r="1165" spans="1:19" x14ac:dyDescent="0.3">
      <c r="A1165" s="4">
        <v>1163</v>
      </c>
      <c r="B1165" s="2" t="s">
        <v>21</v>
      </c>
      <c r="C1165" s="3">
        <v>44854</v>
      </c>
      <c r="D1165" s="3" t="str">
        <f>TEXT(Table1[[#This Row],[Admission Date]],"MMMM")</f>
        <v>October</v>
      </c>
      <c r="E1165" s="3">
        <v>44856</v>
      </c>
      <c r="F1165" s="3">
        <v>44856</v>
      </c>
      <c r="G1165" s="2">
        <v>22028234</v>
      </c>
      <c r="H1165" s="2">
        <v>2236826</v>
      </c>
      <c r="I1165" s="2">
        <v>10013543938</v>
      </c>
      <c r="J1165" s="2" t="s">
        <v>917</v>
      </c>
      <c r="K1165" s="10">
        <v>15692</v>
      </c>
      <c r="L1165" s="10">
        <v>0</v>
      </c>
      <c r="M1165" s="10">
        <v>15692</v>
      </c>
      <c r="N1165" s="10">
        <v>15692</v>
      </c>
      <c r="O1165" s="10">
        <f>Table1[[#This Row],[NET Amount]]-Table1[[#This Row],[Paid Amount]]</f>
        <v>0</v>
      </c>
      <c r="P1165" s="2" t="s">
        <v>18</v>
      </c>
      <c r="Q1165" s="2" t="s">
        <v>24</v>
      </c>
      <c r="R1165" s="16">
        <f>(Table1[[#This Row],[NET Amount]]-Table1[[#This Row],[Total Outstanding Amount]])/Table1[[#This Row],[NET Amount]]</f>
        <v>1</v>
      </c>
      <c r="S1165" s="2" t="s">
        <v>20</v>
      </c>
    </row>
    <row r="1166" spans="1:19" x14ac:dyDescent="0.3">
      <c r="A1166" s="4">
        <v>1164</v>
      </c>
      <c r="B1166" s="2" t="s">
        <v>45</v>
      </c>
      <c r="C1166" s="3">
        <v>44824</v>
      </c>
      <c r="D1166" s="3" t="str">
        <f>TEXT(Table1[[#This Row],[Admission Date]],"MMMM")</f>
        <v>September</v>
      </c>
      <c r="E1166" s="3">
        <v>44835</v>
      </c>
      <c r="F1166" s="3">
        <v>44835</v>
      </c>
      <c r="G1166" s="2">
        <v>22025203</v>
      </c>
      <c r="H1166" s="2">
        <v>2232664</v>
      </c>
      <c r="I1166" s="2">
        <v>10013539462</v>
      </c>
      <c r="J1166" s="2" t="s">
        <v>918</v>
      </c>
      <c r="K1166" s="10">
        <v>441898</v>
      </c>
      <c r="L1166" s="10">
        <v>53921</v>
      </c>
      <c r="M1166" s="10">
        <v>387977</v>
      </c>
      <c r="N1166" s="10">
        <v>54472</v>
      </c>
      <c r="O1166" s="10">
        <f>Table1[[#This Row],[NET Amount]]-Table1[[#This Row],[Paid Amount]]</f>
        <v>333505</v>
      </c>
      <c r="P1166" s="2" t="s">
        <v>23</v>
      </c>
      <c r="Q1166" s="2" t="s">
        <v>42</v>
      </c>
      <c r="R1166" s="16">
        <f>(Table1[[#This Row],[NET Amount]]-Table1[[#This Row],[Total Outstanding Amount]])/Table1[[#This Row],[NET Amount]]</f>
        <v>0.14040007526219339</v>
      </c>
      <c r="S1166" s="2" t="s">
        <v>20</v>
      </c>
    </row>
    <row r="1167" spans="1:19" x14ac:dyDescent="0.3">
      <c r="A1167" s="4">
        <v>1165</v>
      </c>
      <c r="B1167" s="2" t="s">
        <v>25</v>
      </c>
      <c r="C1167" s="3">
        <v>44848</v>
      </c>
      <c r="D1167" s="3" t="str">
        <f>TEXT(Table1[[#This Row],[Admission Date]],"MMMM")</f>
        <v>October</v>
      </c>
      <c r="E1167" s="3">
        <v>44848</v>
      </c>
      <c r="F1167" s="3">
        <v>44848</v>
      </c>
      <c r="G1167" s="2">
        <v>22027046</v>
      </c>
      <c r="H1167" s="2">
        <v>2235970</v>
      </c>
      <c r="I1167" s="2">
        <v>1000891328</v>
      </c>
      <c r="J1167" s="2" t="s">
        <v>367</v>
      </c>
      <c r="K1167" s="10">
        <v>3288</v>
      </c>
      <c r="L1167" s="10">
        <v>3288</v>
      </c>
      <c r="M1167" s="10">
        <v>0</v>
      </c>
      <c r="N1167" s="10">
        <v>0</v>
      </c>
      <c r="O1167" s="10">
        <f>Table1[[#This Row],[NET Amount]]-Table1[[#This Row],[Paid Amount]]</f>
        <v>0</v>
      </c>
      <c r="P1167" s="2" t="s">
        <v>18</v>
      </c>
      <c r="Q1167" s="2" t="s">
        <v>90</v>
      </c>
      <c r="R1167" s="16" t="e">
        <f>(Table1[[#This Row],[NET Amount]]-Table1[[#This Row],[Total Outstanding Amount]])/Table1[[#This Row],[NET Amount]]</f>
        <v>#DIV/0!</v>
      </c>
      <c r="S1167" s="2" t="s">
        <v>97</v>
      </c>
    </row>
    <row r="1168" spans="1:19" x14ac:dyDescent="0.3">
      <c r="A1168" s="4">
        <v>1166</v>
      </c>
      <c r="B1168" s="2" t="s">
        <v>25</v>
      </c>
      <c r="C1168" s="3">
        <v>44860</v>
      </c>
      <c r="D1168" s="3" t="str">
        <f>TEXT(Table1[[#This Row],[Admission Date]],"MMMM")</f>
        <v>October</v>
      </c>
      <c r="E1168" s="3">
        <v>44860</v>
      </c>
      <c r="F1168" s="3">
        <v>44860</v>
      </c>
      <c r="G1168" s="2">
        <v>22028578</v>
      </c>
      <c r="H1168" s="2">
        <v>2237440</v>
      </c>
      <c r="I1168" s="2">
        <v>1001575947</v>
      </c>
      <c r="J1168" s="2" t="s">
        <v>919</v>
      </c>
      <c r="K1168" s="10">
        <v>2844</v>
      </c>
      <c r="L1168" s="10">
        <v>271</v>
      </c>
      <c r="M1168" s="10">
        <v>2573</v>
      </c>
      <c r="N1168" s="10">
        <v>2573</v>
      </c>
      <c r="O1168" s="10">
        <f>Table1[[#This Row],[NET Amount]]-Table1[[#This Row],[Paid Amount]]</f>
        <v>0</v>
      </c>
      <c r="P1168" s="2" t="s">
        <v>18</v>
      </c>
      <c r="Q1168" s="2" t="s">
        <v>54</v>
      </c>
      <c r="R1168" s="16">
        <f>(Table1[[#This Row],[NET Amount]]-Table1[[#This Row],[Total Outstanding Amount]])/Table1[[#This Row],[NET Amount]]</f>
        <v>1</v>
      </c>
      <c r="S1168" s="2" t="s">
        <v>97</v>
      </c>
    </row>
    <row r="1169" spans="1:19" x14ac:dyDescent="0.3">
      <c r="A1169" s="4">
        <v>1167</v>
      </c>
      <c r="B1169" s="2" t="s">
        <v>25</v>
      </c>
      <c r="C1169" s="3">
        <v>44851</v>
      </c>
      <c r="D1169" s="3" t="str">
        <f>TEXT(Table1[[#This Row],[Admission Date]],"MMMM")</f>
        <v>October</v>
      </c>
      <c r="E1169" s="3">
        <v>44851</v>
      </c>
      <c r="F1169" s="3">
        <v>44851</v>
      </c>
      <c r="G1169" s="2">
        <v>22027391</v>
      </c>
      <c r="H1169" s="2">
        <v>2236279</v>
      </c>
      <c r="I1169" s="2">
        <v>10013542801</v>
      </c>
      <c r="J1169" s="2" t="s">
        <v>920</v>
      </c>
      <c r="K1169" s="10">
        <v>7850</v>
      </c>
      <c r="L1169" s="10">
        <v>1178</v>
      </c>
      <c r="M1169" s="10">
        <v>6672</v>
      </c>
      <c r="N1169" s="10">
        <v>6672</v>
      </c>
      <c r="O1169" s="10">
        <f>Table1[[#This Row],[NET Amount]]-Table1[[#This Row],[Paid Amount]]</f>
        <v>0</v>
      </c>
      <c r="P1169" s="2" t="s">
        <v>18</v>
      </c>
      <c r="Q1169" s="2" t="s">
        <v>24</v>
      </c>
      <c r="R1169" s="16">
        <f>(Table1[[#This Row],[NET Amount]]-Table1[[#This Row],[Total Outstanding Amount]])/Table1[[#This Row],[NET Amount]]</f>
        <v>1</v>
      </c>
      <c r="S1169" s="2" t="s">
        <v>77</v>
      </c>
    </row>
    <row r="1170" spans="1:19" x14ac:dyDescent="0.3">
      <c r="A1170" s="4">
        <v>1168</v>
      </c>
      <c r="B1170" s="2" t="s">
        <v>72</v>
      </c>
      <c r="C1170" s="3">
        <v>44847</v>
      </c>
      <c r="D1170" s="3" t="str">
        <f>TEXT(Table1[[#This Row],[Admission Date]],"MMMM")</f>
        <v>October</v>
      </c>
      <c r="E1170" s="3">
        <v>44851</v>
      </c>
      <c r="F1170" s="3">
        <v>44851</v>
      </c>
      <c r="G1170" s="2">
        <v>22027430</v>
      </c>
      <c r="H1170" s="2">
        <v>2235859</v>
      </c>
      <c r="I1170" s="2">
        <v>10013540363</v>
      </c>
      <c r="J1170" s="2" t="s">
        <v>921</v>
      </c>
      <c r="K1170" s="10">
        <v>71400</v>
      </c>
      <c r="L1170" s="10">
        <v>0</v>
      </c>
      <c r="M1170" s="10">
        <v>71400</v>
      </c>
      <c r="N1170" s="10">
        <v>7500</v>
      </c>
      <c r="O1170" s="10">
        <f>Table1[[#This Row],[NET Amount]]-Table1[[#This Row],[Paid Amount]]</f>
        <v>63900</v>
      </c>
      <c r="P1170" s="2" t="s">
        <v>23</v>
      </c>
      <c r="Q1170" s="2" t="s">
        <v>30</v>
      </c>
      <c r="R1170" s="16">
        <f>(Table1[[#This Row],[NET Amount]]-Table1[[#This Row],[Total Outstanding Amount]])/Table1[[#This Row],[NET Amount]]</f>
        <v>0.10504201680672269</v>
      </c>
      <c r="S1170" s="2" t="s">
        <v>27</v>
      </c>
    </row>
    <row r="1171" spans="1:19" x14ac:dyDescent="0.3">
      <c r="A1171" s="4">
        <v>1169</v>
      </c>
      <c r="B1171" s="2" t="s">
        <v>753</v>
      </c>
      <c r="C1171" s="3">
        <v>44843</v>
      </c>
      <c r="D1171" s="3" t="str">
        <f>TEXT(Table1[[#This Row],[Admission Date]],"MMMM")</f>
        <v>October</v>
      </c>
      <c r="E1171" s="3">
        <v>44845</v>
      </c>
      <c r="F1171" s="3">
        <v>44845</v>
      </c>
      <c r="G1171" s="2">
        <v>22026541</v>
      </c>
      <c r="H1171" s="2">
        <v>2235272</v>
      </c>
      <c r="I1171" s="2">
        <v>1001803401</v>
      </c>
      <c r="J1171" s="2" t="s">
        <v>922</v>
      </c>
      <c r="K1171" s="10">
        <v>6897</v>
      </c>
      <c r="L1171" s="10">
        <v>0</v>
      </c>
      <c r="M1171" s="10">
        <v>6897</v>
      </c>
      <c r="N1171" s="10">
        <v>6897</v>
      </c>
      <c r="O1171" s="10">
        <f>Table1[[#This Row],[NET Amount]]-Table1[[#This Row],[Paid Amount]]</f>
        <v>0</v>
      </c>
      <c r="P1171" s="2" t="s">
        <v>18</v>
      </c>
      <c r="Q1171" s="2" t="s">
        <v>30</v>
      </c>
      <c r="R1171" s="16">
        <f>(Table1[[#This Row],[NET Amount]]-Table1[[#This Row],[Total Outstanding Amount]])/Table1[[#This Row],[NET Amount]]</f>
        <v>1</v>
      </c>
      <c r="S1171" s="2" t="s">
        <v>37</v>
      </c>
    </row>
    <row r="1172" spans="1:19" x14ac:dyDescent="0.3">
      <c r="A1172" s="4">
        <v>1170</v>
      </c>
      <c r="B1172" s="2" t="s">
        <v>25</v>
      </c>
      <c r="C1172" s="3">
        <v>44845</v>
      </c>
      <c r="D1172" s="3" t="str">
        <f>TEXT(Table1[[#This Row],[Admission Date]],"MMMM")</f>
        <v>October</v>
      </c>
      <c r="E1172" s="3">
        <v>44845</v>
      </c>
      <c r="F1172" s="3">
        <v>44845</v>
      </c>
      <c r="G1172" s="2">
        <v>22026608</v>
      </c>
      <c r="H1172" s="2">
        <v>2235562</v>
      </c>
      <c r="I1172" s="2">
        <v>1001803786</v>
      </c>
      <c r="J1172" s="2" t="s">
        <v>555</v>
      </c>
      <c r="K1172" s="10">
        <v>14000</v>
      </c>
      <c r="L1172" s="10">
        <v>0</v>
      </c>
      <c r="M1172" s="10">
        <v>14000</v>
      </c>
      <c r="N1172" s="10">
        <v>14000</v>
      </c>
      <c r="O1172" s="10">
        <f>Table1[[#This Row],[NET Amount]]-Table1[[#This Row],[Paid Amount]]</f>
        <v>0</v>
      </c>
      <c r="P1172" s="2" t="s">
        <v>18</v>
      </c>
      <c r="Q1172" s="2" t="s">
        <v>54</v>
      </c>
      <c r="R1172" s="16">
        <f>(Table1[[#This Row],[NET Amount]]-Table1[[#This Row],[Total Outstanding Amount]])/Table1[[#This Row],[NET Amount]]</f>
        <v>1</v>
      </c>
      <c r="S1172" s="2" t="s">
        <v>39</v>
      </c>
    </row>
    <row r="1173" spans="1:19" x14ac:dyDescent="0.3">
      <c r="A1173" s="4">
        <v>1171</v>
      </c>
      <c r="B1173" s="2" t="s">
        <v>126</v>
      </c>
      <c r="C1173" s="3">
        <v>44840</v>
      </c>
      <c r="D1173" s="3" t="str">
        <f>TEXT(Table1[[#This Row],[Admission Date]],"MMMM")</f>
        <v>October</v>
      </c>
      <c r="E1173" s="3">
        <v>44841</v>
      </c>
      <c r="F1173" s="3">
        <v>44841</v>
      </c>
      <c r="G1173" s="2">
        <v>22026024</v>
      </c>
      <c r="H1173" s="2">
        <v>2234901</v>
      </c>
      <c r="I1173" s="2">
        <v>10013541812</v>
      </c>
      <c r="J1173" s="2" t="s">
        <v>923</v>
      </c>
      <c r="K1173" s="10">
        <v>218605</v>
      </c>
      <c r="L1173" s="10">
        <v>0</v>
      </c>
      <c r="M1173" s="10">
        <v>218605</v>
      </c>
      <c r="N1173" s="10">
        <v>1501</v>
      </c>
      <c r="O1173" s="10">
        <f>Table1[[#This Row],[NET Amount]]-Table1[[#This Row],[Paid Amount]]</f>
        <v>217104</v>
      </c>
      <c r="P1173" s="2" t="s">
        <v>23</v>
      </c>
      <c r="Q1173" s="2" t="s">
        <v>24</v>
      </c>
      <c r="R1173" s="16">
        <f>(Table1[[#This Row],[NET Amount]]-Table1[[#This Row],[Total Outstanding Amount]])/Table1[[#This Row],[NET Amount]]</f>
        <v>6.8662656389378105E-3</v>
      </c>
      <c r="S1173" s="2" t="s">
        <v>39</v>
      </c>
    </row>
    <row r="1174" spans="1:19" x14ac:dyDescent="0.3">
      <c r="A1174" s="4">
        <v>1172</v>
      </c>
      <c r="B1174" s="2" t="s">
        <v>91</v>
      </c>
      <c r="C1174" s="3">
        <v>44856</v>
      </c>
      <c r="D1174" s="3" t="str">
        <f>TEXT(Table1[[#This Row],[Admission Date]],"MMMM")</f>
        <v>October</v>
      </c>
      <c r="E1174" s="3">
        <v>44863</v>
      </c>
      <c r="F1174" s="3">
        <v>44863</v>
      </c>
      <c r="G1174" s="2">
        <v>22029053</v>
      </c>
      <c r="H1174" s="2">
        <v>2237110</v>
      </c>
      <c r="I1174" s="2">
        <v>10013377257</v>
      </c>
      <c r="J1174" s="2" t="s">
        <v>924</v>
      </c>
      <c r="K1174" s="10">
        <v>145102</v>
      </c>
      <c r="L1174" s="10">
        <v>3457</v>
      </c>
      <c r="M1174" s="10">
        <v>141645</v>
      </c>
      <c r="N1174" s="10">
        <v>3187</v>
      </c>
      <c r="O1174" s="10">
        <f>Table1[[#This Row],[NET Amount]]-Table1[[#This Row],[Paid Amount]]</f>
        <v>138458</v>
      </c>
      <c r="P1174" s="2" t="s">
        <v>23</v>
      </c>
      <c r="Q1174" s="2" t="s">
        <v>19</v>
      </c>
      <c r="R1174" s="16">
        <f>(Table1[[#This Row],[NET Amount]]-Table1[[#This Row],[Total Outstanding Amount]])/Table1[[#This Row],[NET Amount]]</f>
        <v>2.2499911751209009E-2</v>
      </c>
      <c r="S1174" s="2" t="s">
        <v>20</v>
      </c>
    </row>
    <row r="1175" spans="1:19" x14ac:dyDescent="0.3">
      <c r="A1175" s="4">
        <v>1173</v>
      </c>
      <c r="B1175" s="2" t="s">
        <v>25</v>
      </c>
      <c r="C1175" s="3">
        <v>44862</v>
      </c>
      <c r="D1175" s="3" t="str">
        <f>TEXT(Table1[[#This Row],[Admission Date]],"MMMM")</f>
        <v>October</v>
      </c>
      <c r="E1175" s="3">
        <v>44863</v>
      </c>
      <c r="F1175" s="3">
        <v>44863</v>
      </c>
      <c r="G1175" s="2">
        <v>22029134</v>
      </c>
      <c r="H1175" s="2">
        <v>2237741</v>
      </c>
      <c r="I1175" s="2">
        <v>10013450796</v>
      </c>
      <c r="J1175" s="2" t="s">
        <v>925</v>
      </c>
      <c r="K1175" s="10">
        <v>32914</v>
      </c>
      <c r="L1175" s="10">
        <v>4396</v>
      </c>
      <c r="M1175" s="10">
        <v>28518</v>
      </c>
      <c r="N1175" s="10">
        <v>28518</v>
      </c>
      <c r="O1175" s="10">
        <f>Table1[[#This Row],[NET Amount]]-Table1[[#This Row],[Paid Amount]]</f>
        <v>0</v>
      </c>
      <c r="P1175" s="2" t="s">
        <v>18</v>
      </c>
      <c r="Q1175" s="2" t="s">
        <v>19</v>
      </c>
      <c r="R1175" s="16">
        <f>(Table1[[#This Row],[NET Amount]]-Table1[[#This Row],[Total Outstanding Amount]])/Table1[[#This Row],[NET Amount]]</f>
        <v>1</v>
      </c>
      <c r="S1175" s="2" t="s">
        <v>20</v>
      </c>
    </row>
    <row r="1176" spans="1:19" x14ac:dyDescent="0.3">
      <c r="A1176" s="4">
        <v>1174</v>
      </c>
      <c r="B1176" s="2" t="s">
        <v>709</v>
      </c>
      <c r="C1176" s="3">
        <v>44833</v>
      </c>
      <c r="D1176" s="3" t="str">
        <f>TEXT(Table1[[#This Row],[Admission Date]],"MMMM")</f>
        <v>September</v>
      </c>
      <c r="E1176" s="3">
        <v>44845</v>
      </c>
      <c r="F1176" s="3">
        <v>44846</v>
      </c>
      <c r="G1176" s="2">
        <v>22026703</v>
      </c>
      <c r="H1176" s="2">
        <v>2233990</v>
      </c>
      <c r="I1176" s="2">
        <v>10013461377</v>
      </c>
      <c r="J1176" s="2" t="s">
        <v>926</v>
      </c>
      <c r="K1176" s="10">
        <v>94751</v>
      </c>
      <c r="L1176" s="10">
        <v>0</v>
      </c>
      <c r="M1176" s="10">
        <v>94751</v>
      </c>
      <c r="N1176" s="10">
        <v>94751</v>
      </c>
      <c r="O1176" s="10">
        <f>Table1[[#This Row],[NET Amount]]-Table1[[#This Row],[Paid Amount]]</f>
        <v>0</v>
      </c>
      <c r="P1176" s="2" t="s">
        <v>18</v>
      </c>
      <c r="Q1176" s="2" t="s">
        <v>30</v>
      </c>
      <c r="R1176" s="16">
        <f>(Table1[[#This Row],[NET Amount]]-Table1[[#This Row],[Total Outstanding Amount]])/Table1[[#This Row],[NET Amount]]</f>
        <v>1</v>
      </c>
      <c r="S1176" s="2" t="s">
        <v>20</v>
      </c>
    </row>
    <row r="1177" spans="1:19" x14ac:dyDescent="0.3">
      <c r="A1177" s="4">
        <v>1175</v>
      </c>
      <c r="B1177" s="2" t="s">
        <v>45</v>
      </c>
      <c r="C1177" s="3">
        <v>44841</v>
      </c>
      <c r="D1177" s="3" t="str">
        <f>TEXT(Table1[[#This Row],[Admission Date]],"MMMM")</f>
        <v>October</v>
      </c>
      <c r="E1177" s="3">
        <v>44846</v>
      </c>
      <c r="F1177" s="3">
        <v>44846</v>
      </c>
      <c r="G1177" s="2">
        <v>22026690</v>
      </c>
      <c r="H1177" s="2">
        <v>2234999</v>
      </c>
      <c r="I1177" s="2">
        <v>1001240039</v>
      </c>
      <c r="J1177" s="2" t="s">
        <v>927</v>
      </c>
      <c r="K1177" s="10">
        <v>201822</v>
      </c>
      <c r="L1177" s="10">
        <v>25498</v>
      </c>
      <c r="M1177" s="10">
        <v>176324</v>
      </c>
      <c r="N1177" s="10">
        <v>51357</v>
      </c>
      <c r="O1177" s="10">
        <f>Table1[[#This Row],[NET Amount]]-Table1[[#This Row],[Paid Amount]]</f>
        <v>124967</v>
      </c>
      <c r="P1177" s="2" t="s">
        <v>23</v>
      </c>
      <c r="Q1177" s="2" t="s">
        <v>30</v>
      </c>
      <c r="R1177" s="16">
        <f>(Table1[[#This Row],[NET Amount]]-Table1[[#This Row],[Total Outstanding Amount]])/Table1[[#This Row],[NET Amount]]</f>
        <v>0.29126494408021597</v>
      </c>
      <c r="S1177" s="2" t="s">
        <v>20</v>
      </c>
    </row>
    <row r="1178" spans="1:19" x14ac:dyDescent="0.3">
      <c r="A1178" s="4">
        <v>1176</v>
      </c>
      <c r="B1178" s="2" t="s">
        <v>25</v>
      </c>
      <c r="C1178" s="3">
        <v>44848</v>
      </c>
      <c r="D1178" s="3" t="str">
        <f>TEXT(Table1[[#This Row],[Admission Date]],"MMMM")</f>
        <v>October</v>
      </c>
      <c r="E1178" s="3">
        <v>44850</v>
      </c>
      <c r="F1178" s="3">
        <v>44850</v>
      </c>
      <c r="G1178" s="2">
        <v>22027320</v>
      </c>
      <c r="H1178" s="2">
        <v>2236011</v>
      </c>
      <c r="I1178" s="2">
        <v>10013445688</v>
      </c>
      <c r="J1178" s="2" t="s">
        <v>928</v>
      </c>
      <c r="K1178" s="10">
        <v>49089</v>
      </c>
      <c r="L1178" s="10">
        <v>6629</v>
      </c>
      <c r="M1178" s="10">
        <v>42460</v>
      </c>
      <c r="N1178" s="10">
        <v>42460</v>
      </c>
      <c r="O1178" s="10">
        <f>Table1[[#This Row],[NET Amount]]-Table1[[#This Row],[Paid Amount]]</f>
        <v>0</v>
      </c>
      <c r="P1178" s="2" t="s">
        <v>18</v>
      </c>
      <c r="Q1178" s="2" t="s">
        <v>19</v>
      </c>
      <c r="R1178" s="16">
        <f>(Table1[[#This Row],[NET Amount]]-Table1[[#This Row],[Total Outstanding Amount]])/Table1[[#This Row],[NET Amount]]</f>
        <v>1</v>
      </c>
      <c r="S1178" s="2" t="s">
        <v>27</v>
      </c>
    </row>
    <row r="1179" spans="1:19" x14ac:dyDescent="0.3">
      <c r="A1179" s="4">
        <v>1177</v>
      </c>
      <c r="B1179" s="2" t="s">
        <v>2244</v>
      </c>
      <c r="C1179" s="3">
        <v>44843</v>
      </c>
      <c r="D1179" s="3" t="str">
        <f>TEXT(Table1[[#This Row],[Admission Date]],"MMMM")</f>
        <v>October</v>
      </c>
      <c r="E1179" s="3">
        <v>44852</v>
      </c>
      <c r="F1179" s="3">
        <v>44852</v>
      </c>
      <c r="G1179" s="2">
        <v>22027570</v>
      </c>
      <c r="H1179" s="2">
        <v>2235313</v>
      </c>
      <c r="I1179" s="2">
        <v>1001803458</v>
      </c>
      <c r="J1179" s="2" t="s">
        <v>929</v>
      </c>
      <c r="K1179" s="10">
        <v>51674</v>
      </c>
      <c r="L1179" s="10">
        <v>0</v>
      </c>
      <c r="M1179" s="10">
        <v>51674</v>
      </c>
      <c r="N1179" s="10">
        <v>51674</v>
      </c>
      <c r="O1179" s="10">
        <f>Table1[[#This Row],[NET Amount]]-Table1[[#This Row],[Paid Amount]]</f>
        <v>0</v>
      </c>
      <c r="P1179" s="2" t="s">
        <v>18</v>
      </c>
      <c r="Q1179" s="2" t="s">
        <v>19</v>
      </c>
      <c r="R1179" s="16">
        <f>(Table1[[#This Row],[NET Amount]]-Table1[[#This Row],[Total Outstanding Amount]])/Table1[[#This Row],[NET Amount]]</f>
        <v>1</v>
      </c>
      <c r="S1179" s="2" t="s">
        <v>20</v>
      </c>
    </row>
    <row r="1180" spans="1:19" x14ac:dyDescent="0.3">
      <c r="A1180" s="4">
        <v>1178</v>
      </c>
      <c r="B1180" s="2" t="s">
        <v>126</v>
      </c>
      <c r="C1180" s="3">
        <v>44848</v>
      </c>
      <c r="D1180" s="3" t="str">
        <f>TEXT(Table1[[#This Row],[Admission Date]],"MMMM")</f>
        <v>October</v>
      </c>
      <c r="E1180" s="3">
        <v>44848</v>
      </c>
      <c r="F1180" s="3">
        <v>44848</v>
      </c>
      <c r="G1180" s="2">
        <v>22027104</v>
      </c>
      <c r="H1180" s="2">
        <v>2236021</v>
      </c>
      <c r="I1180" s="2">
        <v>10013543055</v>
      </c>
      <c r="J1180" s="2" t="s">
        <v>930</v>
      </c>
      <c r="K1180" s="10">
        <v>0</v>
      </c>
      <c r="L1180" s="10">
        <v>0</v>
      </c>
      <c r="M1180" s="10">
        <v>0</v>
      </c>
      <c r="N1180" s="10">
        <v>0</v>
      </c>
      <c r="O1180" s="10">
        <f>Table1[[#This Row],[NET Amount]]-Table1[[#This Row],[Paid Amount]]</f>
        <v>0</v>
      </c>
      <c r="P1180" s="2" t="s">
        <v>18</v>
      </c>
      <c r="Q1180" s="2" t="s">
        <v>19</v>
      </c>
      <c r="R1180" s="16" t="e">
        <f>(Table1[[#This Row],[NET Amount]]-Table1[[#This Row],[Total Outstanding Amount]])/Table1[[#This Row],[NET Amount]]</f>
        <v>#DIV/0!</v>
      </c>
      <c r="S1180" s="2" t="s">
        <v>20</v>
      </c>
    </row>
    <row r="1181" spans="1:19" x14ac:dyDescent="0.3">
      <c r="A1181" s="4">
        <v>1179</v>
      </c>
      <c r="B1181" s="2" t="s">
        <v>149</v>
      </c>
      <c r="C1181" s="3">
        <v>44848</v>
      </c>
      <c r="D1181" s="3" t="str">
        <f>TEXT(Table1[[#This Row],[Admission Date]],"MMMM")</f>
        <v>October</v>
      </c>
      <c r="E1181" s="3">
        <v>44849</v>
      </c>
      <c r="F1181" s="3">
        <v>44849</v>
      </c>
      <c r="G1181" s="2">
        <v>22027163</v>
      </c>
      <c r="H1181" s="2">
        <v>2235899</v>
      </c>
      <c r="I1181" s="2">
        <v>10013502468</v>
      </c>
      <c r="J1181" s="2" t="s">
        <v>931</v>
      </c>
      <c r="K1181" s="10">
        <v>42098</v>
      </c>
      <c r="L1181" s="10">
        <v>0</v>
      </c>
      <c r="M1181" s="10">
        <v>42098</v>
      </c>
      <c r="N1181" s="10">
        <v>0</v>
      </c>
      <c r="O1181" s="10">
        <f>Table1[[#This Row],[NET Amount]]-Table1[[#This Row],[Paid Amount]]</f>
        <v>42098</v>
      </c>
      <c r="P1181" s="2" t="s">
        <v>23</v>
      </c>
      <c r="Q1181" s="2" t="s">
        <v>30</v>
      </c>
      <c r="R1181" s="16">
        <f>(Table1[[#This Row],[NET Amount]]-Table1[[#This Row],[Total Outstanding Amount]])/Table1[[#This Row],[NET Amount]]</f>
        <v>0</v>
      </c>
      <c r="S1181" s="2" t="s">
        <v>201</v>
      </c>
    </row>
    <row r="1182" spans="1:19" x14ac:dyDescent="0.3">
      <c r="A1182" s="4">
        <v>1180</v>
      </c>
      <c r="B1182" s="2" t="s">
        <v>80</v>
      </c>
      <c r="C1182" s="3">
        <v>44836</v>
      </c>
      <c r="D1182" s="3" t="str">
        <f>TEXT(Table1[[#This Row],[Admission Date]],"MMMM")</f>
        <v>October</v>
      </c>
      <c r="E1182" s="3">
        <v>44841</v>
      </c>
      <c r="F1182" s="3">
        <v>44841</v>
      </c>
      <c r="G1182" s="2">
        <v>22026023</v>
      </c>
      <c r="H1182" s="2">
        <v>2234310</v>
      </c>
      <c r="I1182" s="2">
        <v>10013502085</v>
      </c>
      <c r="J1182" s="2" t="s">
        <v>932</v>
      </c>
      <c r="K1182" s="10">
        <v>154782</v>
      </c>
      <c r="L1182" s="10">
        <v>15318</v>
      </c>
      <c r="M1182" s="10">
        <v>139464</v>
      </c>
      <c r="N1182" s="10">
        <v>27041</v>
      </c>
      <c r="O1182" s="10">
        <f>Table1[[#This Row],[NET Amount]]-Table1[[#This Row],[Paid Amount]]</f>
        <v>112423</v>
      </c>
      <c r="P1182" s="2" t="s">
        <v>23</v>
      </c>
      <c r="Q1182" s="2" t="s">
        <v>30</v>
      </c>
      <c r="R1182" s="16">
        <f>(Table1[[#This Row],[NET Amount]]-Table1[[#This Row],[Total Outstanding Amount]])/Table1[[#This Row],[NET Amount]]</f>
        <v>0.19389233063729708</v>
      </c>
      <c r="S1182" s="2" t="s">
        <v>20</v>
      </c>
    </row>
    <row r="1183" spans="1:19" x14ac:dyDescent="0.3">
      <c r="A1183" s="4">
        <v>1181</v>
      </c>
      <c r="B1183" s="2" t="s">
        <v>166</v>
      </c>
      <c r="C1183" s="3">
        <v>44852</v>
      </c>
      <c r="D1183" s="3" t="str">
        <f>TEXT(Table1[[#This Row],[Admission Date]],"MMMM")</f>
        <v>October</v>
      </c>
      <c r="E1183" s="3">
        <v>44852</v>
      </c>
      <c r="F1183" s="3">
        <v>44852</v>
      </c>
      <c r="G1183" s="2">
        <v>22027579</v>
      </c>
      <c r="H1183" s="2">
        <v>2236473</v>
      </c>
      <c r="I1183" s="2">
        <v>10013471499</v>
      </c>
      <c r="J1183" s="2" t="s">
        <v>729</v>
      </c>
      <c r="K1183" s="10">
        <v>2200</v>
      </c>
      <c r="L1183" s="10">
        <v>0</v>
      </c>
      <c r="M1183" s="10">
        <v>2200</v>
      </c>
      <c r="N1183" s="10">
        <v>220</v>
      </c>
      <c r="O1183" s="10">
        <f>Table1[[#This Row],[NET Amount]]-Table1[[#This Row],[Paid Amount]]</f>
        <v>1980</v>
      </c>
      <c r="P1183" s="2" t="s">
        <v>23</v>
      </c>
      <c r="Q1183" s="2" t="s">
        <v>147</v>
      </c>
      <c r="R1183" s="16">
        <f>(Table1[[#This Row],[NET Amount]]-Table1[[#This Row],[Total Outstanding Amount]])/Table1[[#This Row],[NET Amount]]</f>
        <v>0.1</v>
      </c>
      <c r="S1183" s="2" t="s">
        <v>97</v>
      </c>
    </row>
    <row r="1184" spans="1:19" x14ac:dyDescent="0.3">
      <c r="A1184" s="4">
        <v>1182</v>
      </c>
      <c r="B1184" s="2" t="s">
        <v>126</v>
      </c>
      <c r="C1184" s="3">
        <v>44836</v>
      </c>
      <c r="D1184" s="3" t="str">
        <f>TEXT(Table1[[#This Row],[Admission Date]],"MMMM")</f>
        <v>October</v>
      </c>
      <c r="E1184" s="3">
        <v>44839</v>
      </c>
      <c r="F1184" s="3">
        <v>44839</v>
      </c>
      <c r="G1184" s="2">
        <v>22025681</v>
      </c>
      <c r="H1184" s="2">
        <v>2234326</v>
      </c>
      <c r="I1184" s="2">
        <v>1001802035</v>
      </c>
      <c r="J1184" s="2" t="s">
        <v>933</v>
      </c>
      <c r="K1184" s="10">
        <v>72183</v>
      </c>
      <c r="L1184" s="10">
        <v>10296</v>
      </c>
      <c r="M1184" s="10">
        <v>61887</v>
      </c>
      <c r="N1184" s="10">
        <v>6900</v>
      </c>
      <c r="O1184" s="10">
        <f>Table1[[#This Row],[NET Amount]]-Table1[[#This Row],[Paid Amount]]</f>
        <v>54987</v>
      </c>
      <c r="P1184" s="2" t="s">
        <v>23</v>
      </c>
      <c r="Q1184" s="2" t="s">
        <v>24</v>
      </c>
      <c r="R1184" s="16">
        <f>(Table1[[#This Row],[NET Amount]]-Table1[[#This Row],[Total Outstanding Amount]])/Table1[[#This Row],[NET Amount]]</f>
        <v>0.11149352852780067</v>
      </c>
      <c r="S1184" s="2" t="s">
        <v>37</v>
      </c>
    </row>
    <row r="1185" spans="1:19" x14ac:dyDescent="0.3">
      <c r="A1185" s="4">
        <v>1183</v>
      </c>
      <c r="B1185" s="2" t="s">
        <v>934</v>
      </c>
      <c r="C1185" s="3">
        <v>44833</v>
      </c>
      <c r="D1185" s="3" t="str">
        <f>TEXT(Table1[[#This Row],[Admission Date]],"MMMM")</f>
        <v>September</v>
      </c>
      <c r="E1185" s="3">
        <v>44839</v>
      </c>
      <c r="F1185" s="3">
        <v>44839</v>
      </c>
      <c r="G1185" s="2">
        <v>22025746</v>
      </c>
      <c r="H1185" s="2">
        <v>2233989</v>
      </c>
      <c r="I1185" s="2">
        <v>10013540892</v>
      </c>
      <c r="J1185" s="2" t="s">
        <v>935</v>
      </c>
      <c r="K1185" s="10">
        <v>274715</v>
      </c>
      <c r="L1185" s="10">
        <v>0</v>
      </c>
      <c r="M1185" s="10">
        <v>274714</v>
      </c>
      <c r="N1185" s="10">
        <v>274714</v>
      </c>
      <c r="O1185" s="10">
        <f>Table1[[#This Row],[NET Amount]]-Table1[[#This Row],[Paid Amount]]</f>
        <v>0</v>
      </c>
      <c r="P1185" s="2" t="s">
        <v>18</v>
      </c>
      <c r="Q1185" s="2" t="s">
        <v>30</v>
      </c>
      <c r="R1185" s="16">
        <f>(Table1[[#This Row],[NET Amount]]-Table1[[#This Row],[Total Outstanding Amount]])/Table1[[#This Row],[NET Amount]]</f>
        <v>1</v>
      </c>
      <c r="S1185" s="2" t="s">
        <v>20</v>
      </c>
    </row>
    <row r="1186" spans="1:19" x14ac:dyDescent="0.3">
      <c r="A1186" s="4">
        <v>1184</v>
      </c>
      <c r="B1186" s="2" t="s">
        <v>72</v>
      </c>
      <c r="C1186" s="3">
        <v>44837</v>
      </c>
      <c r="D1186" s="3" t="str">
        <f>TEXT(Table1[[#This Row],[Admission Date]],"MMMM")</f>
        <v>October</v>
      </c>
      <c r="E1186" s="3">
        <v>44839</v>
      </c>
      <c r="F1186" s="3">
        <v>44839</v>
      </c>
      <c r="G1186" s="2">
        <v>22025702</v>
      </c>
      <c r="H1186" s="2">
        <v>2234337</v>
      </c>
      <c r="I1186" s="2">
        <v>1001802053</v>
      </c>
      <c r="J1186" s="2" t="s">
        <v>936</v>
      </c>
      <c r="K1186" s="10">
        <v>51495</v>
      </c>
      <c r="L1186" s="10">
        <v>0</v>
      </c>
      <c r="M1186" s="10">
        <v>51495</v>
      </c>
      <c r="N1186" s="10">
        <v>12975</v>
      </c>
      <c r="O1186" s="10">
        <f>Table1[[#This Row],[NET Amount]]-Table1[[#This Row],[Paid Amount]]</f>
        <v>38520</v>
      </c>
      <c r="P1186" s="2" t="s">
        <v>23</v>
      </c>
      <c r="Q1186" s="2" t="s">
        <v>52</v>
      </c>
      <c r="R1186" s="16">
        <f>(Table1[[#This Row],[NET Amount]]-Table1[[#This Row],[Total Outstanding Amount]])/Table1[[#This Row],[NET Amount]]</f>
        <v>0.25196621031168076</v>
      </c>
      <c r="S1186" s="2" t="s">
        <v>27</v>
      </c>
    </row>
    <row r="1187" spans="1:19" x14ac:dyDescent="0.3">
      <c r="A1187" s="4">
        <v>1185</v>
      </c>
      <c r="B1187" s="2" t="s">
        <v>168</v>
      </c>
      <c r="C1187" s="3">
        <v>44851</v>
      </c>
      <c r="D1187" s="3" t="str">
        <f>TEXT(Table1[[#This Row],[Admission Date]],"MMMM")</f>
        <v>October</v>
      </c>
      <c r="E1187" s="3">
        <v>44863</v>
      </c>
      <c r="F1187" s="3">
        <v>44863</v>
      </c>
      <c r="G1187" s="2">
        <v>22029125</v>
      </c>
      <c r="H1187" s="2">
        <v>2236358</v>
      </c>
      <c r="I1187" s="2">
        <v>10013540206</v>
      </c>
      <c r="J1187" s="2" t="s">
        <v>279</v>
      </c>
      <c r="K1187" s="10">
        <v>298946</v>
      </c>
      <c r="L1187" s="10">
        <v>28602</v>
      </c>
      <c r="M1187" s="10">
        <v>270344</v>
      </c>
      <c r="N1187" s="10">
        <v>14942</v>
      </c>
      <c r="O1187" s="10">
        <f>Table1[[#This Row],[NET Amount]]-Table1[[#This Row],[Paid Amount]]</f>
        <v>255402</v>
      </c>
      <c r="P1187" s="2" t="s">
        <v>23</v>
      </c>
      <c r="Q1187" s="2" t="s">
        <v>42</v>
      </c>
      <c r="R1187" s="16">
        <f>(Table1[[#This Row],[NET Amount]]-Table1[[#This Row],[Total Outstanding Amount]])/Table1[[#This Row],[NET Amount]]</f>
        <v>5.5270322256088536E-2</v>
      </c>
      <c r="S1187" s="2" t="s">
        <v>280</v>
      </c>
    </row>
    <row r="1188" spans="1:19" x14ac:dyDescent="0.3">
      <c r="A1188" s="4">
        <v>1186</v>
      </c>
      <c r="B1188" s="2" t="s">
        <v>2265</v>
      </c>
      <c r="C1188" s="3">
        <v>44840</v>
      </c>
      <c r="D1188" s="3" t="str">
        <f>TEXT(Table1[[#This Row],[Admission Date]],"MMMM")</f>
        <v>October</v>
      </c>
      <c r="E1188" s="3">
        <v>44844</v>
      </c>
      <c r="F1188" s="3">
        <v>44844</v>
      </c>
      <c r="G1188" s="2">
        <v>22026409</v>
      </c>
      <c r="H1188" s="2">
        <v>2234884</v>
      </c>
      <c r="I1188" s="2">
        <v>1001371351</v>
      </c>
      <c r="J1188" s="2" t="s">
        <v>937</v>
      </c>
      <c r="K1188" s="10">
        <v>91255</v>
      </c>
      <c r="L1188" s="10">
        <v>17888</v>
      </c>
      <c r="M1188" s="10">
        <v>73367</v>
      </c>
      <c r="N1188" s="10">
        <v>5345</v>
      </c>
      <c r="O1188" s="10">
        <f>Table1[[#This Row],[NET Amount]]-Table1[[#This Row],[Paid Amount]]</f>
        <v>68022</v>
      </c>
      <c r="P1188" s="2" t="s">
        <v>23</v>
      </c>
      <c r="Q1188" s="2" t="s">
        <v>30</v>
      </c>
      <c r="R1188" s="16">
        <f>(Table1[[#This Row],[NET Amount]]-Table1[[#This Row],[Total Outstanding Amount]])/Table1[[#This Row],[NET Amount]]</f>
        <v>7.2852917524227512E-2</v>
      </c>
      <c r="S1188" s="2" t="s">
        <v>20</v>
      </c>
    </row>
    <row r="1189" spans="1:19" x14ac:dyDescent="0.3">
      <c r="A1189" s="4">
        <v>1187</v>
      </c>
      <c r="B1189" s="2" t="s">
        <v>2244</v>
      </c>
      <c r="C1189" s="3">
        <v>44849</v>
      </c>
      <c r="D1189" s="3" t="str">
        <f>TEXT(Table1[[#This Row],[Admission Date]],"MMMM")</f>
        <v>October</v>
      </c>
      <c r="E1189" s="3">
        <v>44851</v>
      </c>
      <c r="F1189" s="3">
        <v>44851</v>
      </c>
      <c r="G1189" s="2">
        <v>22027424</v>
      </c>
      <c r="H1189" s="2">
        <v>2236115</v>
      </c>
      <c r="I1189" s="2">
        <v>1001804512</v>
      </c>
      <c r="J1189" s="2" t="s">
        <v>938</v>
      </c>
      <c r="K1189" s="10">
        <v>128665</v>
      </c>
      <c r="L1189" s="10">
        <v>0</v>
      </c>
      <c r="M1189" s="10">
        <v>128665</v>
      </c>
      <c r="N1189" s="10">
        <v>128665</v>
      </c>
      <c r="O1189" s="10">
        <f>Table1[[#This Row],[NET Amount]]-Table1[[#This Row],[Paid Amount]]</f>
        <v>0</v>
      </c>
      <c r="P1189" s="2" t="s">
        <v>18</v>
      </c>
      <c r="Q1189" s="2" t="s">
        <v>24</v>
      </c>
      <c r="R1189" s="16">
        <f>(Table1[[#This Row],[NET Amount]]-Table1[[#This Row],[Total Outstanding Amount]])/Table1[[#This Row],[NET Amount]]</f>
        <v>1</v>
      </c>
      <c r="S1189" s="2" t="s">
        <v>39</v>
      </c>
    </row>
    <row r="1190" spans="1:19" x14ac:dyDescent="0.3">
      <c r="A1190" s="4">
        <v>1188</v>
      </c>
      <c r="B1190" s="2" t="s">
        <v>939</v>
      </c>
      <c r="C1190" s="3">
        <v>44850</v>
      </c>
      <c r="D1190" s="3" t="str">
        <f>TEXT(Table1[[#This Row],[Admission Date]],"MMMM")</f>
        <v>October</v>
      </c>
      <c r="E1190" s="3">
        <v>44857</v>
      </c>
      <c r="F1190" s="3">
        <v>44857</v>
      </c>
      <c r="G1190" s="2">
        <v>22028371</v>
      </c>
      <c r="H1190" s="2">
        <v>2236215</v>
      </c>
      <c r="I1190" s="2">
        <v>1001793070</v>
      </c>
      <c r="J1190" s="2" t="s">
        <v>940</v>
      </c>
      <c r="K1190" s="10">
        <v>158669</v>
      </c>
      <c r="L1190" s="10">
        <v>0</v>
      </c>
      <c r="M1190" s="10">
        <v>158669</v>
      </c>
      <c r="N1190" s="10">
        <v>11000</v>
      </c>
      <c r="O1190" s="10">
        <f>Table1[[#This Row],[NET Amount]]-Table1[[#This Row],[Paid Amount]]</f>
        <v>147669</v>
      </c>
      <c r="P1190" s="2" t="s">
        <v>23</v>
      </c>
      <c r="Q1190" s="2" t="s">
        <v>24</v>
      </c>
      <c r="R1190" s="16">
        <f>(Table1[[#This Row],[NET Amount]]-Table1[[#This Row],[Total Outstanding Amount]])/Table1[[#This Row],[NET Amount]]</f>
        <v>6.9326711581972539E-2</v>
      </c>
      <c r="S1190" s="2" t="s">
        <v>20</v>
      </c>
    </row>
    <row r="1191" spans="1:19" x14ac:dyDescent="0.3">
      <c r="A1191" s="4">
        <v>1189</v>
      </c>
      <c r="B1191" s="2" t="s">
        <v>25</v>
      </c>
      <c r="C1191" s="3">
        <v>44850</v>
      </c>
      <c r="D1191" s="3" t="str">
        <f>TEXT(Table1[[#This Row],[Admission Date]],"MMMM")</f>
        <v>October</v>
      </c>
      <c r="E1191" s="3">
        <v>44850</v>
      </c>
      <c r="F1191" s="3">
        <v>44850</v>
      </c>
      <c r="G1191" s="2">
        <v>22027297</v>
      </c>
      <c r="H1191" s="2">
        <v>2236224</v>
      </c>
      <c r="I1191" s="2">
        <v>1001804641</v>
      </c>
      <c r="J1191" s="2" t="s">
        <v>941</v>
      </c>
      <c r="K1191" s="10">
        <v>14000</v>
      </c>
      <c r="L1191" s="10">
        <v>0</v>
      </c>
      <c r="M1191" s="10">
        <v>14000</v>
      </c>
      <c r="N1191" s="10">
        <v>14000</v>
      </c>
      <c r="O1191" s="10">
        <f>Table1[[#This Row],[NET Amount]]-Table1[[#This Row],[Paid Amount]]</f>
        <v>0</v>
      </c>
      <c r="P1191" s="2" t="s">
        <v>18</v>
      </c>
      <c r="Q1191" s="2" t="s">
        <v>54</v>
      </c>
      <c r="R1191" s="16">
        <f>(Table1[[#This Row],[NET Amount]]-Table1[[#This Row],[Total Outstanding Amount]])/Table1[[#This Row],[NET Amount]]</f>
        <v>1</v>
      </c>
      <c r="S1191" s="2" t="s">
        <v>39</v>
      </c>
    </row>
    <row r="1192" spans="1:19" x14ac:dyDescent="0.3">
      <c r="A1192" s="4">
        <v>1190</v>
      </c>
      <c r="B1192" s="2" t="s">
        <v>25</v>
      </c>
      <c r="C1192" s="3">
        <v>44833</v>
      </c>
      <c r="D1192" s="3" t="str">
        <f>TEXT(Table1[[#This Row],[Admission Date]],"MMMM")</f>
        <v>September</v>
      </c>
      <c r="E1192" s="3">
        <v>44835</v>
      </c>
      <c r="F1192" s="3">
        <v>44835</v>
      </c>
      <c r="G1192" s="2">
        <v>22025216</v>
      </c>
      <c r="H1192" s="2">
        <v>2233998</v>
      </c>
      <c r="I1192" s="2">
        <v>10013539950</v>
      </c>
      <c r="J1192" s="2" t="s">
        <v>355</v>
      </c>
      <c r="K1192" s="10">
        <v>16743</v>
      </c>
      <c r="L1192" s="10">
        <v>2138</v>
      </c>
      <c r="M1192" s="10">
        <v>14605</v>
      </c>
      <c r="N1192" s="10">
        <v>14605</v>
      </c>
      <c r="O1192" s="10">
        <f>Table1[[#This Row],[NET Amount]]-Table1[[#This Row],[Paid Amount]]</f>
        <v>0</v>
      </c>
      <c r="P1192" s="2" t="s">
        <v>18</v>
      </c>
      <c r="Q1192" s="2" t="s">
        <v>24</v>
      </c>
      <c r="R1192" s="16">
        <f>(Table1[[#This Row],[NET Amount]]-Table1[[#This Row],[Total Outstanding Amount]])/Table1[[#This Row],[NET Amount]]</f>
        <v>1</v>
      </c>
      <c r="S1192" s="2" t="s">
        <v>280</v>
      </c>
    </row>
    <row r="1193" spans="1:19" x14ac:dyDescent="0.3">
      <c r="A1193" s="4">
        <v>1191</v>
      </c>
      <c r="B1193" s="2" t="s">
        <v>28</v>
      </c>
      <c r="C1193" s="3">
        <v>44833</v>
      </c>
      <c r="D1193" s="3" t="str">
        <f>TEXT(Table1[[#This Row],[Admission Date]],"MMMM")</f>
        <v>September</v>
      </c>
      <c r="E1193" s="3">
        <v>44835</v>
      </c>
      <c r="F1193" s="3">
        <v>44835</v>
      </c>
      <c r="G1193" s="2">
        <v>22025113</v>
      </c>
      <c r="H1193" s="2">
        <v>2233937</v>
      </c>
      <c r="I1193" s="2">
        <v>10013484116</v>
      </c>
      <c r="J1193" s="2" t="s">
        <v>942</v>
      </c>
      <c r="K1193" s="10">
        <v>36408</v>
      </c>
      <c r="L1193" s="10">
        <v>3779</v>
      </c>
      <c r="M1193" s="10">
        <v>32629</v>
      </c>
      <c r="N1193" s="10">
        <v>3230</v>
      </c>
      <c r="O1193" s="10">
        <f>Table1[[#This Row],[NET Amount]]-Table1[[#This Row],[Paid Amount]]</f>
        <v>29399</v>
      </c>
      <c r="P1193" s="2" t="s">
        <v>23</v>
      </c>
      <c r="Q1193" s="2" t="s">
        <v>104</v>
      </c>
      <c r="R1193" s="16">
        <f>(Table1[[#This Row],[NET Amount]]-Table1[[#This Row],[Total Outstanding Amount]])/Table1[[#This Row],[NET Amount]]</f>
        <v>9.8991694504888289E-2</v>
      </c>
      <c r="S1193" s="2" t="s">
        <v>37</v>
      </c>
    </row>
    <row r="1194" spans="1:19" x14ac:dyDescent="0.3">
      <c r="A1194" s="4">
        <v>1192</v>
      </c>
      <c r="B1194" s="2" t="s">
        <v>25</v>
      </c>
      <c r="C1194" s="3">
        <v>44848</v>
      </c>
      <c r="D1194" s="3" t="str">
        <f>TEXT(Table1[[#This Row],[Admission Date]],"MMMM")</f>
        <v>October</v>
      </c>
      <c r="E1194" s="3">
        <v>44849</v>
      </c>
      <c r="F1194" s="3">
        <v>44849</v>
      </c>
      <c r="G1194" s="2">
        <v>22027142</v>
      </c>
      <c r="H1194" s="2">
        <v>2235982</v>
      </c>
      <c r="I1194" s="2">
        <v>1001802809</v>
      </c>
      <c r="J1194" s="2" t="s">
        <v>630</v>
      </c>
      <c r="K1194" s="10">
        <v>13729</v>
      </c>
      <c r="L1194" s="10">
        <v>1866</v>
      </c>
      <c r="M1194" s="10">
        <v>11863</v>
      </c>
      <c r="N1194" s="10">
        <v>11863</v>
      </c>
      <c r="O1194" s="10">
        <f>Table1[[#This Row],[NET Amount]]-Table1[[#This Row],[Paid Amount]]</f>
        <v>0</v>
      </c>
      <c r="P1194" s="2" t="s">
        <v>18</v>
      </c>
      <c r="Q1194" s="2" t="s">
        <v>24</v>
      </c>
      <c r="R1194" s="16">
        <f>(Table1[[#This Row],[NET Amount]]-Table1[[#This Row],[Total Outstanding Amount]])/Table1[[#This Row],[NET Amount]]</f>
        <v>1</v>
      </c>
      <c r="S1194" s="2" t="s">
        <v>37</v>
      </c>
    </row>
    <row r="1195" spans="1:19" x14ac:dyDescent="0.3">
      <c r="A1195" s="4">
        <v>1193</v>
      </c>
      <c r="B1195" s="2" t="s">
        <v>559</v>
      </c>
      <c r="C1195" s="3">
        <v>44849</v>
      </c>
      <c r="D1195" s="3" t="str">
        <f>TEXT(Table1[[#This Row],[Admission Date]],"MMMM")</f>
        <v>October</v>
      </c>
      <c r="E1195" s="3">
        <v>44849</v>
      </c>
      <c r="F1195" s="3">
        <v>44849</v>
      </c>
      <c r="G1195" s="2">
        <v>22027229</v>
      </c>
      <c r="H1195" s="2">
        <v>2236096</v>
      </c>
      <c r="I1195" s="2">
        <v>10013542753</v>
      </c>
      <c r="J1195" s="2" t="s">
        <v>943</v>
      </c>
      <c r="K1195" s="10">
        <v>24153</v>
      </c>
      <c r="L1195" s="10">
        <v>0</v>
      </c>
      <c r="M1195" s="10">
        <v>24153</v>
      </c>
      <c r="N1195" s="10">
        <v>2212</v>
      </c>
      <c r="O1195" s="10">
        <f>Table1[[#This Row],[NET Amount]]-Table1[[#This Row],[Paid Amount]]</f>
        <v>21941</v>
      </c>
      <c r="P1195" s="2" t="s">
        <v>23</v>
      </c>
      <c r="Q1195" s="2" t="s">
        <v>54</v>
      </c>
      <c r="R1195" s="16">
        <f>(Table1[[#This Row],[NET Amount]]-Table1[[#This Row],[Total Outstanding Amount]])/Table1[[#This Row],[NET Amount]]</f>
        <v>9.1582826149960661E-2</v>
      </c>
      <c r="S1195" s="2" t="s">
        <v>27</v>
      </c>
    </row>
    <row r="1196" spans="1:19" x14ac:dyDescent="0.3">
      <c r="A1196" s="4">
        <v>1194</v>
      </c>
      <c r="B1196" s="2" t="s">
        <v>155</v>
      </c>
      <c r="C1196" s="3">
        <v>44851</v>
      </c>
      <c r="D1196" s="3" t="str">
        <f>TEXT(Table1[[#This Row],[Admission Date]],"MMMM")</f>
        <v>October</v>
      </c>
      <c r="E1196" s="3">
        <v>44851</v>
      </c>
      <c r="F1196" s="3">
        <v>44851</v>
      </c>
      <c r="G1196" s="2">
        <v>22027359</v>
      </c>
      <c r="H1196" s="2">
        <v>2236278</v>
      </c>
      <c r="I1196" s="2">
        <v>10013269857</v>
      </c>
      <c r="J1196" s="2" t="s">
        <v>175</v>
      </c>
      <c r="K1196" s="10">
        <v>1610</v>
      </c>
      <c r="L1196" s="10">
        <v>0</v>
      </c>
      <c r="M1196" s="10">
        <v>1610</v>
      </c>
      <c r="N1196" s="10">
        <v>1610</v>
      </c>
      <c r="O1196" s="10">
        <f>Table1[[#This Row],[NET Amount]]-Table1[[#This Row],[Paid Amount]]</f>
        <v>0</v>
      </c>
      <c r="P1196" s="2" t="s">
        <v>18</v>
      </c>
      <c r="Q1196" s="2" t="s">
        <v>54</v>
      </c>
      <c r="R1196" s="16">
        <f>(Table1[[#This Row],[NET Amount]]-Table1[[#This Row],[Total Outstanding Amount]])/Table1[[#This Row],[NET Amount]]</f>
        <v>1</v>
      </c>
      <c r="S1196" s="2" t="s">
        <v>97</v>
      </c>
    </row>
    <row r="1197" spans="1:19" x14ac:dyDescent="0.3">
      <c r="A1197" s="4">
        <v>1195</v>
      </c>
      <c r="B1197" s="2" t="s">
        <v>25</v>
      </c>
      <c r="C1197" s="3">
        <v>44851</v>
      </c>
      <c r="D1197" s="3" t="str">
        <f>TEXT(Table1[[#This Row],[Admission Date]],"MMMM")</f>
        <v>October</v>
      </c>
      <c r="E1197" s="3">
        <v>44851</v>
      </c>
      <c r="F1197" s="3">
        <v>44851</v>
      </c>
      <c r="G1197" s="2">
        <v>22027371</v>
      </c>
      <c r="H1197" s="2">
        <v>2236293</v>
      </c>
      <c r="I1197" s="2">
        <v>10013424453</v>
      </c>
      <c r="J1197" s="2" t="s">
        <v>333</v>
      </c>
      <c r="K1197" s="10">
        <v>4990</v>
      </c>
      <c r="L1197" s="10">
        <v>413</v>
      </c>
      <c r="M1197" s="10">
        <v>4577</v>
      </c>
      <c r="N1197" s="10">
        <v>4577</v>
      </c>
      <c r="O1197" s="10">
        <f>Table1[[#This Row],[NET Amount]]-Table1[[#This Row],[Paid Amount]]</f>
        <v>0</v>
      </c>
      <c r="P1197" s="2" t="s">
        <v>18</v>
      </c>
      <c r="Q1197" s="2" t="s">
        <v>54</v>
      </c>
      <c r="R1197" s="16">
        <f>(Table1[[#This Row],[NET Amount]]-Table1[[#This Row],[Total Outstanding Amount]])/Table1[[#This Row],[NET Amount]]</f>
        <v>1</v>
      </c>
      <c r="S1197" s="2" t="s">
        <v>97</v>
      </c>
    </row>
    <row r="1198" spans="1:19" x14ac:dyDescent="0.3">
      <c r="A1198" s="4">
        <v>1196</v>
      </c>
      <c r="B1198" s="2" t="s">
        <v>25</v>
      </c>
      <c r="C1198" s="3">
        <v>44851</v>
      </c>
      <c r="D1198" s="3" t="str">
        <f>TEXT(Table1[[#This Row],[Admission Date]],"MMMM")</f>
        <v>October</v>
      </c>
      <c r="E1198" s="3">
        <v>44851</v>
      </c>
      <c r="F1198" s="3">
        <v>44851</v>
      </c>
      <c r="G1198" s="2">
        <v>22027434</v>
      </c>
      <c r="H1198" s="2">
        <v>2236329</v>
      </c>
      <c r="I1198" s="2">
        <v>10013513064</v>
      </c>
      <c r="J1198" s="2" t="s">
        <v>563</v>
      </c>
      <c r="K1198" s="10">
        <v>2844</v>
      </c>
      <c r="L1198" s="10">
        <v>286</v>
      </c>
      <c r="M1198" s="10">
        <v>2558</v>
      </c>
      <c r="N1198" s="10">
        <v>2558</v>
      </c>
      <c r="O1198" s="10">
        <f>Table1[[#This Row],[NET Amount]]-Table1[[#This Row],[Paid Amount]]</f>
        <v>0</v>
      </c>
      <c r="P1198" s="2" t="s">
        <v>18</v>
      </c>
      <c r="Q1198" s="2" t="s">
        <v>54</v>
      </c>
      <c r="R1198" s="16">
        <f>(Table1[[#This Row],[NET Amount]]-Table1[[#This Row],[Total Outstanding Amount]])/Table1[[#This Row],[NET Amount]]</f>
        <v>1</v>
      </c>
      <c r="S1198" s="2" t="s">
        <v>97</v>
      </c>
    </row>
    <row r="1199" spans="1:19" x14ac:dyDescent="0.3">
      <c r="A1199" s="4">
        <v>1197</v>
      </c>
      <c r="B1199" s="2" t="s">
        <v>2269</v>
      </c>
      <c r="C1199" s="3">
        <v>44831</v>
      </c>
      <c r="D1199" s="3" t="str">
        <f>TEXT(Table1[[#This Row],[Admission Date]],"MMMM")</f>
        <v>September</v>
      </c>
      <c r="E1199" s="3">
        <v>44841</v>
      </c>
      <c r="F1199" s="3">
        <v>44841</v>
      </c>
      <c r="G1199" s="2">
        <v>22026003</v>
      </c>
      <c r="H1199" s="2">
        <v>2233690</v>
      </c>
      <c r="I1199" s="2">
        <v>1001801120</v>
      </c>
      <c r="J1199" s="2" t="s">
        <v>944</v>
      </c>
      <c r="K1199" s="10">
        <v>63315</v>
      </c>
      <c r="L1199" s="10">
        <v>0</v>
      </c>
      <c r="M1199" s="10">
        <v>63315</v>
      </c>
      <c r="N1199" s="10">
        <v>63315</v>
      </c>
      <c r="O1199" s="10">
        <f>Table1[[#This Row],[NET Amount]]-Table1[[#This Row],[Paid Amount]]</f>
        <v>0</v>
      </c>
      <c r="P1199" s="2" t="s">
        <v>18</v>
      </c>
      <c r="Q1199" s="2" t="s">
        <v>24</v>
      </c>
      <c r="R1199" s="16">
        <f>(Table1[[#This Row],[NET Amount]]-Table1[[#This Row],[Total Outstanding Amount]])/Table1[[#This Row],[NET Amount]]</f>
        <v>1</v>
      </c>
      <c r="S1199" s="2" t="s">
        <v>20</v>
      </c>
    </row>
    <row r="1200" spans="1:19" x14ac:dyDescent="0.3">
      <c r="A1200" s="4">
        <v>1198</v>
      </c>
      <c r="B1200" s="2" t="s">
        <v>139</v>
      </c>
      <c r="C1200" s="3">
        <v>44852</v>
      </c>
      <c r="D1200" s="3" t="str">
        <f>TEXT(Table1[[#This Row],[Admission Date]],"MMMM")</f>
        <v>October</v>
      </c>
      <c r="E1200" s="3">
        <v>44856</v>
      </c>
      <c r="F1200" s="3">
        <v>44856</v>
      </c>
      <c r="G1200" s="2">
        <v>22028165</v>
      </c>
      <c r="H1200" s="2">
        <v>2236563</v>
      </c>
      <c r="I1200" s="2">
        <v>1001016029</v>
      </c>
      <c r="J1200" s="2" t="s">
        <v>945</v>
      </c>
      <c r="K1200" s="10">
        <v>118971</v>
      </c>
      <c r="L1200" s="10">
        <v>0</v>
      </c>
      <c r="M1200" s="10">
        <v>118971</v>
      </c>
      <c r="N1200" s="10">
        <v>7784</v>
      </c>
      <c r="O1200" s="10">
        <f>Table1[[#This Row],[NET Amount]]-Table1[[#This Row],[Paid Amount]]</f>
        <v>111187</v>
      </c>
      <c r="P1200" s="2" t="s">
        <v>23</v>
      </c>
      <c r="Q1200" s="2" t="s">
        <v>42</v>
      </c>
      <c r="R1200" s="16">
        <f>(Table1[[#This Row],[NET Amount]]-Table1[[#This Row],[Total Outstanding Amount]])/Table1[[#This Row],[NET Amount]]</f>
        <v>6.5427709273688545E-2</v>
      </c>
      <c r="S1200" s="2" t="s">
        <v>37</v>
      </c>
    </row>
    <row r="1201" spans="1:19" x14ac:dyDescent="0.3">
      <c r="A1201" s="4">
        <v>1199</v>
      </c>
      <c r="B1201" s="2" t="s">
        <v>2244</v>
      </c>
      <c r="C1201" s="3">
        <v>44859</v>
      </c>
      <c r="D1201" s="3" t="str">
        <f>TEXT(Table1[[#This Row],[Admission Date]],"MMMM")</f>
        <v>October</v>
      </c>
      <c r="E1201" s="3">
        <v>44859</v>
      </c>
      <c r="F1201" s="3">
        <v>44859</v>
      </c>
      <c r="G1201" s="2">
        <v>22028544</v>
      </c>
      <c r="H1201" s="2">
        <v>2237376</v>
      </c>
      <c r="I1201" s="2">
        <v>1001783673</v>
      </c>
      <c r="J1201" s="2" t="s">
        <v>647</v>
      </c>
      <c r="K1201" s="10">
        <v>1610</v>
      </c>
      <c r="L1201" s="10">
        <v>0</v>
      </c>
      <c r="M1201" s="10">
        <v>1610</v>
      </c>
      <c r="N1201" s="10">
        <v>1610</v>
      </c>
      <c r="O1201" s="10">
        <f>Table1[[#This Row],[NET Amount]]-Table1[[#This Row],[Paid Amount]]</f>
        <v>0</v>
      </c>
      <c r="P1201" s="2" t="s">
        <v>18</v>
      </c>
      <c r="Q1201" s="2" t="s">
        <v>54</v>
      </c>
      <c r="R1201" s="16">
        <f>(Table1[[#This Row],[NET Amount]]-Table1[[#This Row],[Total Outstanding Amount]])/Table1[[#This Row],[NET Amount]]</f>
        <v>1</v>
      </c>
      <c r="S1201" s="2" t="s">
        <v>97</v>
      </c>
    </row>
    <row r="1202" spans="1:19" x14ac:dyDescent="0.3">
      <c r="A1202" s="4">
        <v>1200</v>
      </c>
      <c r="B1202" s="2" t="s">
        <v>2244</v>
      </c>
      <c r="C1202" s="3">
        <v>44851</v>
      </c>
      <c r="D1202" s="3" t="str">
        <f>TEXT(Table1[[#This Row],[Admission Date]],"MMMM")</f>
        <v>October</v>
      </c>
      <c r="E1202" s="3">
        <v>44851</v>
      </c>
      <c r="F1202" s="3">
        <v>44851</v>
      </c>
      <c r="G1202" s="2">
        <v>22027483</v>
      </c>
      <c r="H1202" s="2">
        <v>2236396</v>
      </c>
      <c r="I1202" s="2">
        <v>1001758739</v>
      </c>
      <c r="J1202" s="2" t="s">
        <v>233</v>
      </c>
      <c r="K1202" s="10">
        <v>2560</v>
      </c>
      <c r="L1202" s="10">
        <v>0</v>
      </c>
      <c r="M1202" s="10">
        <v>2560</v>
      </c>
      <c r="N1202" s="10">
        <v>2560</v>
      </c>
      <c r="O1202" s="10">
        <f>Table1[[#This Row],[NET Amount]]-Table1[[#This Row],[Paid Amount]]</f>
        <v>0</v>
      </c>
      <c r="P1202" s="2" t="s">
        <v>18</v>
      </c>
      <c r="Q1202" s="2" t="s">
        <v>54</v>
      </c>
      <c r="R1202" s="16">
        <f>(Table1[[#This Row],[NET Amount]]-Table1[[#This Row],[Total Outstanding Amount]])/Table1[[#This Row],[NET Amount]]</f>
        <v>1</v>
      </c>
      <c r="S1202" s="2" t="s">
        <v>97</v>
      </c>
    </row>
    <row r="1203" spans="1:19" x14ac:dyDescent="0.3">
      <c r="A1203" s="4">
        <v>1201</v>
      </c>
      <c r="B1203" s="2" t="s">
        <v>25</v>
      </c>
      <c r="C1203" s="3">
        <v>44854</v>
      </c>
      <c r="D1203" s="3" t="str">
        <f>TEXT(Table1[[#This Row],[Admission Date]],"MMMM")</f>
        <v>October</v>
      </c>
      <c r="E1203" s="3">
        <v>44854</v>
      </c>
      <c r="F1203" s="3">
        <v>44854</v>
      </c>
      <c r="G1203" s="2">
        <v>22027897</v>
      </c>
      <c r="H1203" s="2">
        <v>2236776</v>
      </c>
      <c r="I1203" s="2">
        <v>1000919979</v>
      </c>
      <c r="J1203" s="2" t="s">
        <v>319</v>
      </c>
      <c r="K1203" s="10">
        <v>2844</v>
      </c>
      <c r="L1203" s="10">
        <v>286</v>
      </c>
      <c r="M1203" s="10">
        <v>2558</v>
      </c>
      <c r="N1203" s="10">
        <v>2558</v>
      </c>
      <c r="O1203" s="10">
        <f>Table1[[#This Row],[NET Amount]]-Table1[[#This Row],[Paid Amount]]</f>
        <v>0</v>
      </c>
      <c r="P1203" s="2" t="s">
        <v>18</v>
      </c>
      <c r="Q1203" s="2" t="s">
        <v>54</v>
      </c>
      <c r="R1203" s="16">
        <f>(Table1[[#This Row],[NET Amount]]-Table1[[#This Row],[Total Outstanding Amount]])/Table1[[#This Row],[NET Amount]]</f>
        <v>1</v>
      </c>
      <c r="S1203" s="2" t="s">
        <v>97</v>
      </c>
    </row>
    <row r="1204" spans="1:19" x14ac:dyDescent="0.3">
      <c r="A1204" s="4">
        <v>1202</v>
      </c>
      <c r="B1204" s="2" t="s">
        <v>25</v>
      </c>
      <c r="C1204" s="3">
        <v>44852</v>
      </c>
      <c r="D1204" s="3" t="str">
        <f>TEXT(Table1[[#This Row],[Admission Date]],"MMMM")</f>
        <v>October</v>
      </c>
      <c r="E1204" s="3">
        <v>44854</v>
      </c>
      <c r="F1204" s="3">
        <v>44854</v>
      </c>
      <c r="G1204" s="2">
        <v>22027862</v>
      </c>
      <c r="H1204" s="2">
        <v>2236477</v>
      </c>
      <c r="I1204" s="2">
        <v>1001805043</v>
      </c>
      <c r="J1204" s="2" t="s">
        <v>946</v>
      </c>
      <c r="K1204" s="10">
        <v>12137</v>
      </c>
      <c r="L1204" s="10">
        <v>1483</v>
      </c>
      <c r="M1204" s="10">
        <v>10654</v>
      </c>
      <c r="N1204" s="10">
        <v>10654</v>
      </c>
      <c r="O1204" s="10">
        <f>Table1[[#This Row],[NET Amount]]-Table1[[#This Row],[Paid Amount]]</f>
        <v>0</v>
      </c>
      <c r="P1204" s="2" t="s">
        <v>18</v>
      </c>
      <c r="Q1204" s="2" t="s">
        <v>24</v>
      </c>
      <c r="R1204" s="16">
        <f>(Table1[[#This Row],[NET Amount]]-Table1[[#This Row],[Total Outstanding Amount]])/Table1[[#This Row],[NET Amount]]</f>
        <v>1</v>
      </c>
      <c r="S1204" s="2" t="s">
        <v>37</v>
      </c>
    </row>
    <row r="1205" spans="1:19" x14ac:dyDescent="0.3">
      <c r="A1205" s="4">
        <v>1203</v>
      </c>
      <c r="B1205" s="2" t="s">
        <v>72</v>
      </c>
      <c r="C1205" s="3">
        <v>44846</v>
      </c>
      <c r="D1205" s="3" t="str">
        <f>TEXT(Table1[[#This Row],[Admission Date]],"MMMM")</f>
        <v>October</v>
      </c>
      <c r="E1205" s="3">
        <v>44849</v>
      </c>
      <c r="F1205" s="3">
        <v>44849</v>
      </c>
      <c r="G1205" s="2">
        <v>22027165</v>
      </c>
      <c r="H1205" s="2">
        <v>2235704</v>
      </c>
      <c r="I1205" s="2">
        <v>10013542545</v>
      </c>
      <c r="J1205" s="2" t="s">
        <v>947</v>
      </c>
      <c r="K1205" s="10">
        <v>132950</v>
      </c>
      <c r="L1205" s="10">
        <v>17808</v>
      </c>
      <c r="M1205" s="10">
        <v>115142</v>
      </c>
      <c r="N1205" s="10">
        <v>12680</v>
      </c>
      <c r="O1205" s="10">
        <f>Table1[[#This Row],[NET Amount]]-Table1[[#This Row],[Paid Amount]]</f>
        <v>102462</v>
      </c>
      <c r="P1205" s="2" t="s">
        <v>23</v>
      </c>
      <c r="Q1205" s="2" t="s">
        <v>42</v>
      </c>
      <c r="R1205" s="16">
        <f>(Table1[[#This Row],[NET Amount]]-Table1[[#This Row],[Total Outstanding Amount]])/Table1[[#This Row],[NET Amount]]</f>
        <v>0.11012488926716577</v>
      </c>
      <c r="S1205" s="2" t="s">
        <v>95</v>
      </c>
    </row>
    <row r="1206" spans="1:19" x14ac:dyDescent="0.3">
      <c r="A1206" s="4">
        <v>1204</v>
      </c>
      <c r="B1206" s="2" t="s">
        <v>25</v>
      </c>
      <c r="C1206" s="3">
        <v>44842</v>
      </c>
      <c r="D1206" s="3" t="str">
        <f>TEXT(Table1[[#This Row],[Admission Date]],"MMMM")</f>
        <v>October</v>
      </c>
      <c r="E1206" s="3">
        <v>44842</v>
      </c>
      <c r="F1206" s="3">
        <v>44842</v>
      </c>
      <c r="G1206" s="2">
        <v>22026091</v>
      </c>
      <c r="H1206" s="2">
        <v>2235146</v>
      </c>
      <c r="I1206" s="2">
        <v>1000891450</v>
      </c>
      <c r="J1206" s="2" t="s">
        <v>337</v>
      </c>
      <c r="K1206" s="10">
        <v>3488</v>
      </c>
      <c r="L1206" s="10">
        <v>1510</v>
      </c>
      <c r="M1206" s="10">
        <v>1978</v>
      </c>
      <c r="N1206" s="10">
        <v>1978</v>
      </c>
      <c r="O1206" s="10">
        <f>Table1[[#This Row],[NET Amount]]-Table1[[#This Row],[Paid Amount]]</f>
        <v>0</v>
      </c>
      <c r="P1206" s="2" t="s">
        <v>18</v>
      </c>
      <c r="Q1206" s="2" t="s">
        <v>54</v>
      </c>
      <c r="R1206" s="16">
        <f>(Table1[[#This Row],[NET Amount]]-Table1[[#This Row],[Total Outstanding Amount]])/Table1[[#This Row],[NET Amount]]</f>
        <v>1</v>
      </c>
      <c r="S1206" s="2" t="s">
        <v>97</v>
      </c>
    </row>
    <row r="1207" spans="1:19" x14ac:dyDescent="0.3">
      <c r="A1207" s="4">
        <v>1205</v>
      </c>
      <c r="B1207" s="2" t="s">
        <v>2254</v>
      </c>
      <c r="C1207" s="3">
        <v>44842</v>
      </c>
      <c r="D1207" s="3" t="str">
        <f>TEXT(Table1[[#This Row],[Admission Date]],"MMMM")</f>
        <v>October</v>
      </c>
      <c r="E1207" s="3">
        <v>44846</v>
      </c>
      <c r="F1207" s="3">
        <v>44846</v>
      </c>
      <c r="G1207" s="2">
        <v>22026712</v>
      </c>
      <c r="H1207" s="2">
        <v>2235166</v>
      </c>
      <c r="I1207" s="2">
        <v>1001803251</v>
      </c>
      <c r="J1207" s="2" t="s">
        <v>948</v>
      </c>
      <c r="K1207" s="10">
        <v>43819</v>
      </c>
      <c r="L1207" s="10">
        <v>7055</v>
      </c>
      <c r="M1207" s="10">
        <v>36764</v>
      </c>
      <c r="N1207" s="10">
        <v>3300</v>
      </c>
      <c r="O1207" s="10">
        <f>Table1[[#This Row],[NET Amount]]-Table1[[#This Row],[Paid Amount]]</f>
        <v>33464</v>
      </c>
      <c r="P1207" s="2" t="s">
        <v>23</v>
      </c>
      <c r="Q1207" s="2" t="s">
        <v>52</v>
      </c>
      <c r="R1207" s="16">
        <f>(Table1[[#This Row],[NET Amount]]-Table1[[#This Row],[Total Outstanding Amount]])/Table1[[#This Row],[NET Amount]]</f>
        <v>8.9761723425089757E-2</v>
      </c>
      <c r="S1207" s="2" t="s">
        <v>37</v>
      </c>
    </row>
    <row r="1208" spans="1:19" x14ac:dyDescent="0.3">
      <c r="A1208" s="4">
        <v>1206</v>
      </c>
      <c r="B1208" s="2" t="s">
        <v>25</v>
      </c>
      <c r="C1208" s="3">
        <v>44834</v>
      </c>
      <c r="D1208" s="3" t="str">
        <f>TEXT(Table1[[#This Row],[Admission Date]],"MMMM")</f>
        <v>September</v>
      </c>
      <c r="E1208" s="3">
        <v>44836</v>
      </c>
      <c r="F1208" s="3">
        <v>44836</v>
      </c>
      <c r="G1208" s="2">
        <v>22025285</v>
      </c>
      <c r="H1208" s="2">
        <v>2234097</v>
      </c>
      <c r="I1208" s="2">
        <v>10013541032</v>
      </c>
      <c r="J1208" s="2" t="s">
        <v>539</v>
      </c>
      <c r="K1208" s="10">
        <v>125234</v>
      </c>
      <c r="L1208" s="10">
        <v>16736</v>
      </c>
      <c r="M1208" s="10">
        <v>108498</v>
      </c>
      <c r="N1208" s="10">
        <v>108498</v>
      </c>
      <c r="O1208" s="10">
        <f>Table1[[#This Row],[NET Amount]]-Table1[[#This Row],[Paid Amount]]</f>
        <v>0</v>
      </c>
      <c r="P1208" s="2" t="s">
        <v>18</v>
      </c>
      <c r="Q1208" s="2" t="s">
        <v>24</v>
      </c>
      <c r="R1208" s="16">
        <f>(Table1[[#This Row],[NET Amount]]-Table1[[#This Row],[Total Outstanding Amount]])/Table1[[#This Row],[NET Amount]]</f>
        <v>1</v>
      </c>
      <c r="S1208" s="2" t="s">
        <v>39</v>
      </c>
    </row>
    <row r="1209" spans="1:19" x14ac:dyDescent="0.3">
      <c r="A1209" s="4">
        <v>1207</v>
      </c>
      <c r="B1209" s="2" t="s">
        <v>25</v>
      </c>
      <c r="C1209" s="3">
        <v>44840</v>
      </c>
      <c r="D1209" s="3" t="str">
        <f>TEXT(Table1[[#This Row],[Admission Date]],"MMMM")</f>
        <v>October</v>
      </c>
      <c r="E1209" s="3">
        <v>44840</v>
      </c>
      <c r="F1209" s="3">
        <v>44840</v>
      </c>
      <c r="G1209" s="2">
        <v>22025909</v>
      </c>
      <c r="H1209" s="2">
        <v>2234923</v>
      </c>
      <c r="I1209" s="2">
        <v>10013440543</v>
      </c>
      <c r="J1209" s="2" t="s">
        <v>96</v>
      </c>
      <c r="K1209" s="10">
        <v>3288</v>
      </c>
      <c r="L1209" s="10">
        <v>3288</v>
      </c>
      <c r="M1209" s="10">
        <v>0</v>
      </c>
      <c r="N1209" s="10">
        <v>0</v>
      </c>
      <c r="O1209" s="10">
        <f>Table1[[#This Row],[NET Amount]]-Table1[[#This Row],[Paid Amount]]</f>
        <v>0</v>
      </c>
      <c r="P1209" s="2" t="s">
        <v>18</v>
      </c>
      <c r="Q1209" s="2" t="s">
        <v>90</v>
      </c>
      <c r="R1209" s="16" t="e">
        <f>(Table1[[#This Row],[NET Amount]]-Table1[[#This Row],[Total Outstanding Amount]])/Table1[[#This Row],[NET Amount]]</f>
        <v>#DIV/0!</v>
      </c>
      <c r="S1209" s="2" t="s">
        <v>97</v>
      </c>
    </row>
    <row r="1210" spans="1:19" x14ac:dyDescent="0.3">
      <c r="A1210" s="4">
        <v>1208</v>
      </c>
      <c r="B1210" s="2" t="s">
        <v>25</v>
      </c>
      <c r="C1210" s="3">
        <v>44830</v>
      </c>
      <c r="D1210" s="3" t="str">
        <f>TEXT(Table1[[#This Row],[Admission Date]],"MMMM")</f>
        <v>September</v>
      </c>
      <c r="E1210" s="3">
        <v>44841</v>
      </c>
      <c r="F1210" s="3">
        <v>44841</v>
      </c>
      <c r="G1210" s="2">
        <v>22025992</v>
      </c>
      <c r="H1210" s="2">
        <v>2233544</v>
      </c>
      <c r="I1210" s="2">
        <v>10013540355</v>
      </c>
      <c r="J1210" s="2" t="s">
        <v>949</v>
      </c>
      <c r="K1210" s="10">
        <v>211410</v>
      </c>
      <c r="L1210" s="10">
        <v>211410</v>
      </c>
      <c r="M1210" s="10">
        <v>0</v>
      </c>
      <c r="N1210" s="10">
        <v>0</v>
      </c>
      <c r="O1210" s="10">
        <f>Table1[[#This Row],[NET Amount]]-Table1[[#This Row],[Paid Amount]]</f>
        <v>0</v>
      </c>
      <c r="P1210" s="2" t="s">
        <v>18</v>
      </c>
      <c r="Q1210" s="2" t="s">
        <v>90</v>
      </c>
      <c r="R1210" s="16" t="e">
        <f>(Table1[[#This Row],[NET Amount]]-Table1[[#This Row],[Total Outstanding Amount]])/Table1[[#This Row],[NET Amount]]</f>
        <v>#DIV/0!</v>
      </c>
      <c r="S1210" s="2" t="s">
        <v>20</v>
      </c>
    </row>
    <row r="1211" spans="1:19" x14ac:dyDescent="0.3">
      <c r="A1211" s="4">
        <v>1209</v>
      </c>
      <c r="B1211" s="2" t="s">
        <v>2275</v>
      </c>
      <c r="C1211" s="3">
        <v>44832</v>
      </c>
      <c r="D1211" s="3" t="str">
        <f>TEXT(Table1[[#This Row],[Admission Date]],"MMMM")</f>
        <v>September</v>
      </c>
      <c r="E1211" s="3">
        <v>44835</v>
      </c>
      <c r="F1211" s="3">
        <v>44835</v>
      </c>
      <c r="G1211" s="2">
        <v>22025138</v>
      </c>
      <c r="H1211" s="2">
        <v>2233844</v>
      </c>
      <c r="I1211" s="2">
        <v>1001737348</v>
      </c>
      <c r="J1211" s="2" t="s">
        <v>950</v>
      </c>
      <c r="K1211" s="10">
        <v>44757</v>
      </c>
      <c r="L1211" s="10">
        <v>2760</v>
      </c>
      <c r="M1211" s="10">
        <v>41997</v>
      </c>
      <c r="N1211" s="10">
        <v>2000</v>
      </c>
      <c r="O1211" s="10">
        <f>Table1[[#This Row],[NET Amount]]-Table1[[#This Row],[Paid Amount]]</f>
        <v>39997</v>
      </c>
      <c r="P1211" s="2" t="s">
        <v>23</v>
      </c>
      <c r="Q1211" s="2" t="s">
        <v>24</v>
      </c>
      <c r="R1211" s="16">
        <f>(Table1[[#This Row],[NET Amount]]-Table1[[#This Row],[Total Outstanding Amount]])/Table1[[#This Row],[NET Amount]]</f>
        <v>4.7622449222563513E-2</v>
      </c>
      <c r="S1211" s="2" t="s">
        <v>77</v>
      </c>
    </row>
    <row r="1212" spans="1:19" x14ac:dyDescent="0.3">
      <c r="A1212" s="4">
        <v>1210</v>
      </c>
      <c r="B1212" s="2" t="s">
        <v>25</v>
      </c>
      <c r="C1212" s="3">
        <v>44840</v>
      </c>
      <c r="D1212" s="3" t="str">
        <f>TEXT(Table1[[#This Row],[Admission Date]],"MMMM")</f>
        <v>October</v>
      </c>
      <c r="E1212" s="3">
        <v>44841</v>
      </c>
      <c r="F1212" s="3">
        <v>44841</v>
      </c>
      <c r="G1212" s="2">
        <v>22026000</v>
      </c>
      <c r="H1212" s="2">
        <v>2234842</v>
      </c>
      <c r="I1212" s="2">
        <v>10013540775</v>
      </c>
      <c r="J1212" s="2" t="s">
        <v>951</v>
      </c>
      <c r="K1212" s="10">
        <v>44989</v>
      </c>
      <c r="L1212" s="10">
        <v>44989</v>
      </c>
      <c r="M1212" s="10">
        <v>0</v>
      </c>
      <c r="N1212" s="10">
        <v>0</v>
      </c>
      <c r="O1212" s="10">
        <f>Table1[[#This Row],[NET Amount]]-Table1[[#This Row],[Paid Amount]]</f>
        <v>0</v>
      </c>
      <c r="P1212" s="2" t="s">
        <v>18</v>
      </c>
      <c r="Q1212" s="2" t="s">
        <v>90</v>
      </c>
      <c r="R1212" s="16" t="e">
        <f>(Table1[[#This Row],[NET Amount]]-Table1[[#This Row],[Total Outstanding Amount]])/Table1[[#This Row],[NET Amount]]</f>
        <v>#DIV/0!</v>
      </c>
      <c r="S1212" s="2" t="s">
        <v>27</v>
      </c>
    </row>
    <row r="1213" spans="1:19" x14ac:dyDescent="0.3">
      <c r="A1213" s="4">
        <v>1211</v>
      </c>
      <c r="B1213" s="2" t="s">
        <v>25</v>
      </c>
      <c r="C1213" s="3">
        <v>44848</v>
      </c>
      <c r="D1213" s="3" t="str">
        <f>TEXT(Table1[[#This Row],[Admission Date]],"MMMM")</f>
        <v>October</v>
      </c>
      <c r="E1213" s="3">
        <v>44851</v>
      </c>
      <c r="F1213" s="3">
        <v>44851</v>
      </c>
      <c r="G1213" s="2">
        <v>22027376</v>
      </c>
      <c r="H1213" s="2">
        <v>2235976</v>
      </c>
      <c r="I1213" s="2">
        <v>10013543004</v>
      </c>
      <c r="J1213" s="2" t="s">
        <v>952</v>
      </c>
      <c r="K1213" s="10">
        <v>52463</v>
      </c>
      <c r="L1213" s="10">
        <v>20717</v>
      </c>
      <c r="M1213" s="10">
        <v>31745</v>
      </c>
      <c r="N1213" s="10">
        <v>31745</v>
      </c>
      <c r="O1213" s="10">
        <f>Table1[[#This Row],[NET Amount]]-Table1[[#This Row],[Paid Amount]]</f>
        <v>0</v>
      </c>
      <c r="P1213" s="2" t="s">
        <v>18</v>
      </c>
      <c r="Q1213" s="2" t="s">
        <v>69</v>
      </c>
      <c r="R1213" s="16">
        <f>(Table1[[#This Row],[NET Amount]]-Table1[[#This Row],[Total Outstanding Amount]])/Table1[[#This Row],[NET Amount]]</f>
        <v>1</v>
      </c>
      <c r="S1213" s="2" t="s">
        <v>20</v>
      </c>
    </row>
    <row r="1214" spans="1:19" x14ac:dyDescent="0.3">
      <c r="A1214" s="4">
        <v>1212</v>
      </c>
      <c r="B1214" s="2" t="s">
        <v>25</v>
      </c>
      <c r="C1214" s="3">
        <v>44855</v>
      </c>
      <c r="D1214" s="3" t="str">
        <f>TEXT(Table1[[#This Row],[Admission Date]],"MMMM")</f>
        <v>October</v>
      </c>
      <c r="E1214" s="3">
        <v>44859</v>
      </c>
      <c r="F1214" s="3">
        <v>44859</v>
      </c>
      <c r="G1214" s="2">
        <v>22028491</v>
      </c>
      <c r="H1214" s="2">
        <v>2236856</v>
      </c>
      <c r="I1214" s="2">
        <v>10013543968</v>
      </c>
      <c r="J1214" s="2" t="s">
        <v>953</v>
      </c>
      <c r="K1214" s="10">
        <v>133919</v>
      </c>
      <c r="L1214" s="10">
        <v>16691</v>
      </c>
      <c r="M1214" s="10">
        <v>117228</v>
      </c>
      <c r="N1214" s="10">
        <v>117228</v>
      </c>
      <c r="O1214" s="10">
        <f>Table1[[#This Row],[NET Amount]]-Table1[[#This Row],[Paid Amount]]</f>
        <v>0</v>
      </c>
      <c r="P1214" s="2" t="s">
        <v>18</v>
      </c>
      <c r="Q1214" s="2" t="s">
        <v>30</v>
      </c>
      <c r="R1214" s="16">
        <f>(Table1[[#This Row],[NET Amount]]-Table1[[#This Row],[Total Outstanding Amount]])/Table1[[#This Row],[NET Amount]]</f>
        <v>1</v>
      </c>
      <c r="S1214" s="2" t="s">
        <v>20</v>
      </c>
    </row>
    <row r="1215" spans="1:19" x14ac:dyDescent="0.3">
      <c r="A1215" s="4">
        <v>1213</v>
      </c>
      <c r="B1215" s="2" t="s">
        <v>25</v>
      </c>
      <c r="C1215" s="3">
        <v>44854</v>
      </c>
      <c r="D1215" s="3" t="str">
        <f>TEXT(Table1[[#This Row],[Admission Date]],"MMMM")</f>
        <v>October</v>
      </c>
      <c r="E1215" s="3">
        <v>44855</v>
      </c>
      <c r="F1215" s="3">
        <v>44855</v>
      </c>
      <c r="G1215" s="2">
        <v>22028011</v>
      </c>
      <c r="H1215" s="2">
        <v>2236761</v>
      </c>
      <c r="I1215" s="2">
        <v>1001000368</v>
      </c>
      <c r="J1215" s="2" t="s">
        <v>954</v>
      </c>
      <c r="K1215" s="10">
        <v>37495</v>
      </c>
      <c r="L1215" s="10">
        <v>12141</v>
      </c>
      <c r="M1215" s="10">
        <v>25354</v>
      </c>
      <c r="N1215" s="10">
        <v>25354</v>
      </c>
      <c r="O1215" s="10">
        <f>Table1[[#This Row],[NET Amount]]-Table1[[#This Row],[Paid Amount]]</f>
        <v>0</v>
      </c>
      <c r="P1215" s="2" t="s">
        <v>18</v>
      </c>
      <c r="Q1215" s="2" t="s">
        <v>69</v>
      </c>
      <c r="R1215" s="16">
        <f>(Table1[[#This Row],[NET Amount]]-Table1[[#This Row],[Total Outstanding Amount]])/Table1[[#This Row],[NET Amount]]</f>
        <v>1</v>
      </c>
      <c r="S1215" s="2" t="s">
        <v>27</v>
      </c>
    </row>
    <row r="1216" spans="1:19" x14ac:dyDescent="0.3">
      <c r="A1216" s="4">
        <v>1214</v>
      </c>
      <c r="B1216" s="2" t="s">
        <v>75</v>
      </c>
      <c r="C1216" s="3">
        <v>44853</v>
      </c>
      <c r="D1216" s="3" t="str">
        <f>TEXT(Table1[[#This Row],[Admission Date]],"MMMM")</f>
        <v>October</v>
      </c>
      <c r="E1216" s="3">
        <v>44855</v>
      </c>
      <c r="F1216" s="3">
        <v>44855</v>
      </c>
      <c r="G1216" s="2">
        <v>22028045</v>
      </c>
      <c r="H1216" s="2">
        <v>2236702</v>
      </c>
      <c r="I1216" s="2">
        <v>10013543791</v>
      </c>
      <c r="J1216" s="2" t="s">
        <v>955</v>
      </c>
      <c r="K1216" s="10">
        <v>89170</v>
      </c>
      <c r="L1216" s="10">
        <v>0</v>
      </c>
      <c r="M1216" s="10">
        <v>89170</v>
      </c>
      <c r="N1216" s="10">
        <v>9261</v>
      </c>
      <c r="O1216" s="10">
        <f>Table1[[#This Row],[NET Amount]]-Table1[[#This Row],[Paid Amount]]</f>
        <v>79909</v>
      </c>
      <c r="P1216" s="2" t="s">
        <v>23</v>
      </c>
      <c r="Q1216" s="2" t="s">
        <v>24</v>
      </c>
      <c r="R1216" s="16">
        <f>(Table1[[#This Row],[NET Amount]]-Table1[[#This Row],[Total Outstanding Amount]])/Table1[[#This Row],[NET Amount]]</f>
        <v>0.10385779970842211</v>
      </c>
      <c r="S1216" s="2" t="s">
        <v>20</v>
      </c>
    </row>
    <row r="1217" spans="1:19" x14ac:dyDescent="0.3">
      <c r="A1217" s="4">
        <v>1215</v>
      </c>
      <c r="B1217" s="2" t="s">
        <v>163</v>
      </c>
      <c r="C1217" s="3">
        <v>44855</v>
      </c>
      <c r="D1217" s="3" t="str">
        <f>TEXT(Table1[[#This Row],[Admission Date]],"MMMM")</f>
        <v>October</v>
      </c>
      <c r="E1217" s="3">
        <v>44855</v>
      </c>
      <c r="F1217" s="3">
        <v>44855</v>
      </c>
      <c r="G1217" s="2">
        <v>22028046</v>
      </c>
      <c r="H1217" s="2">
        <v>2236890</v>
      </c>
      <c r="I1217" s="2">
        <v>10013511135</v>
      </c>
      <c r="J1217" s="2" t="s">
        <v>956</v>
      </c>
      <c r="K1217" s="10">
        <v>31277</v>
      </c>
      <c r="L1217" s="10">
        <v>0</v>
      </c>
      <c r="M1217" s="10">
        <v>31277</v>
      </c>
      <c r="N1217" s="10">
        <v>2318</v>
      </c>
      <c r="O1217" s="10">
        <f>Table1[[#This Row],[NET Amount]]-Table1[[#This Row],[Paid Amount]]</f>
        <v>28959</v>
      </c>
      <c r="P1217" s="2" t="s">
        <v>23</v>
      </c>
      <c r="Q1217" s="2" t="s">
        <v>54</v>
      </c>
      <c r="R1217" s="16">
        <f>(Table1[[#This Row],[NET Amount]]-Table1[[#This Row],[Total Outstanding Amount]])/Table1[[#This Row],[NET Amount]]</f>
        <v>7.4111967260287112E-2</v>
      </c>
      <c r="S1217" s="2" t="s">
        <v>27</v>
      </c>
    </row>
    <row r="1218" spans="1:19" x14ac:dyDescent="0.3">
      <c r="A1218" s="4">
        <v>1216</v>
      </c>
      <c r="B1218" s="2" t="s">
        <v>25</v>
      </c>
      <c r="C1218" s="3">
        <v>44856</v>
      </c>
      <c r="D1218" s="3" t="str">
        <f>TEXT(Table1[[#This Row],[Admission Date]],"MMMM")</f>
        <v>October</v>
      </c>
      <c r="E1218" s="3">
        <v>44856</v>
      </c>
      <c r="F1218" s="3">
        <v>44856</v>
      </c>
      <c r="G1218" s="2">
        <v>22028211</v>
      </c>
      <c r="H1218" s="2">
        <v>2237036</v>
      </c>
      <c r="I1218" s="2">
        <v>10013513064</v>
      </c>
      <c r="J1218" s="2" t="s">
        <v>563</v>
      </c>
      <c r="K1218" s="10">
        <v>2844</v>
      </c>
      <c r="L1218" s="10">
        <v>310</v>
      </c>
      <c r="M1218" s="10">
        <v>2534</v>
      </c>
      <c r="N1218" s="10">
        <v>2534</v>
      </c>
      <c r="O1218" s="10">
        <f>Table1[[#This Row],[NET Amount]]-Table1[[#This Row],[Paid Amount]]</f>
        <v>0</v>
      </c>
      <c r="P1218" s="2" t="s">
        <v>18</v>
      </c>
      <c r="Q1218" s="2" t="s">
        <v>54</v>
      </c>
      <c r="R1218" s="16">
        <f>(Table1[[#This Row],[NET Amount]]-Table1[[#This Row],[Total Outstanding Amount]])/Table1[[#This Row],[NET Amount]]</f>
        <v>1</v>
      </c>
      <c r="S1218" s="2" t="s">
        <v>97</v>
      </c>
    </row>
    <row r="1219" spans="1:19" x14ac:dyDescent="0.3">
      <c r="A1219" s="4">
        <v>1217</v>
      </c>
      <c r="B1219" s="2" t="s">
        <v>2247</v>
      </c>
      <c r="C1219" s="3">
        <v>44837</v>
      </c>
      <c r="D1219" s="3" t="str">
        <f>TEXT(Table1[[#This Row],[Admission Date]],"MMMM")</f>
        <v>October</v>
      </c>
      <c r="E1219" s="3">
        <v>44839</v>
      </c>
      <c r="F1219" s="3">
        <v>44839</v>
      </c>
      <c r="G1219" s="2">
        <v>22025680</v>
      </c>
      <c r="H1219" s="2">
        <v>2234429</v>
      </c>
      <c r="I1219" s="2">
        <v>1001624136</v>
      </c>
      <c r="J1219" s="2" t="s">
        <v>957</v>
      </c>
      <c r="K1219" s="10">
        <v>4370</v>
      </c>
      <c r="L1219" s="10">
        <v>0</v>
      </c>
      <c r="M1219" s="10">
        <v>4370</v>
      </c>
      <c r="N1219" s="10">
        <v>4370</v>
      </c>
      <c r="O1219" s="10">
        <f>Table1[[#This Row],[NET Amount]]-Table1[[#This Row],[Paid Amount]]</f>
        <v>0</v>
      </c>
      <c r="P1219" s="2" t="s">
        <v>18</v>
      </c>
      <c r="Q1219" s="2" t="s">
        <v>42</v>
      </c>
      <c r="R1219" s="16">
        <f>(Table1[[#This Row],[NET Amount]]-Table1[[#This Row],[Total Outstanding Amount]])/Table1[[#This Row],[NET Amount]]</f>
        <v>1</v>
      </c>
      <c r="S1219" s="2" t="s">
        <v>37</v>
      </c>
    </row>
    <row r="1220" spans="1:19" x14ac:dyDescent="0.3">
      <c r="A1220" s="4">
        <v>1218</v>
      </c>
      <c r="B1220" s="2" t="s">
        <v>152</v>
      </c>
      <c r="C1220" s="3">
        <v>44843</v>
      </c>
      <c r="D1220" s="3" t="str">
        <f>TEXT(Table1[[#This Row],[Admission Date]],"MMMM")</f>
        <v>October</v>
      </c>
      <c r="E1220" s="3">
        <v>44845</v>
      </c>
      <c r="F1220" s="3">
        <v>44846</v>
      </c>
      <c r="G1220" s="2">
        <v>22026781</v>
      </c>
      <c r="H1220" s="2">
        <v>2235276</v>
      </c>
      <c r="I1220" s="2">
        <v>10013331213</v>
      </c>
      <c r="J1220" s="2" t="s">
        <v>958</v>
      </c>
      <c r="K1220" s="10">
        <v>166464</v>
      </c>
      <c r="L1220" s="10">
        <v>0</v>
      </c>
      <c r="M1220" s="10">
        <v>166464</v>
      </c>
      <c r="N1220" s="10">
        <v>12210</v>
      </c>
      <c r="O1220" s="10">
        <f>Table1[[#This Row],[NET Amount]]-Table1[[#This Row],[Paid Amount]]</f>
        <v>154254</v>
      </c>
      <c r="P1220" s="2" t="s">
        <v>23</v>
      </c>
      <c r="Q1220" s="2" t="s">
        <v>30</v>
      </c>
      <c r="R1220" s="16">
        <f>(Table1[[#This Row],[NET Amount]]-Table1[[#This Row],[Total Outstanding Amount]])/Table1[[#This Row],[NET Amount]]</f>
        <v>7.3349192618223757E-2</v>
      </c>
      <c r="S1220" s="2" t="s">
        <v>39</v>
      </c>
    </row>
    <row r="1221" spans="1:19" x14ac:dyDescent="0.3">
      <c r="A1221" s="4">
        <v>1219</v>
      </c>
      <c r="B1221" s="2" t="s">
        <v>126</v>
      </c>
      <c r="C1221" s="3">
        <v>44829</v>
      </c>
      <c r="D1221" s="3" t="str">
        <f>TEXT(Table1[[#This Row],[Admission Date]],"MMMM")</f>
        <v>September</v>
      </c>
      <c r="E1221" s="3">
        <v>44836</v>
      </c>
      <c r="F1221" s="3">
        <v>44836</v>
      </c>
      <c r="G1221" s="2">
        <v>22025321</v>
      </c>
      <c r="H1221" s="2">
        <v>2233397</v>
      </c>
      <c r="I1221" s="2">
        <v>10013371780</v>
      </c>
      <c r="J1221" s="2" t="s">
        <v>959</v>
      </c>
      <c r="K1221" s="10">
        <v>164855</v>
      </c>
      <c r="L1221" s="10">
        <v>22280</v>
      </c>
      <c r="M1221" s="10">
        <v>142574</v>
      </c>
      <c r="N1221" s="10">
        <v>142574</v>
      </c>
      <c r="O1221" s="10">
        <f>Table1[[#This Row],[NET Amount]]-Table1[[#This Row],[Paid Amount]]</f>
        <v>0</v>
      </c>
      <c r="P1221" s="2" t="s">
        <v>18</v>
      </c>
      <c r="Q1221" s="2" t="s">
        <v>30</v>
      </c>
      <c r="R1221" s="16">
        <f>(Table1[[#This Row],[NET Amount]]-Table1[[#This Row],[Total Outstanding Amount]])/Table1[[#This Row],[NET Amount]]</f>
        <v>1</v>
      </c>
      <c r="S1221" s="2" t="s">
        <v>20</v>
      </c>
    </row>
    <row r="1222" spans="1:19" x14ac:dyDescent="0.3">
      <c r="A1222" s="4">
        <v>1220</v>
      </c>
      <c r="B1222" s="2" t="s">
        <v>545</v>
      </c>
      <c r="C1222" s="3">
        <v>44855</v>
      </c>
      <c r="D1222" s="3" t="str">
        <f>TEXT(Table1[[#This Row],[Admission Date]],"MMMM")</f>
        <v>October</v>
      </c>
      <c r="E1222" s="3">
        <v>44858</v>
      </c>
      <c r="F1222" s="3">
        <v>44858</v>
      </c>
      <c r="G1222" s="2">
        <v>22028434</v>
      </c>
      <c r="H1222" s="2">
        <v>2236973</v>
      </c>
      <c r="I1222" s="2">
        <v>1001805684</v>
      </c>
      <c r="J1222" s="2" t="s">
        <v>960</v>
      </c>
      <c r="K1222" s="10">
        <v>53082</v>
      </c>
      <c r="L1222" s="10">
        <v>4487</v>
      </c>
      <c r="M1222" s="10">
        <v>48595</v>
      </c>
      <c r="N1222" s="10">
        <v>3920</v>
      </c>
      <c r="O1222" s="10">
        <f>Table1[[#This Row],[NET Amount]]-Table1[[#This Row],[Paid Amount]]</f>
        <v>44675</v>
      </c>
      <c r="P1222" s="2" t="s">
        <v>23</v>
      </c>
      <c r="Q1222" s="2" t="s">
        <v>24</v>
      </c>
      <c r="R1222" s="16">
        <f>(Table1[[#This Row],[NET Amount]]-Table1[[#This Row],[Total Outstanding Amount]])/Table1[[#This Row],[NET Amount]]</f>
        <v>8.0666735260829306E-2</v>
      </c>
      <c r="S1222" s="2" t="s">
        <v>37</v>
      </c>
    </row>
    <row r="1223" spans="1:19" x14ac:dyDescent="0.3">
      <c r="A1223" s="4">
        <v>1221</v>
      </c>
      <c r="B1223" s="2" t="s">
        <v>72</v>
      </c>
      <c r="C1223" s="3">
        <v>44855</v>
      </c>
      <c r="D1223" s="3" t="str">
        <f>TEXT(Table1[[#This Row],[Admission Date]],"MMMM")</f>
        <v>October</v>
      </c>
      <c r="E1223" s="3">
        <v>44860</v>
      </c>
      <c r="F1223" s="3">
        <v>44860</v>
      </c>
      <c r="G1223" s="2">
        <v>22028591</v>
      </c>
      <c r="H1223" s="2">
        <v>2236980</v>
      </c>
      <c r="I1223" s="2">
        <v>1001242347</v>
      </c>
      <c r="J1223" s="2" t="s">
        <v>49</v>
      </c>
      <c r="K1223" s="10">
        <v>71584</v>
      </c>
      <c r="L1223" s="10">
        <v>9513</v>
      </c>
      <c r="M1223" s="10">
        <v>62071</v>
      </c>
      <c r="N1223" s="10">
        <v>3477</v>
      </c>
      <c r="O1223" s="10">
        <f>Table1[[#This Row],[NET Amount]]-Table1[[#This Row],[Paid Amount]]</f>
        <v>58594</v>
      </c>
      <c r="P1223" s="2" t="s">
        <v>23</v>
      </c>
      <c r="Q1223" s="2" t="s">
        <v>42</v>
      </c>
      <c r="R1223" s="16">
        <f>(Table1[[#This Row],[NET Amount]]-Table1[[#This Row],[Total Outstanding Amount]])/Table1[[#This Row],[NET Amount]]</f>
        <v>5.6016497237035008E-2</v>
      </c>
      <c r="S1223" s="2" t="s">
        <v>20</v>
      </c>
    </row>
    <row r="1224" spans="1:19" x14ac:dyDescent="0.3">
      <c r="A1224" s="4">
        <v>1222</v>
      </c>
      <c r="B1224" s="2" t="s">
        <v>35</v>
      </c>
      <c r="C1224" s="3">
        <v>44855</v>
      </c>
      <c r="D1224" s="3" t="str">
        <f>TEXT(Table1[[#This Row],[Admission Date]],"MMMM")</f>
        <v>October</v>
      </c>
      <c r="E1224" s="3">
        <v>44858</v>
      </c>
      <c r="F1224" s="3">
        <v>44858</v>
      </c>
      <c r="G1224" s="2">
        <v>22028431</v>
      </c>
      <c r="H1224" s="2">
        <v>2236982</v>
      </c>
      <c r="I1224" s="2">
        <v>10013543927</v>
      </c>
      <c r="J1224" s="2" t="s">
        <v>323</v>
      </c>
      <c r="K1224" s="10">
        <v>16311</v>
      </c>
      <c r="L1224" s="10">
        <v>0</v>
      </c>
      <c r="M1224" s="10">
        <v>16311</v>
      </c>
      <c r="N1224" s="10">
        <v>16311</v>
      </c>
      <c r="O1224" s="10">
        <f>Table1[[#This Row],[NET Amount]]-Table1[[#This Row],[Paid Amount]]</f>
        <v>0</v>
      </c>
      <c r="P1224" s="2" t="s">
        <v>18</v>
      </c>
      <c r="Q1224" s="2" t="s">
        <v>24</v>
      </c>
      <c r="R1224" s="16">
        <f>(Table1[[#This Row],[NET Amount]]-Table1[[#This Row],[Total Outstanding Amount]])/Table1[[#This Row],[NET Amount]]</f>
        <v>1</v>
      </c>
      <c r="S1224" s="2" t="s">
        <v>20</v>
      </c>
    </row>
    <row r="1225" spans="1:19" x14ac:dyDescent="0.3">
      <c r="A1225" s="4">
        <v>1223</v>
      </c>
      <c r="B1225" s="2" t="s">
        <v>45</v>
      </c>
      <c r="C1225" s="3">
        <v>44856</v>
      </c>
      <c r="D1225" s="3" t="str">
        <f>TEXT(Table1[[#This Row],[Admission Date]],"MMMM")</f>
        <v>October</v>
      </c>
      <c r="E1225" s="3">
        <v>44857</v>
      </c>
      <c r="F1225" s="3">
        <v>44857</v>
      </c>
      <c r="G1225" s="2">
        <v>22028339</v>
      </c>
      <c r="H1225" s="2">
        <v>2236989</v>
      </c>
      <c r="I1225" s="2">
        <v>10013544103</v>
      </c>
      <c r="J1225" s="2" t="s">
        <v>961</v>
      </c>
      <c r="K1225" s="10">
        <v>62210</v>
      </c>
      <c r="L1225" s="10">
        <v>8903</v>
      </c>
      <c r="M1225" s="10">
        <v>53307</v>
      </c>
      <c r="N1225" s="10">
        <v>24693</v>
      </c>
      <c r="O1225" s="10">
        <f>Table1[[#This Row],[NET Amount]]-Table1[[#This Row],[Paid Amount]]</f>
        <v>28614</v>
      </c>
      <c r="P1225" s="2" t="s">
        <v>23</v>
      </c>
      <c r="Q1225" s="2" t="s">
        <v>47</v>
      </c>
      <c r="R1225" s="16">
        <f>(Table1[[#This Row],[NET Amount]]-Table1[[#This Row],[Total Outstanding Amount]])/Table1[[#This Row],[NET Amount]]</f>
        <v>0.46322246609263323</v>
      </c>
      <c r="S1225" s="2" t="s">
        <v>39</v>
      </c>
    </row>
    <row r="1226" spans="1:19" x14ac:dyDescent="0.3">
      <c r="A1226" s="4">
        <v>1224</v>
      </c>
      <c r="B1226" s="2" t="s">
        <v>80</v>
      </c>
      <c r="C1226" s="3">
        <v>44858</v>
      </c>
      <c r="D1226" s="3" t="str">
        <f>TEXT(Table1[[#This Row],[Admission Date]],"MMMM")</f>
        <v>October</v>
      </c>
      <c r="E1226" s="3">
        <v>44862</v>
      </c>
      <c r="F1226" s="3">
        <v>44862</v>
      </c>
      <c r="G1226" s="2">
        <v>22028878</v>
      </c>
      <c r="H1226" s="2">
        <v>2237245</v>
      </c>
      <c r="I1226" s="2">
        <v>10013544313</v>
      </c>
      <c r="J1226" s="2" t="s">
        <v>962</v>
      </c>
      <c r="K1226" s="10">
        <v>75137</v>
      </c>
      <c r="L1226" s="10">
        <v>6499</v>
      </c>
      <c r="M1226" s="10">
        <v>68638</v>
      </c>
      <c r="N1226" s="10">
        <v>5141</v>
      </c>
      <c r="O1226" s="10">
        <f>Table1[[#This Row],[NET Amount]]-Table1[[#This Row],[Paid Amount]]</f>
        <v>63497</v>
      </c>
      <c r="P1226" s="2" t="s">
        <v>23</v>
      </c>
      <c r="Q1226" s="2" t="s">
        <v>30</v>
      </c>
      <c r="R1226" s="16">
        <f>(Table1[[#This Row],[NET Amount]]-Table1[[#This Row],[Total Outstanding Amount]])/Table1[[#This Row],[NET Amount]]</f>
        <v>7.4900201054809296E-2</v>
      </c>
      <c r="S1226" s="2" t="s">
        <v>20</v>
      </c>
    </row>
    <row r="1227" spans="1:19" x14ac:dyDescent="0.3">
      <c r="A1227" s="4">
        <v>1225</v>
      </c>
      <c r="B1227" s="2" t="s">
        <v>155</v>
      </c>
      <c r="C1227" s="3">
        <v>44849</v>
      </c>
      <c r="D1227" s="3" t="str">
        <f>TEXT(Table1[[#This Row],[Admission Date]],"MMMM")</f>
        <v>October</v>
      </c>
      <c r="E1227" s="3">
        <v>44849</v>
      </c>
      <c r="F1227" s="3">
        <v>44849</v>
      </c>
      <c r="G1227" s="2">
        <v>22027199</v>
      </c>
      <c r="H1227" s="2">
        <v>2236127</v>
      </c>
      <c r="I1227" s="2">
        <v>10013362937</v>
      </c>
      <c r="J1227" s="2" t="s">
        <v>963</v>
      </c>
      <c r="K1227" s="10">
        <v>1610</v>
      </c>
      <c r="L1227" s="10">
        <v>0</v>
      </c>
      <c r="M1227" s="10">
        <v>1610</v>
      </c>
      <c r="N1227" s="10">
        <v>1610</v>
      </c>
      <c r="O1227" s="10">
        <f>Table1[[#This Row],[NET Amount]]-Table1[[#This Row],[Paid Amount]]</f>
        <v>0</v>
      </c>
      <c r="P1227" s="2" t="s">
        <v>18</v>
      </c>
      <c r="Q1227" s="2" t="s">
        <v>54</v>
      </c>
      <c r="R1227" s="16">
        <f>(Table1[[#This Row],[NET Amount]]-Table1[[#This Row],[Total Outstanding Amount]])/Table1[[#This Row],[NET Amount]]</f>
        <v>1</v>
      </c>
      <c r="S1227" s="2" t="s">
        <v>97</v>
      </c>
    </row>
    <row r="1228" spans="1:19" x14ac:dyDescent="0.3">
      <c r="A1228" s="4">
        <v>1226</v>
      </c>
      <c r="B1228" s="2" t="s">
        <v>149</v>
      </c>
      <c r="C1228" s="3">
        <v>44847</v>
      </c>
      <c r="D1228" s="3" t="str">
        <f>TEXT(Table1[[#This Row],[Admission Date]],"MMMM")</f>
        <v>October</v>
      </c>
      <c r="E1228" s="3">
        <v>44849</v>
      </c>
      <c r="F1228" s="3">
        <v>44849</v>
      </c>
      <c r="G1228" s="2">
        <v>22027203</v>
      </c>
      <c r="H1228" s="2">
        <v>2235897</v>
      </c>
      <c r="I1228" s="2">
        <v>10013542900</v>
      </c>
      <c r="J1228" s="2" t="s">
        <v>964</v>
      </c>
      <c r="K1228" s="10">
        <v>86736</v>
      </c>
      <c r="L1228" s="10">
        <v>7184</v>
      </c>
      <c r="M1228" s="10">
        <v>79552</v>
      </c>
      <c r="N1228" s="10">
        <v>4148</v>
      </c>
      <c r="O1228" s="10">
        <f>Table1[[#This Row],[NET Amount]]-Table1[[#This Row],[Paid Amount]]</f>
        <v>75404</v>
      </c>
      <c r="P1228" s="2" t="s">
        <v>23</v>
      </c>
      <c r="Q1228" s="2" t="s">
        <v>24</v>
      </c>
      <c r="R1228" s="16">
        <f>(Table1[[#This Row],[NET Amount]]-Table1[[#This Row],[Total Outstanding Amount]])/Table1[[#This Row],[NET Amount]]</f>
        <v>5.2141995172968622E-2</v>
      </c>
      <c r="S1228" s="2" t="s">
        <v>201</v>
      </c>
    </row>
    <row r="1229" spans="1:19" x14ac:dyDescent="0.3">
      <c r="A1229" s="4">
        <v>1227</v>
      </c>
      <c r="B1229" s="2" t="s">
        <v>91</v>
      </c>
      <c r="C1229" s="3">
        <v>44841</v>
      </c>
      <c r="D1229" s="3" t="str">
        <f>TEXT(Table1[[#This Row],[Admission Date]],"MMMM")</f>
        <v>October</v>
      </c>
      <c r="E1229" s="3">
        <v>44842</v>
      </c>
      <c r="F1229" s="3">
        <v>44842</v>
      </c>
      <c r="G1229" s="2">
        <v>22026140</v>
      </c>
      <c r="H1229" s="2">
        <v>2234980</v>
      </c>
      <c r="I1229" s="2">
        <v>10013540782</v>
      </c>
      <c r="J1229" s="2" t="s">
        <v>965</v>
      </c>
      <c r="K1229" s="10">
        <v>85794</v>
      </c>
      <c r="L1229" s="10">
        <v>6874</v>
      </c>
      <c r="M1229" s="10">
        <v>78919</v>
      </c>
      <c r="N1229" s="10">
        <v>2643</v>
      </c>
      <c r="O1229" s="10">
        <f>Table1[[#This Row],[NET Amount]]-Table1[[#This Row],[Paid Amount]]</f>
        <v>76276</v>
      </c>
      <c r="P1229" s="2" t="s">
        <v>23</v>
      </c>
      <c r="Q1229" s="2" t="s">
        <v>19</v>
      </c>
      <c r="R1229" s="16">
        <f>(Table1[[#This Row],[NET Amount]]-Table1[[#This Row],[Total Outstanding Amount]])/Table1[[#This Row],[NET Amount]]</f>
        <v>3.3490034085581419E-2</v>
      </c>
      <c r="S1229" s="2" t="s">
        <v>77</v>
      </c>
    </row>
    <row r="1230" spans="1:19" x14ac:dyDescent="0.3">
      <c r="A1230" s="4">
        <v>1228</v>
      </c>
      <c r="B1230" s="2" t="s">
        <v>259</v>
      </c>
      <c r="C1230" s="3">
        <v>44859</v>
      </c>
      <c r="D1230" s="3" t="str">
        <f>TEXT(Table1[[#This Row],[Admission Date]],"MMMM")</f>
        <v>October</v>
      </c>
      <c r="E1230" s="3">
        <v>44862</v>
      </c>
      <c r="F1230" s="3">
        <v>44862</v>
      </c>
      <c r="G1230" s="2">
        <v>22028885</v>
      </c>
      <c r="H1230" s="2">
        <v>2237400</v>
      </c>
      <c r="I1230" s="2">
        <v>10013544461</v>
      </c>
      <c r="J1230" s="2" t="s">
        <v>966</v>
      </c>
      <c r="K1230" s="10">
        <v>323552</v>
      </c>
      <c r="L1230" s="10">
        <v>0</v>
      </c>
      <c r="M1230" s="10">
        <v>323552</v>
      </c>
      <c r="N1230" s="10">
        <v>2125</v>
      </c>
      <c r="O1230" s="10">
        <f>Table1[[#This Row],[NET Amount]]-Table1[[#This Row],[Paid Amount]]</f>
        <v>321427</v>
      </c>
      <c r="P1230" s="2" t="s">
        <v>23</v>
      </c>
      <c r="Q1230" s="2" t="s">
        <v>47</v>
      </c>
      <c r="R1230" s="16">
        <f>(Table1[[#This Row],[NET Amount]]-Table1[[#This Row],[Total Outstanding Amount]])/Table1[[#This Row],[NET Amount]]</f>
        <v>6.5677232716843045E-3</v>
      </c>
      <c r="S1230" s="2" t="s">
        <v>39</v>
      </c>
    </row>
    <row r="1231" spans="1:19" x14ac:dyDescent="0.3">
      <c r="A1231" s="4">
        <v>1229</v>
      </c>
      <c r="B1231" s="2" t="s">
        <v>25</v>
      </c>
      <c r="C1231" s="3">
        <v>44860</v>
      </c>
      <c r="D1231" s="3" t="str">
        <f>TEXT(Table1[[#This Row],[Admission Date]],"MMMM")</f>
        <v>October</v>
      </c>
      <c r="E1231" s="3">
        <v>44863</v>
      </c>
      <c r="F1231" s="3">
        <v>44863</v>
      </c>
      <c r="G1231" s="2">
        <v>22029057</v>
      </c>
      <c r="H1231" s="2">
        <v>2237424</v>
      </c>
      <c r="I1231" s="2">
        <v>10013544487</v>
      </c>
      <c r="J1231" s="2" t="s">
        <v>967</v>
      </c>
      <c r="K1231" s="10">
        <v>187234</v>
      </c>
      <c r="L1231" s="10">
        <v>31071</v>
      </c>
      <c r="M1231" s="10">
        <v>156163</v>
      </c>
      <c r="N1231" s="10">
        <v>156163</v>
      </c>
      <c r="O1231" s="10">
        <f>Table1[[#This Row],[NET Amount]]-Table1[[#This Row],[Paid Amount]]</f>
        <v>0</v>
      </c>
      <c r="P1231" s="2" t="s">
        <v>18</v>
      </c>
      <c r="Q1231" s="2" t="s">
        <v>24</v>
      </c>
      <c r="R1231" s="16">
        <f>(Table1[[#This Row],[NET Amount]]-Table1[[#This Row],[Total Outstanding Amount]])/Table1[[#This Row],[NET Amount]]</f>
        <v>1</v>
      </c>
      <c r="S1231" s="2" t="s">
        <v>20</v>
      </c>
    </row>
    <row r="1232" spans="1:19" x14ac:dyDescent="0.3">
      <c r="A1232" s="4">
        <v>1230</v>
      </c>
      <c r="B1232" s="2" t="s">
        <v>25</v>
      </c>
      <c r="C1232" s="3">
        <v>44849</v>
      </c>
      <c r="D1232" s="3" t="str">
        <f>TEXT(Table1[[#This Row],[Admission Date]],"MMMM")</f>
        <v>October</v>
      </c>
      <c r="E1232" s="3">
        <v>44849</v>
      </c>
      <c r="F1232" s="3">
        <v>44849</v>
      </c>
      <c r="G1232" s="2">
        <v>22027234</v>
      </c>
      <c r="H1232" s="2">
        <v>2236152</v>
      </c>
      <c r="I1232" s="2">
        <v>10013542866</v>
      </c>
      <c r="J1232" s="2" t="s">
        <v>673</v>
      </c>
      <c r="K1232" s="10">
        <v>7470</v>
      </c>
      <c r="L1232" s="10">
        <v>785</v>
      </c>
      <c r="M1232" s="10">
        <v>6685</v>
      </c>
      <c r="N1232" s="10">
        <v>6685</v>
      </c>
      <c r="O1232" s="10">
        <f>Table1[[#This Row],[NET Amount]]-Table1[[#This Row],[Paid Amount]]</f>
        <v>0</v>
      </c>
      <c r="P1232" s="2" t="s">
        <v>18</v>
      </c>
      <c r="Q1232" s="2" t="s">
        <v>54</v>
      </c>
      <c r="R1232" s="16">
        <f>(Table1[[#This Row],[NET Amount]]-Table1[[#This Row],[Total Outstanding Amount]])/Table1[[#This Row],[NET Amount]]</f>
        <v>1</v>
      </c>
      <c r="S1232" s="2" t="s">
        <v>97</v>
      </c>
    </row>
    <row r="1233" spans="1:19" x14ac:dyDescent="0.3">
      <c r="A1233" s="4">
        <v>1231</v>
      </c>
      <c r="B1233" s="2" t="s">
        <v>545</v>
      </c>
      <c r="C1233" s="3">
        <v>44853</v>
      </c>
      <c r="D1233" s="3" t="str">
        <f>TEXT(Table1[[#This Row],[Admission Date]],"MMMM")</f>
        <v>October</v>
      </c>
      <c r="E1233" s="3">
        <v>44855</v>
      </c>
      <c r="F1233" s="3">
        <v>44855</v>
      </c>
      <c r="G1233" s="2">
        <v>22028073</v>
      </c>
      <c r="H1233" s="2">
        <v>2236606</v>
      </c>
      <c r="I1233" s="2">
        <v>10013513489</v>
      </c>
      <c r="J1233" s="2" t="s">
        <v>968</v>
      </c>
      <c r="K1233" s="10">
        <v>43014</v>
      </c>
      <c r="L1233" s="10">
        <v>3759</v>
      </c>
      <c r="M1233" s="10">
        <v>39255</v>
      </c>
      <c r="N1233" s="10">
        <v>2055</v>
      </c>
      <c r="O1233" s="10">
        <f>Table1[[#This Row],[NET Amount]]-Table1[[#This Row],[Paid Amount]]</f>
        <v>37200</v>
      </c>
      <c r="P1233" s="2" t="s">
        <v>23</v>
      </c>
      <c r="Q1233" s="2" t="s">
        <v>24</v>
      </c>
      <c r="R1233" s="16">
        <f>(Table1[[#This Row],[NET Amount]]-Table1[[#This Row],[Total Outstanding Amount]])/Table1[[#This Row],[NET Amount]]</f>
        <v>5.2350019105846392E-2</v>
      </c>
      <c r="S1233" s="2" t="s">
        <v>20</v>
      </c>
    </row>
    <row r="1234" spans="1:19" x14ac:dyDescent="0.3">
      <c r="A1234" s="4">
        <v>1232</v>
      </c>
      <c r="B1234" s="2" t="s">
        <v>40</v>
      </c>
      <c r="C1234" s="3">
        <v>44841</v>
      </c>
      <c r="D1234" s="3" t="str">
        <f>TEXT(Table1[[#This Row],[Admission Date]],"MMMM")</f>
        <v>October</v>
      </c>
      <c r="E1234" s="3">
        <v>44841</v>
      </c>
      <c r="F1234" s="3">
        <v>44841</v>
      </c>
      <c r="G1234" s="2">
        <v>22025979</v>
      </c>
      <c r="H1234" s="2">
        <v>2235014</v>
      </c>
      <c r="I1234" s="2">
        <v>1001300227</v>
      </c>
      <c r="J1234" s="2" t="s">
        <v>202</v>
      </c>
      <c r="K1234" s="10">
        <v>2200</v>
      </c>
      <c r="L1234" s="10">
        <v>0</v>
      </c>
      <c r="M1234" s="10">
        <v>2200</v>
      </c>
      <c r="N1234" s="10">
        <v>2200</v>
      </c>
      <c r="O1234" s="10">
        <f>Table1[[#This Row],[NET Amount]]-Table1[[#This Row],[Paid Amount]]</f>
        <v>0</v>
      </c>
      <c r="P1234" s="2" t="s">
        <v>18</v>
      </c>
      <c r="Q1234" s="2" t="s">
        <v>147</v>
      </c>
      <c r="R1234" s="16">
        <f>(Table1[[#This Row],[NET Amount]]-Table1[[#This Row],[Total Outstanding Amount]])/Table1[[#This Row],[NET Amount]]</f>
        <v>1</v>
      </c>
      <c r="S1234" s="2" t="s">
        <v>97</v>
      </c>
    </row>
    <row r="1235" spans="1:19" x14ac:dyDescent="0.3">
      <c r="A1235" s="4">
        <v>1233</v>
      </c>
      <c r="B1235" s="2" t="s">
        <v>178</v>
      </c>
      <c r="C1235" s="3">
        <v>44832</v>
      </c>
      <c r="D1235" s="3" t="str">
        <f>TEXT(Table1[[#This Row],[Admission Date]],"MMMM")</f>
        <v>September</v>
      </c>
      <c r="E1235" s="3">
        <v>44842</v>
      </c>
      <c r="F1235" s="3">
        <v>44842</v>
      </c>
      <c r="G1235" s="2">
        <v>22026138</v>
      </c>
      <c r="H1235" s="2">
        <v>2233836</v>
      </c>
      <c r="I1235" s="2">
        <v>1001049869</v>
      </c>
      <c r="J1235" s="2" t="s">
        <v>969</v>
      </c>
      <c r="K1235" s="10">
        <v>303986</v>
      </c>
      <c r="L1235" s="10">
        <v>32137</v>
      </c>
      <c r="M1235" s="10">
        <v>271849</v>
      </c>
      <c r="N1235" s="10">
        <v>4380</v>
      </c>
      <c r="O1235" s="10">
        <f>Table1[[#This Row],[NET Amount]]-Table1[[#This Row],[Paid Amount]]</f>
        <v>267469</v>
      </c>
      <c r="P1235" s="2" t="s">
        <v>23</v>
      </c>
      <c r="Q1235" s="2" t="s">
        <v>30</v>
      </c>
      <c r="R1235" s="16">
        <f>(Table1[[#This Row],[NET Amount]]-Table1[[#This Row],[Total Outstanding Amount]])/Table1[[#This Row],[NET Amount]]</f>
        <v>1.6111885642397065E-2</v>
      </c>
      <c r="S1235" s="2" t="s">
        <v>95</v>
      </c>
    </row>
    <row r="1236" spans="1:19" x14ac:dyDescent="0.3">
      <c r="A1236" s="4">
        <v>1234</v>
      </c>
      <c r="B1236" s="2" t="s">
        <v>149</v>
      </c>
      <c r="C1236" s="3">
        <v>44847</v>
      </c>
      <c r="D1236" s="3" t="str">
        <f>TEXT(Table1[[#This Row],[Admission Date]],"MMMM")</f>
        <v>October</v>
      </c>
      <c r="E1236" s="3">
        <v>44850</v>
      </c>
      <c r="F1236" s="3">
        <v>44850</v>
      </c>
      <c r="G1236" s="2">
        <v>22027281</v>
      </c>
      <c r="H1236" s="2">
        <v>2235785</v>
      </c>
      <c r="I1236" s="2">
        <v>1001122605</v>
      </c>
      <c r="J1236" s="2" t="s">
        <v>970</v>
      </c>
      <c r="K1236" s="10">
        <v>54819</v>
      </c>
      <c r="L1236" s="10">
        <v>4303</v>
      </c>
      <c r="M1236" s="10">
        <v>50516</v>
      </c>
      <c r="N1236" s="10">
        <v>2072</v>
      </c>
      <c r="O1236" s="10">
        <f>Table1[[#This Row],[NET Amount]]-Table1[[#This Row],[Paid Amount]]</f>
        <v>48444</v>
      </c>
      <c r="P1236" s="2" t="s">
        <v>23</v>
      </c>
      <c r="Q1236" s="2" t="s">
        <v>30</v>
      </c>
      <c r="R1236" s="16">
        <f>(Table1[[#This Row],[NET Amount]]-Table1[[#This Row],[Total Outstanding Amount]])/Table1[[#This Row],[NET Amount]]</f>
        <v>4.1016707577797136E-2</v>
      </c>
      <c r="S1236" s="2" t="s">
        <v>37</v>
      </c>
    </row>
    <row r="1237" spans="1:19" x14ac:dyDescent="0.3">
      <c r="A1237" s="4">
        <v>1235</v>
      </c>
      <c r="B1237" s="2" t="s">
        <v>25</v>
      </c>
      <c r="C1237" s="3">
        <v>44859</v>
      </c>
      <c r="D1237" s="3" t="str">
        <f>TEXT(Table1[[#This Row],[Admission Date]],"MMMM")</f>
        <v>October</v>
      </c>
      <c r="E1237" s="3">
        <v>44859</v>
      </c>
      <c r="F1237" s="3">
        <v>44859</v>
      </c>
      <c r="G1237" s="2">
        <v>22028480</v>
      </c>
      <c r="H1237" s="2">
        <v>2237271</v>
      </c>
      <c r="I1237" s="2">
        <v>1001427466</v>
      </c>
      <c r="J1237" s="2" t="s">
        <v>294</v>
      </c>
      <c r="K1237" s="10">
        <v>2680</v>
      </c>
      <c r="L1237" s="10">
        <v>2680</v>
      </c>
      <c r="M1237" s="10">
        <v>0</v>
      </c>
      <c r="N1237" s="10">
        <v>0</v>
      </c>
      <c r="O1237" s="10">
        <f>Table1[[#This Row],[NET Amount]]-Table1[[#This Row],[Paid Amount]]</f>
        <v>0</v>
      </c>
      <c r="P1237" s="2" t="s">
        <v>18</v>
      </c>
      <c r="Q1237" s="2" t="s">
        <v>90</v>
      </c>
      <c r="R1237" s="16" t="e">
        <f>(Table1[[#This Row],[NET Amount]]-Table1[[#This Row],[Total Outstanding Amount]])/Table1[[#This Row],[NET Amount]]</f>
        <v>#DIV/0!</v>
      </c>
      <c r="S1237" s="2" t="s">
        <v>97</v>
      </c>
    </row>
    <row r="1238" spans="1:19" x14ac:dyDescent="0.3">
      <c r="A1238" s="4">
        <v>1236</v>
      </c>
      <c r="B1238" s="2" t="s">
        <v>152</v>
      </c>
      <c r="C1238" s="3">
        <v>44860</v>
      </c>
      <c r="D1238" s="3" t="str">
        <f>TEXT(Table1[[#This Row],[Admission Date]],"MMMM")</f>
        <v>October</v>
      </c>
      <c r="E1238" s="3">
        <v>44862</v>
      </c>
      <c r="F1238" s="3">
        <v>44862</v>
      </c>
      <c r="G1238" s="2">
        <v>22028925</v>
      </c>
      <c r="H1238" s="2">
        <v>2237469</v>
      </c>
      <c r="I1238" s="2">
        <v>1001263523</v>
      </c>
      <c r="J1238" s="2" t="s">
        <v>971</v>
      </c>
      <c r="K1238" s="10">
        <v>31644</v>
      </c>
      <c r="L1238" s="10">
        <v>0</v>
      </c>
      <c r="M1238" s="10">
        <v>31644</v>
      </c>
      <c r="N1238" s="10">
        <v>1076</v>
      </c>
      <c r="O1238" s="10">
        <f>Table1[[#This Row],[NET Amount]]-Table1[[#This Row],[Paid Amount]]</f>
        <v>30568</v>
      </c>
      <c r="P1238" s="2" t="s">
        <v>23</v>
      </c>
      <c r="Q1238" s="2" t="s">
        <v>24</v>
      </c>
      <c r="R1238" s="16">
        <f>(Table1[[#This Row],[NET Amount]]-Table1[[#This Row],[Total Outstanding Amount]])/Table1[[#This Row],[NET Amount]]</f>
        <v>3.4003286563013525E-2</v>
      </c>
      <c r="S1238" s="2" t="s">
        <v>39</v>
      </c>
    </row>
    <row r="1239" spans="1:19" x14ac:dyDescent="0.3">
      <c r="A1239" s="4">
        <v>1237</v>
      </c>
      <c r="B1239" s="2" t="s">
        <v>25</v>
      </c>
      <c r="C1239" s="3">
        <v>44854</v>
      </c>
      <c r="D1239" s="3" t="str">
        <f>TEXT(Table1[[#This Row],[Admission Date]],"MMMM")</f>
        <v>October</v>
      </c>
      <c r="E1239" s="3">
        <v>44854</v>
      </c>
      <c r="F1239" s="3">
        <v>44854</v>
      </c>
      <c r="G1239" s="2">
        <v>22027895</v>
      </c>
      <c r="H1239" s="2">
        <v>2236758</v>
      </c>
      <c r="I1239" s="2">
        <v>10013317709</v>
      </c>
      <c r="J1239" s="2" t="s">
        <v>865</v>
      </c>
      <c r="K1239" s="10">
        <v>24523</v>
      </c>
      <c r="L1239" s="10">
        <v>3235</v>
      </c>
      <c r="M1239" s="10">
        <v>21288</v>
      </c>
      <c r="N1239" s="10">
        <v>21288</v>
      </c>
      <c r="O1239" s="10">
        <f>Table1[[#This Row],[NET Amount]]-Table1[[#This Row],[Paid Amount]]</f>
        <v>0</v>
      </c>
      <c r="P1239" s="2" t="s">
        <v>18</v>
      </c>
      <c r="Q1239" s="2" t="s">
        <v>54</v>
      </c>
      <c r="R1239" s="16">
        <f>(Table1[[#This Row],[NET Amount]]-Table1[[#This Row],[Total Outstanding Amount]])/Table1[[#This Row],[NET Amount]]</f>
        <v>1</v>
      </c>
      <c r="S1239" s="2" t="s">
        <v>27</v>
      </c>
    </row>
    <row r="1240" spans="1:19" x14ac:dyDescent="0.3">
      <c r="A1240" s="4">
        <v>1238</v>
      </c>
      <c r="B1240" s="2" t="s">
        <v>25</v>
      </c>
      <c r="C1240" s="3">
        <v>44855</v>
      </c>
      <c r="D1240" s="3" t="str">
        <f>TEXT(Table1[[#This Row],[Admission Date]],"MMMM")</f>
        <v>October</v>
      </c>
      <c r="E1240" s="3">
        <v>44855</v>
      </c>
      <c r="F1240" s="3">
        <v>44855</v>
      </c>
      <c r="G1240" s="2">
        <v>22027967</v>
      </c>
      <c r="H1240" s="2">
        <v>2236864</v>
      </c>
      <c r="I1240" s="2">
        <v>1000891305</v>
      </c>
      <c r="J1240" s="2" t="s">
        <v>725</v>
      </c>
      <c r="K1240" s="10">
        <v>3590</v>
      </c>
      <c r="L1240" s="10">
        <v>315</v>
      </c>
      <c r="M1240" s="10">
        <v>3275</v>
      </c>
      <c r="N1240" s="10">
        <v>3275</v>
      </c>
      <c r="O1240" s="10">
        <f>Table1[[#This Row],[NET Amount]]-Table1[[#This Row],[Paid Amount]]</f>
        <v>0</v>
      </c>
      <c r="P1240" s="2" t="s">
        <v>18</v>
      </c>
      <c r="Q1240" s="2" t="s">
        <v>54</v>
      </c>
      <c r="R1240" s="16">
        <f>(Table1[[#This Row],[NET Amount]]-Table1[[#This Row],[Total Outstanding Amount]])/Table1[[#This Row],[NET Amount]]</f>
        <v>1</v>
      </c>
      <c r="S1240" s="2" t="s">
        <v>97</v>
      </c>
    </row>
    <row r="1241" spans="1:19" x14ac:dyDescent="0.3">
      <c r="A1241" s="4">
        <v>1239</v>
      </c>
      <c r="B1241" s="2" t="s">
        <v>972</v>
      </c>
      <c r="C1241" s="3">
        <v>44838</v>
      </c>
      <c r="D1241" s="3" t="str">
        <f>TEXT(Table1[[#This Row],[Admission Date]],"MMMM")</f>
        <v>October</v>
      </c>
      <c r="E1241" s="3">
        <v>44844</v>
      </c>
      <c r="F1241" s="3">
        <v>44844</v>
      </c>
      <c r="G1241" s="2">
        <v>22026359</v>
      </c>
      <c r="H1241" s="2">
        <v>2234521</v>
      </c>
      <c r="I1241" s="2">
        <v>1001802296</v>
      </c>
      <c r="J1241" s="2" t="s">
        <v>973</v>
      </c>
      <c r="K1241" s="10">
        <v>80380</v>
      </c>
      <c r="L1241" s="10">
        <v>12290</v>
      </c>
      <c r="M1241" s="10">
        <v>68090</v>
      </c>
      <c r="N1241" s="10">
        <v>2902</v>
      </c>
      <c r="O1241" s="10">
        <f>Table1[[#This Row],[NET Amount]]-Table1[[#This Row],[Paid Amount]]</f>
        <v>65188</v>
      </c>
      <c r="P1241" s="2" t="s">
        <v>23</v>
      </c>
      <c r="Q1241" s="2" t="s">
        <v>24</v>
      </c>
      <c r="R1241" s="16">
        <f>(Table1[[#This Row],[NET Amount]]-Table1[[#This Row],[Total Outstanding Amount]])/Table1[[#This Row],[NET Amount]]</f>
        <v>4.2620061683066528E-2</v>
      </c>
      <c r="S1241" s="2" t="s">
        <v>20</v>
      </c>
    </row>
    <row r="1242" spans="1:19" x14ac:dyDescent="0.3">
      <c r="A1242" s="4">
        <v>1240</v>
      </c>
      <c r="B1242" s="2" t="s">
        <v>25</v>
      </c>
      <c r="C1242" s="3">
        <v>44848</v>
      </c>
      <c r="D1242" s="3" t="str">
        <f>TEXT(Table1[[#This Row],[Admission Date]],"MMMM")</f>
        <v>October</v>
      </c>
      <c r="E1242" s="3">
        <v>44848</v>
      </c>
      <c r="F1242" s="3">
        <v>44848</v>
      </c>
      <c r="G1242" s="2">
        <v>22027103</v>
      </c>
      <c r="H1242" s="2">
        <v>2236002</v>
      </c>
      <c r="I1242" s="2">
        <v>1001202559</v>
      </c>
      <c r="J1242" s="2" t="s">
        <v>974</v>
      </c>
      <c r="K1242" s="10">
        <v>2844</v>
      </c>
      <c r="L1242" s="10">
        <v>657</v>
      </c>
      <c r="M1242" s="10">
        <v>2187</v>
      </c>
      <c r="N1242" s="10">
        <v>2187</v>
      </c>
      <c r="O1242" s="10">
        <f>Table1[[#This Row],[NET Amount]]-Table1[[#This Row],[Paid Amount]]</f>
        <v>0</v>
      </c>
      <c r="P1242" s="2" t="s">
        <v>18</v>
      </c>
      <c r="Q1242" s="2" t="s">
        <v>54</v>
      </c>
      <c r="R1242" s="16">
        <f>(Table1[[#This Row],[NET Amount]]-Table1[[#This Row],[Total Outstanding Amount]])/Table1[[#This Row],[NET Amount]]</f>
        <v>1</v>
      </c>
      <c r="S1242" s="2" t="s">
        <v>97</v>
      </c>
    </row>
    <row r="1243" spans="1:19" x14ac:dyDescent="0.3">
      <c r="A1243" s="4">
        <v>1241</v>
      </c>
      <c r="B1243" s="2" t="s">
        <v>2246</v>
      </c>
      <c r="C1243" s="3">
        <v>44856</v>
      </c>
      <c r="D1243" s="3" t="str">
        <f>TEXT(Table1[[#This Row],[Admission Date]],"MMMM")</f>
        <v>October</v>
      </c>
      <c r="E1243" s="3">
        <v>44858</v>
      </c>
      <c r="F1243" s="3">
        <v>44858</v>
      </c>
      <c r="G1243" s="2">
        <v>22028430</v>
      </c>
      <c r="H1243" s="2">
        <v>2237012</v>
      </c>
      <c r="I1243" s="2">
        <v>1001790494</v>
      </c>
      <c r="J1243" s="2" t="s">
        <v>975</v>
      </c>
      <c r="K1243" s="10">
        <v>2034</v>
      </c>
      <c r="L1243" s="10">
        <v>0</v>
      </c>
      <c r="M1243" s="10">
        <v>2034</v>
      </c>
      <c r="N1243" s="10">
        <v>2034</v>
      </c>
      <c r="O1243" s="10">
        <f>Table1[[#This Row],[NET Amount]]-Table1[[#This Row],[Paid Amount]]</f>
        <v>0</v>
      </c>
      <c r="P1243" s="2" t="s">
        <v>18</v>
      </c>
      <c r="Q1243" s="2" t="s">
        <v>24</v>
      </c>
      <c r="R1243" s="16">
        <f>(Table1[[#This Row],[NET Amount]]-Table1[[#This Row],[Total Outstanding Amount]])/Table1[[#This Row],[NET Amount]]</f>
        <v>1</v>
      </c>
      <c r="S1243" s="2" t="s">
        <v>37</v>
      </c>
    </row>
    <row r="1244" spans="1:19" x14ac:dyDescent="0.3">
      <c r="A1244" s="4">
        <v>1242</v>
      </c>
      <c r="B1244" s="2" t="s">
        <v>520</v>
      </c>
      <c r="C1244" s="3">
        <v>44835</v>
      </c>
      <c r="D1244" s="3" t="str">
        <f>TEXT(Table1[[#This Row],[Admission Date]],"MMMM")</f>
        <v>October</v>
      </c>
      <c r="E1244" s="3">
        <v>44835</v>
      </c>
      <c r="F1244" s="3">
        <v>44835</v>
      </c>
      <c r="G1244" s="2">
        <v>22025237</v>
      </c>
      <c r="H1244" s="2">
        <v>2234253</v>
      </c>
      <c r="I1244" s="2">
        <v>10013372212</v>
      </c>
      <c r="J1244" s="2" t="s">
        <v>338</v>
      </c>
      <c r="K1244" s="10">
        <v>1610</v>
      </c>
      <c r="L1244" s="10">
        <v>0</v>
      </c>
      <c r="M1244" s="10">
        <v>1610</v>
      </c>
      <c r="N1244" s="10">
        <v>1610</v>
      </c>
      <c r="O1244" s="10">
        <f>Table1[[#This Row],[NET Amount]]-Table1[[#This Row],[Paid Amount]]</f>
        <v>0</v>
      </c>
      <c r="P1244" s="2" t="s">
        <v>18</v>
      </c>
      <c r="Q1244" s="2" t="s">
        <v>54</v>
      </c>
      <c r="R1244" s="16">
        <f>(Table1[[#This Row],[NET Amount]]-Table1[[#This Row],[Total Outstanding Amount]])/Table1[[#This Row],[NET Amount]]</f>
        <v>1</v>
      </c>
      <c r="S1244" s="2" t="s">
        <v>97</v>
      </c>
    </row>
    <row r="1245" spans="1:19" x14ac:dyDescent="0.3">
      <c r="A1245" s="4">
        <v>1243</v>
      </c>
      <c r="B1245" s="2" t="s">
        <v>139</v>
      </c>
      <c r="C1245" s="3">
        <v>44863</v>
      </c>
      <c r="D1245" s="3" t="str">
        <f>TEXT(Table1[[#This Row],[Admission Date]],"MMMM")</f>
        <v>October</v>
      </c>
      <c r="E1245" s="3">
        <v>44863</v>
      </c>
      <c r="F1245" s="3">
        <v>44863</v>
      </c>
      <c r="G1245" s="2">
        <v>22029152</v>
      </c>
      <c r="H1245" s="2">
        <v>2238007</v>
      </c>
      <c r="I1245" s="2">
        <v>1001547355</v>
      </c>
      <c r="J1245" s="2" t="s">
        <v>451</v>
      </c>
      <c r="K1245" s="10">
        <v>2200</v>
      </c>
      <c r="L1245" s="10">
        <v>0</v>
      </c>
      <c r="M1245" s="10">
        <v>2200</v>
      </c>
      <c r="N1245" s="10">
        <v>2200</v>
      </c>
      <c r="O1245" s="10">
        <f>Table1[[#This Row],[NET Amount]]-Table1[[#This Row],[Paid Amount]]</f>
        <v>0</v>
      </c>
      <c r="P1245" s="2" t="s">
        <v>18</v>
      </c>
      <c r="Q1245" s="2" t="s">
        <v>147</v>
      </c>
      <c r="R1245" s="16">
        <f>(Table1[[#This Row],[NET Amount]]-Table1[[#This Row],[Total Outstanding Amount]])/Table1[[#This Row],[NET Amount]]</f>
        <v>1</v>
      </c>
      <c r="S1245" s="2" t="s">
        <v>97</v>
      </c>
    </row>
    <row r="1246" spans="1:19" x14ac:dyDescent="0.3">
      <c r="A1246" s="4">
        <v>1244</v>
      </c>
      <c r="B1246" s="2" t="s">
        <v>2253</v>
      </c>
      <c r="C1246" s="3">
        <v>44830</v>
      </c>
      <c r="D1246" s="3" t="str">
        <f>TEXT(Table1[[#This Row],[Admission Date]],"MMMM")</f>
        <v>September</v>
      </c>
      <c r="E1246" s="3">
        <v>44835</v>
      </c>
      <c r="F1246" s="3">
        <v>44835</v>
      </c>
      <c r="G1246" s="2">
        <v>22025145</v>
      </c>
      <c r="H1246" s="2">
        <v>2233491</v>
      </c>
      <c r="I1246" s="2">
        <v>1001800837</v>
      </c>
      <c r="J1246" s="2" t="s">
        <v>976</v>
      </c>
      <c r="K1246" s="10">
        <v>56745</v>
      </c>
      <c r="L1246" s="10">
        <v>0</v>
      </c>
      <c r="M1246" s="10">
        <v>56745</v>
      </c>
      <c r="N1246" s="10">
        <v>375</v>
      </c>
      <c r="O1246" s="10">
        <f>Table1[[#This Row],[NET Amount]]-Table1[[#This Row],[Paid Amount]]</f>
        <v>56370</v>
      </c>
      <c r="P1246" s="2" t="s">
        <v>23</v>
      </c>
      <c r="Q1246" s="2" t="s">
        <v>19</v>
      </c>
      <c r="R1246" s="16">
        <f>(Table1[[#This Row],[NET Amount]]-Table1[[#This Row],[Total Outstanding Amount]])/Table1[[#This Row],[NET Amount]]</f>
        <v>6.6085117631509383E-3</v>
      </c>
      <c r="S1246" s="2" t="s">
        <v>20</v>
      </c>
    </row>
    <row r="1247" spans="1:19" x14ac:dyDescent="0.3">
      <c r="A1247" s="4">
        <v>1245</v>
      </c>
      <c r="B1247" s="2" t="s">
        <v>25</v>
      </c>
      <c r="C1247" s="3">
        <v>44855</v>
      </c>
      <c r="D1247" s="3" t="str">
        <f>TEXT(Table1[[#This Row],[Admission Date]],"MMMM")</f>
        <v>October</v>
      </c>
      <c r="E1247" s="3">
        <v>44858</v>
      </c>
      <c r="F1247" s="3">
        <v>44858</v>
      </c>
      <c r="G1247" s="2">
        <v>22028442</v>
      </c>
      <c r="H1247" s="2">
        <v>2236911</v>
      </c>
      <c r="I1247" s="2">
        <v>10013520630</v>
      </c>
      <c r="J1247" s="2" t="s">
        <v>977</v>
      </c>
      <c r="K1247" s="10">
        <v>50662</v>
      </c>
      <c r="L1247" s="10">
        <v>7067</v>
      </c>
      <c r="M1247" s="10">
        <v>43595</v>
      </c>
      <c r="N1247" s="10">
        <v>43595</v>
      </c>
      <c r="O1247" s="10">
        <f>Table1[[#This Row],[NET Amount]]-Table1[[#This Row],[Paid Amount]]</f>
        <v>0</v>
      </c>
      <c r="P1247" s="2" t="s">
        <v>18</v>
      </c>
      <c r="Q1247" s="2" t="s">
        <v>30</v>
      </c>
      <c r="R1247" s="16">
        <f>(Table1[[#This Row],[NET Amount]]-Table1[[#This Row],[Total Outstanding Amount]])/Table1[[#This Row],[NET Amount]]</f>
        <v>1</v>
      </c>
      <c r="S1247" s="2" t="s">
        <v>27</v>
      </c>
    </row>
    <row r="1248" spans="1:19" x14ac:dyDescent="0.3">
      <c r="A1248" s="4">
        <v>1246</v>
      </c>
      <c r="B1248" s="2" t="s">
        <v>25</v>
      </c>
      <c r="C1248" s="3">
        <v>44838</v>
      </c>
      <c r="D1248" s="3" t="str">
        <f>TEXT(Table1[[#This Row],[Admission Date]],"MMMM")</f>
        <v>October</v>
      </c>
      <c r="E1248" s="3">
        <v>44838</v>
      </c>
      <c r="F1248" s="3">
        <v>44838</v>
      </c>
      <c r="G1248" s="2">
        <v>22025573</v>
      </c>
      <c r="H1248" s="2">
        <v>2234562</v>
      </c>
      <c r="I1248" s="2">
        <v>10013339576</v>
      </c>
      <c r="J1248" s="2" t="s">
        <v>242</v>
      </c>
      <c r="K1248" s="10">
        <v>3288</v>
      </c>
      <c r="L1248" s="10">
        <v>3288</v>
      </c>
      <c r="M1248" s="10">
        <v>0</v>
      </c>
      <c r="N1248" s="10">
        <v>0</v>
      </c>
      <c r="O1248" s="10">
        <f>Table1[[#This Row],[NET Amount]]-Table1[[#This Row],[Paid Amount]]</f>
        <v>0</v>
      </c>
      <c r="P1248" s="2" t="s">
        <v>18</v>
      </c>
      <c r="Q1248" s="2" t="s">
        <v>90</v>
      </c>
      <c r="R1248" s="16" t="e">
        <f>(Table1[[#This Row],[NET Amount]]-Table1[[#This Row],[Total Outstanding Amount]])/Table1[[#This Row],[NET Amount]]</f>
        <v>#DIV/0!</v>
      </c>
      <c r="S1248" s="2" t="s">
        <v>97</v>
      </c>
    </row>
    <row r="1249" spans="1:19" x14ac:dyDescent="0.3">
      <c r="A1249" s="4">
        <v>1247</v>
      </c>
      <c r="B1249" s="2" t="s">
        <v>25</v>
      </c>
      <c r="C1249" s="3">
        <v>44838</v>
      </c>
      <c r="D1249" s="3" t="str">
        <f>TEXT(Table1[[#This Row],[Admission Date]],"MMMM")</f>
        <v>October</v>
      </c>
      <c r="E1249" s="3">
        <v>44838</v>
      </c>
      <c r="F1249" s="3">
        <v>44838</v>
      </c>
      <c r="G1249" s="2">
        <v>22025582</v>
      </c>
      <c r="H1249" s="2">
        <v>2234582</v>
      </c>
      <c r="I1249" s="2">
        <v>1000890994</v>
      </c>
      <c r="J1249" s="2" t="s">
        <v>271</v>
      </c>
      <c r="K1249" s="10">
        <v>3488</v>
      </c>
      <c r="L1249" s="10">
        <v>310</v>
      </c>
      <c r="M1249" s="10">
        <v>3178</v>
      </c>
      <c r="N1249" s="10">
        <v>3178</v>
      </c>
      <c r="O1249" s="10">
        <f>Table1[[#This Row],[NET Amount]]-Table1[[#This Row],[Paid Amount]]</f>
        <v>0</v>
      </c>
      <c r="P1249" s="2" t="s">
        <v>18</v>
      </c>
      <c r="Q1249" s="2" t="s">
        <v>54</v>
      </c>
      <c r="R1249" s="16">
        <f>(Table1[[#This Row],[NET Amount]]-Table1[[#This Row],[Total Outstanding Amount]])/Table1[[#This Row],[NET Amount]]</f>
        <v>1</v>
      </c>
      <c r="S1249" s="2" t="s">
        <v>97</v>
      </c>
    </row>
    <row r="1250" spans="1:19" x14ac:dyDescent="0.3">
      <c r="A1250" s="4">
        <v>1248</v>
      </c>
      <c r="B1250" s="2" t="s">
        <v>25</v>
      </c>
      <c r="C1250" s="3">
        <v>44857</v>
      </c>
      <c r="D1250" s="3" t="str">
        <f>TEXT(Table1[[#This Row],[Admission Date]],"MMMM")</f>
        <v>October</v>
      </c>
      <c r="E1250" s="3">
        <v>44860</v>
      </c>
      <c r="F1250" s="3">
        <v>44860</v>
      </c>
      <c r="G1250" s="2">
        <v>22028617</v>
      </c>
      <c r="H1250" s="2">
        <v>2237205</v>
      </c>
      <c r="I1250" s="2">
        <v>10013544263</v>
      </c>
      <c r="J1250" s="2" t="s">
        <v>978</v>
      </c>
      <c r="K1250" s="10">
        <v>54292</v>
      </c>
      <c r="L1250" s="10">
        <v>11627</v>
      </c>
      <c r="M1250" s="10">
        <v>42666</v>
      </c>
      <c r="N1250" s="10">
        <v>42666</v>
      </c>
      <c r="O1250" s="10">
        <f>Table1[[#This Row],[NET Amount]]-Table1[[#This Row],[Paid Amount]]</f>
        <v>0</v>
      </c>
      <c r="P1250" s="2" t="s">
        <v>18</v>
      </c>
      <c r="Q1250" s="2" t="s">
        <v>19</v>
      </c>
      <c r="R1250" s="16">
        <f>(Table1[[#This Row],[NET Amount]]-Table1[[#This Row],[Total Outstanding Amount]])/Table1[[#This Row],[NET Amount]]</f>
        <v>1</v>
      </c>
      <c r="S1250" s="2" t="s">
        <v>20</v>
      </c>
    </row>
    <row r="1251" spans="1:19" x14ac:dyDescent="0.3">
      <c r="A1251" s="4">
        <v>1249</v>
      </c>
      <c r="B1251" s="2" t="s">
        <v>40</v>
      </c>
      <c r="C1251" s="3">
        <v>44835</v>
      </c>
      <c r="D1251" s="3" t="str">
        <f>TEXT(Table1[[#This Row],[Admission Date]],"MMMM")</f>
        <v>October</v>
      </c>
      <c r="E1251" s="3">
        <v>44838</v>
      </c>
      <c r="F1251" s="3">
        <v>44838</v>
      </c>
      <c r="G1251" s="2">
        <v>22025509</v>
      </c>
      <c r="H1251" s="2">
        <v>2234168</v>
      </c>
      <c r="I1251" s="2">
        <v>1001801828</v>
      </c>
      <c r="J1251" s="2" t="s">
        <v>979</v>
      </c>
      <c r="K1251" s="10">
        <v>75650</v>
      </c>
      <c r="L1251" s="10">
        <v>0</v>
      </c>
      <c r="M1251" s="10">
        <v>75650</v>
      </c>
      <c r="N1251" s="10">
        <v>25650</v>
      </c>
      <c r="O1251" s="10">
        <f>Table1[[#This Row],[NET Amount]]-Table1[[#This Row],[Paid Amount]]</f>
        <v>50000</v>
      </c>
      <c r="P1251" s="2" t="s">
        <v>23</v>
      </c>
      <c r="Q1251" s="2" t="s">
        <v>396</v>
      </c>
      <c r="R1251" s="16">
        <f>(Table1[[#This Row],[NET Amount]]-Table1[[#This Row],[Total Outstanding Amount]])/Table1[[#This Row],[NET Amount]]</f>
        <v>0.33906146728354264</v>
      </c>
      <c r="S1251" s="2" t="s">
        <v>27</v>
      </c>
    </row>
    <row r="1252" spans="1:19" x14ac:dyDescent="0.3">
      <c r="A1252" s="4">
        <v>1250</v>
      </c>
      <c r="B1252" s="2" t="s">
        <v>2244</v>
      </c>
      <c r="C1252" s="3">
        <v>44837</v>
      </c>
      <c r="D1252" s="3" t="str">
        <f>TEXT(Table1[[#This Row],[Admission Date]],"MMMM")</f>
        <v>October</v>
      </c>
      <c r="E1252" s="3">
        <v>44837</v>
      </c>
      <c r="F1252" s="3">
        <v>44837</v>
      </c>
      <c r="G1252" s="2">
        <v>22025440</v>
      </c>
      <c r="H1252" s="2">
        <v>2234442</v>
      </c>
      <c r="I1252" s="2">
        <v>1001758739</v>
      </c>
      <c r="J1252" s="2" t="s">
        <v>233</v>
      </c>
      <c r="K1252" s="10">
        <v>2560</v>
      </c>
      <c r="L1252" s="10">
        <v>0</v>
      </c>
      <c r="M1252" s="10">
        <v>2560</v>
      </c>
      <c r="N1252" s="10">
        <v>2560</v>
      </c>
      <c r="O1252" s="10">
        <f>Table1[[#This Row],[NET Amount]]-Table1[[#This Row],[Paid Amount]]</f>
        <v>0</v>
      </c>
      <c r="P1252" s="2" t="s">
        <v>18</v>
      </c>
      <c r="Q1252" s="2" t="s">
        <v>54</v>
      </c>
      <c r="R1252" s="16">
        <f>(Table1[[#This Row],[NET Amount]]-Table1[[#This Row],[Total Outstanding Amount]])/Table1[[#This Row],[NET Amount]]</f>
        <v>1</v>
      </c>
      <c r="S1252" s="2" t="s">
        <v>97</v>
      </c>
    </row>
    <row r="1253" spans="1:19" x14ac:dyDescent="0.3">
      <c r="A1253" s="4">
        <v>1251</v>
      </c>
      <c r="B1253" s="2" t="s">
        <v>35</v>
      </c>
      <c r="C1253" s="3">
        <v>44855</v>
      </c>
      <c r="D1253" s="3" t="str">
        <f>TEXT(Table1[[#This Row],[Admission Date]],"MMMM")</f>
        <v>October</v>
      </c>
      <c r="E1253" s="3">
        <v>44857</v>
      </c>
      <c r="F1253" s="3">
        <v>44857</v>
      </c>
      <c r="G1253" s="2">
        <v>22028334</v>
      </c>
      <c r="H1253" s="2">
        <v>2236929</v>
      </c>
      <c r="I1253" s="2">
        <v>1001805644</v>
      </c>
      <c r="J1253" s="2" t="s">
        <v>980</v>
      </c>
      <c r="K1253" s="10">
        <v>3647</v>
      </c>
      <c r="L1253" s="10">
        <v>0</v>
      </c>
      <c r="M1253" s="10">
        <v>3647</v>
      </c>
      <c r="N1253" s="10">
        <v>3647</v>
      </c>
      <c r="O1253" s="10">
        <f>Table1[[#This Row],[NET Amount]]-Table1[[#This Row],[Paid Amount]]</f>
        <v>0</v>
      </c>
      <c r="P1253" s="2" t="s">
        <v>18</v>
      </c>
      <c r="Q1253" s="2" t="s">
        <v>24</v>
      </c>
      <c r="R1253" s="16">
        <f>(Table1[[#This Row],[NET Amount]]-Table1[[#This Row],[Total Outstanding Amount]])/Table1[[#This Row],[NET Amount]]</f>
        <v>1</v>
      </c>
      <c r="S1253" s="2" t="s">
        <v>37</v>
      </c>
    </row>
    <row r="1254" spans="1:19" x14ac:dyDescent="0.3">
      <c r="A1254" s="4">
        <v>1252</v>
      </c>
      <c r="B1254" s="2" t="s">
        <v>25</v>
      </c>
      <c r="C1254" s="3">
        <v>44835</v>
      </c>
      <c r="D1254" s="3" t="str">
        <f>TEXT(Table1[[#This Row],[Admission Date]],"MMMM")</f>
        <v>October</v>
      </c>
      <c r="E1254" s="3">
        <v>44835</v>
      </c>
      <c r="F1254" s="3">
        <v>44835</v>
      </c>
      <c r="G1254" s="2">
        <v>22025208</v>
      </c>
      <c r="H1254" s="2">
        <v>2234215</v>
      </c>
      <c r="I1254" s="2">
        <v>10013339576</v>
      </c>
      <c r="J1254" s="2" t="s">
        <v>242</v>
      </c>
      <c r="K1254" s="10">
        <v>2794</v>
      </c>
      <c r="L1254" s="10">
        <v>2794</v>
      </c>
      <c r="M1254" s="10">
        <v>0</v>
      </c>
      <c r="N1254" s="10">
        <v>0</v>
      </c>
      <c r="O1254" s="10">
        <f>Table1[[#This Row],[NET Amount]]-Table1[[#This Row],[Paid Amount]]</f>
        <v>0</v>
      </c>
      <c r="P1254" s="2" t="s">
        <v>18</v>
      </c>
      <c r="Q1254" s="2" t="s">
        <v>90</v>
      </c>
      <c r="R1254" s="16" t="e">
        <f>(Table1[[#This Row],[NET Amount]]-Table1[[#This Row],[Total Outstanding Amount]])/Table1[[#This Row],[NET Amount]]</f>
        <v>#DIV/0!</v>
      </c>
      <c r="S1254" s="2" t="s">
        <v>97</v>
      </c>
    </row>
    <row r="1255" spans="1:19" x14ac:dyDescent="0.3">
      <c r="A1255" s="4">
        <v>1253</v>
      </c>
      <c r="B1255" s="2" t="s">
        <v>50</v>
      </c>
      <c r="C1255" s="3">
        <v>44837</v>
      </c>
      <c r="D1255" s="3" t="str">
        <f>TEXT(Table1[[#This Row],[Admission Date]],"MMMM")</f>
        <v>October</v>
      </c>
      <c r="E1255" s="3">
        <v>44837</v>
      </c>
      <c r="F1255" s="3">
        <v>44837</v>
      </c>
      <c r="G1255" s="2">
        <v>22025400</v>
      </c>
      <c r="H1255" s="2">
        <v>2234392</v>
      </c>
      <c r="I1255" s="2">
        <v>1001206152</v>
      </c>
      <c r="J1255" s="2" t="s">
        <v>375</v>
      </c>
      <c r="K1255" s="10">
        <v>2200</v>
      </c>
      <c r="L1255" s="10">
        <v>0</v>
      </c>
      <c r="M1255" s="10">
        <v>2200</v>
      </c>
      <c r="N1255" s="10">
        <v>440</v>
      </c>
      <c r="O1255" s="10">
        <f>Table1[[#This Row],[NET Amount]]-Table1[[#This Row],[Paid Amount]]</f>
        <v>1760</v>
      </c>
      <c r="P1255" s="2" t="s">
        <v>23</v>
      </c>
      <c r="Q1255" s="2" t="s">
        <v>147</v>
      </c>
      <c r="R1255" s="16">
        <f>(Table1[[#This Row],[NET Amount]]-Table1[[#This Row],[Total Outstanding Amount]])/Table1[[#This Row],[NET Amount]]</f>
        <v>0.2</v>
      </c>
      <c r="S1255" s="2" t="s">
        <v>97</v>
      </c>
    </row>
    <row r="1256" spans="1:19" x14ac:dyDescent="0.3">
      <c r="A1256" s="4">
        <v>1254</v>
      </c>
      <c r="B1256" s="2" t="s">
        <v>141</v>
      </c>
      <c r="C1256" s="3">
        <v>44857</v>
      </c>
      <c r="D1256" s="3" t="str">
        <f>TEXT(Table1[[#This Row],[Admission Date]],"MMMM")</f>
        <v>October</v>
      </c>
      <c r="E1256" s="3">
        <v>44860</v>
      </c>
      <c r="F1256" s="3">
        <v>44860</v>
      </c>
      <c r="G1256" s="2">
        <v>22028621</v>
      </c>
      <c r="H1256" s="2">
        <v>2237136</v>
      </c>
      <c r="I1256" s="2">
        <v>1001805861</v>
      </c>
      <c r="J1256" s="2" t="s">
        <v>981</v>
      </c>
      <c r="K1256" s="10">
        <v>84503</v>
      </c>
      <c r="L1256" s="10">
        <v>2003</v>
      </c>
      <c r="M1256" s="10">
        <v>82500</v>
      </c>
      <c r="N1256" s="10">
        <v>34503</v>
      </c>
      <c r="O1256" s="10">
        <f>Table1[[#This Row],[NET Amount]]-Table1[[#This Row],[Paid Amount]]</f>
        <v>47997</v>
      </c>
      <c r="P1256" s="2" t="s">
        <v>23</v>
      </c>
      <c r="Q1256" s="2" t="s">
        <v>396</v>
      </c>
      <c r="R1256" s="16">
        <f>(Table1[[#This Row],[NET Amount]]-Table1[[#This Row],[Total Outstanding Amount]])/Table1[[#This Row],[NET Amount]]</f>
        <v>0.41821818181818182</v>
      </c>
      <c r="S1256" s="2" t="s">
        <v>27</v>
      </c>
    </row>
    <row r="1257" spans="1:19" x14ac:dyDescent="0.3">
      <c r="A1257" s="4">
        <v>1255</v>
      </c>
      <c r="B1257" s="2" t="s">
        <v>35</v>
      </c>
      <c r="C1257" s="3">
        <v>44860</v>
      </c>
      <c r="D1257" s="3" t="str">
        <f>TEXT(Table1[[#This Row],[Admission Date]],"MMMM")</f>
        <v>October</v>
      </c>
      <c r="E1257" s="3">
        <v>44860</v>
      </c>
      <c r="F1257" s="3">
        <v>44860</v>
      </c>
      <c r="G1257" s="2">
        <v>22028635</v>
      </c>
      <c r="H1257" s="2">
        <v>2237489</v>
      </c>
      <c r="I1257" s="2">
        <v>1001644664</v>
      </c>
      <c r="J1257" s="2" t="s">
        <v>101</v>
      </c>
      <c r="K1257" s="10">
        <v>1610</v>
      </c>
      <c r="L1257" s="10">
        <v>0</v>
      </c>
      <c r="M1257" s="10">
        <v>1610</v>
      </c>
      <c r="N1257" s="10">
        <v>1610</v>
      </c>
      <c r="O1257" s="10">
        <f>Table1[[#This Row],[NET Amount]]-Table1[[#This Row],[Paid Amount]]</f>
        <v>0</v>
      </c>
      <c r="P1257" s="2" t="s">
        <v>18</v>
      </c>
      <c r="Q1257" s="2" t="s">
        <v>54</v>
      </c>
      <c r="R1257" s="16">
        <f>(Table1[[#This Row],[NET Amount]]-Table1[[#This Row],[Total Outstanding Amount]])/Table1[[#This Row],[NET Amount]]</f>
        <v>1</v>
      </c>
      <c r="S1257" s="2" t="s">
        <v>97</v>
      </c>
    </row>
    <row r="1258" spans="1:19" x14ac:dyDescent="0.3">
      <c r="A1258" s="4">
        <v>1256</v>
      </c>
      <c r="B1258" s="2" t="s">
        <v>152</v>
      </c>
      <c r="C1258" s="3">
        <v>44853</v>
      </c>
      <c r="D1258" s="3" t="str">
        <f>TEXT(Table1[[#This Row],[Admission Date]],"MMMM")</f>
        <v>October</v>
      </c>
      <c r="E1258" s="3">
        <v>44860</v>
      </c>
      <c r="F1258" s="3">
        <v>44860</v>
      </c>
      <c r="G1258" s="2">
        <v>22028651</v>
      </c>
      <c r="H1258" s="2">
        <v>2236709</v>
      </c>
      <c r="I1258" s="2">
        <v>1001290264</v>
      </c>
      <c r="J1258" s="2" t="s">
        <v>982</v>
      </c>
      <c r="K1258" s="10">
        <v>114805</v>
      </c>
      <c r="L1258" s="10">
        <v>0</v>
      </c>
      <c r="M1258" s="10">
        <v>114805</v>
      </c>
      <c r="N1258" s="10">
        <v>2642</v>
      </c>
      <c r="O1258" s="10">
        <f>Table1[[#This Row],[NET Amount]]-Table1[[#This Row],[Paid Amount]]</f>
        <v>112163</v>
      </c>
      <c r="P1258" s="2" t="s">
        <v>23</v>
      </c>
      <c r="Q1258" s="2" t="s">
        <v>24</v>
      </c>
      <c r="R1258" s="16">
        <f>(Table1[[#This Row],[NET Amount]]-Table1[[#This Row],[Total Outstanding Amount]])/Table1[[#This Row],[NET Amount]]</f>
        <v>2.3012934976699623E-2</v>
      </c>
      <c r="S1258" s="2" t="s">
        <v>20</v>
      </c>
    </row>
    <row r="1259" spans="1:19" x14ac:dyDescent="0.3">
      <c r="A1259" s="4">
        <v>1257</v>
      </c>
      <c r="B1259" s="2" t="s">
        <v>25</v>
      </c>
      <c r="C1259" s="3">
        <v>44857</v>
      </c>
      <c r="D1259" s="3" t="str">
        <f>TEXT(Table1[[#This Row],[Admission Date]],"MMMM")</f>
        <v>October</v>
      </c>
      <c r="E1259" s="3">
        <v>44865</v>
      </c>
      <c r="F1259" s="3">
        <v>44865</v>
      </c>
      <c r="G1259" s="2">
        <v>22029275</v>
      </c>
      <c r="H1259" s="2">
        <v>2237201</v>
      </c>
      <c r="I1259" s="2">
        <v>1001805913</v>
      </c>
      <c r="J1259" s="2" t="s">
        <v>983</v>
      </c>
      <c r="K1259" s="10">
        <v>151372</v>
      </c>
      <c r="L1259" s="10">
        <v>18025</v>
      </c>
      <c r="M1259" s="10">
        <v>133347</v>
      </c>
      <c r="N1259" s="10">
        <v>133347</v>
      </c>
      <c r="O1259" s="10">
        <f>Table1[[#This Row],[NET Amount]]-Table1[[#This Row],[Paid Amount]]</f>
        <v>0</v>
      </c>
      <c r="P1259" s="2" t="s">
        <v>18</v>
      </c>
      <c r="Q1259" s="2" t="s">
        <v>24</v>
      </c>
      <c r="R1259" s="16">
        <f>(Table1[[#This Row],[NET Amount]]-Table1[[#This Row],[Total Outstanding Amount]])/Table1[[#This Row],[NET Amount]]</f>
        <v>1</v>
      </c>
      <c r="S1259" s="2" t="s">
        <v>37</v>
      </c>
    </row>
    <row r="1260" spans="1:19" x14ac:dyDescent="0.3">
      <c r="A1260" s="4">
        <v>1258</v>
      </c>
      <c r="B1260" s="2" t="s">
        <v>2243</v>
      </c>
      <c r="C1260" s="3">
        <v>44854</v>
      </c>
      <c r="D1260" s="3" t="str">
        <f>TEXT(Table1[[#This Row],[Admission Date]],"MMMM")</f>
        <v>October</v>
      </c>
      <c r="E1260" s="3">
        <v>44854</v>
      </c>
      <c r="F1260" s="3">
        <v>44854</v>
      </c>
      <c r="G1260" s="2">
        <v>22027911</v>
      </c>
      <c r="H1260" s="2">
        <v>2236792</v>
      </c>
      <c r="I1260" s="2">
        <v>1000915528</v>
      </c>
      <c r="J1260" s="2" t="s">
        <v>187</v>
      </c>
      <c r="K1260" s="10">
        <v>3590</v>
      </c>
      <c r="L1260" s="10">
        <v>3590</v>
      </c>
      <c r="M1260" s="10">
        <v>0</v>
      </c>
      <c r="N1260" s="10">
        <v>0</v>
      </c>
      <c r="O1260" s="10">
        <f>Table1[[#This Row],[NET Amount]]-Table1[[#This Row],[Paid Amount]]</f>
        <v>0</v>
      </c>
      <c r="P1260" s="2" t="s">
        <v>18</v>
      </c>
      <c r="Q1260" s="2" t="s">
        <v>54</v>
      </c>
      <c r="R1260" s="16" t="e">
        <f>(Table1[[#This Row],[NET Amount]]-Table1[[#This Row],[Total Outstanding Amount]])/Table1[[#This Row],[NET Amount]]</f>
        <v>#DIV/0!</v>
      </c>
      <c r="S1260" s="2" t="s">
        <v>97</v>
      </c>
    </row>
    <row r="1261" spans="1:19" x14ac:dyDescent="0.3">
      <c r="A1261" s="4">
        <v>1259</v>
      </c>
      <c r="B1261" s="2" t="s">
        <v>144</v>
      </c>
      <c r="C1261" s="3">
        <v>44831</v>
      </c>
      <c r="D1261" s="3" t="str">
        <f>TEXT(Table1[[#This Row],[Admission Date]],"MMMM")</f>
        <v>September</v>
      </c>
      <c r="E1261" s="3">
        <v>44837</v>
      </c>
      <c r="F1261" s="3">
        <v>44837</v>
      </c>
      <c r="G1261" s="2">
        <v>22025399</v>
      </c>
      <c r="H1261" s="2">
        <v>2233613</v>
      </c>
      <c r="I1261" s="2">
        <v>10013479633</v>
      </c>
      <c r="J1261" s="2" t="s">
        <v>627</v>
      </c>
      <c r="K1261" s="10">
        <v>266111</v>
      </c>
      <c r="L1261" s="10">
        <v>0</v>
      </c>
      <c r="M1261" s="10">
        <v>266111</v>
      </c>
      <c r="N1261" s="10">
        <v>66824</v>
      </c>
      <c r="O1261" s="10">
        <f>Table1[[#This Row],[NET Amount]]-Table1[[#This Row],[Paid Amount]]</f>
        <v>199287</v>
      </c>
      <c r="P1261" s="2" t="s">
        <v>23</v>
      </c>
      <c r="Q1261" s="2" t="s">
        <v>52</v>
      </c>
      <c r="R1261" s="16">
        <f>(Table1[[#This Row],[NET Amount]]-Table1[[#This Row],[Total Outstanding Amount]])/Table1[[#This Row],[NET Amount]]</f>
        <v>0.25111325724979427</v>
      </c>
      <c r="S1261" s="2" t="s">
        <v>95</v>
      </c>
    </row>
    <row r="1262" spans="1:19" x14ac:dyDescent="0.3">
      <c r="A1262" s="4">
        <v>1260</v>
      </c>
      <c r="B1262" s="2" t="s">
        <v>155</v>
      </c>
      <c r="C1262" s="3">
        <v>44842</v>
      </c>
      <c r="D1262" s="3" t="str">
        <f>TEXT(Table1[[#This Row],[Admission Date]],"MMMM")</f>
        <v>October</v>
      </c>
      <c r="E1262" s="3">
        <v>44842</v>
      </c>
      <c r="F1262" s="3">
        <v>44842</v>
      </c>
      <c r="G1262" s="2">
        <v>22026149</v>
      </c>
      <c r="H1262" s="2">
        <v>2235168</v>
      </c>
      <c r="I1262" s="2">
        <v>10013362937</v>
      </c>
      <c r="J1262" s="2" t="s">
        <v>963</v>
      </c>
      <c r="K1262" s="10">
        <v>1610</v>
      </c>
      <c r="L1262" s="10">
        <v>0</v>
      </c>
      <c r="M1262" s="10">
        <v>1610</v>
      </c>
      <c r="N1262" s="10">
        <v>1610</v>
      </c>
      <c r="O1262" s="10">
        <f>Table1[[#This Row],[NET Amount]]-Table1[[#This Row],[Paid Amount]]</f>
        <v>0</v>
      </c>
      <c r="P1262" s="2" t="s">
        <v>18</v>
      </c>
      <c r="Q1262" s="2" t="s">
        <v>54</v>
      </c>
      <c r="R1262" s="16">
        <f>(Table1[[#This Row],[NET Amount]]-Table1[[#This Row],[Total Outstanding Amount]])/Table1[[#This Row],[NET Amount]]</f>
        <v>1</v>
      </c>
      <c r="S1262" s="2" t="s">
        <v>97</v>
      </c>
    </row>
    <row r="1263" spans="1:19" x14ac:dyDescent="0.3">
      <c r="A1263" s="4">
        <v>1261</v>
      </c>
      <c r="B1263" s="2" t="s">
        <v>35</v>
      </c>
      <c r="C1263" s="3">
        <v>44842</v>
      </c>
      <c r="D1263" s="3" t="str">
        <f>TEXT(Table1[[#This Row],[Admission Date]],"MMMM")</f>
        <v>October</v>
      </c>
      <c r="E1263" s="3">
        <v>44842</v>
      </c>
      <c r="F1263" s="3">
        <v>44842</v>
      </c>
      <c r="G1263" s="2">
        <v>22026155</v>
      </c>
      <c r="H1263" s="2">
        <v>2235163</v>
      </c>
      <c r="I1263" s="2">
        <v>1001644664</v>
      </c>
      <c r="J1263" s="2" t="s">
        <v>101</v>
      </c>
      <c r="K1263" s="10">
        <v>1610</v>
      </c>
      <c r="L1263" s="10">
        <v>0</v>
      </c>
      <c r="M1263" s="10">
        <v>1610</v>
      </c>
      <c r="N1263" s="10">
        <v>1610</v>
      </c>
      <c r="O1263" s="10">
        <f>Table1[[#This Row],[NET Amount]]-Table1[[#This Row],[Paid Amount]]</f>
        <v>0</v>
      </c>
      <c r="P1263" s="2" t="s">
        <v>18</v>
      </c>
      <c r="Q1263" s="2" t="s">
        <v>54</v>
      </c>
      <c r="R1263" s="16">
        <f>(Table1[[#This Row],[NET Amount]]-Table1[[#This Row],[Total Outstanding Amount]])/Table1[[#This Row],[NET Amount]]</f>
        <v>1</v>
      </c>
      <c r="S1263" s="2" t="s">
        <v>97</v>
      </c>
    </row>
    <row r="1264" spans="1:19" x14ac:dyDescent="0.3">
      <c r="A1264" s="4">
        <v>1262</v>
      </c>
      <c r="B1264" s="2" t="s">
        <v>25</v>
      </c>
      <c r="C1264" s="3">
        <v>44842</v>
      </c>
      <c r="D1264" s="3" t="str">
        <f>TEXT(Table1[[#This Row],[Admission Date]],"MMMM")</f>
        <v>October</v>
      </c>
      <c r="E1264" s="3">
        <v>44842</v>
      </c>
      <c r="F1264" s="3">
        <v>44842</v>
      </c>
      <c r="G1264" s="2">
        <v>22026158</v>
      </c>
      <c r="H1264" s="2">
        <v>2235167</v>
      </c>
      <c r="I1264" s="2">
        <v>10013460950</v>
      </c>
      <c r="J1264" s="2" t="s">
        <v>248</v>
      </c>
      <c r="K1264" s="10">
        <v>2844</v>
      </c>
      <c r="L1264" s="10">
        <v>286</v>
      </c>
      <c r="M1264" s="10">
        <v>2558</v>
      </c>
      <c r="N1264" s="10">
        <v>2558</v>
      </c>
      <c r="O1264" s="10">
        <f>Table1[[#This Row],[NET Amount]]-Table1[[#This Row],[Paid Amount]]</f>
        <v>0</v>
      </c>
      <c r="P1264" s="2" t="s">
        <v>18</v>
      </c>
      <c r="Q1264" s="2" t="s">
        <v>54</v>
      </c>
      <c r="R1264" s="16">
        <f>(Table1[[#This Row],[NET Amount]]-Table1[[#This Row],[Total Outstanding Amount]])/Table1[[#This Row],[NET Amount]]</f>
        <v>1</v>
      </c>
      <c r="S1264" s="2" t="s">
        <v>97</v>
      </c>
    </row>
    <row r="1265" spans="1:19" x14ac:dyDescent="0.3">
      <c r="A1265" s="4">
        <v>1263</v>
      </c>
      <c r="B1265" s="2" t="s">
        <v>25</v>
      </c>
      <c r="C1265" s="3">
        <v>44832</v>
      </c>
      <c r="D1265" s="3" t="str">
        <f>TEXT(Table1[[#This Row],[Admission Date]],"MMMM")</f>
        <v>September</v>
      </c>
      <c r="E1265" s="3">
        <v>44839</v>
      </c>
      <c r="F1265" s="3">
        <v>44839</v>
      </c>
      <c r="G1265" s="2">
        <v>22025690</v>
      </c>
      <c r="H1265" s="2">
        <v>2233856</v>
      </c>
      <c r="I1265" s="2">
        <v>10013540722</v>
      </c>
      <c r="J1265" s="2" t="s">
        <v>984</v>
      </c>
      <c r="K1265" s="10">
        <v>398906</v>
      </c>
      <c r="L1265" s="10">
        <v>72721</v>
      </c>
      <c r="M1265" s="10">
        <v>326185</v>
      </c>
      <c r="N1265" s="10">
        <v>326185</v>
      </c>
      <c r="O1265" s="10">
        <f>Table1[[#This Row],[NET Amount]]-Table1[[#This Row],[Paid Amount]]</f>
        <v>0</v>
      </c>
      <c r="P1265" s="2" t="s">
        <v>18</v>
      </c>
      <c r="Q1265" s="2" t="s">
        <v>88</v>
      </c>
      <c r="R1265" s="16">
        <f>(Table1[[#This Row],[NET Amount]]-Table1[[#This Row],[Total Outstanding Amount]])/Table1[[#This Row],[NET Amount]]</f>
        <v>1</v>
      </c>
      <c r="S1265" s="2" t="s">
        <v>20</v>
      </c>
    </row>
    <row r="1266" spans="1:19" x14ac:dyDescent="0.3">
      <c r="A1266" s="4">
        <v>1264</v>
      </c>
      <c r="B1266" s="2" t="s">
        <v>72</v>
      </c>
      <c r="C1266" s="3">
        <v>44844</v>
      </c>
      <c r="D1266" s="3" t="str">
        <f>TEXT(Table1[[#This Row],[Admission Date]],"MMMM")</f>
        <v>October</v>
      </c>
      <c r="E1266" s="3">
        <v>44847</v>
      </c>
      <c r="F1266" s="3">
        <v>44847</v>
      </c>
      <c r="G1266" s="2">
        <v>22026920</v>
      </c>
      <c r="H1266" s="2">
        <v>2235474</v>
      </c>
      <c r="I1266" s="2">
        <v>10013542482</v>
      </c>
      <c r="J1266" s="2" t="s">
        <v>985</v>
      </c>
      <c r="K1266" s="10">
        <v>75438</v>
      </c>
      <c r="L1266" s="10">
        <v>0</v>
      </c>
      <c r="M1266" s="10">
        <v>75438</v>
      </c>
      <c r="N1266" s="10">
        <v>75438</v>
      </c>
      <c r="O1266" s="10">
        <f>Table1[[#This Row],[NET Amount]]-Table1[[#This Row],[Paid Amount]]</f>
        <v>0</v>
      </c>
      <c r="P1266" s="2" t="s">
        <v>18</v>
      </c>
      <c r="Q1266" s="2" t="s">
        <v>24</v>
      </c>
      <c r="R1266" s="16">
        <f>(Table1[[#This Row],[NET Amount]]-Table1[[#This Row],[Total Outstanding Amount]])/Table1[[#This Row],[NET Amount]]</f>
        <v>1</v>
      </c>
      <c r="S1266" s="2" t="s">
        <v>20</v>
      </c>
    </row>
    <row r="1267" spans="1:19" x14ac:dyDescent="0.3">
      <c r="A1267" s="4">
        <v>1265</v>
      </c>
      <c r="B1267" s="2" t="s">
        <v>28</v>
      </c>
      <c r="C1267" s="3">
        <v>44860</v>
      </c>
      <c r="D1267" s="3" t="str">
        <f>TEXT(Table1[[#This Row],[Admission Date]],"MMMM")</f>
        <v>October</v>
      </c>
      <c r="E1267" s="3">
        <v>44860</v>
      </c>
      <c r="F1267" s="3">
        <v>44860</v>
      </c>
      <c r="G1267" s="2">
        <v>22028670</v>
      </c>
      <c r="H1267" s="2">
        <v>2237470</v>
      </c>
      <c r="I1267" s="2">
        <v>1001795866</v>
      </c>
      <c r="J1267" s="2" t="s">
        <v>425</v>
      </c>
      <c r="K1267" s="10">
        <v>20300</v>
      </c>
      <c r="L1267" s="10">
        <v>1950</v>
      </c>
      <c r="M1267" s="10">
        <v>18350</v>
      </c>
      <c r="N1267" s="10">
        <v>800</v>
      </c>
      <c r="O1267" s="10">
        <f>Table1[[#This Row],[NET Amount]]-Table1[[#This Row],[Paid Amount]]</f>
        <v>17550</v>
      </c>
      <c r="P1267" s="2" t="s">
        <v>23</v>
      </c>
      <c r="Q1267" s="2" t="s">
        <v>54</v>
      </c>
      <c r="R1267" s="16">
        <f>(Table1[[#This Row],[NET Amount]]-Table1[[#This Row],[Total Outstanding Amount]])/Table1[[#This Row],[NET Amount]]</f>
        <v>4.3596730245231606E-2</v>
      </c>
      <c r="S1267" s="2" t="s">
        <v>43</v>
      </c>
    </row>
    <row r="1268" spans="1:19" x14ac:dyDescent="0.3">
      <c r="A1268" s="4">
        <v>1266</v>
      </c>
      <c r="B1268" s="2" t="s">
        <v>25</v>
      </c>
      <c r="C1268" s="3">
        <v>44852</v>
      </c>
      <c r="D1268" s="3" t="str">
        <f>TEXT(Table1[[#This Row],[Admission Date]],"MMMM")</f>
        <v>October</v>
      </c>
      <c r="E1268" s="3">
        <v>44855</v>
      </c>
      <c r="F1268" s="3">
        <v>44855</v>
      </c>
      <c r="G1268" s="2">
        <v>22028039</v>
      </c>
      <c r="H1268" s="2">
        <v>2236464</v>
      </c>
      <c r="I1268" s="2">
        <v>10013543545</v>
      </c>
      <c r="J1268" s="2" t="s">
        <v>986</v>
      </c>
      <c r="K1268" s="10">
        <v>56241</v>
      </c>
      <c r="L1268" s="10">
        <v>12127</v>
      </c>
      <c r="M1268" s="10">
        <v>44114</v>
      </c>
      <c r="N1268" s="10">
        <v>44114</v>
      </c>
      <c r="O1268" s="10">
        <f>Table1[[#This Row],[NET Amount]]-Table1[[#This Row],[Paid Amount]]</f>
        <v>0</v>
      </c>
      <c r="P1268" s="2" t="s">
        <v>18</v>
      </c>
      <c r="Q1268" s="2" t="s">
        <v>30</v>
      </c>
      <c r="R1268" s="16">
        <f>(Table1[[#This Row],[NET Amount]]-Table1[[#This Row],[Total Outstanding Amount]])/Table1[[#This Row],[NET Amount]]</f>
        <v>1</v>
      </c>
      <c r="S1268" s="2" t="s">
        <v>20</v>
      </c>
    </row>
    <row r="1269" spans="1:19" x14ac:dyDescent="0.3">
      <c r="A1269" s="4">
        <v>1267</v>
      </c>
      <c r="B1269" s="2" t="s">
        <v>25</v>
      </c>
      <c r="C1269" s="3">
        <v>44855</v>
      </c>
      <c r="D1269" s="3" t="str">
        <f>TEXT(Table1[[#This Row],[Admission Date]],"MMMM")</f>
        <v>October</v>
      </c>
      <c r="E1269" s="3">
        <v>44855</v>
      </c>
      <c r="F1269" s="3">
        <v>44855</v>
      </c>
      <c r="G1269" s="2">
        <v>22028052</v>
      </c>
      <c r="H1269" s="2">
        <v>2236886</v>
      </c>
      <c r="I1269" s="2">
        <v>1001146321</v>
      </c>
      <c r="J1269" s="2" t="s">
        <v>987</v>
      </c>
      <c r="K1269" s="10">
        <v>16519</v>
      </c>
      <c r="L1269" s="10">
        <v>2077</v>
      </c>
      <c r="M1269" s="10">
        <v>14441</v>
      </c>
      <c r="N1269" s="10">
        <v>14441</v>
      </c>
      <c r="O1269" s="10">
        <f>Table1[[#This Row],[NET Amount]]-Table1[[#This Row],[Paid Amount]]</f>
        <v>0</v>
      </c>
      <c r="P1269" s="2" t="s">
        <v>18</v>
      </c>
      <c r="Q1269" s="2" t="s">
        <v>54</v>
      </c>
      <c r="R1269" s="16">
        <f>(Table1[[#This Row],[NET Amount]]-Table1[[#This Row],[Total Outstanding Amount]])/Table1[[#This Row],[NET Amount]]</f>
        <v>1</v>
      </c>
      <c r="S1269" s="2" t="s">
        <v>27</v>
      </c>
    </row>
    <row r="1270" spans="1:19" x14ac:dyDescent="0.3">
      <c r="A1270" s="4">
        <v>1268</v>
      </c>
      <c r="B1270" s="2" t="s">
        <v>152</v>
      </c>
      <c r="C1270" s="3">
        <v>44855</v>
      </c>
      <c r="D1270" s="3" t="str">
        <f>TEXT(Table1[[#This Row],[Admission Date]],"MMMM")</f>
        <v>October</v>
      </c>
      <c r="E1270" s="3">
        <v>44855</v>
      </c>
      <c r="F1270" s="3">
        <v>44855</v>
      </c>
      <c r="G1270" s="2">
        <v>22028081</v>
      </c>
      <c r="H1270" s="2">
        <v>2236888</v>
      </c>
      <c r="I1270" s="2">
        <v>10013480859</v>
      </c>
      <c r="J1270" s="2" t="s">
        <v>988</v>
      </c>
      <c r="K1270" s="10">
        <v>2570</v>
      </c>
      <c r="L1270" s="10">
        <v>0</v>
      </c>
      <c r="M1270" s="10">
        <v>2570</v>
      </c>
      <c r="N1270" s="10">
        <v>2570</v>
      </c>
      <c r="O1270" s="10">
        <f>Table1[[#This Row],[NET Amount]]-Table1[[#This Row],[Paid Amount]]</f>
        <v>0</v>
      </c>
      <c r="P1270" s="2" t="s">
        <v>18</v>
      </c>
      <c r="Q1270" s="2" t="s">
        <v>24</v>
      </c>
      <c r="R1270" s="16">
        <f>(Table1[[#This Row],[NET Amount]]-Table1[[#This Row],[Total Outstanding Amount]])/Table1[[#This Row],[NET Amount]]</f>
        <v>1</v>
      </c>
      <c r="S1270" s="2" t="s">
        <v>27</v>
      </c>
    </row>
    <row r="1271" spans="1:19" x14ac:dyDescent="0.3">
      <c r="A1271" s="4">
        <v>1269</v>
      </c>
      <c r="B1271" s="2" t="s">
        <v>2251</v>
      </c>
      <c r="C1271" s="3">
        <v>44840</v>
      </c>
      <c r="D1271" s="3" t="str">
        <f>TEXT(Table1[[#This Row],[Admission Date]],"MMMM")</f>
        <v>October</v>
      </c>
      <c r="E1271" s="3">
        <v>44842</v>
      </c>
      <c r="F1271" s="3">
        <v>44842</v>
      </c>
      <c r="G1271" s="2">
        <v>22026189</v>
      </c>
      <c r="H1271" s="2">
        <v>2234961</v>
      </c>
      <c r="I1271" s="2">
        <v>1001780166</v>
      </c>
      <c r="J1271" s="2" t="s">
        <v>989</v>
      </c>
      <c r="K1271" s="10">
        <v>22803</v>
      </c>
      <c r="L1271" s="10">
        <v>0</v>
      </c>
      <c r="M1271" s="10">
        <v>22803</v>
      </c>
      <c r="N1271" s="10">
        <v>1000</v>
      </c>
      <c r="O1271" s="10">
        <f>Table1[[#This Row],[NET Amount]]-Table1[[#This Row],[Paid Amount]]</f>
        <v>21803</v>
      </c>
      <c r="P1271" s="2" t="s">
        <v>23</v>
      </c>
      <c r="Q1271" s="2" t="s">
        <v>42</v>
      </c>
      <c r="R1271" s="16">
        <f>(Table1[[#This Row],[NET Amount]]-Table1[[#This Row],[Total Outstanding Amount]])/Table1[[#This Row],[NET Amount]]</f>
        <v>4.3853878875586547E-2</v>
      </c>
      <c r="S1271" s="2" t="s">
        <v>37</v>
      </c>
    </row>
    <row r="1272" spans="1:19" x14ac:dyDescent="0.3">
      <c r="A1272" s="4">
        <v>1270</v>
      </c>
      <c r="B1272" s="2" t="s">
        <v>75</v>
      </c>
      <c r="C1272" s="3">
        <v>44835</v>
      </c>
      <c r="D1272" s="3" t="str">
        <f>TEXT(Table1[[#This Row],[Admission Date]],"MMMM")</f>
        <v>October</v>
      </c>
      <c r="E1272" s="3">
        <v>44843</v>
      </c>
      <c r="F1272" s="3">
        <v>44844</v>
      </c>
      <c r="G1272" s="2">
        <v>22026377</v>
      </c>
      <c r="H1272" s="2">
        <v>2234184</v>
      </c>
      <c r="I1272" s="2">
        <v>10013506091</v>
      </c>
      <c r="J1272" s="2" t="s">
        <v>990</v>
      </c>
      <c r="K1272" s="10">
        <v>104609</v>
      </c>
      <c r="L1272" s="10">
        <v>0</v>
      </c>
      <c r="M1272" s="10">
        <v>104609</v>
      </c>
      <c r="N1272" s="10">
        <v>2726</v>
      </c>
      <c r="O1272" s="10">
        <f>Table1[[#This Row],[NET Amount]]-Table1[[#This Row],[Paid Amount]]</f>
        <v>101883</v>
      </c>
      <c r="P1272" s="2" t="s">
        <v>23</v>
      </c>
      <c r="Q1272" s="2" t="s">
        <v>19</v>
      </c>
      <c r="R1272" s="16">
        <f>(Table1[[#This Row],[NET Amount]]-Table1[[#This Row],[Total Outstanding Amount]])/Table1[[#This Row],[NET Amount]]</f>
        <v>2.6058943303157472E-2</v>
      </c>
      <c r="S1272" s="2" t="s">
        <v>77</v>
      </c>
    </row>
    <row r="1273" spans="1:19" x14ac:dyDescent="0.3">
      <c r="A1273" s="4">
        <v>1271</v>
      </c>
      <c r="B1273" s="2" t="s">
        <v>25</v>
      </c>
      <c r="C1273" s="3">
        <v>44861</v>
      </c>
      <c r="D1273" s="3" t="str">
        <f>TEXT(Table1[[#This Row],[Admission Date]],"MMMM")</f>
        <v>October</v>
      </c>
      <c r="E1273" s="3">
        <v>44862</v>
      </c>
      <c r="F1273" s="3">
        <v>44862</v>
      </c>
      <c r="G1273" s="2">
        <v>22028877</v>
      </c>
      <c r="H1273" s="2">
        <v>2237631</v>
      </c>
      <c r="I1273" s="2">
        <v>1001537289</v>
      </c>
      <c r="J1273" s="2" t="s">
        <v>991</v>
      </c>
      <c r="K1273" s="10">
        <v>46092</v>
      </c>
      <c r="L1273" s="10">
        <v>5680</v>
      </c>
      <c r="M1273" s="10">
        <v>40412</v>
      </c>
      <c r="N1273" s="10">
        <v>40412</v>
      </c>
      <c r="O1273" s="10">
        <f>Table1[[#This Row],[NET Amount]]-Table1[[#This Row],[Paid Amount]]</f>
        <v>0</v>
      </c>
      <c r="P1273" s="2" t="s">
        <v>18</v>
      </c>
      <c r="Q1273" s="2" t="s">
        <v>30</v>
      </c>
      <c r="R1273" s="16">
        <f>(Table1[[#This Row],[NET Amount]]-Table1[[#This Row],[Total Outstanding Amount]])/Table1[[#This Row],[NET Amount]]</f>
        <v>1</v>
      </c>
      <c r="S1273" s="2" t="s">
        <v>27</v>
      </c>
    </row>
    <row r="1274" spans="1:19" x14ac:dyDescent="0.3">
      <c r="A1274" s="4">
        <v>1272</v>
      </c>
      <c r="B1274" s="2" t="s">
        <v>2269</v>
      </c>
      <c r="C1274" s="3">
        <v>44834</v>
      </c>
      <c r="D1274" s="3" t="str">
        <f>TEXT(Table1[[#This Row],[Admission Date]],"MMMM")</f>
        <v>September</v>
      </c>
      <c r="E1274" s="3">
        <v>44835</v>
      </c>
      <c r="F1274" s="3">
        <v>44835</v>
      </c>
      <c r="G1274" s="2">
        <v>22025165</v>
      </c>
      <c r="H1274" s="2">
        <v>2234070</v>
      </c>
      <c r="I1274" s="2">
        <v>1001793530</v>
      </c>
      <c r="J1274" s="2" t="s">
        <v>992</v>
      </c>
      <c r="K1274" s="10">
        <v>12353</v>
      </c>
      <c r="L1274" s="10">
        <v>0</v>
      </c>
      <c r="M1274" s="10">
        <v>12353</v>
      </c>
      <c r="N1274" s="10">
        <v>12353</v>
      </c>
      <c r="O1274" s="10">
        <f>Table1[[#This Row],[NET Amount]]-Table1[[#This Row],[Paid Amount]]</f>
        <v>0</v>
      </c>
      <c r="P1274" s="2" t="s">
        <v>18</v>
      </c>
      <c r="Q1274" s="2" t="s">
        <v>24</v>
      </c>
      <c r="R1274" s="16">
        <f>(Table1[[#This Row],[NET Amount]]-Table1[[#This Row],[Total Outstanding Amount]])/Table1[[#This Row],[NET Amount]]</f>
        <v>1</v>
      </c>
      <c r="S1274" s="2" t="s">
        <v>39</v>
      </c>
    </row>
    <row r="1275" spans="1:19" x14ac:dyDescent="0.3">
      <c r="A1275" s="4">
        <v>1273</v>
      </c>
      <c r="B1275" s="2" t="s">
        <v>25</v>
      </c>
      <c r="C1275" s="3">
        <v>44846</v>
      </c>
      <c r="D1275" s="3" t="str">
        <f>TEXT(Table1[[#This Row],[Admission Date]],"MMMM")</f>
        <v>October</v>
      </c>
      <c r="E1275" s="3">
        <v>44846</v>
      </c>
      <c r="F1275" s="3">
        <v>44846</v>
      </c>
      <c r="G1275" s="2">
        <v>22026649</v>
      </c>
      <c r="H1275" s="2">
        <v>2235634</v>
      </c>
      <c r="I1275" s="2">
        <v>1001575947</v>
      </c>
      <c r="J1275" s="2" t="s">
        <v>919</v>
      </c>
      <c r="K1275" s="10">
        <v>2844</v>
      </c>
      <c r="L1275" s="10">
        <v>308</v>
      </c>
      <c r="M1275" s="10">
        <v>2536</v>
      </c>
      <c r="N1275" s="10">
        <v>2536</v>
      </c>
      <c r="O1275" s="10">
        <f>Table1[[#This Row],[NET Amount]]-Table1[[#This Row],[Paid Amount]]</f>
        <v>0</v>
      </c>
      <c r="P1275" s="2" t="s">
        <v>18</v>
      </c>
      <c r="Q1275" s="2" t="s">
        <v>54</v>
      </c>
      <c r="R1275" s="16">
        <f>(Table1[[#This Row],[NET Amount]]-Table1[[#This Row],[Total Outstanding Amount]])/Table1[[#This Row],[NET Amount]]</f>
        <v>1</v>
      </c>
      <c r="S1275" s="2" t="s">
        <v>97</v>
      </c>
    </row>
    <row r="1276" spans="1:19" x14ac:dyDescent="0.3">
      <c r="A1276" s="4">
        <v>1274</v>
      </c>
      <c r="B1276" s="2" t="s">
        <v>25</v>
      </c>
      <c r="C1276" s="3">
        <v>44846</v>
      </c>
      <c r="D1276" s="3" t="str">
        <f>TEXT(Table1[[#This Row],[Admission Date]],"MMMM")</f>
        <v>October</v>
      </c>
      <c r="E1276" s="3">
        <v>44846</v>
      </c>
      <c r="F1276" s="3">
        <v>44846</v>
      </c>
      <c r="G1276" s="2">
        <v>22026667</v>
      </c>
      <c r="H1276" s="2">
        <v>2235654</v>
      </c>
      <c r="I1276" s="2">
        <v>10013518452</v>
      </c>
      <c r="J1276" s="2" t="s">
        <v>648</v>
      </c>
      <c r="K1276" s="10">
        <v>4990</v>
      </c>
      <c r="L1276" s="10">
        <v>413</v>
      </c>
      <c r="M1276" s="10">
        <v>4577</v>
      </c>
      <c r="N1276" s="10">
        <v>4577</v>
      </c>
      <c r="O1276" s="10">
        <f>Table1[[#This Row],[NET Amount]]-Table1[[#This Row],[Paid Amount]]</f>
        <v>0</v>
      </c>
      <c r="P1276" s="2" t="s">
        <v>18</v>
      </c>
      <c r="Q1276" s="2" t="s">
        <v>54</v>
      </c>
      <c r="R1276" s="16">
        <f>(Table1[[#This Row],[NET Amount]]-Table1[[#This Row],[Total Outstanding Amount]])/Table1[[#This Row],[NET Amount]]</f>
        <v>1</v>
      </c>
      <c r="S1276" s="2" t="s">
        <v>97</v>
      </c>
    </row>
    <row r="1277" spans="1:19" x14ac:dyDescent="0.3">
      <c r="A1277" s="4">
        <v>1275</v>
      </c>
      <c r="B1277" s="2" t="s">
        <v>91</v>
      </c>
      <c r="C1277" s="3">
        <v>44838</v>
      </c>
      <c r="D1277" s="3" t="str">
        <f>TEXT(Table1[[#This Row],[Admission Date]],"MMMM")</f>
        <v>October</v>
      </c>
      <c r="E1277" s="3">
        <v>44843</v>
      </c>
      <c r="F1277" s="3">
        <v>44843</v>
      </c>
      <c r="G1277" s="2">
        <v>22026291</v>
      </c>
      <c r="H1277" s="2">
        <v>2234654</v>
      </c>
      <c r="I1277" s="2">
        <v>10013541600</v>
      </c>
      <c r="J1277" s="2" t="s">
        <v>993</v>
      </c>
      <c r="K1277" s="10">
        <v>78490</v>
      </c>
      <c r="L1277" s="10">
        <v>1723</v>
      </c>
      <c r="M1277" s="10">
        <v>76767</v>
      </c>
      <c r="N1277" s="10">
        <v>7089</v>
      </c>
      <c r="O1277" s="10">
        <f>Table1[[#This Row],[NET Amount]]-Table1[[#This Row],[Paid Amount]]</f>
        <v>69678</v>
      </c>
      <c r="P1277" s="2" t="s">
        <v>23</v>
      </c>
      <c r="Q1277" s="2" t="s">
        <v>24</v>
      </c>
      <c r="R1277" s="16">
        <f>(Table1[[#This Row],[NET Amount]]-Table1[[#This Row],[Total Outstanding Amount]])/Table1[[#This Row],[NET Amount]]</f>
        <v>9.2344366720075038E-2</v>
      </c>
      <c r="S1277" s="2" t="s">
        <v>20</v>
      </c>
    </row>
    <row r="1278" spans="1:19" x14ac:dyDescent="0.3">
      <c r="A1278" s="4">
        <v>1276</v>
      </c>
      <c r="B1278" s="2" t="s">
        <v>75</v>
      </c>
      <c r="C1278" s="3">
        <v>44824</v>
      </c>
      <c r="D1278" s="3" t="str">
        <f>TEXT(Table1[[#This Row],[Admission Date]],"MMMM")</f>
        <v>September</v>
      </c>
      <c r="E1278" s="3">
        <v>44846</v>
      </c>
      <c r="F1278" s="3">
        <v>44846</v>
      </c>
      <c r="G1278" s="2">
        <v>22026777</v>
      </c>
      <c r="H1278" s="2">
        <v>2232795</v>
      </c>
      <c r="I1278" s="2">
        <v>10013539639</v>
      </c>
      <c r="J1278" s="2" t="s">
        <v>994</v>
      </c>
      <c r="K1278" s="10">
        <v>422368</v>
      </c>
      <c r="L1278" s="10">
        <v>0</v>
      </c>
      <c r="M1278" s="10">
        <v>422368</v>
      </c>
      <c r="N1278" s="10">
        <v>12244</v>
      </c>
      <c r="O1278" s="10">
        <f>Table1[[#This Row],[NET Amount]]-Table1[[#This Row],[Paid Amount]]</f>
        <v>410124</v>
      </c>
      <c r="P1278" s="2" t="s">
        <v>23</v>
      </c>
      <c r="Q1278" s="2" t="s">
        <v>30</v>
      </c>
      <c r="R1278" s="16">
        <f>(Table1[[#This Row],[NET Amount]]-Table1[[#This Row],[Total Outstanding Amount]])/Table1[[#This Row],[NET Amount]]</f>
        <v>2.8988938555951207E-2</v>
      </c>
      <c r="S1278" s="2" t="s">
        <v>20</v>
      </c>
    </row>
    <row r="1279" spans="1:19" x14ac:dyDescent="0.3">
      <c r="A1279" s="4">
        <v>1277</v>
      </c>
      <c r="B1279" s="2" t="s">
        <v>2273</v>
      </c>
      <c r="C1279" s="3">
        <v>44845</v>
      </c>
      <c r="D1279" s="3" t="str">
        <f>TEXT(Table1[[#This Row],[Admission Date]],"MMMM")</f>
        <v>October</v>
      </c>
      <c r="E1279" s="3">
        <v>44850</v>
      </c>
      <c r="F1279" s="3">
        <v>44850</v>
      </c>
      <c r="G1279" s="2">
        <v>22027350</v>
      </c>
      <c r="H1279" s="2">
        <v>2235550</v>
      </c>
      <c r="I1279" s="2">
        <v>1001803763</v>
      </c>
      <c r="J1279" s="2" t="s">
        <v>995</v>
      </c>
      <c r="K1279" s="10">
        <v>67792</v>
      </c>
      <c r="L1279" s="10">
        <v>8135</v>
      </c>
      <c r="M1279" s="10">
        <v>59657</v>
      </c>
      <c r="N1279" s="10">
        <v>3925</v>
      </c>
      <c r="O1279" s="10">
        <f>Table1[[#This Row],[NET Amount]]-Table1[[#This Row],[Paid Amount]]</f>
        <v>55732</v>
      </c>
      <c r="P1279" s="2" t="s">
        <v>23</v>
      </c>
      <c r="Q1279" s="2" t="s">
        <v>52</v>
      </c>
      <c r="R1279" s="16">
        <f>(Table1[[#This Row],[NET Amount]]-Table1[[#This Row],[Total Outstanding Amount]])/Table1[[#This Row],[NET Amount]]</f>
        <v>6.5792782070838288E-2</v>
      </c>
      <c r="S1279" s="2" t="s">
        <v>20</v>
      </c>
    </row>
    <row r="1280" spans="1:19" x14ac:dyDescent="0.3">
      <c r="A1280" s="4">
        <v>1278</v>
      </c>
      <c r="B1280" s="2" t="s">
        <v>126</v>
      </c>
      <c r="C1280" s="3">
        <v>44846</v>
      </c>
      <c r="D1280" s="3" t="str">
        <f>TEXT(Table1[[#This Row],[Admission Date]],"MMMM")</f>
        <v>October</v>
      </c>
      <c r="E1280" s="3">
        <v>44850</v>
      </c>
      <c r="F1280" s="3">
        <v>44850</v>
      </c>
      <c r="G1280" s="2">
        <v>22027300</v>
      </c>
      <c r="H1280" s="2">
        <v>2235734</v>
      </c>
      <c r="I1280" s="2">
        <v>10013542749</v>
      </c>
      <c r="J1280" s="2" t="s">
        <v>996</v>
      </c>
      <c r="K1280" s="10">
        <v>67281</v>
      </c>
      <c r="L1280" s="10">
        <v>9017</v>
      </c>
      <c r="M1280" s="10">
        <v>58264</v>
      </c>
      <c r="N1280" s="10">
        <v>8381</v>
      </c>
      <c r="O1280" s="10">
        <f>Table1[[#This Row],[NET Amount]]-Table1[[#This Row],[Paid Amount]]</f>
        <v>49883</v>
      </c>
      <c r="P1280" s="2" t="s">
        <v>23</v>
      </c>
      <c r="Q1280" s="2" t="s">
        <v>24</v>
      </c>
      <c r="R1280" s="16">
        <f>(Table1[[#This Row],[NET Amount]]-Table1[[#This Row],[Total Outstanding Amount]])/Table1[[#This Row],[NET Amount]]</f>
        <v>0.14384525607579293</v>
      </c>
      <c r="S1280" s="2" t="s">
        <v>32</v>
      </c>
    </row>
    <row r="1281" spans="1:19" x14ac:dyDescent="0.3">
      <c r="A1281" s="4">
        <v>1279</v>
      </c>
      <c r="B1281" s="2" t="s">
        <v>50</v>
      </c>
      <c r="C1281" s="3">
        <v>44861</v>
      </c>
      <c r="D1281" s="3" t="str">
        <f>TEXT(Table1[[#This Row],[Admission Date]],"MMMM")</f>
        <v>October</v>
      </c>
      <c r="E1281" s="3">
        <v>44863</v>
      </c>
      <c r="F1281" s="3">
        <v>44863</v>
      </c>
      <c r="G1281" s="2">
        <v>22029115</v>
      </c>
      <c r="H1281" s="2">
        <v>2237660</v>
      </c>
      <c r="I1281" s="2">
        <v>1001806577</v>
      </c>
      <c r="J1281" s="2" t="s">
        <v>997</v>
      </c>
      <c r="K1281" s="10">
        <v>36410</v>
      </c>
      <c r="L1281" s="10">
        <v>0</v>
      </c>
      <c r="M1281" s="10">
        <v>36410</v>
      </c>
      <c r="N1281" s="10">
        <v>36410</v>
      </c>
      <c r="O1281" s="10">
        <f>Table1[[#This Row],[NET Amount]]-Table1[[#This Row],[Paid Amount]]</f>
        <v>0</v>
      </c>
      <c r="P1281" s="2" t="s">
        <v>18</v>
      </c>
      <c r="Q1281" s="2" t="s">
        <v>42</v>
      </c>
      <c r="R1281" s="16">
        <f>(Table1[[#This Row],[NET Amount]]-Table1[[#This Row],[Total Outstanding Amount]])/Table1[[#This Row],[NET Amount]]</f>
        <v>1</v>
      </c>
      <c r="S1281" s="2" t="s">
        <v>37</v>
      </c>
    </row>
    <row r="1282" spans="1:19" x14ac:dyDescent="0.3">
      <c r="A1282" s="4">
        <v>1280</v>
      </c>
      <c r="B1282" s="2" t="s">
        <v>149</v>
      </c>
      <c r="C1282" s="3">
        <v>44845</v>
      </c>
      <c r="D1282" s="3" t="str">
        <f>TEXT(Table1[[#This Row],[Admission Date]],"MMMM")</f>
        <v>October</v>
      </c>
      <c r="E1282" s="3">
        <v>44846</v>
      </c>
      <c r="F1282" s="3">
        <v>44846</v>
      </c>
      <c r="G1282" s="2">
        <v>22026744</v>
      </c>
      <c r="H1282" s="2">
        <v>2235486</v>
      </c>
      <c r="I1282" s="2">
        <v>10013538984</v>
      </c>
      <c r="J1282" s="2" t="s">
        <v>998</v>
      </c>
      <c r="K1282" s="10">
        <v>39137</v>
      </c>
      <c r="L1282" s="10">
        <v>0</v>
      </c>
      <c r="M1282" s="10">
        <v>39137</v>
      </c>
      <c r="N1282" s="10">
        <v>1865</v>
      </c>
      <c r="O1282" s="10">
        <f>Table1[[#This Row],[NET Amount]]-Table1[[#This Row],[Paid Amount]]</f>
        <v>37272</v>
      </c>
      <c r="P1282" s="2" t="s">
        <v>23</v>
      </c>
      <c r="Q1282" s="2" t="s">
        <v>30</v>
      </c>
      <c r="R1282" s="16">
        <f>(Table1[[#This Row],[NET Amount]]-Table1[[#This Row],[Total Outstanding Amount]])/Table1[[#This Row],[NET Amount]]</f>
        <v>4.7653115977208269E-2</v>
      </c>
      <c r="S1282" s="2" t="s">
        <v>77</v>
      </c>
    </row>
    <row r="1283" spans="1:19" x14ac:dyDescent="0.3">
      <c r="A1283" s="4">
        <v>1281</v>
      </c>
      <c r="B1283" s="2" t="s">
        <v>25</v>
      </c>
      <c r="C1283" s="3">
        <v>44834</v>
      </c>
      <c r="D1283" s="3" t="str">
        <f>TEXT(Table1[[#This Row],[Admission Date]],"MMMM")</f>
        <v>September</v>
      </c>
      <c r="E1283" s="3">
        <v>44843</v>
      </c>
      <c r="F1283" s="3">
        <v>44843</v>
      </c>
      <c r="G1283" s="2">
        <v>22026298</v>
      </c>
      <c r="H1283" s="2">
        <v>2234063</v>
      </c>
      <c r="I1283" s="2">
        <v>1001801697</v>
      </c>
      <c r="J1283" s="2" t="s">
        <v>999</v>
      </c>
      <c r="K1283" s="10">
        <v>120311</v>
      </c>
      <c r="L1283" s="10">
        <v>14944</v>
      </c>
      <c r="M1283" s="10">
        <v>105367</v>
      </c>
      <c r="N1283" s="10">
        <v>105367</v>
      </c>
      <c r="O1283" s="10">
        <f>Table1[[#This Row],[NET Amount]]-Table1[[#This Row],[Paid Amount]]</f>
        <v>0</v>
      </c>
      <c r="P1283" s="2" t="s">
        <v>18</v>
      </c>
      <c r="Q1283" s="2" t="s">
        <v>19</v>
      </c>
      <c r="R1283" s="16">
        <f>(Table1[[#This Row],[NET Amount]]-Table1[[#This Row],[Total Outstanding Amount]])/Table1[[#This Row],[NET Amount]]</f>
        <v>1</v>
      </c>
      <c r="S1283" s="2" t="s">
        <v>37</v>
      </c>
    </row>
    <row r="1284" spans="1:19" x14ac:dyDescent="0.3">
      <c r="A1284" s="4">
        <v>1282</v>
      </c>
      <c r="B1284" s="2" t="s">
        <v>2244</v>
      </c>
      <c r="C1284" s="3">
        <v>44838</v>
      </c>
      <c r="D1284" s="3" t="str">
        <f>TEXT(Table1[[#This Row],[Admission Date]],"MMMM")</f>
        <v>October</v>
      </c>
      <c r="E1284" s="3">
        <v>44838</v>
      </c>
      <c r="F1284" s="3">
        <v>44838</v>
      </c>
      <c r="G1284" s="2">
        <v>22025565</v>
      </c>
      <c r="H1284" s="2">
        <v>2234570</v>
      </c>
      <c r="I1284" s="2">
        <v>1001755099</v>
      </c>
      <c r="J1284" s="2" t="s">
        <v>750</v>
      </c>
      <c r="K1284" s="10">
        <v>1610</v>
      </c>
      <c r="L1284" s="10">
        <v>0</v>
      </c>
      <c r="M1284" s="10">
        <v>1610</v>
      </c>
      <c r="N1284" s="10">
        <v>1610</v>
      </c>
      <c r="O1284" s="10">
        <f>Table1[[#This Row],[NET Amount]]-Table1[[#This Row],[Paid Amount]]</f>
        <v>0</v>
      </c>
      <c r="P1284" s="2" t="s">
        <v>18</v>
      </c>
      <c r="Q1284" s="2" t="s">
        <v>54</v>
      </c>
      <c r="R1284" s="16">
        <f>(Table1[[#This Row],[NET Amount]]-Table1[[#This Row],[Total Outstanding Amount]])/Table1[[#This Row],[NET Amount]]</f>
        <v>1</v>
      </c>
      <c r="S1284" s="2" t="s">
        <v>97</v>
      </c>
    </row>
    <row r="1285" spans="1:19" x14ac:dyDescent="0.3">
      <c r="A1285" s="4">
        <v>1283</v>
      </c>
      <c r="B1285" s="2" t="s">
        <v>45</v>
      </c>
      <c r="C1285" s="3">
        <v>44853</v>
      </c>
      <c r="D1285" s="3" t="str">
        <f>TEXT(Table1[[#This Row],[Admission Date]],"MMMM")</f>
        <v>October</v>
      </c>
      <c r="E1285" s="3">
        <v>44853</v>
      </c>
      <c r="F1285" s="3">
        <v>44853</v>
      </c>
      <c r="G1285" s="2">
        <v>22027662</v>
      </c>
      <c r="H1285" s="2">
        <v>2236592</v>
      </c>
      <c r="I1285" s="2">
        <v>10013464572</v>
      </c>
      <c r="J1285" s="2" t="s">
        <v>278</v>
      </c>
      <c r="K1285" s="10">
        <v>4840</v>
      </c>
      <c r="L1285" s="10">
        <v>1062</v>
      </c>
      <c r="M1285" s="10">
        <v>3778</v>
      </c>
      <c r="N1285" s="10">
        <v>1578</v>
      </c>
      <c r="O1285" s="10">
        <f>Table1[[#This Row],[NET Amount]]-Table1[[#This Row],[Paid Amount]]</f>
        <v>2200</v>
      </c>
      <c r="P1285" s="2" t="s">
        <v>23</v>
      </c>
      <c r="Q1285" s="2" t="s">
        <v>147</v>
      </c>
      <c r="R1285" s="16">
        <f>(Table1[[#This Row],[NET Amount]]-Table1[[#This Row],[Total Outstanding Amount]])/Table1[[#This Row],[NET Amount]]</f>
        <v>0.41768131286394916</v>
      </c>
      <c r="S1285" s="2" t="s">
        <v>97</v>
      </c>
    </row>
    <row r="1286" spans="1:19" x14ac:dyDescent="0.3">
      <c r="A1286" s="4">
        <v>1284</v>
      </c>
      <c r="B1286" s="2" t="s">
        <v>126</v>
      </c>
      <c r="C1286" s="3">
        <v>44837</v>
      </c>
      <c r="D1286" s="3" t="str">
        <f>TEXT(Table1[[#This Row],[Admission Date]],"MMMM")</f>
        <v>October</v>
      </c>
      <c r="E1286" s="3">
        <v>44841</v>
      </c>
      <c r="F1286" s="3">
        <v>44841</v>
      </c>
      <c r="G1286" s="2">
        <v>22025985</v>
      </c>
      <c r="H1286" s="2">
        <v>2234404</v>
      </c>
      <c r="I1286" s="2">
        <v>10013363165</v>
      </c>
      <c r="J1286" s="2" t="s">
        <v>1000</v>
      </c>
      <c r="K1286" s="10">
        <v>64696</v>
      </c>
      <c r="L1286" s="10">
        <v>8585</v>
      </c>
      <c r="M1286" s="10">
        <v>56111</v>
      </c>
      <c r="N1286" s="10">
        <v>4442</v>
      </c>
      <c r="O1286" s="10">
        <f>Table1[[#This Row],[NET Amount]]-Table1[[#This Row],[Paid Amount]]</f>
        <v>51669</v>
      </c>
      <c r="P1286" s="2" t="s">
        <v>23</v>
      </c>
      <c r="Q1286" s="2" t="s">
        <v>19</v>
      </c>
      <c r="R1286" s="16">
        <f>(Table1[[#This Row],[NET Amount]]-Table1[[#This Row],[Total Outstanding Amount]])/Table1[[#This Row],[NET Amount]]</f>
        <v>7.9164513197055836E-2</v>
      </c>
      <c r="S1286" s="2" t="s">
        <v>20</v>
      </c>
    </row>
    <row r="1287" spans="1:19" x14ac:dyDescent="0.3">
      <c r="A1287" s="4">
        <v>1285</v>
      </c>
      <c r="B1287" s="2" t="s">
        <v>2244</v>
      </c>
      <c r="C1287" s="3">
        <v>44845</v>
      </c>
      <c r="D1287" s="3" t="str">
        <f>TEXT(Table1[[#This Row],[Admission Date]],"MMMM")</f>
        <v>October</v>
      </c>
      <c r="E1287" s="3">
        <v>44845</v>
      </c>
      <c r="F1287" s="3">
        <v>44845</v>
      </c>
      <c r="G1287" s="2">
        <v>22026618</v>
      </c>
      <c r="H1287" s="2">
        <v>2235545</v>
      </c>
      <c r="I1287" s="2">
        <v>1001735831</v>
      </c>
      <c r="J1287" s="2" t="s">
        <v>693</v>
      </c>
      <c r="K1287" s="10">
        <v>2560</v>
      </c>
      <c r="L1287" s="10">
        <v>0</v>
      </c>
      <c r="M1287" s="10">
        <v>2560</v>
      </c>
      <c r="N1287" s="10">
        <v>2560</v>
      </c>
      <c r="O1287" s="10">
        <f>Table1[[#This Row],[NET Amount]]-Table1[[#This Row],[Paid Amount]]</f>
        <v>0</v>
      </c>
      <c r="P1287" s="2" t="s">
        <v>18</v>
      </c>
      <c r="Q1287" s="2" t="s">
        <v>54</v>
      </c>
      <c r="R1287" s="16">
        <f>(Table1[[#This Row],[NET Amount]]-Table1[[#This Row],[Total Outstanding Amount]])/Table1[[#This Row],[NET Amount]]</f>
        <v>1</v>
      </c>
      <c r="S1287" s="2" t="s">
        <v>97</v>
      </c>
    </row>
    <row r="1288" spans="1:19" x14ac:dyDescent="0.3">
      <c r="A1288" s="4">
        <v>1286</v>
      </c>
      <c r="B1288" s="2" t="s">
        <v>25</v>
      </c>
      <c r="C1288" s="3">
        <v>44838</v>
      </c>
      <c r="D1288" s="3" t="str">
        <f>TEXT(Table1[[#This Row],[Admission Date]],"MMMM")</f>
        <v>October</v>
      </c>
      <c r="E1288" s="3">
        <v>44840</v>
      </c>
      <c r="F1288" s="3">
        <v>44840</v>
      </c>
      <c r="G1288" s="2">
        <v>22025839</v>
      </c>
      <c r="H1288" s="2">
        <v>2234642</v>
      </c>
      <c r="I1288" s="2">
        <v>1001802488</v>
      </c>
      <c r="J1288" s="2" t="s">
        <v>1001</v>
      </c>
      <c r="K1288" s="10">
        <v>39799</v>
      </c>
      <c r="L1288" s="10">
        <v>8891</v>
      </c>
      <c r="M1288" s="10">
        <v>30908</v>
      </c>
      <c r="N1288" s="10">
        <v>30908</v>
      </c>
      <c r="O1288" s="10">
        <f>Table1[[#This Row],[NET Amount]]-Table1[[#This Row],[Paid Amount]]</f>
        <v>0</v>
      </c>
      <c r="P1288" s="2" t="s">
        <v>18</v>
      </c>
      <c r="Q1288" s="2" t="s">
        <v>24</v>
      </c>
      <c r="R1288" s="16">
        <f>(Table1[[#This Row],[NET Amount]]-Table1[[#This Row],[Total Outstanding Amount]])/Table1[[#This Row],[NET Amount]]</f>
        <v>1</v>
      </c>
      <c r="S1288" s="2" t="s">
        <v>27</v>
      </c>
    </row>
    <row r="1289" spans="1:19" x14ac:dyDescent="0.3">
      <c r="A1289" s="4">
        <v>1287</v>
      </c>
      <c r="B1289" s="2" t="s">
        <v>50</v>
      </c>
      <c r="C1289" s="3">
        <v>44839</v>
      </c>
      <c r="D1289" s="3" t="str">
        <f>TEXT(Table1[[#This Row],[Admission Date]],"MMMM")</f>
        <v>October</v>
      </c>
      <c r="E1289" s="3">
        <v>44839</v>
      </c>
      <c r="F1289" s="3">
        <v>44839</v>
      </c>
      <c r="G1289" s="2">
        <v>22025709</v>
      </c>
      <c r="H1289" s="2">
        <v>2234708</v>
      </c>
      <c r="I1289" s="2">
        <v>1001564406</v>
      </c>
      <c r="J1289" s="2" t="s">
        <v>183</v>
      </c>
      <c r="K1289" s="10">
        <v>2200</v>
      </c>
      <c r="L1289" s="10">
        <v>0</v>
      </c>
      <c r="M1289" s="10">
        <v>2200</v>
      </c>
      <c r="N1289" s="10">
        <v>330</v>
      </c>
      <c r="O1289" s="10">
        <f>Table1[[#This Row],[NET Amount]]-Table1[[#This Row],[Paid Amount]]</f>
        <v>1870</v>
      </c>
      <c r="P1289" s="2" t="s">
        <v>23</v>
      </c>
      <c r="Q1289" s="2" t="s">
        <v>147</v>
      </c>
      <c r="R1289" s="16">
        <f>(Table1[[#This Row],[NET Amount]]-Table1[[#This Row],[Total Outstanding Amount]])/Table1[[#This Row],[NET Amount]]</f>
        <v>0.15</v>
      </c>
      <c r="S1289" s="2" t="s">
        <v>97</v>
      </c>
    </row>
    <row r="1290" spans="1:19" x14ac:dyDescent="0.3">
      <c r="A1290" s="4">
        <v>1288</v>
      </c>
      <c r="B1290" s="2" t="s">
        <v>25</v>
      </c>
      <c r="C1290" s="3">
        <v>44839</v>
      </c>
      <c r="D1290" s="3" t="str">
        <f>TEXT(Table1[[#This Row],[Admission Date]],"MMMM")</f>
        <v>October</v>
      </c>
      <c r="E1290" s="3">
        <v>44839</v>
      </c>
      <c r="F1290" s="3">
        <v>44839</v>
      </c>
      <c r="G1290" s="2">
        <v>22025706</v>
      </c>
      <c r="H1290" s="2">
        <v>2234714</v>
      </c>
      <c r="I1290" s="2">
        <v>10013539422</v>
      </c>
      <c r="J1290" s="2" t="s">
        <v>552</v>
      </c>
      <c r="K1290" s="10">
        <v>2844</v>
      </c>
      <c r="L1290" s="10">
        <v>308</v>
      </c>
      <c r="M1290" s="10">
        <v>2536</v>
      </c>
      <c r="N1290" s="10">
        <v>2536</v>
      </c>
      <c r="O1290" s="10">
        <f>Table1[[#This Row],[NET Amount]]-Table1[[#This Row],[Paid Amount]]</f>
        <v>0</v>
      </c>
      <c r="P1290" s="2" t="s">
        <v>18</v>
      </c>
      <c r="Q1290" s="2" t="s">
        <v>54</v>
      </c>
      <c r="R1290" s="16">
        <f>(Table1[[#This Row],[NET Amount]]-Table1[[#This Row],[Total Outstanding Amount]])/Table1[[#This Row],[NET Amount]]</f>
        <v>1</v>
      </c>
      <c r="S1290" s="2" t="s">
        <v>97</v>
      </c>
    </row>
    <row r="1291" spans="1:19" x14ac:dyDescent="0.3">
      <c r="A1291" s="4">
        <v>1289</v>
      </c>
      <c r="B1291" s="2" t="s">
        <v>25</v>
      </c>
      <c r="C1291" s="3">
        <v>44834</v>
      </c>
      <c r="D1291" s="3" t="str">
        <f>TEXT(Table1[[#This Row],[Admission Date]],"MMMM")</f>
        <v>September</v>
      </c>
      <c r="E1291" s="3">
        <v>44838</v>
      </c>
      <c r="F1291" s="3">
        <v>44838</v>
      </c>
      <c r="G1291" s="2">
        <v>22025495</v>
      </c>
      <c r="H1291" s="2">
        <v>2234109</v>
      </c>
      <c r="I1291" s="2">
        <v>10013541039</v>
      </c>
      <c r="J1291" s="2" t="s">
        <v>1002</v>
      </c>
      <c r="K1291" s="10">
        <v>68832</v>
      </c>
      <c r="L1291" s="10">
        <v>8910</v>
      </c>
      <c r="M1291" s="10">
        <v>59922</v>
      </c>
      <c r="N1291" s="10">
        <v>59922</v>
      </c>
      <c r="O1291" s="10">
        <f>Table1[[#This Row],[NET Amount]]-Table1[[#This Row],[Paid Amount]]</f>
        <v>0</v>
      </c>
      <c r="P1291" s="2" t="s">
        <v>18</v>
      </c>
      <c r="Q1291" s="2" t="s">
        <v>24</v>
      </c>
      <c r="R1291" s="16">
        <f>(Table1[[#This Row],[NET Amount]]-Table1[[#This Row],[Total Outstanding Amount]])/Table1[[#This Row],[NET Amount]]</f>
        <v>1</v>
      </c>
      <c r="S1291" s="2" t="s">
        <v>20</v>
      </c>
    </row>
    <row r="1292" spans="1:19" x14ac:dyDescent="0.3">
      <c r="A1292" s="4">
        <v>1290</v>
      </c>
      <c r="B1292" s="2" t="s">
        <v>152</v>
      </c>
      <c r="C1292" s="3">
        <v>44841</v>
      </c>
      <c r="D1292" s="3" t="str">
        <f>TEXT(Table1[[#This Row],[Admission Date]],"MMMM")</f>
        <v>October</v>
      </c>
      <c r="E1292" s="3">
        <v>44844</v>
      </c>
      <c r="F1292" s="3">
        <v>44844</v>
      </c>
      <c r="G1292" s="2">
        <v>22026376</v>
      </c>
      <c r="H1292" s="2">
        <v>2235099</v>
      </c>
      <c r="I1292" s="2">
        <v>10013539951</v>
      </c>
      <c r="J1292" s="2" t="s">
        <v>1003</v>
      </c>
      <c r="K1292" s="10">
        <v>20442</v>
      </c>
      <c r="L1292" s="10">
        <v>0</v>
      </c>
      <c r="M1292" s="10">
        <v>20442</v>
      </c>
      <c r="N1292" s="10">
        <v>20442</v>
      </c>
      <c r="O1292" s="10">
        <f>Table1[[#This Row],[NET Amount]]-Table1[[#This Row],[Paid Amount]]</f>
        <v>0</v>
      </c>
      <c r="P1292" s="2" t="s">
        <v>18</v>
      </c>
      <c r="Q1292" s="2" t="s">
        <v>24</v>
      </c>
      <c r="R1292" s="16">
        <f>(Table1[[#This Row],[NET Amount]]-Table1[[#This Row],[Total Outstanding Amount]])/Table1[[#This Row],[NET Amount]]</f>
        <v>1</v>
      </c>
      <c r="S1292" s="2" t="s">
        <v>27</v>
      </c>
    </row>
    <row r="1293" spans="1:19" x14ac:dyDescent="0.3">
      <c r="A1293" s="4">
        <v>1291</v>
      </c>
      <c r="B1293" s="2" t="s">
        <v>75</v>
      </c>
      <c r="C1293" s="3">
        <v>44843</v>
      </c>
      <c r="D1293" s="3" t="str">
        <f>TEXT(Table1[[#This Row],[Admission Date]],"MMMM")</f>
        <v>October</v>
      </c>
      <c r="E1293" s="3">
        <v>44847</v>
      </c>
      <c r="F1293" s="3">
        <v>44847</v>
      </c>
      <c r="G1293" s="2">
        <v>22026881</v>
      </c>
      <c r="H1293" s="2">
        <v>2235271</v>
      </c>
      <c r="I1293" s="2">
        <v>10013538949</v>
      </c>
      <c r="J1293" s="2" t="s">
        <v>1004</v>
      </c>
      <c r="K1293" s="10">
        <v>31746</v>
      </c>
      <c r="L1293" s="10">
        <v>0</v>
      </c>
      <c r="M1293" s="10">
        <v>31746</v>
      </c>
      <c r="N1293" s="10">
        <v>2184</v>
      </c>
      <c r="O1293" s="10">
        <f>Table1[[#This Row],[NET Amount]]-Table1[[#This Row],[Paid Amount]]</f>
        <v>29562</v>
      </c>
      <c r="P1293" s="2" t="s">
        <v>23</v>
      </c>
      <c r="Q1293" s="2" t="s">
        <v>24</v>
      </c>
      <c r="R1293" s="16">
        <f>(Table1[[#This Row],[NET Amount]]-Table1[[#This Row],[Total Outstanding Amount]])/Table1[[#This Row],[NET Amount]]</f>
        <v>6.8796068796068796E-2</v>
      </c>
      <c r="S1293" s="2" t="s">
        <v>65</v>
      </c>
    </row>
    <row r="1294" spans="1:19" x14ac:dyDescent="0.3">
      <c r="A1294" s="4">
        <v>1292</v>
      </c>
      <c r="B1294" s="2" t="s">
        <v>35</v>
      </c>
      <c r="C1294" s="3">
        <v>44840</v>
      </c>
      <c r="D1294" s="3" t="str">
        <f>TEXT(Table1[[#This Row],[Admission Date]],"MMMM")</f>
        <v>October</v>
      </c>
      <c r="E1294" s="3">
        <v>44848</v>
      </c>
      <c r="F1294" s="3">
        <v>44848</v>
      </c>
      <c r="G1294" s="2">
        <v>22027038</v>
      </c>
      <c r="H1294" s="2">
        <v>2234852</v>
      </c>
      <c r="I1294" s="2">
        <v>10013528786</v>
      </c>
      <c r="J1294" s="2" t="s">
        <v>1005</v>
      </c>
      <c r="K1294" s="10">
        <v>69223</v>
      </c>
      <c r="L1294" s="10">
        <v>0</v>
      </c>
      <c r="M1294" s="10">
        <v>69223</v>
      </c>
      <c r="N1294" s="10">
        <v>69223</v>
      </c>
      <c r="O1294" s="10">
        <f>Table1[[#This Row],[NET Amount]]-Table1[[#This Row],[Paid Amount]]</f>
        <v>0</v>
      </c>
      <c r="P1294" s="2" t="s">
        <v>18</v>
      </c>
      <c r="Q1294" s="2" t="s">
        <v>24</v>
      </c>
      <c r="R1294" s="16">
        <f>(Table1[[#This Row],[NET Amount]]-Table1[[#This Row],[Total Outstanding Amount]])/Table1[[#This Row],[NET Amount]]</f>
        <v>1</v>
      </c>
      <c r="S1294" s="2" t="s">
        <v>65</v>
      </c>
    </row>
    <row r="1295" spans="1:19" x14ac:dyDescent="0.3">
      <c r="A1295" s="4">
        <v>1293</v>
      </c>
      <c r="B1295" s="2" t="s">
        <v>2251</v>
      </c>
      <c r="C1295" s="3">
        <v>44845</v>
      </c>
      <c r="D1295" s="3" t="str">
        <f>TEXT(Table1[[#This Row],[Admission Date]],"MMMM")</f>
        <v>October</v>
      </c>
      <c r="E1295" s="3">
        <v>44847</v>
      </c>
      <c r="F1295" s="3">
        <v>44847</v>
      </c>
      <c r="G1295" s="2">
        <v>22026863</v>
      </c>
      <c r="H1295" s="2">
        <v>2235585</v>
      </c>
      <c r="I1295" s="2">
        <v>1001803806</v>
      </c>
      <c r="J1295" s="2" t="s">
        <v>1006</v>
      </c>
      <c r="K1295" s="10">
        <v>127337</v>
      </c>
      <c r="L1295" s="10">
        <v>14178</v>
      </c>
      <c r="M1295" s="10">
        <v>113159</v>
      </c>
      <c r="N1295" s="10">
        <v>2850</v>
      </c>
      <c r="O1295" s="10">
        <f>Table1[[#This Row],[NET Amount]]-Table1[[#This Row],[Paid Amount]]</f>
        <v>110309</v>
      </c>
      <c r="P1295" s="2" t="s">
        <v>23</v>
      </c>
      <c r="Q1295" s="2" t="s">
        <v>24</v>
      </c>
      <c r="R1295" s="16">
        <f>(Table1[[#This Row],[NET Amount]]-Table1[[#This Row],[Total Outstanding Amount]])/Table1[[#This Row],[NET Amount]]</f>
        <v>2.518580051078571E-2</v>
      </c>
      <c r="S1295" s="2" t="s">
        <v>55</v>
      </c>
    </row>
    <row r="1296" spans="1:19" x14ac:dyDescent="0.3">
      <c r="A1296" s="4">
        <v>1294</v>
      </c>
      <c r="B1296" s="2" t="s">
        <v>25</v>
      </c>
      <c r="C1296" s="3">
        <v>44847</v>
      </c>
      <c r="D1296" s="3" t="str">
        <f>TEXT(Table1[[#This Row],[Admission Date]],"MMMM")</f>
        <v>October</v>
      </c>
      <c r="E1296" s="3">
        <v>44847</v>
      </c>
      <c r="F1296" s="3">
        <v>44847</v>
      </c>
      <c r="G1296" s="2">
        <v>22026947</v>
      </c>
      <c r="H1296" s="2">
        <v>2235870</v>
      </c>
      <c r="I1296" s="2">
        <v>10013440543</v>
      </c>
      <c r="J1296" s="2" t="s">
        <v>96</v>
      </c>
      <c r="K1296" s="10">
        <v>2794</v>
      </c>
      <c r="L1296" s="10">
        <v>2794</v>
      </c>
      <c r="M1296" s="10">
        <v>0</v>
      </c>
      <c r="N1296" s="10">
        <v>0</v>
      </c>
      <c r="O1296" s="10">
        <f>Table1[[#This Row],[NET Amount]]-Table1[[#This Row],[Paid Amount]]</f>
        <v>0</v>
      </c>
      <c r="P1296" s="2" t="s">
        <v>18</v>
      </c>
      <c r="Q1296" s="2" t="s">
        <v>90</v>
      </c>
      <c r="R1296" s="16" t="e">
        <f>(Table1[[#This Row],[NET Amount]]-Table1[[#This Row],[Total Outstanding Amount]])/Table1[[#This Row],[NET Amount]]</f>
        <v>#DIV/0!</v>
      </c>
      <c r="S1296" s="2" t="s">
        <v>97</v>
      </c>
    </row>
    <row r="1297" spans="1:19" x14ac:dyDescent="0.3">
      <c r="A1297" s="4">
        <v>1295</v>
      </c>
      <c r="B1297" s="2" t="s">
        <v>139</v>
      </c>
      <c r="C1297" s="3">
        <v>44847</v>
      </c>
      <c r="D1297" s="3" t="str">
        <f>TEXT(Table1[[#This Row],[Admission Date]],"MMMM")</f>
        <v>October</v>
      </c>
      <c r="E1297" s="3">
        <v>44847</v>
      </c>
      <c r="F1297" s="3">
        <v>44847</v>
      </c>
      <c r="G1297" s="2">
        <v>22026941</v>
      </c>
      <c r="H1297" s="2">
        <v>2235863</v>
      </c>
      <c r="I1297" s="2">
        <v>10013353354</v>
      </c>
      <c r="J1297" s="2" t="s">
        <v>374</v>
      </c>
      <c r="K1297" s="10">
        <v>2200</v>
      </c>
      <c r="L1297" s="10">
        <v>0</v>
      </c>
      <c r="M1297" s="10">
        <v>2200</v>
      </c>
      <c r="N1297" s="10">
        <v>220</v>
      </c>
      <c r="O1297" s="10">
        <f>Table1[[#This Row],[NET Amount]]-Table1[[#This Row],[Paid Amount]]</f>
        <v>1980</v>
      </c>
      <c r="P1297" s="2" t="s">
        <v>23</v>
      </c>
      <c r="Q1297" s="2" t="s">
        <v>147</v>
      </c>
      <c r="R1297" s="16">
        <f>(Table1[[#This Row],[NET Amount]]-Table1[[#This Row],[Total Outstanding Amount]])/Table1[[#This Row],[NET Amount]]</f>
        <v>0.1</v>
      </c>
      <c r="S1297" s="2" t="s">
        <v>97</v>
      </c>
    </row>
    <row r="1298" spans="1:19" x14ac:dyDescent="0.3">
      <c r="A1298" s="4">
        <v>1296</v>
      </c>
      <c r="B1298" s="2" t="s">
        <v>117</v>
      </c>
      <c r="C1298" s="3">
        <v>44859</v>
      </c>
      <c r="D1298" s="3" t="str">
        <f>TEXT(Table1[[#This Row],[Admission Date]],"MMMM")</f>
        <v>October</v>
      </c>
      <c r="E1298" s="3">
        <v>44859</v>
      </c>
      <c r="F1298" s="3">
        <v>44859</v>
      </c>
      <c r="G1298" s="2">
        <v>22028539</v>
      </c>
      <c r="H1298" s="2">
        <v>2237294</v>
      </c>
      <c r="I1298" s="2">
        <v>10013544365</v>
      </c>
      <c r="J1298" s="2" t="s">
        <v>118</v>
      </c>
      <c r="K1298" s="10">
        <v>11500</v>
      </c>
      <c r="L1298" s="10">
        <v>0</v>
      </c>
      <c r="M1298" s="10">
        <v>11500</v>
      </c>
      <c r="N1298" s="10">
        <v>11500</v>
      </c>
      <c r="O1298" s="10">
        <f>Table1[[#This Row],[NET Amount]]-Table1[[#This Row],[Paid Amount]]</f>
        <v>0</v>
      </c>
      <c r="P1298" s="2" t="s">
        <v>18</v>
      </c>
      <c r="Q1298" s="2" t="s">
        <v>24</v>
      </c>
      <c r="R1298" s="16">
        <f>(Table1[[#This Row],[NET Amount]]-Table1[[#This Row],[Total Outstanding Amount]])/Table1[[#This Row],[NET Amount]]</f>
        <v>1</v>
      </c>
      <c r="S1298" s="2" t="s">
        <v>39</v>
      </c>
    </row>
    <row r="1299" spans="1:19" x14ac:dyDescent="0.3">
      <c r="A1299" s="4">
        <v>1297</v>
      </c>
      <c r="B1299" s="2" t="s">
        <v>25</v>
      </c>
      <c r="C1299" s="3">
        <v>44847</v>
      </c>
      <c r="D1299" s="3" t="str">
        <f>TEXT(Table1[[#This Row],[Admission Date]],"MMMM")</f>
        <v>October</v>
      </c>
      <c r="E1299" s="3">
        <v>44849</v>
      </c>
      <c r="F1299" s="3">
        <v>44849</v>
      </c>
      <c r="G1299" s="2">
        <v>22027173</v>
      </c>
      <c r="H1299" s="2">
        <v>2235840</v>
      </c>
      <c r="I1299" s="2">
        <v>1001804152</v>
      </c>
      <c r="J1299" s="2" t="s">
        <v>1007</v>
      </c>
      <c r="K1299" s="10">
        <v>19169</v>
      </c>
      <c r="L1299" s="10">
        <v>2386</v>
      </c>
      <c r="M1299" s="10">
        <v>16783</v>
      </c>
      <c r="N1299" s="10">
        <v>16783</v>
      </c>
      <c r="O1299" s="10">
        <f>Table1[[#This Row],[NET Amount]]-Table1[[#This Row],[Paid Amount]]</f>
        <v>0</v>
      </c>
      <c r="P1299" s="2" t="s">
        <v>18</v>
      </c>
      <c r="Q1299" s="2" t="s">
        <v>19</v>
      </c>
      <c r="R1299" s="16">
        <f>(Table1[[#This Row],[NET Amount]]-Table1[[#This Row],[Total Outstanding Amount]])/Table1[[#This Row],[NET Amount]]</f>
        <v>1</v>
      </c>
      <c r="S1299" s="2" t="s">
        <v>37</v>
      </c>
    </row>
    <row r="1300" spans="1:19" x14ac:dyDescent="0.3">
      <c r="A1300" s="4">
        <v>1298</v>
      </c>
      <c r="B1300" s="2" t="s">
        <v>139</v>
      </c>
      <c r="C1300" s="3">
        <v>44832</v>
      </c>
      <c r="D1300" s="3" t="str">
        <f>TEXT(Table1[[#This Row],[Admission Date]],"MMMM")</f>
        <v>September</v>
      </c>
      <c r="E1300" s="3">
        <v>44837</v>
      </c>
      <c r="F1300" s="3">
        <v>44837</v>
      </c>
      <c r="G1300" s="2">
        <v>22025356</v>
      </c>
      <c r="H1300" s="2">
        <v>2233837</v>
      </c>
      <c r="I1300" s="2">
        <v>10013540716</v>
      </c>
      <c r="J1300" s="2" t="s">
        <v>1008</v>
      </c>
      <c r="K1300" s="10">
        <v>84089</v>
      </c>
      <c r="L1300" s="10">
        <v>11416</v>
      </c>
      <c r="M1300" s="10">
        <v>72673</v>
      </c>
      <c r="N1300" s="10">
        <v>4146</v>
      </c>
      <c r="O1300" s="10">
        <f>Table1[[#This Row],[NET Amount]]-Table1[[#This Row],[Paid Amount]]</f>
        <v>68527</v>
      </c>
      <c r="P1300" s="2" t="s">
        <v>23</v>
      </c>
      <c r="Q1300" s="2" t="s">
        <v>30</v>
      </c>
      <c r="R1300" s="16">
        <f>(Table1[[#This Row],[NET Amount]]-Table1[[#This Row],[Total Outstanding Amount]])/Table1[[#This Row],[NET Amount]]</f>
        <v>5.7050073617437011E-2</v>
      </c>
      <c r="S1300" s="2" t="s">
        <v>20</v>
      </c>
    </row>
    <row r="1301" spans="1:19" x14ac:dyDescent="0.3">
      <c r="A1301" s="4">
        <v>1299</v>
      </c>
      <c r="B1301" s="2" t="s">
        <v>25</v>
      </c>
      <c r="C1301" s="3">
        <v>44838</v>
      </c>
      <c r="D1301" s="3" t="str">
        <f>TEXT(Table1[[#This Row],[Admission Date]],"MMMM")</f>
        <v>October</v>
      </c>
      <c r="E1301" s="3">
        <v>44838</v>
      </c>
      <c r="F1301" s="3">
        <v>44838</v>
      </c>
      <c r="G1301" s="2">
        <v>22025475</v>
      </c>
      <c r="H1301" s="2">
        <v>2234511</v>
      </c>
      <c r="I1301" s="2">
        <v>1000891305</v>
      </c>
      <c r="J1301" s="2" t="s">
        <v>725</v>
      </c>
      <c r="K1301" s="10">
        <v>2844</v>
      </c>
      <c r="L1301" s="10">
        <v>311</v>
      </c>
      <c r="M1301" s="10">
        <v>2533</v>
      </c>
      <c r="N1301" s="10">
        <v>2533</v>
      </c>
      <c r="O1301" s="10">
        <f>Table1[[#This Row],[NET Amount]]-Table1[[#This Row],[Paid Amount]]</f>
        <v>0</v>
      </c>
      <c r="P1301" s="2" t="s">
        <v>18</v>
      </c>
      <c r="Q1301" s="2" t="s">
        <v>54</v>
      </c>
      <c r="R1301" s="16">
        <f>(Table1[[#This Row],[NET Amount]]-Table1[[#This Row],[Total Outstanding Amount]])/Table1[[#This Row],[NET Amount]]</f>
        <v>1</v>
      </c>
      <c r="S1301" s="2" t="s">
        <v>97</v>
      </c>
    </row>
    <row r="1302" spans="1:19" x14ac:dyDescent="0.3">
      <c r="A1302" s="4">
        <v>1300</v>
      </c>
      <c r="B1302" s="2" t="s">
        <v>25</v>
      </c>
      <c r="C1302" s="3">
        <v>44838</v>
      </c>
      <c r="D1302" s="3" t="str">
        <f>TEXT(Table1[[#This Row],[Admission Date]],"MMMM")</f>
        <v>October</v>
      </c>
      <c r="E1302" s="3">
        <v>44838</v>
      </c>
      <c r="F1302" s="3">
        <v>44838</v>
      </c>
      <c r="G1302" s="2">
        <v>22025476</v>
      </c>
      <c r="H1302" s="2">
        <v>2234518</v>
      </c>
      <c r="I1302" s="2">
        <v>10013541160</v>
      </c>
      <c r="J1302" s="2" t="s">
        <v>336</v>
      </c>
      <c r="K1302" s="10">
        <v>4990</v>
      </c>
      <c r="L1302" s="10">
        <v>419</v>
      </c>
      <c r="M1302" s="10">
        <v>4571</v>
      </c>
      <c r="N1302" s="10">
        <v>4571</v>
      </c>
      <c r="O1302" s="10">
        <f>Table1[[#This Row],[NET Amount]]-Table1[[#This Row],[Paid Amount]]</f>
        <v>0</v>
      </c>
      <c r="P1302" s="2" t="s">
        <v>18</v>
      </c>
      <c r="Q1302" s="2" t="s">
        <v>54</v>
      </c>
      <c r="R1302" s="16">
        <f>(Table1[[#This Row],[NET Amount]]-Table1[[#This Row],[Total Outstanding Amount]])/Table1[[#This Row],[NET Amount]]</f>
        <v>1</v>
      </c>
      <c r="S1302" s="2" t="s">
        <v>97</v>
      </c>
    </row>
    <row r="1303" spans="1:19" x14ac:dyDescent="0.3">
      <c r="A1303" s="4">
        <v>1301</v>
      </c>
      <c r="B1303" s="2" t="s">
        <v>25</v>
      </c>
      <c r="C1303" s="3">
        <v>44859</v>
      </c>
      <c r="D1303" s="3" t="str">
        <f>TEXT(Table1[[#This Row],[Admission Date]],"MMMM")</f>
        <v>October</v>
      </c>
      <c r="E1303" s="3">
        <v>44859</v>
      </c>
      <c r="F1303" s="3">
        <v>44859</v>
      </c>
      <c r="G1303" s="2">
        <v>22028564</v>
      </c>
      <c r="H1303" s="2">
        <v>2237404</v>
      </c>
      <c r="I1303" s="2">
        <v>1001327108</v>
      </c>
      <c r="J1303" s="2" t="s">
        <v>321</v>
      </c>
      <c r="K1303" s="10">
        <v>2794</v>
      </c>
      <c r="L1303" s="10">
        <v>2794</v>
      </c>
      <c r="M1303" s="10">
        <v>0</v>
      </c>
      <c r="N1303" s="10">
        <v>0</v>
      </c>
      <c r="O1303" s="10">
        <f>Table1[[#This Row],[NET Amount]]-Table1[[#This Row],[Paid Amount]]</f>
        <v>0</v>
      </c>
      <c r="P1303" s="2" t="s">
        <v>18</v>
      </c>
      <c r="Q1303" s="2" t="s">
        <v>90</v>
      </c>
      <c r="R1303" s="16" t="e">
        <f>(Table1[[#This Row],[NET Amount]]-Table1[[#This Row],[Total Outstanding Amount]])/Table1[[#This Row],[NET Amount]]</f>
        <v>#DIV/0!</v>
      </c>
      <c r="S1303" s="2" t="s">
        <v>97</v>
      </c>
    </row>
    <row r="1304" spans="1:19" x14ac:dyDescent="0.3">
      <c r="A1304" s="4">
        <v>1302</v>
      </c>
      <c r="B1304" s="2" t="s">
        <v>25</v>
      </c>
      <c r="C1304" s="3">
        <v>44844</v>
      </c>
      <c r="D1304" s="3" t="str">
        <f>TEXT(Table1[[#This Row],[Admission Date]],"MMMM")</f>
        <v>October</v>
      </c>
      <c r="E1304" s="3">
        <v>44846</v>
      </c>
      <c r="F1304" s="3">
        <v>44846</v>
      </c>
      <c r="G1304" s="2">
        <v>22026729</v>
      </c>
      <c r="H1304" s="2">
        <v>2235409</v>
      </c>
      <c r="I1304" s="2">
        <v>10013540741</v>
      </c>
      <c r="J1304" s="2" t="s">
        <v>1009</v>
      </c>
      <c r="K1304" s="10">
        <v>52258</v>
      </c>
      <c r="L1304" s="10">
        <v>16677</v>
      </c>
      <c r="M1304" s="10">
        <v>35581</v>
      </c>
      <c r="N1304" s="10">
        <v>35581</v>
      </c>
      <c r="O1304" s="10">
        <f>Table1[[#This Row],[NET Amount]]-Table1[[#This Row],[Paid Amount]]</f>
        <v>0</v>
      </c>
      <c r="P1304" s="2" t="s">
        <v>18</v>
      </c>
      <c r="Q1304" s="2" t="s">
        <v>1010</v>
      </c>
      <c r="R1304" s="16">
        <f>(Table1[[#This Row],[NET Amount]]-Table1[[#This Row],[Total Outstanding Amount]])/Table1[[#This Row],[NET Amount]]</f>
        <v>1</v>
      </c>
      <c r="S1304" s="2" t="s">
        <v>65</v>
      </c>
    </row>
    <row r="1305" spans="1:19" x14ac:dyDescent="0.3">
      <c r="A1305" s="4">
        <v>1303</v>
      </c>
      <c r="B1305" s="2" t="s">
        <v>804</v>
      </c>
      <c r="C1305" s="3">
        <v>44848</v>
      </c>
      <c r="D1305" s="3" t="str">
        <f>TEXT(Table1[[#This Row],[Admission Date]],"MMMM")</f>
        <v>October</v>
      </c>
      <c r="E1305" s="3">
        <v>44848</v>
      </c>
      <c r="F1305" s="3">
        <v>44848</v>
      </c>
      <c r="G1305" s="2">
        <v>22027075</v>
      </c>
      <c r="H1305" s="2">
        <v>2235931</v>
      </c>
      <c r="I1305" s="2">
        <v>1001222346</v>
      </c>
      <c r="J1305" s="2" t="s">
        <v>1011</v>
      </c>
      <c r="K1305" s="10">
        <v>41083</v>
      </c>
      <c r="L1305" s="10">
        <v>0</v>
      </c>
      <c r="M1305" s="10">
        <v>41083</v>
      </c>
      <c r="N1305" s="10">
        <v>41083</v>
      </c>
      <c r="O1305" s="10">
        <f>Table1[[#This Row],[NET Amount]]-Table1[[#This Row],[Paid Amount]]</f>
        <v>0</v>
      </c>
      <c r="P1305" s="2" t="s">
        <v>18</v>
      </c>
      <c r="Q1305" s="2" t="s">
        <v>54</v>
      </c>
      <c r="R1305" s="16">
        <f>(Table1[[#This Row],[NET Amount]]-Table1[[#This Row],[Total Outstanding Amount]])/Table1[[#This Row],[NET Amount]]</f>
        <v>1</v>
      </c>
      <c r="S1305" s="2" t="s">
        <v>768</v>
      </c>
    </row>
    <row r="1306" spans="1:19" x14ac:dyDescent="0.3">
      <c r="A1306" s="4">
        <v>1304</v>
      </c>
      <c r="B1306" s="2" t="s">
        <v>25</v>
      </c>
      <c r="C1306" s="3">
        <v>44846</v>
      </c>
      <c r="D1306" s="3" t="str">
        <f>TEXT(Table1[[#This Row],[Admission Date]],"MMMM")</f>
        <v>October</v>
      </c>
      <c r="E1306" s="3">
        <v>44846</v>
      </c>
      <c r="F1306" s="3">
        <v>44846</v>
      </c>
      <c r="G1306" s="2">
        <v>22026726</v>
      </c>
      <c r="H1306" s="2">
        <v>2235677</v>
      </c>
      <c r="I1306" s="2">
        <v>10013539422</v>
      </c>
      <c r="J1306" s="2" t="s">
        <v>552</v>
      </c>
      <c r="K1306" s="10">
        <v>2844</v>
      </c>
      <c r="L1306" s="10">
        <v>308</v>
      </c>
      <c r="M1306" s="10">
        <v>2536</v>
      </c>
      <c r="N1306" s="10">
        <v>2536</v>
      </c>
      <c r="O1306" s="10">
        <f>Table1[[#This Row],[NET Amount]]-Table1[[#This Row],[Paid Amount]]</f>
        <v>0</v>
      </c>
      <c r="P1306" s="2" t="s">
        <v>18</v>
      </c>
      <c r="Q1306" s="2" t="s">
        <v>54</v>
      </c>
      <c r="R1306" s="16">
        <f>(Table1[[#This Row],[NET Amount]]-Table1[[#This Row],[Total Outstanding Amount]])/Table1[[#This Row],[NET Amount]]</f>
        <v>1</v>
      </c>
      <c r="S1306" s="2" t="s">
        <v>97</v>
      </c>
    </row>
    <row r="1307" spans="1:19" x14ac:dyDescent="0.3">
      <c r="A1307" s="4">
        <v>1305</v>
      </c>
      <c r="B1307" s="2" t="s">
        <v>50</v>
      </c>
      <c r="C1307" s="3">
        <v>44846</v>
      </c>
      <c r="D1307" s="3" t="str">
        <f>TEXT(Table1[[#This Row],[Admission Date]],"MMMM")</f>
        <v>October</v>
      </c>
      <c r="E1307" s="3">
        <v>44846</v>
      </c>
      <c r="F1307" s="3">
        <v>44846</v>
      </c>
      <c r="G1307" s="2">
        <v>22026739</v>
      </c>
      <c r="H1307" s="2">
        <v>2235702</v>
      </c>
      <c r="I1307" s="2">
        <v>1001564406</v>
      </c>
      <c r="J1307" s="2" t="s">
        <v>183</v>
      </c>
      <c r="K1307" s="10">
        <v>2200</v>
      </c>
      <c r="L1307" s="10">
        <v>0</v>
      </c>
      <c r="M1307" s="10">
        <v>2200</v>
      </c>
      <c r="N1307" s="10">
        <v>330</v>
      </c>
      <c r="O1307" s="10">
        <f>Table1[[#This Row],[NET Amount]]-Table1[[#This Row],[Paid Amount]]</f>
        <v>1870</v>
      </c>
      <c r="P1307" s="2" t="s">
        <v>23</v>
      </c>
      <c r="Q1307" s="2" t="s">
        <v>147</v>
      </c>
      <c r="R1307" s="16">
        <f>(Table1[[#This Row],[NET Amount]]-Table1[[#This Row],[Total Outstanding Amount]])/Table1[[#This Row],[NET Amount]]</f>
        <v>0.15</v>
      </c>
      <c r="S1307" s="2" t="s">
        <v>97</v>
      </c>
    </row>
    <row r="1308" spans="1:19" x14ac:dyDescent="0.3">
      <c r="A1308" s="4">
        <v>1306</v>
      </c>
      <c r="B1308" s="2" t="s">
        <v>25</v>
      </c>
      <c r="C1308" s="3">
        <v>44851</v>
      </c>
      <c r="D1308" s="3" t="str">
        <f>TEXT(Table1[[#This Row],[Admission Date]],"MMMM")</f>
        <v>October</v>
      </c>
      <c r="E1308" s="3">
        <v>44855</v>
      </c>
      <c r="F1308" s="3">
        <v>44855</v>
      </c>
      <c r="G1308" s="2">
        <v>22028001</v>
      </c>
      <c r="H1308" s="2">
        <v>2236271</v>
      </c>
      <c r="I1308" s="2">
        <v>10013543311</v>
      </c>
      <c r="J1308" s="2" t="s">
        <v>188</v>
      </c>
      <c r="K1308" s="10">
        <v>84082</v>
      </c>
      <c r="L1308" s="10">
        <v>11021</v>
      </c>
      <c r="M1308" s="10">
        <v>73060</v>
      </c>
      <c r="N1308" s="10">
        <v>73060</v>
      </c>
      <c r="O1308" s="10">
        <f>Table1[[#This Row],[NET Amount]]-Table1[[#This Row],[Paid Amount]]</f>
        <v>0</v>
      </c>
      <c r="P1308" s="2" t="s">
        <v>18</v>
      </c>
      <c r="Q1308" s="2" t="s">
        <v>30</v>
      </c>
      <c r="R1308" s="16">
        <f>(Table1[[#This Row],[NET Amount]]-Table1[[#This Row],[Total Outstanding Amount]])/Table1[[#This Row],[NET Amount]]</f>
        <v>1</v>
      </c>
      <c r="S1308" s="2" t="s">
        <v>20</v>
      </c>
    </row>
    <row r="1309" spans="1:19" x14ac:dyDescent="0.3">
      <c r="A1309" s="4">
        <v>1307</v>
      </c>
      <c r="B1309" s="2" t="s">
        <v>25</v>
      </c>
      <c r="C1309" s="3">
        <v>44853</v>
      </c>
      <c r="D1309" s="3" t="str">
        <f>TEXT(Table1[[#This Row],[Admission Date]],"MMMM")</f>
        <v>October</v>
      </c>
      <c r="E1309" s="3">
        <v>44855</v>
      </c>
      <c r="F1309" s="3">
        <v>44855</v>
      </c>
      <c r="G1309" s="2">
        <v>22027992</v>
      </c>
      <c r="H1309" s="2">
        <v>2236610</v>
      </c>
      <c r="I1309" s="2">
        <v>1001805239</v>
      </c>
      <c r="J1309" s="2" t="s">
        <v>1012</v>
      </c>
      <c r="K1309" s="10">
        <v>12498</v>
      </c>
      <c r="L1309" s="10">
        <v>1483</v>
      </c>
      <c r="M1309" s="10">
        <v>11015</v>
      </c>
      <c r="N1309" s="10">
        <v>11015</v>
      </c>
      <c r="O1309" s="10">
        <f>Table1[[#This Row],[NET Amount]]-Table1[[#This Row],[Paid Amount]]</f>
        <v>0</v>
      </c>
      <c r="P1309" s="2" t="s">
        <v>18</v>
      </c>
      <c r="Q1309" s="2" t="s">
        <v>24</v>
      </c>
      <c r="R1309" s="16">
        <f>(Table1[[#This Row],[NET Amount]]-Table1[[#This Row],[Total Outstanding Amount]])/Table1[[#This Row],[NET Amount]]</f>
        <v>1</v>
      </c>
      <c r="S1309" s="2" t="s">
        <v>37</v>
      </c>
    </row>
    <row r="1310" spans="1:19" x14ac:dyDescent="0.3">
      <c r="A1310" s="4">
        <v>1308</v>
      </c>
      <c r="B1310" s="2" t="s">
        <v>40</v>
      </c>
      <c r="C1310" s="3">
        <v>44838</v>
      </c>
      <c r="D1310" s="3" t="str">
        <f>TEXT(Table1[[#This Row],[Admission Date]],"MMMM")</f>
        <v>October</v>
      </c>
      <c r="E1310" s="3">
        <v>44839</v>
      </c>
      <c r="F1310" s="3">
        <v>44839</v>
      </c>
      <c r="G1310" s="2">
        <v>22025745</v>
      </c>
      <c r="H1310" s="2">
        <v>2234524</v>
      </c>
      <c r="I1310" s="2">
        <v>10013527730</v>
      </c>
      <c r="J1310" s="2" t="s">
        <v>1013</v>
      </c>
      <c r="K1310" s="10">
        <v>42326</v>
      </c>
      <c r="L1310" s="10">
        <v>1490</v>
      </c>
      <c r="M1310" s="10">
        <v>40836</v>
      </c>
      <c r="N1310" s="10">
        <v>11980</v>
      </c>
      <c r="O1310" s="10">
        <f>Table1[[#This Row],[NET Amount]]-Table1[[#This Row],[Paid Amount]]</f>
        <v>28856</v>
      </c>
      <c r="P1310" s="2" t="s">
        <v>23</v>
      </c>
      <c r="Q1310" s="2" t="s">
        <v>42</v>
      </c>
      <c r="R1310" s="16">
        <f>(Table1[[#This Row],[NET Amount]]-Table1[[#This Row],[Total Outstanding Amount]])/Table1[[#This Row],[NET Amount]]</f>
        <v>0.29336859633656576</v>
      </c>
      <c r="S1310" s="2" t="s">
        <v>77</v>
      </c>
    </row>
    <row r="1311" spans="1:19" x14ac:dyDescent="0.3">
      <c r="A1311" s="4">
        <v>1309</v>
      </c>
      <c r="B1311" s="2" t="s">
        <v>244</v>
      </c>
      <c r="C1311" s="3">
        <v>44834</v>
      </c>
      <c r="D1311" s="3" t="str">
        <f>TEXT(Table1[[#This Row],[Admission Date]],"MMMM")</f>
        <v>September</v>
      </c>
      <c r="E1311" s="3">
        <v>44839</v>
      </c>
      <c r="F1311" s="3">
        <v>44839</v>
      </c>
      <c r="G1311" s="2">
        <v>22025718</v>
      </c>
      <c r="H1311" s="2">
        <v>2234138</v>
      </c>
      <c r="I1311" s="2">
        <v>10013541054</v>
      </c>
      <c r="J1311" s="2" t="s">
        <v>1014</v>
      </c>
      <c r="K1311" s="10">
        <v>85174</v>
      </c>
      <c r="L1311" s="10">
        <v>8797</v>
      </c>
      <c r="M1311" s="10">
        <v>76377</v>
      </c>
      <c r="N1311" s="10">
        <v>3992</v>
      </c>
      <c r="O1311" s="10">
        <f>Table1[[#This Row],[NET Amount]]-Table1[[#This Row],[Paid Amount]]</f>
        <v>72385</v>
      </c>
      <c r="P1311" s="2" t="s">
        <v>23</v>
      </c>
      <c r="Q1311" s="2" t="s">
        <v>42</v>
      </c>
      <c r="R1311" s="16">
        <f>(Table1[[#This Row],[NET Amount]]-Table1[[#This Row],[Total Outstanding Amount]])/Table1[[#This Row],[NET Amount]]</f>
        <v>5.2267043743535357E-2</v>
      </c>
      <c r="S1311" s="2" t="s">
        <v>20</v>
      </c>
    </row>
    <row r="1312" spans="1:19" x14ac:dyDescent="0.3">
      <c r="A1312" s="4">
        <v>1310</v>
      </c>
      <c r="B1312" s="2" t="s">
        <v>50</v>
      </c>
      <c r="C1312" s="3">
        <v>44844</v>
      </c>
      <c r="D1312" s="3" t="str">
        <f>TEXT(Table1[[#This Row],[Admission Date]],"MMMM")</f>
        <v>October</v>
      </c>
      <c r="E1312" s="3">
        <v>44844</v>
      </c>
      <c r="F1312" s="3">
        <v>44844</v>
      </c>
      <c r="G1312" s="2">
        <v>22026403</v>
      </c>
      <c r="H1312" s="2">
        <v>2235374</v>
      </c>
      <c r="I1312" s="2">
        <v>1000983811</v>
      </c>
      <c r="J1312" s="2" t="s">
        <v>564</v>
      </c>
      <c r="K1312" s="10">
        <v>2200</v>
      </c>
      <c r="L1312" s="10">
        <v>0</v>
      </c>
      <c r="M1312" s="10">
        <v>2200</v>
      </c>
      <c r="N1312" s="10">
        <v>440</v>
      </c>
      <c r="O1312" s="10">
        <f>Table1[[#This Row],[NET Amount]]-Table1[[#This Row],[Paid Amount]]</f>
        <v>1760</v>
      </c>
      <c r="P1312" s="2" t="s">
        <v>23</v>
      </c>
      <c r="Q1312" s="2" t="s">
        <v>147</v>
      </c>
      <c r="R1312" s="16">
        <f>(Table1[[#This Row],[NET Amount]]-Table1[[#This Row],[Total Outstanding Amount]])/Table1[[#This Row],[NET Amount]]</f>
        <v>0.2</v>
      </c>
      <c r="S1312" s="2" t="s">
        <v>97</v>
      </c>
    </row>
    <row r="1313" spans="1:19" x14ac:dyDescent="0.3">
      <c r="A1313" s="4">
        <v>1311</v>
      </c>
      <c r="B1313" s="2" t="s">
        <v>259</v>
      </c>
      <c r="C1313" s="3">
        <v>44850</v>
      </c>
      <c r="D1313" s="3" t="str">
        <f>TEXT(Table1[[#This Row],[Admission Date]],"MMMM")</f>
        <v>October</v>
      </c>
      <c r="E1313" s="3">
        <v>44854</v>
      </c>
      <c r="F1313" s="3">
        <v>44854</v>
      </c>
      <c r="G1313" s="2">
        <v>22027909</v>
      </c>
      <c r="H1313" s="2">
        <v>2236240</v>
      </c>
      <c r="I1313" s="2">
        <v>10013543260</v>
      </c>
      <c r="J1313" s="2" t="s">
        <v>1015</v>
      </c>
      <c r="K1313" s="10">
        <v>94940</v>
      </c>
      <c r="L1313" s="10">
        <v>13312</v>
      </c>
      <c r="M1313" s="10">
        <v>81629</v>
      </c>
      <c r="N1313" s="10">
        <v>2547</v>
      </c>
      <c r="O1313" s="10">
        <f>Table1[[#This Row],[NET Amount]]-Table1[[#This Row],[Paid Amount]]</f>
        <v>79082</v>
      </c>
      <c r="P1313" s="2" t="s">
        <v>23</v>
      </c>
      <c r="Q1313" s="2" t="s">
        <v>30</v>
      </c>
      <c r="R1313" s="16">
        <f>(Table1[[#This Row],[NET Amount]]-Table1[[#This Row],[Total Outstanding Amount]])/Table1[[#This Row],[NET Amount]]</f>
        <v>3.120214629604675E-2</v>
      </c>
      <c r="S1313" s="2" t="s">
        <v>20</v>
      </c>
    </row>
    <row r="1314" spans="1:19" x14ac:dyDescent="0.3">
      <c r="A1314" s="4">
        <v>1312</v>
      </c>
      <c r="B1314" s="2" t="s">
        <v>25</v>
      </c>
      <c r="C1314" s="3">
        <v>44854</v>
      </c>
      <c r="D1314" s="3" t="str">
        <f>TEXT(Table1[[#This Row],[Admission Date]],"MMMM")</f>
        <v>October</v>
      </c>
      <c r="E1314" s="3">
        <v>44854</v>
      </c>
      <c r="F1314" s="3">
        <v>44854</v>
      </c>
      <c r="G1314" s="2">
        <v>22027880</v>
      </c>
      <c r="H1314" s="2">
        <v>2236747</v>
      </c>
      <c r="I1314" s="2">
        <v>10013543404</v>
      </c>
      <c r="J1314" s="2" t="s">
        <v>1016</v>
      </c>
      <c r="K1314" s="10">
        <v>39314</v>
      </c>
      <c r="L1314" s="10">
        <v>5481</v>
      </c>
      <c r="M1314" s="10">
        <v>33832</v>
      </c>
      <c r="N1314" s="10">
        <v>33832</v>
      </c>
      <c r="O1314" s="10">
        <f>Table1[[#This Row],[NET Amount]]-Table1[[#This Row],[Paid Amount]]</f>
        <v>0</v>
      </c>
      <c r="P1314" s="2" t="s">
        <v>18</v>
      </c>
      <c r="Q1314" s="2" t="s">
        <v>54</v>
      </c>
      <c r="R1314" s="16">
        <f>(Table1[[#This Row],[NET Amount]]-Table1[[#This Row],[Total Outstanding Amount]])/Table1[[#This Row],[NET Amount]]</f>
        <v>1</v>
      </c>
      <c r="S1314" s="2" t="s">
        <v>55</v>
      </c>
    </row>
    <row r="1315" spans="1:19" x14ac:dyDescent="0.3">
      <c r="A1315" s="4">
        <v>1313</v>
      </c>
      <c r="B1315" s="2" t="s">
        <v>25</v>
      </c>
      <c r="C1315" s="3">
        <v>44838</v>
      </c>
      <c r="D1315" s="3" t="str">
        <f>TEXT(Table1[[#This Row],[Admission Date]],"MMMM")</f>
        <v>October</v>
      </c>
      <c r="E1315" s="3">
        <v>44838</v>
      </c>
      <c r="F1315" s="3">
        <v>44838</v>
      </c>
      <c r="G1315" s="2">
        <v>22025485</v>
      </c>
      <c r="H1315" s="2">
        <v>2234503</v>
      </c>
      <c r="I1315" s="2">
        <v>1001427466</v>
      </c>
      <c r="J1315" s="2" t="s">
        <v>294</v>
      </c>
      <c r="K1315" s="10">
        <v>2680</v>
      </c>
      <c r="L1315" s="10">
        <v>2680</v>
      </c>
      <c r="M1315" s="10">
        <v>0</v>
      </c>
      <c r="N1315" s="10">
        <v>0</v>
      </c>
      <c r="O1315" s="10">
        <f>Table1[[#This Row],[NET Amount]]-Table1[[#This Row],[Paid Amount]]</f>
        <v>0</v>
      </c>
      <c r="P1315" s="2" t="s">
        <v>18</v>
      </c>
      <c r="Q1315" s="2" t="s">
        <v>90</v>
      </c>
      <c r="R1315" s="16" t="e">
        <f>(Table1[[#This Row],[NET Amount]]-Table1[[#This Row],[Total Outstanding Amount]])/Table1[[#This Row],[NET Amount]]</f>
        <v>#DIV/0!</v>
      </c>
      <c r="S1315" s="2" t="s">
        <v>97</v>
      </c>
    </row>
    <row r="1316" spans="1:19" x14ac:dyDescent="0.3">
      <c r="A1316" s="4">
        <v>1314</v>
      </c>
      <c r="B1316" s="2" t="s">
        <v>25</v>
      </c>
      <c r="C1316" s="3">
        <v>44839</v>
      </c>
      <c r="D1316" s="3" t="str">
        <f>TEXT(Table1[[#This Row],[Admission Date]],"MMMM")</f>
        <v>October</v>
      </c>
      <c r="E1316" s="3">
        <v>44839</v>
      </c>
      <c r="F1316" s="3">
        <v>44839</v>
      </c>
      <c r="G1316" s="2">
        <v>22025768</v>
      </c>
      <c r="H1316" s="2">
        <v>2234751</v>
      </c>
      <c r="I1316" s="2">
        <v>10013509533</v>
      </c>
      <c r="J1316" s="2" t="s">
        <v>343</v>
      </c>
      <c r="K1316" s="10">
        <v>2844</v>
      </c>
      <c r="L1316" s="10">
        <v>308</v>
      </c>
      <c r="M1316" s="10">
        <v>2536</v>
      </c>
      <c r="N1316" s="10">
        <v>2536</v>
      </c>
      <c r="O1316" s="10">
        <f>Table1[[#This Row],[NET Amount]]-Table1[[#This Row],[Paid Amount]]</f>
        <v>0</v>
      </c>
      <c r="P1316" s="2" t="s">
        <v>18</v>
      </c>
      <c r="Q1316" s="2" t="s">
        <v>54</v>
      </c>
      <c r="R1316" s="16">
        <f>(Table1[[#This Row],[NET Amount]]-Table1[[#This Row],[Total Outstanding Amount]])/Table1[[#This Row],[NET Amount]]</f>
        <v>1</v>
      </c>
      <c r="S1316" s="2" t="s">
        <v>97</v>
      </c>
    </row>
    <row r="1317" spans="1:19" x14ac:dyDescent="0.3">
      <c r="A1317" s="4">
        <v>1315</v>
      </c>
      <c r="B1317" s="2" t="s">
        <v>2291</v>
      </c>
      <c r="C1317" s="3">
        <v>44837</v>
      </c>
      <c r="D1317" s="3" t="str">
        <f>TEXT(Table1[[#This Row],[Admission Date]],"MMMM")</f>
        <v>October</v>
      </c>
      <c r="E1317" s="3">
        <v>44842</v>
      </c>
      <c r="F1317" s="3">
        <v>44842</v>
      </c>
      <c r="G1317" s="2">
        <v>22026117</v>
      </c>
      <c r="H1317" s="2">
        <v>2234431</v>
      </c>
      <c r="I1317" s="2">
        <v>1001053829</v>
      </c>
      <c r="J1317" s="2" t="s">
        <v>1017</v>
      </c>
      <c r="K1317" s="10">
        <v>50945</v>
      </c>
      <c r="L1317" s="10">
        <v>50945</v>
      </c>
      <c r="M1317" s="10">
        <v>0</v>
      </c>
      <c r="N1317" s="10">
        <v>0</v>
      </c>
      <c r="O1317" s="10">
        <f>Table1[[#This Row],[NET Amount]]-Table1[[#This Row],[Paid Amount]]</f>
        <v>0</v>
      </c>
      <c r="P1317" s="2" t="s">
        <v>18</v>
      </c>
      <c r="Q1317" s="2" t="s">
        <v>90</v>
      </c>
      <c r="R1317" s="16" t="e">
        <f>(Table1[[#This Row],[NET Amount]]-Table1[[#This Row],[Total Outstanding Amount]])/Table1[[#This Row],[NET Amount]]</f>
        <v>#DIV/0!</v>
      </c>
      <c r="S1317" s="2" t="s">
        <v>20</v>
      </c>
    </row>
    <row r="1318" spans="1:19" x14ac:dyDescent="0.3">
      <c r="A1318" s="4">
        <v>1316</v>
      </c>
      <c r="B1318" s="2" t="s">
        <v>25</v>
      </c>
      <c r="C1318" s="3">
        <v>44861</v>
      </c>
      <c r="D1318" s="3" t="str">
        <f>TEXT(Table1[[#This Row],[Admission Date]],"MMMM")</f>
        <v>October</v>
      </c>
      <c r="E1318" s="3">
        <v>44861</v>
      </c>
      <c r="F1318" s="3">
        <v>44861</v>
      </c>
      <c r="G1318" s="2">
        <v>22028826</v>
      </c>
      <c r="H1318" s="2">
        <v>2237667</v>
      </c>
      <c r="I1318" s="2">
        <v>10013543604</v>
      </c>
      <c r="J1318" s="2" t="s">
        <v>1018</v>
      </c>
      <c r="K1318" s="10">
        <v>7125</v>
      </c>
      <c r="L1318" s="10">
        <v>7125</v>
      </c>
      <c r="M1318" s="10">
        <v>0</v>
      </c>
      <c r="N1318" s="10">
        <v>0</v>
      </c>
      <c r="O1318" s="10">
        <f>Table1[[#This Row],[NET Amount]]-Table1[[#This Row],[Paid Amount]]</f>
        <v>0</v>
      </c>
      <c r="P1318" s="2" t="s">
        <v>18</v>
      </c>
      <c r="Q1318" s="2" t="s">
        <v>90</v>
      </c>
      <c r="R1318" s="16" t="e">
        <f>(Table1[[#This Row],[NET Amount]]-Table1[[#This Row],[Total Outstanding Amount]])/Table1[[#This Row],[NET Amount]]</f>
        <v>#DIV/0!</v>
      </c>
      <c r="S1318" s="2" t="s">
        <v>201</v>
      </c>
    </row>
    <row r="1319" spans="1:19" x14ac:dyDescent="0.3">
      <c r="A1319" s="4">
        <v>1317</v>
      </c>
      <c r="B1319" s="2" t="s">
        <v>75</v>
      </c>
      <c r="C1319" s="3">
        <v>44852</v>
      </c>
      <c r="D1319" s="3" t="str">
        <f>TEXT(Table1[[#This Row],[Admission Date]],"MMMM")</f>
        <v>October</v>
      </c>
      <c r="E1319" s="3">
        <v>44854</v>
      </c>
      <c r="F1319" s="3">
        <v>44854</v>
      </c>
      <c r="G1319" s="2">
        <v>22027832</v>
      </c>
      <c r="H1319" s="2">
        <v>2236543</v>
      </c>
      <c r="I1319" s="2">
        <v>1001435209</v>
      </c>
      <c r="J1319" s="2" t="s">
        <v>1019</v>
      </c>
      <c r="K1319" s="10">
        <v>25037</v>
      </c>
      <c r="L1319" s="10">
        <v>0</v>
      </c>
      <c r="M1319" s="10">
        <v>25037</v>
      </c>
      <c r="N1319" s="10">
        <v>824</v>
      </c>
      <c r="O1319" s="10">
        <f>Table1[[#This Row],[NET Amount]]-Table1[[#This Row],[Paid Amount]]</f>
        <v>24213</v>
      </c>
      <c r="P1319" s="2" t="s">
        <v>23</v>
      </c>
      <c r="Q1319" s="2" t="s">
        <v>24</v>
      </c>
      <c r="R1319" s="16">
        <f>(Table1[[#This Row],[NET Amount]]-Table1[[#This Row],[Total Outstanding Amount]])/Table1[[#This Row],[NET Amount]]</f>
        <v>3.291129128889244E-2</v>
      </c>
      <c r="S1319" s="2" t="s">
        <v>39</v>
      </c>
    </row>
    <row r="1320" spans="1:19" x14ac:dyDescent="0.3">
      <c r="A1320" s="4">
        <v>1318</v>
      </c>
      <c r="B1320" s="2" t="s">
        <v>25</v>
      </c>
      <c r="C1320" s="3">
        <v>44853</v>
      </c>
      <c r="D1320" s="3" t="str">
        <f>TEXT(Table1[[#This Row],[Admission Date]],"MMMM")</f>
        <v>October</v>
      </c>
      <c r="E1320" s="3">
        <v>44854</v>
      </c>
      <c r="F1320" s="3">
        <v>44854</v>
      </c>
      <c r="G1320" s="2">
        <v>22027878</v>
      </c>
      <c r="H1320" s="2">
        <v>2236701</v>
      </c>
      <c r="I1320" s="2">
        <v>1001805323</v>
      </c>
      <c r="J1320" s="2" t="s">
        <v>1020</v>
      </c>
      <c r="K1320" s="10">
        <v>6510</v>
      </c>
      <c r="L1320" s="10">
        <v>2434</v>
      </c>
      <c r="M1320" s="10">
        <v>4076</v>
      </c>
      <c r="N1320" s="10">
        <v>4076</v>
      </c>
      <c r="O1320" s="10">
        <f>Table1[[#This Row],[NET Amount]]-Table1[[#This Row],[Paid Amount]]</f>
        <v>0</v>
      </c>
      <c r="P1320" s="2" t="s">
        <v>18</v>
      </c>
      <c r="Q1320" s="2" t="s">
        <v>1010</v>
      </c>
      <c r="R1320" s="16">
        <f>(Table1[[#This Row],[NET Amount]]-Table1[[#This Row],[Total Outstanding Amount]])/Table1[[#This Row],[NET Amount]]</f>
        <v>1</v>
      </c>
      <c r="S1320" s="2" t="s">
        <v>37</v>
      </c>
    </row>
    <row r="1321" spans="1:19" x14ac:dyDescent="0.3">
      <c r="A1321" s="4">
        <v>1319</v>
      </c>
      <c r="B1321" s="2" t="s">
        <v>25</v>
      </c>
      <c r="C1321" s="3">
        <v>44829</v>
      </c>
      <c r="D1321" s="3" t="str">
        <f>TEXT(Table1[[#This Row],[Admission Date]],"MMMM")</f>
        <v>September</v>
      </c>
      <c r="E1321" s="3">
        <v>44835</v>
      </c>
      <c r="F1321" s="3">
        <v>44835</v>
      </c>
      <c r="G1321" s="2">
        <v>22025141</v>
      </c>
      <c r="H1321" s="2">
        <v>2233410</v>
      </c>
      <c r="I1321" s="2">
        <v>1001263339</v>
      </c>
      <c r="J1321" s="2" t="s">
        <v>1021</v>
      </c>
      <c r="K1321" s="10">
        <v>99778</v>
      </c>
      <c r="L1321" s="10">
        <v>31863</v>
      </c>
      <c r="M1321" s="10">
        <v>67915</v>
      </c>
      <c r="N1321" s="10">
        <v>67915</v>
      </c>
      <c r="O1321" s="10">
        <f>Table1[[#This Row],[NET Amount]]-Table1[[#This Row],[Paid Amount]]</f>
        <v>0</v>
      </c>
      <c r="P1321" s="2" t="s">
        <v>18</v>
      </c>
      <c r="Q1321" s="2" t="s">
        <v>69</v>
      </c>
      <c r="R1321" s="16">
        <f>(Table1[[#This Row],[NET Amount]]-Table1[[#This Row],[Total Outstanding Amount]])/Table1[[#This Row],[NET Amount]]</f>
        <v>1</v>
      </c>
      <c r="S1321" s="2" t="s">
        <v>20</v>
      </c>
    </row>
    <row r="1322" spans="1:19" x14ac:dyDescent="0.3">
      <c r="A1322" s="4">
        <v>1320</v>
      </c>
      <c r="B1322" s="2" t="s">
        <v>25</v>
      </c>
      <c r="C1322" s="3">
        <v>44844</v>
      </c>
      <c r="D1322" s="3" t="str">
        <f>TEXT(Table1[[#This Row],[Admission Date]],"MMMM")</f>
        <v>October</v>
      </c>
      <c r="E1322" s="3">
        <v>44844</v>
      </c>
      <c r="F1322" s="3">
        <v>44844</v>
      </c>
      <c r="G1322" s="2">
        <v>22026323</v>
      </c>
      <c r="H1322" s="2">
        <v>2235325</v>
      </c>
      <c r="I1322" s="2">
        <v>10013484177</v>
      </c>
      <c r="J1322" s="2" t="s">
        <v>174</v>
      </c>
      <c r="K1322" s="10">
        <v>2844</v>
      </c>
      <c r="L1322" s="10">
        <v>285</v>
      </c>
      <c r="M1322" s="10">
        <v>2559</v>
      </c>
      <c r="N1322" s="10">
        <v>2559</v>
      </c>
      <c r="O1322" s="10">
        <f>Table1[[#This Row],[NET Amount]]-Table1[[#This Row],[Paid Amount]]</f>
        <v>0</v>
      </c>
      <c r="P1322" s="2" t="s">
        <v>18</v>
      </c>
      <c r="Q1322" s="2" t="s">
        <v>54</v>
      </c>
      <c r="R1322" s="16">
        <f>(Table1[[#This Row],[NET Amount]]-Table1[[#This Row],[Total Outstanding Amount]])/Table1[[#This Row],[NET Amount]]</f>
        <v>1</v>
      </c>
      <c r="S1322" s="2" t="s">
        <v>97</v>
      </c>
    </row>
    <row r="1323" spans="1:19" x14ac:dyDescent="0.3">
      <c r="A1323" s="4">
        <v>1321</v>
      </c>
      <c r="B1323" s="2" t="s">
        <v>155</v>
      </c>
      <c r="C1323" s="3">
        <v>44844</v>
      </c>
      <c r="D1323" s="3" t="str">
        <f>TEXT(Table1[[#This Row],[Admission Date]],"MMMM")</f>
        <v>October</v>
      </c>
      <c r="E1323" s="3">
        <v>44844</v>
      </c>
      <c r="F1323" s="3">
        <v>44844</v>
      </c>
      <c r="G1323" s="2">
        <v>22026325</v>
      </c>
      <c r="H1323" s="2">
        <v>2235330</v>
      </c>
      <c r="I1323" s="2">
        <v>10013537888</v>
      </c>
      <c r="J1323" s="2" t="s">
        <v>358</v>
      </c>
      <c r="K1323" s="10">
        <v>1610</v>
      </c>
      <c r="L1323" s="10">
        <v>0</v>
      </c>
      <c r="M1323" s="10">
        <v>1610</v>
      </c>
      <c r="N1323" s="10">
        <v>1610</v>
      </c>
      <c r="O1323" s="10">
        <f>Table1[[#This Row],[NET Amount]]-Table1[[#This Row],[Paid Amount]]</f>
        <v>0</v>
      </c>
      <c r="P1323" s="2" t="s">
        <v>18</v>
      </c>
      <c r="Q1323" s="2" t="s">
        <v>54</v>
      </c>
      <c r="R1323" s="16">
        <f>(Table1[[#This Row],[NET Amount]]-Table1[[#This Row],[Total Outstanding Amount]])/Table1[[#This Row],[NET Amount]]</f>
        <v>1</v>
      </c>
      <c r="S1323" s="2" t="s">
        <v>97</v>
      </c>
    </row>
    <row r="1324" spans="1:19" x14ac:dyDescent="0.3">
      <c r="A1324" s="4">
        <v>1322</v>
      </c>
      <c r="B1324" s="2" t="s">
        <v>2253</v>
      </c>
      <c r="C1324" s="3">
        <v>44839</v>
      </c>
      <c r="D1324" s="3" t="str">
        <f>TEXT(Table1[[#This Row],[Admission Date]],"MMMM")</f>
        <v>October</v>
      </c>
      <c r="E1324" s="3">
        <v>44854</v>
      </c>
      <c r="F1324" s="3">
        <v>44854</v>
      </c>
      <c r="G1324" s="2">
        <v>22027914</v>
      </c>
      <c r="H1324" s="2">
        <v>2234775</v>
      </c>
      <c r="I1324" s="2">
        <v>1001666095</v>
      </c>
      <c r="J1324" s="2" t="s">
        <v>2276</v>
      </c>
      <c r="K1324" s="10">
        <v>284482</v>
      </c>
      <c r="L1324" s="10">
        <v>0</v>
      </c>
      <c r="M1324" s="10">
        <v>284482</v>
      </c>
      <c r="N1324" s="10">
        <v>6702</v>
      </c>
      <c r="O1324" s="10">
        <f>Table1[[#This Row],[NET Amount]]-Table1[[#This Row],[Paid Amount]]</f>
        <v>277780</v>
      </c>
      <c r="P1324" s="2" t="s">
        <v>23</v>
      </c>
      <c r="Q1324" s="2" t="s">
        <v>30</v>
      </c>
      <c r="R1324" s="16">
        <f>(Table1[[#This Row],[NET Amount]]-Table1[[#This Row],[Total Outstanding Amount]])/Table1[[#This Row],[NET Amount]]</f>
        <v>2.3558608277500861E-2</v>
      </c>
      <c r="S1324" s="2" t="s">
        <v>20</v>
      </c>
    </row>
    <row r="1325" spans="1:19" x14ac:dyDescent="0.3">
      <c r="A1325" s="4">
        <v>1323</v>
      </c>
      <c r="B1325" s="2" t="s">
        <v>25</v>
      </c>
      <c r="C1325" s="3">
        <v>44854</v>
      </c>
      <c r="D1325" s="3" t="str">
        <f>TEXT(Table1[[#This Row],[Admission Date]],"MMMM")</f>
        <v>October</v>
      </c>
      <c r="E1325" s="3">
        <v>44854</v>
      </c>
      <c r="F1325" s="3">
        <v>44854</v>
      </c>
      <c r="G1325" s="2">
        <v>22027924</v>
      </c>
      <c r="H1325" s="2">
        <v>2236730</v>
      </c>
      <c r="I1325" s="2">
        <v>1001561182</v>
      </c>
      <c r="J1325" s="2" t="s">
        <v>222</v>
      </c>
      <c r="K1325" s="10">
        <v>2680</v>
      </c>
      <c r="L1325" s="10">
        <v>0</v>
      </c>
      <c r="M1325" s="10">
        <v>2680</v>
      </c>
      <c r="N1325" s="10">
        <v>2680</v>
      </c>
      <c r="O1325" s="10">
        <f>Table1[[#This Row],[NET Amount]]-Table1[[#This Row],[Paid Amount]]</f>
        <v>0</v>
      </c>
      <c r="P1325" s="2" t="s">
        <v>18</v>
      </c>
      <c r="Q1325" s="2" t="s">
        <v>54</v>
      </c>
      <c r="R1325" s="16">
        <f>(Table1[[#This Row],[NET Amount]]-Table1[[#This Row],[Total Outstanding Amount]])/Table1[[#This Row],[NET Amount]]</f>
        <v>1</v>
      </c>
      <c r="S1325" s="2" t="s">
        <v>97</v>
      </c>
    </row>
    <row r="1326" spans="1:19" x14ac:dyDescent="0.3">
      <c r="A1326" s="4">
        <v>1324</v>
      </c>
      <c r="B1326" s="2" t="s">
        <v>126</v>
      </c>
      <c r="C1326" s="3">
        <v>44833</v>
      </c>
      <c r="D1326" s="3" t="str">
        <f>TEXT(Table1[[#This Row],[Admission Date]],"MMMM")</f>
        <v>September</v>
      </c>
      <c r="E1326" s="3">
        <v>44835</v>
      </c>
      <c r="F1326" s="3">
        <v>44835</v>
      </c>
      <c r="G1326" s="2">
        <v>22025156</v>
      </c>
      <c r="H1326" s="2">
        <v>2233970</v>
      </c>
      <c r="I1326" s="2">
        <v>10013540873</v>
      </c>
      <c r="J1326" s="2" t="s">
        <v>1022</v>
      </c>
      <c r="K1326" s="10">
        <v>62786</v>
      </c>
      <c r="L1326" s="10">
        <v>8831</v>
      </c>
      <c r="M1326" s="10">
        <v>53955</v>
      </c>
      <c r="N1326" s="10">
        <v>4233</v>
      </c>
      <c r="O1326" s="10">
        <f>Table1[[#This Row],[NET Amount]]-Table1[[#This Row],[Paid Amount]]</f>
        <v>49722</v>
      </c>
      <c r="P1326" s="2" t="s">
        <v>23</v>
      </c>
      <c r="Q1326" s="2" t="s">
        <v>24</v>
      </c>
      <c r="R1326" s="16">
        <f>(Table1[[#This Row],[NET Amount]]-Table1[[#This Row],[Total Outstanding Amount]])/Table1[[#This Row],[NET Amount]]</f>
        <v>7.8454267445093137E-2</v>
      </c>
      <c r="S1326" s="2" t="s">
        <v>77</v>
      </c>
    </row>
    <row r="1327" spans="1:19" x14ac:dyDescent="0.3">
      <c r="A1327" s="4">
        <v>1325</v>
      </c>
      <c r="B1327" s="2" t="s">
        <v>126</v>
      </c>
      <c r="C1327" s="3">
        <v>44857</v>
      </c>
      <c r="D1327" s="3" t="str">
        <f>TEXT(Table1[[#This Row],[Admission Date]],"MMMM")</f>
        <v>October</v>
      </c>
      <c r="E1327" s="3">
        <v>44860</v>
      </c>
      <c r="F1327" s="3">
        <v>44860</v>
      </c>
      <c r="G1327" s="2">
        <v>22028606</v>
      </c>
      <c r="H1327" s="2">
        <v>2237143</v>
      </c>
      <c r="I1327" s="2">
        <v>10013428214</v>
      </c>
      <c r="J1327" s="2" t="s">
        <v>1023</v>
      </c>
      <c r="K1327" s="10">
        <v>61281</v>
      </c>
      <c r="L1327" s="10">
        <v>8194</v>
      </c>
      <c r="M1327" s="10">
        <v>53087</v>
      </c>
      <c r="N1327" s="10">
        <v>3474</v>
      </c>
      <c r="O1327" s="10">
        <f>Table1[[#This Row],[NET Amount]]-Table1[[#This Row],[Paid Amount]]</f>
        <v>49613</v>
      </c>
      <c r="P1327" s="2" t="s">
        <v>23</v>
      </c>
      <c r="Q1327" s="2" t="s">
        <v>19</v>
      </c>
      <c r="R1327" s="16">
        <f>(Table1[[#This Row],[NET Amount]]-Table1[[#This Row],[Total Outstanding Amount]])/Table1[[#This Row],[NET Amount]]</f>
        <v>6.5439749844594719E-2</v>
      </c>
      <c r="S1327" s="2" t="s">
        <v>20</v>
      </c>
    </row>
    <row r="1328" spans="1:19" x14ac:dyDescent="0.3">
      <c r="A1328" s="4">
        <v>1326</v>
      </c>
      <c r="B1328" s="2" t="s">
        <v>166</v>
      </c>
      <c r="C1328" s="3">
        <v>44845</v>
      </c>
      <c r="D1328" s="3" t="str">
        <f>TEXT(Table1[[#This Row],[Admission Date]],"MMMM")</f>
        <v>October</v>
      </c>
      <c r="E1328" s="3">
        <v>44845</v>
      </c>
      <c r="F1328" s="3">
        <v>44845</v>
      </c>
      <c r="G1328" s="2">
        <v>22026540</v>
      </c>
      <c r="H1328" s="2">
        <v>2235532</v>
      </c>
      <c r="I1328" s="2">
        <v>10013471499</v>
      </c>
      <c r="J1328" s="2" t="s">
        <v>729</v>
      </c>
      <c r="K1328" s="10">
        <v>2200</v>
      </c>
      <c r="L1328" s="10">
        <v>0</v>
      </c>
      <c r="M1328" s="10">
        <v>2200</v>
      </c>
      <c r="N1328" s="10">
        <v>220</v>
      </c>
      <c r="O1328" s="10">
        <f>Table1[[#This Row],[NET Amount]]-Table1[[#This Row],[Paid Amount]]</f>
        <v>1980</v>
      </c>
      <c r="P1328" s="2" t="s">
        <v>23</v>
      </c>
      <c r="Q1328" s="2" t="s">
        <v>147</v>
      </c>
      <c r="R1328" s="16">
        <f>(Table1[[#This Row],[NET Amount]]-Table1[[#This Row],[Total Outstanding Amount]])/Table1[[#This Row],[NET Amount]]</f>
        <v>0.1</v>
      </c>
      <c r="S1328" s="2" t="s">
        <v>97</v>
      </c>
    </row>
    <row r="1329" spans="1:19" x14ac:dyDescent="0.3">
      <c r="A1329" s="4">
        <v>1327</v>
      </c>
      <c r="B1329" s="2" t="s">
        <v>584</v>
      </c>
      <c r="C1329" s="3">
        <v>44845</v>
      </c>
      <c r="D1329" s="3" t="str">
        <f>TEXT(Table1[[#This Row],[Admission Date]],"MMMM")</f>
        <v>October</v>
      </c>
      <c r="E1329" s="3">
        <v>44845</v>
      </c>
      <c r="F1329" s="3">
        <v>44845</v>
      </c>
      <c r="G1329" s="2">
        <v>22026545</v>
      </c>
      <c r="H1329" s="2">
        <v>2235536</v>
      </c>
      <c r="I1329" s="2">
        <v>10013376566</v>
      </c>
      <c r="J1329" s="2" t="s">
        <v>585</v>
      </c>
      <c r="K1329" s="10">
        <v>2200</v>
      </c>
      <c r="L1329" s="10">
        <v>0</v>
      </c>
      <c r="M1329" s="10">
        <v>2200</v>
      </c>
      <c r="N1329" s="10">
        <v>440</v>
      </c>
      <c r="O1329" s="10">
        <f>Table1[[#This Row],[NET Amount]]-Table1[[#This Row],[Paid Amount]]</f>
        <v>1760</v>
      </c>
      <c r="P1329" s="2" t="s">
        <v>23</v>
      </c>
      <c r="Q1329" s="2" t="s">
        <v>147</v>
      </c>
      <c r="R1329" s="16">
        <f>(Table1[[#This Row],[NET Amount]]-Table1[[#This Row],[Total Outstanding Amount]])/Table1[[#This Row],[NET Amount]]</f>
        <v>0.2</v>
      </c>
      <c r="S1329" s="2" t="s">
        <v>97</v>
      </c>
    </row>
    <row r="1330" spans="1:19" x14ac:dyDescent="0.3">
      <c r="A1330" s="4">
        <v>1328</v>
      </c>
      <c r="B1330" s="2" t="s">
        <v>40</v>
      </c>
      <c r="C1330" s="3">
        <v>44845</v>
      </c>
      <c r="D1330" s="3" t="str">
        <f>TEXT(Table1[[#This Row],[Admission Date]],"MMMM")</f>
        <v>October</v>
      </c>
      <c r="E1330" s="3">
        <v>44845</v>
      </c>
      <c r="F1330" s="3">
        <v>44845</v>
      </c>
      <c r="G1330" s="2">
        <v>22026547</v>
      </c>
      <c r="H1330" s="2">
        <v>2235534</v>
      </c>
      <c r="I1330" s="2">
        <v>1001300227</v>
      </c>
      <c r="J1330" s="2" t="s">
        <v>202</v>
      </c>
      <c r="K1330" s="10">
        <v>2200</v>
      </c>
      <c r="L1330" s="10">
        <v>0</v>
      </c>
      <c r="M1330" s="10">
        <v>2200</v>
      </c>
      <c r="N1330" s="10">
        <v>2200</v>
      </c>
      <c r="O1330" s="10">
        <f>Table1[[#This Row],[NET Amount]]-Table1[[#This Row],[Paid Amount]]</f>
        <v>0</v>
      </c>
      <c r="P1330" s="2" t="s">
        <v>18</v>
      </c>
      <c r="Q1330" s="2" t="s">
        <v>147</v>
      </c>
      <c r="R1330" s="16">
        <f>(Table1[[#This Row],[NET Amount]]-Table1[[#This Row],[Total Outstanding Amount]])/Table1[[#This Row],[NET Amount]]</f>
        <v>1</v>
      </c>
      <c r="S1330" s="2" t="s">
        <v>97</v>
      </c>
    </row>
    <row r="1331" spans="1:19" x14ac:dyDescent="0.3">
      <c r="A1331" s="4">
        <v>1329</v>
      </c>
      <c r="B1331" s="2" t="s">
        <v>25</v>
      </c>
      <c r="C1331" s="3">
        <v>44845</v>
      </c>
      <c r="D1331" s="3" t="str">
        <f>TEXT(Table1[[#This Row],[Admission Date]],"MMMM")</f>
        <v>October</v>
      </c>
      <c r="E1331" s="3">
        <v>44845</v>
      </c>
      <c r="F1331" s="3">
        <v>44845</v>
      </c>
      <c r="G1331" s="2">
        <v>22026571</v>
      </c>
      <c r="H1331" s="2">
        <v>2235564</v>
      </c>
      <c r="I1331" s="2">
        <v>1000890994</v>
      </c>
      <c r="J1331" s="2" t="s">
        <v>271</v>
      </c>
      <c r="K1331" s="10">
        <v>3538</v>
      </c>
      <c r="L1331" s="10">
        <v>318</v>
      </c>
      <c r="M1331" s="10">
        <v>3220</v>
      </c>
      <c r="N1331" s="10">
        <v>3220</v>
      </c>
      <c r="O1331" s="10">
        <f>Table1[[#This Row],[NET Amount]]-Table1[[#This Row],[Paid Amount]]</f>
        <v>0</v>
      </c>
      <c r="P1331" s="2" t="s">
        <v>18</v>
      </c>
      <c r="Q1331" s="2" t="s">
        <v>54</v>
      </c>
      <c r="R1331" s="16">
        <f>(Table1[[#This Row],[NET Amount]]-Table1[[#This Row],[Total Outstanding Amount]])/Table1[[#This Row],[NET Amount]]</f>
        <v>1</v>
      </c>
      <c r="S1331" s="2" t="s">
        <v>97</v>
      </c>
    </row>
    <row r="1332" spans="1:19" x14ac:dyDescent="0.3">
      <c r="A1332" s="4">
        <v>1330</v>
      </c>
      <c r="B1332" s="2" t="s">
        <v>35</v>
      </c>
      <c r="C1332" s="3">
        <v>44855</v>
      </c>
      <c r="D1332" s="3" t="str">
        <f>TEXT(Table1[[#This Row],[Admission Date]],"MMMM")</f>
        <v>October</v>
      </c>
      <c r="E1332" s="3">
        <v>44855</v>
      </c>
      <c r="F1332" s="3">
        <v>44855</v>
      </c>
      <c r="G1332" s="2">
        <v>22028021</v>
      </c>
      <c r="H1332" s="2">
        <v>2236897</v>
      </c>
      <c r="I1332" s="2">
        <v>10013519440</v>
      </c>
      <c r="J1332" s="2" t="s">
        <v>339</v>
      </c>
      <c r="K1332" s="10">
        <v>1610</v>
      </c>
      <c r="L1332" s="10">
        <v>0</v>
      </c>
      <c r="M1332" s="10">
        <v>1610</v>
      </c>
      <c r="N1332" s="10">
        <v>1610</v>
      </c>
      <c r="O1332" s="10">
        <f>Table1[[#This Row],[NET Amount]]-Table1[[#This Row],[Paid Amount]]</f>
        <v>0</v>
      </c>
      <c r="P1332" s="2" t="s">
        <v>18</v>
      </c>
      <c r="Q1332" s="2" t="s">
        <v>54</v>
      </c>
      <c r="R1332" s="16">
        <f>(Table1[[#This Row],[NET Amount]]-Table1[[#This Row],[Total Outstanding Amount]])/Table1[[#This Row],[NET Amount]]</f>
        <v>1</v>
      </c>
      <c r="S1332" s="2" t="s">
        <v>97</v>
      </c>
    </row>
    <row r="1333" spans="1:19" x14ac:dyDescent="0.3">
      <c r="A1333" s="4">
        <v>1331</v>
      </c>
      <c r="B1333" s="2" t="s">
        <v>50</v>
      </c>
      <c r="C1333" s="3">
        <v>44857</v>
      </c>
      <c r="D1333" s="3" t="str">
        <f>TEXT(Table1[[#This Row],[Admission Date]],"MMMM")</f>
        <v>October</v>
      </c>
      <c r="E1333" s="3">
        <v>44859</v>
      </c>
      <c r="F1333" s="3">
        <v>44859</v>
      </c>
      <c r="G1333" s="2">
        <v>22028502</v>
      </c>
      <c r="H1333" s="2">
        <v>2237164</v>
      </c>
      <c r="I1333" s="2">
        <v>1001805888</v>
      </c>
      <c r="J1333" s="2" t="s">
        <v>1024</v>
      </c>
      <c r="K1333" s="10">
        <v>9308</v>
      </c>
      <c r="L1333" s="10">
        <v>0</v>
      </c>
      <c r="M1333" s="10">
        <v>9308</v>
      </c>
      <c r="N1333" s="10">
        <v>9308</v>
      </c>
      <c r="O1333" s="10">
        <f>Table1[[#This Row],[NET Amount]]-Table1[[#This Row],[Paid Amount]]</f>
        <v>0</v>
      </c>
      <c r="P1333" s="2" t="s">
        <v>18</v>
      </c>
      <c r="Q1333" s="2" t="s">
        <v>52</v>
      </c>
      <c r="R1333" s="16">
        <f>(Table1[[#This Row],[NET Amount]]-Table1[[#This Row],[Total Outstanding Amount]])/Table1[[#This Row],[NET Amount]]</f>
        <v>1</v>
      </c>
      <c r="S1333" s="2" t="s">
        <v>37</v>
      </c>
    </row>
    <row r="1334" spans="1:19" x14ac:dyDescent="0.3">
      <c r="A1334" s="4">
        <v>1332</v>
      </c>
      <c r="B1334" s="2" t="s">
        <v>25</v>
      </c>
      <c r="C1334" s="3">
        <v>44857</v>
      </c>
      <c r="D1334" s="3" t="str">
        <f>TEXT(Table1[[#This Row],[Admission Date]],"MMMM")</f>
        <v>October</v>
      </c>
      <c r="E1334" s="3">
        <v>44857</v>
      </c>
      <c r="F1334" s="3">
        <v>44857</v>
      </c>
      <c r="G1334" s="2">
        <v>22028382</v>
      </c>
      <c r="H1334" s="2">
        <v>2237154</v>
      </c>
      <c r="I1334" s="2">
        <v>1000919979</v>
      </c>
      <c r="J1334" s="2" t="s">
        <v>319</v>
      </c>
      <c r="K1334" s="10">
        <v>4141</v>
      </c>
      <c r="L1334" s="10">
        <v>290</v>
      </c>
      <c r="M1334" s="10">
        <v>3851</v>
      </c>
      <c r="N1334" s="10">
        <v>3851</v>
      </c>
      <c r="O1334" s="10">
        <f>Table1[[#This Row],[NET Amount]]-Table1[[#This Row],[Paid Amount]]</f>
        <v>0</v>
      </c>
      <c r="P1334" s="2" t="s">
        <v>18</v>
      </c>
      <c r="Q1334" s="2" t="s">
        <v>54</v>
      </c>
      <c r="R1334" s="16">
        <f>(Table1[[#This Row],[NET Amount]]-Table1[[#This Row],[Total Outstanding Amount]])/Table1[[#This Row],[NET Amount]]</f>
        <v>1</v>
      </c>
      <c r="S1334" s="2" t="s">
        <v>97</v>
      </c>
    </row>
    <row r="1335" spans="1:19" x14ac:dyDescent="0.3">
      <c r="A1335" s="4">
        <v>1333</v>
      </c>
      <c r="B1335" s="2" t="s">
        <v>25</v>
      </c>
      <c r="C1335" s="3">
        <v>44861</v>
      </c>
      <c r="D1335" s="3" t="str">
        <f>TEXT(Table1[[#This Row],[Admission Date]],"MMMM")</f>
        <v>October</v>
      </c>
      <c r="E1335" s="3">
        <v>44861</v>
      </c>
      <c r="F1335" s="3">
        <v>44861</v>
      </c>
      <c r="G1335" s="2">
        <v>22028788</v>
      </c>
      <c r="H1335" s="2">
        <v>2237634</v>
      </c>
      <c r="I1335" s="2">
        <v>1000919979</v>
      </c>
      <c r="J1335" s="2" t="s">
        <v>319</v>
      </c>
      <c r="K1335" s="10">
        <v>2844</v>
      </c>
      <c r="L1335" s="10">
        <v>288</v>
      </c>
      <c r="M1335" s="10">
        <v>2556</v>
      </c>
      <c r="N1335" s="10">
        <v>2556</v>
      </c>
      <c r="O1335" s="10">
        <f>Table1[[#This Row],[NET Amount]]-Table1[[#This Row],[Paid Amount]]</f>
        <v>0</v>
      </c>
      <c r="P1335" s="2" t="s">
        <v>18</v>
      </c>
      <c r="Q1335" s="2" t="s">
        <v>54</v>
      </c>
      <c r="R1335" s="16">
        <f>(Table1[[#This Row],[NET Amount]]-Table1[[#This Row],[Total Outstanding Amount]])/Table1[[#This Row],[NET Amount]]</f>
        <v>1</v>
      </c>
      <c r="S1335" s="2" t="s">
        <v>97</v>
      </c>
    </row>
    <row r="1336" spans="1:19" x14ac:dyDescent="0.3">
      <c r="A1336" s="4">
        <v>1334</v>
      </c>
      <c r="B1336" s="2" t="s">
        <v>126</v>
      </c>
      <c r="C1336" s="3">
        <v>44859</v>
      </c>
      <c r="D1336" s="3" t="str">
        <f>TEXT(Table1[[#This Row],[Admission Date]],"MMMM")</f>
        <v>October</v>
      </c>
      <c r="E1336" s="3">
        <v>44863</v>
      </c>
      <c r="F1336" s="3">
        <v>44863</v>
      </c>
      <c r="G1336" s="2">
        <v>22029024</v>
      </c>
      <c r="H1336" s="2">
        <v>2237358</v>
      </c>
      <c r="I1336" s="2">
        <v>10013442347</v>
      </c>
      <c r="J1336" s="2" t="s">
        <v>1025</v>
      </c>
      <c r="K1336" s="10">
        <v>88355</v>
      </c>
      <c r="L1336" s="10">
        <v>12091</v>
      </c>
      <c r="M1336" s="10">
        <v>76264</v>
      </c>
      <c r="N1336" s="10">
        <v>3790</v>
      </c>
      <c r="O1336" s="10">
        <f>Table1[[#This Row],[NET Amount]]-Table1[[#This Row],[Paid Amount]]</f>
        <v>72474</v>
      </c>
      <c r="P1336" s="2" t="s">
        <v>23</v>
      </c>
      <c r="Q1336" s="2" t="s">
        <v>30</v>
      </c>
      <c r="R1336" s="16">
        <f>(Table1[[#This Row],[NET Amount]]-Table1[[#This Row],[Total Outstanding Amount]])/Table1[[#This Row],[NET Amount]]</f>
        <v>4.9695793559215357E-2</v>
      </c>
      <c r="S1336" s="2" t="s">
        <v>20</v>
      </c>
    </row>
    <row r="1337" spans="1:19" x14ac:dyDescent="0.3">
      <c r="A1337" s="4">
        <v>1335</v>
      </c>
      <c r="B1337" s="2" t="s">
        <v>2253</v>
      </c>
      <c r="C1337" s="3">
        <v>44827</v>
      </c>
      <c r="D1337" s="3" t="str">
        <f>TEXT(Table1[[#This Row],[Admission Date]],"MMMM")</f>
        <v>September</v>
      </c>
      <c r="E1337" s="3">
        <v>44835</v>
      </c>
      <c r="F1337" s="3">
        <v>44835</v>
      </c>
      <c r="G1337" s="2">
        <v>22025213</v>
      </c>
      <c r="H1337" s="2">
        <v>2233219</v>
      </c>
      <c r="I1337" s="2">
        <v>1001793811</v>
      </c>
      <c r="J1337" s="2" t="s">
        <v>1026</v>
      </c>
      <c r="K1337" s="10">
        <v>55470</v>
      </c>
      <c r="L1337" s="10">
        <v>0</v>
      </c>
      <c r="M1337" s="10">
        <v>55470</v>
      </c>
      <c r="N1337" s="10">
        <v>700</v>
      </c>
      <c r="O1337" s="10">
        <f>Table1[[#This Row],[NET Amount]]-Table1[[#This Row],[Paid Amount]]</f>
        <v>54770</v>
      </c>
      <c r="P1337" s="2" t="s">
        <v>23</v>
      </c>
      <c r="Q1337" s="2" t="s">
        <v>24</v>
      </c>
      <c r="R1337" s="16">
        <f>(Table1[[#This Row],[NET Amount]]-Table1[[#This Row],[Total Outstanding Amount]])/Table1[[#This Row],[NET Amount]]</f>
        <v>1.2619433928249504E-2</v>
      </c>
      <c r="S1337" s="2" t="s">
        <v>20</v>
      </c>
    </row>
    <row r="1338" spans="1:19" x14ac:dyDescent="0.3">
      <c r="A1338" s="4">
        <v>1336</v>
      </c>
      <c r="B1338" s="2" t="s">
        <v>139</v>
      </c>
      <c r="C1338" s="3">
        <v>44857</v>
      </c>
      <c r="D1338" s="3" t="str">
        <f>TEXT(Table1[[#This Row],[Admission Date]],"MMMM")</f>
        <v>October</v>
      </c>
      <c r="E1338" s="3">
        <v>44863</v>
      </c>
      <c r="F1338" s="3">
        <v>44863</v>
      </c>
      <c r="G1338" s="2">
        <v>22029033</v>
      </c>
      <c r="H1338" s="2">
        <v>2237204</v>
      </c>
      <c r="I1338" s="2">
        <v>10013544261</v>
      </c>
      <c r="J1338" s="2" t="s">
        <v>129</v>
      </c>
      <c r="K1338" s="10">
        <v>91997</v>
      </c>
      <c r="L1338" s="10">
        <v>0</v>
      </c>
      <c r="M1338" s="10">
        <v>91997</v>
      </c>
      <c r="N1338" s="10">
        <v>1500</v>
      </c>
      <c r="O1338" s="10">
        <f>Table1[[#This Row],[NET Amount]]-Table1[[#This Row],[Paid Amount]]</f>
        <v>90497</v>
      </c>
      <c r="P1338" s="2" t="s">
        <v>23</v>
      </c>
      <c r="Q1338" s="2" t="s">
        <v>42</v>
      </c>
      <c r="R1338" s="16">
        <f>(Table1[[#This Row],[NET Amount]]-Table1[[#This Row],[Total Outstanding Amount]])/Table1[[#This Row],[NET Amount]]</f>
        <v>1.6304879506940442E-2</v>
      </c>
      <c r="S1338" s="2" t="s">
        <v>20</v>
      </c>
    </row>
    <row r="1339" spans="1:19" x14ac:dyDescent="0.3">
      <c r="A1339" s="4">
        <v>1337</v>
      </c>
      <c r="B1339" s="2" t="s">
        <v>25</v>
      </c>
      <c r="C1339" s="3">
        <v>44859</v>
      </c>
      <c r="D1339" s="3" t="str">
        <f>TEXT(Table1[[#This Row],[Admission Date]],"MMMM")</f>
        <v>October</v>
      </c>
      <c r="E1339" s="3">
        <v>44859</v>
      </c>
      <c r="F1339" s="3">
        <v>44859</v>
      </c>
      <c r="G1339" s="2">
        <v>22028466</v>
      </c>
      <c r="H1339" s="2">
        <v>2237262</v>
      </c>
      <c r="I1339" s="2">
        <v>1000891305</v>
      </c>
      <c r="J1339" s="2" t="s">
        <v>725</v>
      </c>
      <c r="K1339" s="10">
        <v>2844</v>
      </c>
      <c r="L1339" s="10">
        <v>310</v>
      </c>
      <c r="M1339" s="10">
        <v>2534</v>
      </c>
      <c r="N1339" s="10">
        <v>2534</v>
      </c>
      <c r="O1339" s="10">
        <f>Table1[[#This Row],[NET Amount]]-Table1[[#This Row],[Paid Amount]]</f>
        <v>0</v>
      </c>
      <c r="P1339" s="2" t="s">
        <v>18</v>
      </c>
      <c r="Q1339" s="2" t="s">
        <v>54</v>
      </c>
      <c r="R1339" s="16">
        <f>(Table1[[#This Row],[NET Amount]]-Table1[[#This Row],[Total Outstanding Amount]])/Table1[[#This Row],[NET Amount]]</f>
        <v>1</v>
      </c>
      <c r="S1339" s="2" t="s">
        <v>97</v>
      </c>
    </row>
    <row r="1340" spans="1:19" x14ac:dyDescent="0.3">
      <c r="A1340" s="4">
        <v>1338</v>
      </c>
      <c r="B1340" s="2" t="s">
        <v>1027</v>
      </c>
      <c r="C1340" s="3">
        <v>44844</v>
      </c>
      <c r="D1340" s="3" t="str">
        <f>TEXT(Table1[[#This Row],[Admission Date]],"MMMM")</f>
        <v>October</v>
      </c>
      <c r="E1340" s="3">
        <v>44847</v>
      </c>
      <c r="F1340" s="3">
        <v>44847</v>
      </c>
      <c r="G1340" s="2">
        <v>22026929</v>
      </c>
      <c r="H1340" s="2">
        <v>2235442</v>
      </c>
      <c r="I1340" s="2">
        <v>10013533226</v>
      </c>
      <c r="J1340" s="2" t="s">
        <v>1028</v>
      </c>
      <c r="K1340" s="10">
        <v>66643</v>
      </c>
      <c r="L1340" s="10">
        <v>5090</v>
      </c>
      <c r="M1340" s="10">
        <v>61554</v>
      </c>
      <c r="N1340" s="10">
        <v>3124</v>
      </c>
      <c r="O1340" s="10">
        <f>Table1[[#This Row],[NET Amount]]-Table1[[#This Row],[Paid Amount]]</f>
        <v>58430</v>
      </c>
      <c r="P1340" s="2" t="s">
        <v>23</v>
      </c>
      <c r="Q1340" s="2" t="s">
        <v>19</v>
      </c>
      <c r="R1340" s="16">
        <f>(Table1[[#This Row],[NET Amount]]-Table1[[#This Row],[Total Outstanding Amount]])/Table1[[#This Row],[NET Amount]]</f>
        <v>5.0752185073269E-2</v>
      </c>
      <c r="S1340" s="2" t="s">
        <v>27</v>
      </c>
    </row>
    <row r="1341" spans="1:19" x14ac:dyDescent="0.3">
      <c r="A1341" s="4">
        <v>1339</v>
      </c>
      <c r="B1341" s="2" t="s">
        <v>21</v>
      </c>
      <c r="C1341" s="3">
        <v>44833</v>
      </c>
      <c r="D1341" s="3" t="str">
        <f>TEXT(Table1[[#This Row],[Admission Date]],"MMMM")</f>
        <v>September</v>
      </c>
      <c r="E1341" s="3">
        <v>44839</v>
      </c>
      <c r="F1341" s="3">
        <v>44839</v>
      </c>
      <c r="G1341" s="2">
        <v>22025757</v>
      </c>
      <c r="H1341" s="2">
        <v>2233976</v>
      </c>
      <c r="I1341" s="2">
        <v>10013453981</v>
      </c>
      <c r="J1341" s="2" t="s">
        <v>188</v>
      </c>
      <c r="K1341" s="10">
        <v>59240</v>
      </c>
      <c r="L1341" s="10">
        <v>0</v>
      </c>
      <c r="M1341" s="10">
        <v>59240</v>
      </c>
      <c r="N1341" s="10">
        <v>59240</v>
      </c>
      <c r="O1341" s="10">
        <f>Table1[[#This Row],[NET Amount]]-Table1[[#This Row],[Paid Amount]]</f>
        <v>0</v>
      </c>
      <c r="P1341" s="2" t="s">
        <v>18</v>
      </c>
      <c r="Q1341" s="2" t="s">
        <v>24</v>
      </c>
      <c r="R1341" s="16">
        <f>(Table1[[#This Row],[NET Amount]]-Table1[[#This Row],[Total Outstanding Amount]])/Table1[[#This Row],[NET Amount]]</f>
        <v>1</v>
      </c>
      <c r="S1341" s="2" t="s">
        <v>20</v>
      </c>
    </row>
    <row r="1342" spans="1:19" x14ac:dyDescent="0.3">
      <c r="A1342" s="4">
        <v>1340</v>
      </c>
      <c r="B1342" s="2" t="s">
        <v>25</v>
      </c>
      <c r="C1342" s="3">
        <v>44841</v>
      </c>
      <c r="D1342" s="3" t="str">
        <f>TEXT(Table1[[#This Row],[Admission Date]],"MMMM")</f>
        <v>October</v>
      </c>
      <c r="E1342" s="3">
        <v>44843</v>
      </c>
      <c r="F1342" s="3">
        <v>44843</v>
      </c>
      <c r="G1342" s="2">
        <v>22026276</v>
      </c>
      <c r="H1342" s="2">
        <v>2235077</v>
      </c>
      <c r="I1342" s="2">
        <v>10013541386</v>
      </c>
      <c r="J1342" s="2" t="s">
        <v>1029</v>
      </c>
      <c r="K1342" s="10">
        <v>33026</v>
      </c>
      <c r="L1342" s="10">
        <v>33026</v>
      </c>
      <c r="M1342" s="10">
        <v>0</v>
      </c>
      <c r="N1342" s="10">
        <v>0</v>
      </c>
      <c r="O1342" s="10">
        <f>Table1[[#This Row],[NET Amount]]-Table1[[#This Row],[Paid Amount]]</f>
        <v>0</v>
      </c>
      <c r="P1342" s="2" t="s">
        <v>18</v>
      </c>
      <c r="Q1342" s="2" t="s">
        <v>90</v>
      </c>
      <c r="R1342" s="16" t="e">
        <f>(Table1[[#This Row],[NET Amount]]-Table1[[#This Row],[Total Outstanding Amount]])/Table1[[#This Row],[NET Amount]]</f>
        <v>#DIV/0!</v>
      </c>
      <c r="S1342" s="2" t="s">
        <v>37</v>
      </c>
    </row>
    <row r="1343" spans="1:19" x14ac:dyDescent="0.3">
      <c r="A1343" s="4">
        <v>1341</v>
      </c>
      <c r="B1343" s="2" t="s">
        <v>1030</v>
      </c>
      <c r="C1343" s="3">
        <v>44855</v>
      </c>
      <c r="D1343" s="3" t="str">
        <f>TEXT(Table1[[#This Row],[Admission Date]],"MMMM")</f>
        <v>October</v>
      </c>
      <c r="E1343" s="3">
        <v>44860</v>
      </c>
      <c r="F1343" s="3">
        <v>44860</v>
      </c>
      <c r="G1343" s="2">
        <v>22028629</v>
      </c>
      <c r="H1343" s="2">
        <v>2236978</v>
      </c>
      <c r="I1343" s="2">
        <v>10013543892</v>
      </c>
      <c r="J1343" s="2" t="s">
        <v>1031</v>
      </c>
      <c r="K1343" s="10">
        <v>42752</v>
      </c>
      <c r="L1343" s="10">
        <v>0</v>
      </c>
      <c r="M1343" s="10">
        <v>42752</v>
      </c>
      <c r="N1343" s="10">
        <v>520</v>
      </c>
      <c r="O1343" s="10">
        <f>Table1[[#This Row],[NET Amount]]-Table1[[#This Row],[Paid Amount]]</f>
        <v>42232</v>
      </c>
      <c r="P1343" s="2" t="s">
        <v>23</v>
      </c>
      <c r="Q1343" s="2" t="s">
        <v>30</v>
      </c>
      <c r="R1343" s="16">
        <f>(Table1[[#This Row],[NET Amount]]-Table1[[#This Row],[Total Outstanding Amount]])/Table1[[#This Row],[NET Amount]]</f>
        <v>1.2163173652694611E-2</v>
      </c>
      <c r="S1343" s="2" t="s">
        <v>20</v>
      </c>
    </row>
    <row r="1344" spans="1:19" x14ac:dyDescent="0.3">
      <c r="A1344" s="4">
        <v>1342</v>
      </c>
      <c r="B1344" s="2" t="s">
        <v>2243</v>
      </c>
      <c r="C1344" s="3">
        <v>44860</v>
      </c>
      <c r="D1344" s="3" t="str">
        <f>TEXT(Table1[[#This Row],[Admission Date]],"MMMM")</f>
        <v>October</v>
      </c>
      <c r="E1344" s="3">
        <v>44860</v>
      </c>
      <c r="F1344" s="3">
        <v>44860</v>
      </c>
      <c r="G1344" s="2">
        <v>22028668</v>
      </c>
      <c r="H1344" s="2">
        <v>2237508</v>
      </c>
      <c r="I1344" s="2">
        <v>1000915528</v>
      </c>
      <c r="J1344" s="2" t="s">
        <v>187</v>
      </c>
      <c r="K1344" s="10">
        <v>2844</v>
      </c>
      <c r="L1344" s="10">
        <v>2844</v>
      </c>
      <c r="M1344" s="10">
        <v>0</v>
      </c>
      <c r="N1344" s="10">
        <v>0</v>
      </c>
      <c r="O1344" s="10">
        <f>Table1[[#This Row],[NET Amount]]-Table1[[#This Row],[Paid Amount]]</f>
        <v>0</v>
      </c>
      <c r="P1344" s="2" t="s">
        <v>18</v>
      </c>
      <c r="Q1344" s="2" t="s">
        <v>54</v>
      </c>
      <c r="R1344" s="16" t="e">
        <f>(Table1[[#This Row],[NET Amount]]-Table1[[#This Row],[Total Outstanding Amount]])/Table1[[#This Row],[NET Amount]]</f>
        <v>#DIV/0!</v>
      </c>
      <c r="S1344" s="2" t="s">
        <v>97</v>
      </c>
    </row>
    <row r="1345" spans="1:19" x14ac:dyDescent="0.3">
      <c r="A1345" s="4">
        <v>1343</v>
      </c>
      <c r="B1345" s="2" t="s">
        <v>25</v>
      </c>
      <c r="C1345" s="3">
        <v>44861</v>
      </c>
      <c r="D1345" s="3" t="str">
        <f>TEXT(Table1[[#This Row],[Admission Date]],"MMMM")</f>
        <v>October</v>
      </c>
      <c r="E1345" s="3">
        <v>44861</v>
      </c>
      <c r="F1345" s="3">
        <v>44861</v>
      </c>
      <c r="G1345" s="2">
        <v>22028712</v>
      </c>
      <c r="H1345" s="2">
        <v>2237604</v>
      </c>
      <c r="I1345" s="2">
        <v>10013484177</v>
      </c>
      <c r="J1345" s="2" t="s">
        <v>174</v>
      </c>
      <c r="K1345" s="10">
        <v>2844</v>
      </c>
      <c r="L1345" s="10">
        <v>289</v>
      </c>
      <c r="M1345" s="10">
        <v>2555</v>
      </c>
      <c r="N1345" s="10">
        <v>2555</v>
      </c>
      <c r="O1345" s="10">
        <f>Table1[[#This Row],[NET Amount]]-Table1[[#This Row],[Paid Amount]]</f>
        <v>0</v>
      </c>
      <c r="P1345" s="2" t="s">
        <v>18</v>
      </c>
      <c r="Q1345" s="2" t="s">
        <v>54</v>
      </c>
      <c r="R1345" s="16">
        <f>(Table1[[#This Row],[NET Amount]]-Table1[[#This Row],[Total Outstanding Amount]])/Table1[[#This Row],[NET Amount]]</f>
        <v>1</v>
      </c>
      <c r="S1345" s="2" t="s">
        <v>97</v>
      </c>
    </row>
    <row r="1346" spans="1:19" x14ac:dyDescent="0.3">
      <c r="A1346" s="4">
        <v>1344</v>
      </c>
      <c r="B1346" s="2" t="s">
        <v>25</v>
      </c>
      <c r="C1346" s="3">
        <v>44855</v>
      </c>
      <c r="D1346" s="3" t="str">
        <f>TEXT(Table1[[#This Row],[Admission Date]],"MMMM")</f>
        <v>October</v>
      </c>
      <c r="E1346" s="3">
        <v>44855</v>
      </c>
      <c r="F1346" s="3">
        <v>44855</v>
      </c>
      <c r="G1346" s="2">
        <v>22027971</v>
      </c>
      <c r="H1346" s="2">
        <v>2236883</v>
      </c>
      <c r="I1346" s="2">
        <v>10013451851</v>
      </c>
      <c r="J1346" s="2" t="s">
        <v>300</v>
      </c>
      <c r="K1346" s="10">
        <v>4990</v>
      </c>
      <c r="L1346" s="10">
        <v>434</v>
      </c>
      <c r="M1346" s="10">
        <v>4556</v>
      </c>
      <c r="N1346" s="10">
        <v>4556</v>
      </c>
      <c r="O1346" s="10">
        <f>Table1[[#This Row],[NET Amount]]-Table1[[#This Row],[Paid Amount]]</f>
        <v>0</v>
      </c>
      <c r="P1346" s="2" t="s">
        <v>18</v>
      </c>
      <c r="Q1346" s="2" t="s">
        <v>54</v>
      </c>
      <c r="R1346" s="16">
        <f>(Table1[[#This Row],[NET Amount]]-Table1[[#This Row],[Total Outstanding Amount]])/Table1[[#This Row],[NET Amount]]</f>
        <v>1</v>
      </c>
      <c r="S1346" s="2" t="s">
        <v>97</v>
      </c>
    </row>
    <row r="1347" spans="1:19" x14ac:dyDescent="0.3">
      <c r="A1347" s="4">
        <v>1345</v>
      </c>
      <c r="B1347" s="2" t="s">
        <v>25</v>
      </c>
      <c r="C1347" s="3">
        <v>44853</v>
      </c>
      <c r="D1347" s="3" t="str">
        <f>TEXT(Table1[[#This Row],[Admission Date]],"MMMM")</f>
        <v>October</v>
      </c>
      <c r="E1347" s="3">
        <v>44855</v>
      </c>
      <c r="F1347" s="3">
        <v>44855</v>
      </c>
      <c r="G1347" s="2">
        <v>22028029</v>
      </c>
      <c r="H1347" s="2">
        <v>2236643</v>
      </c>
      <c r="I1347" s="2">
        <v>10013462403</v>
      </c>
      <c r="J1347" s="2" t="s">
        <v>1032</v>
      </c>
      <c r="K1347" s="10">
        <v>95809</v>
      </c>
      <c r="L1347" s="10">
        <v>95809</v>
      </c>
      <c r="M1347" s="10">
        <v>0</v>
      </c>
      <c r="N1347" s="10">
        <v>0</v>
      </c>
      <c r="O1347" s="10">
        <f>Table1[[#This Row],[NET Amount]]-Table1[[#This Row],[Paid Amount]]</f>
        <v>0</v>
      </c>
      <c r="P1347" s="2" t="s">
        <v>18</v>
      </c>
      <c r="Q1347" s="2" t="s">
        <v>90</v>
      </c>
      <c r="R1347" s="16" t="e">
        <f>(Table1[[#This Row],[NET Amount]]-Table1[[#This Row],[Total Outstanding Amount]])/Table1[[#This Row],[NET Amount]]</f>
        <v>#DIV/0!</v>
      </c>
      <c r="S1347" s="2" t="s">
        <v>20</v>
      </c>
    </row>
    <row r="1348" spans="1:19" x14ac:dyDescent="0.3">
      <c r="A1348" s="4">
        <v>1346</v>
      </c>
      <c r="B1348" s="2" t="s">
        <v>126</v>
      </c>
      <c r="C1348" s="3">
        <v>44836</v>
      </c>
      <c r="D1348" s="3" t="str">
        <f>TEXT(Table1[[#This Row],[Admission Date]],"MMMM")</f>
        <v>October</v>
      </c>
      <c r="E1348" s="3">
        <v>44839</v>
      </c>
      <c r="F1348" s="3">
        <v>44839</v>
      </c>
      <c r="G1348" s="2">
        <v>22025744</v>
      </c>
      <c r="H1348" s="2">
        <v>2234331</v>
      </c>
      <c r="I1348" s="2">
        <v>1000930771</v>
      </c>
      <c r="J1348" s="2" t="s">
        <v>1033</v>
      </c>
      <c r="K1348" s="10">
        <v>75847</v>
      </c>
      <c r="L1348" s="10">
        <v>0</v>
      </c>
      <c r="M1348" s="10">
        <v>75847</v>
      </c>
      <c r="N1348" s="10">
        <v>75847</v>
      </c>
      <c r="O1348" s="10">
        <f>Table1[[#This Row],[NET Amount]]-Table1[[#This Row],[Paid Amount]]</f>
        <v>0</v>
      </c>
      <c r="P1348" s="2" t="s">
        <v>18</v>
      </c>
      <c r="Q1348" s="2" t="s">
        <v>30</v>
      </c>
      <c r="R1348" s="16">
        <f>(Table1[[#This Row],[NET Amount]]-Table1[[#This Row],[Total Outstanding Amount]])/Table1[[#This Row],[NET Amount]]</f>
        <v>1</v>
      </c>
      <c r="S1348" s="2" t="s">
        <v>65</v>
      </c>
    </row>
    <row r="1349" spans="1:19" x14ac:dyDescent="0.3">
      <c r="A1349" s="4">
        <v>1347</v>
      </c>
      <c r="B1349" s="2" t="s">
        <v>25</v>
      </c>
      <c r="C1349" s="3">
        <v>44861</v>
      </c>
      <c r="D1349" s="3" t="str">
        <f>TEXT(Table1[[#This Row],[Admission Date]],"MMMM")</f>
        <v>October</v>
      </c>
      <c r="E1349" s="3">
        <v>44862</v>
      </c>
      <c r="F1349" s="3">
        <v>44862</v>
      </c>
      <c r="G1349" s="2">
        <v>22028904</v>
      </c>
      <c r="H1349" s="2">
        <v>2237731</v>
      </c>
      <c r="I1349" s="2">
        <v>10013544210</v>
      </c>
      <c r="J1349" s="2" t="s">
        <v>685</v>
      </c>
      <c r="K1349" s="10">
        <v>13335</v>
      </c>
      <c r="L1349" s="10">
        <v>13335</v>
      </c>
      <c r="M1349" s="10">
        <v>0</v>
      </c>
      <c r="N1349" s="10">
        <v>0</v>
      </c>
      <c r="O1349" s="10">
        <f>Table1[[#This Row],[NET Amount]]-Table1[[#This Row],[Paid Amount]]</f>
        <v>0</v>
      </c>
      <c r="P1349" s="2" t="s">
        <v>18</v>
      </c>
      <c r="Q1349" s="2" t="s">
        <v>90</v>
      </c>
      <c r="R1349" s="16" t="e">
        <f>(Table1[[#This Row],[NET Amount]]-Table1[[#This Row],[Total Outstanding Amount]])/Table1[[#This Row],[NET Amount]]</f>
        <v>#DIV/0!</v>
      </c>
      <c r="S1349" s="2" t="s">
        <v>20</v>
      </c>
    </row>
    <row r="1350" spans="1:19" x14ac:dyDescent="0.3">
      <c r="A1350" s="4">
        <v>1348</v>
      </c>
      <c r="B1350" s="2" t="s">
        <v>126</v>
      </c>
      <c r="C1350" s="3">
        <v>44834</v>
      </c>
      <c r="D1350" s="3" t="str">
        <f>TEXT(Table1[[#This Row],[Admission Date]],"MMMM")</f>
        <v>September</v>
      </c>
      <c r="E1350" s="3">
        <v>44841</v>
      </c>
      <c r="F1350" s="3">
        <v>44841</v>
      </c>
      <c r="G1350" s="2">
        <v>22025943</v>
      </c>
      <c r="H1350" s="2">
        <v>2234134</v>
      </c>
      <c r="I1350" s="2">
        <v>10013512543</v>
      </c>
      <c r="J1350" s="2" t="s">
        <v>1034</v>
      </c>
      <c r="K1350" s="10">
        <v>126626</v>
      </c>
      <c r="L1350" s="10">
        <v>16926</v>
      </c>
      <c r="M1350" s="10">
        <v>109700</v>
      </c>
      <c r="N1350" s="10">
        <v>6877</v>
      </c>
      <c r="O1350" s="10">
        <f>Table1[[#This Row],[NET Amount]]-Table1[[#This Row],[Paid Amount]]</f>
        <v>102823</v>
      </c>
      <c r="P1350" s="2" t="s">
        <v>23</v>
      </c>
      <c r="Q1350" s="2" t="s">
        <v>30</v>
      </c>
      <c r="R1350" s="16">
        <f>(Table1[[#This Row],[NET Amount]]-Table1[[#This Row],[Total Outstanding Amount]])/Table1[[#This Row],[NET Amount]]</f>
        <v>6.2689152233363715E-2</v>
      </c>
      <c r="S1350" s="2" t="s">
        <v>37</v>
      </c>
    </row>
    <row r="1351" spans="1:19" x14ac:dyDescent="0.3">
      <c r="A1351" s="4">
        <v>1349</v>
      </c>
      <c r="B1351" s="2" t="s">
        <v>2269</v>
      </c>
      <c r="C1351" s="3">
        <v>44842</v>
      </c>
      <c r="D1351" s="3" t="str">
        <f>TEXT(Table1[[#This Row],[Admission Date]],"MMMM")</f>
        <v>October</v>
      </c>
      <c r="E1351" s="3">
        <v>44842</v>
      </c>
      <c r="F1351" s="3">
        <v>44842</v>
      </c>
      <c r="G1351" s="2">
        <v>22026206</v>
      </c>
      <c r="H1351" s="2">
        <v>2235221</v>
      </c>
      <c r="I1351" s="2">
        <v>1001753780</v>
      </c>
      <c r="J1351" s="2" t="s">
        <v>772</v>
      </c>
      <c r="K1351" s="10">
        <v>2560</v>
      </c>
      <c r="L1351" s="10">
        <v>0</v>
      </c>
      <c r="M1351" s="10">
        <v>2560</v>
      </c>
      <c r="N1351" s="10">
        <v>2560</v>
      </c>
      <c r="O1351" s="10">
        <f>Table1[[#This Row],[NET Amount]]-Table1[[#This Row],[Paid Amount]]</f>
        <v>0</v>
      </c>
      <c r="P1351" s="2" t="s">
        <v>18</v>
      </c>
      <c r="Q1351" s="2" t="s">
        <v>54</v>
      </c>
      <c r="R1351" s="16">
        <f>(Table1[[#This Row],[NET Amount]]-Table1[[#This Row],[Total Outstanding Amount]])/Table1[[#This Row],[NET Amount]]</f>
        <v>1</v>
      </c>
      <c r="S1351" s="2" t="s">
        <v>97</v>
      </c>
    </row>
    <row r="1352" spans="1:19" x14ac:dyDescent="0.3">
      <c r="A1352" s="4">
        <v>1350</v>
      </c>
      <c r="B1352" s="2" t="s">
        <v>35</v>
      </c>
      <c r="C1352" s="3">
        <v>44848</v>
      </c>
      <c r="D1352" s="3" t="str">
        <f>TEXT(Table1[[#This Row],[Admission Date]],"MMMM")</f>
        <v>October</v>
      </c>
      <c r="E1352" s="3">
        <v>44850</v>
      </c>
      <c r="F1352" s="3">
        <v>44850</v>
      </c>
      <c r="G1352" s="2">
        <v>22027316</v>
      </c>
      <c r="H1352" s="2">
        <v>2236047</v>
      </c>
      <c r="I1352" s="2">
        <v>1001717737</v>
      </c>
      <c r="J1352" s="2" t="s">
        <v>1035</v>
      </c>
      <c r="K1352" s="10">
        <v>21621</v>
      </c>
      <c r="L1352" s="10">
        <v>0</v>
      </c>
      <c r="M1352" s="10">
        <v>21621</v>
      </c>
      <c r="N1352" s="10">
        <v>21621</v>
      </c>
      <c r="O1352" s="10">
        <f>Table1[[#This Row],[NET Amount]]-Table1[[#This Row],[Paid Amount]]</f>
        <v>0</v>
      </c>
      <c r="P1352" s="2" t="s">
        <v>18</v>
      </c>
      <c r="Q1352" s="2" t="s">
        <v>19</v>
      </c>
      <c r="R1352" s="16">
        <f>(Table1[[#This Row],[NET Amount]]-Table1[[#This Row],[Total Outstanding Amount]])/Table1[[#This Row],[NET Amount]]</f>
        <v>1</v>
      </c>
      <c r="S1352" s="2" t="s">
        <v>39</v>
      </c>
    </row>
    <row r="1353" spans="1:19" x14ac:dyDescent="0.3">
      <c r="A1353" s="4">
        <v>1351</v>
      </c>
      <c r="B1353" s="2" t="s">
        <v>28</v>
      </c>
      <c r="C1353" s="3">
        <v>44833</v>
      </c>
      <c r="D1353" s="3" t="str">
        <f>TEXT(Table1[[#This Row],[Admission Date]],"MMMM")</f>
        <v>September</v>
      </c>
      <c r="E1353" s="3">
        <v>44835</v>
      </c>
      <c r="F1353" s="3">
        <v>44835</v>
      </c>
      <c r="G1353" s="2">
        <v>22025155</v>
      </c>
      <c r="H1353" s="2">
        <v>2233943</v>
      </c>
      <c r="I1353" s="2">
        <v>1000932462</v>
      </c>
      <c r="J1353" s="2" t="s">
        <v>1036</v>
      </c>
      <c r="K1353" s="10">
        <v>104573</v>
      </c>
      <c r="L1353" s="10">
        <v>13419</v>
      </c>
      <c r="M1353" s="10">
        <v>91154</v>
      </c>
      <c r="N1353" s="10">
        <v>2405</v>
      </c>
      <c r="O1353" s="10">
        <f>Table1[[#This Row],[NET Amount]]-Table1[[#This Row],[Paid Amount]]</f>
        <v>88749</v>
      </c>
      <c r="P1353" s="2" t="s">
        <v>23</v>
      </c>
      <c r="Q1353" s="2" t="s">
        <v>104</v>
      </c>
      <c r="R1353" s="16">
        <f>(Table1[[#This Row],[NET Amount]]-Table1[[#This Row],[Total Outstanding Amount]])/Table1[[#This Row],[NET Amount]]</f>
        <v>2.638392171490006E-2</v>
      </c>
      <c r="S1353" s="2" t="s">
        <v>55</v>
      </c>
    </row>
    <row r="1354" spans="1:19" x14ac:dyDescent="0.3">
      <c r="A1354" s="4">
        <v>1352</v>
      </c>
      <c r="B1354" s="2" t="s">
        <v>25</v>
      </c>
      <c r="C1354" s="3">
        <v>44849</v>
      </c>
      <c r="D1354" s="3" t="str">
        <f>TEXT(Table1[[#This Row],[Admission Date]],"MMMM")</f>
        <v>October</v>
      </c>
      <c r="E1354" s="3">
        <v>44850</v>
      </c>
      <c r="F1354" s="3">
        <v>44850</v>
      </c>
      <c r="G1354" s="2">
        <v>22027317</v>
      </c>
      <c r="H1354" s="2">
        <v>2236123</v>
      </c>
      <c r="I1354" s="2">
        <v>1001804545</v>
      </c>
      <c r="J1354" s="2" t="s">
        <v>1037</v>
      </c>
      <c r="K1354" s="10">
        <v>10751</v>
      </c>
      <c r="L1354" s="10">
        <v>1588</v>
      </c>
      <c r="M1354" s="10">
        <v>9163</v>
      </c>
      <c r="N1354" s="10">
        <v>9163</v>
      </c>
      <c r="O1354" s="10">
        <f>Table1[[#This Row],[NET Amount]]-Table1[[#This Row],[Paid Amount]]</f>
        <v>0</v>
      </c>
      <c r="P1354" s="2" t="s">
        <v>18</v>
      </c>
      <c r="Q1354" s="2" t="s">
        <v>30</v>
      </c>
      <c r="R1354" s="16">
        <f>(Table1[[#This Row],[NET Amount]]-Table1[[#This Row],[Total Outstanding Amount]])/Table1[[#This Row],[NET Amount]]</f>
        <v>1</v>
      </c>
      <c r="S1354" s="2" t="s">
        <v>37</v>
      </c>
    </row>
    <row r="1355" spans="1:19" x14ac:dyDescent="0.3">
      <c r="A1355" s="4">
        <v>1353</v>
      </c>
      <c r="B1355" s="2" t="s">
        <v>2243</v>
      </c>
      <c r="C1355" s="3">
        <v>44838</v>
      </c>
      <c r="D1355" s="3" t="str">
        <f>TEXT(Table1[[#This Row],[Admission Date]],"MMMM")</f>
        <v>October</v>
      </c>
      <c r="E1355" s="3">
        <v>44840</v>
      </c>
      <c r="F1355" s="3">
        <v>44840</v>
      </c>
      <c r="G1355" s="2">
        <v>22025884</v>
      </c>
      <c r="H1355" s="2">
        <v>2234597</v>
      </c>
      <c r="I1355" s="2">
        <v>1001802465</v>
      </c>
      <c r="J1355" s="2" t="s">
        <v>1038</v>
      </c>
      <c r="K1355" s="10">
        <v>19842</v>
      </c>
      <c r="L1355" s="10">
        <v>19842</v>
      </c>
      <c r="M1355" s="10">
        <v>0</v>
      </c>
      <c r="N1355" s="10">
        <v>0</v>
      </c>
      <c r="O1355" s="10">
        <f>Table1[[#This Row],[NET Amount]]-Table1[[#This Row],[Paid Amount]]</f>
        <v>0</v>
      </c>
      <c r="P1355" s="2" t="s">
        <v>18</v>
      </c>
      <c r="Q1355" s="2" t="s">
        <v>19</v>
      </c>
      <c r="R1355" s="16" t="e">
        <f>(Table1[[#This Row],[NET Amount]]-Table1[[#This Row],[Total Outstanding Amount]])/Table1[[#This Row],[NET Amount]]</f>
        <v>#DIV/0!</v>
      </c>
      <c r="S1355" s="2" t="s">
        <v>37</v>
      </c>
    </row>
    <row r="1356" spans="1:19" x14ac:dyDescent="0.3">
      <c r="A1356" s="4">
        <v>1354</v>
      </c>
      <c r="B1356" s="2" t="s">
        <v>259</v>
      </c>
      <c r="C1356" s="3">
        <v>44831</v>
      </c>
      <c r="D1356" s="3" t="str">
        <f>TEXT(Table1[[#This Row],[Admission Date]],"MMMM")</f>
        <v>September</v>
      </c>
      <c r="E1356" s="3">
        <v>44835</v>
      </c>
      <c r="F1356" s="3">
        <v>44835</v>
      </c>
      <c r="G1356" s="2">
        <v>22025144</v>
      </c>
      <c r="H1356" s="2">
        <v>2233607</v>
      </c>
      <c r="I1356" s="2">
        <v>10013512284</v>
      </c>
      <c r="J1356" s="2" t="s">
        <v>1039</v>
      </c>
      <c r="K1356" s="10">
        <v>304813</v>
      </c>
      <c r="L1356" s="10">
        <v>0</v>
      </c>
      <c r="M1356" s="10">
        <v>304813</v>
      </c>
      <c r="N1356" s="10">
        <v>1500</v>
      </c>
      <c r="O1356" s="10">
        <f>Table1[[#This Row],[NET Amount]]-Table1[[#This Row],[Paid Amount]]</f>
        <v>303313</v>
      </c>
      <c r="P1356" s="2" t="s">
        <v>23</v>
      </c>
      <c r="Q1356" s="2" t="s">
        <v>30</v>
      </c>
      <c r="R1356" s="16">
        <f>(Table1[[#This Row],[NET Amount]]-Table1[[#This Row],[Total Outstanding Amount]])/Table1[[#This Row],[NET Amount]]</f>
        <v>4.9210499552184454E-3</v>
      </c>
      <c r="S1356" s="2" t="s">
        <v>201</v>
      </c>
    </row>
    <row r="1357" spans="1:19" x14ac:dyDescent="0.3">
      <c r="A1357" s="4">
        <v>1355</v>
      </c>
      <c r="B1357" s="2" t="s">
        <v>25</v>
      </c>
      <c r="C1357" s="3">
        <v>44835</v>
      </c>
      <c r="D1357" s="3" t="str">
        <f>TEXT(Table1[[#This Row],[Admission Date]],"MMMM")</f>
        <v>October</v>
      </c>
      <c r="E1357" s="3">
        <v>44846</v>
      </c>
      <c r="F1357" s="3">
        <v>44846</v>
      </c>
      <c r="G1357" s="2">
        <v>22026713</v>
      </c>
      <c r="H1357" s="2">
        <v>2234294</v>
      </c>
      <c r="I1357" s="2">
        <v>10013541190</v>
      </c>
      <c r="J1357" s="2" t="s">
        <v>1040</v>
      </c>
      <c r="K1357" s="10">
        <v>315155</v>
      </c>
      <c r="L1357" s="10">
        <v>315155</v>
      </c>
      <c r="M1357" s="10">
        <v>0</v>
      </c>
      <c r="N1357" s="10">
        <v>0</v>
      </c>
      <c r="O1357" s="10">
        <f>Table1[[#This Row],[NET Amount]]-Table1[[#This Row],[Paid Amount]]</f>
        <v>0</v>
      </c>
      <c r="P1357" s="2" t="s">
        <v>18</v>
      </c>
      <c r="Q1357" s="2" t="s">
        <v>90</v>
      </c>
      <c r="R1357" s="16" t="e">
        <f>(Table1[[#This Row],[NET Amount]]-Table1[[#This Row],[Total Outstanding Amount]])/Table1[[#This Row],[NET Amount]]</f>
        <v>#DIV/0!</v>
      </c>
      <c r="S1357" s="2" t="s">
        <v>20</v>
      </c>
    </row>
    <row r="1358" spans="1:19" x14ac:dyDescent="0.3">
      <c r="A1358" s="4">
        <v>1356</v>
      </c>
      <c r="B1358" s="2" t="s">
        <v>25</v>
      </c>
      <c r="C1358" s="3">
        <v>44850</v>
      </c>
      <c r="D1358" s="3" t="str">
        <f>TEXT(Table1[[#This Row],[Admission Date]],"MMMM")</f>
        <v>October</v>
      </c>
      <c r="E1358" s="3">
        <v>44852</v>
      </c>
      <c r="F1358" s="3">
        <v>44852</v>
      </c>
      <c r="G1358" s="2">
        <v>22027602</v>
      </c>
      <c r="H1358" s="2">
        <v>2236220</v>
      </c>
      <c r="I1358" s="2">
        <v>1000892411</v>
      </c>
      <c r="J1358" s="2" t="s">
        <v>1041</v>
      </c>
      <c r="K1358" s="10">
        <v>99381</v>
      </c>
      <c r="L1358" s="10">
        <v>99381</v>
      </c>
      <c r="M1358" s="10">
        <v>0</v>
      </c>
      <c r="N1358" s="10">
        <v>0</v>
      </c>
      <c r="O1358" s="10">
        <f>Table1[[#This Row],[NET Amount]]-Table1[[#This Row],[Paid Amount]]</f>
        <v>0</v>
      </c>
      <c r="P1358" s="2" t="s">
        <v>18</v>
      </c>
      <c r="Q1358" s="2" t="s">
        <v>90</v>
      </c>
      <c r="R1358" s="16" t="e">
        <f>(Table1[[#This Row],[NET Amount]]-Table1[[#This Row],[Total Outstanding Amount]])/Table1[[#This Row],[NET Amount]]</f>
        <v>#DIV/0!</v>
      </c>
      <c r="S1358" s="2" t="s">
        <v>39</v>
      </c>
    </row>
    <row r="1359" spans="1:19" x14ac:dyDescent="0.3">
      <c r="A1359" s="4">
        <v>1357</v>
      </c>
      <c r="B1359" s="2" t="s">
        <v>155</v>
      </c>
      <c r="C1359" s="3">
        <v>44856</v>
      </c>
      <c r="D1359" s="3" t="str">
        <f>TEXT(Table1[[#This Row],[Admission Date]],"MMMM")</f>
        <v>October</v>
      </c>
      <c r="E1359" s="3">
        <v>44856</v>
      </c>
      <c r="F1359" s="3">
        <v>44856</v>
      </c>
      <c r="G1359" s="2">
        <v>22028232</v>
      </c>
      <c r="H1359" s="2">
        <v>2237033</v>
      </c>
      <c r="I1359" s="2">
        <v>10013362937</v>
      </c>
      <c r="J1359" s="2" t="s">
        <v>963</v>
      </c>
      <c r="K1359" s="10">
        <v>1610</v>
      </c>
      <c r="L1359" s="10">
        <v>0</v>
      </c>
      <c r="M1359" s="10">
        <v>1610</v>
      </c>
      <c r="N1359" s="10">
        <v>1610</v>
      </c>
      <c r="O1359" s="10">
        <f>Table1[[#This Row],[NET Amount]]-Table1[[#This Row],[Paid Amount]]</f>
        <v>0</v>
      </c>
      <c r="P1359" s="2" t="s">
        <v>18</v>
      </c>
      <c r="Q1359" s="2" t="s">
        <v>54</v>
      </c>
      <c r="R1359" s="16">
        <f>(Table1[[#This Row],[NET Amount]]-Table1[[#This Row],[Total Outstanding Amount]])/Table1[[#This Row],[NET Amount]]</f>
        <v>1</v>
      </c>
      <c r="S1359" s="2" t="s">
        <v>97</v>
      </c>
    </row>
    <row r="1360" spans="1:19" x14ac:dyDescent="0.3">
      <c r="A1360" s="4">
        <v>1358</v>
      </c>
      <c r="B1360" s="2" t="s">
        <v>2246</v>
      </c>
      <c r="C1360" s="3">
        <v>44860</v>
      </c>
      <c r="D1360" s="3" t="str">
        <f>TEXT(Table1[[#This Row],[Admission Date]],"MMMM")</f>
        <v>October</v>
      </c>
      <c r="E1360" s="3">
        <v>44860</v>
      </c>
      <c r="F1360" s="3">
        <v>44860</v>
      </c>
      <c r="G1360" s="2">
        <v>22028579</v>
      </c>
      <c r="H1360" s="2">
        <v>2237459</v>
      </c>
      <c r="I1360" s="2">
        <v>1001788579</v>
      </c>
      <c r="J1360" s="2" t="s">
        <v>107</v>
      </c>
      <c r="K1360" s="10">
        <v>2172</v>
      </c>
      <c r="L1360" s="10">
        <v>0</v>
      </c>
      <c r="M1360" s="10">
        <v>2172</v>
      </c>
      <c r="N1360" s="10">
        <v>2172</v>
      </c>
      <c r="O1360" s="10">
        <f>Table1[[#This Row],[NET Amount]]-Table1[[#This Row],[Paid Amount]]</f>
        <v>0</v>
      </c>
      <c r="P1360" s="2" t="s">
        <v>18</v>
      </c>
      <c r="Q1360" s="2" t="s">
        <v>54</v>
      </c>
      <c r="R1360" s="16">
        <f>(Table1[[#This Row],[NET Amount]]-Table1[[#This Row],[Total Outstanding Amount]])/Table1[[#This Row],[NET Amount]]</f>
        <v>1</v>
      </c>
      <c r="S1360" s="2" t="s">
        <v>97</v>
      </c>
    </row>
    <row r="1361" spans="1:19" x14ac:dyDescent="0.3">
      <c r="A1361" s="4">
        <v>1359</v>
      </c>
      <c r="B1361" s="2" t="s">
        <v>152</v>
      </c>
      <c r="C1361" s="3">
        <v>44837</v>
      </c>
      <c r="D1361" s="3" t="str">
        <f>TEXT(Table1[[#This Row],[Admission Date]],"MMMM")</f>
        <v>October</v>
      </c>
      <c r="E1361" s="3">
        <v>44840</v>
      </c>
      <c r="F1361" s="3">
        <v>44840</v>
      </c>
      <c r="G1361" s="2">
        <v>22025826</v>
      </c>
      <c r="H1361" s="2">
        <v>2234347</v>
      </c>
      <c r="I1361" s="2">
        <v>10013501017</v>
      </c>
      <c r="J1361" s="2" t="s">
        <v>1042</v>
      </c>
      <c r="K1361" s="10">
        <v>28945</v>
      </c>
      <c r="L1361" s="10">
        <v>0</v>
      </c>
      <c r="M1361" s="10">
        <v>28945</v>
      </c>
      <c r="N1361" s="10">
        <v>2191</v>
      </c>
      <c r="O1361" s="10">
        <f>Table1[[#This Row],[NET Amount]]-Table1[[#This Row],[Paid Amount]]</f>
        <v>26754</v>
      </c>
      <c r="P1361" s="2" t="s">
        <v>23</v>
      </c>
      <c r="Q1361" s="2" t="s">
        <v>24</v>
      </c>
      <c r="R1361" s="16">
        <f>(Table1[[#This Row],[NET Amount]]-Table1[[#This Row],[Total Outstanding Amount]])/Table1[[#This Row],[NET Amount]]</f>
        <v>7.569528415961306E-2</v>
      </c>
      <c r="S1361" s="2" t="s">
        <v>20</v>
      </c>
    </row>
    <row r="1362" spans="1:19" x14ac:dyDescent="0.3">
      <c r="A1362" s="4">
        <v>1360</v>
      </c>
      <c r="B1362" s="2" t="s">
        <v>126</v>
      </c>
      <c r="C1362" s="3">
        <v>44852</v>
      </c>
      <c r="D1362" s="3" t="str">
        <f>TEXT(Table1[[#This Row],[Admission Date]],"MMMM")</f>
        <v>October</v>
      </c>
      <c r="E1362" s="3">
        <v>44854</v>
      </c>
      <c r="F1362" s="3">
        <v>44854</v>
      </c>
      <c r="G1362" s="2">
        <v>22027873</v>
      </c>
      <c r="H1362" s="2">
        <v>2236558</v>
      </c>
      <c r="I1362" s="2">
        <v>10013543633</v>
      </c>
      <c r="J1362" s="2" t="s">
        <v>1043</v>
      </c>
      <c r="K1362" s="10">
        <v>172853</v>
      </c>
      <c r="L1362" s="10">
        <v>0</v>
      </c>
      <c r="M1362" s="10">
        <v>172853</v>
      </c>
      <c r="N1362" s="10">
        <v>5753</v>
      </c>
      <c r="O1362" s="10">
        <f>Table1[[#This Row],[NET Amount]]-Table1[[#This Row],[Paid Amount]]</f>
        <v>167100</v>
      </c>
      <c r="P1362" s="2" t="s">
        <v>23</v>
      </c>
      <c r="Q1362" s="2" t="s">
        <v>30</v>
      </c>
      <c r="R1362" s="16">
        <f>(Table1[[#This Row],[NET Amount]]-Table1[[#This Row],[Total Outstanding Amount]])/Table1[[#This Row],[NET Amount]]</f>
        <v>3.3282615864347165E-2</v>
      </c>
      <c r="S1362" s="2" t="s">
        <v>201</v>
      </c>
    </row>
    <row r="1363" spans="1:19" x14ac:dyDescent="0.3">
      <c r="A1363" s="4">
        <v>1361</v>
      </c>
      <c r="B1363" s="2" t="s">
        <v>45</v>
      </c>
      <c r="C1363" s="3">
        <v>44861</v>
      </c>
      <c r="D1363" s="3" t="str">
        <f>TEXT(Table1[[#This Row],[Admission Date]],"MMMM")</f>
        <v>October</v>
      </c>
      <c r="E1363" s="3">
        <v>44861</v>
      </c>
      <c r="F1363" s="3">
        <v>44861</v>
      </c>
      <c r="G1363" s="2">
        <v>22028825</v>
      </c>
      <c r="H1363" s="2">
        <v>2237682</v>
      </c>
      <c r="I1363" s="2">
        <v>10013544799</v>
      </c>
      <c r="J1363" s="2" t="s">
        <v>1044</v>
      </c>
      <c r="K1363" s="10">
        <v>0</v>
      </c>
      <c r="L1363" s="10">
        <v>0</v>
      </c>
      <c r="M1363" s="10">
        <v>0</v>
      </c>
      <c r="N1363" s="10">
        <v>0</v>
      </c>
      <c r="O1363" s="10">
        <f>Table1[[#This Row],[NET Amount]]-Table1[[#This Row],[Paid Amount]]</f>
        <v>0</v>
      </c>
      <c r="P1363" s="2" t="s">
        <v>18</v>
      </c>
      <c r="Q1363" s="2" t="s">
        <v>52</v>
      </c>
      <c r="R1363" s="16" t="e">
        <f>(Table1[[#This Row],[NET Amount]]-Table1[[#This Row],[Total Outstanding Amount]])/Table1[[#This Row],[NET Amount]]</f>
        <v>#DIV/0!</v>
      </c>
      <c r="S1363" s="2" t="s">
        <v>201</v>
      </c>
    </row>
    <row r="1364" spans="1:19" x14ac:dyDescent="0.3">
      <c r="A1364" s="4">
        <v>1362</v>
      </c>
      <c r="B1364" s="2" t="s">
        <v>178</v>
      </c>
      <c r="C1364" s="3">
        <v>44851</v>
      </c>
      <c r="D1364" s="3" t="str">
        <f>TEXT(Table1[[#This Row],[Admission Date]],"MMMM")</f>
        <v>October</v>
      </c>
      <c r="E1364" s="3">
        <v>44861</v>
      </c>
      <c r="F1364" s="3">
        <v>44861</v>
      </c>
      <c r="G1364" s="2">
        <v>22028795</v>
      </c>
      <c r="H1364" s="2">
        <v>2236318</v>
      </c>
      <c r="I1364" s="2">
        <v>10013388922</v>
      </c>
      <c r="J1364" s="2" t="s">
        <v>1045</v>
      </c>
      <c r="K1364" s="10">
        <v>184374</v>
      </c>
      <c r="L1364" s="10">
        <v>20840</v>
      </c>
      <c r="M1364" s="10">
        <v>163535</v>
      </c>
      <c r="N1364" s="10">
        <v>12337</v>
      </c>
      <c r="O1364" s="10">
        <f>Table1[[#This Row],[NET Amount]]-Table1[[#This Row],[Paid Amount]]</f>
        <v>151198</v>
      </c>
      <c r="P1364" s="2" t="s">
        <v>23</v>
      </c>
      <c r="Q1364" s="2" t="s">
        <v>42</v>
      </c>
      <c r="R1364" s="16">
        <f>(Table1[[#This Row],[NET Amount]]-Table1[[#This Row],[Total Outstanding Amount]])/Table1[[#This Row],[NET Amount]]</f>
        <v>7.5439508362124319E-2</v>
      </c>
      <c r="S1364" s="2" t="s">
        <v>20</v>
      </c>
    </row>
    <row r="1365" spans="1:19" x14ac:dyDescent="0.3">
      <c r="A1365" s="4">
        <v>1363</v>
      </c>
      <c r="B1365" s="2" t="s">
        <v>25</v>
      </c>
      <c r="C1365" s="3">
        <v>44852</v>
      </c>
      <c r="D1365" s="3" t="str">
        <f>TEXT(Table1[[#This Row],[Admission Date]],"MMMM")</f>
        <v>October</v>
      </c>
      <c r="E1365" s="3">
        <v>44852</v>
      </c>
      <c r="F1365" s="3">
        <v>44852</v>
      </c>
      <c r="G1365" s="2">
        <v>22027539</v>
      </c>
      <c r="H1365" s="2">
        <v>2236448</v>
      </c>
      <c r="I1365" s="2">
        <v>10013451851</v>
      </c>
      <c r="J1365" s="2" t="s">
        <v>300</v>
      </c>
      <c r="K1365" s="10">
        <v>4990</v>
      </c>
      <c r="L1365" s="10">
        <v>432</v>
      </c>
      <c r="M1365" s="10">
        <v>4558</v>
      </c>
      <c r="N1365" s="10">
        <v>4558</v>
      </c>
      <c r="O1365" s="10">
        <f>Table1[[#This Row],[NET Amount]]-Table1[[#This Row],[Paid Amount]]</f>
        <v>0</v>
      </c>
      <c r="P1365" s="2" t="s">
        <v>18</v>
      </c>
      <c r="Q1365" s="2" t="s">
        <v>54</v>
      </c>
      <c r="R1365" s="16">
        <f>(Table1[[#This Row],[NET Amount]]-Table1[[#This Row],[Total Outstanding Amount]])/Table1[[#This Row],[NET Amount]]</f>
        <v>1</v>
      </c>
      <c r="S1365" s="2" t="s">
        <v>97</v>
      </c>
    </row>
    <row r="1366" spans="1:19" x14ac:dyDescent="0.3">
      <c r="A1366" s="4">
        <v>1364</v>
      </c>
      <c r="B1366" s="2" t="s">
        <v>110</v>
      </c>
      <c r="C1366" s="3">
        <v>44849</v>
      </c>
      <c r="D1366" s="3" t="str">
        <f>TEXT(Table1[[#This Row],[Admission Date]],"MMMM")</f>
        <v>October</v>
      </c>
      <c r="E1366" s="3">
        <v>44853</v>
      </c>
      <c r="F1366" s="3">
        <v>44853</v>
      </c>
      <c r="G1366" s="2">
        <v>22027709</v>
      </c>
      <c r="H1366" s="2">
        <v>2236206</v>
      </c>
      <c r="I1366" s="2">
        <v>10013543221</v>
      </c>
      <c r="J1366" s="2" t="s">
        <v>1046</v>
      </c>
      <c r="K1366" s="10">
        <v>54555</v>
      </c>
      <c r="L1366" s="10">
        <v>2719</v>
      </c>
      <c r="M1366" s="10">
        <v>51836</v>
      </c>
      <c r="N1366" s="10">
        <v>1500</v>
      </c>
      <c r="O1366" s="10">
        <f>Table1[[#This Row],[NET Amount]]-Table1[[#This Row],[Paid Amount]]</f>
        <v>50336</v>
      </c>
      <c r="P1366" s="2" t="s">
        <v>23</v>
      </c>
      <c r="Q1366" s="2" t="s">
        <v>24</v>
      </c>
      <c r="R1366" s="16">
        <f>(Table1[[#This Row],[NET Amount]]-Table1[[#This Row],[Total Outstanding Amount]])/Table1[[#This Row],[NET Amount]]</f>
        <v>2.8937418010648971E-2</v>
      </c>
      <c r="S1366" s="2" t="s">
        <v>20</v>
      </c>
    </row>
    <row r="1367" spans="1:19" x14ac:dyDescent="0.3">
      <c r="A1367" s="4">
        <v>1365</v>
      </c>
      <c r="B1367" s="2" t="s">
        <v>2244</v>
      </c>
      <c r="C1367" s="3">
        <v>44852</v>
      </c>
      <c r="D1367" s="3" t="str">
        <f>TEXT(Table1[[#This Row],[Admission Date]],"MMMM")</f>
        <v>October</v>
      </c>
      <c r="E1367" s="3">
        <v>44852</v>
      </c>
      <c r="F1367" s="3">
        <v>44852</v>
      </c>
      <c r="G1367" s="2">
        <v>22027586</v>
      </c>
      <c r="H1367" s="2">
        <v>2236498</v>
      </c>
      <c r="I1367" s="2">
        <v>1001797549</v>
      </c>
      <c r="J1367" s="2" t="s">
        <v>121</v>
      </c>
      <c r="K1367" s="10">
        <v>2560</v>
      </c>
      <c r="L1367" s="10">
        <v>0</v>
      </c>
      <c r="M1367" s="10">
        <v>2560</v>
      </c>
      <c r="N1367" s="10">
        <v>2560</v>
      </c>
      <c r="O1367" s="10">
        <f>Table1[[#This Row],[NET Amount]]-Table1[[#This Row],[Paid Amount]]</f>
        <v>0</v>
      </c>
      <c r="P1367" s="2" t="s">
        <v>18</v>
      </c>
      <c r="Q1367" s="2" t="s">
        <v>54</v>
      </c>
      <c r="R1367" s="16">
        <f>(Table1[[#This Row],[NET Amount]]-Table1[[#This Row],[Total Outstanding Amount]])/Table1[[#This Row],[NET Amount]]</f>
        <v>1</v>
      </c>
      <c r="S1367" s="2" t="s">
        <v>97</v>
      </c>
    </row>
    <row r="1368" spans="1:19" x14ac:dyDescent="0.3">
      <c r="A1368" s="4">
        <v>1366</v>
      </c>
      <c r="B1368" s="2" t="s">
        <v>2258</v>
      </c>
      <c r="C1368" s="3">
        <v>44814</v>
      </c>
      <c r="D1368" s="3" t="str">
        <f>TEXT(Table1[[#This Row],[Admission Date]],"MMMM")</f>
        <v>September</v>
      </c>
      <c r="E1368" s="3">
        <v>44837</v>
      </c>
      <c r="F1368" s="3">
        <v>44837</v>
      </c>
      <c r="G1368" s="2">
        <v>22025415</v>
      </c>
      <c r="H1368" s="2">
        <v>2231402</v>
      </c>
      <c r="I1368" s="2">
        <v>1001797753</v>
      </c>
      <c r="J1368" s="2" t="s">
        <v>1047</v>
      </c>
      <c r="K1368" s="10">
        <v>326154</v>
      </c>
      <c r="L1368" s="10">
        <v>0</v>
      </c>
      <c r="M1368" s="10">
        <v>326154</v>
      </c>
      <c r="N1368" s="10">
        <v>600</v>
      </c>
      <c r="O1368" s="10">
        <f>Table1[[#This Row],[NET Amount]]-Table1[[#This Row],[Paid Amount]]</f>
        <v>325554</v>
      </c>
      <c r="P1368" s="2" t="s">
        <v>23</v>
      </c>
      <c r="Q1368" s="2" t="s">
        <v>24</v>
      </c>
      <c r="R1368" s="16">
        <f>(Table1[[#This Row],[NET Amount]]-Table1[[#This Row],[Total Outstanding Amount]])/Table1[[#This Row],[NET Amount]]</f>
        <v>1.8396217737633143E-3</v>
      </c>
      <c r="S1368" s="2" t="s">
        <v>20</v>
      </c>
    </row>
    <row r="1369" spans="1:19" x14ac:dyDescent="0.3">
      <c r="A1369" s="4">
        <v>1367</v>
      </c>
      <c r="B1369" s="2" t="s">
        <v>25</v>
      </c>
      <c r="C1369" s="3">
        <v>44854</v>
      </c>
      <c r="D1369" s="3" t="str">
        <f>TEXT(Table1[[#This Row],[Admission Date]],"MMMM")</f>
        <v>October</v>
      </c>
      <c r="E1369" s="3">
        <v>44854</v>
      </c>
      <c r="F1369" s="3">
        <v>44854</v>
      </c>
      <c r="G1369" s="2">
        <v>22027829</v>
      </c>
      <c r="H1369" s="2">
        <v>2236746</v>
      </c>
      <c r="I1369" s="2">
        <v>10013541160</v>
      </c>
      <c r="J1369" s="2" t="s">
        <v>336</v>
      </c>
      <c r="K1369" s="10">
        <v>4990</v>
      </c>
      <c r="L1369" s="10">
        <v>536</v>
      </c>
      <c r="M1369" s="10">
        <v>4454</v>
      </c>
      <c r="N1369" s="10">
        <v>4454</v>
      </c>
      <c r="O1369" s="10">
        <f>Table1[[#This Row],[NET Amount]]-Table1[[#This Row],[Paid Amount]]</f>
        <v>0</v>
      </c>
      <c r="P1369" s="2" t="s">
        <v>18</v>
      </c>
      <c r="Q1369" s="2" t="s">
        <v>54</v>
      </c>
      <c r="R1369" s="16">
        <f>(Table1[[#This Row],[NET Amount]]-Table1[[#This Row],[Total Outstanding Amount]])/Table1[[#This Row],[NET Amount]]</f>
        <v>1</v>
      </c>
      <c r="S1369" s="2" t="s">
        <v>97</v>
      </c>
    </row>
    <row r="1370" spans="1:19" x14ac:dyDescent="0.3">
      <c r="A1370" s="4">
        <v>1368</v>
      </c>
      <c r="B1370" s="2" t="s">
        <v>25</v>
      </c>
      <c r="C1370" s="3">
        <v>44844</v>
      </c>
      <c r="D1370" s="3" t="str">
        <f>TEXT(Table1[[#This Row],[Admission Date]],"MMMM")</f>
        <v>October</v>
      </c>
      <c r="E1370" s="3">
        <v>44844</v>
      </c>
      <c r="F1370" s="3">
        <v>44844</v>
      </c>
      <c r="G1370" s="2">
        <v>22026429</v>
      </c>
      <c r="H1370" s="2">
        <v>2235411</v>
      </c>
      <c r="I1370" s="2">
        <v>1001803599</v>
      </c>
      <c r="J1370" s="2" t="s">
        <v>1048</v>
      </c>
      <c r="K1370" s="10">
        <v>14000</v>
      </c>
      <c r="L1370" s="10">
        <v>0</v>
      </c>
      <c r="M1370" s="10">
        <v>14000</v>
      </c>
      <c r="N1370" s="10">
        <v>14000</v>
      </c>
      <c r="O1370" s="10">
        <f>Table1[[#This Row],[NET Amount]]-Table1[[#This Row],[Paid Amount]]</f>
        <v>0</v>
      </c>
      <c r="P1370" s="2" t="s">
        <v>18</v>
      </c>
      <c r="Q1370" s="2" t="s">
        <v>54</v>
      </c>
      <c r="R1370" s="16">
        <f>(Table1[[#This Row],[NET Amount]]-Table1[[#This Row],[Total Outstanding Amount]])/Table1[[#This Row],[NET Amount]]</f>
        <v>1</v>
      </c>
      <c r="S1370" s="2" t="s">
        <v>39</v>
      </c>
    </row>
    <row r="1371" spans="1:19" x14ac:dyDescent="0.3">
      <c r="A1371" s="4">
        <v>1369</v>
      </c>
      <c r="B1371" s="2" t="s">
        <v>2244</v>
      </c>
      <c r="C1371" s="3">
        <v>44861</v>
      </c>
      <c r="D1371" s="3" t="str">
        <f>TEXT(Table1[[#This Row],[Admission Date]],"MMMM")</f>
        <v>October</v>
      </c>
      <c r="E1371" s="3">
        <v>44861</v>
      </c>
      <c r="F1371" s="3">
        <v>44861</v>
      </c>
      <c r="G1371" s="2">
        <v>22028780</v>
      </c>
      <c r="H1371" s="2">
        <v>2237659</v>
      </c>
      <c r="I1371" s="2">
        <v>1001797549</v>
      </c>
      <c r="J1371" s="2" t="s">
        <v>121</v>
      </c>
      <c r="K1371" s="10">
        <v>1610</v>
      </c>
      <c r="L1371" s="10">
        <v>0</v>
      </c>
      <c r="M1371" s="10">
        <v>1610</v>
      </c>
      <c r="N1371" s="10">
        <v>1610</v>
      </c>
      <c r="O1371" s="10">
        <f>Table1[[#This Row],[NET Amount]]-Table1[[#This Row],[Paid Amount]]</f>
        <v>0</v>
      </c>
      <c r="P1371" s="2" t="s">
        <v>18</v>
      </c>
      <c r="Q1371" s="2" t="s">
        <v>54</v>
      </c>
      <c r="R1371" s="16">
        <f>(Table1[[#This Row],[NET Amount]]-Table1[[#This Row],[Total Outstanding Amount]])/Table1[[#This Row],[NET Amount]]</f>
        <v>1</v>
      </c>
      <c r="S1371" s="2" t="s">
        <v>97</v>
      </c>
    </row>
    <row r="1372" spans="1:19" x14ac:dyDescent="0.3">
      <c r="A1372" s="4">
        <v>1370</v>
      </c>
      <c r="B1372" s="2" t="s">
        <v>25</v>
      </c>
      <c r="C1372" s="3">
        <v>44844</v>
      </c>
      <c r="D1372" s="3" t="str">
        <f>TEXT(Table1[[#This Row],[Admission Date]],"MMMM")</f>
        <v>October</v>
      </c>
      <c r="E1372" s="3">
        <v>44844</v>
      </c>
      <c r="F1372" s="3">
        <v>44844</v>
      </c>
      <c r="G1372" s="2">
        <v>22026382</v>
      </c>
      <c r="H1372" s="2">
        <v>2235385</v>
      </c>
      <c r="I1372" s="2">
        <v>1001803576</v>
      </c>
      <c r="J1372" s="2" t="s">
        <v>1049</v>
      </c>
      <c r="K1372" s="10">
        <v>0</v>
      </c>
      <c r="L1372" s="10">
        <v>0</v>
      </c>
      <c r="M1372" s="10">
        <v>0</v>
      </c>
      <c r="N1372" s="10">
        <v>0</v>
      </c>
      <c r="O1372" s="10">
        <f>Table1[[#This Row],[NET Amount]]-Table1[[#This Row],[Paid Amount]]</f>
        <v>0</v>
      </c>
      <c r="P1372" s="2" t="s">
        <v>18</v>
      </c>
      <c r="Q1372" s="2" t="s">
        <v>19</v>
      </c>
      <c r="R1372" s="16" t="e">
        <f>(Table1[[#This Row],[NET Amount]]-Table1[[#This Row],[Total Outstanding Amount]])/Table1[[#This Row],[NET Amount]]</f>
        <v>#DIV/0!</v>
      </c>
      <c r="S1372" s="2" t="s">
        <v>37</v>
      </c>
    </row>
    <row r="1373" spans="1:19" x14ac:dyDescent="0.3">
      <c r="A1373" s="4">
        <v>1371</v>
      </c>
      <c r="B1373" s="2" t="s">
        <v>25</v>
      </c>
      <c r="C1373" s="3">
        <v>44852</v>
      </c>
      <c r="D1373" s="3" t="str">
        <f>TEXT(Table1[[#This Row],[Admission Date]],"MMMM")</f>
        <v>October</v>
      </c>
      <c r="E1373" s="3">
        <v>44852</v>
      </c>
      <c r="F1373" s="3">
        <v>44852</v>
      </c>
      <c r="G1373" s="2">
        <v>22027637</v>
      </c>
      <c r="H1373" s="2">
        <v>2236552</v>
      </c>
      <c r="I1373" s="2">
        <v>1001110018</v>
      </c>
      <c r="J1373" s="2" t="s">
        <v>254</v>
      </c>
      <c r="K1373" s="10">
        <v>2794</v>
      </c>
      <c r="L1373" s="10">
        <v>2794</v>
      </c>
      <c r="M1373" s="10">
        <v>0</v>
      </c>
      <c r="N1373" s="10">
        <v>0</v>
      </c>
      <c r="O1373" s="10">
        <f>Table1[[#This Row],[NET Amount]]-Table1[[#This Row],[Paid Amount]]</f>
        <v>0</v>
      </c>
      <c r="P1373" s="2" t="s">
        <v>18</v>
      </c>
      <c r="Q1373" s="2" t="s">
        <v>90</v>
      </c>
      <c r="R1373" s="16" t="e">
        <f>(Table1[[#This Row],[NET Amount]]-Table1[[#This Row],[Total Outstanding Amount]])/Table1[[#This Row],[NET Amount]]</f>
        <v>#DIV/0!</v>
      </c>
      <c r="S1373" s="2" t="s">
        <v>97</v>
      </c>
    </row>
    <row r="1374" spans="1:19" x14ac:dyDescent="0.3">
      <c r="A1374" s="4">
        <v>1372</v>
      </c>
      <c r="B1374" s="2" t="s">
        <v>2251</v>
      </c>
      <c r="C1374" s="3">
        <v>44862</v>
      </c>
      <c r="D1374" s="3" t="str">
        <f>TEXT(Table1[[#This Row],[Admission Date]],"MMMM")</f>
        <v>October</v>
      </c>
      <c r="E1374" s="3">
        <v>44865</v>
      </c>
      <c r="F1374" s="3">
        <v>44865</v>
      </c>
      <c r="G1374" s="2">
        <v>22029276</v>
      </c>
      <c r="H1374" s="2">
        <v>2237874</v>
      </c>
      <c r="I1374" s="2">
        <v>1001806859</v>
      </c>
      <c r="J1374" s="2" t="s">
        <v>1050</v>
      </c>
      <c r="K1374" s="10">
        <v>41890</v>
      </c>
      <c r="L1374" s="10">
        <v>6338</v>
      </c>
      <c r="M1374" s="10">
        <v>35552</v>
      </c>
      <c r="N1374" s="10">
        <v>1500</v>
      </c>
      <c r="O1374" s="10">
        <f>Table1[[#This Row],[NET Amount]]-Table1[[#This Row],[Paid Amount]]</f>
        <v>34052</v>
      </c>
      <c r="P1374" s="2" t="s">
        <v>23</v>
      </c>
      <c r="Q1374" s="2" t="s">
        <v>52</v>
      </c>
      <c r="R1374" s="16">
        <f>(Table1[[#This Row],[NET Amount]]-Table1[[#This Row],[Total Outstanding Amount]])/Table1[[#This Row],[NET Amount]]</f>
        <v>4.2191719171917191E-2</v>
      </c>
      <c r="S1374" s="2" t="s">
        <v>77</v>
      </c>
    </row>
    <row r="1375" spans="1:19" x14ac:dyDescent="0.3">
      <c r="A1375" s="4">
        <v>1373</v>
      </c>
      <c r="B1375" s="2" t="s">
        <v>25</v>
      </c>
      <c r="C1375" s="3">
        <v>44840</v>
      </c>
      <c r="D1375" s="3" t="str">
        <f>TEXT(Table1[[#This Row],[Admission Date]],"MMMM")</f>
        <v>October</v>
      </c>
      <c r="E1375" s="3">
        <v>44842</v>
      </c>
      <c r="F1375" s="3">
        <v>44843</v>
      </c>
      <c r="G1375" s="2">
        <v>22026301</v>
      </c>
      <c r="H1375" s="2">
        <v>2234937</v>
      </c>
      <c r="I1375" s="2">
        <v>1000929939</v>
      </c>
      <c r="J1375" s="2" t="s">
        <v>1051</v>
      </c>
      <c r="K1375" s="10">
        <v>338728</v>
      </c>
      <c r="L1375" s="10">
        <v>30019</v>
      </c>
      <c r="M1375" s="10">
        <v>308709</v>
      </c>
      <c r="N1375" s="10">
        <v>308700</v>
      </c>
      <c r="O1375" s="10">
        <f>Table1[[#This Row],[NET Amount]]-Table1[[#This Row],[Paid Amount]]</f>
        <v>9</v>
      </c>
      <c r="P1375" s="2" t="s">
        <v>23</v>
      </c>
      <c r="Q1375" s="2" t="s">
        <v>69</v>
      </c>
      <c r="R1375" s="16">
        <f>(Table1[[#This Row],[NET Amount]]-Table1[[#This Row],[Total Outstanding Amount]])/Table1[[#This Row],[NET Amount]]</f>
        <v>0.99997084633101074</v>
      </c>
      <c r="S1375" s="2" t="s">
        <v>39</v>
      </c>
    </row>
    <row r="1376" spans="1:19" x14ac:dyDescent="0.3">
      <c r="A1376" s="4">
        <v>1374</v>
      </c>
      <c r="B1376" s="2" t="s">
        <v>35</v>
      </c>
      <c r="C1376" s="3">
        <v>44839</v>
      </c>
      <c r="D1376" s="3" t="str">
        <f>TEXT(Table1[[#This Row],[Admission Date]],"MMMM")</f>
        <v>October</v>
      </c>
      <c r="E1376" s="3">
        <v>44845</v>
      </c>
      <c r="F1376" s="3">
        <v>44845</v>
      </c>
      <c r="G1376" s="2">
        <v>22026513</v>
      </c>
      <c r="H1376" s="2">
        <v>2234741</v>
      </c>
      <c r="I1376" s="2">
        <v>1001661474</v>
      </c>
      <c r="J1376" s="2" t="s">
        <v>1052</v>
      </c>
      <c r="K1376" s="10">
        <v>33165</v>
      </c>
      <c r="L1376" s="10">
        <v>0</v>
      </c>
      <c r="M1376" s="10">
        <v>33165</v>
      </c>
      <c r="N1376" s="10">
        <v>33165</v>
      </c>
      <c r="O1376" s="10">
        <f>Table1[[#This Row],[NET Amount]]-Table1[[#This Row],[Paid Amount]]</f>
        <v>0</v>
      </c>
      <c r="P1376" s="2" t="s">
        <v>18</v>
      </c>
      <c r="Q1376" s="2" t="s">
        <v>30</v>
      </c>
      <c r="R1376" s="16">
        <f>(Table1[[#This Row],[NET Amount]]-Table1[[#This Row],[Total Outstanding Amount]])/Table1[[#This Row],[NET Amount]]</f>
        <v>1</v>
      </c>
      <c r="S1376" s="2" t="s">
        <v>37</v>
      </c>
    </row>
    <row r="1377" spans="1:19" x14ac:dyDescent="0.3">
      <c r="A1377" s="4">
        <v>1375</v>
      </c>
      <c r="B1377" s="2" t="s">
        <v>25</v>
      </c>
      <c r="C1377" s="3">
        <v>44854</v>
      </c>
      <c r="D1377" s="3" t="str">
        <f>TEXT(Table1[[#This Row],[Admission Date]],"MMMM")</f>
        <v>October</v>
      </c>
      <c r="E1377" s="3">
        <v>44854</v>
      </c>
      <c r="F1377" s="3">
        <v>44854</v>
      </c>
      <c r="G1377" s="2">
        <v>22027808</v>
      </c>
      <c r="H1377" s="2">
        <v>2236729</v>
      </c>
      <c r="I1377" s="2">
        <v>1001314823</v>
      </c>
      <c r="J1377" s="2" t="s">
        <v>129</v>
      </c>
      <c r="K1377" s="10">
        <v>3630</v>
      </c>
      <c r="L1377" s="10">
        <v>342</v>
      </c>
      <c r="M1377" s="10">
        <v>3288</v>
      </c>
      <c r="N1377" s="10">
        <v>3288</v>
      </c>
      <c r="O1377" s="10">
        <f>Table1[[#This Row],[NET Amount]]-Table1[[#This Row],[Paid Amount]]</f>
        <v>0</v>
      </c>
      <c r="P1377" s="2" t="s">
        <v>18</v>
      </c>
      <c r="Q1377" s="2" t="s">
        <v>54</v>
      </c>
      <c r="R1377" s="16">
        <f>(Table1[[#This Row],[NET Amount]]-Table1[[#This Row],[Total Outstanding Amount]])/Table1[[#This Row],[NET Amount]]</f>
        <v>1</v>
      </c>
      <c r="S1377" s="2" t="s">
        <v>97</v>
      </c>
    </row>
    <row r="1378" spans="1:19" x14ac:dyDescent="0.3">
      <c r="A1378" s="4">
        <v>1376</v>
      </c>
      <c r="B1378" s="2" t="s">
        <v>25</v>
      </c>
      <c r="C1378" s="3">
        <v>44862</v>
      </c>
      <c r="D1378" s="3" t="str">
        <f>TEXT(Table1[[#This Row],[Admission Date]],"MMMM")</f>
        <v>October</v>
      </c>
      <c r="E1378" s="3">
        <v>44862</v>
      </c>
      <c r="F1378" s="3">
        <v>44862</v>
      </c>
      <c r="G1378" s="2">
        <v>22028939</v>
      </c>
      <c r="H1378" s="2">
        <v>2237813</v>
      </c>
      <c r="I1378" s="2">
        <v>1000890994</v>
      </c>
      <c r="J1378" s="2" t="s">
        <v>271</v>
      </c>
      <c r="K1378" s="10">
        <v>3488</v>
      </c>
      <c r="L1378" s="10">
        <v>287</v>
      </c>
      <c r="M1378" s="10">
        <v>3201</v>
      </c>
      <c r="N1378" s="10">
        <v>3201</v>
      </c>
      <c r="O1378" s="10">
        <f>Table1[[#This Row],[NET Amount]]-Table1[[#This Row],[Paid Amount]]</f>
        <v>0</v>
      </c>
      <c r="P1378" s="2" t="s">
        <v>18</v>
      </c>
      <c r="Q1378" s="2" t="s">
        <v>54</v>
      </c>
      <c r="R1378" s="16">
        <f>(Table1[[#This Row],[NET Amount]]-Table1[[#This Row],[Total Outstanding Amount]])/Table1[[#This Row],[NET Amount]]</f>
        <v>1</v>
      </c>
      <c r="S1378" s="2" t="s">
        <v>97</v>
      </c>
    </row>
    <row r="1379" spans="1:19" x14ac:dyDescent="0.3">
      <c r="A1379" s="4">
        <v>1377</v>
      </c>
      <c r="B1379" s="2" t="s">
        <v>25</v>
      </c>
      <c r="C1379" s="3">
        <v>44862</v>
      </c>
      <c r="D1379" s="3" t="str">
        <f>TEXT(Table1[[#This Row],[Admission Date]],"MMMM")</f>
        <v>October</v>
      </c>
      <c r="E1379" s="3">
        <v>44862</v>
      </c>
      <c r="F1379" s="3">
        <v>44862</v>
      </c>
      <c r="G1379" s="2">
        <v>22028954</v>
      </c>
      <c r="H1379" s="2">
        <v>2237826</v>
      </c>
      <c r="I1379" s="2">
        <v>10013339576</v>
      </c>
      <c r="J1379" s="2" t="s">
        <v>242</v>
      </c>
      <c r="K1379" s="10">
        <v>2794</v>
      </c>
      <c r="L1379" s="10">
        <v>2794</v>
      </c>
      <c r="M1379" s="10">
        <v>0</v>
      </c>
      <c r="N1379" s="10">
        <v>0</v>
      </c>
      <c r="O1379" s="10">
        <f>Table1[[#This Row],[NET Amount]]-Table1[[#This Row],[Paid Amount]]</f>
        <v>0</v>
      </c>
      <c r="P1379" s="2" t="s">
        <v>18</v>
      </c>
      <c r="Q1379" s="2" t="s">
        <v>90</v>
      </c>
      <c r="R1379" s="16" t="e">
        <f>(Table1[[#This Row],[NET Amount]]-Table1[[#This Row],[Total Outstanding Amount]])/Table1[[#This Row],[NET Amount]]</f>
        <v>#DIV/0!</v>
      </c>
      <c r="S1379" s="2" t="s">
        <v>97</v>
      </c>
    </row>
    <row r="1380" spans="1:19" x14ac:dyDescent="0.3">
      <c r="A1380" s="4">
        <v>1378</v>
      </c>
      <c r="B1380" s="2" t="s">
        <v>75</v>
      </c>
      <c r="C1380" s="3">
        <v>44830</v>
      </c>
      <c r="D1380" s="3" t="str">
        <f>TEXT(Table1[[#This Row],[Admission Date]],"MMMM")</f>
        <v>September</v>
      </c>
      <c r="E1380" s="3">
        <v>44836</v>
      </c>
      <c r="F1380" s="3">
        <v>44836</v>
      </c>
      <c r="G1380" s="2">
        <v>22025292</v>
      </c>
      <c r="H1380" s="2">
        <v>2233508</v>
      </c>
      <c r="I1380" s="2">
        <v>10013449955</v>
      </c>
      <c r="J1380" s="2" t="s">
        <v>1053</v>
      </c>
      <c r="K1380" s="10">
        <v>40340</v>
      </c>
      <c r="L1380" s="10">
        <v>0</v>
      </c>
      <c r="M1380" s="10">
        <v>40340</v>
      </c>
      <c r="N1380" s="10">
        <v>1344</v>
      </c>
      <c r="O1380" s="10">
        <f>Table1[[#This Row],[NET Amount]]-Table1[[#This Row],[Paid Amount]]</f>
        <v>38996</v>
      </c>
      <c r="P1380" s="2" t="s">
        <v>23</v>
      </c>
      <c r="Q1380" s="2" t="s">
        <v>24</v>
      </c>
      <c r="R1380" s="16">
        <f>(Table1[[#This Row],[NET Amount]]-Table1[[#This Row],[Total Outstanding Amount]])/Table1[[#This Row],[NET Amount]]</f>
        <v>3.3316807139315813E-2</v>
      </c>
      <c r="S1380" s="2" t="s">
        <v>39</v>
      </c>
    </row>
    <row r="1381" spans="1:19" x14ac:dyDescent="0.3">
      <c r="A1381" s="4">
        <v>1379</v>
      </c>
      <c r="B1381" s="2" t="s">
        <v>25</v>
      </c>
      <c r="C1381" s="3">
        <v>44858</v>
      </c>
      <c r="D1381" s="3" t="str">
        <f>TEXT(Table1[[#This Row],[Admission Date]],"MMMM")</f>
        <v>October</v>
      </c>
      <c r="E1381" s="3">
        <v>44860</v>
      </c>
      <c r="F1381" s="3">
        <v>44860</v>
      </c>
      <c r="G1381" s="2">
        <v>22028696</v>
      </c>
      <c r="H1381" s="2">
        <v>2237247</v>
      </c>
      <c r="I1381" s="2">
        <v>10013544321</v>
      </c>
      <c r="J1381" s="2" t="s">
        <v>1054</v>
      </c>
      <c r="K1381" s="10">
        <v>112689</v>
      </c>
      <c r="L1381" s="10">
        <v>18101</v>
      </c>
      <c r="M1381" s="10">
        <v>94588</v>
      </c>
      <c r="N1381" s="10">
        <v>94588</v>
      </c>
      <c r="O1381" s="10">
        <f>Table1[[#This Row],[NET Amount]]-Table1[[#This Row],[Paid Amount]]</f>
        <v>0</v>
      </c>
      <c r="P1381" s="2" t="s">
        <v>18</v>
      </c>
      <c r="Q1381" s="2" t="s">
        <v>1010</v>
      </c>
      <c r="R1381" s="16">
        <f>(Table1[[#This Row],[NET Amount]]-Table1[[#This Row],[Total Outstanding Amount]])/Table1[[#This Row],[NET Amount]]</f>
        <v>1</v>
      </c>
      <c r="S1381" s="2" t="s">
        <v>39</v>
      </c>
    </row>
    <row r="1382" spans="1:19" x14ac:dyDescent="0.3">
      <c r="A1382" s="4">
        <v>1380</v>
      </c>
      <c r="B1382" s="2" t="s">
        <v>75</v>
      </c>
      <c r="C1382" s="3">
        <v>44855</v>
      </c>
      <c r="D1382" s="3" t="str">
        <f>TEXT(Table1[[#This Row],[Admission Date]],"MMMM")</f>
        <v>October</v>
      </c>
      <c r="E1382" s="3">
        <v>44863</v>
      </c>
      <c r="F1382" s="3">
        <v>44863</v>
      </c>
      <c r="G1382" s="2">
        <v>22029066</v>
      </c>
      <c r="H1382" s="2">
        <v>2236972</v>
      </c>
      <c r="I1382" s="2">
        <v>10013527208</v>
      </c>
      <c r="J1382" s="2" t="s">
        <v>1055</v>
      </c>
      <c r="K1382" s="10">
        <v>46466</v>
      </c>
      <c r="L1382" s="10">
        <v>0</v>
      </c>
      <c r="M1382" s="10">
        <v>46466</v>
      </c>
      <c r="N1382" s="10">
        <v>1553</v>
      </c>
      <c r="O1382" s="10">
        <f>Table1[[#This Row],[NET Amount]]-Table1[[#This Row],[Paid Amount]]</f>
        <v>44913</v>
      </c>
      <c r="P1382" s="2" t="s">
        <v>23</v>
      </c>
      <c r="Q1382" s="2" t="s">
        <v>24</v>
      </c>
      <c r="R1382" s="16">
        <f>(Table1[[#This Row],[NET Amount]]-Table1[[#This Row],[Total Outstanding Amount]])/Table1[[#This Row],[NET Amount]]</f>
        <v>3.3422287263805792E-2</v>
      </c>
      <c r="S1382" s="2" t="s">
        <v>32</v>
      </c>
    </row>
    <row r="1383" spans="1:19" x14ac:dyDescent="0.3">
      <c r="A1383" s="4">
        <v>1381</v>
      </c>
      <c r="B1383" s="2" t="s">
        <v>50</v>
      </c>
      <c r="C1383" s="3">
        <v>44863</v>
      </c>
      <c r="D1383" s="3" t="str">
        <f>TEXT(Table1[[#This Row],[Admission Date]],"MMMM")</f>
        <v>October</v>
      </c>
      <c r="E1383" s="3">
        <v>44863</v>
      </c>
      <c r="F1383" s="3">
        <v>44863</v>
      </c>
      <c r="G1383" s="2">
        <v>22029105</v>
      </c>
      <c r="H1383" s="2">
        <v>2237960</v>
      </c>
      <c r="I1383" s="2">
        <v>1001564406</v>
      </c>
      <c r="J1383" s="2" t="s">
        <v>183</v>
      </c>
      <c r="K1383" s="10">
        <v>2200</v>
      </c>
      <c r="L1383" s="10">
        <v>0</v>
      </c>
      <c r="M1383" s="10">
        <v>2200</v>
      </c>
      <c r="N1383" s="10">
        <v>330</v>
      </c>
      <c r="O1383" s="10">
        <f>Table1[[#This Row],[NET Amount]]-Table1[[#This Row],[Paid Amount]]</f>
        <v>1870</v>
      </c>
      <c r="P1383" s="2" t="s">
        <v>23</v>
      </c>
      <c r="Q1383" s="2" t="s">
        <v>147</v>
      </c>
      <c r="R1383" s="16">
        <f>(Table1[[#This Row],[NET Amount]]-Table1[[#This Row],[Total Outstanding Amount]])/Table1[[#This Row],[NET Amount]]</f>
        <v>0.15</v>
      </c>
      <c r="S1383" s="2" t="s">
        <v>97</v>
      </c>
    </row>
    <row r="1384" spans="1:19" x14ac:dyDescent="0.3">
      <c r="A1384" s="4">
        <v>1382</v>
      </c>
      <c r="B1384" s="2" t="s">
        <v>152</v>
      </c>
      <c r="C1384" s="3">
        <v>44832</v>
      </c>
      <c r="D1384" s="3" t="str">
        <f>TEXT(Table1[[#This Row],[Admission Date]],"MMMM")</f>
        <v>September</v>
      </c>
      <c r="E1384" s="3">
        <v>44835</v>
      </c>
      <c r="F1384" s="3">
        <v>44835</v>
      </c>
      <c r="G1384" s="2">
        <v>22025150</v>
      </c>
      <c r="H1384" s="2">
        <v>2233769</v>
      </c>
      <c r="I1384" s="2">
        <v>1001348102</v>
      </c>
      <c r="J1384" s="2" t="s">
        <v>1056</v>
      </c>
      <c r="K1384" s="10">
        <v>27554</v>
      </c>
      <c r="L1384" s="10">
        <v>0</v>
      </c>
      <c r="M1384" s="10">
        <v>27554</v>
      </c>
      <c r="N1384" s="10">
        <v>1092</v>
      </c>
      <c r="O1384" s="10">
        <f>Table1[[#This Row],[NET Amount]]-Table1[[#This Row],[Paid Amount]]</f>
        <v>26462</v>
      </c>
      <c r="P1384" s="2" t="s">
        <v>23</v>
      </c>
      <c r="Q1384" s="2" t="s">
        <v>19</v>
      </c>
      <c r="R1384" s="16">
        <f>(Table1[[#This Row],[NET Amount]]-Table1[[#This Row],[Total Outstanding Amount]])/Table1[[#This Row],[NET Amount]]</f>
        <v>3.9631269507149597E-2</v>
      </c>
      <c r="S1384" s="2" t="s">
        <v>20</v>
      </c>
    </row>
    <row r="1385" spans="1:19" x14ac:dyDescent="0.3">
      <c r="A1385" s="4">
        <v>1383</v>
      </c>
      <c r="B1385" s="2" t="s">
        <v>25</v>
      </c>
      <c r="C1385" s="3">
        <v>44838</v>
      </c>
      <c r="D1385" s="3" t="str">
        <f>TEXT(Table1[[#This Row],[Admission Date]],"MMMM")</f>
        <v>October</v>
      </c>
      <c r="E1385" s="3">
        <v>44842</v>
      </c>
      <c r="F1385" s="3">
        <v>44842</v>
      </c>
      <c r="G1385" s="2">
        <v>22026085</v>
      </c>
      <c r="H1385" s="2">
        <v>2234591</v>
      </c>
      <c r="I1385" s="2">
        <v>1001267104</v>
      </c>
      <c r="J1385" s="2" t="s">
        <v>1057</v>
      </c>
      <c r="K1385" s="10">
        <v>56206</v>
      </c>
      <c r="L1385" s="10">
        <v>7538</v>
      </c>
      <c r="M1385" s="10">
        <v>48667</v>
      </c>
      <c r="N1385" s="10">
        <v>48667</v>
      </c>
      <c r="O1385" s="10">
        <f>Table1[[#This Row],[NET Amount]]-Table1[[#This Row],[Paid Amount]]</f>
        <v>0</v>
      </c>
      <c r="P1385" s="2" t="s">
        <v>18</v>
      </c>
      <c r="Q1385" s="2" t="s">
        <v>19</v>
      </c>
      <c r="R1385" s="16">
        <f>(Table1[[#This Row],[NET Amount]]-Table1[[#This Row],[Total Outstanding Amount]])/Table1[[#This Row],[NET Amount]]</f>
        <v>1</v>
      </c>
      <c r="S1385" s="2" t="s">
        <v>20</v>
      </c>
    </row>
    <row r="1386" spans="1:19" x14ac:dyDescent="0.3">
      <c r="A1386" s="4">
        <v>1384</v>
      </c>
      <c r="B1386" s="2" t="s">
        <v>155</v>
      </c>
      <c r="C1386" s="3">
        <v>44857</v>
      </c>
      <c r="D1386" s="3" t="str">
        <f>TEXT(Table1[[#This Row],[Admission Date]],"MMMM")</f>
        <v>October</v>
      </c>
      <c r="E1386" s="3">
        <v>44857</v>
      </c>
      <c r="F1386" s="3">
        <v>44857</v>
      </c>
      <c r="G1386" s="2">
        <v>22028311</v>
      </c>
      <c r="H1386" s="2">
        <v>2237117</v>
      </c>
      <c r="I1386" s="2">
        <v>10013269857</v>
      </c>
      <c r="J1386" s="2" t="s">
        <v>175</v>
      </c>
      <c r="K1386" s="10">
        <v>1610</v>
      </c>
      <c r="L1386" s="10">
        <v>0</v>
      </c>
      <c r="M1386" s="10">
        <v>1610</v>
      </c>
      <c r="N1386" s="10">
        <v>1610</v>
      </c>
      <c r="O1386" s="10">
        <f>Table1[[#This Row],[NET Amount]]-Table1[[#This Row],[Paid Amount]]</f>
        <v>0</v>
      </c>
      <c r="P1386" s="2" t="s">
        <v>18</v>
      </c>
      <c r="Q1386" s="2" t="s">
        <v>54</v>
      </c>
      <c r="R1386" s="16">
        <f>(Table1[[#This Row],[NET Amount]]-Table1[[#This Row],[Total Outstanding Amount]])/Table1[[#This Row],[NET Amount]]</f>
        <v>1</v>
      </c>
      <c r="S1386" s="2" t="s">
        <v>97</v>
      </c>
    </row>
    <row r="1387" spans="1:19" x14ac:dyDescent="0.3">
      <c r="A1387" s="4">
        <v>1385</v>
      </c>
      <c r="B1387" s="2" t="s">
        <v>25</v>
      </c>
      <c r="C1387" s="3">
        <v>44859</v>
      </c>
      <c r="D1387" s="3" t="str">
        <f>TEXT(Table1[[#This Row],[Admission Date]],"MMMM")</f>
        <v>October</v>
      </c>
      <c r="E1387" s="3">
        <v>44859</v>
      </c>
      <c r="F1387" s="3">
        <v>44859</v>
      </c>
      <c r="G1387" s="2">
        <v>22028509</v>
      </c>
      <c r="H1387" s="2">
        <v>2237297</v>
      </c>
      <c r="I1387" s="2">
        <v>10013513064</v>
      </c>
      <c r="J1387" s="2" t="s">
        <v>563</v>
      </c>
      <c r="K1387" s="10">
        <v>2844</v>
      </c>
      <c r="L1387" s="10">
        <v>287</v>
      </c>
      <c r="M1387" s="10">
        <v>2557</v>
      </c>
      <c r="N1387" s="10">
        <v>2557</v>
      </c>
      <c r="O1387" s="10">
        <f>Table1[[#This Row],[NET Amount]]-Table1[[#This Row],[Paid Amount]]</f>
        <v>0</v>
      </c>
      <c r="P1387" s="2" t="s">
        <v>18</v>
      </c>
      <c r="Q1387" s="2" t="s">
        <v>54</v>
      </c>
      <c r="R1387" s="16">
        <f>(Table1[[#This Row],[NET Amount]]-Table1[[#This Row],[Total Outstanding Amount]])/Table1[[#This Row],[NET Amount]]</f>
        <v>1</v>
      </c>
      <c r="S1387" s="2" t="s">
        <v>97</v>
      </c>
    </row>
    <row r="1388" spans="1:19" x14ac:dyDescent="0.3">
      <c r="A1388" s="4">
        <v>1386</v>
      </c>
      <c r="B1388" s="2" t="s">
        <v>144</v>
      </c>
      <c r="C1388" s="3">
        <v>44830</v>
      </c>
      <c r="D1388" s="3" t="str">
        <f>TEXT(Table1[[#This Row],[Admission Date]],"MMMM")</f>
        <v>September</v>
      </c>
      <c r="E1388" s="3">
        <v>44836</v>
      </c>
      <c r="F1388" s="3">
        <v>44836</v>
      </c>
      <c r="G1388" s="2">
        <v>22025309</v>
      </c>
      <c r="H1388" s="2">
        <v>2233467</v>
      </c>
      <c r="I1388" s="2">
        <v>10013224398</v>
      </c>
      <c r="J1388" s="2" t="s">
        <v>1058</v>
      </c>
      <c r="K1388" s="10">
        <v>269461</v>
      </c>
      <c r="L1388" s="10">
        <v>0</v>
      </c>
      <c r="M1388" s="10">
        <v>269461</v>
      </c>
      <c r="N1388" s="10">
        <v>16384</v>
      </c>
      <c r="O1388" s="10">
        <f>Table1[[#This Row],[NET Amount]]-Table1[[#This Row],[Paid Amount]]</f>
        <v>253077</v>
      </c>
      <c r="P1388" s="2" t="s">
        <v>23</v>
      </c>
      <c r="Q1388" s="2" t="s">
        <v>30</v>
      </c>
      <c r="R1388" s="16">
        <f>(Table1[[#This Row],[NET Amount]]-Table1[[#This Row],[Total Outstanding Amount]])/Table1[[#This Row],[NET Amount]]</f>
        <v>6.0802862009715693E-2</v>
      </c>
      <c r="S1388" s="2" t="s">
        <v>20</v>
      </c>
    </row>
    <row r="1389" spans="1:19" x14ac:dyDescent="0.3">
      <c r="A1389" s="4">
        <v>1387</v>
      </c>
      <c r="B1389" s="2" t="s">
        <v>152</v>
      </c>
      <c r="C1389" s="3">
        <v>44853</v>
      </c>
      <c r="D1389" s="3" t="str">
        <f>TEXT(Table1[[#This Row],[Admission Date]],"MMMM")</f>
        <v>October</v>
      </c>
      <c r="E1389" s="3">
        <v>44860</v>
      </c>
      <c r="F1389" s="3">
        <v>44860</v>
      </c>
      <c r="G1389" s="2">
        <v>22028596</v>
      </c>
      <c r="H1389" s="2">
        <v>2236650</v>
      </c>
      <c r="I1389" s="2">
        <v>10013543745</v>
      </c>
      <c r="J1389" s="2" t="s">
        <v>1059</v>
      </c>
      <c r="K1389" s="10">
        <v>209125</v>
      </c>
      <c r="L1389" s="10">
        <v>0</v>
      </c>
      <c r="M1389" s="10">
        <v>209125</v>
      </c>
      <c r="N1389" s="10">
        <v>1550</v>
      </c>
      <c r="O1389" s="10">
        <f>Table1[[#This Row],[NET Amount]]-Table1[[#This Row],[Paid Amount]]</f>
        <v>207575</v>
      </c>
      <c r="P1389" s="2" t="s">
        <v>23</v>
      </c>
      <c r="Q1389" s="2" t="s">
        <v>19</v>
      </c>
      <c r="R1389" s="16">
        <f>(Table1[[#This Row],[NET Amount]]-Table1[[#This Row],[Total Outstanding Amount]])/Table1[[#This Row],[NET Amount]]</f>
        <v>7.4118350268977881E-3</v>
      </c>
      <c r="S1389" s="2" t="s">
        <v>39</v>
      </c>
    </row>
    <row r="1390" spans="1:19" x14ac:dyDescent="0.3">
      <c r="A1390" s="4">
        <v>1388</v>
      </c>
      <c r="B1390" s="2" t="s">
        <v>25</v>
      </c>
      <c r="C1390" s="3">
        <v>44848</v>
      </c>
      <c r="D1390" s="3" t="str">
        <f>TEXT(Table1[[#This Row],[Admission Date]],"MMMM")</f>
        <v>October</v>
      </c>
      <c r="E1390" s="3">
        <v>44848</v>
      </c>
      <c r="F1390" s="3">
        <v>44848</v>
      </c>
      <c r="G1390" s="2">
        <v>22027031</v>
      </c>
      <c r="H1390" s="2">
        <v>2235965</v>
      </c>
      <c r="I1390" s="2">
        <v>10013527702</v>
      </c>
      <c r="J1390" s="2" t="s">
        <v>553</v>
      </c>
      <c r="K1390" s="10">
        <v>4990</v>
      </c>
      <c r="L1390" s="10">
        <v>413</v>
      </c>
      <c r="M1390" s="10">
        <v>4577</v>
      </c>
      <c r="N1390" s="10">
        <v>4577</v>
      </c>
      <c r="O1390" s="10">
        <f>Table1[[#This Row],[NET Amount]]-Table1[[#This Row],[Paid Amount]]</f>
        <v>0</v>
      </c>
      <c r="P1390" s="2" t="s">
        <v>18</v>
      </c>
      <c r="Q1390" s="2" t="s">
        <v>54</v>
      </c>
      <c r="R1390" s="16">
        <f>(Table1[[#This Row],[NET Amount]]-Table1[[#This Row],[Total Outstanding Amount]])/Table1[[#This Row],[NET Amount]]</f>
        <v>1</v>
      </c>
      <c r="S1390" s="2" t="s">
        <v>97</v>
      </c>
    </row>
    <row r="1391" spans="1:19" x14ac:dyDescent="0.3">
      <c r="A1391" s="4">
        <v>1389</v>
      </c>
      <c r="B1391" s="2" t="s">
        <v>25</v>
      </c>
      <c r="C1391" s="3">
        <v>44851</v>
      </c>
      <c r="D1391" s="3" t="str">
        <f>TEXT(Table1[[#This Row],[Admission Date]],"MMMM")</f>
        <v>October</v>
      </c>
      <c r="E1391" s="3">
        <v>44851</v>
      </c>
      <c r="F1391" s="3">
        <v>44851</v>
      </c>
      <c r="G1391" s="2">
        <v>22027436</v>
      </c>
      <c r="H1391" s="2">
        <v>2236330</v>
      </c>
      <c r="I1391" s="2">
        <v>1000919979</v>
      </c>
      <c r="J1391" s="2" t="s">
        <v>319</v>
      </c>
      <c r="K1391" s="10">
        <v>2844</v>
      </c>
      <c r="L1391" s="10">
        <v>286</v>
      </c>
      <c r="M1391" s="10">
        <v>2558</v>
      </c>
      <c r="N1391" s="10">
        <v>2558</v>
      </c>
      <c r="O1391" s="10">
        <f>Table1[[#This Row],[NET Amount]]-Table1[[#This Row],[Paid Amount]]</f>
        <v>0</v>
      </c>
      <c r="P1391" s="2" t="s">
        <v>18</v>
      </c>
      <c r="Q1391" s="2" t="s">
        <v>54</v>
      </c>
      <c r="R1391" s="16">
        <f>(Table1[[#This Row],[NET Amount]]-Table1[[#This Row],[Total Outstanding Amount]])/Table1[[#This Row],[NET Amount]]</f>
        <v>1</v>
      </c>
      <c r="S1391" s="2" t="s">
        <v>97</v>
      </c>
    </row>
    <row r="1392" spans="1:19" x14ac:dyDescent="0.3">
      <c r="A1392" s="4">
        <v>1390</v>
      </c>
      <c r="B1392" s="2" t="s">
        <v>2243</v>
      </c>
      <c r="C1392" s="3">
        <v>44851</v>
      </c>
      <c r="D1392" s="3" t="str">
        <f>TEXT(Table1[[#This Row],[Admission Date]],"MMMM")</f>
        <v>October</v>
      </c>
      <c r="E1392" s="3">
        <v>44851</v>
      </c>
      <c r="F1392" s="3">
        <v>44851</v>
      </c>
      <c r="G1392" s="2">
        <v>22027461</v>
      </c>
      <c r="H1392" s="2">
        <v>2236333</v>
      </c>
      <c r="I1392" s="2">
        <v>1000915528</v>
      </c>
      <c r="J1392" s="2" t="s">
        <v>187</v>
      </c>
      <c r="K1392" s="10">
        <v>3488</v>
      </c>
      <c r="L1392" s="10">
        <v>3488</v>
      </c>
      <c r="M1392" s="10">
        <v>0</v>
      </c>
      <c r="N1392" s="10">
        <v>0</v>
      </c>
      <c r="O1392" s="10">
        <f>Table1[[#This Row],[NET Amount]]-Table1[[#This Row],[Paid Amount]]</f>
        <v>0</v>
      </c>
      <c r="P1392" s="2" t="s">
        <v>18</v>
      </c>
      <c r="Q1392" s="2" t="s">
        <v>54</v>
      </c>
      <c r="R1392" s="16" t="e">
        <f>(Table1[[#This Row],[NET Amount]]-Table1[[#This Row],[Total Outstanding Amount]])/Table1[[#This Row],[NET Amount]]</f>
        <v>#DIV/0!</v>
      </c>
      <c r="S1392" s="2" t="s">
        <v>97</v>
      </c>
    </row>
    <row r="1393" spans="1:19" x14ac:dyDescent="0.3">
      <c r="A1393" s="4">
        <v>1391</v>
      </c>
      <c r="B1393" s="2" t="s">
        <v>149</v>
      </c>
      <c r="C1393" s="3">
        <v>44846</v>
      </c>
      <c r="D1393" s="3" t="str">
        <f>TEXT(Table1[[#This Row],[Admission Date]],"MMMM")</f>
        <v>October</v>
      </c>
      <c r="E1393" s="3">
        <v>44851</v>
      </c>
      <c r="F1393" s="3">
        <v>44851</v>
      </c>
      <c r="G1393" s="2">
        <v>22027377</v>
      </c>
      <c r="H1393" s="2">
        <v>2235668</v>
      </c>
      <c r="I1393" s="2">
        <v>1001138496</v>
      </c>
      <c r="J1393" s="2" t="s">
        <v>1060</v>
      </c>
      <c r="K1393" s="10">
        <v>80342</v>
      </c>
      <c r="L1393" s="10">
        <v>0</v>
      </c>
      <c r="M1393" s="10">
        <v>80342</v>
      </c>
      <c r="N1393" s="10">
        <v>1500</v>
      </c>
      <c r="O1393" s="10">
        <f>Table1[[#This Row],[NET Amount]]-Table1[[#This Row],[Paid Amount]]</f>
        <v>78842</v>
      </c>
      <c r="P1393" s="2" t="s">
        <v>23</v>
      </c>
      <c r="Q1393" s="2" t="s">
        <v>24</v>
      </c>
      <c r="R1393" s="16">
        <f>(Table1[[#This Row],[NET Amount]]-Table1[[#This Row],[Total Outstanding Amount]])/Table1[[#This Row],[NET Amount]]</f>
        <v>1.8670184959298997E-2</v>
      </c>
      <c r="S1393" s="2" t="s">
        <v>37</v>
      </c>
    </row>
    <row r="1394" spans="1:19" x14ac:dyDescent="0.3">
      <c r="A1394" s="4">
        <v>1392</v>
      </c>
      <c r="B1394" s="2" t="s">
        <v>113</v>
      </c>
      <c r="C1394" s="3">
        <v>44840</v>
      </c>
      <c r="D1394" s="3" t="str">
        <f>TEXT(Table1[[#This Row],[Admission Date]],"MMMM")</f>
        <v>October</v>
      </c>
      <c r="E1394" s="3">
        <v>44840</v>
      </c>
      <c r="F1394" s="3">
        <v>44840</v>
      </c>
      <c r="G1394" s="2">
        <v>22025799</v>
      </c>
      <c r="H1394" s="2">
        <v>2234818</v>
      </c>
      <c r="I1394" s="2">
        <v>10013524248</v>
      </c>
      <c r="J1394" s="2" t="s">
        <v>211</v>
      </c>
      <c r="K1394" s="10">
        <v>1610</v>
      </c>
      <c r="L1394" s="10">
        <v>0</v>
      </c>
      <c r="M1394" s="10">
        <v>1610</v>
      </c>
      <c r="N1394" s="10">
        <v>1610</v>
      </c>
      <c r="O1394" s="10">
        <f>Table1[[#This Row],[NET Amount]]-Table1[[#This Row],[Paid Amount]]</f>
        <v>0</v>
      </c>
      <c r="P1394" s="2" t="s">
        <v>18</v>
      </c>
      <c r="Q1394" s="2" t="s">
        <v>54</v>
      </c>
      <c r="R1394" s="16">
        <f>(Table1[[#This Row],[NET Amount]]-Table1[[#This Row],[Total Outstanding Amount]])/Table1[[#This Row],[NET Amount]]</f>
        <v>1</v>
      </c>
      <c r="S1394" s="2" t="s">
        <v>97</v>
      </c>
    </row>
    <row r="1395" spans="1:19" x14ac:dyDescent="0.3">
      <c r="A1395" s="4">
        <v>1393</v>
      </c>
      <c r="B1395" s="2" t="s">
        <v>25</v>
      </c>
      <c r="C1395" s="3">
        <v>44852</v>
      </c>
      <c r="D1395" s="3" t="str">
        <f>TEXT(Table1[[#This Row],[Admission Date]],"MMMM")</f>
        <v>October</v>
      </c>
      <c r="E1395" s="3">
        <v>44852</v>
      </c>
      <c r="F1395" s="3">
        <v>44852</v>
      </c>
      <c r="G1395" s="2">
        <v>22027625</v>
      </c>
      <c r="H1395" s="2">
        <v>2236534</v>
      </c>
      <c r="I1395" s="2">
        <v>10013352607</v>
      </c>
      <c r="J1395" s="2" t="s">
        <v>305</v>
      </c>
      <c r="K1395" s="10">
        <v>2844</v>
      </c>
      <c r="L1395" s="10">
        <v>277</v>
      </c>
      <c r="M1395" s="10">
        <v>2567</v>
      </c>
      <c r="N1395" s="10">
        <v>2567</v>
      </c>
      <c r="O1395" s="10">
        <f>Table1[[#This Row],[NET Amount]]-Table1[[#This Row],[Paid Amount]]</f>
        <v>0</v>
      </c>
      <c r="P1395" s="2" t="s">
        <v>18</v>
      </c>
      <c r="Q1395" s="2" t="s">
        <v>54</v>
      </c>
      <c r="R1395" s="16">
        <f>(Table1[[#This Row],[NET Amount]]-Table1[[#This Row],[Total Outstanding Amount]])/Table1[[#This Row],[NET Amount]]</f>
        <v>1</v>
      </c>
      <c r="S1395" s="2" t="s">
        <v>97</v>
      </c>
    </row>
    <row r="1396" spans="1:19" x14ac:dyDescent="0.3">
      <c r="A1396" s="4">
        <v>1394</v>
      </c>
      <c r="B1396" s="2" t="s">
        <v>25</v>
      </c>
      <c r="C1396" s="3">
        <v>44857</v>
      </c>
      <c r="D1396" s="3" t="str">
        <f>TEXT(Table1[[#This Row],[Admission Date]],"MMMM")</f>
        <v>October</v>
      </c>
      <c r="E1396" s="3">
        <v>44857</v>
      </c>
      <c r="F1396" s="3">
        <v>44857</v>
      </c>
      <c r="G1396" s="2">
        <v>22028343</v>
      </c>
      <c r="H1396" s="2">
        <v>2237151</v>
      </c>
      <c r="I1396" s="2">
        <v>1000983711</v>
      </c>
      <c r="J1396" s="2" t="s">
        <v>371</v>
      </c>
      <c r="K1396" s="10">
        <v>0</v>
      </c>
      <c r="L1396" s="10">
        <v>0</v>
      </c>
      <c r="M1396" s="10">
        <v>0</v>
      </c>
      <c r="N1396" s="10">
        <v>0</v>
      </c>
      <c r="O1396" s="10">
        <f>Table1[[#This Row],[NET Amount]]-Table1[[#This Row],[Paid Amount]]</f>
        <v>0</v>
      </c>
      <c r="P1396" s="2" t="s">
        <v>18</v>
      </c>
      <c r="Q1396" s="2" t="s">
        <v>147</v>
      </c>
      <c r="R1396" s="16" t="e">
        <f>(Table1[[#This Row],[NET Amount]]-Table1[[#This Row],[Total Outstanding Amount]])/Table1[[#This Row],[NET Amount]]</f>
        <v>#DIV/0!</v>
      </c>
      <c r="S1396" s="2" t="s">
        <v>97</v>
      </c>
    </row>
    <row r="1397" spans="1:19" x14ac:dyDescent="0.3">
      <c r="A1397" s="4">
        <v>1395</v>
      </c>
      <c r="B1397" s="2" t="s">
        <v>115</v>
      </c>
      <c r="C1397" s="3">
        <v>44848</v>
      </c>
      <c r="D1397" s="3" t="str">
        <f>TEXT(Table1[[#This Row],[Admission Date]],"MMMM")</f>
        <v>October</v>
      </c>
      <c r="E1397" s="3">
        <v>44849</v>
      </c>
      <c r="F1397" s="3">
        <v>44849</v>
      </c>
      <c r="G1397" s="2">
        <v>22027177</v>
      </c>
      <c r="H1397" s="2">
        <v>2235942</v>
      </c>
      <c r="I1397" s="2">
        <v>10013528166</v>
      </c>
      <c r="J1397" s="2" t="s">
        <v>1061</v>
      </c>
      <c r="K1397" s="10">
        <v>60920</v>
      </c>
      <c r="L1397" s="10">
        <v>0</v>
      </c>
      <c r="M1397" s="10">
        <v>60920</v>
      </c>
      <c r="N1397" s="10">
        <v>23420</v>
      </c>
      <c r="O1397" s="10">
        <f>Table1[[#This Row],[NET Amount]]-Table1[[#This Row],[Paid Amount]]</f>
        <v>37500</v>
      </c>
      <c r="P1397" s="2" t="s">
        <v>23</v>
      </c>
      <c r="Q1397" s="2" t="s">
        <v>42</v>
      </c>
      <c r="R1397" s="16">
        <f>(Table1[[#This Row],[NET Amount]]-Table1[[#This Row],[Total Outstanding Amount]])/Table1[[#This Row],[NET Amount]]</f>
        <v>0.38443860801050556</v>
      </c>
      <c r="S1397" s="2" t="s">
        <v>201</v>
      </c>
    </row>
    <row r="1398" spans="1:19" x14ac:dyDescent="0.3">
      <c r="A1398" s="4">
        <v>1396</v>
      </c>
      <c r="B1398" s="2" t="s">
        <v>2263</v>
      </c>
      <c r="C1398" s="3">
        <v>44837</v>
      </c>
      <c r="D1398" s="3" t="str">
        <f>TEXT(Table1[[#This Row],[Admission Date]],"MMMM")</f>
        <v>October</v>
      </c>
      <c r="E1398" s="3">
        <v>44837</v>
      </c>
      <c r="F1398" s="3">
        <v>44837</v>
      </c>
      <c r="G1398" s="2">
        <v>22025449</v>
      </c>
      <c r="H1398" s="2">
        <v>2234440</v>
      </c>
      <c r="I1398" s="2">
        <v>1001684202</v>
      </c>
      <c r="J1398" s="2" t="s">
        <v>446</v>
      </c>
      <c r="K1398" s="10">
        <v>1274</v>
      </c>
      <c r="L1398" s="10">
        <v>0</v>
      </c>
      <c r="M1398" s="10">
        <v>1274</v>
      </c>
      <c r="N1398" s="10">
        <v>0</v>
      </c>
      <c r="O1398" s="10">
        <f>Table1[[#This Row],[NET Amount]]-Table1[[#This Row],[Paid Amount]]</f>
        <v>1274</v>
      </c>
      <c r="P1398" s="2" t="s">
        <v>23</v>
      </c>
      <c r="Q1398" s="2" t="s">
        <v>54</v>
      </c>
      <c r="R1398" s="16">
        <f>(Table1[[#This Row],[NET Amount]]-Table1[[#This Row],[Total Outstanding Amount]])/Table1[[#This Row],[NET Amount]]</f>
        <v>0</v>
      </c>
      <c r="S1398" s="2" t="s">
        <v>97</v>
      </c>
    </row>
    <row r="1399" spans="1:19" x14ac:dyDescent="0.3">
      <c r="A1399" s="4">
        <v>1397</v>
      </c>
      <c r="B1399" s="2" t="s">
        <v>380</v>
      </c>
      <c r="C1399" s="3">
        <v>44855</v>
      </c>
      <c r="D1399" s="3" t="str">
        <f>TEXT(Table1[[#This Row],[Admission Date]],"MMMM")</f>
        <v>October</v>
      </c>
      <c r="E1399" s="3">
        <v>44855</v>
      </c>
      <c r="F1399" s="3">
        <v>44855</v>
      </c>
      <c r="G1399" s="2">
        <v>22028114</v>
      </c>
      <c r="H1399" s="2">
        <v>2236964</v>
      </c>
      <c r="I1399" s="2">
        <v>10013316109</v>
      </c>
      <c r="J1399" s="2" t="s">
        <v>793</v>
      </c>
      <c r="K1399" s="10">
        <v>1274</v>
      </c>
      <c r="L1399" s="10">
        <v>0</v>
      </c>
      <c r="M1399" s="10">
        <v>1274</v>
      </c>
      <c r="N1399" s="10">
        <v>0</v>
      </c>
      <c r="O1399" s="10">
        <f>Table1[[#This Row],[NET Amount]]-Table1[[#This Row],[Paid Amount]]</f>
        <v>1274</v>
      </c>
      <c r="P1399" s="2" t="s">
        <v>23</v>
      </c>
      <c r="Q1399" s="2" t="s">
        <v>54</v>
      </c>
      <c r="R1399" s="16">
        <f>(Table1[[#This Row],[NET Amount]]-Table1[[#This Row],[Total Outstanding Amount]])/Table1[[#This Row],[NET Amount]]</f>
        <v>0</v>
      </c>
      <c r="S1399" s="2" t="s">
        <v>97</v>
      </c>
    </row>
    <row r="1400" spans="1:19" x14ac:dyDescent="0.3">
      <c r="A1400" s="4">
        <v>1398</v>
      </c>
      <c r="B1400" s="2" t="s">
        <v>380</v>
      </c>
      <c r="C1400" s="3">
        <v>44841</v>
      </c>
      <c r="D1400" s="3" t="str">
        <f>TEXT(Table1[[#This Row],[Admission Date]],"MMMM")</f>
        <v>October</v>
      </c>
      <c r="E1400" s="3">
        <v>44841</v>
      </c>
      <c r="F1400" s="3">
        <v>44841</v>
      </c>
      <c r="G1400" s="2">
        <v>22026063</v>
      </c>
      <c r="H1400" s="2">
        <v>2235092</v>
      </c>
      <c r="I1400" s="2">
        <v>1000891355</v>
      </c>
      <c r="J1400" s="2" t="s">
        <v>792</v>
      </c>
      <c r="K1400" s="10">
        <v>1274</v>
      </c>
      <c r="L1400" s="10">
        <v>0</v>
      </c>
      <c r="M1400" s="10">
        <v>1274</v>
      </c>
      <c r="N1400" s="10">
        <v>0</v>
      </c>
      <c r="O1400" s="10">
        <f>Table1[[#This Row],[NET Amount]]-Table1[[#This Row],[Paid Amount]]</f>
        <v>1274</v>
      </c>
      <c r="P1400" s="2" t="s">
        <v>23</v>
      </c>
      <c r="Q1400" s="2" t="s">
        <v>54</v>
      </c>
      <c r="R1400" s="16">
        <f>(Table1[[#This Row],[NET Amount]]-Table1[[#This Row],[Total Outstanding Amount]])/Table1[[#This Row],[NET Amount]]</f>
        <v>0</v>
      </c>
      <c r="S1400" s="2" t="s">
        <v>97</v>
      </c>
    </row>
    <row r="1401" spans="1:19" x14ac:dyDescent="0.3">
      <c r="A1401" s="4">
        <v>1399</v>
      </c>
      <c r="B1401" s="2" t="s">
        <v>50</v>
      </c>
      <c r="C1401" s="3">
        <v>44862</v>
      </c>
      <c r="D1401" s="3" t="str">
        <f>TEXT(Table1[[#This Row],[Admission Date]],"MMMM")</f>
        <v>October</v>
      </c>
      <c r="E1401" s="3">
        <v>44862</v>
      </c>
      <c r="F1401" s="3">
        <v>44862</v>
      </c>
      <c r="G1401" s="2">
        <v>22028944</v>
      </c>
      <c r="H1401" s="2">
        <v>2237785</v>
      </c>
      <c r="I1401" s="2">
        <v>10013511637</v>
      </c>
      <c r="J1401" s="2" t="s">
        <v>476</v>
      </c>
      <c r="K1401" s="10">
        <v>2200</v>
      </c>
      <c r="L1401" s="10">
        <v>0</v>
      </c>
      <c r="M1401" s="10">
        <v>2200</v>
      </c>
      <c r="N1401" s="10">
        <v>0</v>
      </c>
      <c r="O1401" s="10">
        <f>Table1[[#This Row],[NET Amount]]-Table1[[#This Row],[Paid Amount]]</f>
        <v>2200</v>
      </c>
      <c r="P1401" s="2" t="s">
        <v>23</v>
      </c>
      <c r="Q1401" s="2" t="s">
        <v>147</v>
      </c>
      <c r="R1401" s="16">
        <f>(Table1[[#This Row],[NET Amount]]-Table1[[#This Row],[Total Outstanding Amount]])/Table1[[#This Row],[NET Amount]]</f>
        <v>0</v>
      </c>
      <c r="S1401" s="2" t="s">
        <v>97</v>
      </c>
    </row>
    <row r="1402" spans="1:19" x14ac:dyDescent="0.3">
      <c r="A1402" s="4">
        <v>1400</v>
      </c>
      <c r="B1402" s="2" t="s">
        <v>2263</v>
      </c>
      <c r="C1402" s="3">
        <v>44865</v>
      </c>
      <c r="D1402" s="3" t="str">
        <f>TEXT(Table1[[#This Row],[Admission Date]],"MMMM")</f>
        <v>October</v>
      </c>
      <c r="E1402" s="3">
        <v>44865</v>
      </c>
      <c r="F1402" s="3">
        <v>44865</v>
      </c>
      <c r="G1402" s="2">
        <v>22029374</v>
      </c>
      <c r="H1402" s="2">
        <v>2238244</v>
      </c>
      <c r="I1402" s="2">
        <v>1001684202</v>
      </c>
      <c r="J1402" s="2" t="s">
        <v>446</v>
      </c>
      <c r="K1402" s="10">
        <v>1274</v>
      </c>
      <c r="L1402" s="10">
        <v>0</v>
      </c>
      <c r="M1402" s="10">
        <v>1274</v>
      </c>
      <c r="N1402" s="10">
        <v>0</v>
      </c>
      <c r="O1402" s="10">
        <f>Table1[[#This Row],[NET Amount]]-Table1[[#This Row],[Paid Amount]]</f>
        <v>1274</v>
      </c>
      <c r="P1402" s="2" t="s">
        <v>23</v>
      </c>
      <c r="Q1402" s="2" t="s">
        <v>54</v>
      </c>
      <c r="R1402" s="16">
        <f>(Table1[[#This Row],[NET Amount]]-Table1[[#This Row],[Total Outstanding Amount]])/Table1[[#This Row],[NET Amount]]</f>
        <v>0</v>
      </c>
      <c r="S1402" s="2" t="s">
        <v>97</v>
      </c>
    </row>
    <row r="1403" spans="1:19" x14ac:dyDescent="0.3">
      <c r="A1403" s="4">
        <v>1401</v>
      </c>
      <c r="B1403" s="2" t="s">
        <v>75</v>
      </c>
      <c r="C1403" s="3">
        <v>44862</v>
      </c>
      <c r="D1403" s="3" t="str">
        <f>TEXT(Table1[[#This Row],[Admission Date]],"MMMM")</f>
        <v>October</v>
      </c>
      <c r="E1403" s="3">
        <v>44862</v>
      </c>
      <c r="F1403" s="3">
        <v>44862</v>
      </c>
      <c r="G1403" s="2">
        <v>22028929</v>
      </c>
      <c r="H1403" s="2">
        <v>2237781</v>
      </c>
      <c r="I1403" s="2">
        <v>1001300172</v>
      </c>
      <c r="J1403" s="2" t="s">
        <v>400</v>
      </c>
      <c r="K1403" s="10">
        <v>1610</v>
      </c>
      <c r="L1403" s="10">
        <v>0</v>
      </c>
      <c r="M1403" s="10">
        <v>1610</v>
      </c>
      <c r="N1403" s="10">
        <v>0</v>
      </c>
      <c r="O1403" s="10">
        <f>Table1[[#This Row],[NET Amount]]-Table1[[#This Row],[Paid Amount]]</f>
        <v>1610</v>
      </c>
      <c r="P1403" s="2" t="s">
        <v>23</v>
      </c>
      <c r="Q1403" s="2" t="s">
        <v>54</v>
      </c>
      <c r="R1403" s="16">
        <f>(Table1[[#This Row],[NET Amount]]-Table1[[#This Row],[Total Outstanding Amount]])/Table1[[#This Row],[NET Amount]]</f>
        <v>0</v>
      </c>
      <c r="S1403" s="2" t="s">
        <v>97</v>
      </c>
    </row>
    <row r="1404" spans="1:19" x14ac:dyDescent="0.3">
      <c r="A1404" s="4">
        <v>1402</v>
      </c>
      <c r="B1404" s="2" t="s">
        <v>45</v>
      </c>
      <c r="C1404" s="3">
        <v>44841</v>
      </c>
      <c r="D1404" s="3" t="str">
        <f>TEXT(Table1[[#This Row],[Admission Date]],"MMMM")</f>
        <v>October</v>
      </c>
      <c r="E1404" s="3">
        <v>44841</v>
      </c>
      <c r="F1404" s="3">
        <v>44841</v>
      </c>
      <c r="G1404" s="2">
        <v>22025934</v>
      </c>
      <c r="H1404" s="2">
        <v>2234977</v>
      </c>
      <c r="I1404" s="2">
        <v>1000992104</v>
      </c>
      <c r="J1404" s="2" t="s">
        <v>1062</v>
      </c>
      <c r="K1404" s="10">
        <v>2200</v>
      </c>
      <c r="L1404" s="10">
        <v>0</v>
      </c>
      <c r="M1404" s="10">
        <v>2200</v>
      </c>
      <c r="N1404" s="10">
        <v>0</v>
      </c>
      <c r="O1404" s="10">
        <f>Table1[[#This Row],[NET Amount]]-Table1[[#This Row],[Paid Amount]]</f>
        <v>2200</v>
      </c>
      <c r="P1404" s="2" t="s">
        <v>23</v>
      </c>
      <c r="Q1404" s="2" t="s">
        <v>147</v>
      </c>
      <c r="R1404" s="16">
        <f>(Table1[[#This Row],[NET Amount]]-Table1[[#This Row],[Total Outstanding Amount]])/Table1[[#This Row],[NET Amount]]</f>
        <v>0</v>
      </c>
      <c r="S1404" s="2" t="s">
        <v>97</v>
      </c>
    </row>
    <row r="1405" spans="1:19" x14ac:dyDescent="0.3">
      <c r="A1405" s="4">
        <v>1403</v>
      </c>
      <c r="B1405" s="2" t="s">
        <v>45</v>
      </c>
      <c r="C1405" s="3">
        <v>44852</v>
      </c>
      <c r="D1405" s="3" t="str">
        <f>TEXT(Table1[[#This Row],[Admission Date]],"MMMM")</f>
        <v>October</v>
      </c>
      <c r="E1405" s="3">
        <v>44852</v>
      </c>
      <c r="F1405" s="3">
        <v>44852</v>
      </c>
      <c r="G1405" s="2">
        <v>22027523</v>
      </c>
      <c r="H1405" s="2">
        <v>2236437</v>
      </c>
      <c r="I1405" s="2">
        <v>1000992104</v>
      </c>
      <c r="J1405" s="2" t="s">
        <v>1062</v>
      </c>
      <c r="K1405" s="10">
        <v>2200</v>
      </c>
      <c r="L1405" s="10">
        <v>0</v>
      </c>
      <c r="M1405" s="10">
        <v>2200</v>
      </c>
      <c r="N1405" s="10">
        <v>0</v>
      </c>
      <c r="O1405" s="10">
        <f>Table1[[#This Row],[NET Amount]]-Table1[[#This Row],[Paid Amount]]</f>
        <v>2200</v>
      </c>
      <c r="P1405" s="2" t="s">
        <v>23</v>
      </c>
      <c r="Q1405" s="2" t="s">
        <v>147</v>
      </c>
      <c r="R1405" s="16">
        <f>(Table1[[#This Row],[NET Amount]]-Table1[[#This Row],[Total Outstanding Amount]])/Table1[[#This Row],[NET Amount]]</f>
        <v>0</v>
      </c>
      <c r="S1405" s="2" t="s">
        <v>97</v>
      </c>
    </row>
    <row r="1406" spans="1:19" x14ac:dyDescent="0.3">
      <c r="A1406" s="4">
        <v>1404</v>
      </c>
      <c r="B1406" s="2" t="s">
        <v>2265</v>
      </c>
      <c r="C1406" s="3">
        <v>44863</v>
      </c>
      <c r="D1406" s="3" t="str">
        <f>TEXT(Table1[[#This Row],[Admission Date]],"MMMM")</f>
        <v>October</v>
      </c>
      <c r="E1406" s="3">
        <v>44863</v>
      </c>
      <c r="F1406" s="3">
        <v>44863</v>
      </c>
      <c r="G1406" s="2">
        <v>22029102</v>
      </c>
      <c r="H1406" s="2">
        <v>2237974</v>
      </c>
      <c r="I1406" s="2">
        <v>1001806533</v>
      </c>
      <c r="J1406" s="2" t="s">
        <v>478</v>
      </c>
      <c r="K1406" s="10">
        <v>2950</v>
      </c>
      <c r="L1406" s="10">
        <v>0</v>
      </c>
      <c r="M1406" s="10">
        <v>2950</v>
      </c>
      <c r="N1406" s="10">
        <v>0</v>
      </c>
      <c r="O1406" s="10">
        <f>Table1[[#This Row],[NET Amount]]-Table1[[#This Row],[Paid Amount]]</f>
        <v>2950</v>
      </c>
      <c r="P1406" s="2" t="s">
        <v>23</v>
      </c>
      <c r="Q1406" s="2" t="s">
        <v>54</v>
      </c>
      <c r="R1406" s="16">
        <f>(Table1[[#This Row],[NET Amount]]-Table1[[#This Row],[Total Outstanding Amount]])/Table1[[#This Row],[NET Amount]]</f>
        <v>0</v>
      </c>
      <c r="S1406" s="2" t="s">
        <v>97</v>
      </c>
    </row>
    <row r="1407" spans="1:19" x14ac:dyDescent="0.3">
      <c r="A1407" s="4">
        <v>1405</v>
      </c>
      <c r="B1407" s="2" t="s">
        <v>75</v>
      </c>
      <c r="C1407" s="3">
        <v>44849</v>
      </c>
      <c r="D1407" s="3" t="str">
        <f>TEXT(Table1[[#This Row],[Admission Date]],"MMMM")</f>
        <v>October</v>
      </c>
      <c r="E1407" s="3">
        <v>44849</v>
      </c>
      <c r="F1407" s="3">
        <v>44849</v>
      </c>
      <c r="G1407" s="2">
        <v>22027257</v>
      </c>
      <c r="H1407" s="2">
        <v>2236178</v>
      </c>
      <c r="I1407" s="2">
        <v>1001529079</v>
      </c>
      <c r="J1407" s="2" t="s">
        <v>708</v>
      </c>
      <c r="K1407" s="10">
        <v>1610</v>
      </c>
      <c r="L1407" s="10">
        <v>0</v>
      </c>
      <c r="M1407" s="10">
        <v>1610</v>
      </c>
      <c r="N1407" s="10">
        <v>0</v>
      </c>
      <c r="O1407" s="10">
        <f>Table1[[#This Row],[NET Amount]]-Table1[[#This Row],[Paid Amount]]</f>
        <v>1610</v>
      </c>
      <c r="P1407" s="2" t="s">
        <v>23</v>
      </c>
      <c r="Q1407" s="2" t="s">
        <v>54</v>
      </c>
      <c r="R1407" s="16">
        <f>(Table1[[#This Row],[NET Amount]]-Table1[[#This Row],[Total Outstanding Amount]])/Table1[[#This Row],[NET Amount]]</f>
        <v>0</v>
      </c>
      <c r="S1407" s="2" t="s">
        <v>97</v>
      </c>
    </row>
    <row r="1408" spans="1:19" x14ac:dyDescent="0.3">
      <c r="A1408" s="4">
        <v>1406</v>
      </c>
      <c r="B1408" s="2" t="s">
        <v>2258</v>
      </c>
      <c r="C1408" s="3">
        <v>44835</v>
      </c>
      <c r="D1408" s="3" t="str">
        <f>TEXT(Table1[[#This Row],[Admission Date]],"MMMM")</f>
        <v>October</v>
      </c>
      <c r="E1408" s="3">
        <v>44837</v>
      </c>
      <c r="F1408" s="3">
        <v>44837</v>
      </c>
      <c r="G1408" s="2">
        <v>22025419</v>
      </c>
      <c r="H1408" s="2">
        <v>2234142</v>
      </c>
      <c r="I1408" s="2">
        <v>1001798231</v>
      </c>
      <c r="J1408" s="2" t="s">
        <v>1063</v>
      </c>
      <c r="K1408" s="10">
        <v>10504</v>
      </c>
      <c r="L1408" s="10">
        <v>0</v>
      </c>
      <c r="M1408" s="10">
        <v>10504</v>
      </c>
      <c r="N1408" s="10">
        <v>0</v>
      </c>
      <c r="O1408" s="10">
        <f>Table1[[#This Row],[NET Amount]]-Table1[[#This Row],[Paid Amount]]</f>
        <v>10504</v>
      </c>
      <c r="P1408" s="2" t="s">
        <v>23</v>
      </c>
      <c r="Q1408" s="2" t="s">
        <v>24</v>
      </c>
      <c r="R1408" s="16">
        <f>(Table1[[#This Row],[NET Amount]]-Table1[[#This Row],[Total Outstanding Amount]])/Table1[[#This Row],[NET Amount]]</f>
        <v>0</v>
      </c>
      <c r="S1408" s="2" t="s">
        <v>20</v>
      </c>
    </row>
    <row r="1409" spans="1:19" x14ac:dyDescent="0.3">
      <c r="A1409" s="4">
        <v>1407</v>
      </c>
      <c r="B1409" s="2" t="s">
        <v>2263</v>
      </c>
      <c r="C1409" s="3">
        <v>44859</v>
      </c>
      <c r="D1409" s="3" t="str">
        <f>TEXT(Table1[[#This Row],[Admission Date]],"MMMM")</f>
        <v>October</v>
      </c>
      <c r="E1409" s="3">
        <v>44859</v>
      </c>
      <c r="F1409" s="3">
        <v>44859</v>
      </c>
      <c r="G1409" s="2">
        <v>22028516</v>
      </c>
      <c r="H1409" s="2">
        <v>2237314</v>
      </c>
      <c r="I1409" s="2">
        <v>1001712791</v>
      </c>
      <c r="J1409" s="2" t="s">
        <v>450</v>
      </c>
      <c r="K1409" s="10">
        <v>1274</v>
      </c>
      <c r="L1409" s="10">
        <v>0</v>
      </c>
      <c r="M1409" s="10">
        <v>1274</v>
      </c>
      <c r="N1409" s="10">
        <v>0</v>
      </c>
      <c r="O1409" s="10">
        <f>Table1[[#This Row],[NET Amount]]-Table1[[#This Row],[Paid Amount]]</f>
        <v>1274</v>
      </c>
      <c r="P1409" s="2" t="s">
        <v>23</v>
      </c>
      <c r="Q1409" s="2" t="s">
        <v>54</v>
      </c>
      <c r="R1409" s="16">
        <f>(Table1[[#This Row],[NET Amount]]-Table1[[#This Row],[Total Outstanding Amount]])/Table1[[#This Row],[NET Amount]]</f>
        <v>0</v>
      </c>
      <c r="S1409" s="2" t="s">
        <v>97</v>
      </c>
    </row>
    <row r="1410" spans="1:19" x14ac:dyDescent="0.3">
      <c r="A1410" s="4">
        <v>1408</v>
      </c>
      <c r="B1410" s="2" t="s">
        <v>144</v>
      </c>
      <c r="C1410" s="3">
        <v>44859</v>
      </c>
      <c r="D1410" s="3" t="str">
        <f>TEXT(Table1[[#This Row],[Admission Date]],"MMMM")</f>
        <v>October</v>
      </c>
      <c r="E1410" s="3">
        <v>44859</v>
      </c>
      <c r="F1410" s="3">
        <v>44859</v>
      </c>
      <c r="G1410" s="2">
        <v>22028471</v>
      </c>
      <c r="H1410" s="2">
        <v>2237261</v>
      </c>
      <c r="I1410" s="2">
        <v>1001183341</v>
      </c>
      <c r="J1410" s="2" t="s">
        <v>485</v>
      </c>
      <c r="K1410" s="10">
        <v>2200</v>
      </c>
      <c r="L1410" s="10">
        <v>0</v>
      </c>
      <c r="M1410" s="10">
        <v>2200</v>
      </c>
      <c r="N1410" s="10">
        <v>0</v>
      </c>
      <c r="O1410" s="10">
        <f>Table1[[#This Row],[NET Amount]]-Table1[[#This Row],[Paid Amount]]</f>
        <v>2200</v>
      </c>
      <c r="P1410" s="2" t="s">
        <v>23</v>
      </c>
      <c r="Q1410" s="2" t="s">
        <v>147</v>
      </c>
      <c r="R1410" s="16">
        <f>(Table1[[#This Row],[NET Amount]]-Table1[[#This Row],[Total Outstanding Amount]])/Table1[[#This Row],[NET Amount]]</f>
        <v>0</v>
      </c>
      <c r="S1410" s="2" t="s">
        <v>97</v>
      </c>
    </row>
    <row r="1411" spans="1:19" x14ac:dyDescent="0.3">
      <c r="A1411" s="4">
        <v>1409</v>
      </c>
      <c r="B1411" s="2" t="s">
        <v>2253</v>
      </c>
      <c r="C1411" s="3">
        <v>44848</v>
      </c>
      <c r="D1411" s="3" t="str">
        <f>TEXT(Table1[[#This Row],[Admission Date]],"MMMM")</f>
        <v>October</v>
      </c>
      <c r="E1411" s="3">
        <v>44853</v>
      </c>
      <c r="F1411" s="3">
        <v>44853</v>
      </c>
      <c r="G1411" s="2">
        <v>22027658</v>
      </c>
      <c r="H1411" s="2">
        <v>2236044</v>
      </c>
      <c r="I1411" s="2">
        <v>1001804408</v>
      </c>
      <c r="J1411" s="2" t="s">
        <v>1064</v>
      </c>
      <c r="K1411" s="10">
        <v>111292</v>
      </c>
      <c r="L1411" s="10">
        <v>0</v>
      </c>
      <c r="M1411" s="10">
        <v>111292</v>
      </c>
      <c r="N1411" s="10">
        <v>0</v>
      </c>
      <c r="O1411" s="10">
        <f>Table1[[#This Row],[NET Amount]]-Table1[[#This Row],[Paid Amount]]</f>
        <v>111292</v>
      </c>
      <c r="P1411" s="2" t="s">
        <v>23</v>
      </c>
      <c r="Q1411" s="2" t="s">
        <v>24</v>
      </c>
      <c r="R1411" s="16">
        <f>(Table1[[#This Row],[NET Amount]]-Table1[[#This Row],[Total Outstanding Amount]])/Table1[[#This Row],[NET Amount]]</f>
        <v>0</v>
      </c>
      <c r="S1411" s="2" t="s">
        <v>20</v>
      </c>
    </row>
    <row r="1412" spans="1:19" x14ac:dyDescent="0.3">
      <c r="A1412" s="4">
        <v>1410</v>
      </c>
      <c r="B1412" s="2" t="s">
        <v>2258</v>
      </c>
      <c r="C1412" s="3">
        <v>44856</v>
      </c>
      <c r="D1412" s="3" t="str">
        <f>TEXT(Table1[[#This Row],[Admission Date]],"MMMM")</f>
        <v>October</v>
      </c>
      <c r="E1412" s="3">
        <v>44856</v>
      </c>
      <c r="F1412" s="3">
        <v>44856</v>
      </c>
      <c r="G1412" s="2">
        <v>22028139</v>
      </c>
      <c r="H1412" s="2">
        <v>2237017</v>
      </c>
      <c r="I1412" s="2">
        <v>1001781083</v>
      </c>
      <c r="J1412" s="2" t="s">
        <v>777</v>
      </c>
      <c r="K1412" s="10">
        <v>1610</v>
      </c>
      <c r="L1412" s="10">
        <v>0</v>
      </c>
      <c r="M1412" s="10">
        <v>1610</v>
      </c>
      <c r="N1412" s="10">
        <v>0</v>
      </c>
      <c r="O1412" s="10">
        <f>Table1[[#This Row],[NET Amount]]-Table1[[#This Row],[Paid Amount]]</f>
        <v>1610</v>
      </c>
      <c r="P1412" s="2" t="s">
        <v>23</v>
      </c>
      <c r="Q1412" s="2" t="s">
        <v>54</v>
      </c>
      <c r="R1412" s="16">
        <f>(Table1[[#This Row],[NET Amount]]-Table1[[#This Row],[Total Outstanding Amount]])/Table1[[#This Row],[NET Amount]]</f>
        <v>0</v>
      </c>
      <c r="S1412" s="2" t="s">
        <v>97</v>
      </c>
    </row>
    <row r="1413" spans="1:19" x14ac:dyDescent="0.3">
      <c r="A1413" s="4">
        <v>1411</v>
      </c>
      <c r="B1413" s="2" t="s">
        <v>407</v>
      </c>
      <c r="C1413" s="3">
        <v>44834</v>
      </c>
      <c r="D1413" s="3" t="str">
        <f>TEXT(Table1[[#This Row],[Admission Date]],"MMMM")</f>
        <v>September</v>
      </c>
      <c r="E1413" s="3">
        <v>44841</v>
      </c>
      <c r="F1413" s="3">
        <v>44842</v>
      </c>
      <c r="G1413" s="2">
        <v>22026170</v>
      </c>
      <c r="H1413" s="2">
        <v>2234094</v>
      </c>
      <c r="I1413" s="2">
        <v>10013365697</v>
      </c>
      <c r="J1413" s="2" t="s">
        <v>389</v>
      </c>
      <c r="K1413" s="10">
        <v>39966</v>
      </c>
      <c r="L1413" s="10">
        <v>0</v>
      </c>
      <c r="M1413" s="10">
        <v>39966</v>
      </c>
      <c r="N1413" s="10">
        <v>0</v>
      </c>
      <c r="O1413" s="10">
        <f>Table1[[#This Row],[NET Amount]]-Table1[[#This Row],[Paid Amount]]</f>
        <v>39966</v>
      </c>
      <c r="P1413" s="2" t="s">
        <v>23</v>
      </c>
      <c r="Q1413" s="2" t="s">
        <v>24</v>
      </c>
      <c r="R1413" s="16">
        <f>(Table1[[#This Row],[NET Amount]]-Table1[[#This Row],[Total Outstanding Amount]])/Table1[[#This Row],[NET Amount]]</f>
        <v>0</v>
      </c>
      <c r="S1413" s="2" t="s">
        <v>20</v>
      </c>
    </row>
    <row r="1414" spans="1:19" x14ac:dyDescent="0.3">
      <c r="A1414" s="4">
        <v>1412</v>
      </c>
      <c r="B1414" s="2" t="s">
        <v>380</v>
      </c>
      <c r="C1414" s="3">
        <v>44844</v>
      </c>
      <c r="D1414" s="3" t="str">
        <f>TEXT(Table1[[#This Row],[Admission Date]],"MMMM")</f>
        <v>October</v>
      </c>
      <c r="E1414" s="3">
        <v>44844</v>
      </c>
      <c r="F1414" s="3">
        <v>44844</v>
      </c>
      <c r="G1414" s="2">
        <v>22026483</v>
      </c>
      <c r="H1414" s="2">
        <v>2235454</v>
      </c>
      <c r="I1414" s="2">
        <v>10013413542</v>
      </c>
      <c r="J1414" s="2" t="s">
        <v>389</v>
      </c>
      <c r="K1414" s="10">
        <v>1274</v>
      </c>
      <c r="L1414" s="10">
        <v>0</v>
      </c>
      <c r="M1414" s="10">
        <v>1274</v>
      </c>
      <c r="N1414" s="10">
        <v>0</v>
      </c>
      <c r="O1414" s="10">
        <f>Table1[[#This Row],[NET Amount]]-Table1[[#This Row],[Paid Amount]]</f>
        <v>1274</v>
      </c>
      <c r="P1414" s="2" t="s">
        <v>23</v>
      </c>
      <c r="Q1414" s="2" t="s">
        <v>54</v>
      </c>
      <c r="R1414" s="16">
        <f>(Table1[[#This Row],[NET Amount]]-Table1[[#This Row],[Total Outstanding Amount]])/Table1[[#This Row],[NET Amount]]</f>
        <v>0</v>
      </c>
      <c r="S1414" s="2" t="s">
        <v>97</v>
      </c>
    </row>
    <row r="1415" spans="1:19" x14ac:dyDescent="0.3">
      <c r="A1415" s="4">
        <v>1413</v>
      </c>
      <c r="B1415" s="2" t="s">
        <v>2258</v>
      </c>
      <c r="C1415" s="3">
        <v>44844</v>
      </c>
      <c r="D1415" s="3" t="str">
        <f>TEXT(Table1[[#This Row],[Admission Date]],"MMMM")</f>
        <v>October</v>
      </c>
      <c r="E1415" s="3">
        <v>44844</v>
      </c>
      <c r="F1415" s="3">
        <v>44844</v>
      </c>
      <c r="G1415" s="2">
        <v>22026462</v>
      </c>
      <c r="H1415" s="2">
        <v>2235432</v>
      </c>
      <c r="I1415" s="2">
        <v>1001797077</v>
      </c>
      <c r="J1415" s="2" t="s">
        <v>468</v>
      </c>
      <c r="K1415" s="10">
        <v>1610</v>
      </c>
      <c r="L1415" s="10">
        <v>0</v>
      </c>
      <c r="M1415" s="10">
        <v>1610</v>
      </c>
      <c r="N1415" s="10">
        <v>0</v>
      </c>
      <c r="O1415" s="10">
        <f>Table1[[#This Row],[NET Amount]]-Table1[[#This Row],[Paid Amount]]</f>
        <v>1610</v>
      </c>
      <c r="P1415" s="2" t="s">
        <v>23</v>
      </c>
      <c r="Q1415" s="2" t="s">
        <v>54</v>
      </c>
      <c r="R1415" s="16">
        <f>(Table1[[#This Row],[NET Amount]]-Table1[[#This Row],[Total Outstanding Amount]])/Table1[[#This Row],[NET Amount]]</f>
        <v>0</v>
      </c>
      <c r="S1415" s="2" t="s">
        <v>97</v>
      </c>
    </row>
    <row r="1416" spans="1:19" x14ac:dyDescent="0.3">
      <c r="A1416" s="4">
        <v>1414</v>
      </c>
      <c r="B1416" s="2" t="s">
        <v>75</v>
      </c>
      <c r="C1416" s="3">
        <v>44845</v>
      </c>
      <c r="D1416" s="3" t="str">
        <f>TEXT(Table1[[#This Row],[Admission Date]],"MMMM")</f>
        <v>October</v>
      </c>
      <c r="E1416" s="3">
        <v>44845</v>
      </c>
      <c r="F1416" s="3">
        <v>44845</v>
      </c>
      <c r="G1416" s="2">
        <v>22026627</v>
      </c>
      <c r="H1416" s="2">
        <v>2235580</v>
      </c>
      <c r="I1416" s="2">
        <v>10013442733</v>
      </c>
      <c r="J1416" s="2" t="s">
        <v>109</v>
      </c>
      <c r="K1416" s="10">
        <v>1610</v>
      </c>
      <c r="L1416" s="10">
        <v>0</v>
      </c>
      <c r="M1416" s="10">
        <v>1610</v>
      </c>
      <c r="N1416" s="10">
        <v>0</v>
      </c>
      <c r="O1416" s="10">
        <f>Table1[[#This Row],[NET Amount]]-Table1[[#This Row],[Paid Amount]]</f>
        <v>1610</v>
      </c>
      <c r="P1416" s="2" t="s">
        <v>23</v>
      </c>
      <c r="Q1416" s="2" t="s">
        <v>54</v>
      </c>
      <c r="R1416" s="16">
        <f>(Table1[[#This Row],[NET Amount]]-Table1[[#This Row],[Total Outstanding Amount]])/Table1[[#This Row],[NET Amount]]</f>
        <v>0</v>
      </c>
      <c r="S1416" s="2" t="s">
        <v>97</v>
      </c>
    </row>
    <row r="1417" spans="1:19" x14ac:dyDescent="0.3">
      <c r="A1417" s="4">
        <v>1415</v>
      </c>
      <c r="B1417" s="2" t="s">
        <v>715</v>
      </c>
      <c r="C1417" s="3">
        <v>44844</v>
      </c>
      <c r="D1417" s="3" t="str">
        <f>TEXT(Table1[[#This Row],[Admission Date]],"MMMM")</f>
        <v>October</v>
      </c>
      <c r="E1417" s="3">
        <v>44847</v>
      </c>
      <c r="F1417" s="3">
        <v>44847</v>
      </c>
      <c r="G1417" s="2">
        <v>22026924</v>
      </c>
      <c r="H1417" s="2">
        <v>2235415</v>
      </c>
      <c r="I1417" s="2">
        <v>1001000879</v>
      </c>
      <c r="J1417" s="2" t="s">
        <v>1065</v>
      </c>
      <c r="K1417" s="10">
        <v>54719</v>
      </c>
      <c r="L1417" s="10">
        <v>7108</v>
      </c>
      <c r="M1417" s="10">
        <v>47611</v>
      </c>
      <c r="N1417" s="10">
        <v>0</v>
      </c>
      <c r="O1417" s="10">
        <f>Table1[[#This Row],[NET Amount]]-Table1[[#This Row],[Paid Amount]]</f>
        <v>47611</v>
      </c>
      <c r="P1417" s="2" t="s">
        <v>23</v>
      </c>
      <c r="Q1417" s="2" t="s">
        <v>30</v>
      </c>
      <c r="R1417" s="16">
        <f>(Table1[[#This Row],[NET Amount]]-Table1[[#This Row],[Total Outstanding Amount]])/Table1[[#This Row],[NET Amount]]</f>
        <v>0</v>
      </c>
      <c r="S1417" s="2" t="s">
        <v>20</v>
      </c>
    </row>
    <row r="1418" spans="1:19" x14ac:dyDescent="0.3">
      <c r="A1418" s="4">
        <v>1416</v>
      </c>
      <c r="B1418" s="2" t="s">
        <v>380</v>
      </c>
      <c r="C1418" s="3">
        <v>44842</v>
      </c>
      <c r="D1418" s="3" t="str">
        <f>TEXT(Table1[[#This Row],[Admission Date]],"MMMM")</f>
        <v>October</v>
      </c>
      <c r="E1418" s="3">
        <v>44842</v>
      </c>
      <c r="F1418" s="3">
        <v>44842</v>
      </c>
      <c r="G1418" s="2">
        <v>22026237</v>
      </c>
      <c r="H1418" s="2">
        <v>2235242</v>
      </c>
      <c r="I1418" s="2">
        <v>10013451090</v>
      </c>
      <c r="J1418" s="2" t="s">
        <v>808</v>
      </c>
      <c r="K1418" s="10">
        <v>1274</v>
      </c>
      <c r="L1418" s="10">
        <v>0</v>
      </c>
      <c r="M1418" s="10">
        <v>1274</v>
      </c>
      <c r="N1418" s="10">
        <v>0</v>
      </c>
      <c r="O1418" s="10">
        <f>Table1[[#This Row],[NET Amount]]-Table1[[#This Row],[Paid Amount]]</f>
        <v>1274</v>
      </c>
      <c r="P1418" s="2" t="s">
        <v>23</v>
      </c>
      <c r="Q1418" s="2" t="s">
        <v>54</v>
      </c>
      <c r="R1418" s="16">
        <f>(Table1[[#This Row],[NET Amount]]-Table1[[#This Row],[Total Outstanding Amount]])/Table1[[#This Row],[NET Amount]]</f>
        <v>0</v>
      </c>
      <c r="S1418" s="2" t="s">
        <v>97</v>
      </c>
    </row>
    <row r="1419" spans="1:19" x14ac:dyDescent="0.3">
      <c r="A1419" s="4">
        <v>1417</v>
      </c>
      <c r="B1419" s="2" t="s">
        <v>139</v>
      </c>
      <c r="C1419" s="3">
        <v>44848</v>
      </c>
      <c r="D1419" s="3" t="str">
        <f>TEXT(Table1[[#This Row],[Admission Date]],"MMMM")</f>
        <v>October</v>
      </c>
      <c r="E1419" s="3">
        <v>44848</v>
      </c>
      <c r="F1419" s="3">
        <v>44848</v>
      </c>
      <c r="G1419" s="2">
        <v>22027093</v>
      </c>
      <c r="H1419" s="2">
        <v>2236006</v>
      </c>
      <c r="I1419" s="2">
        <v>1001547355</v>
      </c>
      <c r="J1419" s="2" t="s">
        <v>451</v>
      </c>
      <c r="K1419" s="10">
        <v>2200</v>
      </c>
      <c r="L1419" s="10">
        <v>0</v>
      </c>
      <c r="M1419" s="10">
        <v>2200</v>
      </c>
      <c r="N1419" s="10">
        <v>0</v>
      </c>
      <c r="O1419" s="10">
        <f>Table1[[#This Row],[NET Amount]]-Table1[[#This Row],[Paid Amount]]</f>
        <v>2200</v>
      </c>
      <c r="P1419" s="2" t="s">
        <v>23</v>
      </c>
      <c r="Q1419" s="2" t="s">
        <v>147</v>
      </c>
      <c r="R1419" s="16">
        <f>(Table1[[#This Row],[NET Amount]]-Table1[[#This Row],[Total Outstanding Amount]])/Table1[[#This Row],[NET Amount]]</f>
        <v>0</v>
      </c>
      <c r="S1419" s="2" t="s">
        <v>97</v>
      </c>
    </row>
    <row r="1420" spans="1:19" x14ac:dyDescent="0.3">
      <c r="A1420" s="4">
        <v>1418</v>
      </c>
      <c r="B1420" s="2" t="s">
        <v>155</v>
      </c>
      <c r="C1420" s="3">
        <v>44840</v>
      </c>
      <c r="D1420" s="3" t="str">
        <f>TEXT(Table1[[#This Row],[Admission Date]],"MMMM")</f>
        <v>October</v>
      </c>
      <c r="E1420" s="3">
        <v>44840</v>
      </c>
      <c r="F1420" s="3">
        <v>44840</v>
      </c>
      <c r="G1420" s="2">
        <v>22025863</v>
      </c>
      <c r="H1420" s="2">
        <v>2234863</v>
      </c>
      <c r="I1420" s="2">
        <v>1000853411</v>
      </c>
      <c r="J1420" s="2" t="s">
        <v>796</v>
      </c>
      <c r="K1420" s="10">
        <v>1610</v>
      </c>
      <c r="L1420" s="10">
        <v>0</v>
      </c>
      <c r="M1420" s="10">
        <v>1610</v>
      </c>
      <c r="N1420" s="10">
        <v>0</v>
      </c>
      <c r="O1420" s="10">
        <f>Table1[[#This Row],[NET Amount]]-Table1[[#This Row],[Paid Amount]]</f>
        <v>1610</v>
      </c>
      <c r="P1420" s="2" t="s">
        <v>23</v>
      </c>
      <c r="Q1420" s="2" t="s">
        <v>54</v>
      </c>
      <c r="R1420" s="16">
        <f>(Table1[[#This Row],[NET Amount]]-Table1[[#This Row],[Total Outstanding Amount]])/Table1[[#This Row],[NET Amount]]</f>
        <v>0</v>
      </c>
      <c r="S1420" s="2" t="s">
        <v>97</v>
      </c>
    </row>
    <row r="1421" spans="1:19" x14ac:dyDescent="0.3">
      <c r="A1421" s="4">
        <v>1419</v>
      </c>
      <c r="B1421" s="2" t="s">
        <v>380</v>
      </c>
      <c r="C1421" s="3">
        <v>44839</v>
      </c>
      <c r="D1421" s="3" t="str">
        <f>TEXT(Table1[[#This Row],[Admission Date]],"MMMM")</f>
        <v>October</v>
      </c>
      <c r="E1421" s="3">
        <v>44841</v>
      </c>
      <c r="F1421" s="3">
        <v>44841</v>
      </c>
      <c r="G1421" s="2">
        <v>22025965</v>
      </c>
      <c r="H1421" s="2">
        <v>2234768</v>
      </c>
      <c r="I1421" s="2">
        <v>1001802534</v>
      </c>
      <c r="J1421" s="2" t="s">
        <v>281</v>
      </c>
      <c r="K1421" s="10">
        <v>99394</v>
      </c>
      <c r="L1421" s="10">
        <v>0</v>
      </c>
      <c r="M1421" s="10">
        <v>99394</v>
      </c>
      <c r="N1421" s="10">
        <v>0</v>
      </c>
      <c r="O1421" s="10">
        <f>Table1[[#This Row],[NET Amount]]-Table1[[#This Row],[Paid Amount]]</f>
        <v>99394</v>
      </c>
      <c r="P1421" s="2" t="s">
        <v>23</v>
      </c>
      <c r="Q1421" s="2" t="s">
        <v>406</v>
      </c>
      <c r="R1421" s="16">
        <f>(Table1[[#This Row],[NET Amount]]-Table1[[#This Row],[Total Outstanding Amount]])/Table1[[#This Row],[NET Amount]]</f>
        <v>0</v>
      </c>
      <c r="S1421" s="2" t="s">
        <v>39</v>
      </c>
    </row>
    <row r="1422" spans="1:19" x14ac:dyDescent="0.3">
      <c r="A1422" s="4">
        <v>1420</v>
      </c>
      <c r="B1422" s="2" t="s">
        <v>40</v>
      </c>
      <c r="C1422" s="3">
        <v>44848</v>
      </c>
      <c r="D1422" s="3" t="str">
        <f>TEXT(Table1[[#This Row],[Admission Date]],"MMMM")</f>
        <v>October</v>
      </c>
      <c r="E1422" s="3">
        <v>44848</v>
      </c>
      <c r="F1422" s="3">
        <v>44848</v>
      </c>
      <c r="G1422" s="2">
        <v>22027039</v>
      </c>
      <c r="H1422" s="2">
        <v>2235962</v>
      </c>
      <c r="I1422" s="2">
        <v>10013436915</v>
      </c>
      <c r="J1422" s="2" t="s">
        <v>773</v>
      </c>
      <c r="K1422" s="10">
        <v>2200</v>
      </c>
      <c r="L1422" s="10">
        <v>0</v>
      </c>
      <c r="M1422" s="10">
        <v>2200</v>
      </c>
      <c r="N1422" s="10">
        <v>0</v>
      </c>
      <c r="O1422" s="10">
        <f>Table1[[#This Row],[NET Amount]]-Table1[[#This Row],[Paid Amount]]</f>
        <v>2200</v>
      </c>
      <c r="P1422" s="2" t="s">
        <v>23</v>
      </c>
      <c r="Q1422" s="2" t="s">
        <v>147</v>
      </c>
      <c r="R1422" s="16">
        <f>(Table1[[#This Row],[NET Amount]]-Table1[[#This Row],[Total Outstanding Amount]])/Table1[[#This Row],[NET Amount]]</f>
        <v>0</v>
      </c>
      <c r="S1422" s="2" t="s">
        <v>97</v>
      </c>
    </row>
    <row r="1423" spans="1:19" x14ac:dyDescent="0.3">
      <c r="A1423" s="4">
        <v>1421</v>
      </c>
      <c r="B1423" s="2" t="s">
        <v>380</v>
      </c>
      <c r="C1423" s="3">
        <v>44848</v>
      </c>
      <c r="D1423" s="3" t="str">
        <f>TEXT(Table1[[#This Row],[Admission Date]],"MMMM")</f>
        <v>October</v>
      </c>
      <c r="E1423" s="3">
        <v>44848</v>
      </c>
      <c r="F1423" s="3">
        <v>44848</v>
      </c>
      <c r="G1423" s="2">
        <v>22027111</v>
      </c>
      <c r="H1423" s="2">
        <v>2236036</v>
      </c>
      <c r="I1423" s="2">
        <v>10013516483</v>
      </c>
      <c r="J1423" s="2" t="s">
        <v>812</v>
      </c>
      <c r="K1423" s="10">
        <v>1274</v>
      </c>
      <c r="L1423" s="10">
        <v>0</v>
      </c>
      <c r="M1423" s="10">
        <v>1274</v>
      </c>
      <c r="N1423" s="10">
        <v>0</v>
      </c>
      <c r="O1423" s="10">
        <f>Table1[[#This Row],[NET Amount]]-Table1[[#This Row],[Paid Amount]]</f>
        <v>1274</v>
      </c>
      <c r="P1423" s="2" t="s">
        <v>23</v>
      </c>
      <c r="Q1423" s="2" t="s">
        <v>54</v>
      </c>
      <c r="R1423" s="16">
        <f>(Table1[[#This Row],[NET Amount]]-Table1[[#This Row],[Total Outstanding Amount]])/Table1[[#This Row],[NET Amount]]</f>
        <v>0</v>
      </c>
      <c r="S1423" s="2" t="s">
        <v>97</v>
      </c>
    </row>
    <row r="1424" spans="1:19" x14ac:dyDescent="0.3">
      <c r="A1424" s="4">
        <v>1422</v>
      </c>
      <c r="B1424" s="2" t="s">
        <v>380</v>
      </c>
      <c r="C1424" s="3">
        <v>44844</v>
      </c>
      <c r="D1424" s="3" t="str">
        <f>TEXT(Table1[[#This Row],[Admission Date]],"MMMM")</f>
        <v>October</v>
      </c>
      <c r="E1424" s="3">
        <v>44844</v>
      </c>
      <c r="F1424" s="3">
        <v>44844</v>
      </c>
      <c r="G1424" s="2">
        <v>22026487</v>
      </c>
      <c r="H1424" s="2">
        <v>2235458</v>
      </c>
      <c r="I1424" s="2">
        <v>10013521877</v>
      </c>
      <c r="J1424" s="2" t="s">
        <v>422</v>
      </c>
      <c r="K1424" s="10">
        <v>1274</v>
      </c>
      <c r="L1424" s="10">
        <v>0</v>
      </c>
      <c r="M1424" s="10">
        <v>1274</v>
      </c>
      <c r="N1424" s="10">
        <v>0</v>
      </c>
      <c r="O1424" s="10">
        <f>Table1[[#This Row],[NET Amount]]-Table1[[#This Row],[Paid Amount]]</f>
        <v>1274</v>
      </c>
      <c r="P1424" s="2" t="s">
        <v>23</v>
      </c>
      <c r="Q1424" s="2" t="s">
        <v>54</v>
      </c>
      <c r="R1424" s="16">
        <f>(Table1[[#This Row],[NET Amount]]-Table1[[#This Row],[Total Outstanding Amount]])/Table1[[#This Row],[NET Amount]]</f>
        <v>0</v>
      </c>
      <c r="S1424" s="2" t="s">
        <v>97</v>
      </c>
    </row>
    <row r="1425" spans="1:19" x14ac:dyDescent="0.3">
      <c r="A1425" s="4">
        <v>1423</v>
      </c>
      <c r="B1425" s="2" t="s">
        <v>152</v>
      </c>
      <c r="C1425" s="3">
        <v>44844</v>
      </c>
      <c r="D1425" s="3" t="str">
        <f>TEXT(Table1[[#This Row],[Admission Date]],"MMMM")</f>
        <v>October</v>
      </c>
      <c r="E1425" s="3">
        <v>44845</v>
      </c>
      <c r="F1425" s="3">
        <v>44847</v>
      </c>
      <c r="G1425" s="2">
        <v>22026861</v>
      </c>
      <c r="H1425" s="2">
        <v>2235359</v>
      </c>
      <c r="I1425" s="2">
        <v>1001803538</v>
      </c>
      <c r="J1425" s="2" t="s">
        <v>1066</v>
      </c>
      <c r="K1425" s="10">
        <v>122493</v>
      </c>
      <c r="L1425" s="10">
        <v>0</v>
      </c>
      <c r="M1425" s="10">
        <v>122493</v>
      </c>
      <c r="N1425" s="10">
        <v>0</v>
      </c>
      <c r="O1425" s="10">
        <f>Table1[[#This Row],[NET Amount]]-Table1[[#This Row],[Paid Amount]]</f>
        <v>122493</v>
      </c>
      <c r="P1425" s="2" t="s">
        <v>23</v>
      </c>
      <c r="Q1425" s="2" t="s">
        <v>19</v>
      </c>
      <c r="R1425" s="16">
        <f>(Table1[[#This Row],[NET Amount]]-Table1[[#This Row],[Total Outstanding Amount]])/Table1[[#This Row],[NET Amount]]</f>
        <v>0</v>
      </c>
      <c r="S1425" s="2" t="s">
        <v>39</v>
      </c>
    </row>
    <row r="1426" spans="1:19" x14ac:dyDescent="0.3">
      <c r="A1426" s="4">
        <v>1424</v>
      </c>
      <c r="B1426" s="2" t="s">
        <v>380</v>
      </c>
      <c r="C1426" s="3">
        <v>44839</v>
      </c>
      <c r="D1426" s="3" t="str">
        <f>TEXT(Table1[[#This Row],[Admission Date]],"MMMM")</f>
        <v>October</v>
      </c>
      <c r="E1426" s="3">
        <v>44839</v>
      </c>
      <c r="F1426" s="3">
        <v>44839</v>
      </c>
      <c r="G1426" s="2">
        <v>22025648</v>
      </c>
      <c r="H1426" s="2">
        <v>2234691</v>
      </c>
      <c r="I1426" s="2">
        <v>10013436995</v>
      </c>
      <c r="J1426" s="2" t="s">
        <v>794</v>
      </c>
      <c r="K1426" s="10">
        <v>1274</v>
      </c>
      <c r="L1426" s="10">
        <v>0</v>
      </c>
      <c r="M1426" s="10">
        <v>1274</v>
      </c>
      <c r="N1426" s="10">
        <v>0</v>
      </c>
      <c r="O1426" s="10">
        <f>Table1[[#This Row],[NET Amount]]-Table1[[#This Row],[Paid Amount]]</f>
        <v>1274</v>
      </c>
      <c r="P1426" s="2" t="s">
        <v>23</v>
      </c>
      <c r="Q1426" s="2" t="s">
        <v>54</v>
      </c>
      <c r="R1426" s="16">
        <f>(Table1[[#This Row],[NET Amount]]-Table1[[#This Row],[Total Outstanding Amount]])/Table1[[#This Row],[NET Amount]]</f>
        <v>0</v>
      </c>
      <c r="S1426" s="2" t="s">
        <v>97</v>
      </c>
    </row>
    <row r="1427" spans="1:19" x14ac:dyDescent="0.3">
      <c r="A1427" s="4">
        <v>1425</v>
      </c>
      <c r="B1427" s="2" t="s">
        <v>380</v>
      </c>
      <c r="C1427" s="3">
        <v>44856</v>
      </c>
      <c r="D1427" s="3" t="str">
        <f>TEXT(Table1[[#This Row],[Admission Date]],"MMMM")</f>
        <v>October</v>
      </c>
      <c r="E1427" s="3">
        <v>44856</v>
      </c>
      <c r="F1427" s="3">
        <v>44856</v>
      </c>
      <c r="G1427" s="2">
        <v>22028274</v>
      </c>
      <c r="H1427" s="2">
        <v>2237077</v>
      </c>
      <c r="I1427" s="2">
        <v>1001761745</v>
      </c>
      <c r="J1427" s="2" t="s">
        <v>455</v>
      </c>
      <c r="K1427" s="10">
        <v>1274</v>
      </c>
      <c r="L1427" s="10">
        <v>0</v>
      </c>
      <c r="M1427" s="10">
        <v>1274</v>
      </c>
      <c r="N1427" s="10">
        <v>0</v>
      </c>
      <c r="O1427" s="10">
        <f>Table1[[#This Row],[NET Amount]]-Table1[[#This Row],[Paid Amount]]</f>
        <v>1274</v>
      </c>
      <c r="P1427" s="2" t="s">
        <v>23</v>
      </c>
      <c r="Q1427" s="2" t="s">
        <v>54</v>
      </c>
      <c r="R1427" s="16">
        <f>(Table1[[#This Row],[NET Amount]]-Table1[[#This Row],[Total Outstanding Amount]])/Table1[[#This Row],[NET Amount]]</f>
        <v>0</v>
      </c>
      <c r="S1427" s="2" t="s">
        <v>97</v>
      </c>
    </row>
    <row r="1428" spans="1:19" x14ac:dyDescent="0.3">
      <c r="A1428" s="4">
        <v>1426</v>
      </c>
      <c r="B1428" s="2" t="s">
        <v>380</v>
      </c>
      <c r="C1428" s="3">
        <v>44853</v>
      </c>
      <c r="D1428" s="3" t="str">
        <f>TEXT(Table1[[#This Row],[Admission Date]],"MMMM")</f>
        <v>October</v>
      </c>
      <c r="E1428" s="3">
        <v>44853</v>
      </c>
      <c r="F1428" s="3">
        <v>44853</v>
      </c>
      <c r="G1428" s="2">
        <v>22027789</v>
      </c>
      <c r="H1428" s="2">
        <v>2236679</v>
      </c>
      <c r="I1428" s="2">
        <v>1001542371</v>
      </c>
      <c r="J1428" s="2" t="s">
        <v>385</v>
      </c>
      <c r="K1428" s="10">
        <v>1274</v>
      </c>
      <c r="L1428" s="10">
        <v>0</v>
      </c>
      <c r="M1428" s="10">
        <v>1274</v>
      </c>
      <c r="N1428" s="10">
        <v>0</v>
      </c>
      <c r="O1428" s="10">
        <f>Table1[[#This Row],[NET Amount]]-Table1[[#This Row],[Paid Amount]]</f>
        <v>1274</v>
      </c>
      <c r="P1428" s="2" t="s">
        <v>23</v>
      </c>
      <c r="Q1428" s="2" t="s">
        <v>54</v>
      </c>
      <c r="R1428" s="16">
        <f>(Table1[[#This Row],[NET Amount]]-Table1[[#This Row],[Total Outstanding Amount]])/Table1[[#This Row],[NET Amount]]</f>
        <v>0</v>
      </c>
      <c r="S1428" s="2" t="s">
        <v>97</v>
      </c>
    </row>
    <row r="1429" spans="1:19" x14ac:dyDescent="0.3">
      <c r="A1429" s="4">
        <v>1427</v>
      </c>
      <c r="B1429" s="2" t="s">
        <v>155</v>
      </c>
      <c r="C1429" s="3">
        <v>44860</v>
      </c>
      <c r="D1429" s="3" t="str">
        <f>TEXT(Table1[[#This Row],[Admission Date]],"MMMM")</f>
        <v>October</v>
      </c>
      <c r="E1429" s="3">
        <v>44860</v>
      </c>
      <c r="F1429" s="3">
        <v>44860</v>
      </c>
      <c r="G1429" s="2">
        <v>22028702</v>
      </c>
      <c r="H1429" s="2">
        <v>2237565</v>
      </c>
      <c r="I1429" s="2">
        <v>1000853411</v>
      </c>
      <c r="J1429" s="2" t="s">
        <v>796</v>
      </c>
      <c r="K1429" s="10">
        <v>1610</v>
      </c>
      <c r="L1429" s="10">
        <v>0</v>
      </c>
      <c r="M1429" s="10">
        <v>1610</v>
      </c>
      <c r="N1429" s="10">
        <v>0</v>
      </c>
      <c r="O1429" s="10">
        <f>Table1[[#This Row],[NET Amount]]-Table1[[#This Row],[Paid Amount]]</f>
        <v>1610</v>
      </c>
      <c r="P1429" s="2" t="s">
        <v>23</v>
      </c>
      <c r="Q1429" s="2" t="s">
        <v>54</v>
      </c>
      <c r="R1429" s="16">
        <f>(Table1[[#This Row],[NET Amount]]-Table1[[#This Row],[Total Outstanding Amount]])/Table1[[#This Row],[NET Amount]]</f>
        <v>0</v>
      </c>
      <c r="S1429" s="2" t="s">
        <v>97</v>
      </c>
    </row>
    <row r="1430" spans="1:19" x14ac:dyDescent="0.3">
      <c r="A1430" s="4">
        <v>1428</v>
      </c>
      <c r="B1430" s="2" t="s">
        <v>75</v>
      </c>
      <c r="C1430" s="3">
        <v>44844</v>
      </c>
      <c r="D1430" s="3" t="str">
        <f>TEXT(Table1[[#This Row],[Admission Date]],"MMMM")</f>
        <v>October</v>
      </c>
      <c r="E1430" s="3">
        <v>44844</v>
      </c>
      <c r="F1430" s="3">
        <v>44844</v>
      </c>
      <c r="G1430" s="2">
        <v>22026458</v>
      </c>
      <c r="H1430" s="2">
        <v>2235428</v>
      </c>
      <c r="I1430" s="2">
        <v>1001300172</v>
      </c>
      <c r="J1430" s="2" t="s">
        <v>400</v>
      </c>
      <c r="K1430" s="10">
        <v>1610</v>
      </c>
      <c r="L1430" s="10">
        <v>0</v>
      </c>
      <c r="M1430" s="10">
        <v>1610</v>
      </c>
      <c r="N1430" s="10">
        <v>0</v>
      </c>
      <c r="O1430" s="10">
        <f>Table1[[#This Row],[NET Amount]]-Table1[[#This Row],[Paid Amount]]</f>
        <v>1610</v>
      </c>
      <c r="P1430" s="2" t="s">
        <v>23</v>
      </c>
      <c r="Q1430" s="2" t="s">
        <v>54</v>
      </c>
      <c r="R1430" s="16">
        <f>(Table1[[#This Row],[NET Amount]]-Table1[[#This Row],[Total Outstanding Amount]])/Table1[[#This Row],[NET Amount]]</f>
        <v>0</v>
      </c>
      <c r="S1430" s="2" t="s">
        <v>97</v>
      </c>
    </row>
    <row r="1431" spans="1:19" x14ac:dyDescent="0.3">
      <c r="A1431" s="4">
        <v>1429</v>
      </c>
      <c r="B1431" s="2" t="s">
        <v>2263</v>
      </c>
      <c r="C1431" s="3">
        <v>44841</v>
      </c>
      <c r="D1431" s="3" t="str">
        <f>TEXT(Table1[[#This Row],[Admission Date]],"MMMM")</f>
        <v>October</v>
      </c>
      <c r="E1431" s="3">
        <v>44841</v>
      </c>
      <c r="F1431" s="3">
        <v>44841</v>
      </c>
      <c r="G1431" s="2">
        <v>22025933</v>
      </c>
      <c r="H1431" s="2">
        <v>2234985</v>
      </c>
      <c r="I1431" s="2">
        <v>1001367923</v>
      </c>
      <c r="J1431" s="2" t="s">
        <v>391</v>
      </c>
      <c r="K1431" s="10">
        <v>1274</v>
      </c>
      <c r="L1431" s="10">
        <v>0</v>
      </c>
      <c r="M1431" s="10">
        <v>1274</v>
      </c>
      <c r="N1431" s="10">
        <v>0</v>
      </c>
      <c r="O1431" s="10">
        <f>Table1[[#This Row],[NET Amount]]-Table1[[#This Row],[Paid Amount]]</f>
        <v>1274</v>
      </c>
      <c r="P1431" s="2" t="s">
        <v>23</v>
      </c>
      <c r="Q1431" s="2" t="s">
        <v>54</v>
      </c>
      <c r="R1431" s="16">
        <f>(Table1[[#This Row],[NET Amount]]-Table1[[#This Row],[Total Outstanding Amount]])/Table1[[#This Row],[NET Amount]]</f>
        <v>0</v>
      </c>
      <c r="S1431" s="2" t="s">
        <v>97</v>
      </c>
    </row>
    <row r="1432" spans="1:19" x14ac:dyDescent="0.3">
      <c r="A1432" s="4">
        <v>1430</v>
      </c>
      <c r="B1432" s="2" t="s">
        <v>380</v>
      </c>
      <c r="C1432" s="3">
        <v>44863</v>
      </c>
      <c r="D1432" s="3" t="str">
        <f>TEXT(Table1[[#This Row],[Admission Date]],"MMMM")</f>
        <v>October</v>
      </c>
      <c r="E1432" s="3">
        <v>44863</v>
      </c>
      <c r="F1432" s="3">
        <v>44863</v>
      </c>
      <c r="G1432" s="2">
        <v>22029112</v>
      </c>
      <c r="H1432" s="2">
        <v>2237963</v>
      </c>
      <c r="I1432" s="2">
        <v>10013347178</v>
      </c>
      <c r="J1432" s="2" t="s">
        <v>371</v>
      </c>
      <c r="K1432" s="10">
        <v>1274</v>
      </c>
      <c r="L1432" s="10">
        <v>0</v>
      </c>
      <c r="M1432" s="10">
        <v>1274</v>
      </c>
      <c r="N1432" s="10">
        <v>0</v>
      </c>
      <c r="O1432" s="10">
        <f>Table1[[#This Row],[NET Amount]]-Table1[[#This Row],[Paid Amount]]</f>
        <v>1274</v>
      </c>
      <c r="P1432" s="2" t="s">
        <v>23</v>
      </c>
      <c r="Q1432" s="2" t="s">
        <v>54</v>
      </c>
      <c r="R1432" s="16">
        <f>(Table1[[#This Row],[NET Amount]]-Table1[[#This Row],[Total Outstanding Amount]])/Table1[[#This Row],[NET Amount]]</f>
        <v>0</v>
      </c>
      <c r="S1432" s="2" t="s">
        <v>97</v>
      </c>
    </row>
    <row r="1433" spans="1:19" x14ac:dyDescent="0.3">
      <c r="A1433" s="4">
        <v>1431</v>
      </c>
      <c r="B1433" s="2" t="s">
        <v>2253</v>
      </c>
      <c r="C1433" s="3">
        <v>44847</v>
      </c>
      <c r="D1433" s="3" t="str">
        <f>TEXT(Table1[[#This Row],[Admission Date]],"MMMM")</f>
        <v>October</v>
      </c>
      <c r="E1433" s="3">
        <v>44847</v>
      </c>
      <c r="F1433" s="3">
        <v>44847</v>
      </c>
      <c r="G1433" s="2">
        <v>22026832</v>
      </c>
      <c r="H1433" s="2">
        <v>2235816</v>
      </c>
      <c r="I1433" s="2">
        <v>1001626180</v>
      </c>
      <c r="J1433" s="2" t="s">
        <v>389</v>
      </c>
      <c r="K1433" s="10">
        <v>1610</v>
      </c>
      <c r="L1433" s="10">
        <v>0</v>
      </c>
      <c r="M1433" s="10">
        <v>1610</v>
      </c>
      <c r="N1433" s="10">
        <v>0</v>
      </c>
      <c r="O1433" s="10">
        <f>Table1[[#This Row],[NET Amount]]-Table1[[#This Row],[Paid Amount]]</f>
        <v>1610</v>
      </c>
      <c r="P1433" s="2" t="s">
        <v>23</v>
      </c>
      <c r="Q1433" s="2" t="s">
        <v>54</v>
      </c>
      <c r="R1433" s="16">
        <f>(Table1[[#This Row],[NET Amount]]-Table1[[#This Row],[Total Outstanding Amount]])/Table1[[#This Row],[NET Amount]]</f>
        <v>0</v>
      </c>
      <c r="S1433" s="2" t="s">
        <v>97</v>
      </c>
    </row>
    <row r="1434" spans="1:19" x14ac:dyDescent="0.3">
      <c r="A1434" s="4">
        <v>1432</v>
      </c>
      <c r="B1434" s="2" t="s">
        <v>2277</v>
      </c>
      <c r="C1434" s="3">
        <v>44840</v>
      </c>
      <c r="D1434" s="3" t="str">
        <f>TEXT(Table1[[#This Row],[Admission Date]],"MMMM")</f>
        <v>October</v>
      </c>
      <c r="E1434" s="3">
        <v>44846</v>
      </c>
      <c r="F1434" s="3">
        <v>44846</v>
      </c>
      <c r="G1434" s="2">
        <v>22026724</v>
      </c>
      <c r="H1434" s="2">
        <v>2234913</v>
      </c>
      <c r="I1434" s="2">
        <v>1001802857</v>
      </c>
      <c r="J1434" s="2" t="s">
        <v>1067</v>
      </c>
      <c r="K1434" s="10">
        <v>42077</v>
      </c>
      <c r="L1434" s="10">
        <v>0</v>
      </c>
      <c r="M1434" s="10">
        <v>42077</v>
      </c>
      <c r="N1434" s="10">
        <v>0</v>
      </c>
      <c r="O1434" s="10">
        <f>Table1[[#This Row],[NET Amount]]-Table1[[#This Row],[Paid Amount]]</f>
        <v>42077</v>
      </c>
      <c r="P1434" s="2" t="s">
        <v>23</v>
      </c>
      <c r="Q1434" s="2" t="s">
        <v>24</v>
      </c>
      <c r="R1434" s="16">
        <f>(Table1[[#This Row],[NET Amount]]-Table1[[#This Row],[Total Outstanding Amount]])/Table1[[#This Row],[NET Amount]]</f>
        <v>0</v>
      </c>
      <c r="S1434" s="2" t="s">
        <v>32</v>
      </c>
    </row>
    <row r="1435" spans="1:19" x14ac:dyDescent="0.3">
      <c r="A1435" s="4">
        <v>1433</v>
      </c>
      <c r="B1435" s="2" t="s">
        <v>2263</v>
      </c>
      <c r="C1435" s="3">
        <v>44848</v>
      </c>
      <c r="D1435" s="3" t="str">
        <f>TEXT(Table1[[#This Row],[Admission Date]],"MMMM")</f>
        <v>October</v>
      </c>
      <c r="E1435" s="3">
        <v>44848</v>
      </c>
      <c r="F1435" s="3">
        <v>44848</v>
      </c>
      <c r="G1435" s="2">
        <v>22027087</v>
      </c>
      <c r="H1435" s="2">
        <v>2236003</v>
      </c>
      <c r="I1435" s="2">
        <v>1001777331</v>
      </c>
      <c r="J1435" s="2" t="s">
        <v>791</v>
      </c>
      <c r="K1435" s="10">
        <v>1274</v>
      </c>
      <c r="L1435" s="10">
        <v>0</v>
      </c>
      <c r="M1435" s="10">
        <v>1274</v>
      </c>
      <c r="N1435" s="10">
        <v>0</v>
      </c>
      <c r="O1435" s="10">
        <f>Table1[[#This Row],[NET Amount]]-Table1[[#This Row],[Paid Amount]]</f>
        <v>1274</v>
      </c>
      <c r="P1435" s="2" t="s">
        <v>23</v>
      </c>
      <c r="Q1435" s="2" t="s">
        <v>54</v>
      </c>
      <c r="R1435" s="16">
        <f>(Table1[[#This Row],[NET Amount]]-Table1[[#This Row],[Total Outstanding Amount]])/Table1[[#This Row],[NET Amount]]</f>
        <v>0</v>
      </c>
      <c r="S1435" s="2" t="s">
        <v>97</v>
      </c>
    </row>
    <row r="1436" spans="1:19" x14ac:dyDescent="0.3">
      <c r="A1436" s="4">
        <v>1434</v>
      </c>
      <c r="B1436" s="2" t="s">
        <v>2263</v>
      </c>
      <c r="C1436" s="3">
        <v>44853</v>
      </c>
      <c r="D1436" s="3" t="str">
        <f>TEXT(Table1[[#This Row],[Admission Date]],"MMMM")</f>
        <v>October</v>
      </c>
      <c r="E1436" s="3">
        <v>44853</v>
      </c>
      <c r="F1436" s="3">
        <v>44853</v>
      </c>
      <c r="G1436" s="2">
        <v>22027651</v>
      </c>
      <c r="H1436" s="2">
        <v>2236576</v>
      </c>
      <c r="I1436" s="2">
        <v>1001678600</v>
      </c>
      <c r="J1436" s="2" t="s">
        <v>413</v>
      </c>
      <c r="K1436" s="10">
        <v>1274</v>
      </c>
      <c r="L1436" s="10">
        <v>0</v>
      </c>
      <c r="M1436" s="10">
        <v>1274</v>
      </c>
      <c r="N1436" s="10">
        <v>0</v>
      </c>
      <c r="O1436" s="10">
        <f>Table1[[#This Row],[NET Amount]]-Table1[[#This Row],[Paid Amount]]</f>
        <v>1274</v>
      </c>
      <c r="P1436" s="2" t="s">
        <v>23</v>
      </c>
      <c r="Q1436" s="2" t="s">
        <v>54</v>
      </c>
      <c r="R1436" s="16">
        <f>(Table1[[#This Row],[NET Amount]]-Table1[[#This Row],[Total Outstanding Amount]])/Table1[[#This Row],[NET Amount]]</f>
        <v>0</v>
      </c>
      <c r="S1436" s="2" t="s">
        <v>97</v>
      </c>
    </row>
    <row r="1437" spans="1:19" x14ac:dyDescent="0.3">
      <c r="A1437" s="4">
        <v>1435</v>
      </c>
      <c r="B1437" s="2" t="s">
        <v>75</v>
      </c>
      <c r="C1437" s="3">
        <v>44859</v>
      </c>
      <c r="D1437" s="3" t="str">
        <f>TEXT(Table1[[#This Row],[Admission Date]],"MMMM")</f>
        <v>October</v>
      </c>
      <c r="E1437" s="3">
        <v>44861</v>
      </c>
      <c r="F1437" s="3">
        <v>44861</v>
      </c>
      <c r="G1437" s="2">
        <v>22028799</v>
      </c>
      <c r="H1437" s="2">
        <v>2237284</v>
      </c>
      <c r="I1437" s="2">
        <v>1001139222</v>
      </c>
      <c r="J1437" s="2" t="s">
        <v>1068</v>
      </c>
      <c r="K1437" s="10">
        <v>33385</v>
      </c>
      <c r="L1437" s="10">
        <v>0</v>
      </c>
      <c r="M1437" s="10">
        <v>33385</v>
      </c>
      <c r="N1437" s="10">
        <v>0</v>
      </c>
      <c r="O1437" s="10">
        <f>Table1[[#This Row],[NET Amount]]-Table1[[#This Row],[Paid Amount]]</f>
        <v>33385</v>
      </c>
      <c r="P1437" s="2" t="s">
        <v>23</v>
      </c>
      <c r="Q1437" s="2" t="s">
        <v>30</v>
      </c>
      <c r="R1437" s="16">
        <f>(Table1[[#This Row],[NET Amount]]-Table1[[#This Row],[Total Outstanding Amount]])/Table1[[#This Row],[NET Amount]]</f>
        <v>0</v>
      </c>
      <c r="S1437" s="2" t="s">
        <v>43</v>
      </c>
    </row>
    <row r="1438" spans="1:19" x14ac:dyDescent="0.3">
      <c r="A1438" s="4">
        <v>1436</v>
      </c>
      <c r="B1438" s="2" t="s">
        <v>2258</v>
      </c>
      <c r="C1438" s="3">
        <v>44855</v>
      </c>
      <c r="D1438" s="3" t="str">
        <f>TEXT(Table1[[#This Row],[Admission Date]],"MMMM")</f>
        <v>October</v>
      </c>
      <c r="E1438" s="3">
        <v>44855</v>
      </c>
      <c r="F1438" s="3">
        <v>44855</v>
      </c>
      <c r="G1438" s="2">
        <v>22028101</v>
      </c>
      <c r="H1438" s="2">
        <v>2236941</v>
      </c>
      <c r="I1438" s="2">
        <v>1001763340</v>
      </c>
      <c r="J1438" s="2" t="s">
        <v>121</v>
      </c>
      <c r="K1438" s="10">
        <v>1610</v>
      </c>
      <c r="L1438" s="10">
        <v>0</v>
      </c>
      <c r="M1438" s="10">
        <v>1610</v>
      </c>
      <c r="N1438" s="10">
        <v>0</v>
      </c>
      <c r="O1438" s="10">
        <f>Table1[[#This Row],[NET Amount]]-Table1[[#This Row],[Paid Amount]]</f>
        <v>1610</v>
      </c>
      <c r="P1438" s="2" t="s">
        <v>23</v>
      </c>
      <c r="Q1438" s="2" t="s">
        <v>54</v>
      </c>
      <c r="R1438" s="16">
        <f>(Table1[[#This Row],[NET Amount]]-Table1[[#This Row],[Total Outstanding Amount]])/Table1[[#This Row],[NET Amount]]</f>
        <v>0</v>
      </c>
      <c r="S1438" s="2" t="s">
        <v>97</v>
      </c>
    </row>
    <row r="1439" spans="1:19" x14ac:dyDescent="0.3">
      <c r="A1439" s="4">
        <v>1437</v>
      </c>
      <c r="B1439" s="2" t="s">
        <v>2263</v>
      </c>
      <c r="C1439" s="3">
        <v>44862</v>
      </c>
      <c r="D1439" s="3" t="str">
        <f>TEXT(Table1[[#This Row],[Admission Date]],"MMMM")</f>
        <v>October</v>
      </c>
      <c r="E1439" s="3">
        <v>44862</v>
      </c>
      <c r="F1439" s="3">
        <v>44862</v>
      </c>
      <c r="G1439" s="2">
        <v>22028967</v>
      </c>
      <c r="H1439" s="2">
        <v>2237857</v>
      </c>
      <c r="I1439" s="2">
        <v>1001684202</v>
      </c>
      <c r="J1439" s="2" t="s">
        <v>446</v>
      </c>
      <c r="K1439" s="10">
        <v>1274</v>
      </c>
      <c r="L1439" s="10">
        <v>0</v>
      </c>
      <c r="M1439" s="10">
        <v>1274</v>
      </c>
      <c r="N1439" s="10">
        <v>0</v>
      </c>
      <c r="O1439" s="10">
        <f>Table1[[#This Row],[NET Amount]]-Table1[[#This Row],[Paid Amount]]</f>
        <v>1274</v>
      </c>
      <c r="P1439" s="2" t="s">
        <v>23</v>
      </c>
      <c r="Q1439" s="2" t="s">
        <v>54</v>
      </c>
      <c r="R1439" s="16">
        <f>(Table1[[#This Row],[NET Amount]]-Table1[[#This Row],[Total Outstanding Amount]])/Table1[[#This Row],[NET Amount]]</f>
        <v>0</v>
      </c>
      <c r="S1439" s="2" t="s">
        <v>97</v>
      </c>
    </row>
    <row r="1440" spans="1:19" x14ac:dyDescent="0.3">
      <c r="A1440" s="4">
        <v>1438</v>
      </c>
      <c r="B1440" s="2" t="s">
        <v>168</v>
      </c>
      <c r="C1440" s="3">
        <v>44865</v>
      </c>
      <c r="D1440" s="3" t="str">
        <f>TEXT(Table1[[#This Row],[Admission Date]],"MMMM")</f>
        <v>October</v>
      </c>
      <c r="E1440" s="3">
        <v>44865</v>
      </c>
      <c r="F1440" s="3">
        <v>44865</v>
      </c>
      <c r="G1440" s="2">
        <v>22029325</v>
      </c>
      <c r="H1440" s="2">
        <v>2238175</v>
      </c>
      <c r="I1440" s="2">
        <v>1001468779</v>
      </c>
      <c r="J1440" s="2" t="s">
        <v>387</v>
      </c>
      <c r="K1440" s="10">
        <v>2200</v>
      </c>
      <c r="L1440" s="10">
        <v>0</v>
      </c>
      <c r="M1440" s="10">
        <v>2200</v>
      </c>
      <c r="N1440" s="10">
        <v>0</v>
      </c>
      <c r="O1440" s="10">
        <f>Table1[[#This Row],[NET Amount]]-Table1[[#This Row],[Paid Amount]]</f>
        <v>2200</v>
      </c>
      <c r="P1440" s="2" t="s">
        <v>23</v>
      </c>
      <c r="Q1440" s="2" t="s">
        <v>147</v>
      </c>
      <c r="R1440" s="16">
        <f>(Table1[[#This Row],[NET Amount]]-Table1[[#This Row],[Total Outstanding Amount]])/Table1[[#This Row],[NET Amount]]</f>
        <v>0</v>
      </c>
      <c r="S1440" s="2" t="s">
        <v>97</v>
      </c>
    </row>
    <row r="1441" spans="1:19" x14ac:dyDescent="0.3">
      <c r="A1441" s="4">
        <v>1439</v>
      </c>
      <c r="B1441" s="2" t="s">
        <v>380</v>
      </c>
      <c r="C1441" s="3">
        <v>44838</v>
      </c>
      <c r="D1441" s="3" t="str">
        <f>TEXT(Table1[[#This Row],[Admission Date]],"MMMM")</f>
        <v>October</v>
      </c>
      <c r="E1441" s="3">
        <v>44838</v>
      </c>
      <c r="F1441" s="3">
        <v>44838</v>
      </c>
      <c r="G1441" s="2">
        <v>22025626</v>
      </c>
      <c r="H1441" s="2">
        <v>2234641</v>
      </c>
      <c r="I1441" s="2">
        <v>1001581259</v>
      </c>
      <c r="J1441" s="2" t="s">
        <v>381</v>
      </c>
      <c r="K1441" s="10">
        <v>1274</v>
      </c>
      <c r="L1441" s="10">
        <v>0</v>
      </c>
      <c r="M1441" s="10">
        <v>1274</v>
      </c>
      <c r="N1441" s="10">
        <v>0</v>
      </c>
      <c r="O1441" s="10">
        <f>Table1[[#This Row],[NET Amount]]-Table1[[#This Row],[Paid Amount]]</f>
        <v>1274</v>
      </c>
      <c r="P1441" s="2" t="s">
        <v>23</v>
      </c>
      <c r="Q1441" s="2" t="s">
        <v>54</v>
      </c>
      <c r="R1441" s="16">
        <f>(Table1[[#This Row],[NET Amount]]-Table1[[#This Row],[Total Outstanding Amount]])/Table1[[#This Row],[NET Amount]]</f>
        <v>0</v>
      </c>
      <c r="S1441" s="2" t="s">
        <v>97</v>
      </c>
    </row>
    <row r="1442" spans="1:19" x14ac:dyDescent="0.3">
      <c r="A1442" s="4">
        <v>1440</v>
      </c>
      <c r="B1442" s="2" t="s">
        <v>380</v>
      </c>
      <c r="C1442" s="3">
        <v>44846</v>
      </c>
      <c r="D1442" s="3" t="str">
        <f>TEXT(Table1[[#This Row],[Admission Date]],"MMMM")</f>
        <v>October</v>
      </c>
      <c r="E1442" s="3">
        <v>44846</v>
      </c>
      <c r="F1442" s="3">
        <v>44846</v>
      </c>
      <c r="G1442" s="2">
        <v>22026809</v>
      </c>
      <c r="H1442" s="2">
        <v>2235766</v>
      </c>
      <c r="I1442" s="2">
        <v>10013528076</v>
      </c>
      <c r="J1442" s="2" t="s">
        <v>420</v>
      </c>
      <c r="K1442" s="10">
        <v>1274</v>
      </c>
      <c r="L1442" s="10">
        <v>0</v>
      </c>
      <c r="M1442" s="10">
        <v>1274</v>
      </c>
      <c r="N1442" s="10">
        <v>0</v>
      </c>
      <c r="O1442" s="10">
        <f>Table1[[#This Row],[NET Amount]]-Table1[[#This Row],[Paid Amount]]</f>
        <v>1274</v>
      </c>
      <c r="P1442" s="2" t="s">
        <v>23</v>
      </c>
      <c r="Q1442" s="2" t="s">
        <v>54</v>
      </c>
      <c r="R1442" s="16">
        <f>(Table1[[#This Row],[NET Amount]]-Table1[[#This Row],[Total Outstanding Amount]])/Table1[[#This Row],[NET Amount]]</f>
        <v>0</v>
      </c>
      <c r="S1442" s="2" t="s">
        <v>97</v>
      </c>
    </row>
    <row r="1443" spans="1:19" x14ac:dyDescent="0.3">
      <c r="A1443" s="4">
        <v>1441</v>
      </c>
      <c r="B1443" s="2" t="s">
        <v>2263</v>
      </c>
      <c r="C1443" s="3">
        <v>44856</v>
      </c>
      <c r="D1443" s="3" t="str">
        <f>TEXT(Table1[[#This Row],[Admission Date]],"MMMM")</f>
        <v>October</v>
      </c>
      <c r="E1443" s="3">
        <v>44856</v>
      </c>
      <c r="F1443" s="3">
        <v>44856</v>
      </c>
      <c r="G1443" s="2">
        <v>22028207</v>
      </c>
      <c r="H1443" s="2">
        <v>2237038</v>
      </c>
      <c r="I1443" s="2">
        <v>1001711925</v>
      </c>
      <c r="J1443" s="2" t="s">
        <v>302</v>
      </c>
      <c r="K1443" s="10">
        <v>1274</v>
      </c>
      <c r="L1443" s="10">
        <v>0</v>
      </c>
      <c r="M1443" s="10">
        <v>1274</v>
      </c>
      <c r="N1443" s="10">
        <v>0</v>
      </c>
      <c r="O1443" s="10">
        <f>Table1[[#This Row],[NET Amount]]-Table1[[#This Row],[Paid Amount]]</f>
        <v>1274</v>
      </c>
      <c r="P1443" s="2" t="s">
        <v>23</v>
      </c>
      <c r="Q1443" s="2" t="s">
        <v>54</v>
      </c>
      <c r="R1443" s="16">
        <f>(Table1[[#This Row],[NET Amount]]-Table1[[#This Row],[Total Outstanding Amount]])/Table1[[#This Row],[NET Amount]]</f>
        <v>0</v>
      </c>
      <c r="S1443" s="2" t="s">
        <v>97</v>
      </c>
    </row>
    <row r="1444" spans="1:19" x14ac:dyDescent="0.3">
      <c r="A1444" s="4">
        <v>1442</v>
      </c>
      <c r="B1444" s="2" t="s">
        <v>2253</v>
      </c>
      <c r="C1444" s="3">
        <v>44840</v>
      </c>
      <c r="D1444" s="3" t="str">
        <f>TEXT(Table1[[#This Row],[Admission Date]],"MMMM")</f>
        <v>October</v>
      </c>
      <c r="E1444" s="3">
        <v>44840</v>
      </c>
      <c r="F1444" s="3">
        <v>44840</v>
      </c>
      <c r="G1444" s="2">
        <v>22025811</v>
      </c>
      <c r="H1444" s="2">
        <v>2234820</v>
      </c>
      <c r="I1444" s="2">
        <v>1001789044</v>
      </c>
      <c r="J1444" s="2" t="s">
        <v>1069</v>
      </c>
      <c r="K1444" s="10">
        <v>1610</v>
      </c>
      <c r="L1444" s="10">
        <v>0</v>
      </c>
      <c r="M1444" s="10">
        <v>1610</v>
      </c>
      <c r="N1444" s="10">
        <v>0</v>
      </c>
      <c r="O1444" s="10">
        <f>Table1[[#This Row],[NET Amount]]-Table1[[#This Row],[Paid Amount]]</f>
        <v>1610</v>
      </c>
      <c r="P1444" s="2" t="s">
        <v>23</v>
      </c>
      <c r="Q1444" s="2" t="s">
        <v>54</v>
      </c>
      <c r="R1444" s="16">
        <f>(Table1[[#This Row],[NET Amount]]-Table1[[#This Row],[Total Outstanding Amount]])/Table1[[#This Row],[NET Amount]]</f>
        <v>0</v>
      </c>
      <c r="S1444" s="2" t="s">
        <v>97</v>
      </c>
    </row>
    <row r="1445" spans="1:19" x14ac:dyDescent="0.3">
      <c r="A1445" s="4">
        <v>1443</v>
      </c>
      <c r="B1445" s="2" t="s">
        <v>380</v>
      </c>
      <c r="C1445" s="3">
        <v>44854</v>
      </c>
      <c r="D1445" s="3" t="str">
        <f>TEXT(Table1[[#This Row],[Admission Date]],"MMMM")</f>
        <v>October</v>
      </c>
      <c r="E1445" s="3">
        <v>44854</v>
      </c>
      <c r="F1445" s="3">
        <v>44854</v>
      </c>
      <c r="G1445" s="2">
        <v>22027939</v>
      </c>
      <c r="H1445" s="2">
        <v>2236812</v>
      </c>
      <c r="I1445" s="2">
        <v>10013513950</v>
      </c>
      <c r="J1445" s="2" t="s">
        <v>491</v>
      </c>
      <c r="K1445" s="10">
        <v>1274</v>
      </c>
      <c r="L1445" s="10">
        <v>0</v>
      </c>
      <c r="M1445" s="10">
        <v>1274</v>
      </c>
      <c r="N1445" s="10">
        <v>0</v>
      </c>
      <c r="O1445" s="10">
        <f>Table1[[#This Row],[NET Amount]]-Table1[[#This Row],[Paid Amount]]</f>
        <v>1274</v>
      </c>
      <c r="P1445" s="2" t="s">
        <v>23</v>
      </c>
      <c r="Q1445" s="2" t="s">
        <v>54</v>
      </c>
      <c r="R1445" s="16">
        <f>(Table1[[#This Row],[NET Amount]]-Table1[[#This Row],[Total Outstanding Amount]])/Table1[[#This Row],[NET Amount]]</f>
        <v>0</v>
      </c>
      <c r="S1445" s="2" t="s">
        <v>97</v>
      </c>
    </row>
    <row r="1446" spans="1:19" x14ac:dyDescent="0.3">
      <c r="A1446" s="4">
        <v>1444</v>
      </c>
      <c r="B1446" s="2" t="s">
        <v>75</v>
      </c>
      <c r="C1446" s="3">
        <v>44855</v>
      </c>
      <c r="D1446" s="3" t="str">
        <f>TEXT(Table1[[#This Row],[Admission Date]],"MMMM")</f>
        <v>October</v>
      </c>
      <c r="E1446" s="3">
        <v>44863</v>
      </c>
      <c r="F1446" s="3">
        <v>44863</v>
      </c>
      <c r="G1446" s="2">
        <v>22029124</v>
      </c>
      <c r="H1446" s="2">
        <v>2236859</v>
      </c>
      <c r="I1446" s="2">
        <v>10013510193</v>
      </c>
      <c r="J1446" s="2" t="s">
        <v>508</v>
      </c>
      <c r="K1446" s="10">
        <v>105950</v>
      </c>
      <c r="L1446" s="10">
        <v>0</v>
      </c>
      <c r="M1446" s="10">
        <v>105950</v>
      </c>
      <c r="N1446" s="10">
        <v>0</v>
      </c>
      <c r="O1446" s="10">
        <f>Table1[[#This Row],[NET Amount]]-Table1[[#This Row],[Paid Amount]]</f>
        <v>105950</v>
      </c>
      <c r="P1446" s="2" t="s">
        <v>23</v>
      </c>
      <c r="Q1446" s="2" t="s">
        <v>24</v>
      </c>
      <c r="R1446" s="16">
        <f>(Table1[[#This Row],[NET Amount]]-Table1[[#This Row],[Total Outstanding Amount]])/Table1[[#This Row],[NET Amount]]</f>
        <v>0</v>
      </c>
      <c r="S1446" s="2" t="s">
        <v>20</v>
      </c>
    </row>
    <row r="1447" spans="1:19" x14ac:dyDescent="0.3">
      <c r="A1447" s="4">
        <v>1445</v>
      </c>
      <c r="B1447" s="2" t="s">
        <v>155</v>
      </c>
      <c r="C1447" s="3">
        <v>44857</v>
      </c>
      <c r="D1447" s="3" t="str">
        <f>TEXT(Table1[[#This Row],[Admission Date]],"MMMM")</f>
        <v>October</v>
      </c>
      <c r="E1447" s="3">
        <v>44857</v>
      </c>
      <c r="F1447" s="3">
        <v>44857</v>
      </c>
      <c r="G1447" s="2">
        <v>22028390</v>
      </c>
      <c r="H1447" s="2">
        <v>2237153</v>
      </c>
      <c r="I1447" s="2">
        <v>10013502614</v>
      </c>
      <c r="J1447" s="2" t="s">
        <v>484</v>
      </c>
      <c r="K1447" s="10">
        <v>1610</v>
      </c>
      <c r="L1447" s="10">
        <v>0</v>
      </c>
      <c r="M1447" s="10">
        <v>1610</v>
      </c>
      <c r="N1447" s="10">
        <v>0</v>
      </c>
      <c r="O1447" s="10">
        <f>Table1[[#This Row],[NET Amount]]-Table1[[#This Row],[Paid Amount]]</f>
        <v>1610</v>
      </c>
      <c r="P1447" s="2" t="s">
        <v>23</v>
      </c>
      <c r="Q1447" s="2" t="s">
        <v>54</v>
      </c>
      <c r="R1447" s="16">
        <f>(Table1[[#This Row],[NET Amount]]-Table1[[#This Row],[Total Outstanding Amount]])/Table1[[#This Row],[NET Amount]]</f>
        <v>0</v>
      </c>
      <c r="S1447" s="2" t="s">
        <v>97</v>
      </c>
    </row>
    <row r="1448" spans="1:19" x14ac:dyDescent="0.3">
      <c r="A1448" s="4">
        <v>1446</v>
      </c>
      <c r="B1448" s="2" t="s">
        <v>2260</v>
      </c>
      <c r="C1448" s="3">
        <v>44837</v>
      </c>
      <c r="D1448" s="3" t="str">
        <f>TEXT(Table1[[#This Row],[Admission Date]],"MMMM")</f>
        <v>October</v>
      </c>
      <c r="E1448" s="3">
        <v>44837</v>
      </c>
      <c r="F1448" s="3">
        <v>44837</v>
      </c>
      <c r="G1448" s="2">
        <v>22025337</v>
      </c>
      <c r="H1448" s="2">
        <v>2234364</v>
      </c>
      <c r="I1448" s="2">
        <v>1001778288</v>
      </c>
      <c r="J1448" s="2" t="s">
        <v>1070</v>
      </c>
      <c r="K1448" s="10">
        <v>1610</v>
      </c>
      <c r="L1448" s="10">
        <v>0</v>
      </c>
      <c r="M1448" s="10">
        <v>1610</v>
      </c>
      <c r="N1448" s="10">
        <v>0</v>
      </c>
      <c r="O1448" s="10">
        <f>Table1[[#This Row],[NET Amount]]-Table1[[#This Row],[Paid Amount]]</f>
        <v>1610</v>
      </c>
      <c r="P1448" s="2" t="s">
        <v>23</v>
      </c>
      <c r="Q1448" s="2" t="s">
        <v>54</v>
      </c>
      <c r="R1448" s="16">
        <f>(Table1[[#This Row],[NET Amount]]-Table1[[#This Row],[Total Outstanding Amount]])/Table1[[#This Row],[NET Amount]]</f>
        <v>0</v>
      </c>
      <c r="S1448" s="2" t="s">
        <v>97</v>
      </c>
    </row>
    <row r="1449" spans="1:19" x14ac:dyDescent="0.3">
      <c r="A1449" s="4">
        <v>1447</v>
      </c>
      <c r="B1449" s="2" t="s">
        <v>380</v>
      </c>
      <c r="C1449" s="3">
        <v>44844</v>
      </c>
      <c r="D1449" s="3" t="str">
        <f>TEXT(Table1[[#This Row],[Admission Date]],"MMMM")</f>
        <v>October</v>
      </c>
      <c r="E1449" s="3">
        <v>44844</v>
      </c>
      <c r="F1449" s="3">
        <v>44844</v>
      </c>
      <c r="G1449" s="2">
        <v>22026485</v>
      </c>
      <c r="H1449" s="2">
        <v>2235456</v>
      </c>
      <c r="I1449" s="2">
        <v>10013223537</v>
      </c>
      <c r="J1449" s="2" t="s">
        <v>382</v>
      </c>
      <c r="K1449" s="10">
        <v>1274</v>
      </c>
      <c r="L1449" s="10">
        <v>0</v>
      </c>
      <c r="M1449" s="10">
        <v>1274</v>
      </c>
      <c r="N1449" s="10">
        <v>0</v>
      </c>
      <c r="O1449" s="10">
        <f>Table1[[#This Row],[NET Amount]]-Table1[[#This Row],[Paid Amount]]</f>
        <v>1274</v>
      </c>
      <c r="P1449" s="2" t="s">
        <v>23</v>
      </c>
      <c r="Q1449" s="2" t="s">
        <v>54</v>
      </c>
      <c r="R1449" s="16">
        <f>(Table1[[#This Row],[NET Amount]]-Table1[[#This Row],[Total Outstanding Amount]])/Table1[[#This Row],[NET Amount]]</f>
        <v>0</v>
      </c>
      <c r="S1449" s="2" t="s">
        <v>97</v>
      </c>
    </row>
    <row r="1450" spans="1:19" x14ac:dyDescent="0.3">
      <c r="A1450" s="4">
        <v>1448</v>
      </c>
      <c r="B1450" s="2" t="s">
        <v>149</v>
      </c>
      <c r="C1450" s="3">
        <v>44852</v>
      </c>
      <c r="D1450" s="3" t="str">
        <f>TEXT(Table1[[#This Row],[Admission Date]],"MMMM")</f>
        <v>October</v>
      </c>
      <c r="E1450" s="3">
        <v>44856</v>
      </c>
      <c r="F1450" s="3">
        <v>44856</v>
      </c>
      <c r="G1450" s="2">
        <v>22028156</v>
      </c>
      <c r="H1450" s="2">
        <v>2236555</v>
      </c>
      <c r="I1450" s="2">
        <v>10013543635</v>
      </c>
      <c r="J1450" s="2" t="s">
        <v>211</v>
      </c>
      <c r="K1450" s="10">
        <v>79080</v>
      </c>
      <c r="L1450" s="10">
        <v>0</v>
      </c>
      <c r="M1450" s="10">
        <v>79080</v>
      </c>
      <c r="N1450" s="10">
        <v>0</v>
      </c>
      <c r="O1450" s="10">
        <f>Table1[[#This Row],[NET Amount]]-Table1[[#This Row],[Paid Amount]]</f>
        <v>79080</v>
      </c>
      <c r="P1450" s="2" t="s">
        <v>23</v>
      </c>
      <c r="Q1450" s="2" t="s">
        <v>24</v>
      </c>
      <c r="R1450" s="16">
        <f>(Table1[[#This Row],[NET Amount]]-Table1[[#This Row],[Total Outstanding Amount]])/Table1[[#This Row],[NET Amount]]</f>
        <v>0</v>
      </c>
      <c r="S1450" s="2" t="s">
        <v>32</v>
      </c>
    </row>
    <row r="1451" spans="1:19" x14ac:dyDescent="0.3">
      <c r="A1451" s="4">
        <v>1449</v>
      </c>
      <c r="B1451" s="2" t="s">
        <v>800</v>
      </c>
      <c r="C1451" s="3">
        <v>44851</v>
      </c>
      <c r="D1451" s="3" t="str">
        <f>TEXT(Table1[[#This Row],[Admission Date]],"MMMM")</f>
        <v>October</v>
      </c>
      <c r="E1451" s="3">
        <v>44853</v>
      </c>
      <c r="F1451" s="3">
        <v>44857</v>
      </c>
      <c r="G1451" s="2">
        <v>22028318</v>
      </c>
      <c r="H1451" s="2">
        <v>2236270</v>
      </c>
      <c r="I1451" s="2">
        <v>10013543308</v>
      </c>
      <c r="J1451" s="2" t="s">
        <v>908</v>
      </c>
      <c r="K1451" s="10">
        <v>18033</v>
      </c>
      <c r="L1451" s="10">
        <v>0</v>
      </c>
      <c r="M1451" s="10">
        <v>18033</v>
      </c>
      <c r="N1451" s="10">
        <v>0</v>
      </c>
      <c r="O1451" s="10">
        <f>Table1[[#This Row],[NET Amount]]-Table1[[#This Row],[Paid Amount]]</f>
        <v>18033</v>
      </c>
      <c r="P1451" s="2" t="s">
        <v>23</v>
      </c>
      <c r="Q1451" s="2" t="s">
        <v>24</v>
      </c>
      <c r="R1451" s="16">
        <f>(Table1[[#This Row],[NET Amount]]-Table1[[#This Row],[Total Outstanding Amount]])/Table1[[#This Row],[NET Amount]]</f>
        <v>0</v>
      </c>
      <c r="S1451" s="2" t="s">
        <v>32</v>
      </c>
    </row>
    <row r="1452" spans="1:19" x14ac:dyDescent="0.3">
      <c r="A1452" s="4">
        <v>1450</v>
      </c>
      <c r="B1452" s="2" t="s">
        <v>45</v>
      </c>
      <c r="C1452" s="3">
        <v>44852</v>
      </c>
      <c r="D1452" s="3" t="str">
        <f>TEXT(Table1[[#This Row],[Admission Date]],"MMMM")</f>
        <v>October</v>
      </c>
      <c r="E1452" s="3">
        <v>44852</v>
      </c>
      <c r="F1452" s="3">
        <v>44852</v>
      </c>
      <c r="G1452" s="2">
        <v>22027588</v>
      </c>
      <c r="H1452" s="2">
        <v>2236479</v>
      </c>
      <c r="I1452" s="2">
        <v>1001684515</v>
      </c>
      <c r="J1452" s="2" t="s">
        <v>414</v>
      </c>
      <c r="K1452" s="10">
        <v>2200</v>
      </c>
      <c r="L1452" s="10">
        <v>0</v>
      </c>
      <c r="M1452" s="10">
        <v>2200</v>
      </c>
      <c r="N1452" s="10">
        <v>0</v>
      </c>
      <c r="O1452" s="10">
        <f>Table1[[#This Row],[NET Amount]]-Table1[[#This Row],[Paid Amount]]</f>
        <v>2200</v>
      </c>
      <c r="P1452" s="2" t="s">
        <v>23</v>
      </c>
      <c r="Q1452" s="2" t="s">
        <v>147</v>
      </c>
      <c r="R1452" s="16">
        <f>(Table1[[#This Row],[NET Amount]]-Table1[[#This Row],[Total Outstanding Amount]])/Table1[[#This Row],[NET Amount]]</f>
        <v>0</v>
      </c>
      <c r="S1452" s="2" t="s">
        <v>97</v>
      </c>
    </row>
    <row r="1453" spans="1:19" x14ac:dyDescent="0.3">
      <c r="A1453" s="4">
        <v>1451</v>
      </c>
      <c r="B1453" s="2" t="s">
        <v>35</v>
      </c>
      <c r="C1453" s="3">
        <v>44846</v>
      </c>
      <c r="D1453" s="3" t="str">
        <f>TEXT(Table1[[#This Row],[Admission Date]],"MMMM")</f>
        <v>October</v>
      </c>
      <c r="E1453" s="3">
        <v>44848</v>
      </c>
      <c r="F1453" s="3">
        <v>44848</v>
      </c>
      <c r="G1453" s="2">
        <v>22027066</v>
      </c>
      <c r="H1453" s="2">
        <v>2235676</v>
      </c>
      <c r="I1453" s="2">
        <v>10013542691</v>
      </c>
      <c r="J1453" s="2" t="s">
        <v>1071</v>
      </c>
      <c r="K1453" s="10">
        <v>32003</v>
      </c>
      <c r="L1453" s="10">
        <v>0</v>
      </c>
      <c r="M1453" s="10">
        <v>32003</v>
      </c>
      <c r="N1453" s="10">
        <v>0</v>
      </c>
      <c r="O1453" s="10">
        <f>Table1[[#This Row],[NET Amount]]-Table1[[#This Row],[Paid Amount]]</f>
        <v>32003</v>
      </c>
      <c r="P1453" s="2" t="s">
        <v>23</v>
      </c>
      <c r="Q1453" s="2" t="s">
        <v>24</v>
      </c>
      <c r="R1453" s="16">
        <f>(Table1[[#This Row],[NET Amount]]-Table1[[#This Row],[Total Outstanding Amount]])/Table1[[#This Row],[NET Amount]]</f>
        <v>0</v>
      </c>
      <c r="S1453" s="2" t="s">
        <v>20</v>
      </c>
    </row>
    <row r="1454" spans="1:19" x14ac:dyDescent="0.3">
      <c r="A1454" s="4">
        <v>1452</v>
      </c>
      <c r="B1454" s="2" t="s">
        <v>380</v>
      </c>
      <c r="C1454" s="3">
        <v>44851</v>
      </c>
      <c r="D1454" s="3" t="str">
        <f>TEXT(Table1[[#This Row],[Admission Date]],"MMMM")</f>
        <v>October</v>
      </c>
      <c r="E1454" s="3">
        <v>44851</v>
      </c>
      <c r="F1454" s="3">
        <v>44851</v>
      </c>
      <c r="G1454" s="2">
        <v>22027511</v>
      </c>
      <c r="H1454" s="2">
        <v>2236417</v>
      </c>
      <c r="I1454" s="2">
        <v>10013521877</v>
      </c>
      <c r="J1454" s="2" t="s">
        <v>422</v>
      </c>
      <c r="K1454" s="10">
        <v>1274</v>
      </c>
      <c r="L1454" s="10">
        <v>0</v>
      </c>
      <c r="M1454" s="10">
        <v>1274</v>
      </c>
      <c r="N1454" s="10">
        <v>0</v>
      </c>
      <c r="O1454" s="10">
        <f>Table1[[#This Row],[NET Amount]]-Table1[[#This Row],[Paid Amount]]</f>
        <v>1274</v>
      </c>
      <c r="P1454" s="2" t="s">
        <v>23</v>
      </c>
      <c r="Q1454" s="2" t="s">
        <v>54</v>
      </c>
      <c r="R1454" s="16">
        <f>(Table1[[#This Row],[NET Amount]]-Table1[[#This Row],[Total Outstanding Amount]])/Table1[[#This Row],[NET Amount]]</f>
        <v>0</v>
      </c>
      <c r="S1454" s="2" t="s">
        <v>97</v>
      </c>
    </row>
    <row r="1455" spans="1:19" x14ac:dyDescent="0.3">
      <c r="A1455" s="4">
        <v>1453</v>
      </c>
      <c r="B1455" s="2" t="s">
        <v>380</v>
      </c>
      <c r="C1455" s="3">
        <v>44841</v>
      </c>
      <c r="D1455" s="3" t="str">
        <f>TEXT(Table1[[#This Row],[Admission Date]],"MMMM")</f>
        <v>October</v>
      </c>
      <c r="E1455" s="3">
        <v>44841</v>
      </c>
      <c r="F1455" s="3">
        <v>44841</v>
      </c>
      <c r="G1455" s="2">
        <v>22026039</v>
      </c>
      <c r="H1455" s="2">
        <v>2235060</v>
      </c>
      <c r="I1455" s="2">
        <v>1001074266</v>
      </c>
      <c r="J1455" s="2" t="s">
        <v>776</v>
      </c>
      <c r="K1455" s="10">
        <v>1274</v>
      </c>
      <c r="L1455" s="10">
        <v>0</v>
      </c>
      <c r="M1455" s="10">
        <v>1274</v>
      </c>
      <c r="N1455" s="10">
        <v>0</v>
      </c>
      <c r="O1455" s="10">
        <f>Table1[[#This Row],[NET Amount]]-Table1[[#This Row],[Paid Amount]]</f>
        <v>1274</v>
      </c>
      <c r="P1455" s="2" t="s">
        <v>23</v>
      </c>
      <c r="Q1455" s="2" t="s">
        <v>54</v>
      </c>
      <c r="R1455" s="16">
        <f>(Table1[[#This Row],[NET Amount]]-Table1[[#This Row],[Total Outstanding Amount]])/Table1[[#This Row],[NET Amount]]</f>
        <v>0</v>
      </c>
      <c r="S1455" s="2" t="s">
        <v>97</v>
      </c>
    </row>
    <row r="1456" spans="1:19" x14ac:dyDescent="0.3">
      <c r="A1456" s="4">
        <v>1454</v>
      </c>
      <c r="B1456" s="2" t="s">
        <v>139</v>
      </c>
      <c r="C1456" s="3">
        <v>44852</v>
      </c>
      <c r="D1456" s="3" t="str">
        <f>TEXT(Table1[[#This Row],[Admission Date]],"MMMM")</f>
        <v>October</v>
      </c>
      <c r="E1456" s="3">
        <v>44852</v>
      </c>
      <c r="F1456" s="3">
        <v>44852</v>
      </c>
      <c r="G1456" s="2">
        <v>22027590</v>
      </c>
      <c r="H1456" s="2">
        <v>2236474</v>
      </c>
      <c r="I1456" s="2">
        <v>1000947591</v>
      </c>
      <c r="J1456" s="2" t="s">
        <v>146</v>
      </c>
      <c r="K1456" s="10">
        <v>2200</v>
      </c>
      <c r="L1456" s="10">
        <v>0</v>
      </c>
      <c r="M1456" s="10">
        <v>2200</v>
      </c>
      <c r="N1456" s="10">
        <v>0</v>
      </c>
      <c r="O1456" s="10">
        <f>Table1[[#This Row],[NET Amount]]-Table1[[#This Row],[Paid Amount]]</f>
        <v>2200</v>
      </c>
      <c r="P1456" s="2" t="s">
        <v>23</v>
      </c>
      <c r="Q1456" s="2" t="s">
        <v>147</v>
      </c>
      <c r="R1456" s="16">
        <f>(Table1[[#This Row],[NET Amount]]-Table1[[#This Row],[Total Outstanding Amount]])/Table1[[#This Row],[NET Amount]]</f>
        <v>0</v>
      </c>
      <c r="S1456" s="2" t="s">
        <v>97</v>
      </c>
    </row>
    <row r="1457" spans="1:19" x14ac:dyDescent="0.3">
      <c r="A1457" s="4">
        <v>1455</v>
      </c>
      <c r="B1457" s="2" t="s">
        <v>380</v>
      </c>
      <c r="C1457" s="3">
        <v>44865</v>
      </c>
      <c r="D1457" s="3" t="str">
        <f>TEXT(Table1[[#This Row],[Admission Date]],"MMMM")</f>
        <v>October</v>
      </c>
      <c r="E1457" s="3">
        <v>44865</v>
      </c>
      <c r="F1457" s="3">
        <v>44865</v>
      </c>
      <c r="G1457" s="2">
        <v>22029397</v>
      </c>
      <c r="H1457" s="2">
        <v>2238271</v>
      </c>
      <c r="I1457" s="2">
        <v>10013437822</v>
      </c>
      <c r="J1457" s="2" t="s">
        <v>441</v>
      </c>
      <c r="K1457" s="10">
        <v>1274</v>
      </c>
      <c r="L1457" s="10">
        <v>0</v>
      </c>
      <c r="M1457" s="10">
        <v>1274</v>
      </c>
      <c r="N1457" s="10">
        <v>0</v>
      </c>
      <c r="O1457" s="10">
        <f>Table1[[#This Row],[NET Amount]]-Table1[[#This Row],[Paid Amount]]</f>
        <v>1274</v>
      </c>
      <c r="P1457" s="2" t="s">
        <v>23</v>
      </c>
      <c r="Q1457" s="2" t="s">
        <v>54</v>
      </c>
      <c r="R1457" s="16">
        <f>(Table1[[#This Row],[NET Amount]]-Table1[[#This Row],[Total Outstanding Amount]])/Table1[[#This Row],[NET Amount]]</f>
        <v>0</v>
      </c>
      <c r="S1457" s="2" t="s">
        <v>97</v>
      </c>
    </row>
    <row r="1458" spans="1:19" x14ac:dyDescent="0.3">
      <c r="A1458" s="4">
        <v>1456</v>
      </c>
      <c r="B1458" s="2" t="s">
        <v>75</v>
      </c>
      <c r="C1458" s="3">
        <v>44838</v>
      </c>
      <c r="D1458" s="3" t="str">
        <f>TEXT(Table1[[#This Row],[Admission Date]],"MMMM")</f>
        <v>October</v>
      </c>
      <c r="E1458" s="3">
        <v>44838</v>
      </c>
      <c r="F1458" s="3">
        <v>44838</v>
      </c>
      <c r="G1458" s="2">
        <v>22025613</v>
      </c>
      <c r="H1458" s="2">
        <v>2234613</v>
      </c>
      <c r="I1458" s="2">
        <v>10013442733</v>
      </c>
      <c r="J1458" s="2" t="s">
        <v>109</v>
      </c>
      <c r="K1458" s="10">
        <v>1610</v>
      </c>
      <c r="L1458" s="10">
        <v>0</v>
      </c>
      <c r="M1458" s="10">
        <v>1610</v>
      </c>
      <c r="N1458" s="10">
        <v>0</v>
      </c>
      <c r="O1458" s="10">
        <f>Table1[[#This Row],[NET Amount]]-Table1[[#This Row],[Paid Amount]]</f>
        <v>1610</v>
      </c>
      <c r="P1458" s="2" t="s">
        <v>23</v>
      </c>
      <c r="Q1458" s="2" t="s">
        <v>54</v>
      </c>
      <c r="R1458" s="16">
        <f>(Table1[[#This Row],[NET Amount]]-Table1[[#This Row],[Total Outstanding Amount]])/Table1[[#This Row],[NET Amount]]</f>
        <v>0</v>
      </c>
      <c r="S1458" s="2" t="s">
        <v>97</v>
      </c>
    </row>
    <row r="1459" spans="1:19" x14ac:dyDescent="0.3">
      <c r="A1459" s="4">
        <v>1457</v>
      </c>
      <c r="B1459" s="2" t="s">
        <v>559</v>
      </c>
      <c r="C1459" s="3">
        <v>44862</v>
      </c>
      <c r="D1459" s="3" t="str">
        <f>TEXT(Table1[[#This Row],[Admission Date]],"MMMM")</f>
        <v>October</v>
      </c>
      <c r="E1459" s="3">
        <v>44862</v>
      </c>
      <c r="F1459" s="3">
        <v>44862</v>
      </c>
      <c r="G1459" s="2">
        <v>22028963</v>
      </c>
      <c r="H1459" s="2">
        <v>2237803</v>
      </c>
      <c r="I1459" s="2">
        <v>1001018032</v>
      </c>
      <c r="J1459" s="2" t="s">
        <v>1072</v>
      </c>
      <c r="K1459" s="10">
        <v>17300</v>
      </c>
      <c r="L1459" s="10">
        <v>0</v>
      </c>
      <c r="M1459" s="10">
        <v>17300</v>
      </c>
      <c r="N1459" s="10">
        <v>0</v>
      </c>
      <c r="O1459" s="10">
        <f>Table1[[#This Row],[NET Amount]]-Table1[[#This Row],[Paid Amount]]</f>
        <v>17300</v>
      </c>
      <c r="P1459" s="2" t="s">
        <v>23</v>
      </c>
      <c r="Q1459" s="2" t="s">
        <v>47</v>
      </c>
      <c r="R1459" s="16">
        <f>(Table1[[#This Row],[NET Amount]]-Table1[[#This Row],[Total Outstanding Amount]])/Table1[[#This Row],[NET Amount]]</f>
        <v>0</v>
      </c>
      <c r="S1459" s="2" t="s">
        <v>39</v>
      </c>
    </row>
    <row r="1460" spans="1:19" x14ac:dyDescent="0.3">
      <c r="A1460" s="4">
        <v>1458</v>
      </c>
      <c r="B1460" s="2" t="s">
        <v>115</v>
      </c>
      <c r="C1460" s="3">
        <v>44844</v>
      </c>
      <c r="D1460" s="3" t="str">
        <f>TEXT(Table1[[#This Row],[Admission Date]],"MMMM")</f>
        <v>October</v>
      </c>
      <c r="E1460" s="3">
        <v>44844</v>
      </c>
      <c r="F1460" s="3">
        <v>44844</v>
      </c>
      <c r="G1460" s="2">
        <v>22026489</v>
      </c>
      <c r="H1460" s="2">
        <v>2235464</v>
      </c>
      <c r="I1460" s="2">
        <v>1001456152</v>
      </c>
      <c r="J1460" s="2" t="s">
        <v>404</v>
      </c>
      <c r="K1460" s="10">
        <v>2200</v>
      </c>
      <c r="L1460" s="10">
        <v>0</v>
      </c>
      <c r="M1460" s="10">
        <v>2200</v>
      </c>
      <c r="N1460" s="10">
        <v>0</v>
      </c>
      <c r="O1460" s="10">
        <f>Table1[[#This Row],[NET Amount]]-Table1[[#This Row],[Paid Amount]]</f>
        <v>2200</v>
      </c>
      <c r="P1460" s="2" t="s">
        <v>23</v>
      </c>
      <c r="Q1460" s="2" t="s">
        <v>147</v>
      </c>
      <c r="R1460" s="16">
        <f>(Table1[[#This Row],[NET Amount]]-Table1[[#This Row],[Total Outstanding Amount]])/Table1[[#This Row],[NET Amount]]</f>
        <v>0</v>
      </c>
      <c r="S1460" s="2" t="s">
        <v>97</v>
      </c>
    </row>
    <row r="1461" spans="1:19" x14ac:dyDescent="0.3">
      <c r="A1461" s="4">
        <v>1459</v>
      </c>
      <c r="B1461" s="2" t="s">
        <v>2263</v>
      </c>
      <c r="C1461" s="3">
        <v>44854</v>
      </c>
      <c r="D1461" s="3" t="str">
        <f>TEXT(Table1[[#This Row],[Admission Date]],"MMMM")</f>
        <v>October</v>
      </c>
      <c r="E1461" s="3">
        <v>44854</v>
      </c>
      <c r="F1461" s="3">
        <v>44854</v>
      </c>
      <c r="G1461" s="2">
        <v>22027809</v>
      </c>
      <c r="H1461" s="2">
        <v>2236726</v>
      </c>
      <c r="I1461" s="2">
        <v>1001666089</v>
      </c>
      <c r="J1461" s="2" t="s">
        <v>809</v>
      </c>
      <c r="K1461" s="10">
        <v>1274</v>
      </c>
      <c r="L1461" s="10">
        <v>0</v>
      </c>
      <c r="M1461" s="10">
        <v>1274</v>
      </c>
      <c r="N1461" s="10">
        <v>0</v>
      </c>
      <c r="O1461" s="10">
        <f>Table1[[#This Row],[NET Amount]]-Table1[[#This Row],[Paid Amount]]</f>
        <v>1274</v>
      </c>
      <c r="P1461" s="2" t="s">
        <v>23</v>
      </c>
      <c r="Q1461" s="2" t="s">
        <v>54</v>
      </c>
      <c r="R1461" s="16">
        <f>(Table1[[#This Row],[NET Amount]]-Table1[[#This Row],[Total Outstanding Amount]])/Table1[[#This Row],[NET Amount]]</f>
        <v>0</v>
      </c>
      <c r="S1461" s="2" t="s">
        <v>97</v>
      </c>
    </row>
    <row r="1462" spans="1:19" x14ac:dyDescent="0.3">
      <c r="A1462" s="4">
        <v>1460</v>
      </c>
      <c r="B1462" s="2" t="s">
        <v>2260</v>
      </c>
      <c r="C1462" s="3">
        <v>44837</v>
      </c>
      <c r="D1462" s="3" t="str">
        <f>TEXT(Table1[[#This Row],[Admission Date]],"MMMM")</f>
        <v>October</v>
      </c>
      <c r="E1462" s="3">
        <v>44837</v>
      </c>
      <c r="F1462" s="3">
        <v>44837</v>
      </c>
      <c r="G1462" s="2">
        <v>22025431</v>
      </c>
      <c r="H1462" s="2">
        <v>2234419</v>
      </c>
      <c r="I1462" s="2">
        <v>1001756832</v>
      </c>
      <c r="J1462" s="2" t="s">
        <v>326</v>
      </c>
      <c r="K1462" s="10">
        <v>1610</v>
      </c>
      <c r="L1462" s="10">
        <v>0</v>
      </c>
      <c r="M1462" s="10">
        <v>1610</v>
      </c>
      <c r="N1462" s="10">
        <v>0</v>
      </c>
      <c r="O1462" s="10">
        <f>Table1[[#This Row],[NET Amount]]-Table1[[#This Row],[Paid Amount]]</f>
        <v>1610</v>
      </c>
      <c r="P1462" s="2" t="s">
        <v>23</v>
      </c>
      <c r="Q1462" s="2" t="s">
        <v>54</v>
      </c>
      <c r="R1462" s="16">
        <f>(Table1[[#This Row],[NET Amount]]-Table1[[#This Row],[Total Outstanding Amount]])/Table1[[#This Row],[NET Amount]]</f>
        <v>0</v>
      </c>
      <c r="S1462" s="2" t="s">
        <v>97</v>
      </c>
    </row>
    <row r="1463" spans="1:19" x14ac:dyDescent="0.3">
      <c r="A1463" s="4">
        <v>1461</v>
      </c>
      <c r="B1463" s="2" t="s">
        <v>380</v>
      </c>
      <c r="C1463" s="3">
        <v>44854</v>
      </c>
      <c r="D1463" s="3" t="str">
        <f>TEXT(Table1[[#This Row],[Admission Date]],"MMMM")</f>
        <v>October</v>
      </c>
      <c r="E1463" s="3">
        <v>44854</v>
      </c>
      <c r="F1463" s="3">
        <v>44854</v>
      </c>
      <c r="G1463" s="2">
        <v>22027953</v>
      </c>
      <c r="H1463" s="2">
        <v>2236835</v>
      </c>
      <c r="I1463" s="2">
        <v>1001237257</v>
      </c>
      <c r="J1463" s="2" t="s">
        <v>419</v>
      </c>
      <c r="K1463" s="10">
        <v>1274</v>
      </c>
      <c r="L1463" s="10">
        <v>0</v>
      </c>
      <c r="M1463" s="10">
        <v>1274</v>
      </c>
      <c r="N1463" s="10">
        <v>0</v>
      </c>
      <c r="O1463" s="10">
        <f>Table1[[#This Row],[NET Amount]]-Table1[[#This Row],[Paid Amount]]</f>
        <v>1274</v>
      </c>
      <c r="P1463" s="2" t="s">
        <v>23</v>
      </c>
      <c r="Q1463" s="2" t="s">
        <v>54</v>
      </c>
      <c r="R1463" s="16">
        <f>(Table1[[#This Row],[NET Amount]]-Table1[[#This Row],[Total Outstanding Amount]])/Table1[[#This Row],[NET Amount]]</f>
        <v>0</v>
      </c>
      <c r="S1463" s="2" t="s">
        <v>97</v>
      </c>
    </row>
    <row r="1464" spans="1:19" x14ac:dyDescent="0.3">
      <c r="A1464" s="4">
        <v>1462</v>
      </c>
      <c r="B1464" s="2" t="s">
        <v>75</v>
      </c>
      <c r="C1464" s="3">
        <v>44839</v>
      </c>
      <c r="D1464" s="3" t="str">
        <f>TEXT(Table1[[#This Row],[Admission Date]],"MMMM")</f>
        <v>October</v>
      </c>
      <c r="E1464" s="3">
        <v>44839</v>
      </c>
      <c r="F1464" s="3">
        <v>44839</v>
      </c>
      <c r="G1464" s="2">
        <v>22025645</v>
      </c>
      <c r="H1464" s="2">
        <v>2234684</v>
      </c>
      <c r="I1464" s="2">
        <v>10013401847</v>
      </c>
      <c r="J1464" s="2" t="s">
        <v>449</v>
      </c>
      <c r="K1464" s="10">
        <v>1610</v>
      </c>
      <c r="L1464" s="10">
        <v>0</v>
      </c>
      <c r="M1464" s="10">
        <v>1610</v>
      </c>
      <c r="N1464" s="10">
        <v>0</v>
      </c>
      <c r="O1464" s="10">
        <f>Table1[[#This Row],[NET Amount]]-Table1[[#This Row],[Paid Amount]]</f>
        <v>1610</v>
      </c>
      <c r="P1464" s="2" t="s">
        <v>23</v>
      </c>
      <c r="Q1464" s="2" t="s">
        <v>54</v>
      </c>
      <c r="R1464" s="16">
        <f>(Table1[[#This Row],[NET Amount]]-Table1[[#This Row],[Total Outstanding Amount]])/Table1[[#This Row],[NET Amount]]</f>
        <v>0</v>
      </c>
      <c r="S1464" s="2" t="s">
        <v>97</v>
      </c>
    </row>
    <row r="1465" spans="1:19" x14ac:dyDescent="0.3">
      <c r="A1465" s="4">
        <v>1463</v>
      </c>
      <c r="B1465" s="2" t="s">
        <v>2253</v>
      </c>
      <c r="C1465" s="3">
        <v>44865</v>
      </c>
      <c r="D1465" s="3" t="str">
        <f>TEXT(Table1[[#This Row],[Admission Date]],"MMMM")</f>
        <v>October</v>
      </c>
      <c r="E1465" s="3">
        <v>44865</v>
      </c>
      <c r="F1465" s="3">
        <v>44865</v>
      </c>
      <c r="G1465" s="2">
        <v>22029367</v>
      </c>
      <c r="H1465" s="2">
        <v>2238234</v>
      </c>
      <c r="I1465" s="2">
        <v>1001806801</v>
      </c>
      <c r="J1465" s="2" t="s">
        <v>1073</v>
      </c>
      <c r="K1465" s="10">
        <v>1610</v>
      </c>
      <c r="L1465" s="10">
        <v>0</v>
      </c>
      <c r="M1465" s="10">
        <v>1610</v>
      </c>
      <c r="N1465" s="10">
        <v>0</v>
      </c>
      <c r="O1465" s="10">
        <f>Table1[[#This Row],[NET Amount]]-Table1[[#This Row],[Paid Amount]]</f>
        <v>1610</v>
      </c>
      <c r="P1465" s="2" t="s">
        <v>23</v>
      </c>
      <c r="Q1465" s="2" t="s">
        <v>54</v>
      </c>
      <c r="R1465" s="16">
        <f>(Table1[[#This Row],[NET Amount]]-Table1[[#This Row],[Total Outstanding Amount]])/Table1[[#This Row],[NET Amount]]</f>
        <v>0</v>
      </c>
      <c r="S1465" s="2" t="s">
        <v>97</v>
      </c>
    </row>
    <row r="1466" spans="1:19" x14ac:dyDescent="0.3">
      <c r="A1466" s="4">
        <v>1464</v>
      </c>
      <c r="B1466" s="2" t="s">
        <v>2253</v>
      </c>
      <c r="C1466" s="3">
        <v>44860</v>
      </c>
      <c r="D1466" s="3" t="str">
        <f>TEXT(Table1[[#This Row],[Admission Date]],"MMMM")</f>
        <v>October</v>
      </c>
      <c r="E1466" s="3">
        <v>44860</v>
      </c>
      <c r="F1466" s="3">
        <v>44860</v>
      </c>
      <c r="G1466" s="2">
        <v>22028592</v>
      </c>
      <c r="H1466" s="2">
        <v>2237456</v>
      </c>
      <c r="I1466" s="2">
        <v>1001801530</v>
      </c>
      <c r="J1466" s="2" t="s">
        <v>392</v>
      </c>
      <c r="K1466" s="10">
        <v>1610</v>
      </c>
      <c r="L1466" s="10">
        <v>0</v>
      </c>
      <c r="M1466" s="10">
        <v>1610</v>
      </c>
      <c r="N1466" s="10">
        <v>0</v>
      </c>
      <c r="O1466" s="10">
        <f>Table1[[#This Row],[NET Amount]]-Table1[[#This Row],[Paid Amount]]</f>
        <v>1610</v>
      </c>
      <c r="P1466" s="2" t="s">
        <v>23</v>
      </c>
      <c r="Q1466" s="2" t="s">
        <v>54</v>
      </c>
      <c r="R1466" s="16">
        <f>(Table1[[#This Row],[NET Amount]]-Table1[[#This Row],[Total Outstanding Amount]])/Table1[[#This Row],[NET Amount]]</f>
        <v>0</v>
      </c>
      <c r="S1466" s="2" t="s">
        <v>97</v>
      </c>
    </row>
    <row r="1467" spans="1:19" x14ac:dyDescent="0.3">
      <c r="A1467" s="4">
        <v>1465</v>
      </c>
      <c r="B1467" s="2" t="s">
        <v>380</v>
      </c>
      <c r="C1467" s="3">
        <v>44842</v>
      </c>
      <c r="D1467" s="3" t="str">
        <f>TEXT(Table1[[#This Row],[Admission Date]],"MMMM")</f>
        <v>October</v>
      </c>
      <c r="E1467" s="3">
        <v>44842</v>
      </c>
      <c r="F1467" s="3">
        <v>44842</v>
      </c>
      <c r="G1467" s="2">
        <v>22026232</v>
      </c>
      <c r="H1467" s="2">
        <v>2235234</v>
      </c>
      <c r="I1467" s="2">
        <v>10013507516</v>
      </c>
      <c r="J1467" s="2" t="s">
        <v>481</v>
      </c>
      <c r="K1467" s="10">
        <v>1274</v>
      </c>
      <c r="L1467" s="10">
        <v>0</v>
      </c>
      <c r="M1467" s="10">
        <v>1274</v>
      </c>
      <c r="N1467" s="10">
        <v>0</v>
      </c>
      <c r="O1467" s="10">
        <f>Table1[[#This Row],[NET Amount]]-Table1[[#This Row],[Paid Amount]]</f>
        <v>1274</v>
      </c>
      <c r="P1467" s="2" t="s">
        <v>23</v>
      </c>
      <c r="Q1467" s="2" t="s">
        <v>54</v>
      </c>
      <c r="R1467" s="16">
        <f>(Table1[[#This Row],[NET Amount]]-Table1[[#This Row],[Total Outstanding Amount]])/Table1[[#This Row],[NET Amount]]</f>
        <v>0</v>
      </c>
      <c r="S1467" s="2" t="s">
        <v>97</v>
      </c>
    </row>
    <row r="1468" spans="1:19" x14ac:dyDescent="0.3">
      <c r="A1468" s="4">
        <v>1466</v>
      </c>
      <c r="B1468" s="2" t="s">
        <v>380</v>
      </c>
      <c r="C1468" s="3">
        <v>44859</v>
      </c>
      <c r="D1468" s="3" t="str">
        <f>TEXT(Table1[[#This Row],[Admission Date]],"MMMM")</f>
        <v>October</v>
      </c>
      <c r="E1468" s="3">
        <v>44859</v>
      </c>
      <c r="F1468" s="3">
        <v>44859</v>
      </c>
      <c r="G1468" s="2">
        <v>22028571</v>
      </c>
      <c r="H1468" s="2">
        <v>2237397</v>
      </c>
      <c r="I1468" s="2">
        <v>1000891355</v>
      </c>
      <c r="J1468" s="2" t="s">
        <v>792</v>
      </c>
      <c r="K1468" s="10">
        <v>1274</v>
      </c>
      <c r="L1468" s="10">
        <v>0</v>
      </c>
      <c r="M1468" s="10">
        <v>1274</v>
      </c>
      <c r="N1468" s="10">
        <v>0</v>
      </c>
      <c r="O1468" s="10">
        <f>Table1[[#This Row],[NET Amount]]-Table1[[#This Row],[Paid Amount]]</f>
        <v>1274</v>
      </c>
      <c r="P1468" s="2" t="s">
        <v>23</v>
      </c>
      <c r="Q1468" s="2" t="s">
        <v>54</v>
      </c>
      <c r="R1468" s="16">
        <f>(Table1[[#This Row],[NET Amount]]-Table1[[#This Row],[Total Outstanding Amount]])/Table1[[#This Row],[NET Amount]]</f>
        <v>0</v>
      </c>
      <c r="S1468" s="2" t="s">
        <v>97</v>
      </c>
    </row>
    <row r="1469" spans="1:19" x14ac:dyDescent="0.3">
      <c r="A1469" s="4">
        <v>1467</v>
      </c>
      <c r="B1469" s="2" t="s">
        <v>380</v>
      </c>
      <c r="C1469" s="3">
        <v>44846</v>
      </c>
      <c r="D1469" s="3" t="str">
        <f>TEXT(Table1[[#This Row],[Admission Date]],"MMMM")</f>
        <v>October</v>
      </c>
      <c r="E1469" s="3">
        <v>44846</v>
      </c>
      <c r="F1469" s="3">
        <v>44846</v>
      </c>
      <c r="G1469" s="2">
        <v>22026804</v>
      </c>
      <c r="H1469" s="2">
        <v>2235763</v>
      </c>
      <c r="I1469" s="2">
        <v>10013371548</v>
      </c>
      <c r="J1469" s="2" t="s">
        <v>482</v>
      </c>
      <c r="K1469" s="10">
        <v>1274</v>
      </c>
      <c r="L1469" s="10">
        <v>0</v>
      </c>
      <c r="M1469" s="10">
        <v>1274</v>
      </c>
      <c r="N1469" s="10">
        <v>0</v>
      </c>
      <c r="O1469" s="10">
        <f>Table1[[#This Row],[NET Amount]]-Table1[[#This Row],[Paid Amount]]</f>
        <v>1274</v>
      </c>
      <c r="P1469" s="2" t="s">
        <v>23</v>
      </c>
      <c r="Q1469" s="2" t="s">
        <v>54</v>
      </c>
      <c r="R1469" s="16">
        <f>(Table1[[#This Row],[NET Amount]]-Table1[[#This Row],[Total Outstanding Amount]])/Table1[[#This Row],[NET Amount]]</f>
        <v>0</v>
      </c>
      <c r="S1469" s="2" t="s">
        <v>97</v>
      </c>
    </row>
    <row r="1470" spans="1:19" x14ac:dyDescent="0.3">
      <c r="A1470" s="4">
        <v>1468</v>
      </c>
      <c r="B1470" s="2" t="s">
        <v>380</v>
      </c>
      <c r="C1470" s="3">
        <v>44853</v>
      </c>
      <c r="D1470" s="3" t="str">
        <f>TEXT(Table1[[#This Row],[Admission Date]],"MMMM")</f>
        <v>October</v>
      </c>
      <c r="E1470" s="3">
        <v>44853</v>
      </c>
      <c r="F1470" s="3">
        <v>44853</v>
      </c>
      <c r="G1470" s="2">
        <v>22027726</v>
      </c>
      <c r="H1470" s="2">
        <v>2236638</v>
      </c>
      <c r="I1470" s="2">
        <v>10013347178</v>
      </c>
      <c r="J1470" s="2" t="s">
        <v>371</v>
      </c>
      <c r="K1470" s="10">
        <v>1274</v>
      </c>
      <c r="L1470" s="10">
        <v>0</v>
      </c>
      <c r="M1470" s="10">
        <v>1274</v>
      </c>
      <c r="N1470" s="10">
        <v>0</v>
      </c>
      <c r="O1470" s="10">
        <f>Table1[[#This Row],[NET Amount]]-Table1[[#This Row],[Paid Amount]]</f>
        <v>1274</v>
      </c>
      <c r="P1470" s="2" t="s">
        <v>23</v>
      </c>
      <c r="Q1470" s="2" t="s">
        <v>54</v>
      </c>
      <c r="R1470" s="16">
        <f>(Table1[[#This Row],[NET Amount]]-Table1[[#This Row],[Total Outstanding Amount]])/Table1[[#This Row],[NET Amount]]</f>
        <v>0</v>
      </c>
      <c r="S1470" s="2" t="s">
        <v>97</v>
      </c>
    </row>
    <row r="1471" spans="1:19" x14ac:dyDescent="0.3">
      <c r="A1471" s="4">
        <v>1469</v>
      </c>
      <c r="B1471" s="2" t="s">
        <v>380</v>
      </c>
      <c r="C1471" s="3">
        <v>44856</v>
      </c>
      <c r="D1471" s="3" t="str">
        <f>TEXT(Table1[[#This Row],[Admission Date]],"MMMM")</f>
        <v>October</v>
      </c>
      <c r="E1471" s="3">
        <v>44856</v>
      </c>
      <c r="F1471" s="3">
        <v>44856</v>
      </c>
      <c r="G1471" s="2">
        <v>22028152</v>
      </c>
      <c r="H1471" s="2">
        <v>2237015</v>
      </c>
      <c r="I1471" s="2">
        <v>10013436995</v>
      </c>
      <c r="J1471" s="2" t="s">
        <v>794</v>
      </c>
      <c r="K1471" s="10">
        <v>1274</v>
      </c>
      <c r="L1471" s="10">
        <v>0</v>
      </c>
      <c r="M1471" s="10">
        <v>1274</v>
      </c>
      <c r="N1471" s="10">
        <v>0</v>
      </c>
      <c r="O1471" s="10">
        <f>Table1[[#This Row],[NET Amount]]-Table1[[#This Row],[Paid Amount]]</f>
        <v>1274</v>
      </c>
      <c r="P1471" s="2" t="s">
        <v>23</v>
      </c>
      <c r="Q1471" s="2" t="s">
        <v>54</v>
      </c>
      <c r="R1471" s="16">
        <f>(Table1[[#This Row],[NET Amount]]-Table1[[#This Row],[Total Outstanding Amount]])/Table1[[#This Row],[NET Amount]]</f>
        <v>0</v>
      </c>
      <c r="S1471" s="2" t="s">
        <v>97</v>
      </c>
    </row>
    <row r="1472" spans="1:19" x14ac:dyDescent="0.3">
      <c r="A1472" s="4">
        <v>1470</v>
      </c>
      <c r="B1472" s="2" t="s">
        <v>2263</v>
      </c>
      <c r="C1472" s="3">
        <v>44863</v>
      </c>
      <c r="D1472" s="3" t="str">
        <f>TEXT(Table1[[#This Row],[Admission Date]],"MMMM")</f>
        <v>October</v>
      </c>
      <c r="E1472" s="3">
        <v>44863</v>
      </c>
      <c r="F1472" s="3">
        <v>44863</v>
      </c>
      <c r="G1472" s="2">
        <v>22029007</v>
      </c>
      <c r="H1472" s="2">
        <v>2237932</v>
      </c>
      <c r="I1472" s="2">
        <v>1001711925</v>
      </c>
      <c r="J1472" s="2" t="s">
        <v>302</v>
      </c>
      <c r="K1472" s="10">
        <v>1274</v>
      </c>
      <c r="L1472" s="10">
        <v>0</v>
      </c>
      <c r="M1472" s="10">
        <v>1274</v>
      </c>
      <c r="N1472" s="10">
        <v>0</v>
      </c>
      <c r="O1472" s="10">
        <f>Table1[[#This Row],[NET Amount]]-Table1[[#This Row],[Paid Amount]]</f>
        <v>1274</v>
      </c>
      <c r="P1472" s="2" t="s">
        <v>23</v>
      </c>
      <c r="Q1472" s="2" t="s">
        <v>54</v>
      </c>
      <c r="R1472" s="16">
        <f>(Table1[[#This Row],[NET Amount]]-Table1[[#This Row],[Total Outstanding Amount]])/Table1[[#This Row],[NET Amount]]</f>
        <v>0</v>
      </c>
      <c r="S1472" s="2" t="s">
        <v>97</v>
      </c>
    </row>
    <row r="1473" spans="1:19" x14ac:dyDescent="0.3">
      <c r="A1473" s="4">
        <v>1471</v>
      </c>
      <c r="B1473" s="2" t="s">
        <v>380</v>
      </c>
      <c r="C1473" s="3">
        <v>44839</v>
      </c>
      <c r="D1473" s="3" t="str">
        <f>TEXT(Table1[[#This Row],[Admission Date]],"MMMM")</f>
        <v>October</v>
      </c>
      <c r="E1473" s="3">
        <v>44839</v>
      </c>
      <c r="F1473" s="3">
        <v>44839</v>
      </c>
      <c r="G1473" s="2">
        <v>22025787</v>
      </c>
      <c r="H1473" s="2">
        <v>2234783</v>
      </c>
      <c r="I1473" s="2">
        <v>10013507516</v>
      </c>
      <c r="J1473" s="2" t="s">
        <v>481</v>
      </c>
      <c r="K1473" s="10">
        <v>1274</v>
      </c>
      <c r="L1473" s="10">
        <v>0</v>
      </c>
      <c r="M1473" s="10">
        <v>1274</v>
      </c>
      <c r="N1473" s="10">
        <v>0</v>
      </c>
      <c r="O1473" s="10">
        <f>Table1[[#This Row],[NET Amount]]-Table1[[#This Row],[Paid Amount]]</f>
        <v>1274</v>
      </c>
      <c r="P1473" s="2" t="s">
        <v>23</v>
      </c>
      <c r="Q1473" s="2" t="s">
        <v>54</v>
      </c>
      <c r="R1473" s="16">
        <f>(Table1[[#This Row],[NET Amount]]-Table1[[#This Row],[Total Outstanding Amount]])/Table1[[#This Row],[NET Amount]]</f>
        <v>0</v>
      </c>
      <c r="S1473" s="2" t="s">
        <v>97</v>
      </c>
    </row>
    <row r="1474" spans="1:19" x14ac:dyDescent="0.3">
      <c r="A1474" s="4">
        <v>1472</v>
      </c>
      <c r="B1474" s="2" t="s">
        <v>380</v>
      </c>
      <c r="C1474" s="3">
        <v>44857</v>
      </c>
      <c r="D1474" s="3" t="str">
        <f>TEXT(Table1[[#This Row],[Admission Date]],"MMMM")</f>
        <v>October</v>
      </c>
      <c r="E1474" s="3">
        <v>44857</v>
      </c>
      <c r="F1474" s="3">
        <v>44857</v>
      </c>
      <c r="G1474" s="2">
        <v>22028407</v>
      </c>
      <c r="H1474" s="2">
        <v>2237194</v>
      </c>
      <c r="I1474" s="2">
        <v>10013413542</v>
      </c>
      <c r="J1474" s="2" t="s">
        <v>389</v>
      </c>
      <c r="K1474" s="10">
        <v>1274</v>
      </c>
      <c r="L1474" s="10">
        <v>0</v>
      </c>
      <c r="M1474" s="10">
        <v>1274</v>
      </c>
      <c r="N1474" s="10">
        <v>0</v>
      </c>
      <c r="O1474" s="10">
        <f>Table1[[#This Row],[NET Amount]]-Table1[[#This Row],[Paid Amount]]</f>
        <v>1274</v>
      </c>
      <c r="P1474" s="2" t="s">
        <v>23</v>
      </c>
      <c r="Q1474" s="2" t="s">
        <v>54</v>
      </c>
      <c r="R1474" s="16">
        <f>(Table1[[#This Row],[NET Amount]]-Table1[[#This Row],[Total Outstanding Amount]])/Table1[[#This Row],[NET Amount]]</f>
        <v>0</v>
      </c>
      <c r="S1474" s="2" t="s">
        <v>97</v>
      </c>
    </row>
    <row r="1475" spans="1:19" x14ac:dyDescent="0.3">
      <c r="A1475" s="4">
        <v>1473</v>
      </c>
      <c r="B1475" s="2" t="s">
        <v>380</v>
      </c>
      <c r="C1475" s="3">
        <v>44857</v>
      </c>
      <c r="D1475" s="3" t="str">
        <f>TEXT(Table1[[#This Row],[Admission Date]],"MMMM")</f>
        <v>October</v>
      </c>
      <c r="E1475" s="3">
        <v>44857</v>
      </c>
      <c r="F1475" s="3">
        <v>44857</v>
      </c>
      <c r="G1475" s="2">
        <v>22028406</v>
      </c>
      <c r="H1475" s="2">
        <v>2237193</v>
      </c>
      <c r="I1475" s="2">
        <v>10013292990</v>
      </c>
      <c r="J1475" s="2" t="s">
        <v>779</v>
      </c>
      <c r="K1475" s="10">
        <v>1274</v>
      </c>
      <c r="L1475" s="10">
        <v>0</v>
      </c>
      <c r="M1475" s="10">
        <v>1274</v>
      </c>
      <c r="N1475" s="10">
        <v>0</v>
      </c>
      <c r="O1475" s="10">
        <f>Table1[[#This Row],[NET Amount]]-Table1[[#This Row],[Paid Amount]]</f>
        <v>1274</v>
      </c>
      <c r="P1475" s="2" t="s">
        <v>23</v>
      </c>
      <c r="Q1475" s="2" t="s">
        <v>54</v>
      </c>
      <c r="R1475" s="16">
        <f>(Table1[[#This Row],[NET Amount]]-Table1[[#This Row],[Total Outstanding Amount]])/Table1[[#This Row],[NET Amount]]</f>
        <v>0</v>
      </c>
      <c r="S1475" s="2" t="s">
        <v>97</v>
      </c>
    </row>
    <row r="1476" spans="1:19" x14ac:dyDescent="0.3">
      <c r="A1476" s="4">
        <v>1474</v>
      </c>
      <c r="B1476" s="2" t="s">
        <v>380</v>
      </c>
      <c r="C1476" s="3">
        <v>44855</v>
      </c>
      <c r="D1476" s="3" t="str">
        <f>TEXT(Table1[[#This Row],[Admission Date]],"MMMM")</f>
        <v>October</v>
      </c>
      <c r="E1476" s="3">
        <v>44855</v>
      </c>
      <c r="F1476" s="3">
        <v>44855</v>
      </c>
      <c r="G1476" s="2">
        <v>22028095</v>
      </c>
      <c r="H1476" s="2">
        <v>2236954</v>
      </c>
      <c r="I1476" s="2">
        <v>10013449380</v>
      </c>
      <c r="J1476" s="2" t="s">
        <v>453</v>
      </c>
      <c r="K1476" s="10">
        <v>1274</v>
      </c>
      <c r="L1476" s="10">
        <v>0</v>
      </c>
      <c r="M1476" s="10">
        <v>1274</v>
      </c>
      <c r="N1476" s="10">
        <v>0</v>
      </c>
      <c r="O1476" s="10">
        <f>Table1[[#This Row],[NET Amount]]-Table1[[#This Row],[Paid Amount]]</f>
        <v>1274</v>
      </c>
      <c r="P1476" s="2" t="s">
        <v>23</v>
      </c>
      <c r="Q1476" s="2" t="s">
        <v>54</v>
      </c>
      <c r="R1476" s="16">
        <f>(Table1[[#This Row],[NET Amount]]-Table1[[#This Row],[Total Outstanding Amount]])/Table1[[#This Row],[NET Amount]]</f>
        <v>0</v>
      </c>
      <c r="S1476" s="2" t="s">
        <v>97</v>
      </c>
    </row>
    <row r="1477" spans="1:19" x14ac:dyDescent="0.3">
      <c r="A1477" s="4">
        <v>1475</v>
      </c>
      <c r="B1477" s="2" t="s">
        <v>75</v>
      </c>
      <c r="C1477" s="3">
        <v>44865</v>
      </c>
      <c r="D1477" s="3" t="str">
        <f>TEXT(Table1[[#This Row],[Admission Date]],"MMMM")</f>
        <v>October</v>
      </c>
      <c r="E1477" s="3">
        <v>44865</v>
      </c>
      <c r="F1477" s="3">
        <v>44865</v>
      </c>
      <c r="G1477" s="2">
        <v>22029387</v>
      </c>
      <c r="H1477" s="2">
        <v>2238243</v>
      </c>
      <c r="I1477" s="2">
        <v>10013442733</v>
      </c>
      <c r="J1477" s="2" t="s">
        <v>109</v>
      </c>
      <c r="K1477" s="10">
        <v>1610</v>
      </c>
      <c r="L1477" s="10">
        <v>0</v>
      </c>
      <c r="M1477" s="10">
        <v>1610</v>
      </c>
      <c r="N1477" s="10">
        <v>0</v>
      </c>
      <c r="O1477" s="10">
        <f>Table1[[#This Row],[NET Amount]]-Table1[[#This Row],[Paid Amount]]</f>
        <v>1610</v>
      </c>
      <c r="P1477" s="2" t="s">
        <v>23</v>
      </c>
      <c r="Q1477" s="2" t="s">
        <v>54</v>
      </c>
      <c r="R1477" s="16">
        <f>(Table1[[#This Row],[NET Amount]]-Table1[[#This Row],[Total Outstanding Amount]])/Table1[[#This Row],[NET Amount]]</f>
        <v>0</v>
      </c>
      <c r="S1477" s="2" t="s">
        <v>97</v>
      </c>
    </row>
    <row r="1478" spans="1:19" x14ac:dyDescent="0.3">
      <c r="A1478" s="4">
        <v>1476</v>
      </c>
      <c r="B1478" s="2" t="s">
        <v>972</v>
      </c>
      <c r="C1478" s="3">
        <v>44829</v>
      </c>
      <c r="D1478" s="3" t="str">
        <f>TEXT(Table1[[#This Row],[Admission Date]],"MMMM")</f>
        <v>September</v>
      </c>
      <c r="E1478" s="3">
        <v>44835</v>
      </c>
      <c r="F1478" s="3">
        <v>44835</v>
      </c>
      <c r="G1478" s="2">
        <v>22025220</v>
      </c>
      <c r="H1478" s="2">
        <v>2233422</v>
      </c>
      <c r="I1478" s="2">
        <v>1001800804</v>
      </c>
      <c r="J1478" s="2" t="s">
        <v>1074</v>
      </c>
      <c r="K1478" s="10">
        <v>69251</v>
      </c>
      <c r="L1478" s="10">
        <v>10938</v>
      </c>
      <c r="M1478" s="10">
        <v>58313</v>
      </c>
      <c r="N1478" s="10">
        <v>0</v>
      </c>
      <c r="O1478" s="10">
        <f>Table1[[#This Row],[NET Amount]]-Table1[[#This Row],[Paid Amount]]</f>
        <v>58313</v>
      </c>
      <c r="P1478" s="2" t="s">
        <v>23</v>
      </c>
      <c r="Q1478" s="2" t="s">
        <v>24</v>
      </c>
      <c r="R1478" s="16">
        <f>(Table1[[#This Row],[NET Amount]]-Table1[[#This Row],[Total Outstanding Amount]])/Table1[[#This Row],[NET Amount]]</f>
        <v>0</v>
      </c>
      <c r="S1478" s="2" t="s">
        <v>20</v>
      </c>
    </row>
    <row r="1479" spans="1:19" x14ac:dyDescent="0.3">
      <c r="A1479" s="4">
        <v>1477</v>
      </c>
      <c r="B1479" s="2" t="s">
        <v>75</v>
      </c>
      <c r="C1479" s="3">
        <v>44848</v>
      </c>
      <c r="D1479" s="3" t="str">
        <f>TEXT(Table1[[#This Row],[Admission Date]],"MMMM")</f>
        <v>October</v>
      </c>
      <c r="E1479" s="3">
        <v>44848</v>
      </c>
      <c r="F1479" s="3">
        <v>44848</v>
      </c>
      <c r="G1479" s="2">
        <v>22027114</v>
      </c>
      <c r="H1479" s="2">
        <v>2236034</v>
      </c>
      <c r="I1479" s="2">
        <v>10013453991</v>
      </c>
      <c r="J1479" s="2" t="s">
        <v>465</v>
      </c>
      <c r="K1479" s="10">
        <v>1610</v>
      </c>
      <c r="L1479" s="10">
        <v>0</v>
      </c>
      <c r="M1479" s="10">
        <v>1610</v>
      </c>
      <c r="N1479" s="10">
        <v>0</v>
      </c>
      <c r="O1479" s="10">
        <f>Table1[[#This Row],[NET Amount]]-Table1[[#This Row],[Paid Amount]]</f>
        <v>1610</v>
      </c>
      <c r="P1479" s="2" t="s">
        <v>23</v>
      </c>
      <c r="Q1479" s="2" t="s">
        <v>54</v>
      </c>
      <c r="R1479" s="16">
        <f>(Table1[[#This Row],[NET Amount]]-Table1[[#This Row],[Total Outstanding Amount]])/Table1[[#This Row],[NET Amount]]</f>
        <v>0</v>
      </c>
      <c r="S1479" s="2" t="s">
        <v>97</v>
      </c>
    </row>
    <row r="1480" spans="1:19" x14ac:dyDescent="0.3">
      <c r="A1480" s="4">
        <v>1478</v>
      </c>
      <c r="B1480" s="2" t="s">
        <v>380</v>
      </c>
      <c r="C1480" s="3">
        <v>44852</v>
      </c>
      <c r="D1480" s="3" t="str">
        <f>TEXT(Table1[[#This Row],[Admission Date]],"MMMM")</f>
        <v>October</v>
      </c>
      <c r="E1480" s="3">
        <v>44852</v>
      </c>
      <c r="F1480" s="3">
        <v>44852</v>
      </c>
      <c r="G1480" s="2">
        <v>22027601</v>
      </c>
      <c r="H1480" s="2">
        <v>2236509</v>
      </c>
      <c r="I1480" s="2">
        <v>10013457170</v>
      </c>
      <c r="J1480" s="2" t="s">
        <v>1075</v>
      </c>
      <c r="K1480" s="10">
        <v>1274</v>
      </c>
      <c r="L1480" s="10">
        <v>0</v>
      </c>
      <c r="M1480" s="10">
        <v>1274</v>
      </c>
      <c r="N1480" s="10">
        <v>0</v>
      </c>
      <c r="O1480" s="10">
        <f>Table1[[#This Row],[NET Amount]]-Table1[[#This Row],[Paid Amount]]</f>
        <v>1274</v>
      </c>
      <c r="P1480" s="2" t="s">
        <v>23</v>
      </c>
      <c r="Q1480" s="2" t="s">
        <v>54</v>
      </c>
      <c r="R1480" s="16">
        <f>(Table1[[#This Row],[NET Amount]]-Table1[[#This Row],[Total Outstanding Amount]])/Table1[[#This Row],[NET Amount]]</f>
        <v>0</v>
      </c>
      <c r="S1480" s="2" t="s">
        <v>97</v>
      </c>
    </row>
    <row r="1481" spans="1:19" x14ac:dyDescent="0.3">
      <c r="A1481" s="4">
        <v>1479</v>
      </c>
      <c r="B1481" s="2" t="s">
        <v>2258</v>
      </c>
      <c r="C1481" s="3">
        <v>44859</v>
      </c>
      <c r="D1481" s="3" t="str">
        <f>TEXT(Table1[[#This Row],[Admission Date]],"MMMM")</f>
        <v>October</v>
      </c>
      <c r="E1481" s="3">
        <v>44859</v>
      </c>
      <c r="F1481" s="3">
        <v>44859</v>
      </c>
      <c r="G1481" s="2">
        <v>22028482</v>
      </c>
      <c r="H1481" s="2">
        <v>2237275</v>
      </c>
      <c r="I1481" s="2">
        <v>1001763340</v>
      </c>
      <c r="J1481" s="2" t="s">
        <v>121</v>
      </c>
      <c r="K1481" s="10">
        <v>1610</v>
      </c>
      <c r="L1481" s="10">
        <v>0</v>
      </c>
      <c r="M1481" s="10">
        <v>1610</v>
      </c>
      <c r="N1481" s="10">
        <v>0</v>
      </c>
      <c r="O1481" s="10">
        <f>Table1[[#This Row],[NET Amount]]-Table1[[#This Row],[Paid Amount]]</f>
        <v>1610</v>
      </c>
      <c r="P1481" s="2" t="s">
        <v>23</v>
      </c>
      <c r="Q1481" s="2" t="s">
        <v>54</v>
      </c>
      <c r="R1481" s="16">
        <f>(Table1[[#This Row],[NET Amount]]-Table1[[#This Row],[Total Outstanding Amount]])/Table1[[#This Row],[NET Amount]]</f>
        <v>0</v>
      </c>
      <c r="S1481" s="2" t="s">
        <v>97</v>
      </c>
    </row>
    <row r="1482" spans="1:19" x14ac:dyDescent="0.3">
      <c r="A1482" s="4">
        <v>1480</v>
      </c>
      <c r="B1482" s="2" t="s">
        <v>380</v>
      </c>
      <c r="C1482" s="3">
        <v>44848</v>
      </c>
      <c r="D1482" s="3" t="str">
        <f>TEXT(Table1[[#This Row],[Admission Date]],"MMMM")</f>
        <v>October</v>
      </c>
      <c r="E1482" s="3">
        <v>44848</v>
      </c>
      <c r="F1482" s="3">
        <v>44848</v>
      </c>
      <c r="G1482" s="2">
        <v>22027094</v>
      </c>
      <c r="H1482" s="2">
        <v>2236004</v>
      </c>
      <c r="I1482" s="2">
        <v>10013449380</v>
      </c>
      <c r="J1482" s="2" t="s">
        <v>453</v>
      </c>
      <c r="K1482" s="10">
        <v>1274</v>
      </c>
      <c r="L1482" s="10">
        <v>0</v>
      </c>
      <c r="M1482" s="10">
        <v>1274</v>
      </c>
      <c r="N1482" s="10">
        <v>0</v>
      </c>
      <c r="O1482" s="10">
        <f>Table1[[#This Row],[NET Amount]]-Table1[[#This Row],[Paid Amount]]</f>
        <v>1274</v>
      </c>
      <c r="P1482" s="2" t="s">
        <v>23</v>
      </c>
      <c r="Q1482" s="2" t="s">
        <v>54</v>
      </c>
      <c r="R1482" s="16">
        <f>(Table1[[#This Row],[NET Amount]]-Table1[[#This Row],[Total Outstanding Amount]])/Table1[[#This Row],[NET Amount]]</f>
        <v>0</v>
      </c>
      <c r="S1482" s="2" t="s">
        <v>97</v>
      </c>
    </row>
    <row r="1483" spans="1:19" x14ac:dyDescent="0.3">
      <c r="A1483" s="4">
        <v>1481</v>
      </c>
      <c r="B1483" s="2" t="s">
        <v>380</v>
      </c>
      <c r="C1483" s="3">
        <v>44840</v>
      </c>
      <c r="D1483" s="3" t="str">
        <f>TEXT(Table1[[#This Row],[Admission Date]],"MMMM")</f>
        <v>October</v>
      </c>
      <c r="E1483" s="3">
        <v>44840</v>
      </c>
      <c r="F1483" s="3">
        <v>44840</v>
      </c>
      <c r="G1483" s="2">
        <v>22025905</v>
      </c>
      <c r="H1483" s="2">
        <v>2234918</v>
      </c>
      <c r="I1483" s="2">
        <v>10013513950</v>
      </c>
      <c r="J1483" s="2" t="s">
        <v>491</v>
      </c>
      <c r="K1483" s="10">
        <v>1274</v>
      </c>
      <c r="L1483" s="10">
        <v>0</v>
      </c>
      <c r="M1483" s="10">
        <v>1274</v>
      </c>
      <c r="N1483" s="10">
        <v>0</v>
      </c>
      <c r="O1483" s="10">
        <f>Table1[[#This Row],[NET Amount]]-Table1[[#This Row],[Paid Amount]]</f>
        <v>1274</v>
      </c>
      <c r="P1483" s="2" t="s">
        <v>23</v>
      </c>
      <c r="Q1483" s="2" t="s">
        <v>54</v>
      </c>
      <c r="R1483" s="16">
        <f>(Table1[[#This Row],[NET Amount]]-Table1[[#This Row],[Total Outstanding Amount]])/Table1[[#This Row],[NET Amount]]</f>
        <v>0</v>
      </c>
      <c r="S1483" s="2" t="s">
        <v>97</v>
      </c>
    </row>
    <row r="1484" spans="1:19" x14ac:dyDescent="0.3">
      <c r="A1484" s="4">
        <v>1482</v>
      </c>
      <c r="B1484" s="2" t="s">
        <v>168</v>
      </c>
      <c r="C1484" s="3">
        <v>44837</v>
      </c>
      <c r="D1484" s="3" t="str">
        <f>TEXT(Table1[[#This Row],[Admission Date]],"MMMM")</f>
        <v>October</v>
      </c>
      <c r="E1484" s="3">
        <v>44837</v>
      </c>
      <c r="F1484" s="3">
        <v>44837</v>
      </c>
      <c r="G1484" s="2">
        <v>22025401</v>
      </c>
      <c r="H1484" s="2">
        <v>2234393</v>
      </c>
      <c r="I1484" s="2">
        <v>1001468779</v>
      </c>
      <c r="J1484" s="2" t="s">
        <v>387</v>
      </c>
      <c r="K1484" s="10">
        <v>2200</v>
      </c>
      <c r="L1484" s="10">
        <v>0</v>
      </c>
      <c r="M1484" s="10">
        <v>2200</v>
      </c>
      <c r="N1484" s="10">
        <v>0</v>
      </c>
      <c r="O1484" s="10">
        <f>Table1[[#This Row],[NET Amount]]-Table1[[#This Row],[Paid Amount]]</f>
        <v>2200</v>
      </c>
      <c r="P1484" s="2" t="s">
        <v>23</v>
      </c>
      <c r="Q1484" s="2" t="s">
        <v>147</v>
      </c>
      <c r="R1484" s="16">
        <f>(Table1[[#This Row],[NET Amount]]-Table1[[#This Row],[Total Outstanding Amount]])/Table1[[#This Row],[NET Amount]]</f>
        <v>0</v>
      </c>
      <c r="S1484" s="2" t="s">
        <v>97</v>
      </c>
    </row>
    <row r="1485" spans="1:19" x14ac:dyDescent="0.3">
      <c r="A1485" s="4">
        <v>1483</v>
      </c>
      <c r="B1485" s="2" t="s">
        <v>407</v>
      </c>
      <c r="C1485" s="3">
        <v>44849</v>
      </c>
      <c r="D1485" s="3" t="str">
        <f>TEXT(Table1[[#This Row],[Admission Date]],"MMMM")</f>
        <v>October</v>
      </c>
      <c r="E1485" s="3">
        <v>44858</v>
      </c>
      <c r="F1485" s="3">
        <v>44858</v>
      </c>
      <c r="G1485" s="2">
        <v>22028457</v>
      </c>
      <c r="H1485" s="2">
        <v>2236120</v>
      </c>
      <c r="I1485" s="2">
        <v>1001156987</v>
      </c>
      <c r="J1485" s="2" t="s">
        <v>1076</v>
      </c>
      <c r="K1485" s="10">
        <v>144722</v>
      </c>
      <c r="L1485" s="10">
        <v>0</v>
      </c>
      <c r="M1485" s="10">
        <v>144722</v>
      </c>
      <c r="N1485" s="10">
        <v>0</v>
      </c>
      <c r="O1485" s="10">
        <f>Table1[[#This Row],[NET Amount]]-Table1[[#This Row],[Paid Amount]]</f>
        <v>144722</v>
      </c>
      <c r="P1485" s="2" t="s">
        <v>23</v>
      </c>
      <c r="Q1485" s="2" t="s">
        <v>24</v>
      </c>
      <c r="R1485" s="16">
        <f>(Table1[[#This Row],[NET Amount]]-Table1[[#This Row],[Total Outstanding Amount]])/Table1[[#This Row],[NET Amount]]</f>
        <v>0</v>
      </c>
      <c r="S1485" s="2" t="s">
        <v>20</v>
      </c>
    </row>
    <row r="1486" spans="1:19" x14ac:dyDescent="0.3">
      <c r="A1486" s="4">
        <v>1484</v>
      </c>
      <c r="B1486" s="2" t="s">
        <v>2258</v>
      </c>
      <c r="C1486" s="3">
        <v>44837</v>
      </c>
      <c r="D1486" s="3" t="str">
        <f>TEXT(Table1[[#This Row],[Admission Date]],"MMMM")</f>
        <v>October</v>
      </c>
      <c r="E1486" s="3">
        <v>44839</v>
      </c>
      <c r="F1486" s="3">
        <v>44839</v>
      </c>
      <c r="G1486" s="2">
        <v>22025697</v>
      </c>
      <c r="H1486" s="2">
        <v>2234407</v>
      </c>
      <c r="I1486" s="2">
        <v>1001776192</v>
      </c>
      <c r="J1486" s="2" t="s">
        <v>312</v>
      </c>
      <c r="K1486" s="10">
        <v>19297</v>
      </c>
      <c r="L1486" s="10">
        <v>0</v>
      </c>
      <c r="M1486" s="10">
        <v>19297</v>
      </c>
      <c r="N1486" s="10">
        <v>0</v>
      </c>
      <c r="O1486" s="10">
        <f>Table1[[#This Row],[NET Amount]]-Table1[[#This Row],[Paid Amount]]</f>
        <v>19297</v>
      </c>
      <c r="P1486" s="2" t="s">
        <v>23</v>
      </c>
      <c r="Q1486" s="2" t="s">
        <v>19</v>
      </c>
      <c r="R1486" s="16">
        <f>(Table1[[#This Row],[NET Amount]]-Table1[[#This Row],[Total Outstanding Amount]])/Table1[[#This Row],[NET Amount]]</f>
        <v>0</v>
      </c>
      <c r="S1486" s="2" t="s">
        <v>77</v>
      </c>
    </row>
    <row r="1487" spans="1:19" x14ac:dyDescent="0.3">
      <c r="A1487" s="4">
        <v>1485</v>
      </c>
      <c r="B1487" s="2" t="s">
        <v>61</v>
      </c>
      <c r="C1487" s="3">
        <v>44865</v>
      </c>
      <c r="D1487" s="3" t="str">
        <f>TEXT(Table1[[#This Row],[Admission Date]],"MMMM")</f>
        <v>October</v>
      </c>
      <c r="E1487" s="3">
        <v>44865</v>
      </c>
      <c r="F1487" s="3">
        <v>44865</v>
      </c>
      <c r="G1487" s="2">
        <v>22029273</v>
      </c>
      <c r="H1487" s="2">
        <v>2238155</v>
      </c>
      <c r="I1487" s="2">
        <v>10013497993</v>
      </c>
      <c r="J1487" s="2" t="s">
        <v>1077</v>
      </c>
      <c r="K1487" s="10">
        <v>2200</v>
      </c>
      <c r="L1487" s="10">
        <v>0</v>
      </c>
      <c r="M1487" s="10">
        <v>2200</v>
      </c>
      <c r="N1487" s="10">
        <v>0</v>
      </c>
      <c r="O1487" s="10">
        <f>Table1[[#This Row],[NET Amount]]-Table1[[#This Row],[Paid Amount]]</f>
        <v>2200</v>
      </c>
      <c r="P1487" s="2" t="s">
        <v>23</v>
      </c>
      <c r="Q1487" s="2" t="s">
        <v>147</v>
      </c>
      <c r="R1487" s="16">
        <f>(Table1[[#This Row],[NET Amount]]-Table1[[#This Row],[Total Outstanding Amount]])/Table1[[#This Row],[NET Amount]]</f>
        <v>0</v>
      </c>
      <c r="S1487" s="2" t="s">
        <v>97</v>
      </c>
    </row>
    <row r="1488" spans="1:19" x14ac:dyDescent="0.3">
      <c r="A1488" s="4">
        <v>1486</v>
      </c>
      <c r="B1488" s="2" t="s">
        <v>2263</v>
      </c>
      <c r="C1488" s="3">
        <v>44851</v>
      </c>
      <c r="D1488" s="3" t="str">
        <f>TEXT(Table1[[#This Row],[Admission Date]],"MMMM")</f>
        <v>October</v>
      </c>
      <c r="E1488" s="3">
        <v>44851</v>
      </c>
      <c r="F1488" s="3">
        <v>44851</v>
      </c>
      <c r="G1488" s="2">
        <v>22027463</v>
      </c>
      <c r="H1488" s="2">
        <v>2236364</v>
      </c>
      <c r="I1488" s="2">
        <v>1001648223</v>
      </c>
      <c r="J1488" s="2" t="s">
        <v>458</v>
      </c>
      <c r="K1488" s="10">
        <v>1274</v>
      </c>
      <c r="L1488" s="10">
        <v>0</v>
      </c>
      <c r="M1488" s="10">
        <v>1274</v>
      </c>
      <c r="N1488" s="10">
        <v>0</v>
      </c>
      <c r="O1488" s="10">
        <f>Table1[[#This Row],[NET Amount]]-Table1[[#This Row],[Paid Amount]]</f>
        <v>1274</v>
      </c>
      <c r="P1488" s="2" t="s">
        <v>23</v>
      </c>
      <c r="Q1488" s="2" t="s">
        <v>54</v>
      </c>
      <c r="R1488" s="16">
        <f>(Table1[[#This Row],[NET Amount]]-Table1[[#This Row],[Total Outstanding Amount]])/Table1[[#This Row],[NET Amount]]</f>
        <v>0</v>
      </c>
      <c r="S1488" s="2" t="s">
        <v>97</v>
      </c>
    </row>
    <row r="1489" spans="1:19" x14ac:dyDescent="0.3">
      <c r="A1489" s="4">
        <v>1487</v>
      </c>
      <c r="B1489" s="2" t="s">
        <v>259</v>
      </c>
      <c r="C1489" s="3">
        <v>44854</v>
      </c>
      <c r="D1489" s="3" t="str">
        <f>TEXT(Table1[[#This Row],[Admission Date]],"MMMM")</f>
        <v>October</v>
      </c>
      <c r="E1489" s="3">
        <v>44858</v>
      </c>
      <c r="F1489" s="3">
        <v>44858</v>
      </c>
      <c r="G1489" s="2">
        <v>22028439</v>
      </c>
      <c r="H1489" s="2">
        <v>2236823</v>
      </c>
      <c r="I1489" s="2">
        <v>1000914269</v>
      </c>
      <c r="J1489" s="2" t="s">
        <v>1078</v>
      </c>
      <c r="K1489" s="10">
        <v>60047</v>
      </c>
      <c r="L1489" s="10">
        <v>6990</v>
      </c>
      <c r="M1489" s="10">
        <v>53057</v>
      </c>
      <c r="N1489" s="10">
        <v>0</v>
      </c>
      <c r="O1489" s="10">
        <f>Table1[[#This Row],[NET Amount]]-Table1[[#This Row],[Paid Amount]]</f>
        <v>53057</v>
      </c>
      <c r="P1489" s="2" t="s">
        <v>23</v>
      </c>
      <c r="Q1489" s="2" t="s">
        <v>19</v>
      </c>
      <c r="R1489" s="16">
        <f>(Table1[[#This Row],[NET Amount]]-Table1[[#This Row],[Total Outstanding Amount]])/Table1[[#This Row],[NET Amount]]</f>
        <v>0</v>
      </c>
      <c r="S1489" s="2" t="s">
        <v>20</v>
      </c>
    </row>
    <row r="1490" spans="1:19" x14ac:dyDescent="0.3">
      <c r="A1490" s="4">
        <v>1488</v>
      </c>
      <c r="B1490" s="2" t="s">
        <v>25</v>
      </c>
      <c r="C1490" s="3">
        <v>44842</v>
      </c>
      <c r="D1490" s="3" t="str">
        <f>TEXT(Table1[[#This Row],[Admission Date]],"MMMM")</f>
        <v>October</v>
      </c>
      <c r="E1490" s="3">
        <v>44846</v>
      </c>
      <c r="F1490" s="3">
        <v>44846</v>
      </c>
      <c r="G1490" s="2">
        <v>22026685</v>
      </c>
      <c r="H1490" s="2">
        <v>2235116</v>
      </c>
      <c r="I1490" s="2">
        <v>10013542114</v>
      </c>
      <c r="J1490" s="2" t="s">
        <v>1079</v>
      </c>
      <c r="K1490" s="10">
        <v>64915</v>
      </c>
      <c r="L1490" s="10">
        <v>8078</v>
      </c>
      <c r="M1490" s="10">
        <v>56837</v>
      </c>
      <c r="N1490" s="10">
        <v>0</v>
      </c>
      <c r="O1490" s="10">
        <f>Table1[[#This Row],[NET Amount]]-Table1[[#This Row],[Paid Amount]]</f>
        <v>56837</v>
      </c>
      <c r="P1490" s="2" t="s">
        <v>23</v>
      </c>
      <c r="Q1490" s="2" t="s">
        <v>24</v>
      </c>
      <c r="R1490" s="16">
        <f>(Table1[[#This Row],[NET Amount]]-Table1[[#This Row],[Total Outstanding Amount]])/Table1[[#This Row],[NET Amount]]</f>
        <v>0</v>
      </c>
      <c r="S1490" s="2" t="s">
        <v>37</v>
      </c>
    </row>
    <row r="1491" spans="1:19" x14ac:dyDescent="0.3">
      <c r="A1491" s="4">
        <v>1489</v>
      </c>
      <c r="B1491" s="2" t="s">
        <v>45</v>
      </c>
      <c r="C1491" s="3">
        <v>44855</v>
      </c>
      <c r="D1491" s="3" t="str">
        <f>TEXT(Table1[[#This Row],[Admission Date]],"MMMM")</f>
        <v>October</v>
      </c>
      <c r="E1491" s="3">
        <v>44855</v>
      </c>
      <c r="F1491" s="3">
        <v>44855</v>
      </c>
      <c r="G1491" s="2">
        <v>22028002</v>
      </c>
      <c r="H1491" s="2">
        <v>2236885</v>
      </c>
      <c r="I1491" s="2">
        <v>1001020879</v>
      </c>
      <c r="J1491" s="2" t="s">
        <v>462</v>
      </c>
      <c r="K1491" s="10">
        <v>2200</v>
      </c>
      <c r="L1491" s="10">
        <v>0</v>
      </c>
      <c r="M1491" s="10">
        <v>2200</v>
      </c>
      <c r="N1491" s="10">
        <v>0</v>
      </c>
      <c r="O1491" s="10">
        <f>Table1[[#This Row],[NET Amount]]-Table1[[#This Row],[Paid Amount]]</f>
        <v>2200</v>
      </c>
      <c r="P1491" s="2" t="s">
        <v>23</v>
      </c>
      <c r="Q1491" s="2" t="s">
        <v>147</v>
      </c>
      <c r="R1491" s="16">
        <f>(Table1[[#This Row],[NET Amount]]-Table1[[#This Row],[Total Outstanding Amount]])/Table1[[#This Row],[NET Amount]]</f>
        <v>0</v>
      </c>
      <c r="S1491" s="2" t="s">
        <v>97</v>
      </c>
    </row>
    <row r="1492" spans="1:19" x14ac:dyDescent="0.3">
      <c r="A1492" s="4">
        <v>1490</v>
      </c>
      <c r="B1492" s="2" t="s">
        <v>380</v>
      </c>
      <c r="C1492" s="3">
        <v>44856</v>
      </c>
      <c r="D1492" s="3" t="str">
        <f>TEXT(Table1[[#This Row],[Admission Date]],"MMMM")</f>
        <v>October</v>
      </c>
      <c r="E1492" s="3">
        <v>44856</v>
      </c>
      <c r="F1492" s="3">
        <v>44856</v>
      </c>
      <c r="G1492" s="2">
        <v>22028269</v>
      </c>
      <c r="H1492" s="2">
        <v>2237070</v>
      </c>
      <c r="I1492" s="2">
        <v>10013385641</v>
      </c>
      <c r="J1492" s="2" t="s">
        <v>799</v>
      </c>
      <c r="K1492" s="10">
        <v>1274</v>
      </c>
      <c r="L1492" s="10">
        <v>0</v>
      </c>
      <c r="M1492" s="10">
        <v>1274</v>
      </c>
      <c r="N1492" s="10">
        <v>0</v>
      </c>
      <c r="O1492" s="10">
        <f>Table1[[#This Row],[NET Amount]]-Table1[[#This Row],[Paid Amount]]</f>
        <v>1274</v>
      </c>
      <c r="P1492" s="2" t="s">
        <v>23</v>
      </c>
      <c r="Q1492" s="2" t="s">
        <v>54</v>
      </c>
      <c r="R1492" s="16">
        <f>(Table1[[#This Row],[NET Amount]]-Table1[[#This Row],[Total Outstanding Amount]])/Table1[[#This Row],[NET Amount]]</f>
        <v>0</v>
      </c>
      <c r="S1492" s="2" t="s">
        <v>97</v>
      </c>
    </row>
    <row r="1493" spans="1:19" x14ac:dyDescent="0.3">
      <c r="A1493" s="4">
        <v>1491</v>
      </c>
      <c r="B1493" s="2" t="s">
        <v>380</v>
      </c>
      <c r="C1493" s="3">
        <v>44846</v>
      </c>
      <c r="D1493" s="3" t="str">
        <f>TEXT(Table1[[#This Row],[Admission Date]],"MMMM")</f>
        <v>October</v>
      </c>
      <c r="E1493" s="3">
        <v>44846</v>
      </c>
      <c r="F1493" s="3">
        <v>44846</v>
      </c>
      <c r="G1493" s="2">
        <v>22026789</v>
      </c>
      <c r="H1493" s="2">
        <v>2235747</v>
      </c>
      <c r="I1493" s="2">
        <v>1001761745</v>
      </c>
      <c r="J1493" s="2" t="s">
        <v>455</v>
      </c>
      <c r="K1493" s="10">
        <v>1274</v>
      </c>
      <c r="L1493" s="10">
        <v>0</v>
      </c>
      <c r="M1493" s="10">
        <v>1274</v>
      </c>
      <c r="N1493" s="10">
        <v>0</v>
      </c>
      <c r="O1493" s="10">
        <f>Table1[[#This Row],[NET Amount]]-Table1[[#This Row],[Paid Amount]]</f>
        <v>1274</v>
      </c>
      <c r="P1493" s="2" t="s">
        <v>23</v>
      </c>
      <c r="Q1493" s="2" t="s">
        <v>54</v>
      </c>
      <c r="R1493" s="16">
        <f>(Table1[[#This Row],[NET Amount]]-Table1[[#This Row],[Total Outstanding Amount]])/Table1[[#This Row],[NET Amount]]</f>
        <v>0</v>
      </c>
      <c r="S1493" s="2" t="s">
        <v>97</v>
      </c>
    </row>
    <row r="1494" spans="1:19" x14ac:dyDescent="0.3">
      <c r="A1494" s="4">
        <v>1492</v>
      </c>
      <c r="B1494" s="2" t="s">
        <v>139</v>
      </c>
      <c r="C1494" s="3">
        <v>44847</v>
      </c>
      <c r="D1494" s="3" t="str">
        <f>TEXT(Table1[[#This Row],[Admission Date]],"MMMM")</f>
        <v>October</v>
      </c>
      <c r="E1494" s="3">
        <v>44847</v>
      </c>
      <c r="F1494" s="3">
        <v>44847</v>
      </c>
      <c r="G1494" s="2">
        <v>22026900</v>
      </c>
      <c r="H1494" s="2">
        <v>2235834</v>
      </c>
      <c r="I1494" s="2">
        <v>1000947591</v>
      </c>
      <c r="J1494" s="2" t="s">
        <v>146</v>
      </c>
      <c r="K1494" s="10">
        <v>2200</v>
      </c>
      <c r="L1494" s="10">
        <v>0</v>
      </c>
      <c r="M1494" s="10">
        <v>2200</v>
      </c>
      <c r="N1494" s="10">
        <v>0</v>
      </c>
      <c r="O1494" s="10">
        <f>Table1[[#This Row],[NET Amount]]-Table1[[#This Row],[Paid Amount]]</f>
        <v>2200</v>
      </c>
      <c r="P1494" s="2" t="s">
        <v>23</v>
      </c>
      <c r="Q1494" s="2" t="s">
        <v>147</v>
      </c>
      <c r="R1494" s="16">
        <f>(Table1[[#This Row],[NET Amount]]-Table1[[#This Row],[Total Outstanding Amount]])/Table1[[#This Row],[NET Amount]]</f>
        <v>0</v>
      </c>
      <c r="S1494" s="2" t="s">
        <v>97</v>
      </c>
    </row>
    <row r="1495" spans="1:19" x14ac:dyDescent="0.3">
      <c r="A1495" s="4">
        <v>1493</v>
      </c>
      <c r="B1495" s="2" t="s">
        <v>155</v>
      </c>
      <c r="C1495" s="3">
        <v>44860</v>
      </c>
      <c r="D1495" s="3" t="str">
        <f>TEXT(Table1[[#This Row],[Admission Date]],"MMMM")</f>
        <v>October</v>
      </c>
      <c r="E1495" s="3">
        <v>44860</v>
      </c>
      <c r="F1495" s="3">
        <v>44860</v>
      </c>
      <c r="G1495" s="2">
        <v>22028633</v>
      </c>
      <c r="H1495" s="2">
        <v>2237485</v>
      </c>
      <c r="I1495" s="2">
        <v>1000979923</v>
      </c>
      <c r="J1495" s="2" t="s">
        <v>785</v>
      </c>
      <c r="K1495" s="10">
        <v>1610</v>
      </c>
      <c r="L1495" s="10">
        <v>0</v>
      </c>
      <c r="M1495" s="10">
        <v>1610</v>
      </c>
      <c r="N1495" s="10">
        <v>0</v>
      </c>
      <c r="O1495" s="10">
        <f>Table1[[#This Row],[NET Amount]]-Table1[[#This Row],[Paid Amount]]</f>
        <v>1610</v>
      </c>
      <c r="P1495" s="2" t="s">
        <v>23</v>
      </c>
      <c r="Q1495" s="2" t="s">
        <v>54</v>
      </c>
      <c r="R1495" s="16">
        <f>(Table1[[#This Row],[NET Amount]]-Table1[[#This Row],[Total Outstanding Amount]])/Table1[[#This Row],[NET Amount]]</f>
        <v>0</v>
      </c>
      <c r="S1495" s="2" t="s">
        <v>97</v>
      </c>
    </row>
    <row r="1496" spans="1:19" x14ac:dyDescent="0.3">
      <c r="A1496" s="4">
        <v>1494</v>
      </c>
      <c r="B1496" s="2" t="s">
        <v>2253</v>
      </c>
      <c r="C1496" s="3">
        <v>44835</v>
      </c>
      <c r="D1496" s="3" t="str">
        <f>TEXT(Table1[[#This Row],[Admission Date]],"MMMM")</f>
        <v>October</v>
      </c>
      <c r="E1496" s="3">
        <v>44835</v>
      </c>
      <c r="F1496" s="3">
        <v>44835</v>
      </c>
      <c r="G1496" s="2">
        <v>22025121</v>
      </c>
      <c r="H1496" s="2">
        <v>2234177</v>
      </c>
      <c r="I1496" s="2">
        <v>1001626180</v>
      </c>
      <c r="J1496" s="2" t="s">
        <v>389</v>
      </c>
      <c r="K1496" s="10">
        <v>1610</v>
      </c>
      <c r="L1496" s="10">
        <v>0</v>
      </c>
      <c r="M1496" s="10">
        <v>1610</v>
      </c>
      <c r="N1496" s="10">
        <v>0</v>
      </c>
      <c r="O1496" s="10">
        <f>Table1[[#This Row],[NET Amount]]-Table1[[#This Row],[Paid Amount]]</f>
        <v>1610</v>
      </c>
      <c r="P1496" s="2" t="s">
        <v>23</v>
      </c>
      <c r="Q1496" s="2" t="s">
        <v>54</v>
      </c>
      <c r="R1496" s="16">
        <f>(Table1[[#This Row],[NET Amount]]-Table1[[#This Row],[Total Outstanding Amount]])/Table1[[#This Row],[NET Amount]]</f>
        <v>0</v>
      </c>
      <c r="S1496" s="2" t="s">
        <v>97</v>
      </c>
    </row>
    <row r="1497" spans="1:19" x14ac:dyDescent="0.3">
      <c r="A1497" s="4">
        <v>1495</v>
      </c>
      <c r="B1497" s="2" t="s">
        <v>75</v>
      </c>
      <c r="C1497" s="3">
        <v>44847</v>
      </c>
      <c r="D1497" s="3" t="str">
        <f>TEXT(Table1[[#This Row],[Admission Date]],"MMMM")</f>
        <v>October</v>
      </c>
      <c r="E1497" s="3">
        <v>44847</v>
      </c>
      <c r="F1497" s="3">
        <v>44847</v>
      </c>
      <c r="G1497" s="2">
        <v>22026831</v>
      </c>
      <c r="H1497" s="2">
        <v>2235814</v>
      </c>
      <c r="I1497" s="2">
        <v>1001531709</v>
      </c>
      <c r="J1497" s="2" t="s">
        <v>1080</v>
      </c>
      <c r="K1497" s="10">
        <v>1610</v>
      </c>
      <c r="L1497" s="10">
        <v>0</v>
      </c>
      <c r="M1497" s="10">
        <v>1610</v>
      </c>
      <c r="N1497" s="10">
        <v>0</v>
      </c>
      <c r="O1497" s="10">
        <f>Table1[[#This Row],[NET Amount]]-Table1[[#This Row],[Paid Amount]]</f>
        <v>1610</v>
      </c>
      <c r="P1497" s="2" t="s">
        <v>23</v>
      </c>
      <c r="Q1497" s="2" t="s">
        <v>54</v>
      </c>
      <c r="R1497" s="16">
        <f>(Table1[[#This Row],[NET Amount]]-Table1[[#This Row],[Total Outstanding Amount]])/Table1[[#This Row],[NET Amount]]</f>
        <v>0</v>
      </c>
      <c r="S1497" s="2" t="s">
        <v>97</v>
      </c>
    </row>
    <row r="1498" spans="1:19" x14ac:dyDescent="0.3">
      <c r="A1498" s="4">
        <v>1496</v>
      </c>
      <c r="B1498" s="2" t="s">
        <v>2263</v>
      </c>
      <c r="C1498" s="3">
        <v>44840</v>
      </c>
      <c r="D1498" s="3" t="str">
        <f>TEXT(Table1[[#This Row],[Admission Date]],"MMMM")</f>
        <v>October</v>
      </c>
      <c r="E1498" s="3">
        <v>44840</v>
      </c>
      <c r="F1498" s="3">
        <v>44840</v>
      </c>
      <c r="G1498" s="2">
        <v>22025893</v>
      </c>
      <c r="H1498" s="2">
        <v>2234894</v>
      </c>
      <c r="I1498" s="2">
        <v>1001648223</v>
      </c>
      <c r="J1498" s="2" t="s">
        <v>458</v>
      </c>
      <c r="K1498" s="10">
        <v>1274</v>
      </c>
      <c r="L1498" s="10">
        <v>0</v>
      </c>
      <c r="M1498" s="10">
        <v>1274</v>
      </c>
      <c r="N1498" s="10">
        <v>0</v>
      </c>
      <c r="O1498" s="10">
        <f>Table1[[#This Row],[NET Amount]]-Table1[[#This Row],[Paid Amount]]</f>
        <v>1274</v>
      </c>
      <c r="P1498" s="2" t="s">
        <v>23</v>
      </c>
      <c r="Q1498" s="2" t="s">
        <v>54</v>
      </c>
      <c r="R1498" s="16">
        <f>(Table1[[#This Row],[NET Amount]]-Table1[[#This Row],[Total Outstanding Amount]])/Table1[[#This Row],[NET Amount]]</f>
        <v>0</v>
      </c>
      <c r="S1498" s="2" t="s">
        <v>97</v>
      </c>
    </row>
    <row r="1499" spans="1:19" x14ac:dyDescent="0.3">
      <c r="A1499" s="4">
        <v>1497</v>
      </c>
      <c r="B1499" s="2" t="s">
        <v>380</v>
      </c>
      <c r="C1499" s="3">
        <v>44860</v>
      </c>
      <c r="D1499" s="3" t="str">
        <f>TEXT(Table1[[#This Row],[Admission Date]],"MMMM")</f>
        <v>October</v>
      </c>
      <c r="E1499" s="3">
        <v>44860</v>
      </c>
      <c r="F1499" s="3">
        <v>44860</v>
      </c>
      <c r="G1499" s="2">
        <v>22028603</v>
      </c>
      <c r="H1499" s="2">
        <v>2237466</v>
      </c>
      <c r="I1499" s="2">
        <v>10013475917</v>
      </c>
      <c r="J1499" s="2" t="s">
        <v>429</v>
      </c>
      <c r="K1499" s="10">
        <v>1274</v>
      </c>
      <c r="L1499" s="10">
        <v>0</v>
      </c>
      <c r="M1499" s="10">
        <v>1274</v>
      </c>
      <c r="N1499" s="10">
        <v>0</v>
      </c>
      <c r="O1499" s="10">
        <f>Table1[[#This Row],[NET Amount]]-Table1[[#This Row],[Paid Amount]]</f>
        <v>1274</v>
      </c>
      <c r="P1499" s="2" t="s">
        <v>23</v>
      </c>
      <c r="Q1499" s="2" t="s">
        <v>54</v>
      </c>
      <c r="R1499" s="16">
        <f>(Table1[[#This Row],[NET Amount]]-Table1[[#This Row],[Total Outstanding Amount]])/Table1[[#This Row],[NET Amount]]</f>
        <v>0</v>
      </c>
      <c r="S1499" s="2" t="s">
        <v>97</v>
      </c>
    </row>
    <row r="1500" spans="1:19" x14ac:dyDescent="0.3">
      <c r="A1500" s="4">
        <v>1498</v>
      </c>
      <c r="B1500" s="2" t="s">
        <v>380</v>
      </c>
      <c r="C1500" s="3">
        <v>44840</v>
      </c>
      <c r="D1500" s="3" t="str">
        <f>TEXT(Table1[[#This Row],[Admission Date]],"MMMM")</f>
        <v>October</v>
      </c>
      <c r="E1500" s="3">
        <v>44840</v>
      </c>
      <c r="F1500" s="3">
        <v>44840</v>
      </c>
      <c r="G1500" s="2">
        <v>22025918</v>
      </c>
      <c r="H1500" s="2">
        <v>2234950</v>
      </c>
      <c r="I1500" s="2">
        <v>1001004027</v>
      </c>
      <c r="J1500" s="2" t="s">
        <v>454</v>
      </c>
      <c r="K1500" s="10">
        <v>1274</v>
      </c>
      <c r="L1500" s="10">
        <v>0</v>
      </c>
      <c r="M1500" s="10">
        <v>1274</v>
      </c>
      <c r="N1500" s="10">
        <v>0</v>
      </c>
      <c r="O1500" s="10">
        <f>Table1[[#This Row],[NET Amount]]-Table1[[#This Row],[Paid Amount]]</f>
        <v>1274</v>
      </c>
      <c r="P1500" s="2" t="s">
        <v>23</v>
      </c>
      <c r="Q1500" s="2" t="s">
        <v>54</v>
      </c>
      <c r="R1500" s="16">
        <f>(Table1[[#This Row],[NET Amount]]-Table1[[#This Row],[Total Outstanding Amount]])/Table1[[#This Row],[NET Amount]]</f>
        <v>0</v>
      </c>
      <c r="S1500" s="2" t="s">
        <v>97</v>
      </c>
    </row>
    <row r="1501" spans="1:19" x14ac:dyDescent="0.3">
      <c r="A1501" s="4">
        <v>1499</v>
      </c>
      <c r="B1501" s="2" t="s">
        <v>380</v>
      </c>
      <c r="C1501" s="3">
        <v>44849</v>
      </c>
      <c r="D1501" s="3" t="str">
        <f>TEXT(Table1[[#This Row],[Admission Date]],"MMMM")</f>
        <v>October</v>
      </c>
      <c r="E1501" s="3">
        <v>44849</v>
      </c>
      <c r="F1501" s="3">
        <v>44849</v>
      </c>
      <c r="G1501" s="2">
        <v>22027222</v>
      </c>
      <c r="H1501" s="2">
        <v>2236143</v>
      </c>
      <c r="I1501" s="2">
        <v>10013241267</v>
      </c>
      <c r="J1501" s="2" t="s">
        <v>480</v>
      </c>
      <c r="K1501" s="10">
        <v>1274</v>
      </c>
      <c r="L1501" s="10">
        <v>0</v>
      </c>
      <c r="M1501" s="10">
        <v>1274</v>
      </c>
      <c r="N1501" s="10">
        <v>0</v>
      </c>
      <c r="O1501" s="10">
        <f>Table1[[#This Row],[NET Amount]]-Table1[[#This Row],[Paid Amount]]</f>
        <v>1274</v>
      </c>
      <c r="P1501" s="2" t="s">
        <v>23</v>
      </c>
      <c r="Q1501" s="2" t="s">
        <v>54</v>
      </c>
      <c r="R1501" s="16">
        <f>(Table1[[#This Row],[NET Amount]]-Table1[[#This Row],[Total Outstanding Amount]])/Table1[[#This Row],[NET Amount]]</f>
        <v>0</v>
      </c>
      <c r="S1501" s="2" t="s">
        <v>97</v>
      </c>
    </row>
    <row r="1502" spans="1:19" x14ac:dyDescent="0.3">
      <c r="A1502" s="4">
        <v>1500</v>
      </c>
      <c r="B1502" s="2" t="s">
        <v>2263</v>
      </c>
      <c r="C1502" s="3">
        <v>44838</v>
      </c>
      <c r="D1502" s="3" t="str">
        <f>TEXT(Table1[[#This Row],[Admission Date]],"MMMM")</f>
        <v>October</v>
      </c>
      <c r="E1502" s="3">
        <v>44838</v>
      </c>
      <c r="F1502" s="3">
        <v>44838</v>
      </c>
      <c r="G1502" s="2">
        <v>22025489</v>
      </c>
      <c r="H1502" s="2">
        <v>2234509</v>
      </c>
      <c r="I1502" s="2">
        <v>1001666089</v>
      </c>
      <c r="J1502" s="2" t="s">
        <v>809</v>
      </c>
      <c r="K1502" s="10">
        <v>1274</v>
      </c>
      <c r="L1502" s="10">
        <v>0</v>
      </c>
      <c r="M1502" s="10">
        <v>1274</v>
      </c>
      <c r="N1502" s="10">
        <v>0</v>
      </c>
      <c r="O1502" s="10">
        <f>Table1[[#This Row],[NET Amount]]-Table1[[#This Row],[Paid Amount]]</f>
        <v>1274</v>
      </c>
      <c r="P1502" s="2" t="s">
        <v>23</v>
      </c>
      <c r="Q1502" s="2" t="s">
        <v>54</v>
      </c>
      <c r="R1502" s="16">
        <f>(Table1[[#This Row],[NET Amount]]-Table1[[#This Row],[Total Outstanding Amount]])/Table1[[#This Row],[NET Amount]]</f>
        <v>0</v>
      </c>
      <c r="S1502" s="2" t="s">
        <v>97</v>
      </c>
    </row>
    <row r="1503" spans="1:19" x14ac:dyDescent="0.3">
      <c r="A1503" s="4">
        <v>1501</v>
      </c>
      <c r="B1503" s="2" t="s">
        <v>75</v>
      </c>
      <c r="C1503" s="3">
        <v>44841</v>
      </c>
      <c r="D1503" s="3" t="str">
        <f>TEXT(Table1[[#This Row],[Admission Date]],"MMMM")</f>
        <v>October</v>
      </c>
      <c r="E1503" s="3">
        <v>44841</v>
      </c>
      <c r="F1503" s="3">
        <v>44841</v>
      </c>
      <c r="G1503" s="2">
        <v>22026060</v>
      </c>
      <c r="H1503" s="2">
        <v>2235094</v>
      </c>
      <c r="I1503" s="2">
        <v>10013453991</v>
      </c>
      <c r="J1503" s="2" t="s">
        <v>465</v>
      </c>
      <c r="K1503" s="10">
        <v>1610</v>
      </c>
      <c r="L1503" s="10">
        <v>0</v>
      </c>
      <c r="M1503" s="10">
        <v>1610</v>
      </c>
      <c r="N1503" s="10">
        <v>0</v>
      </c>
      <c r="O1503" s="10">
        <f>Table1[[#This Row],[NET Amount]]-Table1[[#This Row],[Paid Amount]]</f>
        <v>1610</v>
      </c>
      <c r="P1503" s="2" t="s">
        <v>23</v>
      </c>
      <c r="Q1503" s="2" t="s">
        <v>54</v>
      </c>
      <c r="R1503" s="16">
        <f>(Table1[[#This Row],[NET Amount]]-Table1[[#This Row],[Total Outstanding Amount]])/Table1[[#This Row],[NET Amount]]</f>
        <v>0</v>
      </c>
      <c r="S1503" s="2" t="s">
        <v>97</v>
      </c>
    </row>
    <row r="1504" spans="1:19" x14ac:dyDescent="0.3">
      <c r="A1504" s="4">
        <v>1502</v>
      </c>
      <c r="B1504" s="2" t="s">
        <v>380</v>
      </c>
      <c r="C1504" s="3">
        <v>44839</v>
      </c>
      <c r="D1504" s="3" t="str">
        <f>TEXT(Table1[[#This Row],[Admission Date]],"MMMM")</f>
        <v>October</v>
      </c>
      <c r="E1504" s="3">
        <v>44839</v>
      </c>
      <c r="F1504" s="3">
        <v>44839</v>
      </c>
      <c r="G1504" s="2">
        <v>22025784</v>
      </c>
      <c r="H1504" s="2">
        <v>2234787</v>
      </c>
      <c r="I1504" s="2">
        <v>10013371548</v>
      </c>
      <c r="J1504" s="2" t="s">
        <v>482</v>
      </c>
      <c r="K1504" s="10">
        <v>1274</v>
      </c>
      <c r="L1504" s="10">
        <v>0</v>
      </c>
      <c r="M1504" s="10">
        <v>1274</v>
      </c>
      <c r="N1504" s="10">
        <v>0</v>
      </c>
      <c r="O1504" s="10">
        <f>Table1[[#This Row],[NET Amount]]-Table1[[#This Row],[Paid Amount]]</f>
        <v>1274</v>
      </c>
      <c r="P1504" s="2" t="s">
        <v>23</v>
      </c>
      <c r="Q1504" s="2" t="s">
        <v>54</v>
      </c>
      <c r="R1504" s="16">
        <f>(Table1[[#This Row],[NET Amount]]-Table1[[#This Row],[Total Outstanding Amount]])/Table1[[#This Row],[NET Amount]]</f>
        <v>0</v>
      </c>
      <c r="S1504" s="2" t="s">
        <v>97</v>
      </c>
    </row>
    <row r="1505" spans="1:19" x14ac:dyDescent="0.3">
      <c r="A1505" s="4">
        <v>1503</v>
      </c>
      <c r="B1505" s="2" t="s">
        <v>380</v>
      </c>
      <c r="C1505" s="3">
        <v>44863</v>
      </c>
      <c r="D1505" s="3" t="str">
        <f>TEXT(Table1[[#This Row],[Admission Date]],"MMMM")</f>
        <v>October</v>
      </c>
      <c r="E1505" s="3">
        <v>44863</v>
      </c>
      <c r="F1505" s="3">
        <v>44863</v>
      </c>
      <c r="G1505" s="2">
        <v>22029173</v>
      </c>
      <c r="H1505" s="2">
        <v>2238040</v>
      </c>
      <c r="I1505" s="2">
        <v>10013499172</v>
      </c>
      <c r="J1505" s="2" t="s">
        <v>369</v>
      </c>
      <c r="K1505" s="10">
        <v>1274</v>
      </c>
      <c r="L1505" s="10">
        <v>0</v>
      </c>
      <c r="M1505" s="10">
        <v>1274</v>
      </c>
      <c r="N1505" s="10">
        <v>0</v>
      </c>
      <c r="O1505" s="10">
        <f>Table1[[#This Row],[NET Amount]]-Table1[[#This Row],[Paid Amount]]</f>
        <v>1274</v>
      </c>
      <c r="P1505" s="2" t="s">
        <v>23</v>
      </c>
      <c r="Q1505" s="2" t="s">
        <v>54</v>
      </c>
      <c r="R1505" s="16">
        <f>(Table1[[#This Row],[NET Amount]]-Table1[[#This Row],[Total Outstanding Amount]])/Table1[[#This Row],[NET Amount]]</f>
        <v>0</v>
      </c>
      <c r="S1505" s="2" t="s">
        <v>97</v>
      </c>
    </row>
    <row r="1506" spans="1:19" x14ac:dyDescent="0.3">
      <c r="A1506" s="4">
        <v>1504</v>
      </c>
      <c r="B1506" s="2" t="s">
        <v>2243</v>
      </c>
      <c r="C1506" s="3">
        <v>44836</v>
      </c>
      <c r="D1506" s="3" t="str">
        <f>TEXT(Table1[[#This Row],[Admission Date]],"MMMM")</f>
        <v>October</v>
      </c>
      <c r="E1506" s="3">
        <v>44839</v>
      </c>
      <c r="F1506" s="3">
        <v>44839</v>
      </c>
      <c r="G1506" s="2">
        <v>22025751</v>
      </c>
      <c r="H1506" s="2">
        <v>2234330</v>
      </c>
      <c r="I1506" s="2">
        <v>1001033304</v>
      </c>
      <c r="J1506" s="2" t="s">
        <v>1081</v>
      </c>
      <c r="K1506" s="10">
        <v>60911</v>
      </c>
      <c r="L1506" s="10">
        <v>60911</v>
      </c>
      <c r="M1506" s="10">
        <v>0</v>
      </c>
      <c r="N1506" s="10">
        <v>0</v>
      </c>
      <c r="O1506" s="10">
        <f>Table1[[#This Row],[NET Amount]]-Table1[[#This Row],[Paid Amount]]</f>
        <v>0</v>
      </c>
      <c r="P1506" s="2" t="s">
        <v>23</v>
      </c>
      <c r="Q1506" s="2" t="s">
        <v>24</v>
      </c>
      <c r="R1506" s="16" t="e">
        <f>(Table1[[#This Row],[NET Amount]]-Table1[[#This Row],[Total Outstanding Amount]])/Table1[[#This Row],[NET Amount]]</f>
        <v>#DIV/0!</v>
      </c>
      <c r="S1506" s="2" t="s">
        <v>20</v>
      </c>
    </row>
    <row r="1507" spans="1:19" x14ac:dyDescent="0.3">
      <c r="A1507" s="4">
        <v>1505</v>
      </c>
      <c r="B1507" s="2" t="s">
        <v>2253</v>
      </c>
      <c r="C1507" s="3">
        <v>44853</v>
      </c>
      <c r="D1507" s="3" t="str">
        <f>TEXT(Table1[[#This Row],[Admission Date]],"MMMM")</f>
        <v>October</v>
      </c>
      <c r="E1507" s="3">
        <v>44853</v>
      </c>
      <c r="F1507" s="3">
        <v>44853</v>
      </c>
      <c r="G1507" s="2">
        <v>22027657</v>
      </c>
      <c r="H1507" s="2">
        <v>2236584</v>
      </c>
      <c r="I1507" s="2">
        <v>1001749543</v>
      </c>
      <c r="J1507" s="2" t="s">
        <v>810</v>
      </c>
      <c r="K1507" s="10">
        <v>1610</v>
      </c>
      <c r="L1507" s="10">
        <v>0</v>
      </c>
      <c r="M1507" s="10">
        <v>1610</v>
      </c>
      <c r="N1507" s="10">
        <v>0</v>
      </c>
      <c r="O1507" s="10">
        <f>Table1[[#This Row],[NET Amount]]-Table1[[#This Row],[Paid Amount]]</f>
        <v>1610</v>
      </c>
      <c r="P1507" s="2" t="s">
        <v>23</v>
      </c>
      <c r="Q1507" s="2" t="s">
        <v>54</v>
      </c>
      <c r="R1507" s="16">
        <f>(Table1[[#This Row],[NET Amount]]-Table1[[#This Row],[Total Outstanding Amount]])/Table1[[#This Row],[NET Amount]]</f>
        <v>0</v>
      </c>
      <c r="S1507" s="2" t="s">
        <v>97</v>
      </c>
    </row>
    <row r="1508" spans="1:19" x14ac:dyDescent="0.3">
      <c r="A1508" s="4">
        <v>1506</v>
      </c>
      <c r="B1508" s="2" t="s">
        <v>380</v>
      </c>
      <c r="C1508" s="3">
        <v>44839</v>
      </c>
      <c r="D1508" s="3" t="str">
        <f>TEXT(Table1[[#This Row],[Admission Date]],"MMMM")</f>
        <v>October</v>
      </c>
      <c r="E1508" s="3">
        <v>44839</v>
      </c>
      <c r="F1508" s="3">
        <v>44839</v>
      </c>
      <c r="G1508" s="2">
        <v>22025791</v>
      </c>
      <c r="H1508" s="2">
        <v>2234792</v>
      </c>
      <c r="I1508" s="2">
        <v>10013516483</v>
      </c>
      <c r="J1508" s="2" t="s">
        <v>812</v>
      </c>
      <c r="K1508" s="10">
        <v>1274</v>
      </c>
      <c r="L1508" s="10">
        <v>0</v>
      </c>
      <c r="M1508" s="10">
        <v>1274</v>
      </c>
      <c r="N1508" s="10">
        <v>0</v>
      </c>
      <c r="O1508" s="10">
        <f>Table1[[#This Row],[NET Amount]]-Table1[[#This Row],[Paid Amount]]</f>
        <v>1274</v>
      </c>
      <c r="P1508" s="2" t="s">
        <v>23</v>
      </c>
      <c r="Q1508" s="2" t="s">
        <v>54</v>
      </c>
      <c r="R1508" s="16">
        <f>(Table1[[#This Row],[NET Amount]]-Table1[[#This Row],[Total Outstanding Amount]])/Table1[[#This Row],[NET Amount]]</f>
        <v>0</v>
      </c>
      <c r="S1508" s="2" t="s">
        <v>97</v>
      </c>
    </row>
    <row r="1509" spans="1:19" x14ac:dyDescent="0.3">
      <c r="A1509" s="4">
        <v>1507</v>
      </c>
      <c r="B1509" s="2" t="s">
        <v>2263</v>
      </c>
      <c r="C1509" s="3">
        <v>44865</v>
      </c>
      <c r="D1509" s="3" t="str">
        <f>TEXT(Table1[[#This Row],[Admission Date]],"MMMM")</f>
        <v>October</v>
      </c>
      <c r="E1509" s="3">
        <v>44865</v>
      </c>
      <c r="F1509" s="3">
        <v>44865</v>
      </c>
      <c r="G1509" s="2">
        <v>22029241</v>
      </c>
      <c r="H1509" s="2">
        <v>2238134</v>
      </c>
      <c r="I1509" s="2">
        <v>1001678600</v>
      </c>
      <c r="J1509" s="2" t="s">
        <v>413</v>
      </c>
      <c r="K1509" s="10">
        <v>1274</v>
      </c>
      <c r="L1509" s="10">
        <v>0</v>
      </c>
      <c r="M1509" s="10">
        <v>1274</v>
      </c>
      <c r="N1509" s="10">
        <v>0</v>
      </c>
      <c r="O1509" s="10">
        <f>Table1[[#This Row],[NET Amount]]-Table1[[#This Row],[Paid Amount]]</f>
        <v>1274</v>
      </c>
      <c r="P1509" s="2" t="s">
        <v>23</v>
      </c>
      <c r="Q1509" s="2" t="s">
        <v>54</v>
      </c>
      <c r="R1509" s="16">
        <f>(Table1[[#This Row],[NET Amount]]-Table1[[#This Row],[Total Outstanding Amount]])/Table1[[#This Row],[NET Amount]]</f>
        <v>0</v>
      </c>
      <c r="S1509" s="2" t="s">
        <v>97</v>
      </c>
    </row>
    <row r="1510" spans="1:19" x14ac:dyDescent="0.3">
      <c r="A1510" s="4">
        <v>1508</v>
      </c>
      <c r="B1510" s="2" t="s">
        <v>380</v>
      </c>
      <c r="C1510" s="3">
        <v>44855</v>
      </c>
      <c r="D1510" s="3" t="str">
        <f>TEXT(Table1[[#This Row],[Admission Date]],"MMMM")</f>
        <v>October</v>
      </c>
      <c r="E1510" s="3">
        <v>44855</v>
      </c>
      <c r="F1510" s="3">
        <v>44855</v>
      </c>
      <c r="G1510" s="2">
        <v>22028066</v>
      </c>
      <c r="H1510" s="2">
        <v>2236907</v>
      </c>
      <c r="I1510" s="2">
        <v>10013457170</v>
      </c>
      <c r="J1510" s="2" t="s">
        <v>1075</v>
      </c>
      <c r="K1510" s="10">
        <v>1274</v>
      </c>
      <c r="L1510" s="10">
        <v>0</v>
      </c>
      <c r="M1510" s="10">
        <v>1274</v>
      </c>
      <c r="N1510" s="10">
        <v>0</v>
      </c>
      <c r="O1510" s="10">
        <f>Table1[[#This Row],[NET Amount]]-Table1[[#This Row],[Paid Amount]]</f>
        <v>1274</v>
      </c>
      <c r="P1510" s="2" t="s">
        <v>23</v>
      </c>
      <c r="Q1510" s="2" t="s">
        <v>54</v>
      </c>
      <c r="R1510" s="16">
        <f>(Table1[[#This Row],[NET Amount]]-Table1[[#This Row],[Total Outstanding Amount]])/Table1[[#This Row],[NET Amount]]</f>
        <v>0</v>
      </c>
      <c r="S1510" s="2" t="s">
        <v>97</v>
      </c>
    </row>
    <row r="1511" spans="1:19" x14ac:dyDescent="0.3">
      <c r="A1511" s="4">
        <v>1509</v>
      </c>
      <c r="B1511" s="2" t="s">
        <v>139</v>
      </c>
      <c r="C1511" s="3">
        <v>44845</v>
      </c>
      <c r="D1511" s="3" t="str">
        <f>TEXT(Table1[[#This Row],[Admission Date]],"MMMM")</f>
        <v>October</v>
      </c>
      <c r="E1511" s="3">
        <v>44845</v>
      </c>
      <c r="F1511" s="3">
        <v>44845</v>
      </c>
      <c r="G1511" s="2">
        <v>22026539</v>
      </c>
      <c r="H1511" s="2">
        <v>2235538</v>
      </c>
      <c r="I1511" s="2">
        <v>1001199995</v>
      </c>
      <c r="J1511" s="2" t="s">
        <v>386</v>
      </c>
      <c r="K1511" s="10">
        <v>2200</v>
      </c>
      <c r="L1511" s="10">
        <v>0</v>
      </c>
      <c r="M1511" s="10">
        <v>2200</v>
      </c>
      <c r="N1511" s="10">
        <v>0</v>
      </c>
      <c r="O1511" s="10">
        <f>Table1[[#This Row],[NET Amount]]-Table1[[#This Row],[Paid Amount]]</f>
        <v>2200</v>
      </c>
      <c r="P1511" s="2" t="s">
        <v>23</v>
      </c>
      <c r="Q1511" s="2" t="s">
        <v>147</v>
      </c>
      <c r="R1511" s="16">
        <f>(Table1[[#This Row],[NET Amount]]-Table1[[#This Row],[Total Outstanding Amount]])/Table1[[#This Row],[NET Amount]]</f>
        <v>0</v>
      </c>
      <c r="S1511" s="2" t="s">
        <v>97</v>
      </c>
    </row>
    <row r="1512" spans="1:19" x14ac:dyDescent="0.3">
      <c r="A1512" s="4">
        <v>1510</v>
      </c>
      <c r="B1512" s="2" t="s">
        <v>2263</v>
      </c>
      <c r="C1512" s="3">
        <v>44858</v>
      </c>
      <c r="D1512" s="3" t="str">
        <f>TEXT(Table1[[#This Row],[Admission Date]],"MMMM")</f>
        <v>October</v>
      </c>
      <c r="E1512" s="3">
        <v>44858</v>
      </c>
      <c r="F1512" s="3">
        <v>44858</v>
      </c>
      <c r="G1512" s="2">
        <v>22028438</v>
      </c>
      <c r="H1512" s="2">
        <v>2237233</v>
      </c>
      <c r="I1512" s="2">
        <v>1001699417</v>
      </c>
      <c r="J1512" s="2" t="s">
        <v>472</v>
      </c>
      <c r="K1512" s="10">
        <v>1274</v>
      </c>
      <c r="L1512" s="10">
        <v>0</v>
      </c>
      <c r="M1512" s="10">
        <v>1274</v>
      </c>
      <c r="N1512" s="10">
        <v>0</v>
      </c>
      <c r="O1512" s="10">
        <f>Table1[[#This Row],[NET Amount]]-Table1[[#This Row],[Paid Amount]]</f>
        <v>1274</v>
      </c>
      <c r="P1512" s="2" t="s">
        <v>23</v>
      </c>
      <c r="Q1512" s="2" t="s">
        <v>54</v>
      </c>
      <c r="R1512" s="16">
        <f>(Table1[[#This Row],[NET Amount]]-Table1[[#This Row],[Total Outstanding Amount]])/Table1[[#This Row],[NET Amount]]</f>
        <v>0</v>
      </c>
      <c r="S1512" s="2" t="s">
        <v>97</v>
      </c>
    </row>
    <row r="1513" spans="1:19" x14ac:dyDescent="0.3">
      <c r="A1513" s="4">
        <v>1511</v>
      </c>
      <c r="B1513" s="2" t="s">
        <v>380</v>
      </c>
      <c r="C1513" s="3">
        <v>44862</v>
      </c>
      <c r="D1513" s="3" t="str">
        <f>TEXT(Table1[[#This Row],[Admission Date]],"MMMM")</f>
        <v>October</v>
      </c>
      <c r="E1513" s="3">
        <v>44862</v>
      </c>
      <c r="F1513" s="3">
        <v>44862</v>
      </c>
      <c r="G1513" s="2">
        <v>22028983</v>
      </c>
      <c r="H1513" s="2">
        <v>2237885</v>
      </c>
      <c r="I1513" s="2">
        <v>1000891068</v>
      </c>
      <c r="J1513" s="2" t="s">
        <v>1082</v>
      </c>
      <c r="K1513" s="10">
        <v>1274</v>
      </c>
      <c r="L1513" s="10">
        <v>0</v>
      </c>
      <c r="M1513" s="10">
        <v>1274</v>
      </c>
      <c r="N1513" s="10">
        <v>0</v>
      </c>
      <c r="O1513" s="10">
        <f>Table1[[#This Row],[NET Amount]]-Table1[[#This Row],[Paid Amount]]</f>
        <v>1274</v>
      </c>
      <c r="P1513" s="2" t="s">
        <v>23</v>
      </c>
      <c r="Q1513" s="2" t="s">
        <v>54</v>
      </c>
      <c r="R1513" s="16">
        <f>(Table1[[#This Row],[NET Amount]]-Table1[[#This Row],[Total Outstanding Amount]])/Table1[[#This Row],[NET Amount]]</f>
        <v>0</v>
      </c>
      <c r="S1513" s="2" t="s">
        <v>97</v>
      </c>
    </row>
    <row r="1514" spans="1:19" x14ac:dyDescent="0.3">
      <c r="A1514" s="4">
        <v>1512</v>
      </c>
      <c r="B1514" s="2" t="s">
        <v>2253</v>
      </c>
      <c r="C1514" s="3">
        <v>44858</v>
      </c>
      <c r="D1514" s="3" t="str">
        <f>TEXT(Table1[[#This Row],[Admission Date]],"MMMM")</f>
        <v>October</v>
      </c>
      <c r="E1514" s="3">
        <v>44858</v>
      </c>
      <c r="F1514" s="3">
        <v>44858</v>
      </c>
      <c r="G1514" s="2">
        <v>22028446</v>
      </c>
      <c r="H1514" s="2">
        <v>2237228</v>
      </c>
      <c r="I1514" s="2">
        <v>1001736024</v>
      </c>
      <c r="J1514" s="2" t="s">
        <v>442</v>
      </c>
      <c r="K1514" s="10">
        <v>1610</v>
      </c>
      <c r="L1514" s="10">
        <v>0</v>
      </c>
      <c r="M1514" s="10">
        <v>1610</v>
      </c>
      <c r="N1514" s="10">
        <v>0</v>
      </c>
      <c r="O1514" s="10">
        <f>Table1[[#This Row],[NET Amount]]-Table1[[#This Row],[Paid Amount]]</f>
        <v>1610</v>
      </c>
      <c r="P1514" s="2" t="s">
        <v>23</v>
      </c>
      <c r="Q1514" s="2" t="s">
        <v>54</v>
      </c>
      <c r="R1514" s="16">
        <f>(Table1[[#This Row],[NET Amount]]-Table1[[#This Row],[Total Outstanding Amount]])/Table1[[#This Row],[NET Amount]]</f>
        <v>0</v>
      </c>
      <c r="S1514" s="2" t="s">
        <v>97</v>
      </c>
    </row>
    <row r="1515" spans="1:19" x14ac:dyDescent="0.3">
      <c r="A1515" s="4">
        <v>1513</v>
      </c>
      <c r="B1515" s="2" t="s">
        <v>380</v>
      </c>
      <c r="C1515" s="3">
        <v>44852</v>
      </c>
      <c r="D1515" s="3" t="str">
        <f>TEXT(Table1[[#This Row],[Admission Date]],"MMMM")</f>
        <v>October</v>
      </c>
      <c r="E1515" s="3">
        <v>44852</v>
      </c>
      <c r="F1515" s="3">
        <v>44852</v>
      </c>
      <c r="G1515" s="2">
        <v>22027531</v>
      </c>
      <c r="H1515" s="2">
        <v>2236456</v>
      </c>
      <c r="I1515" s="2">
        <v>1000889533</v>
      </c>
      <c r="J1515" s="2" t="s">
        <v>466</v>
      </c>
      <c r="K1515" s="10">
        <v>1274</v>
      </c>
      <c r="L1515" s="10">
        <v>0</v>
      </c>
      <c r="M1515" s="10">
        <v>1274</v>
      </c>
      <c r="N1515" s="10">
        <v>0</v>
      </c>
      <c r="O1515" s="10">
        <f>Table1[[#This Row],[NET Amount]]-Table1[[#This Row],[Paid Amount]]</f>
        <v>1274</v>
      </c>
      <c r="P1515" s="2" t="s">
        <v>23</v>
      </c>
      <c r="Q1515" s="2" t="s">
        <v>54</v>
      </c>
      <c r="R1515" s="16">
        <f>(Table1[[#This Row],[NET Amount]]-Table1[[#This Row],[Total Outstanding Amount]])/Table1[[#This Row],[NET Amount]]</f>
        <v>0</v>
      </c>
      <c r="S1515" s="2" t="s">
        <v>97</v>
      </c>
    </row>
    <row r="1516" spans="1:19" x14ac:dyDescent="0.3">
      <c r="A1516" s="4">
        <v>1514</v>
      </c>
      <c r="B1516" s="2" t="s">
        <v>2263</v>
      </c>
      <c r="C1516" s="3">
        <v>44856</v>
      </c>
      <c r="D1516" s="3" t="str">
        <f>TEXT(Table1[[#This Row],[Admission Date]],"MMMM")</f>
        <v>October</v>
      </c>
      <c r="E1516" s="3">
        <v>44856</v>
      </c>
      <c r="F1516" s="3">
        <v>44856</v>
      </c>
      <c r="G1516" s="2">
        <v>22028200</v>
      </c>
      <c r="H1516" s="2">
        <v>2237039</v>
      </c>
      <c r="I1516" s="2">
        <v>1001657236</v>
      </c>
      <c r="J1516" s="2" t="s">
        <v>798</v>
      </c>
      <c r="K1516" s="10">
        <v>1274</v>
      </c>
      <c r="L1516" s="10">
        <v>0</v>
      </c>
      <c r="M1516" s="10">
        <v>1274</v>
      </c>
      <c r="N1516" s="10">
        <v>0</v>
      </c>
      <c r="O1516" s="10">
        <f>Table1[[#This Row],[NET Amount]]-Table1[[#This Row],[Paid Amount]]</f>
        <v>1274</v>
      </c>
      <c r="P1516" s="2" t="s">
        <v>23</v>
      </c>
      <c r="Q1516" s="2" t="s">
        <v>54</v>
      </c>
      <c r="R1516" s="16">
        <f>(Table1[[#This Row],[NET Amount]]-Table1[[#This Row],[Total Outstanding Amount]])/Table1[[#This Row],[NET Amount]]</f>
        <v>0</v>
      </c>
      <c r="S1516" s="2" t="s">
        <v>97</v>
      </c>
    </row>
    <row r="1517" spans="1:19" x14ac:dyDescent="0.3">
      <c r="A1517" s="4">
        <v>1515</v>
      </c>
      <c r="B1517" s="2" t="s">
        <v>380</v>
      </c>
      <c r="C1517" s="3">
        <v>44840</v>
      </c>
      <c r="D1517" s="3" t="str">
        <f>TEXT(Table1[[#This Row],[Admission Date]],"MMMM")</f>
        <v>October</v>
      </c>
      <c r="E1517" s="3">
        <v>44840</v>
      </c>
      <c r="F1517" s="3">
        <v>44840</v>
      </c>
      <c r="G1517" s="2">
        <v>22025819</v>
      </c>
      <c r="H1517" s="2">
        <v>2234835</v>
      </c>
      <c r="I1517" s="2">
        <v>10013435866</v>
      </c>
      <c r="J1517" s="2" t="s">
        <v>473</v>
      </c>
      <c r="K1517" s="10">
        <v>1274</v>
      </c>
      <c r="L1517" s="10">
        <v>0</v>
      </c>
      <c r="M1517" s="10">
        <v>1274</v>
      </c>
      <c r="N1517" s="10">
        <v>0</v>
      </c>
      <c r="O1517" s="10">
        <f>Table1[[#This Row],[NET Amount]]-Table1[[#This Row],[Paid Amount]]</f>
        <v>1274</v>
      </c>
      <c r="P1517" s="2" t="s">
        <v>23</v>
      </c>
      <c r="Q1517" s="2" t="s">
        <v>54</v>
      </c>
      <c r="R1517" s="16">
        <f>(Table1[[#This Row],[NET Amount]]-Table1[[#This Row],[Total Outstanding Amount]])/Table1[[#This Row],[NET Amount]]</f>
        <v>0</v>
      </c>
      <c r="S1517" s="2" t="s">
        <v>97</v>
      </c>
    </row>
    <row r="1518" spans="1:19" x14ac:dyDescent="0.3">
      <c r="A1518" s="4">
        <v>1516</v>
      </c>
      <c r="B1518" s="2" t="s">
        <v>2258</v>
      </c>
      <c r="C1518" s="3">
        <v>44856</v>
      </c>
      <c r="D1518" s="3" t="str">
        <f>TEXT(Table1[[#This Row],[Admission Date]],"MMMM")</f>
        <v>October</v>
      </c>
      <c r="E1518" s="3">
        <v>44856</v>
      </c>
      <c r="F1518" s="3">
        <v>44856</v>
      </c>
      <c r="G1518" s="2">
        <v>22028266</v>
      </c>
      <c r="H1518" s="2">
        <v>2237078</v>
      </c>
      <c r="I1518" s="2">
        <v>1001797077</v>
      </c>
      <c r="J1518" s="2" t="s">
        <v>468</v>
      </c>
      <c r="K1518" s="10">
        <v>1610</v>
      </c>
      <c r="L1518" s="10">
        <v>0</v>
      </c>
      <c r="M1518" s="10">
        <v>1610</v>
      </c>
      <c r="N1518" s="10">
        <v>0</v>
      </c>
      <c r="O1518" s="10">
        <f>Table1[[#This Row],[NET Amount]]-Table1[[#This Row],[Paid Amount]]</f>
        <v>1610</v>
      </c>
      <c r="P1518" s="2" t="s">
        <v>23</v>
      </c>
      <c r="Q1518" s="2" t="s">
        <v>54</v>
      </c>
      <c r="R1518" s="16">
        <f>(Table1[[#This Row],[NET Amount]]-Table1[[#This Row],[Total Outstanding Amount]])/Table1[[#This Row],[NET Amount]]</f>
        <v>0</v>
      </c>
      <c r="S1518" s="2" t="s">
        <v>97</v>
      </c>
    </row>
    <row r="1519" spans="1:19" x14ac:dyDescent="0.3">
      <c r="A1519" s="4">
        <v>1517</v>
      </c>
      <c r="B1519" s="2" t="s">
        <v>380</v>
      </c>
      <c r="C1519" s="3">
        <v>44857</v>
      </c>
      <c r="D1519" s="3" t="str">
        <f>TEXT(Table1[[#This Row],[Admission Date]],"MMMM")</f>
        <v>October</v>
      </c>
      <c r="E1519" s="3">
        <v>44857</v>
      </c>
      <c r="F1519" s="3">
        <v>44857</v>
      </c>
      <c r="G1519" s="2">
        <v>22028405</v>
      </c>
      <c r="H1519" s="2">
        <v>2237192</v>
      </c>
      <c r="I1519" s="2">
        <v>1001092597</v>
      </c>
      <c r="J1519" s="2" t="s">
        <v>384</v>
      </c>
      <c r="K1519" s="10">
        <v>1274</v>
      </c>
      <c r="L1519" s="10">
        <v>0</v>
      </c>
      <c r="M1519" s="10">
        <v>1274</v>
      </c>
      <c r="N1519" s="10">
        <v>0</v>
      </c>
      <c r="O1519" s="10">
        <f>Table1[[#This Row],[NET Amount]]-Table1[[#This Row],[Paid Amount]]</f>
        <v>1274</v>
      </c>
      <c r="P1519" s="2" t="s">
        <v>23</v>
      </c>
      <c r="Q1519" s="2" t="s">
        <v>54</v>
      </c>
      <c r="R1519" s="16">
        <f>(Table1[[#This Row],[NET Amount]]-Table1[[#This Row],[Total Outstanding Amount]])/Table1[[#This Row],[NET Amount]]</f>
        <v>0</v>
      </c>
      <c r="S1519" s="2" t="s">
        <v>97</v>
      </c>
    </row>
    <row r="1520" spans="1:19" x14ac:dyDescent="0.3">
      <c r="A1520" s="4">
        <v>1518</v>
      </c>
      <c r="B1520" s="2" t="s">
        <v>50</v>
      </c>
      <c r="C1520" s="3">
        <v>44841</v>
      </c>
      <c r="D1520" s="3" t="str">
        <f>TEXT(Table1[[#This Row],[Admission Date]],"MMMM")</f>
        <v>October</v>
      </c>
      <c r="E1520" s="3">
        <v>44841</v>
      </c>
      <c r="F1520" s="3">
        <v>44841</v>
      </c>
      <c r="G1520" s="2">
        <v>22025969</v>
      </c>
      <c r="H1520" s="2">
        <v>2235012</v>
      </c>
      <c r="I1520" s="2">
        <v>10013511637</v>
      </c>
      <c r="J1520" s="2" t="s">
        <v>476</v>
      </c>
      <c r="K1520" s="10">
        <v>2200</v>
      </c>
      <c r="L1520" s="10">
        <v>0</v>
      </c>
      <c r="M1520" s="10">
        <v>2200</v>
      </c>
      <c r="N1520" s="10">
        <v>0</v>
      </c>
      <c r="O1520" s="10">
        <f>Table1[[#This Row],[NET Amount]]-Table1[[#This Row],[Paid Amount]]</f>
        <v>2200</v>
      </c>
      <c r="P1520" s="2" t="s">
        <v>23</v>
      </c>
      <c r="Q1520" s="2" t="s">
        <v>147</v>
      </c>
      <c r="R1520" s="16">
        <f>(Table1[[#This Row],[NET Amount]]-Table1[[#This Row],[Total Outstanding Amount]])/Table1[[#This Row],[NET Amount]]</f>
        <v>0</v>
      </c>
      <c r="S1520" s="2" t="s">
        <v>97</v>
      </c>
    </row>
    <row r="1521" spans="1:19" x14ac:dyDescent="0.3">
      <c r="A1521" s="4">
        <v>1519</v>
      </c>
      <c r="B1521" s="2" t="s">
        <v>380</v>
      </c>
      <c r="C1521" s="3">
        <v>44837</v>
      </c>
      <c r="D1521" s="3" t="str">
        <f>TEXT(Table1[[#This Row],[Admission Date]],"MMMM")</f>
        <v>October</v>
      </c>
      <c r="E1521" s="3">
        <v>44837</v>
      </c>
      <c r="F1521" s="3">
        <v>44837</v>
      </c>
      <c r="G1521" s="2">
        <v>22025443</v>
      </c>
      <c r="H1521" s="2">
        <v>2234445</v>
      </c>
      <c r="I1521" s="2">
        <v>1001208331</v>
      </c>
      <c r="J1521" s="2" t="s">
        <v>430</v>
      </c>
      <c r="K1521" s="10">
        <v>1274</v>
      </c>
      <c r="L1521" s="10">
        <v>0</v>
      </c>
      <c r="M1521" s="10">
        <v>1274</v>
      </c>
      <c r="N1521" s="10">
        <v>0</v>
      </c>
      <c r="O1521" s="10">
        <f>Table1[[#This Row],[NET Amount]]-Table1[[#This Row],[Paid Amount]]</f>
        <v>1274</v>
      </c>
      <c r="P1521" s="2" t="s">
        <v>23</v>
      </c>
      <c r="Q1521" s="2" t="s">
        <v>54</v>
      </c>
      <c r="R1521" s="16">
        <f>(Table1[[#This Row],[NET Amount]]-Table1[[#This Row],[Total Outstanding Amount]])/Table1[[#This Row],[NET Amount]]</f>
        <v>0</v>
      </c>
      <c r="S1521" s="2" t="s">
        <v>97</v>
      </c>
    </row>
    <row r="1522" spans="1:19" x14ac:dyDescent="0.3">
      <c r="A1522" s="4">
        <v>1520</v>
      </c>
      <c r="B1522" s="2" t="s">
        <v>380</v>
      </c>
      <c r="C1522" s="3">
        <v>44849</v>
      </c>
      <c r="D1522" s="3" t="str">
        <f>TEXT(Table1[[#This Row],[Admission Date]],"MMMM")</f>
        <v>October</v>
      </c>
      <c r="E1522" s="3">
        <v>44849</v>
      </c>
      <c r="F1522" s="3">
        <v>44849</v>
      </c>
      <c r="G1522" s="2">
        <v>22027154</v>
      </c>
      <c r="H1522" s="2">
        <v>2236098</v>
      </c>
      <c r="I1522" s="2">
        <v>10013475917</v>
      </c>
      <c r="J1522" s="2" t="s">
        <v>429</v>
      </c>
      <c r="K1522" s="10">
        <v>1274</v>
      </c>
      <c r="L1522" s="10">
        <v>0</v>
      </c>
      <c r="M1522" s="10">
        <v>1274</v>
      </c>
      <c r="N1522" s="10">
        <v>0</v>
      </c>
      <c r="O1522" s="10">
        <f>Table1[[#This Row],[NET Amount]]-Table1[[#This Row],[Paid Amount]]</f>
        <v>1274</v>
      </c>
      <c r="P1522" s="2" t="s">
        <v>23</v>
      </c>
      <c r="Q1522" s="2" t="s">
        <v>54</v>
      </c>
      <c r="R1522" s="16">
        <f>(Table1[[#This Row],[NET Amount]]-Table1[[#This Row],[Total Outstanding Amount]])/Table1[[#This Row],[NET Amount]]</f>
        <v>0</v>
      </c>
      <c r="S1522" s="2" t="s">
        <v>97</v>
      </c>
    </row>
    <row r="1523" spans="1:19" x14ac:dyDescent="0.3">
      <c r="A1523" s="4">
        <v>1521</v>
      </c>
      <c r="B1523" s="2" t="s">
        <v>2263</v>
      </c>
      <c r="C1523" s="3">
        <v>44835</v>
      </c>
      <c r="D1523" s="3" t="str">
        <f>TEXT(Table1[[#This Row],[Admission Date]],"MMMM")</f>
        <v>October</v>
      </c>
      <c r="E1523" s="3">
        <v>44835</v>
      </c>
      <c r="F1523" s="3">
        <v>44835</v>
      </c>
      <c r="G1523" s="2">
        <v>22025230</v>
      </c>
      <c r="H1523" s="2">
        <v>2234247</v>
      </c>
      <c r="I1523" s="2">
        <v>1001648223</v>
      </c>
      <c r="J1523" s="2" t="s">
        <v>458</v>
      </c>
      <c r="K1523" s="10">
        <v>1274</v>
      </c>
      <c r="L1523" s="10">
        <v>0</v>
      </c>
      <c r="M1523" s="10">
        <v>1274</v>
      </c>
      <c r="N1523" s="10">
        <v>0</v>
      </c>
      <c r="O1523" s="10">
        <f>Table1[[#This Row],[NET Amount]]-Table1[[#This Row],[Paid Amount]]</f>
        <v>1274</v>
      </c>
      <c r="P1523" s="2" t="s">
        <v>23</v>
      </c>
      <c r="Q1523" s="2" t="s">
        <v>54</v>
      </c>
      <c r="R1523" s="16">
        <f>(Table1[[#This Row],[NET Amount]]-Table1[[#This Row],[Total Outstanding Amount]])/Table1[[#This Row],[NET Amount]]</f>
        <v>0</v>
      </c>
      <c r="S1523" s="2" t="s">
        <v>97</v>
      </c>
    </row>
    <row r="1524" spans="1:19" x14ac:dyDescent="0.3">
      <c r="A1524" s="4">
        <v>1522</v>
      </c>
      <c r="B1524" s="2" t="s">
        <v>380</v>
      </c>
      <c r="C1524" s="3">
        <v>44857</v>
      </c>
      <c r="D1524" s="3" t="str">
        <f>TEXT(Table1[[#This Row],[Admission Date]],"MMMM")</f>
        <v>October</v>
      </c>
      <c r="E1524" s="3">
        <v>44857</v>
      </c>
      <c r="F1524" s="3">
        <v>44857</v>
      </c>
      <c r="G1524" s="2">
        <v>22028393</v>
      </c>
      <c r="H1524" s="2">
        <v>2237180</v>
      </c>
      <c r="I1524" s="2">
        <v>1001208331</v>
      </c>
      <c r="J1524" s="2" t="s">
        <v>430</v>
      </c>
      <c r="K1524" s="10">
        <v>1274</v>
      </c>
      <c r="L1524" s="10">
        <v>0</v>
      </c>
      <c r="M1524" s="10">
        <v>1274</v>
      </c>
      <c r="N1524" s="10">
        <v>0</v>
      </c>
      <c r="O1524" s="10">
        <f>Table1[[#This Row],[NET Amount]]-Table1[[#This Row],[Paid Amount]]</f>
        <v>1274</v>
      </c>
      <c r="P1524" s="2" t="s">
        <v>23</v>
      </c>
      <c r="Q1524" s="2" t="s">
        <v>54</v>
      </c>
      <c r="R1524" s="16">
        <f>(Table1[[#This Row],[NET Amount]]-Table1[[#This Row],[Total Outstanding Amount]])/Table1[[#This Row],[NET Amount]]</f>
        <v>0</v>
      </c>
      <c r="S1524" s="2" t="s">
        <v>97</v>
      </c>
    </row>
    <row r="1525" spans="1:19" x14ac:dyDescent="0.3">
      <c r="A1525" s="4">
        <v>1523</v>
      </c>
      <c r="B1525" s="2" t="s">
        <v>380</v>
      </c>
      <c r="C1525" s="3">
        <v>44865</v>
      </c>
      <c r="D1525" s="3" t="str">
        <f>TEXT(Table1[[#This Row],[Admission Date]],"MMMM")</f>
        <v>October</v>
      </c>
      <c r="E1525" s="3">
        <v>44865</v>
      </c>
      <c r="F1525" s="3">
        <v>44865</v>
      </c>
      <c r="G1525" s="2">
        <v>22029398</v>
      </c>
      <c r="H1525" s="2">
        <v>2238270</v>
      </c>
      <c r="I1525" s="2">
        <v>10013413542</v>
      </c>
      <c r="J1525" s="2" t="s">
        <v>389</v>
      </c>
      <c r="K1525" s="10">
        <v>1274</v>
      </c>
      <c r="L1525" s="10">
        <v>0</v>
      </c>
      <c r="M1525" s="10">
        <v>1274</v>
      </c>
      <c r="N1525" s="10">
        <v>0</v>
      </c>
      <c r="O1525" s="10">
        <f>Table1[[#This Row],[NET Amount]]-Table1[[#This Row],[Paid Amount]]</f>
        <v>1274</v>
      </c>
      <c r="P1525" s="2" t="s">
        <v>23</v>
      </c>
      <c r="Q1525" s="2" t="s">
        <v>54</v>
      </c>
      <c r="R1525" s="16">
        <f>(Table1[[#This Row],[NET Amount]]-Table1[[#This Row],[Total Outstanding Amount]])/Table1[[#This Row],[NET Amount]]</f>
        <v>0</v>
      </c>
      <c r="S1525" s="2" t="s">
        <v>97</v>
      </c>
    </row>
    <row r="1526" spans="1:19" x14ac:dyDescent="0.3">
      <c r="A1526" s="4">
        <v>1524</v>
      </c>
      <c r="B1526" s="2" t="s">
        <v>2263</v>
      </c>
      <c r="C1526" s="3">
        <v>44844</v>
      </c>
      <c r="D1526" s="3" t="str">
        <f>TEXT(Table1[[#This Row],[Admission Date]],"MMMM")</f>
        <v>October</v>
      </c>
      <c r="E1526" s="3">
        <v>44844</v>
      </c>
      <c r="F1526" s="3">
        <v>44844</v>
      </c>
      <c r="G1526" s="2">
        <v>22026465</v>
      </c>
      <c r="H1526" s="2">
        <v>2235429</v>
      </c>
      <c r="I1526" s="2">
        <v>1001657236</v>
      </c>
      <c r="J1526" s="2" t="s">
        <v>798</v>
      </c>
      <c r="K1526" s="10">
        <v>1274</v>
      </c>
      <c r="L1526" s="10">
        <v>0</v>
      </c>
      <c r="M1526" s="10">
        <v>1274</v>
      </c>
      <c r="N1526" s="10">
        <v>0</v>
      </c>
      <c r="O1526" s="10">
        <f>Table1[[#This Row],[NET Amount]]-Table1[[#This Row],[Paid Amount]]</f>
        <v>1274</v>
      </c>
      <c r="P1526" s="2" t="s">
        <v>23</v>
      </c>
      <c r="Q1526" s="2" t="s">
        <v>54</v>
      </c>
      <c r="R1526" s="16">
        <f>(Table1[[#This Row],[NET Amount]]-Table1[[#This Row],[Total Outstanding Amount]])/Table1[[#This Row],[NET Amount]]</f>
        <v>0</v>
      </c>
      <c r="S1526" s="2" t="s">
        <v>97</v>
      </c>
    </row>
    <row r="1527" spans="1:19" x14ac:dyDescent="0.3">
      <c r="A1527" s="4">
        <v>1525</v>
      </c>
      <c r="B1527" s="2" t="s">
        <v>380</v>
      </c>
      <c r="C1527" s="3">
        <v>44848</v>
      </c>
      <c r="D1527" s="3" t="str">
        <f>TEXT(Table1[[#This Row],[Admission Date]],"MMMM")</f>
        <v>October</v>
      </c>
      <c r="E1527" s="3">
        <v>44848</v>
      </c>
      <c r="F1527" s="3">
        <v>44848</v>
      </c>
      <c r="G1527" s="2">
        <v>22027098</v>
      </c>
      <c r="H1527" s="2">
        <v>2236014</v>
      </c>
      <c r="I1527" s="2">
        <v>10013371134</v>
      </c>
      <c r="J1527" s="2" t="s">
        <v>412</v>
      </c>
      <c r="K1527" s="10">
        <v>1274</v>
      </c>
      <c r="L1527" s="10">
        <v>0</v>
      </c>
      <c r="M1527" s="10">
        <v>1274</v>
      </c>
      <c r="N1527" s="10">
        <v>0</v>
      </c>
      <c r="O1527" s="10">
        <f>Table1[[#This Row],[NET Amount]]-Table1[[#This Row],[Paid Amount]]</f>
        <v>1274</v>
      </c>
      <c r="P1527" s="2" t="s">
        <v>23</v>
      </c>
      <c r="Q1527" s="2" t="s">
        <v>54</v>
      </c>
      <c r="R1527" s="16">
        <f>(Table1[[#This Row],[NET Amount]]-Table1[[#This Row],[Total Outstanding Amount]])/Table1[[#This Row],[NET Amount]]</f>
        <v>0</v>
      </c>
      <c r="S1527" s="2" t="s">
        <v>97</v>
      </c>
    </row>
    <row r="1528" spans="1:19" x14ac:dyDescent="0.3">
      <c r="A1528" s="4">
        <v>1526</v>
      </c>
      <c r="B1528" s="2" t="s">
        <v>152</v>
      </c>
      <c r="C1528" s="3">
        <v>44824</v>
      </c>
      <c r="D1528" s="3" t="str">
        <f>TEXT(Table1[[#This Row],[Admission Date]],"MMMM")</f>
        <v>September</v>
      </c>
      <c r="E1528" s="3">
        <v>44837</v>
      </c>
      <c r="F1528" s="3">
        <v>44837</v>
      </c>
      <c r="G1528" s="2">
        <v>22025417</v>
      </c>
      <c r="H1528" s="2">
        <v>2232712</v>
      </c>
      <c r="I1528" s="2">
        <v>1000959511</v>
      </c>
      <c r="J1528" s="2" t="s">
        <v>1083</v>
      </c>
      <c r="K1528" s="10">
        <v>152181</v>
      </c>
      <c r="L1528" s="10">
        <v>0</v>
      </c>
      <c r="M1528" s="10">
        <v>152181</v>
      </c>
      <c r="N1528" s="10">
        <v>0</v>
      </c>
      <c r="O1528" s="10">
        <f>Table1[[#This Row],[NET Amount]]-Table1[[#This Row],[Paid Amount]]</f>
        <v>152181</v>
      </c>
      <c r="P1528" s="2" t="s">
        <v>23</v>
      </c>
      <c r="Q1528" s="2" t="s">
        <v>30</v>
      </c>
      <c r="R1528" s="16">
        <f>(Table1[[#This Row],[NET Amount]]-Table1[[#This Row],[Total Outstanding Amount]])/Table1[[#This Row],[NET Amount]]</f>
        <v>0</v>
      </c>
      <c r="S1528" s="2" t="s">
        <v>20</v>
      </c>
    </row>
    <row r="1529" spans="1:19" x14ac:dyDescent="0.3">
      <c r="A1529" s="4">
        <v>1527</v>
      </c>
      <c r="B1529" s="2" t="s">
        <v>380</v>
      </c>
      <c r="C1529" s="3">
        <v>44852</v>
      </c>
      <c r="D1529" s="3" t="str">
        <f>TEXT(Table1[[#This Row],[Admission Date]],"MMMM")</f>
        <v>October</v>
      </c>
      <c r="E1529" s="3">
        <v>44852</v>
      </c>
      <c r="F1529" s="3">
        <v>44852</v>
      </c>
      <c r="G1529" s="2">
        <v>22027629</v>
      </c>
      <c r="H1529" s="2">
        <v>2236528</v>
      </c>
      <c r="I1529" s="2">
        <v>1001082290</v>
      </c>
      <c r="J1529" s="2" t="s">
        <v>436</v>
      </c>
      <c r="K1529" s="10">
        <v>1274</v>
      </c>
      <c r="L1529" s="10">
        <v>0</v>
      </c>
      <c r="M1529" s="10">
        <v>1274</v>
      </c>
      <c r="N1529" s="10">
        <v>0</v>
      </c>
      <c r="O1529" s="10">
        <f>Table1[[#This Row],[NET Amount]]-Table1[[#This Row],[Paid Amount]]</f>
        <v>1274</v>
      </c>
      <c r="P1529" s="2" t="s">
        <v>23</v>
      </c>
      <c r="Q1529" s="2" t="s">
        <v>54</v>
      </c>
      <c r="R1529" s="16">
        <f>(Table1[[#This Row],[NET Amount]]-Table1[[#This Row],[Total Outstanding Amount]])/Table1[[#This Row],[NET Amount]]</f>
        <v>0</v>
      </c>
      <c r="S1529" s="2" t="s">
        <v>97</v>
      </c>
    </row>
    <row r="1530" spans="1:19" x14ac:dyDescent="0.3">
      <c r="A1530" s="4">
        <v>1528</v>
      </c>
      <c r="B1530" s="2" t="s">
        <v>380</v>
      </c>
      <c r="C1530" s="3">
        <v>44851</v>
      </c>
      <c r="D1530" s="3" t="str">
        <f>TEXT(Table1[[#This Row],[Admission Date]],"MMMM")</f>
        <v>October</v>
      </c>
      <c r="E1530" s="3">
        <v>44851</v>
      </c>
      <c r="F1530" s="3">
        <v>44851</v>
      </c>
      <c r="G1530" s="2">
        <v>22027507</v>
      </c>
      <c r="H1530" s="2">
        <v>2236415</v>
      </c>
      <c r="I1530" s="2">
        <v>10013371548</v>
      </c>
      <c r="J1530" s="2" t="s">
        <v>482</v>
      </c>
      <c r="K1530" s="10">
        <v>1274</v>
      </c>
      <c r="L1530" s="10">
        <v>0</v>
      </c>
      <c r="M1530" s="10">
        <v>1274</v>
      </c>
      <c r="N1530" s="10">
        <v>0</v>
      </c>
      <c r="O1530" s="10">
        <f>Table1[[#This Row],[NET Amount]]-Table1[[#This Row],[Paid Amount]]</f>
        <v>1274</v>
      </c>
      <c r="P1530" s="2" t="s">
        <v>23</v>
      </c>
      <c r="Q1530" s="2" t="s">
        <v>54</v>
      </c>
      <c r="R1530" s="16">
        <f>(Table1[[#This Row],[NET Amount]]-Table1[[#This Row],[Total Outstanding Amount]])/Table1[[#This Row],[NET Amount]]</f>
        <v>0</v>
      </c>
      <c r="S1530" s="2" t="s">
        <v>97</v>
      </c>
    </row>
    <row r="1531" spans="1:19" x14ac:dyDescent="0.3">
      <c r="A1531" s="4">
        <v>1529</v>
      </c>
      <c r="B1531" s="2" t="s">
        <v>155</v>
      </c>
      <c r="C1531" s="3">
        <v>44860</v>
      </c>
      <c r="D1531" s="3" t="str">
        <f>TEXT(Table1[[#This Row],[Admission Date]],"MMMM")</f>
        <v>October</v>
      </c>
      <c r="E1531" s="3">
        <v>44860</v>
      </c>
      <c r="F1531" s="3">
        <v>44860</v>
      </c>
      <c r="G1531" s="2">
        <v>22028649</v>
      </c>
      <c r="H1531" s="2">
        <v>2237500</v>
      </c>
      <c r="I1531" s="2">
        <v>10013502614</v>
      </c>
      <c r="J1531" s="2" t="s">
        <v>484</v>
      </c>
      <c r="K1531" s="10">
        <v>1610</v>
      </c>
      <c r="L1531" s="10">
        <v>0</v>
      </c>
      <c r="M1531" s="10">
        <v>1610</v>
      </c>
      <c r="N1531" s="10">
        <v>0</v>
      </c>
      <c r="O1531" s="10">
        <f>Table1[[#This Row],[NET Amount]]-Table1[[#This Row],[Paid Amount]]</f>
        <v>1610</v>
      </c>
      <c r="P1531" s="2" t="s">
        <v>23</v>
      </c>
      <c r="Q1531" s="2" t="s">
        <v>54</v>
      </c>
      <c r="R1531" s="16">
        <f>(Table1[[#This Row],[NET Amount]]-Table1[[#This Row],[Total Outstanding Amount]])/Table1[[#This Row],[NET Amount]]</f>
        <v>0</v>
      </c>
      <c r="S1531" s="2" t="s">
        <v>97</v>
      </c>
    </row>
    <row r="1532" spans="1:19" x14ac:dyDescent="0.3">
      <c r="A1532" s="4">
        <v>1530</v>
      </c>
      <c r="B1532" s="2" t="s">
        <v>2263</v>
      </c>
      <c r="C1532" s="3">
        <v>44848</v>
      </c>
      <c r="D1532" s="3" t="str">
        <f>TEXT(Table1[[#This Row],[Admission Date]],"MMMM")</f>
        <v>October</v>
      </c>
      <c r="E1532" s="3">
        <v>44848</v>
      </c>
      <c r="F1532" s="3">
        <v>44848</v>
      </c>
      <c r="G1532" s="2">
        <v>22026972</v>
      </c>
      <c r="H1532" s="2">
        <v>2235926</v>
      </c>
      <c r="I1532" s="2">
        <v>1001367923</v>
      </c>
      <c r="J1532" s="2" t="s">
        <v>391</v>
      </c>
      <c r="K1532" s="10">
        <v>1274</v>
      </c>
      <c r="L1532" s="10">
        <v>0</v>
      </c>
      <c r="M1532" s="10">
        <v>1274</v>
      </c>
      <c r="N1532" s="10">
        <v>0</v>
      </c>
      <c r="O1532" s="10">
        <f>Table1[[#This Row],[NET Amount]]-Table1[[#This Row],[Paid Amount]]</f>
        <v>1274</v>
      </c>
      <c r="P1532" s="2" t="s">
        <v>23</v>
      </c>
      <c r="Q1532" s="2" t="s">
        <v>54</v>
      </c>
      <c r="R1532" s="16">
        <f>(Table1[[#This Row],[NET Amount]]-Table1[[#This Row],[Total Outstanding Amount]])/Table1[[#This Row],[NET Amount]]</f>
        <v>0</v>
      </c>
      <c r="S1532" s="2" t="s">
        <v>97</v>
      </c>
    </row>
    <row r="1533" spans="1:19" x14ac:dyDescent="0.3">
      <c r="A1533" s="4">
        <v>1531</v>
      </c>
      <c r="B1533" s="2" t="s">
        <v>380</v>
      </c>
      <c r="C1533" s="3">
        <v>44839</v>
      </c>
      <c r="D1533" s="3" t="str">
        <f>TEXT(Table1[[#This Row],[Admission Date]],"MMMM")</f>
        <v>October</v>
      </c>
      <c r="E1533" s="3">
        <v>44839</v>
      </c>
      <c r="F1533" s="3">
        <v>44839</v>
      </c>
      <c r="G1533" s="2">
        <v>22025716</v>
      </c>
      <c r="H1533" s="2">
        <v>2234719</v>
      </c>
      <c r="I1533" s="2">
        <v>10013422914</v>
      </c>
      <c r="J1533" s="2" t="s">
        <v>816</v>
      </c>
      <c r="K1533" s="10">
        <v>1274</v>
      </c>
      <c r="L1533" s="10">
        <v>0</v>
      </c>
      <c r="M1533" s="10">
        <v>1274</v>
      </c>
      <c r="N1533" s="10">
        <v>0</v>
      </c>
      <c r="O1533" s="10">
        <f>Table1[[#This Row],[NET Amount]]-Table1[[#This Row],[Paid Amount]]</f>
        <v>1274</v>
      </c>
      <c r="P1533" s="2" t="s">
        <v>23</v>
      </c>
      <c r="Q1533" s="2" t="s">
        <v>54</v>
      </c>
      <c r="R1533" s="16">
        <f>(Table1[[#This Row],[NET Amount]]-Table1[[#This Row],[Total Outstanding Amount]])/Table1[[#This Row],[NET Amount]]</f>
        <v>0</v>
      </c>
      <c r="S1533" s="2" t="s">
        <v>97</v>
      </c>
    </row>
    <row r="1534" spans="1:19" x14ac:dyDescent="0.3">
      <c r="A1534" s="4">
        <v>1532</v>
      </c>
      <c r="B1534" s="2" t="s">
        <v>2253</v>
      </c>
      <c r="C1534" s="3">
        <v>44848</v>
      </c>
      <c r="D1534" s="3" t="str">
        <f>TEXT(Table1[[#This Row],[Admission Date]],"MMMM")</f>
        <v>October</v>
      </c>
      <c r="E1534" s="3">
        <v>44848</v>
      </c>
      <c r="F1534" s="3">
        <v>44848</v>
      </c>
      <c r="G1534" s="2">
        <v>22027049</v>
      </c>
      <c r="H1534" s="2">
        <v>2235972</v>
      </c>
      <c r="I1534" s="2">
        <v>1001736024</v>
      </c>
      <c r="J1534" s="2" t="s">
        <v>442</v>
      </c>
      <c r="K1534" s="10">
        <v>1610</v>
      </c>
      <c r="L1534" s="10">
        <v>0</v>
      </c>
      <c r="M1534" s="10">
        <v>1610</v>
      </c>
      <c r="N1534" s="10">
        <v>0</v>
      </c>
      <c r="O1534" s="10">
        <f>Table1[[#This Row],[NET Amount]]-Table1[[#This Row],[Paid Amount]]</f>
        <v>1610</v>
      </c>
      <c r="P1534" s="2" t="s">
        <v>23</v>
      </c>
      <c r="Q1534" s="2" t="s">
        <v>54</v>
      </c>
      <c r="R1534" s="16">
        <f>(Table1[[#This Row],[NET Amount]]-Table1[[#This Row],[Total Outstanding Amount]])/Table1[[#This Row],[NET Amount]]</f>
        <v>0</v>
      </c>
      <c r="S1534" s="2" t="s">
        <v>97</v>
      </c>
    </row>
    <row r="1535" spans="1:19" x14ac:dyDescent="0.3">
      <c r="A1535" s="4">
        <v>1533</v>
      </c>
      <c r="B1535" s="2" t="s">
        <v>75</v>
      </c>
      <c r="C1535" s="3">
        <v>44856</v>
      </c>
      <c r="D1535" s="3" t="str">
        <f>TEXT(Table1[[#This Row],[Admission Date]],"MMMM")</f>
        <v>October</v>
      </c>
      <c r="E1535" s="3">
        <v>44856</v>
      </c>
      <c r="F1535" s="3">
        <v>44856</v>
      </c>
      <c r="G1535" s="2">
        <v>22028237</v>
      </c>
      <c r="H1535" s="2">
        <v>2237037</v>
      </c>
      <c r="I1535" s="2">
        <v>10013514225</v>
      </c>
      <c r="J1535" s="2" t="s">
        <v>814</v>
      </c>
      <c r="K1535" s="10">
        <v>1610</v>
      </c>
      <c r="L1535" s="10">
        <v>0</v>
      </c>
      <c r="M1535" s="10">
        <v>1610</v>
      </c>
      <c r="N1535" s="10">
        <v>0</v>
      </c>
      <c r="O1535" s="10">
        <f>Table1[[#This Row],[NET Amount]]-Table1[[#This Row],[Paid Amount]]</f>
        <v>1610</v>
      </c>
      <c r="P1535" s="2" t="s">
        <v>23</v>
      </c>
      <c r="Q1535" s="2" t="s">
        <v>54</v>
      </c>
      <c r="R1535" s="16">
        <f>(Table1[[#This Row],[NET Amount]]-Table1[[#This Row],[Total Outstanding Amount]])/Table1[[#This Row],[NET Amount]]</f>
        <v>0</v>
      </c>
      <c r="S1535" s="2" t="s">
        <v>97</v>
      </c>
    </row>
    <row r="1536" spans="1:19" x14ac:dyDescent="0.3">
      <c r="A1536" s="4">
        <v>1534</v>
      </c>
      <c r="B1536" s="2" t="s">
        <v>380</v>
      </c>
      <c r="C1536" s="3">
        <v>44840</v>
      </c>
      <c r="D1536" s="3" t="str">
        <f>TEXT(Table1[[#This Row],[Admission Date]],"MMMM")</f>
        <v>October</v>
      </c>
      <c r="E1536" s="3">
        <v>44840</v>
      </c>
      <c r="F1536" s="3">
        <v>44840</v>
      </c>
      <c r="G1536" s="2">
        <v>22025912</v>
      </c>
      <c r="H1536" s="2">
        <v>2234943</v>
      </c>
      <c r="I1536" s="2">
        <v>10013437822</v>
      </c>
      <c r="J1536" s="2" t="s">
        <v>441</v>
      </c>
      <c r="K1536" s="10">
        <v>1274</v>
      </c>
      <c r="L1536" s="10">
        <v>0</v>
      </c>
      <c r="M1536" s="10">
        <v>1274</v>
      </c>
      <c r="N1536" s="10">
        <v>0</v>
      </c>
      <c r="O1536" s="10">
        <f>Table1[[#This Row],[NET Amount]]-Table1[[#This Row],[Paid Amount]]</f>
        <v>1274</v>
      </c>
      <c r="P1536" s="2" t="s">
        <v>23</v>
      </c>
      <c r="Q1536" s="2" t="s">
        <v>54</v>
      </c>
      <c r="R1536" s="16">
        <f>(Table1[[#This Row],[NET Amount]]-Table1[[#This Row],[Total Outstanding Amount]])/Table1[[#This Row],[NET Amount]]</f>
        <v>0</v>
      </c>
      <c r="S1536" s="2" t="s">
        <v>97</v>
      </c>
    </row>
    <row r="1537" spans="1:19" x14ac:dyDescent="0.3">
      <c r="A1537" s="4">
        <v>1535</v>
      </c>
      <c r="B1537" s="2" t="s">
        <v>380</v>
      </c>
      <c r="C1537" s="3">
        <v>44842</v>
      </c>
      <c r="D1537" s="3" t="str">
        <f>TEXT(Table1[[#This Row],[Admission Date]],"MMMM")</f>
        <v>October</v>
      </c>
      <c r="E1537" s="3">
        <v>44842</v>
      </c>
      <c r="F1537" s="3">
        <v>44842</v>
      </c>
      <c r="G1537" s="2">
        <v>22026217</v>
      </c>
      <c r="H1537" s="2">
        <v>2235206</v>
      </c>
      <c r="I1537" s="2">
        <v>1001542371</v>
      </c>
      <c r="J1537" s="2" t="s">
        <v>385</v>
      </c>
      <c r="K1537" s="10">
        <v>1274</v>
      </c>
      <c r="L1537" s="10">
        <v>0</v>
      </c>
      <c r="M1537" s="10">
        <v>1274</v>
      </c>
      <c r="N1537" s="10">
        <v>0</v>
      </c>
      <c r="O1537" s="10">
        <f>Table1[[#This Row],[NET Amount]]-Table1[[#This Row],[Paid Amount]]</f>
        <v>1274</v>
      </c>
      <c r="P1537" s="2" t="s">
        <v>23</v>
      </c>
      <c r="Q1537" s="2" t="s">
        <v>54</v>
      </c>
      <c r="R1537" s="16">
        <f>(Table1[[#This Row],[NET Amount]]-Table1[[#This Row],[Total Outstanding Amount]])/Table1[[#This Row],[NET Amount]]</f>
        <v>0</v>
      </c>
      <c r="S1537" s="2" t="s">
        <v>97</v>
      </c>
    </row>
    <row r="1538" spans="1:19" x14ac:dyDescent="0.3">
      <c r="A1538" s="4">
        <v>1536</v>
      </c>
      <c r="B1538" s="2" t="s">
        <v>380</v>
      </c>
      <c r="C1538" s="3">
        <v>44847</v>
      </c>
      <c r="D1538" s="3" t="str">
        <f>TEXT(Table1[[#This Row],[Admission Date]],"MMMM")</f>
        <v>October</v>
      </c>
      <c r="E1538" s="3">
        <v>44847</v>
      </c>
      <c r="F1538" s="3">
        <v>44847</v>
      </c>
      <c r="G1538" s="2">
        <v>22026955</v>
      </c>
      <c r="H1538" s="2">
        <v>2235882</v>
      </c>
      <c r="I1538" s="2">
        <v>1001092597</v>
      </c>
      <c r="J1538" s="2" t="s">
        <v>384</v>
      </c>
      <c r="K1538" s="10">
        <v>1274</v>
      </c>
      <c r="L1538" s="10">
        <v>0</v>
      </c>
      <c r="M1538" s="10">
        <v>1274</v>
      </c>
      <c r="N1538" s="10">
        <v>0</v>
      </c>
      <c r="O1538" s="10">
        <f>Table1[[#This Row],[NET Amount]]-Table1[[#This Row],[Paid Amount]]</f>
        <v>1274</v>
      </c>
      <c r="P1538" s="2" t="s">
        <v>23</v>
      </c>
      <c r="Q1538" s="2" t="s">
        <v>54</v>
      </c>
      <c r="R1538" s="16">
        <f>(Table1[[#This Row],[NET Amount]]-Table1[[#This Row],[Total Outstanding Amount]])/Table1[[#This Row],[NET Amount]]</f>
        <v>0</v>
      </c>
      <c r="S1538" s="2" t="s">
        <v>97</v>
      </c>
    </row>
    <row r="1539" spans="1:19" x14ac:dyDescent="0.3">
      <c r="A1539" s="4">
        <v>1537</v>
      </c>
      <c r="B1539" s="2" t="s">
        <v>380</v>
      </c>
      <c r="C1539" s="3">
        <v>44846</v>
      </c>
      <c r="D1539" s="3" t="str">
        <f>TEXT(Table1[[#This Row],[Admission Date]],"MMMM")</f>
        <v>October</v>
      </c>
      <c r="E1539" s="3">
        <v>44848</v>
      </c>
      <c r="F1539" s="3">
        <v>44848</v>
      </c>
      <c r="G1539" s="2">
        <v>22027023</v>
      </c>
      <c r="H1539" s="2">
        <v>2235781</v>
      </c>
      <c r="I1539" s="2">
        <v>10013320773</v>
      </c>
      <c r="J1539" s="2" t="s">
        <v>1084</v>
      </c>
      <c r="K1539" s="10">
        <v>162594</v>
      </c>
      <c r="L1539" s="10">
        <v>0</v>
      </c>
      <c r="M1539" s="10">
        <v>162594</v>
      </c>
      <c r="N1539" s="10">
        <v>0</v>
      </c>
      <c r="O1539" s="10">
        <f>Table1[[#This Row],[NET Amount]]-Table1[[#This Row],[Paid Amount]]</f>
        <v>162594</v>
      </c>
      <c r="P1539" s="2" t="s">
        <v>23</v>
      </c>
      <c r="Q1539" s="2" t="s">
        <v>24</v>
      </c>
      <c r="R1539" s="16">
        <f>(Table1[[#This Row],[NET Amount]]-Table1[[#This Row],[Total Outstanding Amount]])/Table1[[#This Row],[NET Amount]]</f>
        <v>0</v>
      </c>
      <c r="S1539" s="2" t="s">
        <v>39</v>
      </c>
    </row>
    <row r="1540" spans="1:19" x14ac:dyDescent="0.3">
      <c r="A1540" s="4">
        <v>1538</v>
      </c>
      <c r="B1540" s="2" t="s">
        <v>2263</v>
      </c>
      <c r="C1540" s="3">
        <v>44845</v>
      </c>
      <c r="D1540" s="3" t="str">
        <f>TEXT(Table1[[#This Row],[Admission Date]],"MMMM")</f>
        <v>October</v>
      </c>
      <c r="E1540" s="3">
        <v>44845</v>
      </c>
      <c r="F1540" s="3">
        <v>44845</v>
      </c>
      <c r="G1540" s="2">
        <v>22026624</v>
      </c>
      <c r="H1540" s="2">
        <v>2235597</v>
      </c>
      <c r="I1540" s="2">
        <v>1001527101</v>
      </c>
      <c r="J1540" s="2" t="s">
        <v>795</v>
      </c>
      <c r="K1540" s="10">
        <v>1274</v>
      </c>
      <c r="L1540" s="10">
        <v>0</v>
      </c>
      <c r="M1540" s="10">
        <v>1274</v>
      </c>
      <c r="N1540" s="10">
        <v>0</v>
      </c>
      <c r="O1540" s="10">
        <f>Table1[[#This Row],[NET Amount]]-Table1[[#This Row],[Paid Amount]]</f>
        <v>1274</v>
      </c>
      <c r="P1540" s="2" t="s">
        <v>23</v>
      </c>
      <c r="Q1540" s="2" t="s">
        <v>54</v>
      </c>
      <c r="R1540" s="16">
        <f>(Table1[[#This Row],[NET Amount]]-Table1[[#This Row],[Total Outstanding Amount]])/Table1[[#This Row],[NET Amount]]</f>
        <v>0</v>
      </c>
      <c r="S1540" s="2" t="s">
        <v>97</v>
      </c>
    </row>
    <row r="1541" spans="1:19" x14ac:dyDescent="0.3">
      <c r="A1541" s="4">
        <v>1539</v>
      </c>
      <c r="B1541" s="2" t="s">
        <v>2260</v>
      </c>
      <c r="C1541" s="3">
        <v>44840</v>
      </c>
      <c r="D1541" s="3" t="str">
        <f>TEXT(Table1[[#This Row],[Admission Date]],"MMMM")</f>
        <v>October</v>
      </c>
      <c r="E1541" s="3">
        <v>44840</v>
      </c>
      <c r="F1541" s="3">
        <v>44840</v>
      </c>
      <c r="G1541" s="2">
        <v>22025890</v>
      </c>
      <c r="H1541" s="2">
        <v>2234897</v>
      </c>
      <c r="I1541" s="2">
        <v>1001756832</v>
      </c>
      <c r="J1541" s="2" t="s">
        <v>326</v>
      </c>
      <c r="K1541" s="10">
        <v>1610</v>
      </c>
      <c r="L1541" s="10">
        <v>0</v>
      </c>
      <c r="M1541" s="10">
        <v>1610</v>
      </c>
      <c r="N1541" s="10">
        <v>0</v>
      </c>
      <c r="O1541" s="10">
        <f>Table1[[#This Row],[NET Amount]]-Table1[[#This Row],[Paid Amount]]</f>
        <v>1610</v>
      </c>
      <c r="P1541" s="2" t="s">
        <v>23</v>
      </c>
      <c r="Q1541" s="2" t="s">
        <v>54</v>
      </c>
      <c r="R1541" s="16">
        <f>(Table1[[#This Row],[NET Amount]]-Table1[[#This Row],[Total Outstanding Amount]])/Table1[[#This Row],[NET Amount]]</f>
        <v>0</v>
      </c>
      <c r="S1541" s="2" t="s">
        <v>97</v>
      </c>
    </row>
    <row r="1542" spans="1:19" x14ac:dyDescent="0.3">
      <c r="A1542" s="4">
        <v>1540</v>
      </c>
      <c r="B1542" s="2" t="s">
        <v>380</v>
      </c>
      <c r="C1542" s="3">
        <v>44847</v>
      </c>
      <c r="D1542" s="3" t="str">
        <f>TEXT(Table1[[#This Row],[Admission Date]],"MMMM")</f>
        <v>October</v>
      </c>
      <c r="E1542" s="3">
        <v>44847</v>
      </c>
      <c r="F1542" s="3">
        <v>44847</v>
      </c>
      <c r="G1542" s="2">
        <v>22026943</v>
      </c>
      <c r="H1542" s="2">
        <v>2235865</v>
      </c>
      <c r="I1542" s="2">
        <v>10013299539</v>
      </c>
      <c r="J1542" s="2" t="s">
        <v>487</v>
      </c>
      <c r="K1542" s="10">
        <v>1274</v>
      </c>
      <c r="L1542" s="10">
        <v>0</v>
      </c>
      <c r="M1542" s="10">
        <v>1274</v>
      </c>
      <c r="N1542" s="10">
        <v>0</v>
      </c>
      <c r="O1542" s="10">
        <f>Table1[[#This Row],[NET Amount]]-Table1[[#This Row],[Paid Amount]]</f>
        <v>1274</v>
      </c>
      <c r="P1542" s="2" t="s">
        <v>23</v>
      </c>
      <c r="Q1542" s="2" t="s">
        <v>54</v>
      </c>
      <c r="R1542" s="16">
        <f>(Table1[[#This Row],[NET Amount]]-Table1[[#This Row],[Total Outstanding Amount]])/Table1[[#This Row],[NET Amount]]</f>
        <v>0</v>
      </c>
      <c r="S1542" s="2" t="s">
        <v>97</v>
      </c>
    </row>
    <row r="1543" spans="1:19" x14ac:dyDescent="0.3">
      <c r="A1543" s="4">
        <v>1541</v>
      </c>
      <c r="B1543" s="2" t="s">
        <v>380</v>
      </c>
      <c r="C1543" s="3">
        <v>44839</v>
      </c>
      <c r="D1543" s="3" t="str">
        <f>TEXT(Table1[[#This Row],[Admission Date]],"MMMM")</f>
        <v>October</v>
      </c>
      <c r="E1543" s="3">
        <v>44839</v>
      </c>
      <c r="F1543" s="3">
        <v>44839</v>
      </c>
      <c r="G1543" s="2">
        <v>22025773</v>
      </c>
      <c r="H1543" s="2">
        <v>2234757</v>
      </c>
      <c r="I1543" s="2">
        <v>1001590721</v>
      </c>
      <c r="J1543" s="2" t="s">
        <v>461</v>
      </c>
      <c r="K1543" s="10">
        <v>1274</v>
      </c>
      <c r="L1543" s="10">
        <v>0</v>
      </c>
      <c r="M1543" s="10">
        <v>1274</v>
      </c>
      <c r="N1543" s="10">
        <v>0</v>
      </c>
      <c r="O1543" s="10">
        <f>Table1[[#This Row],[NET Amount]]-Table1[[#This Row],[Paid Amount]]</f>
        <v>1274</v>
      </c>
      <c r="P1543" s="2" t="s">
        <v>23</v>
      </c>
      <c r="Q1543" s="2" t="s">
        <v>54</v>
      </c>
      <c r="R1543" s="16">
        <f>(Table1[[#This Row],[NET Amount]]-Table1[[#This Row],[Total Outstanding Amount]])/Table1[[#This Row],[NET Amount]]</f>
        <v>0</v>
      </c>
      <c r="S1543" s="2" t="s">
        <v>97</v>
      </c>
    </row>
    <row r="1544" spans="1:19" x14ac:dyDescent="0.3">
      <c r="A1544" s="4">
        <v>1542</v>
      </c>
      <c r="B1544" s="2" t="s">
        <v>380</v>
      </c>
      <c r="C1544" s="3">
        <v>44837</v>
      </c>
      <c r="D1544" s="3" t="str">
        <f>TEXT(Table1[[#This Row],[Admission Date]],"MMMM")</f>
        <v>October</v>
      </c>
      <c r="E1544" s="3">
        <v>44837</v>
      </c>
      <c r="F1544" s="3">
        <v>44837</v>
      </c>
      <c r="G1544" s="2">
        <v>22025409</v>
      </c>
      <c r="H1544" s="2">
        <v>2234411</v>
      </c>
      <c r="I1544" s="2">
        <v>1001033406</v>
      </c>
      <c r="J1544" s="2" t="s">
        <v>388</v>
      </c>
      <c r="K1544" s="10">
        <v>1274</v>
      </c>
      <c r="L1544" s="10">
        <v>0</v>
      </c>
      <c r="M1544" s="10">
        <v>1274</v>
      </c>
      <c r="N1544" s="10">
        <v>0</v>
      </c>
      <c r="O1544" s="10">
        <f>Table1[[#This Row],[NET Amount]]-Table1[[#This Row],[Paid Amount]]</f>
        <v>1274</v>
      </c>
      <c r="P1544" s="2" t="s">
        <v>23</v>
      </c>
      <c r="Q1544" s="2" t="s">
        <v>54</v>
      </c>
      <c r="R1544" s="16">
        <f>(Table1[[#This Row],[NET Amount]]-Table1[[#This Row],[Total Outstanding Amount]])/Table1[[#This Row],[NET Amount]]</f>
        <v>0</v>
      </c>
      <c r="S1544" s="2" t="s">
        <v>97</v>
      </c>
    </row>
    <row r="1545" spans="1:19" x14ac:dyDescent="0.3">
      <c r="A1545" s="4">
        <v>1543</v>
      </c>
      <c r="B1545" s="2" t="s">
        <v>380</v>
      </c>
      <c r="C1545" s="3">
        <v>44837</v>
      </c>
      <c r="D1545" s="3" t="str">
        <f>TEXT(Table1[[#This Row],[Admission Date]],"MMMM")</f>
        <v>October</v>
      </c>
      <c r="E1545" s="3">
        <v>44837</v>
      </c>
      <c r="F1545" s="3">
        <v>44837</v>
      </c>
      <c r="G1545" s="2">
        <v>22025464</v>
      </c>
      <c r="H1545" s="2">
        <v>2234480</v>
      </c>
      <c r="I1545" s="2">
        <v>10013371548</v>
      </c>
      <c r="J1545" s="2" t="s">
        <v>482</v>
      </c>
      <c r="K1545" s="10">
        <v>1274</v>
      </c>
      <c r="L1545" s="10">
        <v>0</v>
      </c>
      <c r="M1545" s="10">
        <v>1274</v>
      </c>
      <c r="N1545" s="10">
        <v>0</v>
      </c>
      <c r="O1545" s="10">
        <f>Table1[[#This Row],[NET Amount]]-Table1[[#This Row],[Paid Amount]]</f>
        <v>1274</v>
      </c>
      <c r="P1545" s="2" t="s">
        <v>23</v>
      </c>
      <c r="Q1545" s="2" t="s">
        <v>54</v>
      </c>
      <c r="R1545" s="16">
        <f>(Table1[[#This Row],[NET Amount]]-Table1[[#This Row],[Total Outstanding Amount]])/Table1[[#This Row],[NET Amount]]</f>
        <v>0</v>
      </c>
      <c r="S1545" s="2" t="s">
        <v>97</v>
      </c>
    </row>
    <row r="1546" spans="1:19" x14ac:dyDescent="0.3">
      <c r="A1546" s="4">
        <v>1544</v>
      </c>
      <c r="B1546" s="2" t="s">
        <v>380</v>
      </c>
      <c r="C1546" s="3">
        <v>44835</v>
      </c>
      <c r="D1546" s="3" t="str">
        <f>TEXT(Table1[[#This Row],[Admission Date]],"MMMM")</f>
        <v>October</v>
      </c>
      <c r="E1546" s="3">
        <v>44835</v>
      </c>
      <c r="F1546" s="3">
        <v>44835</v>
      </c>
      <c r="G1546" s="2">
        <v>22025256</v>
      </c>
      <c r="H1546" s="2">
        <v>2234280</v>
      </c>
      <c r="I1546" s="2">
        <v>10013506167</v>
      </c>
      <c r="J1546" s="2" t="s">
        <v>467</v>
      </c>
      <c r="K1546" s="10">
        <v>1274</v>
      </c>
      <c r="L1546" s="10">
        <v>0</v>
      </c>
      <c r="M1546" s="10">
        <v>1274</v>
      </c>
      <c r="N1546" s="10">
        <v>0</v>
      </c>
      <c r="O1546" s="10">
        <f>Table1[[#This Row],[NET Amount]]-Table1[[#This Row],[Paid Amount]]</f>
        <v>1274</v>
      </c>
      <c r="P1546" s="2" t="s">
        <v>23</v>
      </c>
      <c r="Q1546" s="2" t="s">
        <v>54</v>
      </c>
      <c r="R1546" s="16">
        <f>(Table1[[#This Row],[NET Amount]]-Table1[[#This Row],[Total Outstanding Amount]])/Table1[[#This Row],[NET Amount]]</f>
        <v>0</v>
      </c>
      <c r="S1546" s="2" t="s">
        <v>97</v>
      </c>
    </row>
    <row r="1547" spans="1:19" x14ac:dyDescent="0.3">
      <c r="A1547" s="4">
        <v>1545</v>
      </c>
      <c r="B1547" s="2" t="s">
        <v>380</v>
      </c>
      <c r="C1547" s="3">
        <v>44854</v>
      </c>
      <c r="D1547" s="3" t="str">
        <f>TEXT(Table1[[#This Row],[Admission Date]],"MMMM")</f>
        <v>October</v>
      </c>
      <c r="E1547" s="3">
        <v>44854</v>
      </c>
      <c r="F1547" s="3">
        <v>44854</v>
      </c>
      <c r="G1547" s="2">
        <v>22027955</v>
      </c>
      <c r="H1547" s="2">
        <v>2236841</v>
      </c>
      <c r="I1547" s="2">
        <v>10013223537</v>
      </c>
      <c r="J1547" s="2" t="s">
        <v>382</v>
      </c>
      <c r="K1547" s="10">
        <v>1274</v>
      </c>
      <c r="L1547" s="10">
        <v>0</v>
      </c>
      <c r="M1547" s="10">
        <v>1274</v>
      </c>
      <c r="N1547" s="10">
        <v>0</v>
      </c>
      <c r="O1547" s="10">
        <f>Table1[[#This Row],[NET Amount]]-Table1[[#This Row],[Paid Amount]]</f>
        <v>1274</v>
      </c>
      <c r="P1547" s="2" t="s">
        <v>23</v>
      </c>
      <c r="Q1547" s="2" t="s">
        <v>54</v>
      </c>
      <c r="R1547" s="16">
        <f>(Table1[[#This Row],[NET Amount]]-Table1[[#This Row],[Total Outstanding Amount]])/Table1[[#This Row],[NET Amount]]</f>
        <v>0</v>
      </c>
      <c r="S1547" s="2" t="s">
        <v>97</v>
      </c>
    </row>
    <row r="1548" spans="1:19" x14ac:dyDescent="0.3">
      <c r="A1548" s="4">
        <v>1546</v>
      </c>
      <c r="B1548" s="2" t="s">
        <v>2263</v>
      </c>
      <c r="C1548" s="3">
        <v>44865</v>
      </c>
      <c r="D1548" s="3" t="str">
        <f>TEXT(Table1[[#This Row],[Admission Date]],"MMMM")</f>
        <v>October</v>
      </c>
      <c r="E1548" s="3">
        <v>44865</v>
      </c>
      <c r="F1548" s="3">
        <v>44865</v>
      </c>
      <c r="G1548" s="2">
        <v>22029372</v>
      </c>
      <c r="H1548" s="2">
        <v>2238245</v>
      </c>
      <c r="I1548" s="2">
        <v>1001677731</v>
      </c>
      <c r="J1548" s="2" t="s">
        <v>397</v>
      </c>
      <c r="K1548" s="10">
        <v>1274</v>
      </c>
      <c r="L1548" s="10">
        <v>0</v>
      </c>
      <c r="M1548" s="10">
        <v>1274</v>
      </c>
      <c r="N1548" s="10">
        <v>0</v>
      </c>
      <c r="O1548" s="10">
        <f>Table1[[#This Row],[NET Amount]]-Table1[[#This Row],[Paid Amount]]</f>
        <v>1274</v>
      </c>
      <c r="P1548" s="2" t="s">
        <v>23</v>
      </c>
      <c r="Q1548" s="2" t="s">
        <v>54</v>
      </c>
      <c r="R1548" s="16">
        <f>(Table1[[#This Row],[NET Amount]]-Table1[[#This Row],[Total Outstanding Amount]])/Table1[[#This Row],[NET Amount]]</f>
        <v>0</v>
      </c>
      <c r="S1548" s="2" t="s">
        <v>97</v>
      </c>
    </row>
    <row r="1549" spans="1:19" x14ac:dyDescent="0.3">
      <c r="A1549" s="4">
        <v>1547</v>
      </c>
      <c r="B1549" s="2" t="s">
        <v>2263</v>
      </c>
      <c r="C1549" s="3">
        <v>44837</v>
      </c>
      <c r="D1549" s="3" t="str">
        <f>TEXT(Table1[[#This Row],[Admission Date]],"MMMM")</f>
        <v>October</v>
      </c>
      <c r="E1549" s="3">
        <v>44837</v>
      </c>
      <c r="F1549" s="3">
        <v>44837</v>
      </c>
      <c r="G1549" s="2">
        <v>22025433</v>
      </c>
      <c r="H1549" s="2">
        <v>2234425</v>
      </c>
      <c r="I1549" s="2">
        <v>1001648223</v>
      </c>
      <c r="J1549" s="2" t="s">
        <v>458</v>
      </c>
      <c r="K1549" s="10">
        <v>1274</v>
      </c>
      <c r="L1549" s="10">
        <v>0</v>
      </c>
      <c r="M1549" s="10">
        <v>1274</v>
      </c>
      <c r="N1549" s="10">
        <v>0</v>
      </c>
      <c r="O1549" s="10">
        <f>Table1[[#This Row],[NET Amount]]-Table1[[#This Row],[Paid Amount]]</f>
        <v>1274</v>
      </c>
      <c r="P1549" s="2" t="s">
        <v>23</v>
      </c>
      <c r="Q1549" s="2" t="s">
        <v>54</v>
      </c>
      <c r="R1549" s="16">
        <f>(Table1[[#This Row],[NET Amount]]-Table1[[#This Row],[Total Outstanding Amount]])/Table1[[#This Row],[NET Amount]]</f>
        <v>0</v>
      </c>
      <c r="S1549" s="2" t="s">
        <v>97</v>
      </c>
    </row>
    <row r="1550" spans="1:19" x14ac:dyDescent="0.3">
      <c r="A1550" s="4">
        <v>1548</v>
      </c>
      <c r="B1550" s="2" t="s">
        <v>380</v>
      </c>
      <c r="C1550" s="3">
        <v>44838</v>
      </c>
      <c r="D1550" s="3" t="str">
        <f>TEXT(Table1[[#This Row],[Admission Date]],"MMMM")</f>
        <v>October</v>
      </c>
      <c r="E1550" s="3">
        <v>44838</v>
      </c>
      <c r="F1550" s="3">
        <v>44838</v>
      </c>
      <c r="G1550" s="2">
        <v>22025625</v>
      </c>
      <c r="H1550" s="2">
        <v>2234644</v>
      </c>
      <c r="I1550" s="2">
        <v>10013451090</v>
      </c>
      <c r="J1550" s="2" t="s">
        <v>808</v>
      </c>
      <c r="K1550" s="10">
        <v>1274</v>
      </c>
      <c r="L1550" s="10">
        <v>0</v>
      </c>
      <c r="M1550" s="10">
        <v>1274</v>
      </c>
      <c r="N1550" s="10">
        <v>0</v>
      </c>
      <c r="O1550" s="10">
        <f>Table1[[#This Row],[NET Amount]]-Table1[[#This Row],[Paid Amount]]</f>
        <v>1274</v>
      </c>
      <c r="P1550" s="2" t="s">
        <v>23</v>
      </c>
      <c r="Q1550" s="2" t="s">
        <v>54</v>
      </c>
      <c r="R1550" s="16">
        <f>(Table1[[#This Row],[NET Amount]]-Table1[[#This Row],[Total Outstanding Amount]])/Table1[[#This Row],[NET Amount]]</f>
        <v>0</v>
      </c>
      <c r="S1550" s="2" t="s">
        <v>97</v>
      </c>
    </row>
    <row r="1551" spans="1:19" x14ac:dyDescent="0.3">
      <c r="A1551" s="4">
        <v>1549</v>
      </c>
      <c r="B1551" s="2" t="s">
        <v>282</v>
      </c>
      <c r="C1551" s="3">
        <v>44845</v>
      </c>
      <c r="D1551" s="3" t="str">
        <f>TEXT(Table1[[#This Row],[Admission Date]],"MMMM")</f>
        <v>October</v>
      </c>
      <c r="E1551" s="3">
        <v>44847</v>
      </c>
      <c r="F1551" s="3">
        <v>44847</v>
      </c>
      <c r="G1551" s="2">
        <v>22026843</v>
      </c>
      <c r="H1551" s="2">
        <v>2235579</v>
      </c>
      <c r="I1551" s="2">
        <v>10013510546</v>
      </c>
      <c r="J1551" s="2" t="s">
        <v>1085</v>
      </c>
      <c r="K1551" s="10">
        <v>57764</v>
      </c>
      <c r="L1551" s="10">
        <v>27764</v>
      </c>
      <c r="M1551" s="10">
        <v>30000</v>
      </c>
      <c r="N1551" s="10">
        <v>0</v>
      </c>
      <c r="O1551" s="10">
        <f>Table1[[#This Row],[NET Amount]]-Table1[[#This Row],[Paid Amount]]</f>
        <v>30000</v>
      </c>
      <c r="P1551" s="2" t="s">
        <v>23</v>
      </c>
      <c r="Q1551" s="2" t="s">
        <v>24</v>
      </c>
      <c r="R1551" s="16">
        <f>(Table1[[#This Row],[NET Amount]]-Table1[[#This Row],[Total Outstanding Amount]])/Table1[[#This Row],[NET Amount]]</f>
        <v>0</v>
      </c>
      <c r="S1551" s="2" t="s">
        <v>55</v>
      </c>
    </row>
    <row r="1552" spans="1:19" x14ac:dyDescent="0.3">
      <c r="A1552" s="4">
        <v>1550</v>
      </c>
      <c r="B1552" s="2" t="s">
        <v>559</v>
      </c>
      <c r="C1552" s="3">
        <v>44840</v>
      </c>
      <c r="D1552" s="3" t="str">
        <f>TEXT(Table1[[#This Row],[Admission Date]],"MMMM")</f>
        <v>October</v>
      </c>
      <c r="E1552" s="3">
        <v>44844</v>
      </c>
      <c r="F1552" s="3">
        <v>44844</v>
      </c>
      <c r="G1552" s="2">
        <v>22026354</v>
      </c>
      <c r="H1552" s="2">
        <v>2234928</v>
      </c>
      <c r="I1552" s="2">
        <v>10013458836</v>
      </c>
      <c r="J1552" s="2" t="s">
        <v>1086</v>
      </c>
      <c r="K1552" s="10">
        <v>107448</v>
      </c>
      <c r="L1552" s="10">
        <v>0</v>
      </c>
      <c r="M1552" s="10">
        <v>107448</v>
      </c>
      <c r="N1552" s="10">
        <v>0</v>
      </c>
      <c r="O1552" s="10">
        <f>Table1[[#This Row],[NET Amount]]-Table1[[#This Row],[Paid Amount]]</f>
        <v>107448</v>
      </c>
      <c r="P1552" s="2" t="s">
        <v>23</v>
      </c>
      <c r="Q1552" s="2" t="s">
        <v>104</v>
      </c>
      <c r="R1552" s="16">
        <f>(Table1[[#This Row],[NET Amount]]-Table1[[#This Row],[Total Outstanding Amount]])/Table1[[#This Row],[NET Amount]]</f>
        <v>0</v>
      </c>
      <c r="S1552" s="2" t="s">
        <v>20</v>
      </c>
    </row>
    <row r="1553" spans="1:19" x14ac:dyDescent="0.3">
      <c r="A1553" s="4">
        <v>1551</v>
      </c>
      <c r="B1553" s="2" t="s">
        <v>45</v>
      </c>
      <c r="C1553" s="3">
        <v>44859</v>
      </c>
      <c r="D1553" s="3" t="str">
        <f>TEXT(Table1[[#This Row],[Admission Date]],"MMMM")</f>
        <v>October</v>
      </c>
      <c r="E1553" s="3">
        <v>44859</v>
      </c>
      <c r="F1553" s="3">
        <v>44859</v>
      </c>
      <c r="G1553" s="2">
        <v>22028504</v>
      </c>
      <c r="H1553" s="2">
        <v>2237315</v>
      </c>
      <c r="I1553" s="2">
        <v>1001684515</v>
      </c>
      <c r="J1553" s="2" t="s">
        <v>414</v>
      </c>
      <c r="K1553" s="10">
        <v>2200</v>
      </c>
      <c r="L1553" s="10">
        <v>0</v>
      </c>
      <c r="M1553" s="10">
        <v>2200</v>
      </c>
      <c r="N1553" s="10">
        <v>0</v>
      </c>
      <c r="O1553" s="10">
        <f>Table1[[#This Row],[NET Amount]]-Table1[[#This Row],[Paid Amount]]</f>
        <v>2200</v>
      </c>
      <c r="P1553" s="2" t="s">
        <v>23</v>
      </c>
      <c r="Q1553" s="2" t="s">
        <v>147</v>
      </c>
      <c r="R1553" s="16">
        <f>(Table1[[#This Row],[NET Amount]]-Table1[[#This Row],[Total Outstanding Amount]])/Table1[[#This Row],[NET Amount]]</f>
        <v>0</v>
      </c>
      <c r="S1553" s="2" t="s">
        <v>97</v>
      </c>
    </row>
    <row r="1554" spans="1:19" x14ac:dyDescent="0.3">
      <c r="A1554" s="4">
        <v>1552</v>
      </c>
      <c r="B1554" s="2" t="s">
        <v>144</v>
      </c>
      <c r="C1554" s="3">
        <v>44841</v>
      </c>
      <c r="D1554" s="3" t="str">
        <f>TEXT(Table1[[#This Row],[Admission Date]],"MMMM")</f>
        <v>October</v>
      </c>
      <c r="E1554" s="3">
        <v>44841</v>
      </c>
      <c r="F1554" s="3">
        <v>44841</v>
      </c>
      <c r="G1554" s="2">
        <v>22025928</v>
      </c>
      <c r="H1554" s="2">
        <v>2234979</v>
      </c>
      <c r="I1554" s="2">
        <v>1001183341</v>
      </c>
      <c r="J1554" s="2" t="s">
        <v>485</v>
      </c>
      <c r="K1554" s="10">
        <v>2200</v>
      </c>
      <c r="L1554" s="10">
        <v>0</v>
      </c>
      <c r="M1554" s="10">
        <v>2200</v>
      </c>
      <c r="N1554" s="10">
        <v>0</v>
      </c>
      <c r="O1554" s="10">
        <f>Table1[[#This Row],[NET Amount]]-Table1[[#This Row],[Paid Amount]]</f>
        <v>2200</v>
      </c>
      <c r="P1554" s="2" t="s">
        <v>23</v>
      </c>
      <c r="Q1554" s="2" t="s">
        <v>147</v>
      </c>
      <c r="R1554" s="16">
        <f>(Table1[[#This Row],[NET Amount]]-Table1[[#This Row],[Total Outstanding Amount]])/Table1[[#This Row],[NET Amount]]</f>
        <v>0</v>
      </c>
      <c r="S1554" s="2" t="s">
        <v>97</v>
      </c>
    </row>
    <row r="1555" spans="1:19" x14ac:dyDescent="0.3">
      <c r="A1555" s="4">
        <v>1553</v>
      </c>
      <c r="B1555" s="2" t="s">
        <v>28</v>
      </c>
      <c r="C1555" s="3">
        <v>44859</v>
      </c>
      <c r="D1555" s="3" t="str">
        <f>TEXT(Table1[[#This Row],[Admission Date]],"MMMM")</f>
        <v>October</v>
      </c>
      <c r="E1555" s="3">
        <v>44859</v>
      </c>
      <c r="F1555" s="3">
        <v>44859</v>
      </c>
      <c r="G1555" s="2">
        <v>22028523</v>
      </c>
      <c r="H1555" s="2">
        <v>2237269</v>
      </c>
      <c r="I1555" s="2">
        <v>10013484190</v>
      </c>
      <c r="J1555" s="2" t="s">
        <v>427</v>
      </c>
      <c r="K1555" s="10">
        <v>2240</v>
      </c>
      <c r="L1555" s="10">
        <v>0</v>
      </c>
      <c r="M1555" s="10">
        <v>2240</v>
      </c>
      <c r="N1555" s="10">
        <v>0</v>
      </c>
      <c r="O1555" s="10">
        <f>Table1[[#This Row],[NET Amount]]-Table1[[#This Row],[Paid Amount]]</f>
        <v>2240</v>
      </c>
      <c r="P1555" s="2" t="s">
        <v>23</v>
      </c>
      <c r="Q1555" s="2" t="s">
        <v>54</v>
      </c>
      <c r="R1555" s="16">
        <f>(Table1[[#This Row],[NET Amount]]-Table1[[#This Row],[Total Outstanding Amount]])/Table1[[#This Row],[NET Amount]]</f>
        <v>0</v>
      </c>
      <c r="S1555" s="2" t="s">
        <v>97</v>
      </c>
    </row>
    <row r="1556" spans="1:19" x14ac:dyDescent="0.3">
      <c r="A1556" s="4">
        <v>1554</v>
      </c>
      <c r="B1556" s="2" t="s">
        <v>380</v>
      </c>
      <c r="C1556" s="3">
        <v>44863</v>
      </c>
      <c r="D1556" s="3" t="str">
        <f>TEXT(Table1[[#This Row],[Admission Date]],"MMMM")</f>
        <v>October</v>
      </c>
      <c r="E1556" s="3">
        <v>44863</v>
      </c>
      <c r="F1556" s="3">
        <v>44863</v>
      </c>
      <c r="G1556" s="2">
        <v>22029172</v>
      </c>
      <c r="H1556" s="2">
        <v>2238036</v>
      </c>
      <c r="I1556" s="2">
        <v>10013371548</v>
      </c>
      <c r="J1556" s="2" t="s">
        <v>482</v>
      </c>
      <c r="K1556" s="10">
        <v>1274</v>
      </c>
      <c r="L1556" s="10">
        <v>0</v>
      </c>
      <c r="M1556" s="10">
        <v>1274</v>
      </c>
      <c r="N1556" s="10">
        <v>0</v>
      </c>
      <c r="O1556" s="10">
        <f>Table1[[#This Row],[NET Amount]]-Table1[[#This Row],[Paid Amount]]</f>
        <v>1274</v>
      </c>
      <c r="P1556" s="2" t="s">
        <v>23</v>
      </c>
      <c r="Q1556" s="2" t="s">
        <v>54</v>
      </c>
      <c r="R1556" s="16">
        <f>(Table1[[#This Row],[NET Amount]]-Table1[[#This Row],[Total Outstanding Amount]])/Table1[[#This Row],[NET Amount]]</f>
        <v>0</v>
      </c>
      <c r="S1556" s="2" t="s">
        <v>97</v>
      </c>
    </row>
    <row r="1557" spans="1:19" x14ac:dyDescent="0.3">
      <c r="A1557" s="4">
        <v>1555</v>
      </c>
      <c r="B1557" s="2" t="s">
        <v>40</v>
      </c>
      <c r="C1557" s="3">
        <v>44841</v>
      </c>
      <c r="D1557" s="3" t="str">
        <f>TEXT(Table1[[#This Row],[Admission Date]],"MMMM")</f>
        <v>October</v>
      </c>
      <c r="E1557" s="3">
        <v>44841</v>
      </c>
      <c r="F1557" s="3">
        <v>44841</v>
      </c>
      <c r="G1557" s="2">
        <v>22025972</v>
      </c>
      <c r="H1557" s="2">
        <v>2235011</v>
      </c>
      <c r="I1557" s="2">
        <v>10013436915</v>
      </c>
      <c r="J1557" s="2" t="s">
        <v>773</v>
      </c>
      <c r="K1557" s="10">
        <v>2200</v>
      </c>
      <c r="L1557" s="10">
        <v>0</v>
      </c>
      <c r="M1557" s="10">
        <v>2200</v>
      </c>
      <c r="N1557" s="10">
        <v>0</v>
      </c>
      <c r="O1557" s="10">
        <f>Table1[[#This Row],[NET Amount]]-Table1[[#This Row],[Paid Amount]]</f>
        <v>2200</v>
      </c>
      <c r="P1557" s="2" t="s">
        <v>23</v>
      </c>
      <c r="Q1557" s="2" t="s">
        <v>147</v>
      </c>
      <c r="R1557" s="16">
        <f>(Table1[[#This Row],[NET Amount]]-Table1[[#This Row],[Total Outstanding Amount]])/Table1[[#This Row],[NET Amount]]</f>
        <v>0</v>
      </c>
      <c r="S1557" s="2" t="s">
        <v>97</v>
      </c>
    </row>
    <row r="1558" spans="1:19" x14ac:dyDescent="0.3">
      <c r="A1558" s="4">
        <v>1556</v>
      </c>
      <c r="B1558" s="2" t="s">
        <v>380</v>
      </c>
      <c r="C1558" s="3">
        <v>44851</v>
      </c>
      <c r="D1558" s="3" t="str">
        <f>TEXT(Table1[[#This Row],[Admission Date]],"MMMM")</f>
        <v>October</v>
      </c>
      <c r="E1558" s="3">
        <v>44853</v>
      </c>
      <c r="F1558" s="3">
        <v>44853</v>
      </c>
      <c r="G1558" s="2">
        <v>22027676</v>
      </c>
      <c r="H1558" s="2">
        <v>2236377</v>
      </c>
      <c r="I1558" s="2">
        <v>10013317365</v>
      </c>
      <c r="J1558" s="2" t="s">
        <v>1087</v>
      </c>
      <c r="K1558" s="10">
        <v>46754</v>
      </c>
      <c r="L1558" s="10">
        <v>0</v>
      </c>
      <c r="M1558" s="10">
        <v>46754</v>
      </c>
      <c r="N1558" s="10">
        <v>0</v>
      </c>
      <c r="O1558" s="10">
        <f>Table1[[#This Row],[NET Amount]]-Table1[[#This Row],[Paid Amount]]</f>
        <v>46754</v>
      </c>
      <c r="P1558" s="2" t="s">
        <v>23</v>
      </c>
      <c r="Q1558" s="2" t="s">
        <v>406</v>
      </c>
      <c r="R1558" s="16">
        <f>(Table1[[#This Row],[NET Amount]]-Table1[[#This Row],[Total Outstanding Amount]])/Table1[[#This Row],[NET Amount]]</f>
        <v>0</v>
      </c>
      <c r="S1558" s="2" t="s">
        <v>43</v>
      </c>
    </row>
    <row r="1559" spans="1:19" x14ac:dyDescent="0.3">
      <c r="A1559" s="4">
        <v>1557</v>
      </c>
      <c r="B1559" s="2" t="s">
        <v>2253</v>
      </c>
      <c r="C1559" s="3">
        <v>44853</v>
      </c>
      <c r="D1559" s="3" t="str">
        <f>TEXT(Table1[[#This Row],[Admission Date]],"MMMM")</f>
        <v>October</v>
      </c>
      <c r="E1559" s="3">
        <v>44853</v>
      </c>
      <c r="F1559" s="3">
        <v>44853</v>
      </c>
      <c r="G1559" s="2">
        <v>22027767</v>
      </c>
      <c r="H1559" s="2">
        <v>2236646</v>
      </c>
      <c r="I1559" s="2">
        <v>1001722362</v>
      </c>
      <c r="J1559" s="2" t="s">
        <v>418</v>
      </c>
      <c r="K1559" s="10">
        <v>1610</v>
      </c>
      <c r="L1559" s="10">
        <v>0</v>
      </c>
      <c r="M1559" s="10">
        <v>1610</v>
      </c>
      <c r="N1559" s="10">
        <v>0</v>
      </c>
      <c r="O1559" s="10">
        <f>Table1[[#This Row],[NET Amount]]-Table1[[#This Row],[Paid Amount]]</f>
        <v>1610</v>
      </c>
      <c r="P1559" s="2" t="s">
        <v>23</v>
      </c>
      <c r="Q1559" s="2" t="s">
        <v>54</v>
      </c>
      <c r="R1559" s="16">
        <f>(Table1[[#This Row],[NET Amount]]-Table1[[#This Row],[Total Outstanding Amount]])/Table1[[#This Row],[NET Amount]]</f>
        <v>0</v>
      </c>
      <c r="S1559" s="2" t="s">
        <v>97</v>
      </c>
    </row>
    <row r="1560" spans="1:19" x14ac:dyDescent="0.3">
      <c r="A1560" s="4">
        <v>1558</v>
      </c>
      <c r="B1560" s="2" t="s">
        <v>2263</v>
      </c>
      <c r="C1560" s="3">
        <v>44848</v>
      </c>
      <c r="D1560" s="3" t="str">
        <f>TEXT(Table1[[#This Row],[Admission Date]],"MMMM")</f>
        <v>October</v>
      </c>
      <c r="E1560" s="3">
        <v>44848</v>
      </c>
      <c r="F1560" s="3">
        <v>44848</v>
      </c>
      <c r="G1560" s="2">
        <v>22027086</v>
      </c>
      <c r="H1560" s="2">
        <v>2235999</v>
      </c>
      <c r="I1560" s="2">
        <v>1001657236</v>
      </c>
      <c r="J1560" s="2" t="s">
        <v>798</v>
      </c>
      <c r="K1560" s="10">
        <v>1274</v>
      </c>
      <c r="L1560" s="10">
        <v>0</v>
      </c>
      <c r="M1560" s="10">
        <v>1274</v>
      </c>
      <c r="N1560" s="10">
        <v>0</v>
      </c>
      <c r="O1560" s="10">
        <f>Table1[[#This Row],[NET Amount]]-Table1[[#This Row],[Paid Amount]]</f>
        <v>1274</v>
      </c>
      <c r="P1560" s="2" t="s">
        <v>23</v>
      </c>
      <c r="Q1560" s="2" t="s">
        <v>54</v>
      </c>
      <c r="R1560" s="16">
        <f>(Table1[[#This Row],[NET Amount]]-Table1[[#This Row],[Total Outstanding Amount]])/Table1[[#This Row],[NET Amount]]</f>
        <v>0</v>
      </c>
      <c r="S1560" s="2" t="s">
        <v>97</v>
      </c>
    </row>
    <row r="1561" spans="1:19" x14ac:dyDescent="0.3">
      <c r="A1561" s="4">
        <v>1559</v>
      </c>
      <c r="B1561" s="2" t="s">
        <v>380</v>
      </c>
      <c r="C1561" s="3">
        <v>44847</v>
      </c>
      <c r="D1561" s="3" t="str">
        <f>TEXT(Table1[[#This Row],[Admission Date]],"MMMM")</f>
        <v>October</v>
      </c>
      <c r="E1561" s="3">
        <v>44847</v>
      </c>
      <c r="F1561" s="3">
        <v>44847</v>
      </c>
      <c r="G1561" s="2">
        <v>22026833</v>
      </c>
      <c r="H1561" s="2">
        <v>2235807</v>
      </c>
      <c r="I1561" s="2">
        <v>1000899251</v>
      </c>
      <c r="J1561" s="2" t="s">
        <v>789</v>
      </c>
      <c r="K1561" s="10">
        <v>1274</v>
      </c>
      <c r="L1561" s="10">
        <v>0</v>
      </c>
      <c r="M1561" s="10">
        <v>1274</v>
      </c>
      <c r="N1561" s="10">
        <v>0</v>
      </c>
      <c r="O1561" s="10">
        <f>Table1[[#This Row],[NET Amount]]-Table1[[#This Row],[Paid Amount]]</f>
        <v>1274</v>
      </c>
      <c r="P1561" s="2" t="s">
        <v>23</v>
      </c>
      <c r="Q1561" s="2" t="s">
        <v>54</v>
      </c>
      <c r="R1561" s="16">
        <f>(Table1[[#This Row],[NET Amount]]-Table1[[#This Row],[Total Outstanding Amount]])/Table1[[#This Row],[NET Amount]]</f>
        <v>0</v>
      </c>
      <c r="S1561" s="2" t="s">
        <v>97</v>
      </c>
    </row>
    <row r="1562" spans="1:19" x14ac:dyDescent="0.3">
      <c r="A1562" s="4">
        <v>1560</v>
      </c>
      <c r="B1562" s="2" t="s">
        <v>380</v>
      </c>
      <c r="C1562" s="3">
        <v>44838</v>
      </c>
      <c r="D1562" s="3" t="str">
        <f>TEXT(Table1[[#This Row],[Admission Date]],"MMMM")</f>
        <v>October</v>
      </c>
      <c r="E1562" s="3">
        <v>44840</v>
      </c>
      <c r="F1562" s="3">
        <v>44840</v>
      </c>
      <c r="G1562" s="2">
        <v>22025835</v>
      </c>
      <c r="H1562" s="2">
        <v>2234629</v>
      </c>
      <c r="I1562" s="2">
        <v>1001802390</v>
      </c>
      <c r="J1562" s="2" t="s">
        <v>129</v>
      </c>
      <c r="K1562" s="10">
        <v>130994</v>
      </c>
      <c r="L1562" s="10">
        <v>0</v>
      </c>
      <c r="M1562" s="10">
        <v>130994</v>
      </c>
      <c r="N1562" s="10">
        <v>0</v>
      </c>
      <c r="O1562" s="10">
        <f>Table1[[#This Row],[NET Amount]]-Table1[[#This Row],[Paid Amount]]</f>
        <v>130994</v>
      </c>
      <c r="P1562" s="2" t="s">
        <v>23</v>
      </c>
      <c r="Q1562" s="2" t="s">
        <v>406</v>
      </c>
      <c r="R1562" s="16">
        <f>(Table1[[#This Row],[NET Amount]]-Table1[[#This Row],[Total Outstanding Amount]])/Table1[[#This Row],[NET Amount]]</f>
        <v>0</v>
      </c>
      <c r="S1562" s="2" t="s">
        <v>39</v>
      </c>
    </row>
    <row r="1563" spans="1:19" x14ac:dyDescent="0.3">
      <c r="A1563" s="4">
        <v>1561</v>
      </c>
      <c r="B1563" s="2" t="s">
        <v>2255</v>
      </c>
      <c r="C1563" s="3">
        <v>44837</v>
      </c>
      <c r="D1563" s="3" t="str">
        <f>TEXT(Table1[[#This Row],[Admission Date]],"MMMM")</f>
        <v>October</v>
      </c>
      <c r="E1563" s="3">
        <v>44838</v>
      </c>
      <c r="F1563" s="3">
        <v>44838</v>
      </c>
      <c r="G1563" s="2">
        <v>22025548</v>
      </c>
      <c r="H1563" s="2">
        <v>2234422</v>
      </c>
      <c r="I1563" s="2">
        <v>1001802159</v>
      </c>
      <c r="J1563" s="2" t="s">
        <v>1088</v>
      </c>
      <c r="K1563" s="10">
        <v>36403</v>
      </c>
      <c r="L1563" s="10">
        <v>1048</v>
      </c>
      <c r="M1563" s="10">
        <v>35356</v>
      </c>
      <c r="N1563" s="10">
        <v>0</v>
      </c>
      <c r="O1563" s="10">
        <f>Table1[[#This Row],[NET Amount]]-Table1[[#This Row],[Paid Amount]]</f>
        <v>35356</v>
      </c>
      <c r="P1563" s="2" t="s">
        <v>23</v>
      </c>
      <c r="Q1563" s="2" t="s">
        <v>30</v>
      </c>
      <c r="R1563" s="16">
        <f>(Table1[[#This Row],[NET Amount]]-Table1[[#This Row],[Total Outstanding Amount]])/Table1[[#This Row],[NET Amount]]</f>
        <v>0</v>
      </c>
      <c r="S1563" s="2" t="s">
        <v>77</v>
      </c>
    </row>
    <row r="1564" spans="1:19" x14ac:dyDescent="0.3">
      <c r="A1564" s="4">
        <v>1562</v>
      </c>
      <c r="B1564" s="2" t="s">
        <v>380</v>
      </c>
      <c r="C1564" s="3">
        <v>44846</v>
      </c>
      <c r="D1564" s="3" t="str">
        <f>TEXT(Table1[[#This Row],[Admission Date]],"MMMM")</f>
        <v>October</v>
      </c>
      <c r="E1564" s="3">
        <v>44846</v>
      </c>
      <c r="F1564" s="3">
        <v>44846</v>
      </c>
      <c r="G1564" s="2">
        <v>22026802</v>
      </c>
      <c r="H1564" s="2">
        <v>2235760</v>
      </c>
      <c r="I1564" s="2">
        <v>10013453025</v>
      </c>
      <c r="J1564" s="2" t="s">
        <v>435</v>
      </c>
      <c r="K1564" s="10">
        <v>1274</v>
      </c>
      <c r="L1564" s="10">
        <v>0</v>
      </c>
      <c r="M1564" s="10">
        <v>1274</v>
      </c>
      <c r="N1564" s="10">
        <v>0</v>
      </c>
      <c r="O1564" s="10">
        <f>Table1[[#This Row],[NET Amount]]-Table1[[#This Row],[Paid Amount]]</f>
        <v>1274</v>
      </c>
      <c r="P1564" s="2" t="s">
        <v>23</v>
      </c>
      <c r="Q1564" s="2" t="s">
        <v>54</v>
      </c>
      <c r="R1564" s="16">
        <f>(Table1[[#This Row],[NET Amount]]-Table1[[#This Row],[Total Outstanding Amount]])/Table1[[#This Row],[NET Amount]]</f>
        <v>0</v>
      </c>
      <c r="S1564" s="2" t="s">
        <v>97</v>
      </c>
    </row>
    <row r="1565" spans="1:19" x14ac:dyDescent="0.3">
      <c r="A1565" s="4">
        <v>1563</v>
      </c>
      <c r="B1565" s="2" t="s">
        <v>380</v>
      </c>
      <c r="C1565" s="3">
        <v>44857</v>
      </c>
      <c r="D1565" s="3" t="str">
        <f>TEXT(Table1[[#This Row],[Admission Date]],"MMMM")</f>
        <v>October</v>
      </c>
      <c r="E1565" s="3">
        <v>44857</v>
      </c>
      <c r="F1565" s="3">
        <v>44857</v>
      </c>
      <c r="G1565" s="2">
        <v>22028350</v>
      </c>
      <c r="H1565" s="2">
        <v>2237135</v>
      </c>
      <c r="I1565" s="2">
        <v>1000899251</v>
      </c>
      <c r="J1565" s="2" t="s">
        <v>789</v>
      </c>
      <c r="K1565" s="10">
        <v>1274</v>
      </c>
      <c r="L1565" s="10">
        <v>0</v>
      </c>
      <c r="M1565" s="10">
        <v>1274</v>
      </c>
      <c r="N1565" s="10">
        <v>0</v>
      </c>
      <c r="O1565" s="10">
        <f>Table1[[#This Row],[NET Amount]]-Table1[[#This Row],[Paid Amount]]</f>
        <v>1274</v>
      </c>
      <c r="P1565" s="2" t="s">
        <v>23</v>
      </c>
      <c r="Q1565" s="2" t="s">
        <v>54</v>
      </c>
      <c r="R1565" s="16">
        <f>(Table1[[#This Row],[NET Amount]]-Table1[[#This Row],[Total Outstanding Amount]])/Table1[[#This Row],[NET Amount]]</f>
        <v>0</v>
      </c>
      <c r="S1565" s="2" t="s">
        <v>97</v>
      </c>
    </row>
    <row r="1566" spans="1:19" x14ac:dyDescent="0.3">
      <c r="A1566" s="4">
        <v>1564</v>
      </c>
      <c r="B1566" s="2" t="s">
        <v>168</v>
      </c>
      <c r="C1566" s="3">
        <v>44862</v>
      </c>
      <c r="D1566" s="3" t="str">
        <f>TEXT(Table1[[#This Row],[Admission Date]],"MMMM")</f>
        <v>October</v>
      </c>
      <c r="E1566" s="3">
        <v>44862</v>
      </c>
      <c r="F1566" s="3">
        <v>44862</v>
      </c>
      <c r="G1566" s="2">
        <v>22028927</v>
      </c>
      <c r="H1566" s="2">
        <v>2237810</v>
      </c>
      <c r="I1566" s="2">
        <v>1001468779</v>
      </c>
      <c r="J1566" s="2" t="s">
        <v>387</v>
      </c>
      <c r="K1566" s="10">
        <v>2200</v>
      </c>
      <c r="L1566" s="10">
        <v>0</v>
      </c>
      <c r="M1566" s="10">
        <v>2200</v>
      </c>
      <c r="N1566" s="10">
        <v>0</v>
      </c>
      <c r="O1566" s="10">
        <f>Table1[[#This Row],[NET Amount]]-Table1[[#This Row],[Paid Amount]]</f>
        <v>2200</v>
      </c>
      <c r="P1566" s="2" t="s">
        <v>23</v>
      </c>
      <c r="Q1566" s="2" t="s">
        <v>147</v>
      </c>
      <c r="R1566" s="16">
        <f>(Table1[[#This Row],[NET Amount]]-Table1[[#This Row],[Total Outstanding Amount]])/Table1[[#This Row],[NET Amount]]</f>
        <v>0</v>
      </c>
      <c r="S1566" s="2" t="s">
        <v>97</v>
      </c>
    </row>
    <row r="1567" spans="1:19" x14ac:dyDescent="0.3">
      <c r="A1567" s="4">
        <v>1565</v>
      </c>
      <c r="B1567" s="2" t="s">
        <v>380</v>
      </c>
      <c r="C1567" s="3">
        <v>44842</v>
      </c>
      <c r="D1567" s="3" t="str">
        <f>TEXT(Table1[[#This Row],[Admission Date]],"MMMM")</f>
        <v>October</v>
      </c>
      <c r="E1567" s="3">
        <v>44842</v>
      </c>
      <c r="F1567" s="3">
        <v>44842</v>
      </c>
      <c r="G1567" s="2">
        <v>22026233</v>
      </c>
      <c r="H1567" s="2">
        <v>2235238</v>
      </c>
      <c r="I1567" s="2">
        <v>10013453025</v>
      </c>
      <c r="J1567" s="2" t="s">
        <v>435</v>
      </c>
      <c r="K1567" s="10">
        <v>1274</v>
      </c>
      <c r="L1567" s="10">
        <v>0</v>
      </c>
      <c r="M1567" s="10">
        <v>1274</v>
      </c>
      <c r="N1567" s="10">
        <v>0</v>
      </c>
      <c r="O1567" s="10">
        <f>Table1[[#This Row],[NET Amount]]-Table1[[#This Row],[Paid Amount]]</f>
        <v>1274</v>
      </c>
      <c r="P1567" s="2" t="s">
        <v>23</v>
      </c>
      <c r="Q1567" s="2" t="s">
        <v>54</v>
      </c>
      <c r="R1567" s="16">
        <f>(Table1[[#This Row],[NET Amount]]-Table1[[#This Row],[Total Outstanding Amount]])/Table1[[#This Row],[NET Amount]]</f>
        <v>0</v>
      </c>
      <c r="S1567" s="2" t="s">
        <v>97</v>
      </c>
    </row>
    <row r="1568" spans="1:19" x14ac:dyDescent="0.3">
      <c r="A1568" s="4">
        <v>1566</v>
      </c>
      <c r="B1568" s="2" t="s">
        <v>380</v>
      </c>
      <c r="C1568" s="3">
        <v>44863</v>
      </c>
      <c r="D1568" s="3" t="str">
        <f>TEXT(Table1[[#This Row],[Admission Date]],"MMMM")</f>
        <v>October</v>
      </c>
      <c r="E1568" s="3">
        <v>44863</v>
      </c>
      <c r="F1568" s="3">
        <v>44863</v>
      </c>
      <c r="G1568" s="2">
        <v>22029160</v>
      </c>
      <c r="H1568" s="2">
        <v>2238018</v>
      </c>
      <c r="I1568" s="2">
        <v>1001761745</v>
      </c>
      <c r="J1568" s="2" t="s">
        <v>455</v>
      </c>
      <c r="K1568" s="10">
        <v>1274</v>
      </c>
      <c r="L1568" s="10">
        <v>0</v>
      </c>
      <c r="M1568" s="10">
        <v>1274</v>
      </c>
      <c r="N1568" s="10">
        <v>0</v>
      </c>
      <c r="O1568" s="10">
        <f>Table1[[#This Row],[NET Amount]]-Table1[[#This Row],[Paid Amount]]</f>
        <v>1274</v>
      </c>
      <c r="P1568" s="2" t="s">
        <v>23</v>
      </c>
      <c r="Q1568" s="2" t="s">
        <v>54</v>
      </c>
      <c r="R1568" s="16">
        <f>(Table1[[#This Row],[NET Amount]]-Table1[[#This Row],[Total Outstanding Amount]])/Table1[[#This Row],[NET Amount]]</f>
        <v>0</v>
      </c>
      <c r="S1568" s="2" t="s">
        <v>97</v>
      </c>
    </row>
    <row r="1569" spans="1:19" x14ac:dyDescent="0.3">
      <c r="A1569" s="4">
        <v>1567</v>
      </c>
      <c r="B1569" s="2" t="s">
        <v>61</v>
      </c>
      <c r="C1569" s="3">
        <v>44840</v>
      </c>
      <c r="D1569" s="3" t="str">
        <f>TEXT(Table1[[#This Row],[Admission Date]],"MMMM")</f>
        <v>October</v>
      </c>
      <c r="E1569" s="3">
        <v>44840</v>
      </c>
      <c r="F1569" s="3">
        <v>44840</v>
      </c>
      <c r="G1569" s="2">
        <v>22025804</v>
      </c>
      <c r="H1569" s="2">
        <v>2234826</v>
      </c>
      <c r="I1569" s="2">
        <v>10013497993</v>
      </c>
      <c r="J1569" s="2" t="s">
        <v>1077</v>
      </c>
      <c r="K1569" s="10">
        <v>2200</v>
      </c>
      <c r="L1569" s="10">
        <v>0</v>
      </c>
      <c r="M1569" s="10">
        <v>2200</v>
      </c>
      <c r="N1569" s="10">
        <v>0</v>
      </c>
      <c r="O1569" s="10">
        <f>Table1[[#This Row],[NET Amount]]-Table1[[#This Row],[Paid Amount]]</f>
        <v>2200</v>
      </c>
      <c r="P1569" s="2" t="s">
        <v>23</v>
      </c>
      <c r="Q1569" s="2" t="s">
        <v>147</v>
      </c>
      <c r="R1569" s="16">
        <f>(Table1[[#This Row],[NET Amount]]-Table1[[#This Row],[Total Outstanding Amount]])/Table1[[#This Row],[NET Amount]]</f>
        <v>0</v>
      </c>
      <c r="S1569" s="2" t="s">
        <v>97</v>
      </c>
    </row>
    <row r="1570" spans="1:19" x14ac:dyDescent="0.3">
      <c r="A1570" s="4">
        <v>1568</v>
      </c>
      <c r="B1570" s="2" t="s">
        <v>972</v>
      </c>
      <c r="C1570" s="3">
        <v>44849</v>
      </c>
      <c r="D1570" s="3" t="str">
        <f>TEXT(Table1[[#This Row],[Admission Date]],"MMMM")</f>
        <v>October</v>
      </c>
      <c r="E1570" s="3">
        <v>44850</v>
      </c>
      <c r="F1570" s="3">
        <v>44850</v>
      </c>
      <c r="G1570" s="2">
        <v>22027349</v>
      </c>
      <c r="H1570" s="2">
        <v>2236072</v>
      </c>
      <c r="I1570" s="2">
        <v>1001804445</v>
      </c>
      <c r="J1570" s="2" t="s">
        <v>1089</v>
      </c>
      <c r="K1570" s="10">
        <v>122499</v>
      </c>
      <c r="L1570" s="10">
        <v>14539</v>
      </c>
      <c r="M1570" s="10">
        <v>107960</v>
      </c>
      <c r="N1570" s="10">
        <v>0</v>
      </c>
      <c r="O1570" s="10">
        <f>Table1[[#This Row],[NET Amount]]-Table1[[#This Row],[Paid Amount]]</f>
        <v>107960</v>
      </c>
      <c r="P1570" s="2" t="s">
        <v>23</v>
      </c>
      <c r="Q1570" s="2" t="s">
        <v>30</v>
      </c>
      <c r="R1570" s="16">
        <f>(Table1[[#This Row],[NET Amount]]-Table1[[#This Row],[Total Outstanding Amount]])/Table1[[#This Row],[NET Amount]]</f>
        <v>0</v>
      </c>
      <c r="S1570" s="2" t="s">
        <v>138</v>
      </c>
    </row>
    <row r="1571" spans="1:19" x14ac:dyDescent="0.3">
      <c r="A1571" s="4">
        <v>1569</v>
      </c>
      <c r="B1571" s="2" t="s">
        <v>2253</v>
      </c>
      <c r="C1571" s="3">
        <v>44854</v>
      </c>
      <c r="D1571" s="3" t="str">
        <f>TEXT(Table1[[#This Row],[Admission Date]],"MMMM")</f>
        <v>October</v>
      </c>
      <c r="E1571" s="3">
        <v>44854</v>
      </c>
      <c r="F1571" s="3">
        <v>44854</v>
      </c>
      <c r="G1571" s="2">
        <v>22027932</v>
      </c>
      <c r="H1571" s="2">
        <v>2236771</v>
      </c>
      <c r="I1571" s="2">
        <v>1001772963</v>
      </c>
      <c r="J1571" s="2" t="s">
        <v>569</v>
      </c>
      <c r="K1571" s="10">
        <v>1610</v>
      </c>
      <c r="L1571" s="10">
        <v>0</v>
      </c>
      <c r="M1571" s="10">
        <v>1610</v>
      </c>
      <c r="N1571" s="10">
        <v>0</v>
      </c>
      <c r="O1571" s="10">
        <f>Table1[[#This Row],[NET Amount]]-Table1[[#This Row],[Paid Amount]]</f>
        <v>1610</v>
      </c>
      <c r="P1571" s="2" t="s">
        <v>23</v>
      </c>
      <c r="Q1571" s="2" t="s">
        <v>54</v>
      </c>
      <c r="R1571" s="16">
        <f>(Table1[[#This Row],[NET Amount]]-Table1[[#This Row],[Total Outstanding Amount]])/Table1[[#This Row],[NET Amount]]</f>
        <v>0</v>
      </c>
      <c r="S1571" s="2" t="s">
        <v>97</v>
      </c>
    </row>
    <row r="1572" spans="1:19" x14ac:dyDescent="0.3">
      <c r="A1572" s="4">
        <v>1570</v>
      </c>
      <c r="B1572" s="2" t="s">
        <v>380</v>
      </c>
      <c r="C1572" s="3">
        <v>44855</v>
      </c>
      <c r="D1572" s="3" t="str">
        <f>TEXT(Table1[[#This Row],[Admission Date]],"MMMM")</f>
        <v>October</v>
      </c>
      <c r="E1572" s="3">
        <v>44855</v>
      </c>
      <c r="F1572" s="3">
        <v>44855</v>
      </c>
      <c r="G1572" s="2">
        <v>22027984</v>
      </c>
      <c r="H1572" s="2">
        <v>2236880</v>
      </c>
      <c r="I1572" s="2">
        <v>1001307852</v>
      </c>
      <c r="J1572" s="2" t="s">
        <v>309</v>
      </c>
      <c r="K1572" s="10">
        <v>1274</v>
      </c>
      <c r="L1572" s="10">
        <v>0</v>
      </c>
      <c r="M1572" s="10">
        <v>1274</v>
      </c>
      <c r="N1572" s="10">
        <v>0</v>
      </c>
      <c r="O1572" s="10">
        <f>Table1[[#This Row],[NET Amount]]-Table1[[#This Row],[Paid Amount]]</f>
        <v>1274</v>
      </c>
      <c r="P1572" s="2" t="s">
        <v>23</v>
      </c>
      <c r="Q1572" s="2" t="s">
        <v>54</v>
      </c>
      <c r="R1572" s="16">
        <f>(Table1[[#This Row],[NET Amount]]-Table1[[#This Row],[Total Outstanding Amount]])/Table1[[#This Row],[NET Amount]]</f>
        <v>0</v>
      </c>
      <c r="S1572" s="2" t="s">
        <v>97</v>
      </c>
    </row>
    <row r="1573" spans="1:19" x14ac:dyDescent="0.3">
      <c r="A1573" s="4">
        <v>1571</v>
      </c>
      <c r="B1573" s="2" t="s">
        <v>139</v>
      </c>
      <c r="C1573" s="3">
        <v>44840</v>
      </c>
      <c r="D1573" s="3" t="str">
        <f>TEXT(Table1[[#This Row],[Admission Date]],"MMMM")</f>
        <v>October</v>
      </c>
      <c r="E1573" s="3">
        <v>44840</v>
      </c>
      <c r="F1573" s="3">
        <v>44840</v>
      </c>
      <c r="G1573" s="2">
        <v>22025858</v>
      </c>
      <c r="H1573" s="2">
        <v>2234859</v>
      </c>
      <c r="I1573" s="2">
        <v>1001199995</v>
      </c>
      <c r="J1573" s="2" t="s">
        <v>386</v>
      </c>
      <c r="K1573" s="10">
        <v>2200</v>
      </c>
      <c r="L1573" s="10">
        <v>0</v>
      </c>
      <c r="M1573" s="10">
        <v>2200</v>
      </c>
      <c r="N1573" s="10">
        <v>0</v>
      </c>
      <c r="O1573" s="10">
        <f>Table1[[#This Row],[NET Amount]]-Table1[[#This Row],[Paid Amount]]</f>
        <v>2200</v>
      </c>
      <c r="P1573" s="2" t="s">
        <v>23</v>
      </c>
      <c r="Q1573" s="2" t="s">
        <v>147</v>
      </c>
      <c r="R1573" s="16">
        <f>(Table1[[#This Row],[NET Amount]]-Table1[[#This Row],[Total Outstanding Amount]])/Table1[[#This Row],[NET Amount]]</f>
        <v>0</v>
      </c>
      <c r="S1573" s="2" t="s">
        <v>97</v>
      </c>
    </row>
    <row r="1574" spans="1:19" x14ac:dyDescent="0.3">
      <c r="A1574" s="4">
        <v>1572</v>
      </c>
      <c r="B1574" s="2" t="s">
        <v>380</v>
      </c>
      <c r="C1574" s="3">
        <v>44860</v>
      </c>
      <c r="D1574" s="3" t="str">
        <f>TEXT(Table1[[#This Row],[Admission Date]],"MMMM")</f>
        <v>October</v>
      </c>
      <c r="E1574" s="3">
        <v>44860</v>
      </c>
      <c r="F1574" s="3">
        <v>44860</v>
      </c>
      <c r="G1574" s="2">
        <v>22028666</v>
      </c>
      <c r="H1574" s="2">
        <v>2237507</v>
      </c>
      <c r="I1574" s="2">
        <v>10013347178</v>
      </c>
      <c r="J1574" s="2" t="s">
        <v>371</v>
      </c>
      <c r="K1574" s="10">
        <v>1274</v>
      </c>
      <c r="L1574" s="10">
        <v>0</v>
      </c>
      <c r="M1574" s="10">
        <v>1274</v>
      </c>
      <c r="N1574" s="10">
        <v>0</v>
      </c>
      <c r="O1574" s="10">
        <f>Table1[[#This Row],[NET Amount]]-Table1[[#This Row],[Paid Amount]]</f>
        <v>1274</v>
      </c>
      <c r="P1574" s="2" t="s">
        <v>23</v>
      </c>
      <c r="Q1574" s="2" t="s">
        <v>54</v>
      </c>
      <c r="R1574" s="16">
        <f>(Table1[[#This Row],[NET Amount]]-Table1[[#This Row],[Total Outstanding Amount]])/Table1[[#This Row],[NET Amount]]</f>
        <v>0</v>
      </c>
      <c r="S1574" s="2" t="s">
        <v>97</v>
      </c>
    </row>
    <row r="1575" spans="1:19" x14ac:dyDescent="0.3">
      <c r="A1575" s="4">
        <v>1573</v>
      </c>
      <c r="B1575" s="2" t="s">
        <v>2265</v>
      </c>
      <c r="C1575" s="3">
        <v>44859</v>
      </c>
      <c r="D1575" s="3" t="str">
        <f>TEXT(Table1[[#This Row],[Admission Date]],"MMMM")</f>
        <v>October</v>
      </c>
      <c r="E1575" s="3">
        <v>44861</v>
      </c>
      <c r="F1575" s="3">
        <v>44861</v>
      </c>
      <c r="G1575" s="2">
        <v>22028803</v>
      </c>
      <c r="H1575" s="2">
        <v>2237360</v>
      </c>
      <c r="I1575" s="2">
        <v>1001029140</v>
      </c>
      <c r="J1575" s="2" t="s">
        <v>1090</v>
      </c>
      <c r="K1575" s="10">
        <v>39338</v>
      </c>
      <c r="L1575" s="10">
        <v>5975</v>
      </c>
      <c r="M1575" s="10">
        <v>33363</v>
      </c>
      <c r="N1575" s="10">
        <v>0</v>
      </c>
      <c r="O1575" s="10">
        <f>Table1[[#This Row],[NET Amount]]-Table1[[#This Row],[Paid Amount]]</f>
        <v>33363</v>
      </c>
      <c r="P1575" s="2" t="s">
        <v>23</v>
      </c>
      <c r="Q1575" s="2" t="s">
        <v>30</v>
      </c>
      <c r="R1575" s="16">
        <f>(Table1[[#This Row],[NET Amount]]-Table1[[#This Row],[Total Outstanding Amount]])/Table1[[#This Row],[NET Amount]]</f>
        <v>0</v>
      </c>
      <c r="S1575" s="2" t="s">
        <v>20</v>
      </c>
    </row>
    <row r="1576" spans="1:19" x14ac:dyDescent="0.3">
      <c r="A1576" s="4">
        <v>1574</v>
      </c>
      <c r="B1576" s="2" t="s">
        <v>380</v>
      </c>
      <c r="C1576" s="3">
        <v>44861</v>
      </c>
      <c r="D1576" s="3" t="str">
        <f>TEXT(Table1[[#This Row],[Admission Date]],"MMMM")</f>
        <v>October</v>
      </c>
      <c r="E1576" s="3">
        <v>44861</v>
      </c>
      <c r="F1576" s="3">
        <v>44861</v>
      </c>
      <c r="G1576" s="2">
        <v>22028834</v>
      </c>
      <c r="H1576" s="2">
        <v>2237709</v>
      </c>
      <c r="I1576" s="2">
        <v>10013413542</v>
      </c>
      <c r="J1576" s="2" t="s">
        <v>389</v>
      </c>
      <c r="K1576" s="10">
        <v>1274</v>
      </c>
      <c r="L1576" s="10">
        <v>0</v>
      </c>
      <c r="M1576" s="10">
        <v>1274</v>
      </c>
      <c r="N1576" s="10">
        <v>0</v>
      </c>
      <c r="O1576" s="10">
        <f>Table1[[#This Row],[NET Amount]]-Table1[[#This Row],[Paid Amount]]</f>
        <v>1274</v>
      </c>
      <c r="P1576" s="2" t="s">
        <v>23</v>
      </c>
      <c r="Q1576" s="2" t="s">
        <v>54</v>
      </c>
      <c r="R1576" s="16">
        <f>(Table1[[#This Row],[NET Amount]]-Table1[[#This Row],[Total Outstanding Amount]])/Table1[[#This Row],[NET Amount]]</f>
        <v>0</v>
      </c>
      <c r="S1576" s="2" t="s">
        <v>97</v>
      </c>
    </row>
    <row r="1577" spans="1:19" x14ac:dyDescent="0.3">
      <c r="A1577" s="4">
        <v>1575</v>
      </c>
      <c r="B1577" s="2" t="s">
        <v>380</v>
      </c>
      <c r="C1577" s="3">
        <v>44846</v>
      </c>
      <c r="D1577" s="3" t="str">
        <f>TEXT(Table1[[#This Row],[Admission Date]],"MMMM")</f>
        <v>October</v>
      </c>
      <c r="E1577" s="3">
        <v>44846</v>
      </c>
      <c r="F1577" s="3">
        <v>44846</v>
      </c>
      <c r="G1577" s="2">
        <v>22026663</v>
      </c>
      <c r="H1577" s="2">
        <v>2235653</v>
      </c>
      <c r="I1577" s="2">
        <v>10013436995</v>
      </c>
      <c r="J1577" s="2" t="s">
        <v>794</v>
      </c>
      <c r="K1577" s="10">
        <v>1274</v>
      </c>
      <c r="L1577" s="10">
        <v>0</v>
      </c>
      <c r="M1577" s="10">
        <v>1274</v>
      </c>
      <c r="N1577" s="10">
        <v>0</v>
      </c>
      <c r="O1577" s="10">
        <f>Table1[[#This Row],[NET Amount]]-Table1[[#This Row],[Paid Amount]]</f>
        <v>1274</v>
      </c>
      <c r="P1577" s="2" t="s">
        <v>23</v>
      </c>
      <c r="Q1577" s="2" t="s">
        <v>54</v>
      </c>
      <c r="R1577" s="16">
        <f>(Table1[[#This Row],[NET Amount]]-Table1[[#This Row],[Total Outstanding Amount]])/Table1[[#This Row],[NET Amount]]</f>
        <v>0</v>
      </c>
      <c r="S1577" s="2" t="s">
        <v>97</v>
      </c>
    </row>
    <row r="1578" spans="1:19" x14ac:dyDescent="0.3">
      <c r="A1578" s="4">
        <v>1576</v>
      </c>
      <c r="B1578" s="2" t="s">
        <v>380</v>
      </c>
      <c r="C1578" s="3">
        <v>44860</v>
      </c>
      <c r="D1578" s="3" t="str">
        <f>TEXT(Table1[[#This Row],[Admission Date]],"MMMM")</f>
        <v>October</v>
      </c>
      <c r="E1578" s="3">
        <v>44862</v>
      </c>
      <c r="F1578" s="3">
        <v>44862</v>
      </c>
      <c r="G1578" s="2">
        <v>22028903</v>
      </c>
      <c r="H1578" s="2">
        <v>2237557</v>
      </c>
      <c r="I1578" s="2">
        <v>10013544473</v>
      </c>
      <c r="J1578" s="2" t="s">
        <v>1091</v>
      </c>
      <c r="K1578" s="10">
        <v>130994</v>
      </c>
      <c r="L1578" s="10">
        <v>0</v>
      </c>
      <c r="M1578" s="10">
        <v>130994</v>
      </c>
      <c r="N1578" s="10">
        <v>0</v>
      </c>
      <c r="O1578" s="10">
        <f>Table1[[#This Row],[NET Amount]]-Table1[[#This Row],[Paid Amount]]</f>
        <v>130994</v>
      </c>
      <c r="P1578" s="2" t="s">
        <v>23</v>
      </c>
      <c r="Q1578" s="2" t="s">
        <v>406</v>
      </c>
      <c r="R1578" s="16">
        <f>(Table1[[#This Row],[NET Amount]]-Table1[[#This Row],[Total Outstanding Amount]])/Table1[[#This Row],[NET Amount]]</f>
        <v>0</v>
      </c>
      <c r="S1578" s="2" t="s">
        <v>39</v>
      </c>
    </row>
    <row r="1579" spans="1:19" x14ac:dyDescent="0.3">
      <c r="A1579" s="4">
        <v>1577</v>
      </c>
      <c r="B1579" s="2" t="s">
        <v>380</v>
      </c>
      <c r="C1579" s="3">
        <v>44857</v>
      </c>
      <c r="D1579" s="3" t="str">
        <f>TEXT(Table1[[#This Row],[Admission Date]],"MMMM")</f>
        <v>October</v>
      </c>
      <c r="E1579" s="3">
        <v>44857</v>
      </c>
      <c r="F1579" s="3">
        <v>44857</v>
      </c>
      <c r="G1579" s="2">
        <v>22028394</v>
      </c>
      <c r="H1579" s="2">
        <v>2237179</v>
      </c>
      <c r="I1579" s="2">
        <v>1000891592</v>
      </c>
      <c r="J1579" s="2" t="s">
        <v>815</v>
      </c>
      <c r="K1579" s="10">
        <v>1274</v>
      </c>
      <c r="L1579" s="10">
        <v>0</v>
      </c>
      <c r="M1579" s="10">
        <v>1274</v>
      </c>
      <c r="N1579" s="10">
        <v>0</v>
      </c>
      <c r="O1579" s="10">
        <f>Table1[[#This Row],[NET Amount]]-Table1[[#This Row],[Paid Amount]]</f>
        <v>1274</v>
      </c>
      <c r="P1579" s="2" t="s">
        <v>23</v>
      </c>
      <c r="Q1579" s="2" t="s">
        <v>54</v>
      </c>
      <c r="R1579" s="16">
        <f>(Table1[[#This Row],[NET Amount]]-Table1[[#This Row],[Total Outstanding Amount]])/Table1[[#This Row],[NET Amount]]</f>
        <v>0</v>
      </c>
      <c r="S1579" s="2" t="s">
        <v>97</v>
      </c>
    </row>
    <row r="1580" spans="1:19" x14ac:dyDescent="0.3">
      <c r="A1580" s="4">
        <v>1578</v>
      </c>
      <c r="B1580" s="2" t="s">
        <v>155</v>
      </c>
      <c r="C1580" s="3">
        <v>44856</v>
      </c>
      <c r="D1580" s="3" t="str">
        <f>TEXT(Table1[[#This Row],[Admission Date]],"MMMM")</f>
        <v>October</v>
      </c>
      <c r="E1580" s="3">
        <v>44856</v>
      </c>
      <c r="F1580" s="3">
        <v>44856</v>
      </c>
      <c r="G1580" s="2">
        <v>22028244</v>
      </c>
      <c r="H1580" s="2">
        <v>2237031</v>
      </c>
      <c r="I1580" s="2">
        <v>1000979923</v>
      </c>
      <c r="J1580" s="2" t="s">
        <v>785</v>
      </c>
      <c r="K1580" s="10">
        <v>1610</v>
      </c>
      <c r="L1580" s="10">
        <v>0</v>
      </c>
      <c r="M1580" s="10">
        <v>1610</v>
      </c>
      <c r="N1580" s="10">
        <v>0</v>
      </c>
      <c r="O1580" s="10">
        <f>Table1[[#This Row],[NET Amount]]-Table1[[#This Row],[Paid Amount]]</f>
        <v>1610</v>
      </c>
      <c r="P1580" s="2" t="s">
        <v>23</v>
      </c>
      <c r="Q1580" s="2" t="s">
        <v>54</v>
      </c>
      <c r="R1580" s="16">
        <f>(Table1[[#This Row],[NET Amount]]-Table1[[#This Row],[Total Outstanding Amount]])/Table1[[#This Row],[NET Amount]]</f>
        <v>0</v>
      </c>
      <c r="S1580" s="2" t="s">
        <v>97</v>
      </c>
    </row>
    <row r="1581" spans="1:19" x14ac:dyDescent="0.3">
      <c r="A1581" s="4">
        <v>1579</v>
      </c>
      <c r="B1581" s="2" t="s">
        <v>380</v>
      </c>
      <c r="C1581" s="3">
        <v>44837</v>
      </c>
      <c r="D1581" s="3" t="str">
        <f>TEXT(Table1[[#This Row],[Admission Date]],"MMMM")</f>
        <v>October</v>
      </c>
      <c r="E1581" s="3">
        <v>44837</v>
      </c>
      <c r="F1581" s="3">
        <v>44837</v>
      </c>
      <c r="G1581" s="2">
        <v>22025355</v>
      </c>
      <c r="H1581" s="2">
        <v>2234370</v>
      </c>
      <c r="I1581" s="2">
        <v>10013435866</v>
      </c>
      <c r="J1581" s="2" t="s">
        <v>473</v>
      </c>
      <c r="K1581" s="10">
        <v>1274</v>
      </c>
      <c r="L1581" s="10">
        <v>0</v>
      </c>
      <c r="M1581" s="10">
        <v>1274</v>
      </c>
      <c r="N1581" s="10">
        <v>0</v>
      </c>
      <c r="O1581" s="10">
        <f>Table1[[#This Row],[NET Amount]]-Table1[[#This Row],[Paid Amount]]</f>
        <v>1274</v>
      </c>
      <c r="P1581" s="2" t="s">
        <v>23</v>
      </c>
      <c r="Q1581" s="2" t="s">
        <v>54</v>
      </c>
      <c r="R1581" s="16">
        <f>(Table1[[#This Row],[NET Amount]]-Table1[[#This Row],[Total Outstanding Amount]])/Table1[[#This Row],[NET Amount]]</f>
        <v>0</v>
      </c>
      <c r="S1581" s="2" t="s">
        <v>97</v>
      </c>
    </row>
    <row r="1582" spans="1:19" x14ac:dyDescent="0.3">
      <c r="A1582" s="4">
        <v>1580</v>
      </c>
      <c r="B1582" s="2" t="s">
        <v>259</v>
      </c>
      <c r="C1582" s="3">
        <v>44843</v>
      </c>
      <c r="D1582" s="3" t="str">
        <f>TEXT(Table1[[#This Row],[Admission Date]],"MMMM")</f>
        <v>October</v>
      </c>
      <c r="E1582" s="3">
        <v>44847</v>
      </c>
      <c r="F1582" s="3">
        <v>44847</v>
      </c>
      <c r="G1582" s="2">
        <v>22026889</v>
      </c>
      <c r="H1582" s="2">
        <v>2235258</v>
      </c>
      <c r="I1582" s="2">
        <v>10013542256</v>
      </c>
      <c r="J1582" s="2" t="s">
        <v>1092</v>
      </c>
      <c r="K1582" s="10">
        <v>138330</v>
      </c>
      <c r="L1582" s="10">
        <v>14801</v>
      </c>
      <c r="M1582" s="10">
        <v>123529</v>
      </c>
      <c r="N1582" s="10">
        <v>0</v>
      </c>
      <c r="O1582" s="10">
        <f>Table1[[#This Row],[NET Amount]]-Table1[[#This Row],[Paid Amount]]</f>
        <v>123529</v>
      </c>
      <c r="P1582" s="2" t="s">
        <v>23</v>
      </c>
      <c r="Q1582" s="2" t="s">
        <v>104</v>
      </c>
      <c r="R1582" s="16">
        <f>(Table1[[#This Row],[NET Amount]]-Table1[[#This Row],[Total Outstanding Amount]])/Table1[[#This Row],[NET Amount]]</f>
        <v>0</v>
      </c>
      <c r="S1582" s="2" t="s">
        <v>20</v>
      </c>
    </row>
    <row r="1583" spans="1:19" x14ac:dyDescent="0.3">
      <c r="A1583" s="4">
        <v>1581</v>
      </c>
      <c r="B1583" s="2" t="s">
        <v>2263</v>
      </c>
      <c r="C1583" s="3">
        <v>44856</v>
      </c>
      <c r="D1583" s="3" t="str">
        <f>TEXT(Table1[[#This Row],[Admission Date]],"MMMM")</f>
        <v>October</v>
      </c>
      <c r="E1583" s="3">
        <v>44856</v>
      </c>
      <c r="F1583" s="3">
        <v>44856</v>
      </c>
      <c r="G1583" s="2">
        <v>22028272</v>
      </c>
      <c r="H1583" s="2">
        <v>2237065</v>
      </c>
      <c r="I1583" s="2">
        <v>1001777331</v>
      </c>
      <c r="J1583" s="2" t="s">
        <v>791</v>
      </c>
      <c r="K1583" s="10">
        <v>1274</v>
      </c>
      <c r="L1583" s="10">
        <v>0</v>
      </c>
      <c r="M1583" s="10">
        <v>1274</v>
      </c>
      <c r="N1583" s="10">
        <v>0</v>
      </c>
      <c r="O1583" s="10">
        <f>Table1[[#This Row],[NET Amount]]-Table1[[#This Row],[Paid Amount]]</f>
        <v>1274</v>
      </c>
      <c r="P1583" s="2" t="s">
        <v>23</v>
      </c>
      <c r="Q1583" s="2" t="s">
        <v>54</v>
      </c>
      <c r="R1583" s="16">
        <f>(Table1[[#This Row],[NET Amount]]-Table1[[#This Row],[Total Outstanding Amount]])/Table1[[#This Row],[NET Amount]]</f>
        <v>0</v>
      </c>
      <c r="S1583" s="2" t="s">
        <v>97</v>
      </c>
    </row>
    <row r="1584" spans="1:19" x14ac:dyDescent="0.3">
      <c r="A1584" s="4">
        <v>1582</v>
      </c>
      <c r="B1584" s="2" t="s">
        <v>380</v>
      </c>
      <c r="C1584" s="3">
        <v>44847</v>
      </c>
      <c r="D1584" s="3" t="str">
        <f>TEXT(Table1[[#This Row],[Admission Date]],"MMMM")</f>
        <v>October</v>
      </c>
      <c r="E1584" s="3">
        <v>44847</v>
      </c>
      <c r="F1584" s="3">
        <v>44847</v>
      </c>
      <c r="G1584" s="2">
        <v>22026956</v>
      </c>
      <c r="H1584" s="2">
        <v>2235883</v>
      </c>
      <c r="I1584" s="2">
        <v>10013413542</v>
      </c>
      <c r="J1584" s="2" t="s">
        <v>389</v>
      </c>
      <c r="K1584" s="10">
        <v>1274</v>
      </c>
      <c r="L1584" s="10">
        <v>0</v>
      </c>
      <c r="M1584" s="10">
        <v>1274</v>
      </c>
      <c r="N1584" s="10">
        <v>0</v>
      </c>
      <c r="O1584" s="10">
        <f>Table1[[#This Row],[NET Amount]]-Table1[[#This Row],[Paid Amount]]</f>
        <v>1274</v>
      </c>
      <c r="P1584" s="2" t="s">
        <v>23</v>
      </c>
      <c r="Q1584" s="2" t="s">
        <v>54</v>
      </c>
      <c r="R1584" s="16">
        <f>(Table1[[#This Row],[NET Amount]]-Table1[[#This Row],[Total Outstanding Amount]])/Table1[[#This Row],[NET Amount]]</f>
        <v>0</v>
      </c>
      <c r="S1584" s="2" t="s">
        <v>97</v>
      </c>
    </row>
    <row r="1585" spans="1:19" x14ac:dyDescent="0.3">
      <c r="A1585" s="4">
        <v>1583</v>
      </c>
      <c r="B1585" s="2" t="s">
        <v>2253</v>
      </c>
      <c r="C1585" s="3">
        <v>44844</v>
      </c>
      <c r="D1585" s="3" t="str">
        <f>TEXT(Table1[[#This Row],[Admission Date]],"MMMM")</f>
        <v>October</v>
      </c>
      <c r="E1585" s="3">
        <v>44844</v>
      </c>
      <c r="F1585" s="3">
        <v>44844</v>
      </c>
      <c r="G1585" s="2">
        <v>22026435</v>
      </c>
      <c r="H1585" s="2">
        <v>2235397</v>
      </c>
      <c r="I1585" s="2">
        <v>1001729640</v>
      </c>
      <c r="J1585" s="2" t="s">
        <v>470</v>
      </c>
      <c r="K1585" s="10">
        <v>1610</v>
      </c>
      <c r="L1585" s="10">
        <v>0</v>
      </c>
      <c r="M1585" s="10">
        <v>1610</v>
      </c>
      <c r="N1585" s="10">
        <v>0</v>
      </c>
      <c r="O1585" s="10">
        <f>Table1[[#This Row],[NET Amount]]-Table1[[#This Row],[Paid Amount]]</f>
        <v>1610</v>
      </c>
      <c r="P1585" s="2" t="s">
        <v>23</v>
      </c>
      <c r="Q1585" s="2" t="s">
        <v>54</v>
      </c>
      <c r="R1585" s="16">
        <f>(Table1[[#This Row],[NET Amount]]-Table1[[#This Row],[Total Outstanding Amount]])/Table1[[#This Row],[NET Amount]]</f>
        <v>0</v>
      </c>
      <c r="S1585" s="2" t="s">
        <v>97</v>
      </c>
    </row>
    <row r="1586" spans="1:19" x14ac:dyDescent="0.3">
      <c r="A1586" s="4">
        <v>1584</v>
      </c>
      <c r="B1586" s="2" t="s">
        <v>152</v>
      </c>
      <c r="C1586" s="3">
        <v>44838</v>
      </c>
      <c r="D1586" s="3" t="str">
        <f>TEXT(Table1[[#This Row],[Admission Date]],"MMMM")</f>
        <v>October</v>
      </c>
      <c r="E1586" s="3">
        <v>44839</v>
      </c>
      <c r="F1586" s="3">
        <v>44839</v>
      </c>
      <c r="G1586" s="2">
        <v>22025727</v>
      </c>
      <c r="H1586" s="2">
        <v>2234605</v>
      </c>
      <c r="I1586" s="2">
        <v>1001802470</v>
      </c>
      <c r="J1586" s="2" t="s">
        <v>1093</v>
      </c>
      <c r="K1586" s="10">
        <v>2320</v>
      </c>
      <c r="L1586" s="10">
        <v>0</v>
      </c>
      <c r="M1586" s="10">
        <v>2320</v>
      </c>
      <c r="N1586" s="10">
        <v>2320</v>
      </c>
      <c r="O1586" s="10">
        <f>Table1[[#This Row],[NET Amount]]-Table1[[#This Row],[Paid Amount]]</f>
        <v>0</v>
      </c>
      <c r="P1586" s="2" t="s">
        <v>18</v>
      </c>
      <c r="Q1586" s="2" t="s">
        <v>24</v>
      </c>
      <c r="R1586" s="16">
        <f>(Table1[[#This Row],[NET Amount]]-Table1[[#This Row],[Total Outstanding Amount]])/Table1[[#This Row],[NET Amount]]</f>
        <v>1</v>
      </c>
      <c r="S1586" s="2" t="s">
        <v>37</v>
      </c>
    </row>
    <row r="1587" spans="1:19" x14ac:dyDescent="0.3">
      <c r="A1587" s="4">
        <v>1585</v>
      </c>
      <c r="B1587" s="2" t="s">
        <v>259</v>
      </c>
      <c r="C1587" s="3">
        <v>44838</v>
      </c>
      <c r="D1587" s="3" t="str">
        <f>TEXT(Table1[[#This Row],[Admission Date]],"MMMM")</f>
        <v>October</v>
      </c>
      <c r="E1587" s="3">
        <v>44844</v>
      </c>
      <c r="F1587" s="3">
        <v>44844</v>
      </c>
      <c r="G1587" s="2">
        <v>22026357</v>
      </c>
      <c r="H1587" s="2">
        <v>2234625</v>
      </c>
      <c r="I1587" s="2">
        <v>10013481419</v>
      </c>
      <c r="J1587" s="2" t="s">
        <v>1094</v>
      </c>
      <c r="K1587" s="10">
        <v>173457</v>
      </c>
      <c r="L1587" s="10">
        <v>22826</v>
      </c>
      <c r="M1587" s="10">
        <v>150631</v>
      </c>
      <c r="N1587" s="10">
        <v>70</v>
      </c>
      <c r="O1587" s="10">
        <f>Table1[[#This Row],[NET Amount]]-Table1[[#This Row],[Paid Amount]]</f>
        <v>150561</v>
      </c>
      <c r="P1587" s="2" t="s">
        <v>23</v>
      </c>
      <c r="Q1587" s="2" t="s">
        <v>30</v>
      </c>
      <c r="R1587" s="16">
        <f>(Table1[[#This Row],[NET Amount]]-Table1[[#This Row],[Total Outstanding Amount]])/Table1[[#This Row],[NET Amount]]</f>
        <v>4.6471177911585265E-4</v>
      </c>
      <c r="S1587" s="2" t="s">
        <v>95</v>
      </c>
    </row>
    <row r="1588" spans="1:19" x14ac:dyDescent="0.3">
      <c r="A1588" s="4">
        <v>1586</v>
      </c>
      <c r="B1588" s="2" t="s">
        <v>50</v>
      </c>
      <c r="C1588" s="3">
        <v>44838</v>
      </c>
      <c r="D1588" s="3" t="str">
        <f>TEXT(Table1[[#This Row],[Admission Date]],"MMMM")</f>
        <v>October</v>
      </c>
      <c r="E1588" s="3">
        <v>44840</v>
      </c>
      <c r="F1588" s="3">
        <v>44840</v>
      </c>
      <c r="G1588" s="2">
        <v>22025861</v>
      </c>
      <c r="H1588" s="2">
        <v>2234551</v>
      </c>
      <c r="I1588" s="2">
        <v>1001802387</v>
      </c>
      <c r="J1588" s="2" t="s">
        <v>1095</v>
      </c>
      <c r="K1588" s="10">
        <v>7580</v>
      </c>
      <c r="L1588" s="10">
        <v>0</v>
      </c>
      <c r="M1588" s="10">
        <v>7580</v>
      </c>
      <c r="N1588" s="10">
        <v>7580</v>
      </c>
      <c r="O1588" s="10">
        <f>Table1[[#This Row],[NET Amount]]-Table1[[#This Row],[Paid Amount]]</f>
        <v>0</v>
      </c>
      <c r="P1588" s="2" t="s">
        <v>18</v>
      </c>
      <c r="Q1588" s="2" t="s">
        <v>30</v>
      </c>
      <c r="R1588" s="16">
        <f>(Table1[[#This Row],[NET Amount]]-Table1[[#This Row],[Total Outstanding Amount]])/Table1[[#This Row],[NET Amount]]</f>
        <v>1</v>
      </c>
      <c r="S1588" s="2" t="s">
        <v>37</v>
      </c>
    </row>
    <row r="1589" spans="1:19" x14ac:dyDescent="0.3">
      <c r="A1589" s="4">
        <v>1587</v>
      </c>
      <c r="B1589" s="2" t="s">
        <v>144</v>
      </c>
      <c r="C1589" s="3">
        <v>44844</v>
      </c>
      <c r="D1589" s="3" t="str">
        <f>TEXT(Table1[[#This Row],[Admission Date]],"MMMM")</f>
        <v>October</v>
      </c>
      <c r="E1589" s="3">
        <v>44846</v>
      </c>
      <c r="F1589" s="3">
        <v>44846</v>
      </c>
      <c r="G1589" s="2">
        <v>22026753</v>
      </c>
      <c r="H1589" s="2">
        <v>2235460</v>
      </c>
      <c r="I1589" s="2">
        <v>10013237014</v>
      </c>
      <c r="J1589" s="2" t="s">
        <v>1096</v>
      </c>
      <c r="K1589" s="10">
        <v>36800</v>
      </c>
      <c r="L1589" s="10">
        <v>4942</v>
      </c>
      <c r="M1589" s="10">
        <v>31858</v>
      </c>
      <c r="N1589" s="10">
        <v>17601</v>
      </c>
      <c r="O1589" s="10">
        <f>Table1[[#This Row],[NET Amount]]-Table1[[#This Row],[Paid Amount]]</f>
        <v>14257</v>
      </c>
      <c r="P1589" s="2" t="s">
        <v>23</v>
      </c>
      <c r="Q1589" s="2" t="s">
        <v>30</v>
      </c>
      <c r="R1589" s="16">
        <f>(Table1[[#This Row],[NET Amount]]-Table1[[#This Row],[Total Outstanding Amount]])/Table1[[#This Row],[NET Amount]]</f>
        <v>0.55248289283696406</v>
      </c>
      <c r="S1589" s="2" t="s">
        <v>20</v>
      </c>
    </row>
    <row r="1590" spans="1:19" x14ac:dyDescent="0.3">
      <c r="A1590" s="4">
        <v>1588</v>
      </c>
      <c r="B1590" s="2" t="s">
        <v>25</v>
      </c>
      <c r="C1590" s="3">
        <v>44863</v>
      </c>
      <c r="D1590" s="3" t="str">
        <f>TEXT(Table1[[#This Row],[Admission Date]],"MMMM")</f>
        <v>October</v>
      </c>
      <c r="E1590" s="3">
        <v>44865</v>
      </c>
      <c r="F1590" s="3">
        <v>44865</v>
      </c>
      <c r="G1590" s="2">
        <v>22029281</v>
      </c>
      <c r="H1590" s="2">
        <v>2238053</v>
      </c>
      <c r="I1590" s="2">
        <v>1001805516</v>
      </c>
      <c r="J1590" s="2" t="s">
        <v>842</v>
      </c>
      <c r="K1590" s="10">
        <v>71657</v>
      </c>
      <c r="L1590" s="10">
        <v>14977</v>
      </c>
      <c r="M1590" s="10">
        <v>56680</v>
      </c>
      <c r="N1590" s="10">
        <v>56680</v>
      </c>
      <c r="O1590" s="10">
        <f>Table1[[#This Row],[NET Amount]]-Table1[[#This Row],[Paid Amount]]</f>
        <v>0</v>
      </c>
      <c r="P1590" s="2" t="s">
        <v>18</v>
      </c>
      <c r="Q1590" s="2" t="s">
        <v>24</v>
      </c>
      <c r="R1590" s="16">
        <f>(Table1[[#This Row],[NET Amount]]-Table1[[#This Row],[Total Outstanding Amount]])/Table1[[#This Row],[NET Amount]]</f>
        <v>1</v>
      </c>
      <c r="S1590" s="2" t="s">
        <v>39</v>
      </c>
    </row>
    <row r="1591" spans="1:19" x14ac:dyDescent="0.3">
      <c r="A1591" s="4">
        <v>1589</v>
      </c>
      <c r="B1591" s="2" t="s">
        <v>110</v>
      </c>
      <c r="C1591" s="3">
        <v>44844</v>
      </c>
      <c r="D1591" s="3" t="str">
        <f>TEXT(Table1[[#This Row],[Admission Date]],"MMMM")</f>
        <v>October</v>
      </c>
      <c r="E1591" s="3">
        <v>44849</v>
      </c>
      <c r="F1591" s="3">
        <v>44849</v>
      </c>
      <c r="G1591" s="2">
        <v>22027236</v>
      </c>
      <c r="H1591" s="2">
        <v>2235389</v>
      </c>
      <c r="I1591" s="2">
        <v>10013500129</v>
      </c>
      <c r="J1591" s="2" t="s">
        <v>1097</v>
      </c>
      <c r="K1591" s="10">
        <v>303151</v>
      </c>
      <c r="L1591" s="10">
        <v>4857</v>
      </c>
      <c r="M1591" s="10">
        <v>298294</v>
      </c>
      <c r="N1591" s="10">
        <v>5509</v>
      </c>
      <c r="O1591" s="10">
        <f>Table1[[#This Row],[NET Amount]]-Table1[[#This Row],[Paid Amount]]</f>
        <v>292785</v>
      </c>
      <c r="P1591" s="2" t="s">
        <v>23</v>
      </c>
      <c r="Q1591" s="2" t="s">
        <v>24</v>
      </c>
      <c r="R1591" s="16">
        <f>(Table1[[#This Row],[NET Amount]]-Table1[[#This Row],[Total Outstanding Amount]])/Table1[[#This Row],[NET Amount]]</f>
        <v>1.8468356721891826E-2</v>
      </c>
      <c r="S1591" s="2" t="s">
        <v>32</v>
      </c>
    </row>
    <row r="1592" spans="1:19" x14ac:dyDescent="0.3">
      <c r="A1592" s="4">
        <v>1590</v>
      </c>
      <c r="B1592" s="2" t="s">
        <v>25</v>
      </c>
      <c r="C1592" s="3">
        <v>44827</v>
      </c>
      <c r="D1592" s="3" t="str">
        <f>TEXT(Table1[[#This Row],[Admission Date]],"MMMM")</f>
        <v>September</v>
      </c>
      <c r="E1592" s="3">
        <v>44838</v>
      </c>
      <c r="F1592" s="3">
        <v>44838</v>
      </c>
      <c r="G1592" s="2">
        <v>22025530</v>
      </c>
      <c r="H1592" s="2">
        <v>2233146</v>
      </c>
      <c r="I1592" s="2">
        <v>10013539985</v>
      </c>
      <c r="J1592" s="2" t="s">
        <v>1098</v>
      </c>
      <c r="K1592" s="10">
        <v>662252</v>
      </c>
      <c r="L1592" s="10">
        <v>106325</v>
      </c>
      <c r="M1592" s="10">
        <v>555927</v>
      </c>
      <c r="N1592" s="10">
        <v>555927</v>
      </c>
      <c r="O1592" s="10">
        <f>Table1[[#This Row],[NET Amount]]-Table1[[#This Row],[Paid Amount]]</f>
        <v>0</v>
      </c>
      <c r="P1592" s="2" t="s">
        <v>18</v>
      </c>
      <c r="Q1592" s="2" t="s">
        <v>225</v>
      </c>
      <c r="R1592" s="16">
        <f>(Table1[[#This Row],[NET Amount]]-Table1[[#This Row],[Total Outstanding Amount]])/Table1[[#This Row],[NET Amount]]</f>
        <v>1</v>
      </c>
      <c r="S1592" s="2" t="s">
        <v>20</v>
      </c>
    </row>
    <row r="1593" spans="1:19" x14ac:dyDescent="0.3">
      <c r="A1593" s="4">
        <v>1591</v>
      </c>
      <c r="B1593" s="2" t="s">
        <v>2244</v>
      </c>
      <c r="C1593" s="3">
        <v>44854</v>
      </c>
      <c r="D1593" s="3" t="str">
        <f>TEXT(Table1[[#This Row],[Admission Date]],"MMMM")</f>
        <v>October</v>
      </c>
      <c r="E1593" s="3">
        <v>44854</v>
      </c>
      <c r="F1593" s="3">
        <v>44854</v>
      </c>
      <c r="G1593" s="2">
        <v>22027935</v>
      </c>
      <c r="H1593" s="2">
        <v>2236774</v>
      </c>
      <c r="I1593" s="2">
        <v>1001797549</v>
      </c>
      <c r="J1593" s="2" t="s">
        <v>121</v>
      </c>
      <c r="K1593" s="10">
        <v>1610</v>
      </c>
      <c r="L1593" s="10">
        <v>0</v>
      </c>
      <c r="M1593" s="10">
        <v>1610</v>
      </c>
      <c r="N1593" s="10">
        <v>1610</v>
      </c>
      <c r="O1593" s="10">
        <f>Table1[[#This Row],[NET Amount]]-Table1[[#This Row],[Paid Amount]]</f>
        <v>0</v>
      </c>
      <c r="P1593" s="2" t="s">
        <v>18</v>
      </c>
      <c r="Q1593" s="2" t="s">
        <v>54</v>
      </c>
      <c r="R1593" s="16">
        <f>(Table1[[#This Row],[NET Amount]]-Table1[[#This Row],[Total Outstanding Amount]])/Table1[[#This Row],[NET Amount]]</f>
        <v>1</v>
      </c>
      <c r="S1593" s="2" t="s">
        <v>97</v>
      </c>
    </row>
    <row r="1594" spans="1:19" x14ac:dyDescent="0.3">
      <c r="A1594" s="4">
        <v>1592</v>
      </c>
      <c r="B1594" s="2" t="s">
        <v>61</v>
      </c>
      <c r="C1594" s="3">
        <v>44841</v>
      </c>
      <c r="D1594" s="3" t="str">
        <f>TEXT(Table1[[#This Row],[Admission Date]],"MMMM")</f>
        <v>October</v>
      </c>
      <c r="E1594" s="3">
        <v>44845</v>
      </c>
      <c r="F1594" s="3">
        <v>44845</v>
      </c>
      <c r="G1594" s="2">
        <v>22026502</v>
      </c>
      <c r="H1594" s="2">
        <v>2235088</v>
      </c>
      <c r="I1594" s="2">
        <v>10013336973</v>
      </c>
      <c r="J1594" s="2" t="s">
        <v>1099</v>
      </c>
      <c r="K1594" s="10">
        <v>95619</v>
      </c>
      <c r="L1594" s="10">
        <v>8742</v>
      </c>
      <c r="M1594" s="10">
        <v>86877</v>
      </c>
      <c r="N1594" s="10">
        <v>2764</v>
      </c>
      <c r="O1594" s="10">
        <f>Table1[[#This Row],[NET Amount]]-Table1[[#This Row],[Paid Amount]]</f>
        <v>84113</v>
      </c>
      <c r="P1594" s="2" t="s">
        <v>23</v>
      </c>
      <c r="Q1594" s="2" t="s">
        <v>52</v>
      </c>
      <c r="R1594" s="16">
        <f>(Table1[[#This Row],[NET Amount]]-Table1[[#This Row],[Total Outstanding Amount]])/Table1[[#This Row],[NET Amount]]</f>
        <v>3.1815094904289971E-2</v>
      </c>
      <c r="S1594" s="2" t="s">
        <v>20</v>
      </c>
    </row>
    <row r="1595" spans="1:19" x14ac:dyDescent="0.3">
      <c r="A1595" s="4">
        <v>1593</v>
      </c>
      <c r="B1595" s="2" t="s">
        <v>144</v>
      </c>
      <c r="C1595" s="3">
        <v>44848</v>
      </c>
      <c r="D1595" s="3" t="str">
        <f>TEXT(Table1[[#This Row],[Admission Date]],"MMMM")</f>
        <v>October</v>
      </c>
      <c r="E1595" s="3">
        <v>44850</v>
      </c>
      <c r="F1595" s="3">
        <v>44850</v>
      </c>
      <c r="G1595" s="2">
        <v>22027339</v>
      </c>
      <c r="H1595" s="2">
        <v>2236016</v>
      </c>
      <c r="I1595" s="2">
        <v>1001804396</v>
      </c>
      <c r="J1595" s="2" t="s">
        <v>1100</v>
      </c>
      <c r="K1595" s="10">
        <v>6056</v>
      </c>
      <c r="L1595" s="10">
        <v>0</v>
      </c>
      <c r="M1595" s="10">
        <v>6056</v>
      </c>
      <c r="N1595" s="10">
        <v>6056</v>
      </c>
      <c r="O1595" s="10">
        <f>Table1[[#This Row],[NET Amount]]-Table1[[#This Row],[Paid Amount]]</f>
        <v>0</v>
      </c>
      <c r="P1595" s="2" t="s">
        <v>18</v>
      </c>
      <c r="Q1595" s="2" t="s">
        <v>30</v>
      </c>
      <c r="R1595" s="16">
        <f>(Table1[[#This Row],[NET Amount]]-Table1[[#This Row],[Total Outstanding Amount]])/Table1[[#This Row],[NET Amount]]</f>
        <v>1</v>
      </c>
      <c r="S1595" s="2" t="s">
        <v>37</v>
      </c>
    </row>
    <row r="1596" spans="1:19" x14ac:dyDescent="0.3">
      <c r="A1596" s="4">
        <v>1594</v>
      </c>
      <c r="B1596" s="2" t="s">
        <v>126</v>
      </c>
      <c r="C1596" s="3">
        <v>44846</v>
      </c>
      <c r="D1596" s="3" t="str">
        <f>TEXT(Table1[[#This Row],[Admission Date]],"MMMM")</f>
        <v>October</v>
      </c>
      <c r="E1596" s="3">
        <v>44850</v>
      </c>
      <c r="F1596" s="3">
        <v>44850</v>
      </c>
      <c r="G1596" s="2">
        <v>22027313</v>
      </c>
      <c r="H1596" s="2">
        <v>2235778</v>
      </c>
      <c r="I1596" s="2">
        <v>10013542759</v>
      </c>
      <c r="J1596" s="2" t="s">
        <v>1101</v>
      </c>
      <c r="K1596" s="10">
        <v>344370</v>
      </c>
      <c r="L1596" s="10">
        <v>12226</v>
      </c>
      <c r="M1596" s="10">
        <v>332144</v>
      </c>
      <c r="N1596" s="10">
        <v>10562</v>
      </c>
      <c r="O1596" s="10">
        <f>Table1[[#This Row],[NET Amount]]-Table1[[#This Row],[Paid Amount]]</f>
        <v>321582</v>
      </c>
      <c r="P1596" s="2" t="s">
        <v>23</v>
      </c>
      <c r="Q1596" s="2" t="s">
        <v>24</v>
      </c>
      <c r="R1596" s="16">
        <f>(Table1[[#This Row],[NET Amount]]-Table1[[#This Row],[Total Outstanding Amount]])/Table1[[#This Row],[NET Amount]]</f>
        <v>3.1799460474974707E-2</v>
      </c>
      <c r="S1596" s="2" t="s">
        <v>39</v>
      </c>
    </row>
    <row r="1597" spans="1:19" x14ac:dyDescent="0.3">
      <c r="A1597" s="4">
        <v>1595</v>
      </c>
      <c r="B1597" s="2" t="s">
        <v>61</v>
      </c>
      <c r="C1597" s="3">
        <v>44837</v>
      </c>
      <c r="D1597" s="3" t="str">
        <f>TEXT(Table1[[#This Row],[Admission Date]],"MMMM")</f>
        <v>October</v>
      </c>
      <c r="E1597" s="3">
        <v>44838</v>
      </c>
      <c r="F1597" s="3">
        <v>44838</v>
      </c>
      <c r="G1597" s="2">
        <v>22025574</v>
      </c>
      <c r="H1597" s="2">
        <v>2234421</v>
      </c>
      <c r="I1597" s="2">
        <v>10013541381</v>
      </c>
      <c r="J1597" s="2" t="s">
        <v>1102</v>
      </c>
      <c r="K1597" s="10">
        <v>39228</v>
      </c>
      <c r="L1597" s="10">
        <v>5564</v>
      </c>
      <c r="M1597" s="10">
        <v>33664</v>
      </c>
      <c r="N1597" s="10">
        <v>6085</v>
      </c>
      <c r="O1597" s="10">
        <f>Table1[[#This Row],[NET Amount]]-Table1[[#This Row],[Paid Amount]]</f>
        <v>27579</v>
      </c>
      <c r="P1597" s="2" t="s">
        <v>23</v>
      </c>
      <c r="Q1597" s="2" t="s">
        <v>47</v>
      </c>
      <c r="R1597" s="16">
        <f>(Table1[[#This Row],[NET Amount]]-Table1[[#This Row],[Total Outstanding Amount]])/Table1[[#This Row],[NET Amount]]</f>
        <v>0.18075689163498099</v>
      </c>
      <c r="S1597" s="2" t="s">
        <v>39</v>
      </c>
    </row>
    <row r="1598" spans="1:19" x14ac:dyDescent="0.3">
      <c r="A1598" s="4">
        <v>1596</v>
      </c>
      <c r="B1598" s="2" t="s">
        <v>25</v>
      </c>
      <c r="C1598" s="3">
        <v>44851</v>
      </c>
      <c r="D1598" s="3" t="str">
        <f>TEXT(Table1[[#This Row],[Admission Date]],"MMMM")</f>
        <v>October</v>
      </c>
      <c r="E1598" s="3">
        <v>44854</v>
      </c>
      <c r="F1598" s="3">
        <v>44854</v>
      </c>
      <c r="G1598" s="2">
        <v>22027834</v>
      </c>
      <c r="H1598" s="2">
        <v>2236366</v>
      </c>
      <c r="I1598" s="2">
        <v>1001000708</v>
      </c>
      <c r="J1598" s="2" t="s">
        <v>1103</v>
      </c>
      <c r="K1598" s="10">
        <v>118672</v>
      </c>
      <c r="L1598" s="10">
        <v>118672</v>
      </c>
      <c r="M1598" s="10">
        <v>0</v>
      </c>
      <c r="N1598" s="10">
        <v>0</v>
      </c>
      <c r="O1598" s="10">
        <f>Table1[[#This Row],[NET Amount]]-Table1[[#This Row],[Paid Amount]]</f>
        <v>0</v>
      </c>
      <c r="P1598" s="2" t="s">
        <v>18</v>
      </c>
      <c r="Q1598" s="2" t="s">
        <v>90</v>
      </c>
      <c r="R1598" s="16" t="e">
        <f>(Table1[[#This Row],[NET Amount]]-Table1[[#This Row],[Total Outstanding Amount]])/Table1[[#This Row],[NET Amount]]</f>
        <v>#DIV/0!</v>
      </c>
      <c r="S1598" s="2" t="s">
        <v>201</v>
      </c>
    </row>
    <row r="1599" spans="1:19" x14ac:dyDescent="0.3">
      <c r="A1599" s="4">
        <v>1597</v>
      </c>
      <c r="B1599" s="2" t="s">
        <v>25</v>
      </c>
      <c r="C1599" s="3">
        <v>44856</v>
      </c>
      <c r="D1599" s="3" t="str">
        <f>TEXT(Table1[[#This Row],[Admission Date]],"MMMM")</f>
        <v>October</v>
      </c>
      <c r="E1599" s="3">
        <v>44856</v>
      </c>
      <c r="F1599" s="3">
        <v>44856</v>
      </c>
      <c r="G1599" s="2">
        <v>22028221</v>
      </c>
      <c r="H1599" s="2">
        <v>2237043</v>
      </c>
      <c r="I1599" s="2">
        <v>10013542866</v>
      </c>
      <c r="J1599" s="2" t="s">
        <v>673</v>
      </c>
      <c r="K1599" s="10">
        <v>4990</v>
      </c>
      <c r="L1599" s="10">
        <v>415</v>
      </c>
      <c r="M1599" s="10">
        <v>4575</v>
      </c>
      <c r="N1599" s="10">
        <v>4575</v>
      </c>
      <c r="O1599" s="10">
        <f>Table1[[#This Row],[NET Amount]]-Table1[[#This Row],[Paid Amount]]</f>
        <v>0</v>
      </c>
      <c r="P1599" s="2" t="s">
        <v>18</v>
      </c>
      <c r="Q1599" s="2" t="s">
        <v>54</v>
      </c>
      <c r="R1599" s="16">
        <f>(Table1[[#This Row],[NET Amount]]-Table1[[#This Row],[Total Outstanding Amount]])/Table1[[#This Row],[NET Amount]]</f>
        <v>1</v>
      </c>
      <c r="S1599" s="2" t="s">
        <v>97</v>
      </c>
    </row>
    <row r="1600" spans="1:19" x14ac:dyDescent="0.3">
      <c r="A1600" s="4">
        <v>1598</v>
      </c>
      <c r="B1600" s="2" t="s">
        <v>25</v>
      </c>
      <c r="C1600" s="3">
        <v>44842</v>
      </c>
      <c r="D1600" s="3" t="str">
        <f>TEXT(Table1[[#This Row],[Admission Date]],"MMMM")</f>
        <v>October</v>
      </c>
      <c r="E1600" s="3">
        <v>44850</v>
      </c>
      <c r="F1600" s="3">
        <v>44850</v>
      </c>
      <c r="G1600" s="2">
        <v>22027327</v>
      </c>
      <c r="H1600" s="2">
        <v>2235113</v>
      </c>
      <c r="I1600" s="2">
        <v>1001801946</v>
      </c>
      <c r="J1600" s="2" t="s">
        <v>848</v>
      </c>
      <c r="K1600" s="10">
        <v>109481</v>
      </c>
      <c r="L1600" s="10">
        <v>109481</v>
      </c>
      <c r="M1600" s="10">
        <v>0</v>
      </c>
      <c r="N1600" s="10">
        <v>0</v>
      </c>
      <c r="O1600" s="10">
        <f>Table1[[#This Row],[NET Amount]]-Table1[[#This Row],[Paid Amount]]</f>
        <v>0</v>
      </c>
      <c r="P1600" s="2" t="s">
        <v>18</v>
      </c>
      <c r="Q1600" s="2" t="s">
        <v>90</v>
      </c>
      <c r="R1600" s="16" t="e">
        <f>(Table1[[#This Row],[NET Amount]]-Table1[[#This Row],[Total Outstanding Amount]])/Table1[[#This Row],[NET Amount]]</f>
        <v>#DIV/0!</v>
      </c>
      <c r="S1600" s="2" t="s">
        <v>20</v>
      </c>
    </row>
    <row r="1601" spans="1:19" x14ac:dyDescent="0.3">
      <c r="A1601" s="4">
        <v>1599</v>
      </c>
      <c r="B1601" s="2" t="s">
        <v>110</v>
      </c>
      <c r="C1601" s="3">
        <v>44842</v>
      </c>
      <c r="D1601" s="3" t="str">
        <f>TEXT(Table1[[#This Row],[Admission Date]],"MMMM")</f>
        <v>October</v>
      </c>
      <c r="E1601" s="3">
        <v>44848</v>
      </c>
      <c r="F1601" s="3">
        <v>44848</v>
      </c>
      <c r="G1601" s="2">
        <v>22026961</v>
      </c>
      <c r="H1601" s="2">
        <v>2235194</v>
      </c>
      <c r="I1601" s="2">
        <v>10013539614</v>
      </c>
      <c r="J1601" s="2" t="s">
        <v>1104</v>
      </c>
      <c r="K1601" s="10">
        <v>197694</v>
      </c>
      <c r="L1601" s="10">
        <v>0</v>
      </c>
      <c r="M1601" s="10">
        <v>197694</v>
      </c>
      <c r="N1601" s="10">
        <v>197694</v>
      </c>
      <c r="O1601" s="10">
        <f>Table1[[#This Row],[NET Amount]]-Table1[[#This Row],[Paid Amount]]</f>
        <v>0</v>
      </c>
      <c r="P1601" s="2" t="s">
        <v>18</v>
      </c>
      <c r="Q1601" s="2" t="s">
        <v>19</v>
      </c>
      <c r="R1601" s="16">
        <f>(Table1[[#This Row],[NET Amount]]-Table1[[#This Row],[Total Outstanding Amount]])/Table1[[#This Row],[NET Amount]]</f>
        <v>1</v>
      </c>
      <c r="S1601" s="2" t="s">
        <v>95</v>
      </c>
    </row>
    <row r="1602" spans="1:19" x14ac:dyDescent="0.3">
      <c r="A1602" s="4">
        <v>1600</v>
      </c>
      <c r="B1602" s="2" t="s">
        <v>259</v>
      </c>
      <c r="C1602" s="3">
        <v>44840</v>
      </c>
      <c r="D1602" s="3" t="str">
        <f>TEXT(Table1[[#This Row],[Admission Date]],"MMMM")</f>
        <v>October</v>
      </c>
      <c r="E1602" s="3">
        <v>44842</v>
      </c>
      <c r="F1602" s="3">
        <v>44842</v>
      </c>
      <c r="G1602" s="2">
        <v>22026104</v>
      </c>
      <c r="H1602" s="2">
        <v>2234933</v>
      </c>
      <c r="I1602" s="2">
        <v>10013541875</v>
      </c>
      <c r="J1602" s="2" t="s">
        <v>1105</v>
      </c>
      <c r="K1602" s="10">
        <v>51426</v>
      </c>
      <c r="L1602" s="10">
        <v>3892</v>
      </c>
      <c r="M1602" s="10">
        <v>47534</v>
      </c>
      <c r="N1602" s="10">
        <v>16231</v>
      </c>
      <c r="O1602" s="10">
        <f>Table1[[#This Row],[NET Amount]]-Table1[[#This Row],[Paid Amount]]</f>
        <v>31303</v>
      </c>
      <c r="P1602" s="2" t="s">
        <v>23</v>
      </c>
      <c r="Q1602" s="2" t="s">
        <v>47</v>
      </c>
      <c r="R1602" s="16">
        <f>(Table1[[#This Row],[NET Amount]]-Table1[[#This Row],[Total Outstanding Amount]])/Table1[[#This Row],[NET Amount]]</f>
        <v>0.34146084907645052</v>
      </c>
      <c r="S1602" s="2" t="s">
        <v>39</v>
      </c>
    </row>
    <row r="1603" spans="1:19" x14ac:dyDescent="0.3">
      <c r="A1603" s="4">
        <v>1601</v>
      </c>
      <c r="B1603" s="2" t="s">
        <v>35</v>
      </c>
      <c r="C1603" s="3">
        <v>44852</v>
      </c>
      <c r="D1603" s="3" t="str">
        <f>TEXT(Table1[[#This Row],[Admission Date]],"MMMM")</f>
        <v>October</v>
      </c>
      <c r="E1603" s="3">
        <v>44855</v>
      </c>
      <c r="F1603" s="3">
        <v>44855</v>
      </c>
      <c r="G1603" s="2">
        <v>22028009</v>
      </c>
      <c r="H1603" s="2">
        <v>2236557</v>
      </c>
      <c r="I1603" s="2">
        <v>10013498645</v>
      </c>
      <c r="J1603" s="2" t="s">
        <v>1106</v>
      </c>
      <c r="K1603" s="10">
        <v>58095</v>
      </c>
      <c r="L1603" s="10">
        <v>0</v>
      </c>
      <c r="M1603" s="10">
        <v>58095</v>
      </c>
      <c r="N1603" s="10">
        <v>58095</v>
      </c>
      <c r="O1603" s="10">
        <f>Table1[[#This Row],[NET Amount]]-Table1[[#This Row],[Paid Amount]]</f>
        <v>0</v>
      </c>
      <c r="P1603" s="2" t="s">
        <v>18</v>
      </c>
      <c r="Q1603" s="2" t="s">
        <v>24</v>
      </c>
      <c r="R1603" s="16">
        <f>(Table1[[#This Row],[NET Amount]]-Table1[[#This Row],[Total Outstanding Amount]])/Table1[[#This Row],[NET Amount]]</f>
        <v>1</v>
      </c>
      <c r="S1603" s="2" t="s">
        <v>20</v>
      </c>
    </row>
    <row r="1604" spans="1:19" x14ac:dyDescent="0.3">
      <c r="A1604" s="4">
        <v>1602</v>
      </c>
      <c r="B1604" s="2" t="s">
        <v>25</v>
      </c>
      <c r="C1604" s="3">
        <v>44855</v>
      </c>
      <c r="D1604" s="3" t="str">
        <f>TEXT(Table1[[#This Row],[Admission Date]],"MMMM")</f>
        <v>October</v>
      </c>
      <c r="E1604" s="3">
        <v>44855</v>
      </c>
      <c r="F1604" s="3">
        <v>44855</v>
      </c>
      <c r="G1604" s="2">
        <v>22028108</v>
      </c>
      <c r="H1604" s="2">
        <v>2236970</v>
      </c>
      <c r="I1604" s="2">
        <v>1001110018</v>
      </c>
      <c r="J1604" s="2" t="s">
        <v>254</v>
      </c>
      <c r="K1604" s="10">
        <v>2794</v>
      </c>
      <c r="L1604" s="10">
        <v>2794</v>
      </c>
      <c r="M1604" s="10">
        <v>0</v>
      </c>
      <c r="N1604" s="10">
        <v>0</v>
      </c>
      <c r="O1604" s="10">
        <f>Table1[[#This Row],[NET Amount]]-Table1[[#This Row],[Paid Amount]]</f>
        <v>0</v>
      </c>
      <c r="P1604" s="2" t="s">
        <v>18</v>
      </c>
      <c r="Q1604" s="2" t="s">
        <v>90</v>
      </c>
      <c r="R1604" s="16" t="e">
        <f>(Table1[[#This Row],[NET Amount]]-Table1[[#This Row],[Total Outstanding Amount]])/Table1[[#This Row],[NET Amount]]</f>
        <v>#DIV/0!</v>
      </c>
      <c r="S1604" s="2" t="s">
        <v>97</v>
      </c>
    </row>
    <row r="1605" spans="1:19" x14ac:dyDescent="0.3">
      <c r="A1605" s="4">
        <v>1603</v>
      </c>
      <c r="B1605" s="2" t="s">
        <v>25</v>
      </c>
      <c r="C1605" s="3">
        <v>44855</v>
      </c>
      <c r="D1605" s="3" t="str">
        <f>TEXT(Table1[[#This Row],[Admission Date]],"MMMM")</f>
        <v>October</v>
      </c>
      <c r="E1605" s="3">
        <v>44855</v>
      </c>
      <c r="F1605" s="3">
        <v>44855</v>
      </c>
      <c r="G1605" s="2">
        <v>22028107</v>
      </c>
      <c r="H1605" s="2">
        <v>2236971</v>
      </c>
      <c r="I1605" s="2">
        <v>1001012376</v>
      </c>
      <c r="J1605" s="2" t="s">
        <v>541</v>
      </c>
      <c r="K1605" s="10">
        <v>2794</v>
      </c>
      <c r="L1605" s="10">
        <v>2794</v>
      </c>
      <c r="M1605" s="10">
        <v>0</v>
      </c>
      <c r="N1605" s="10">
        <v>0</v>
      </c>
      <c r="O1605" s="10">
        <f>Table1[[#This Row],[NET Amount]]-Table1[[#This Row],[Paid Amount]]</f>
        <v>0</v>
      </c>
      <c r="P1605" s="2" t="s">
        <v>18</v>
      </c>
      <c r="Q1605" s="2" t="s">
        <v>90</v>
      </c>
      <c r="R1605" s="16" t="e">
        <f>(Table1[[#This Row],[NET Amount]]-Table1[[#This Row],[Total Outstanding Amount]])/Table1[[#This Row],[NET Amount]]</f>
        <v>#DIV/0!</v>
      </c>
      <c r="S1605" s="2" t="s">
        <v>97</v>
      </c>
    </row>
    <row r="1606" spans="1:19" x14ac:dyDescent="0.3">
      <c r="A1606" s="4">
        <v>1604</v>
      </c>
      <c r="B1606" s="2" t="s">
        <v>141</v>
      </c>
      <c r="C1606" s="3">
        <v>44848</v>
      </c>
      <c r="D1606" s="3" t="str">
        <f>TEXT(Table1[[#This Row],[Admission Date]],"MMMM")</f>
        <v>October</v>
      </c>
      <c r="E1606" s="3">
        <v>44850</v>
      </c>
      <c r="F1606" s="3">
        <v>44850</v>
      </c>
      <c r="G1606" s="2">
        <v>22027305</v>
      </c>
      <c r="H1606" s="2">
        <v>2235986</v>
      </c>
      <c r="I1606" s="2">
        <v>1001804313</v>
      </c>
      <c r="J1606" s="2" t="s">
        <v>1107</v>
      </c>
      <c r="K1606" s="10">
        <v>254079</v>
      </c>
      <c r="L1606" s="10">
        <v>1711</v>
      </c>
      <c r="M1606" s="10">
        <v>252368</v>
      </c>
      <c r="N1606" s="10">
        <v>79830</v>
      </c>
      <c r="O1606" s="10">
        <f>Table1[[#This Row],[NET Amount]]-Table1[[#This Row],[Paid Amount]]</f>
        <v>172538</v>
      </c>
      <c r="P1606" s="2" t="s">
        <v>23</v>
      </c>
      <c r="Q1606" s="2" t="s">
        <v>47</v>
      </c>
      <c r="R1606" s="16">
        <f>(Table1[[#This Row],[NET Amount]]-Table1[[#This Row],[Total Outstanding Amount]])/Table1[[#This Row],[NET Amount]]</f>
        <v>0.3163237811449946</v>
      </c>
      <c r="S1606" s="2" t="s">
        <v>39</v>
      </c>
    </row>
    <row r="1607" spans="1:19" x14ac:dyDescent="0.3">
      <c r="A1607" s="4">
        <v>1605</v>
      </c>
      <c r="B1607" s="2" t="s">
        <v>25</v>
      </c>
      <c r="C1607" s="3">
        <v>44851</v>
      </c>
      <c r="D1607" s="3" t="str">
        <f>TEXT(Table1[[#This Row],[Admission Date]],"MMMM")</f>
        <v>October</v>
      </c>
      <c r="E1607" s="3">
        <v>44853</v>
      </c>
      <c r="F1607" s="3">
        <v>44853</v>
      </c>
      <c r="G1607" s="2">
        <v>22027669</v>
      </c>
      <c r="H1607" s="2">
        <v>2236357</v>
      </c>
      <c r="I1607" s="2">
        <v>10013543422</v>
      </c>
      <c r="J1607" s="2" t="s">
        <v>1108</v>
      </c>
      <c r="K1607" s="10">
        <v>119519</v>
      </c>
      <c r="L1607" s="10">
        <v>16448</v>
      </c>
      <c r="M1607" s="10">
        <v>103070</v>
      </c>
      <c r="N1607" s="10">
        <v>103070</v>
      </c>
      <c r="O1607" s="10">
        <f>Table1[[#This Row],[NET Amount]]-Table1[[#This Row],[Paid Amount]]</f>
        <v>0</v>
      </c>
      <c r="P1607" s="2" t="s">
        <v>18</v>
      </c>
      <c r="Q1607" s="2" t="s">
        <v>24</v>
      </c>
      <c r="R1607" s="16">
        <f>(Table1[[#This Row],[NET Amount]]-Table1[[#This Row],[Total Outstanding Amount]])/Table1[[#This Row],[NET Amount]]</f>
        <v>1</v>
      </c>
      <c r="S1607" s="2" t="s">
        <v>39</v>
      </c>
    </row>
    <row r="1608" spans="1:19" x14ac:dyDescent="0.3">
      <c r="A1608" s="4">
        <v>1606</v>
      </c>
      <c r="B1608" s="2" t="s">
        <v>50</v>
      </c>
      <c r="C1608" s="3">
        <v>44852</v>
      </c>
      <c r="D1608" s="3" t="str">
        <f>TEXT(Table1[[#This Row],[Admission Date]],"MMMM")</f>
        <v>October</v>
      </c>
      <c r="E1608" s="3">
        <v>44854</v>
      </c>
      <c r="F1608" s="3">
        <v>44854</v>
      </c>
      <c r="G1608" s="2">
        <v>22027822</v>
      </c>
      <c r="H1608" s="2">
        <v>2236471</v>
      </c>
      <c r="I1608" s="2">
        <v>1001805025</v>
      </c>
      <c r="J1608" s="2" t="s">
        <v>1109</v>
      </c>
      <c r="K1608" s="10">
        <v>10328</v>
      </c>
      <c r="L1608" s="10">
        <v>0</v>
      </c>
      <c r="M1608" s="10">
        <v>10328</v>
      </c>
      <c r="N1608" s="10">
        <v>10328</v>
      </c>
      <c r="O1608" s="10">
        <f>Table1[[#This Row],[NET Amount]]-Table1[[#This Row],[Paid Amount]]</f>
        <v>0</v>
      </c>
      <c r="P1608" s="2" t="s">
        <v>18</v>
      </c>
      <c r="Q1608" s="2" t="s">
        <v>30</v>
      </c>
      <c r="R1608" s="16">
        <f>(Table1[[#This Row],[NET Amount]]-Table1[[#This Row],[Total Outstanding Amount]])/Table1[[#This Row],[NET Amount]]</f>
        <v>1</v>
      </c>
      <c r="S1608" s="2" t="s">
        <v>37</v>
      </c>
    </row>
    <row r="1609" spans="1:19" x14ac:dyDescent="0.3">
      <c r="A1609" s="4">
        <v>1607</v>
      </c>
      <c r="B1609" s="2" t="s">
        <v>72</v>
      </c>
      <c r="C1609" s="3">
        <v>44852</v>
      </c>
      <c r="D1609" s="3" t="str">
        <f>TEXT(Table1[[#This Row],[Admission Date]],"MMMM")</f>
        <v>October</v>
      </c>
      <c r="E1609" s="3">
        <v>44853</v>
      </c>
      <c r="F1609" s="3">
        <v>44853</v>
      </c>
      <c r="G1609" s="2">
        <v>22027683</v>
      </c>
      <c r="H1609" s="2">
        <v>2236472</v>
      </c>
      <c r="I1609" s="2">
        <v>1001042263</v>
      </c>
      <c r="J1609" s="2" t="s">
        <v>1110</v>
      </c>
      <c r="K1609" s="10">
        <v>58790</v>
      </c>
      <c r="L1609" s="10">
        <v>0</v>
      </c>
      <c r="M1609" s="10">
        <v>58790</v>
      </c>
      <c r="N1609" s="10">
        <v>7229</v>
      </c>
      <c r="O1609" s="10">
        <f>Table1[[#This Row],[NET Amount]]-Table1[[#This Row],[Paid Amount]]</f>
        <v>51561</v>
      </c>
      <c r="P1609" s="2" t="s">
        <v>23</v>
      </c>
      <c r="Q1609" s="2" t="s">
        <v>52</v>
      </c>
      <c r="R1609" s="16">
        <f>(Table1[[#This Row],[NET Amount]]-Table1[[#This Row],[Total Outstanding Amount]])/Table1[[#This Row],[NET Amount]]</f>
        <v>0.12296308896070761</v>
      </c>
      <c r="S1609" s="2" t="s">
        <v>77</v>
      </c>
    </row>
    <row r="1610" spans="1:19" x14ac:dyDescent="0.3">
      <c r="A1610" s="4">
        <v>1608</v>
      </c>
      <c r="B1610" s="2" t="s">
        <v>72</v>
      </c>
      <c r="C1610" s="3">
        <v>44852</v>
      </c>
      <c r="D1610" s="3" t="str">
        <f>TEXT(Table1[[#This Row],[Admission Date]],"MMMM")</f>
        <v>October</v>
      </c>
      <c r="E1610" s="3">
        <v>44856</v>
      </c>
      <c r="F1610" s="3">
        <v>44856</v>
      </c>
      <c r="G1610" s="2">
        <v>22028245</v>
      </c>
      <c r="H1610" s="2">
        <v>2236539</v>
      </c>
      <c r="I1610" s="2">
        <v>10013543625</v>
      </c>
      <c r="J1610" s="2" t="s">
        <v>1111</v>
      </c>
      <c r="K1610" s="10">
        <v>163112</v>
      </c>
      <c r="L1610" s="10">
        <v>20308</v>
      </c>
      <c r="M1610" s="10">
        <v>142804</v>
      </c>
      <c r="N1610" s="10">
        <v>18297</v>
      </c>
      <c r="O1610" s="10">
        <f>Table1[[#This Row],[NET Amount]]-Table1[[#This Row],[Paid Amount]]</f>
        <v>124507</v>
      </c>
      <c r="P1610" s="2" t="s">
        <v>23</v>
      </c>
      <c r="Q1610" s="2" t="s">
        <v>42</v>
      </c>
      <c r="R1610" s="16">
        <f>(Table1[[#This Row],[NET Amount]]-Table1[[#This Row],[Total Outstanding Amount]])/Table1[[#This Row],[NET Amount]]</f>
        <v>0.12812666311868015</v>
      </c>
      <c r="S1610" s="2" t="s">
        <v>20</v>
      </c>
    </row>
    <row r="1611" spans="1:19" x14ac:dyDescent="0.3">
      <c r="A1611" s="4">
        <v>1609</v>
      </c>
      <c r="B1611" s="2" t="s">
        <v>25</v>
      </c>
      <c r="C1611" s="3">
        <v>44848</v>
      </c>
      <c r="D1611" s="3" t="str">
        <f>TEXT(Table1[[#This Row],[Admission Date]],"MMMM")</f>
        <v>October</v>
      </c>
      <c r="E1611" s="3">
        <v>44856</v>
      </c>
      <c r="F1611" s="3">
        <v>44856</v>
      </c>
      <c r="G1611" s="2">
        <v>22028280</v>
      </c>
      <c r="H1611" s="2">
        <v>2236026</v>
      </c>
      <c r="I1611" s="2">
        <v>10013543054</v>
      </c>
      <c r="J1611" s="2" t="s">
        <v>1112</v>
      </c>
      <c r="K1611" s="10">
        <v>151396</v>
      </c>
      <c r="L1611" s="10">
        <v>151396</v>
      </c>
      <c r="M1611" s="10">
        <v>0</v>
      </c>
      <c r="N1611" s="10">
        <v>0</v>
      </c>
      <c r="O1611" s="10">
        <f>Table1[[#This Row],[NET Amount]]-Table1[[#This Row],[Paid Amount]]</f>
        <v>0</v>
      </c>
      <c r="P1611" s="2" t="s">
        <v>18</v>
      </c>
      <c r="Q1611" s="2" t="s">
        <v>90</v>
      </c>
      <c r="R1611" s="16" t="e">
        <f>(Table1[[#This Row],[NET Amount]]-Table1[[#This Row],[Total Outstanding Amount]])/Table1[[#This Row],[NET Amount]]</f>
        <v>#DIV/0!</v>
      </c>
      <c r="S1611" s="2" t="s">
        <v>20</v>
      </c>
    </row>
    <row r="1612" spans="1:19" x14ac:dyDescent="0.3">
      <c r="A1612" s="4">
        <v>1610</v>
      </c>
      <c r="B1612" s="2" t="s">
        <v>72</v>
      </c>
      <c r="C1612" s="3">
        <v>44846</v>
      </c>
      <c r="D1612" s="3" t="str">
        <f>TEXT(Table1[[#This Row],[Admission Date]],"MMMM")</f>
        <v>October</v>
      </c>
      <c r="E1612" s="3">
        <v>44848</v>
      </c>
      <c r="F1612" s="3">
        <v>44848</v>
      </c>
      <c r="G1612" s="2">
        <v>22026983</v>
      </c>
      <c r="H1612" s="2">
        <v>2235667</v>
      </c>
      <c r="I1612" s="2">
        <v>1001803921</v>
      </c>
      <c r="J1612" s="2" t="s">
        <v>1113</v>
      </c>
      <c r="K1612" s="10">
        <v>6160</v>
      </c>
      <c r="L1612" s="10">
        <v>0</v>
      </c>
      <c r="M1612" s="10">
        <v>6160</v>
      </c>
      <c r="N1612" s="10">
        <v>6159</v>
      </c>
      <c r="O1612" s="10">
        <f>Table1[[#This Row],[NET Amount]]-Table1[[#This Row],[Paid Amount]]</f>
        <v>1</v>
      </c>
      <c r="P1612" s="2" t="s">
        <v>23</v>
      </c>
      <c r="Q1612" s="2" t="s">
        <v>42</v>
      </c>
      <c r="R1612" s="16">
        <f>(Table1[[#This Row],[NET Amount]]-Table1[[#This Row],[Total Outstanding Amount]])/Table1[[#This Row],[NET Amount]]</f>
        <v>0.99983766233766236</v>
      </c>
      <c r="S1612" s="2" t="s">
        <v>37</v>
      </c>
    </row>
    <row r="1613" spans="1:19" x14ac:dyDescent="0.3">
      <c r="A1613" s="4">
        <v>1611</v>
      </c>
      <c r="B1613" s="2" t="s">
        <v>152</v>
      </c>
      <c r="C1613" s="3">
        <v>44846</v>
      </c>
      <c r="D1613" s="3" t="str">
        <f>TEXT(Table1[[#This Row],[Admission Date]],"MMMM")</f>
        <v>October</v>
      </c>
      <c r="E1613" s="3">
        <v>44848</v>
      </c>
      <c r="F1613" s="3">
        <v>44848</v>
      </c>
      <c r="G1613" s="2">
        <v>22026986</v>
      </c>
      <c r="H1613" s="2">
        <v>2235700</v>
      </c>
      <c r="I1613" s="2">
        <v>1001803964</v>
      </c>
      <c r="J1613" s="2" t="s">
        <v>1114</v>
      </c>
      <c r="K1613" s="10">
        <v>3964</v>
      </c>
      <c r="L1613" s="10">
        <v>0</v>
      </c>
      <c r="M1613" s="10">
        <v>3964</v>
      </c>
      <c r="N1613" s="10">
        <v>3964</v>
      </c>
      <c r="O1613" s="10">
        <f>Table1[[#This Row],[NET Amount]]-Table1[[#This Row],[Paid Amount]]</f>
        <v>0</v>
      </c>
      <c r="P1613" s="2" t="s">
        <v>18</v>
      </c>
      <c r="Q1613" s="2" t="s">
        <v>24</v>
      </c>
      <c r="R1613" s="16">
        <f>(Table1[[#This Row],[NET Amount]]-Table1[[#This Row],[Total Outstanding Amount]])/Table1[[#This Row],[NET Amount]]</f>
        <v>1</v>
      </c>
      <c r="S1613" s="2" t="s">
        <v>37</v>
      </c>
    </row>
    <row r="1614" spans="1:19" x14ac:dyDescent="0.3">
      <c r="A1614" s="4">
        <v>1612</v>
      </c>
      <c r="B1614" s="2" t="s">
        <v>35</v>
      </c>
      <c r="C1614" s="3">
        <v>44850</v>
      </c>
      <c r="D1614" s="3" t="str">
        <f>TEXT(Table1[[#This Row],[Admission Date]],"MMMM")</f>
        <v>October</v>
      </c>
      <c r="E1614" s="3">
        <v>44851</v>
      </c>
      <c r="F1614" s="3">
        <v>44851</v>
      </c>
      <c r="G1614" s="2">
        <v>22027498</v>
      </c>
      <c r="H1614" s="2">
        <v>2236237</v>
      </c>
      <c r="I1614" s="2">
        <v>10013543193</v>
      </c>
      <c r="J1614" s="2" t="s">
        <v>1115</v>
      </c>
      <c r="K1614" s="10">
        <v>19789</v>
      </c>
      <c r="L1614" s="10">
        <v>0</v>
      </c>
      <c r="M1614" s="10">
        <v>19789</v>
      </c>
      <c r="N1614" s="10">
        <v>19789</v>
      </c>
      <c r="O1614" s="10">
        <f>Table1[[#This Row],[NET Amount]]-Table1[[#This Row],[Paid Amount]]</f>
        <v>0</v>
      </c>
      <c r="P1614" s="2" t="s">
        <v>18</v>
      </c>
      <c r="Q1614" s="2" t="s">
        <v>24</v>
      </c>
      <c r="R1614" s="16">
        <f>(Table1[[#This Row],[NET Amount]]-Table1[[#This Row],[Total Outstanding Amount]])/Table1[[#This Row],[NET Amount]]</f>
        <v>1</v>
      </c>
      <c r="S1614" s="2" t="s">
        <v>138</v>
      </c>
    </row>
    <row r="1615" spans="1:19" x14ac:dyDescent="0.3">
      <c r="A1615" s="4">
        <v>1613</v>
      </c>
      <c r="B1615" s="2" t="s">
        <v>35</v>
      </c>
      <c r="C1615" s="3">
        <v>44853</v>
      </c>
      <c r="D1615" s="3" t="str">
        <f>TEXT(Table1[[#This Row],[Admission Date]],"MMMM")</f>
        <v>October</v>
      </c>
      <c r="E1615" s="3">
        <v>44855</v>
      </c>
      <c r="F1615" s="3">
        <v>44855</v>
      </c>
      <c r="G1615" s="2">
        <v>22027987</v>
      </c>
      <c r="H1615" s="2">
        <v>2236712</v>
      </c>
      <c r="I1615" s="2">
        <v>1001057384</v>
      </c>
      <c r="J1615" s="2" t="s">
        <v>1116</v>
      </c>
      <c r="K1615" s="10">
        <v>150789</v>
      </c>
      <c r="L1615" s="10">
        <v>0</v>
      </c>
      <c r="M1615" s="10">
        <v>150789</v>
      </c>
      <c r="N1615" s="10">
        <v>150789</v>
      </c>
      <c r="O1615" s="10">
        <f>Table1[[#This Row],[NET Amount]]-Table1[[#This Row],[Paid Amount]]</f>
        <v>0</v>
      </c>
      <c r="P1615" s="2" t="s">
        <v>18</v>
      </c>
      <c r="Q1615" s="2" t="s">
        <v>24</v>
      </c>
      <c r="R1615" s="16">
        <f>(Table1[[#This Row],[NET Amount]]-Table1[[#This Row],[Total Outstanding Amount]])/Table1[[#This Row],[NET Amount]]</f>
        <v>1</v>
      </c>
      <c r="S1615" s="2" t="s">
        <v>39</v>
      </c>
    </row>
    <row r="1616" spans="1:19" x14ac:dyDescent="0.3">
      <c r="A1616" s="4">
        <v>1614</v>
      </c>
      <c r="B1616" s="2" t="s">
        <v>61</v>
      </c>
      <c r="C1616" s="3">
        <v>44844</v>
      </c>
      <c r="D1616" s="3" t="str">
        <f>TEXT(Table1[[#This Row],[Admission Date]],"MMMM")</f>
        <v>October</v>
      </c>
      <c r="E1616" s="3">
        <v>44845</v>
      </c>
      <c r="F1616" s="3">
        <v>44845</v>
      </c>
      <c r="G1616" s="2">
        <v>22026543</v>
      </c>
      <c r="H1616" s="2">
        <v>2235369</v>
      </c>
      <c r="I1616" s="2">
        <v>1001244914</v>
      </c>
      <c r="J1616" s="2" t="s">
        <v>1117</v>
      </c>
      <c r="K1616" s="10">
        <v>238169</v>
      </c>
      <c r="L1616" s="10">
        <v>225</v>
      </c>
      <c r="M1616" s="10">
        <v>237944</v>
      </c>
      <c r="N1616" s="10">
        <v>48789</v>
      </c>
      <c r="O1616" s="10">
        <f>Table1[[#This Row],[NET Amount]]-Table1[[#This Row],[Paid Amount]]</f>
        <v>189155</v>
      </c>
      <c r="P1616" s="2" t="s">
        <v>23</v>
      </c>
      <c r="Q1616" s="2" t="s">
        <v>47</v>
      </c>
      <c r="R1616" s="16">
        <f>(Table1[[#This Row],[NET Amount]]-Table1[[#This Row],[Total Outstanding Amount]])/Table1[[#This Row],[NET Amount]]</f>
        <v>0.20504404397673401</v>
      </c>
      <c r="S1616" s="2" t="s">
        <v>39</v>
      </c>
    </row>
    <row r="1617" spans="1:19" x14ac:dyDescent="0.3">
      <c r="A1617" s="4">
        <v>1615</v>
      </c>
      <c r="B1617" s="2" t="s">
        <v>126</v>
      </c>
      <c r="C1617" s="3">
        <v>44855</v>
      </c>
      <c r="D1617" s="3" t="str">
        <f>TEXT(Table1[[#This Row],[Admission Date]],"MMMM")</f>
        <v>October</v>
      </c>
      <c r="E1617" s="3">
        <v>44861</v>
      </c>
      <c r="F1617" s="3">
        <v>44861</v>
      </c>
      <c r="G1617" s="2">
        <v>22028742</v>
      </c>
      <c r="H1617" s="2">
        <v>2236932</v>
      </c>
      <c r="I1617" s="2">
        <v>10013544054</v>
      </c>
      <c r="J1617" s="2" t="s">
        <v>1118</v>
      </c>
      <c r="K1617" s="10">
        <v>145257</v>
      </c>
      <c r="L1617" s="10">
        <v>20323</v>
      </c>
      <c r="M1617" s="10">
        <v>124934</v>
      </c>
      <c r="N1617" s="10">
        <v>31121</v>
      </c>
      <c r="O1617" s="10">
        <f>Table1[[#This Row],[NET Amount]]-Table1[[#This Row],[Paid Amount]]</f>
        <v>93813</v>
      </c>
      <c r="P1617" s="2" t="s">
        <v>23</v>
      </c>
      <c r="Q1617" s="2" t="s">
        <v>24</v>
      </c>
      <c r="R1617" s="16">
        <f>(Table1[[#This Row],[NET Amount]]-Table1[[#This Row],[Total Outstanding Amount]])/Table1[[#This Row],[NET Amount]]</f>
        <v>0.24909952454896186</v>
      </c>
      <c r="S1617" s="2" t="s">
        <v>37</v>
      </c>
    </row>
    <row r="1618" spans="1:19" x14ac:dyDescent="0.3">
      <c r="A1618" s="4">
        <v>1616</v>
      </c>
      <c r="B1618" s="2" t="s">
        <v>163</v>
      </c>
      <c r="C1618" s="3">
        <v>44856</v>
      </c>
      <c r="D1618" s="3" t="str">
        <f>TEXT(Table1[[#This Row],[Admission Date]],"MMMM")</f>
        <v>October</v>
      </c>
      <c r="E1618" s="3">
        <v>44861</v>
      </c>
      <c r="F1618" s="3">
        <v>44861</v>
      </c>
      <c r="G1618" s="2">
        <v>22028736</v>
      </c>
      <c r="H1618" s="2">
        <v>2237061</v>
      </c>
      <c r="I1618" s="2">
        <v>1001805810</v>
      </c>
      <c r="J1618" s="2" t="s">
        <v>1119</v>
      </c>
      <c r="K1618" s="10">
        <v>105046</v>
      </c>
      <c r="L1618" s="10">
        <v>0</v>
      </c>
      <c r="M1618" s="10">
        <v>105046</v>
      </c>
      <c r="N1618" s="10">
        <v>6434</v>
      </c>
      <c r="O1618" s="10">
        <f>Table1[[#This Row],[NET Amount]]-Table1[[#This Row],[Paid Amount]]</f>
        <v>98612</v>
      </c>
      <c r="P1618" s="2" t="s">
        <v>23</v>
      </c>
      <c r="Q1618" s="2" t="s">
        <v>24</v>
      </c>
      <c r="R1618" s="16">
        <f>(Table1[[#This Row],[NET Amount]]-Table1[[#This Row],[Total Outstanding Amount]])/Table1[[#This Row],[NET Amount]]</f>
        <v>6.124935742436647E-2</v>
      </c>
      <c r="S1618" s="2" t="s">
        <v>37</v>
      </c>
    </row>
    <row r="1619" spans="1:19" x14ac:dyDescent="0.3">
      <c r="A1619" s="4">
        <v>1617</v>
      </c>
      <c r="B1619" s="2" t="s">
        <v>149</v>
      </c>
      <c r="C1619" s="3">
        <v>44853</v>
      </c>
      <c r="D1619" s="3" t="str">
        <f>TEXT(Table1[[#This Row],[Admission Date]],"MMMM")</f>
        <v>October</v>
      </c>
      <c r="E1619" s="3">
        <v>44854</v>
      </c>
      <c r="F1619" s="3">
        <v>44854</v>
      </c>
      <c r="G1619" s="2">
        <v>22027901</v>
      </c>
      <c r="H1619" s="2">
        <v>2236651</v>
      </c>
      <c r="I1619" s="2">
        <v>10013543739</v>
      </c>
      <c r="J1619" s="2" t="s">
        <v>1120</v>
      </c>
      <c r="K1619" s="10">
        <v>241724</v>
      </c>
      <c r="L1619" s="10">
        <v>0</v>
      </c>
      <c r="M1619" s="10">
        <v>241724</v>
      </c>
      <c r="N1619" s="10">
        <v>241723</v>
      </c>
      <c r="O1619" s="10">
        <f>Table1[[#This Row],[NET Amount]]-Table1[[#This Row],[Paid Amount]]</f>
        <v>1</v>
      </c>
      <c r="P1619" s="2" t="s">
        <v>23</v>
      </c>
      <c r="Q1619" s="2" t="s">
        <v>47</v>
      </c>
      <c r="R1619" s="16">
        <f>(Table1[[#This Row],[NET Amount]]-Table1[[#This Row],[Total Outstanding Amount]])/Table1[[#This Row],[NET Amount]]</f>
        <v>0.9999958630504211</v>
      </c>
      <c r="S1619" s="2" t="s">
        <v>39</v>
      </c>
    </row>
    <row r="1620" spans="1:19" x14ac:dyDescent="0.3">
      <c r="A1620" s="4">
        <v>1618</v>
      </c>
      <c r="B1620" s="2" t="s">
        <v>25</v>
      </c>
      <c r="C1620" s="3">
        <v>44855</v>
      </c>
      <c r="D1620" s="3" t="str">
        <f>TEXT(Table1[[#This Row],[Admission Date]],"MMMM")</f>
        <v>October</v>
      </c>
      <c r="E1620" s="3">
        <v>44862</v>
      </c>
      <c r="F1620" s="3">
        <v>44862</v>
      </c>
      <c r="G1620" s="2">
        <v>22028893</v>
      </c>
      <c r="H1620" s="2">
        <v>2236939</v>
      </c>
      <c r="I1620" s="2">
        <v>10013440820</v>
      </c>
      <c r="J1620" s="2" t="s">
        <v>1121</v>
      </c>
      <c r="K1620" s="10">
        <v>127574</v>
      </c>
      <c r="L1620" s="10">
        <v>12453</v>
      </c>
      <c r="M1620" s="10">
        <v>115121</v>
      </c>
      <c r="N1620" s="10">
        <v>115121</v>
      </c>
      <c r="O1620" s="10">
        <f>Table1[[#This Row],[NET Amount]]-Table1[[#This Row],[Paid Amount]]</f>
        <v>0</v>
      </c>
      <c r="P1620" s="2" t="s">
        <v>18</v>
      </c>
      <c r="Q1620" s="2" t="s">
        <v>24</v>
      </c>
      <c r="R1620" s="16">
        <f>(Table1[[#This Row],[NET Amount]]-Table1[[#This Row],[Total Outstanding Amount]])/Table1[[#This Row],[NET Amount]]</f>
        <v>1</v>
      </c>
      <c r="S1620" s="2" t="s">
        <v>20</v>
      </c>
    </row>
    <row r="1621" spans="1:19" x14ac:dyDescent="0.3">
      <c r="A1621" s="4">
        <v>1619</v>
      </c>
      <c r="B1621" s="2" t="s">
        <v>25</v>
      </c>
      <c r="C1621" s="3">
        <v>44853</v>
      </c>
      <c r="D1621" s="3" t="str">
        <f>TEXT(Table1[[#This Row],[Admission Date]],"MMMM")</f>
        <v>October</v>
      </c>
      <c r="E1621" s="3">
        <v>44856</v>
      </c>
      <c r="F1621" s="3">
        <v>44856</v>
      </c>
      <c r="G1621" s="2">
        <v>22028135</v>
      </c>
      <c r="H1621" s="2">
        <v>2236628</v>
      </c>
      <c r="I1621" s="2">
        <v>1001805245</v>
      </c>
      <c r="J1621" s="2" t="s">
        <v>1122</v>
      </c>
      <c r="K1621" s="10">
        <v>22459</v>
      </c>
      <c r="L1621" s="10">
        <v>2874</v>
      </c>
      <c r="M1621" s="10">
        <v>19586</v>
      </c>
      <c r="N1621" s="10">
        <v>19586</v>
      </c>
      <c r="O1621" s="10">
        <f>Table1[[#This Row],[NET Amount]]-Table1[[#This Row],[Paid Amount]]</f>
        <v>0</v>
      </c>
      <c r="P1621" s="2" t="s">
        <v>18</v>
      </c>
      <c r="Q1621" s="2" t="s">
        <v>30</v>
      </c>
      <c r="R1621" s="16">
        <f>(Table1[[#This Row],[NET Amount]]-Table1[[#This Row],[Total Outstanding Amount]])/Table1[[#This Row],[NET Amount]]</f>
        <v>1</v>
      </c>
      <c r="S1621" s="2" t="s">
        <v>37</v>
      </c>
    </row>
    <row r="1622" spans="1:19" x14ac:dyDescent="0.3">
      <c r="A1622" s="4">
        <v>1620</v>
      </c>
      <c r="B1622" s="2" t="s">
        <v>126</v>
      </c>
      <c r="C1622" s="3">
        <v>44836</v>
      </c>
      <c r="D1622" s="3" t="str">
        <f>TEXT(Table1[[#This Row],[Admission Date]],"MMMM")</f>
        <v>October</v>
      </c>
      <c r="E1622" s="3">
        <v>44838</v>
      </c>
      <c r="F1622" s="3">
        <v>44838</v>
      </c>
      <c r="G1622" s="2">
        <v>22025533</v>
      </c>
      <c r="H1622" s="2">
        <v>2234300</v>
      </c>
      <c r="I1622" s="2">
        <v>10013541158</v>
      </c>
      <c r="J1622" s="2" t="s">
        <v>1123</v>
      </c>
      <c r="K1622" s="10">
        <v>58158</v>
      </c>
      <c r="L1622" s="10">
        <v>7156</v>
      </c>
      <c r="M1622" s="10">
        <v>51002</v>
      </c>
      <c r="N1622" s="10">
        <v>51002</v>
      </c>
      <c r="O1622" s="10">
        <f>Table1[[#This Row],[NET Amount]]-Table1[[#This Row],[Paid Amount]]</f>
        <v>0</v>
      </c>
      <c r="P1622" s="2" t="s">
        <v>18</v>
      </c>
      <c r="Q1622" s="2" t="s">
        <v>30</v>
      </c>
      <c r="R1622" s="16">
        <f>(Table1[[#This Row],[NET Amount]]-Table1[[#This Row],[Total Outstanding Amount]])/Table1[[#This Row],[NET Amount]]</f>
        <v>1</v>
      </c>
      <c r="S1622" s="2" t="s">
        <v>20</v>
      </c>
    </row>
    <row r="1623" spans="1:19" x14ac:dyDescent="0.3">
      <c r="A1623" s="4">
        <v>1621</v>
      </c>
      <c r="B1623" s="2" t="s">
        <v>117</v>
      </c>
      <c r="C1623" s="3">
        <v>44835</v>
      </c>
      <c r="D1623" s="3" t="str">
        <f>TEXT(Table1[[#This Row],[Admission Date]],"MMMM")</f>
        <v>October</v>
      </c>
      <c r="E1623" s="3">
        <v>44841</v>
      </c>
      <c r="F1623" s="3">
        <v>44841</v>
      </c>
      <c r="G1623" s="2">
        <v>22025980</v>
      </c>
      <c r="H1623" s="2">
        <v>2234171</v>
      </c>
      <c r="I1623" s="2">
        <v>1001801845</v>
      </c>
      <c r="J1623" s="2" t="s">
        <v>1124</v>
      </c>
      <c r="K1623" s="10">
        <v>69492</v>
      </c>
      <c r="L1623" s="10">
        <v>0</v>
      </c>
      <c r="M1623" s="10">
        <v>69492</v>
      </c>
      <c r="N1623" s="10">
        <v>69492</v>
      </c>
      <c r="O1623" s="10">
        <f>Table1[[#This Row],[NET Amount]]-Table1[[#This Row],[Paid Amount]]</f>
        <v>0</v>
      </c>
      <c r="P1623" s="2" t="s">
        <v>18</v>
      </c>
      <c r="Q1623" s="2" t="s">
        <v>19</v>
      </c>
      <c r="R1623" s="16">
        <f>(Table1[[#This Row],[NET Amount]]-Table1[[#This Row],[Total Outstanding Amount]])/Table1[[#This Row],[NET Amount]]</f>
        <v>1</v>
      </c>
      <c r="S1623" s="2" t="s">
        <v>37</v>
      </c>
    </row>
    <row r="1624" spans="1:19" x14ac:dyDescent="0.3">
      <c r="A1624" s="4">
        <v>1622</v>
      </c>
      <c r="B1624" s="2" t="s">
        <v>259</v>
      </c>
      <c r="C1624" s="3">
        <v>44832</v>
      </c>
      <c r="D1624" s="3" t="str">
        <f>TEXT(Table1[[#This Row],[Admission Date]],"MMMM")</f>
        <v>September</v>
      </c>
      <c r="E1624" s="3">
        <v>44838</v>
      </c>
      <c r="F1624" s="3">
        <v>44838</v>
      </c>
      <c r="G1624" s="2">
        <v>22025536</v>
      </c>
      <c r="H1624" s="2">
        <v>2233862</v>
      </c>
      <c r="I1624" s="2">
        <v>10013540730</v>
      </c>
      <c r="J1624" s="2" t="s">
        <v>1125</v>
      </c>
      <c r="K1624" s="10">
        <v>249529</v>
      </c>
      <c r="L1624" s="10">
        <v>0</v>
      </c>
      <c r="M1624" s="10">
        <v>249529</v>
      </c>
      <c r="N1624" s="10">
        <v>1500</v>
      </c>
      <c r="O1624" s="10">
        <f>Table1[[#This Row],[NET Amount]]-Table1[[#This Row],[Paid Amount]]</f>
        <v>248029</v>
      </c>
      <c r="P1624" s="2" t="s">
        <v>23</v>
      </c>
      <c r="Q1624" s="2" t="s">
        <v>24</v>
      </c>
      <c r="R1624" s="16">
        <f>(Table1[[#This Row],[NET Amount]]-Table1[[#This Row],[Total Outstanding Amount]])/Table1[[#This Row],[NET Amount]]</f>
        <v>6.0113253369347853E-3</v>
      </c>
      <c r="S1624" s="2" t="s">
        <v>65</v>
      </c>
    </row>
    <row r="1625" spans="1:19" x14ac:dyDescent="0.3">
      <c r="A1625" s="4">
        <v>1623</v>
      </c>
      <c r="B1625" s="2" t="s">
        <v>80</v>
      </c>
      <c r="C1625" s="3">
        <v>44838</v>
      </c>
      <c r="D1625" s="3" t="str">
        <f>TEXT(Table1[[#This Row],[Admission Date]],"MMMM")</f>
        <v>October</v>
      </c>
      <c r="E1625" s="3">
        <v>44838</v>
      </c>
      <c r="F1625" s="3">
        <v>44838</v>
      </c>
      <c r="G1625" s="2">
        <v>22025570</v>
      </c>
      <c r="H1625" s="2">
        <v>2234547</v>
      </c>
      <c r="I1625" s="2">
        <v>10013480896</v>
      </c>
      <c r="J1625" s="2" t="s">
        <v>1126</v>
      </c>
      <c r="K1625" s="10">
        <v>25420</v>
      </c>
      <c r="L1625" s="10">
        <v>0</v>
      </c>
      <c r="M1625" s="10">
        <v>25420</v>
      </c>
      <c r="N1625" s="10">
        <v>1680</v>
      </c>
      <c r="O1625" s="10">
        <f>Table1[[#This Row],[NET Amount]]-Table1[[#This Row],[Paid Amount]]</f>
        <v>23740</v>
      </c>
      <c r="P1625" s="2" t="s">
        <v>23</v>
      </c>
      <c r="Q1625" s="2" t="s">
        <v>47</v>
      </c>
      <c r="R1625" s="16">
        <f>(Table1[[#This Row],[NET Amount]]-Table1[[#This Row],[Total Outstanding Amount]])/Table1[[#This Row],[NET Amount]]</f>
        <v>6.6089693154996063E-2</v>
      </c>
      <c r="S1625" s="2" t="s">
        <v>39</v>
      </c>
    </row>
    <row r="1626" spans="1:19" x14ac:dyDescent="0.3">
      <c r="A1626" s="4">
        <v>1624</v>
      </c>
      <c r="B1626" s="2" t="s">
        <v>75</v>
      </c>
      <c r="C1626" s="3">
        <v>44854</v>
      </c>
      <c r="D1626" s="3" t="str">
        <f>TEXT(Table1[[#This Row],[Admission Date]],"MMMM")</f>
        <v>October</v>
      </c>
      <c r="E1626" s="3">
        <v>44857</v>
      </c>
      <c r="F1626" s="3">
        <v>44857</v>
      </c>
      <c r="G1626" s="2">
        <v>22028404</v>
      </c>
      <c r="H1626" s="2">
        <v>2236763</v>
      </c>
      <c r="I1626" s="2">
        <v>10013335004</v>
      </c>
      <c r="J1626" s="2" t="s">
        <v>344</v>
      </c>
      <c r="K1626" s="10">
        <v>50509</v>
      </c>
      <c r="L1626" s="10">
        <v>0</v>
      </c>
      <c r="M1626" s="10">
        <v>50509</v>
      </c>
      <c r="N1626" s="10">
        <v>252</v>
      </c>
      <c r="O1626" s="10">
        <f>Table1[[#This Row],[NET Amount]]-Table1[[#This Row],[Paid Amount]]</f>
        <v>50257</v>
      </c>
      <c r="P1626" s="2" t="s">
        <v>23</v>
      </c>
      <c r="Q1626" s="2" t="s">
        <v>24</v>
      </c>
      <c r="R1626" s="16">
        <f>(Table1[[#This Row],[NET Amount]]-Table1[[#This Row],[Total Outstanding Amount]])/Table1[[#This Row],[NET Amount]]</f>
        <v>4.9892098437902153E-3</v>
      </c>
      <c r="S1626" s="2" t="s">
        <v>39</v>
      </c>
    </row>
    <row r="1627" spans="1:19" x14ac:dyDescent="0.3">
      <c r="A1627" s="4">
        <v>1625</v>
      </c>
      <c r="B1627" s="2" t="s">
        <v>178</v>
      </c>
      <c r="C1627" s="3">
        <v>44854</v>
      </c>
      <c r="D1627" s="3" t="str">
        <f>TEXT(Table1[[#This Row],[Admission Date]],"MMMM")</f>
        <v>October</v>
      </c>
      <c r="E1627" s="3">
        <v>44855</v>
      </c>
      <c r="F1627" s="3">
        <v>44855</v>
      </c>
      <c r="G1627" s="2">
        <v>22027991</v>
      </c>
      <c r="H1627" s="2">
        <v>2236721</v>
      </c>
      <c r="I1627" s="2">
        <v>10013543817</v>
      </c>
      <c r="J1627" s="2" t="s">
        <v>1127</v>
      </c>
      <c r="K1627" s="10">
        <v>238169</v>
      </c>
      <c r="L1627" s="10">
        <v>225</v>
      </c>
      <c r="M1627" s="10">
        <v>237944</v>
      </c>
      <c r="N1627" s="10">
        <v>62067</v>
      </c>
      <c r="O1627" s="10">
        <f>Table1[[#This Row],[NET Amount]]-Table1[[#This Row],[Paid Amount]]</f>
        <v>175877</v>
      </c>
      <c r="P1627" s="2" t="s">
        <v>23</v>
      </c>
      <c r="Q1627" s="2" t="s">
        <v>47</v>
      </c>
      <c r="R1627" s="16">
        <f>(Table1[[#This Row],[NET Amount]]-Table1[[#This Row],[Total Outstanding Amount]])/Table1[[#This Row],[NET Amount]]</f>
        <v>0.2608470900716135</v>
      </c>
      <c r="S1627" s="2" t="s">
        <v>39</v>
      </c>
    </row>
    <row r="1628" spans="1:19" x14ac:dyDescent="0.3">
      <c r="A1628" s="4">
        <v>1626</v>
      </c>
      <c r="B1628" s="2" t="s">
        <v>45</v>
      </c>
      <c r="C1628" s="3">
        <v>44856</v>
      </c>
      <c r="D1628" s="3" t="str">
        <f>TEXT(Table1[[#This Row],[Admission Date]],"MMMM")</f>
        <v>October</v>
      </c>
      <c r="E1628" s="3">
        <v>44856</v>
      </c>
      <c r="F1628" s="3">
        <v>44856</v>
      </c>
      <c r="G1628" s="2">
        <v>22028128</v>
      </c>
      <c r="H1628" s="2">
        <v>2237022</v>
      </c>
      <c r="I1628" s="2">
        <v>10013464572</v>
      </c>
      <c r="J1628" s="2" t="s">
        <v>278</v>
      </c>
      <c r="K1628" s="10">
        <v>4840</v>
      </c>
      <c r="L1628" s="10">
        <v>1008</v>
      </c>
      <c r="M1628" s="10">
        <v>3832</v>
      </c>
      <c r="N1628" s="10">
        <v>1632</v>
      </c>
      <c r="O1628" s="10">
        <f>Table1[[#This Row],[NET Amount]]-Table1[[#This Row],[Paid Amount]]</f>
        <v>2200</v>
      </c>
      <c r="P1628" s="2" t="s">
        <v>23</v>
      </c>
      <c r="Q1628" s="2" t="s">
        <v>147</v>
      </c>
      <c r="R1628" s="16">
        <f>(Table1[[#This Row],[NET Amount]]-Table1[[#This Row],[Total Outstanding Amount]])/Table1[[#This Row],[NET Amount]]</f>
        <v>0.42588726513569936</v>
      </c>
      <c r="S1628" s="2" t="s">
        <v>97</v>
      </c>
    </row>
    <row r="1629" spans="1:19" x14ac:dyDescent="0.3">
      <c r="A1629" s="4">
        <v>1627</v>
      </c>
      <c r="B1629" s="2" t="s">
        <v>25</v>
      </c>
      <c r="C1629" s="3">
        <v>44856</v>
      </c>
      <c r="D1629" s="3" t="str">
        <f>TEXT(Table1[[#This Row],[Admission Date]],"MMMM")</f>
        <v>October</v>
      </c>
      <c r="E1629" s="3">
        <v>44856</v>
      </c>
      <c r="F1629" s="3">
        <v>44856</v>
      </c>
      <c r="G1629" s="2">
        <v>22028131</v>
      </c>
      <c r="H1629" s="2">
        <v>2237016</v>
      </c>
      <c r="I1629" s="2">
        <v>1000891450</v>
      </c>
      <c r="J1629" s="2" t="s">
        <v>337</v>
      </c>
      <c r="K1629" s="10">
        <v>3519</v>
      </c>
      <c r="L1629" s="10">
        <v>1508</v>
      </c>
      <c r="M1629" s="10">
        <v>2011</v>
      </c>
      <c r="N1629" s="10">
        <v>2011</v>
      </c>
      <c r="O1629" s="10">
        <f>Table1[[#This Row],[NET Amount]]-Table1[[#This Row],[Paid Amount]]</f>
        <v>0</v>
      </c>
      <c r="P1629" s="2" t="s">
        <v>18</v>
      </c>
      <c r="Q1629" s="2" t="s">
        <v>54</v>
      </c>
      <c r="R1629" s="16">
        <f>(Table1[[#This Row],[NET Amount]]-Table1[[#This Row],[Total Outstanding Amount]])/Table1[[#This Row],[NET Amount]]</f>
        <v>1</v>
      </c>
      <c r="S1629" s="2" t="s">
        <v>97</v>
      </c>
    </row>
    <row r="1630" spans="1:19" x14ac:dyDescent="0.3">
      <c r="A1630" s="4">
        <v>1628</v>
      </c>
      <c r="B1630" s="2" t="s">
        <v>35</v>
      </c>
      <c r="C1630" s="3">
        <v>44842</v>
      </c>
      <c r="D1630" s="3" t="str">
        <f>TEXT(Table1[[#This Row],[Admission Date]],"MMMM")</f>
        <v>October</v>
      </c>
      <c r="E1630" s="3">
        <v>44845</v>
      </c>
      <c r="F1630" s="3">
        <v>44845</v>
      </c>
      <c r="G1630" s="2">
        <v>22026517</v>
      </c>
      <c r="H1630" s="2">
        <v>2235110</v>
      </c>
      <c r="I1630" s="2">
        <v>10013359141</v>
      </c>
      <c r="J1630" s="2" t="s">
        <v>956</v>
      </c>
      <c r="K1630" s="10">
        <v>13896</v>
      </c>
      <c r="L1630" s="10">
        <v>0</v>
      </c>
      <c r="M1630" s="10">
        <v>13896</v>
      </c>
      <c r="N1630" s="10">
        <v>13896</v>
      </c>
      <c r="O1630" s="10">
        <f>Table1[[#This Row],[NET Amount]]-Table1[[#This Row],[Paid Amount]]</f>
        <v>0</v>
      </c>
      <c r="P1630" s="2" t="s">
        <v>18</v>
      </c>
      <c r="Q1630" s="2" t="s">
        <v>24</v>
      </c>
      <c r="R1630" s="16">
        <f>(Table1[[#This Row],[NET Amount]]-Table1[[#This Row],[Total Outstanding Amount]])/Table1[[#This Row],[NET Amount]]</f>
        <v>1</v>
      </c>
      <c r="S1630" s="2" t="s">
        <v>77</v>
      </c>
    </row>
    <row r="1631" spans="1:19" x14ac:dyDescent="0.3">
      <c r="A1631" s="4">
        <v>1629</v>
      </c>
      <c r="B1631" s="2" t="s">
        <v>115</v>
      </c>
      <c r="C1631" s="3">
        <v>44859</v>
      </c>
      <c r="D1631" s="3" t="str">
        <f>TEXT(Table1[[#This Row],[Admission Date]],"MMMM")</f>
        <v>October</v>
      </c>
      <c r="E1631" s="3">
        <v>44861</v>
      </c>
      <c r="F1631" s="3">
        <v>44861</v>
      </c>
      <c r="G1631" s="2">
        <v>22028771</v>
      </c>
      <c r="H1631" s="2">
        <v>2237352</v>
      </c>
      <c r="I1631" s="2">
        <v>10013544121</v>
      </c>
      <c r="J1631" s="2" t="s">
        <v>1128</v>
      </c>
      <c r="K1631" s="10">
        <v>52824</v>
      </c>
      <c r="L1631" s="10">
        <v>7558</v>
      </c>
      <c r="M1631" s="10">
        <v>45266</v>
      </c>
      <c r="N1631" s="10">
        <v>6328</v>
      </c>
      <c r="O1631" s="10">
        <f>Table1[[#This Row],[NET Amount]]-Table1[[#This Row],[Paid Amount]]</f>
        <v>38938</v>
      </c>
      <c r="P1631" s="2" t="s">
        <v>23</v>
      </c>
      <c r="Q1631" s="2" t="s">
        <v>42</v>
      </c>
      <c r="R1631" s="16">
        <f>(Table1[[#This Row],[NET Amount]]-Table1[[#This Row],[Total Outstanding Amount]])/Table1[[#This Row],[NET Amount]]</f>
        <v>0.1397958732823753</v>
      </c>
      <c r="S1631" s="2" t="s">
        <v>77</v>
      </c>
    </row>
    <row r="1632" spans="1:19" x14ac:dyDescent="0.3">
      <c r="A1632" s="4">
        <v>1630</v>
      </c>
      <c r="B1632" s="2" t="s">
        <v>2243</v>
      </c>
      <c r="C1632" s="3">
        <v>44863</v>
      </c>
      <c r="D1632" s="3" t="str">
        <f>TEXT(Table1[[#This Row],[Admission Date]],"MMMM")</f>
        <v>October</v>
      </c>
      <c r="E1632" s="3">
        <v>44863</v>
      </c>
      <c r="F1632" s="3">
        <v>44863</v>
      </c>
      <c r="G1632" s="2">
        <v>22029129</v>
      </c>
      <c r="H1632" s="2">
        <v>2237961</v>
      </c>
      <c r="I1632" s="2">
        <v>1000915528</v>
      </c>
      <c r="J1632" s="2" t="s">
        <v>187</v>
      </c>
      <c r="K1632" s="10">
        <v>3488</v>
      </c>
      <c r="L1632" s="10">
        <v>3488</v>
      </c>
      <c r="M1632" s="10">
        <v>0</v>
      </c>
      <c r="N1632" s="10">
        <v>0</v>
      </c>
      <c r="O1632" s="10">
        <f>Table1[[#This Row],[NET Amount]]-Table1[[#This Row],[Paid Amount]]</f>
        <v>0</v>
      </c>
      <c r="P1632" s="2" t="s">
        <v>18</v>
      </c>
      <c r="Q1632" s="2" t="s">
        <v>54</v>
      </c>
      <c r="R1632" s="16" t="e">
        <f>(Table1[[#This Row],[NET Amount]]-Table1[[#This Row],[Total Outstanding Amount]])/Table1[[#This Row],[NET Amount]]</f>
        <v>#DIV/0!</v>
      </c>
      <c r="S1632" s="2" t="s">
        <v>97</v>
      </c>
    </row>
    <row r="1633" spans="1:19" x14ac:dyDescent="0.3">
      <c r="A1633" s="4">
        <v>1631</v>
      </c>
      <c r="B1633" s="2" t="s">
        <v>25</v>
      </c>
      <c r="C1633" s="3">
        <v>44862</v>
      </c>
      <c r="D1633" s="3" t="str">
        <f>TEXT(Table1[[#This Row],[Admission Date]],"MMMM")</f>
        <v>October</v>
      </c>
      <c r="E1633" s="3">
        <v>44862</v>
      </c>
      <c r="F1633" s="3">
        <v>44862</v>
      </c>
      <c r="G1633" s="2">
        <v>22028981</v>
      </c>
      <c r="H1633" s="2">
        <v>2237839</v>
      </c>
      <c r="I1633" s="2">
        <v>1001806830</v>
      </c>
      <c r="J1633" s="2" t="s">
        <v>1129</v>
      </c>
      <c r="K1633" s="10">
        <v>14000</v>
      </c>
      <c r="L1633" s="10">
        <v>0</v>
      </c>
      <c r="M1633" s="10">
        <v>14000</v>
      </c>
      <c r="N1633" s="10">
        <v>14000</v>
      </c>
      <c r="O1633" s="10">
        <f>Table1[[#This Row],[NET Amount]]-Table1[[#This Row],[Paid Amount]]</f>
        <v>0</v>
      </c>
      <c r="P1633" s="2" t="s">
        <v>18</v>
      </c>
      <c r="Q1633" s="2" t="s">
        <v>54</v>
      </c>
      <c r="R1633" s="16">
        <f>(Table1[[#This Row],[NET Amount]]-Table1[[#This Row],[Total Outstanding Amount]])/Table1[[#This Row],[NET Amount]]</f>
        <v>1</v>
      </c>
      <c r="S1633" s="2" t="s">
        <v>39</v>
      </c>
    </row>
    <row r="1634" spans="1:19" x14ac:dyDescent="0.3">
      <c r="A1634" s="4">
        <v>1632</v>
      </c>
      <c r="B1634" s="2" t="s">
        <v>25</v>
      </c>
      <c r="C1634" s="3">
        <v>44862</v>
      </c>
      <c r="D1634" s="3" t="str">
        <f>TEXT(Table1[[#This Row],[Admission Date]],"MMMM")</f>
        <v>October</v>
      </c>
      <c r="E1634" s="3">
        <v>44865</v>
      </c>
      <c r="F1634" s="3">
        <v>44865</v>
      </c>
      <c r="G1634" s="2">
        <v>22029297</v>
      </c>
      <c r="H1634" s="2">
        <v>2237841</v>
      </c>
      <c r="I1634" s="2">
        <v>1001806844</v>
      </c>
      <c r="J1634" s="2" t="s">
        <v>1130</v>
      </c>
      <c r="K1634" s="10">
        <v>20070</v>
      </c>
      <c r="L1634" s="10">
        <v>2527</v>
      </c>
      <c r="M1634" s="10">
        <v>17543</v>
      </c>
      <c r="N1634" s="10">
        <v>17543</v>
      </c>
      <c r="O1634" s="10">
        <f>Table1[[#This Row],[NET Amount]]-Table1[[#This Row],[Paid Amount]]</f>
        <v>0</v>
      </c>
      <c r="P1634" s="2" t="s">
        <v>18</v>
      </c>
      <c r="Q1634" s="2" t="s">
        <v>19</v>
      </c>
      <c r="R1634" s="16">
        <f>(Table1[[#This Row],[NET Amount]]-Table1[[#This Row],[Total Outstanding Amount]])/Table1[[#This Row],[NET Amount]]</f>
        <v>1</v>
      </c>
      <c r="S1634" s="2" t="s">
        <v>37</v>
      </c>
    </row>
    <row r="1635" spans="1:19" x14ac:dyDescent="0.3">
      <c r="A1635" s="4">
        <v>1633</v>
      </c>
      <c r="B1635" s="2" t="s">
        <v>25</v>
      </c>
      <c r="C1635" s="3">
        <v>44844</v>
      </c>
      <c r="D1635" s="3" t="str">
        <f>TEXT(Table1[[#This Row],[Admission Date]],"MMMM")</f>
        <v>October</v>
      </c>
      <c r="E1635" s="3">
        <v>44849</v>
      </c>
      <c r="F1635" s="3">
        <v>44849</v>
      </c>
      <c r="G1635" s="2">
        <v>22027161</v>
      </c>
      <c r="H1635" s="2">
        <v>2235461</v>
      </c>
      <c r="I1635" s="2">
        <v>10013542467</v>
      </c>
      <c r="J1635" s="2" t="s">
        <v>1131</v>
      </c>
      <c r="K1635" s="10">
        <v>78006</v>
      </c>
      <c r="L1635" s="10">
        <v>10948</v>
      </c>
      <c r="M1635" s="10">
        <v>67058</v>
      </c>
      <c r="N1635" s="10">
        <v>67058</v>
      </c>
      <c r="O1635" s="10">
        <f>Table1[[#This Row],[NET Amount]]-Table1[[#This Row],[Paid Amount]]</f>
        <v>0</v>
      </c>
      <c r="P1635" s="2" t="s">
        <v>18</v>
      </c>
      <c r="Q1635" s="2" t="s">
        <v>30</v>
      </c>
      <c r="R1635" s="16">
        <f>(Table1[[#This Row],[NET Amount]]-Table1[[#This Row],[Total Outstanding Amount]])/Table1[[#This Row],[NET Amount]]</f>
        <v>1</v>
      </c>
      <c r="S1635" s="2" t="s">
        <v>20</v>
      </c>
    </row>
    <row r="1636" spans="1:19" x14ac:dyDescent="0.3">
      <c r="A1636" s="4">
        <v>1634</v>
      </c>
      <c r="B1636" s="2" t="s">
        <v>939</v>
      </c>
      <c r="C1636" s="3">
        <v>44861</v>
      </c>
      <c r="D1636" s="3" t="str">
        <f>TEXT(Table1[[#This Row],[Admission Date]],"MMMM")</f>
        <v>October</v>
      </c>
      <c r="E1636" s="3">
        <v>44863</v>
      </c>
      <c r="F1636" s="3">
        <v>44863</v>
      </c>
      <c r="G1636" s="2">
        <v>22029045</v>
      </c>
      <c r="H1636" s="2">
        <v>2237727</v>
      </c>
      <c r="I1636" s="2">
        <v>10013544822</v>
      </c>
      <c r="J1636" s="2" t="s">
        <v>1132</v>
      </c>
      <c r="K1636" s="10">
        <v>237884</v>
      </c>
      <c r="L1636" s="10">
        <v>0</v>
      </c>
      <c r="M1636" s="10">
        <v>237884</v>
      </c>
      <c r="N1636" s="10">
        <v>84754</v>
      </c>
      <c r="O1636" s="10">
        <f>Table1[[#This Row],[NET Amount]]-Table1[[#This Row],[Paid Amount]]</f>
        <v>153130</v>
      </c>
      <c r="P1636" s="2" t="s">
        <v>23</v>
      </c>
      <c r="Q1636" s="2" t="s">
        <v>47</v>
      </c>
      <c r="R1636" s="16">
        <f>(Table1[[#This Row],[NET Amount]]-Table1[[#This Row],[Total Outstanding Amount]])/Table1[[#This Row],[NET Amount]]</f>
        <v>0.35628289418371978</v>
      </c>
      <c r="S1636" s="2" t="s">
        <v>39</v>
      </c>
    </row>
    <row r="1637" spans="1:19" x14ac:dyDescent="0.3">
      <c r="A1637" s="4">
        <v>1635</v>
      </c>
      <c r="B1637" s="2" t="s">
        <v>25</v>
      </c>
      <c r="C1637" s="3">
        <v>44832</v>
      </c>
      <c r="D1637" s="3" t="str">
        <f>TEXT(Table1[[#This Row],[Admission Date]],"MMMM")</f>
        <v>September</v>
      </c>
      <c r="E1637" s="3">
        <v>44835</v>
      </c>
      <c r="F1637" s="3">
        <v>44835</v>
      </c>
      <c r="G1637" s="2">
        <v>22025176</v>
      </c>
      <c r="H1637" s="2">
        <v>2233748</v>
      </c>
      <c r="I1637" s="2">
        <v>1001801226</v>
      </c>
      <c r="J1637" s="2" t="s">
        <v>658</v>
      </c>
      <c r="K1637" s="10">
        <v>105474</v>
      </c>
      <c r="L1637" s="10">
        <v>12989</v>
      </c>
      <c r="M1637" s="10">
        <v>92484</v>
      </c>
      <c r="N1637" s="10">
        <v>92484</v>
      </c>
      <c r="O1637" s="10">
        <f>Table1[[#This Row],[NET Amount]]-Table1[[#This Row],[Paid Amount]]</f>
        <v>0</v>
      </c>
      <c r="P1637" s="2" t="s">
        <v>18</v>
      </c>
      <c r="Q1637" s="2" t="s">
        <v>30</v>
      </c>
      <c r="R1637" s="16">
        <f>(Table1[[#This Row],[NET Amount]]-Table1[[#This Row],[Total Outstanding Amount]])/Table1[[#This Row],[NET Amount]]</f>
        <v>1</v>
      </c>
      <c r="S1637" s="2" t="s">
        <v>27</v>
      </c>
    </row>
    <row r="1638" spans="1:19" x14ac:dyDescent="0.3">
      <c r="A1638" s="4">
        <v>1636</v>
      </c>
      <c r="B1638" s="2" t="s">
        <v>75</v>
      </c>
      <c r="C1638" s="3">
        <v>44833</v>
      </c>
      <c r="D1638" s="3" t="str">
        <f>TEXT(Table1[[#This Row],[Admission Date]],"MMMM")</f>
        <v>September</v>
      </c>
      <c r="E1638" s="3">
        <v>44835</v>
      </c>
      <c r="F1638" s="3">
        <v>44835</v>
      </c>
      <c r="G1638" s="2">
        <v>22025135</v>
      </c>
      <c r="H1638" s="2">
        <v>2233868</v>
      </c>
      <c r="I1638" s="2">
        <v>10013540747</v>
      </c>
      <c r="J1638" s="2" t="s">
        <v>1133</v>
      </c>
      <c r="K1638" s="10">
        <v>283141</v>
      </c>
      <c r="L1638" s="10">
        <v>0</v>
      </c>
      <c r="M1638" s="10">
        <v>283141</v>
      </c>
      <c r="N1638" s="10">
        <v>154600</v>
      </c>
      <c r="O1638" s="10">
        <f>Table1[[#This Row],[NET Amount]]-Table1[[#This Row],[Paid Amount]]</f>
        <v>128541</v>
      </c>
      <c r="P1638" s="2" t="s">
        <v>23</v>
      </c>
      <c r="Q1638" s="2" t="s">
        <v>24</v>
      </c>
      <c r="R1638" s="16">
        <f>(Table1[[#This Row],[NET Amount]]-Table1[[#This Row],[Total Outstanding Amount]])/Table1[[#This Row],[NET Amount]]</f>
        <v>0.54601770849152897</v>
      </c>
      <c r="S1638" s="2" t="s">
        <v>39</v>
      </c>
    </row>
    <row r="1639" spans="1:19" x14ac:dyDescent="0.3">
      <c r="A1639" s="4">
        <v>1637</v>
      </c>
      <c r="B1639" s="2" t="s">
        <v>75</v>
      </c>
      <c r="C1639" s="3">
        <v>44850</v>
      </c>
      <c r="D1639" s="3" t="str">
        <f>TEXT(Table1[[#This Row],[Admission Date]],"MMMM")</f>
        <v>October</v>
      </c>
      <c r="E1639" s="3">
        <v>44856</v>
      </c>
      <c r="F1639" s="3">
        <v>44856</v>
      </c>
      <c r="G1639" s="2">
        <v>22028301</v>
      </c>
      <c r="H1639" s="2">
        <v>2236263</v>
      </c>
      <c r="I1639" s="2">
        <v>10013543300</v>
      </c>
      <c r="J1639" s="2" t="s">
        <v>770</v>
      </c>
      <c r="K1639" s="10">
        <v>173633</v>
      </c>
      <c r="L1639" s="10">
        <v>0</v>
      </c>
      <c r="M1639" s="10">
        <v>173633</v>
      </c>
      <c r="N1639" s="10">
        <v>7318</v>
      </c>
      <c r="O1639" s="10">
        <f>Table1[[#This Row],[NET Amount]]-Table1[[#This Row],[Paid Amount]]</f>
        <v>166315</v>
      </c>
      <c r="P1639" s="2" t="s">
        <v>23</v>
      </c>
      <c r="Q1639" s="2" t="s">
        <v>24</v>
      </c>
      <c r="R1639" s="16">
        <f>(Table1[[#This Row],[NET Amount]]-Table1[[#This Row],[Total Outstanding Amount]])/Table1[[#This Row],[NET Amount]]</f>
        <v>4.2146366186151252E-2</v>
      </c>
      <c r="S1639" s="2" t="s">
        <v>20</v>
      </c>
    </row>
    <row r="1640" spans="1:19" x14ac:dyDescent="0.3">
      <c r="A1640" s="4">
        <v>1638</v>
      </c>
      <c r="B1640" s="2" t="s">
        <v>141</v>
      </c>
      <c r="C1640" s="3">
        <v>44859</v>
      </c>
      <c r="D1640" s="3" t="str">
        <f>TEXT(Table1[[#This Row],[Admission Date]],"MMMM")</f>
        <v>October</v>
      </c>
      <c r="E1640" s="3">
        <v>44861</v>
      </c>
      <c r="F1640" s="3">
        <v>44861</v>
      </c>
      <c r="G1640" s="2">
        <v>22028758</v>
      </c>
      <c r="H1640" s="2">
        <v>2237295</v>
      </c>
      <c r="I1640" s="2">
        <v>10013543439</v>
      </c>
      <c r="J1640" s="2" t="s">
        <v>1134</v>
      </c>
      <c r="K1640" s="10">
        <v>144254</v>
      </c>
      <c r="L1640" s="10">
        <v>18564</v>
      </c>
      <c r="M1640" s="10">
        <v>125690</v>
      </c>
      <c r="N1640" s="10">
        <v>43281</v>
      </c>
      <c r="O1640" s="10">
        <f>Table1[[#This Row],[NET Amount]]-Table1[[#This Row],[Paid Amount]]</f>
        <v>82409</v>
      </c>
      <c r="P1640" s="2" t="s">
        <v>23</v>
      </c>
      <c r="Q1640" s="2" t="s">
        <v>52</v>
      </c>
      <c r="R1640" s="16">
        <f>(Table1[[#This Row],[NET Amount]]-Table1[[#This Row],[Total Outstanding Amount]])/Table1[[#This Row],[NET Amount]]</f>
        <v>0.34434720343702763</v>
      </c>
      <c r="S1640" s="2" t="s">
        <v>95</v>
      </c>
    </row>
    <row r="1641" spans="1:19" x14ac:dyDescent="0.3">
      <c r="A1641" s="4">
        <v>1639</v>
      </c>
      <c r="B1641" s="2" t="s">
        <v>168</v>
      </c>
      <c r="C1641" s="3">
        <v>44859</v>
      </c>
      <c r="D1641" s="3" t="str">
        <f>TEXT(Table1[[#This Row],[Admission Date]],"MMMM")</f>
        <v>October</v>
      </c>
      <c r="E1641" s="3">
        <v>44861</v>
      </c>
      <c r="F1641" s="3">
        <v>44861</v>
      </c>
      <c r="G1641" s="2">
        <v>22028751</v>
      </c>
      <c r="H1641" s="2">
        <v>2237346</v>
      </c>
      <c r="I1641" s="2">
        <v>10013486605</v>
      </c>
      <c r="J1641" s="2" t="s">
        <v>1135</v>
      </c>
      <c r="K1641" s="10">
        <v>81033</v>
      </c>
      <c r="L1641" s="10">
        <v>11621</v>
      </c>
      <c r="M1641" s="10">
        <v>69412</v>
      </c>
      <c r="N1641" s="10">
        <v>4629</v>
      </c>
      <c r="O1641" s="10">
        <f>Table1[[#This Row],[NET Amount]]-Table1[[#This Row],[Paid Amount]]</f>
        <v>64783</v>
      </c>
      <c r="P1641" s="2" t="s">
        <v>23</v>
      </c>
      <c r="Q1641" s="2" t="s">
        <v>52</v>
      </c>
      <c r="R1641" s="16">
        <f>(Table1[[#This Row],[NET Amount]]-Table1[[#This Row],[Total Outstanding Amount]])/Table1[[#This Row],[NET Amount]]</f>
        <v>6.6688756987264453E-2</v>
      </c>
      <c r="S1641" s="2" t="s">
        <v>95</v>
      </c>
    </row>
    <row r="1642" spans="1:19" x14ac:dyDescent="0.3">
      <c r="A1642" s="4">
        <v>1640</v>
      </c>
      <c r="B1642" s="2" t="s">
        <v>2244</v>
      </c>
      <c r="C1642" s="3">
        <v>44839</v>
      </c>
      <c r="D1642" s="3" t="str">
        <f>TEXT(Table1[[#This Row],[Admission Date]],"MMMM")</f>
        <v>October</v>
      </c>
      <c r="E1642" s="3">
        <v>44839</v>
      </c>
      <c r="F1642" s="3">
        <v>44839</v>
      </c>
      <c r="G1642" s="2">
        <v>22025764</v>
      </c>
      <c r="H1642" s="2">
        <v>2234767</v>
      </c>
      <c r="I1642" s="2">
        <v>1001758739</v>
      </c>
      <c r="J1642" s="2" t="s">
        <v>233</v>
      </c>
      <c r="K1642" s="10">
        <v>2560</v>
      </c>
      <c r="L1642" s="10">
        <v>0</v>
      </c>
      <c r="M1642" s="10">
        <v>2560</v>
      </c>
      <c r="N1642" s="10">
        <v>2560</v>
      </c>
      <c r="O1642" s="10">
        <f>Table1[[#This Row],[NET Amount]]-Table1[[#This Row],[Paid Amount]]</f>
        <v>0</v>
      </c>
      <c r="P1642" s="2" t="s">
        <v>18</v>
      </c>
      <c r="Q1642" s="2" t="s">
        <v>54</v>
      </c>
      <c r="R1642" s="16">
        <f>(Table1[[#This Row],[NET Amount]]-Table1[[#This Row],[Total Outstanding Amount]])/Table1[[#This Row],[NET Amount]]</f>
        <v>1</v>
      </c>
      <c r="S1642" s="2" t="s">
        <v>97</v>
      </c>
    </row>
    <row r="1643" spans="1:19" x14ac:dyDescent="0.3">
      <c r="A1643" s="4">
        <v>1641</v>
      </c>
      <c r="B1643" s="2" t="s">
        <v>25</v>
      </c>
      <c r="C1643" s="3">
        <v>44835</v>
      </c>
      <c r="D1643" s="3" t="str">
        <f>TEXT(Table1[[#This Row],[Admission Date]],"MMMM")</f>
        <v>October</v>
      </c>
      <c r="E1643" s="3">
        <v>44843</v>
      </c>
      <c r="F1643" s="3">
        <v>44843</v>
      </c>
      <c r="G1643" s="2">
        <v>22026313</v>
      </c>
      <c r="H1643" s="2">
        <v>2234237</v>
      </c>
      <c r="I1643" s="2">
        <v>10013504859</v>
      </c>
      <c r="J1643" s="2" t="s">
        <v>1136</v>
      </c>
      <c r="K1643" s="10">
        <v>384395</v>
      </c>
      <c r="L1643" s="10">
        <v>109592</v>
      </c>
      <c r="M1643" s="10">
        <v>274803</v>
      </c>
      <c r="N1643" s="10">
        <v>274803</v>
      </c>
      <c r="O1643" s="10">
        <f>Table1[[#This Row],[NET Amount]]-Table1[[#This Row],[Paid Amount]]</f>
        <v>0</v>
      </c>
      <c r="P1643" s="2" t="s">
        <v>18</v>
      </c>
      <c r="Q1643" s="2" t="s">
        <v>225</v>
      </c>
      <c r="R1643" s="16">
        <f>(Table1[[#This Row],[NET Amount]]-Table1[[#This Row],[Total Outstanding Amount]])/Table1[[#This Row],[NET Amount]]</f>
        <v>1</v>
      </c>
      <c r="S1643" s="2" t="s">
        <v>77</v>
      </c>
    </row>
    <row r="1644" spans="1:19" x14ac:dyDescent="0.3">
      <c r="A1644" s="4">
        <v>1642</v>
      </c>
      <c r="B1644" s="2" t="s">
        <v>25</v>
      </c>
      <c r="C1644" s="3">
        <v>44847</v>
      </c>
      <c r="D1644" s="3" t="str">
        <f>TEXT(Table1[[#This Row],[Admission Date]],"MMMM")</f>
        <v>October</v>
      </c>
      <c r="E1644" s="3">
        <v>44848</v>
      </c>
      <c r="F1644" s="3">
        <v>44848</v>
      </c>
      <c r="G1644" s="2">
        <v>22027012</v>
      </c>
      <c r="H1644" s="2">
        <v>2235789</v>
      </c>
      <c r="I1644" s="2">
        <v>10013523849</v>
      </c>
      <c r="J1644" s="2" t="s">
        <v>775</v>
      </c>
      <c r="K1644" s="10">
        <v>341898</v>
      </c>
      <c r="L1644" s="10">
        <v>16766</v>
      </c>
      <c r="M1644" s="10">
        <v>325132</v>
      </c>
      <c r="N1644" s="10">
        <v>325132</v>
      </c>
      <c r="O1644" s="10">
        <f>Table1[[#This Row],[NET Amount]]-Table1[[#This Row],[Paid Amount]]</f>
        <v>0</v>
      </c>
      <c r="P1644" s="2" t="s">
        <v>18</v>
      </c>
      <c r="Q1644" s="2" t="s">
        <v>24</v>
      </c>
      <c r="R1644" s="16">
        <f>(Table1[[#This Row],[NET Amount]]-Table1[[#This Row],[Total Outstanding Amount]])/Table1[[#This Row],[NET Amount]]</f>
        <v>1</v>
      </c>
      <c r="S1644" s="2" t="s">
        <v>39</v>
      </c>
    </row>
    <row r="1645" spans="1:19" x14ac:dyDescent="0.3">
      <c r="A1645" s="4">
        <v>1643</v>
      </c>
      <c r="B1645" s="2" t="s">
        <v>244</v>
      </c>
      <c r="C1645" s="3">
        <v>44863</v>
      </c>
      <c r="D1645" s="3" t="str">
        <f>TEXT(Table1[[#This Row],[Admission Date]],"MMMM")</f>
        <v>October</v>
      </c>
      <c r="E1645" s="3">
        <v>44863</v>
      </c>
      <c r="F1645" s="3">
        <v>44863</v>
      </c>
      <c r="G1645" s="2">
        <v>22029143</v>
      </c>
      <c r="H1645" s="2">
        <v>2237945</v>
      </c>
      <c r="I1645" s="2">
        <v>10013544609</v>
      </c>
      <c r="J1645" s="2" t="s">
        <v>1137</v>
      </c>
      <c r="K1645" s="10">
        <v>30571</v>
      </c>
      <c r="L1645" s="10">
        <v>0</v>
      </c>
      <c r="M1645" s="10">
        <v>30571</v>
      </c>
      <c r="N1645" s="10">
        <v>30569</v>
      </c>
      <c r="O1645" s="10">
        <f>Table1[[#This Row],[NET Amount]]-Table1[[#This Row],[Paid Amount]]</f>
        <v>2</v>
      </c>
      <c r="P1645" s="2" t="s">
        <v>23</v>
      </c>
      <c r="Q1645" s="2" t="s">
        <v>54</v>
      </c>
      <c r="R1645" s="16">
        <f>(Table1[[#This Row],[NET Amount]]-Table1[[#This Row],[Total Outstanding Amount]])/Table1[[#This Row],[NET Amount]]</f>
        <v>0.99993457852212886</v>
      </c>
      <c r="S1645" s="2" t="s">
        <v>27</v>
      </c>
    </row>
    <row r="1646" spans="1:19" x14ac:dyDescent="0.3">
      <c r="A1646" s="4">
        <v>1644</v>
      </c>
      <c r="B1646" s="2" t="s">
        <v>2244</v>
      </c>
      <c r="C1646" s="3">
        <v>44863</v>
      </c>
      <c r="D1646" s="3" t="str">
        <f>TEXT(Table1[[#This Row],[Admission Date]],"MMMM")</f>
        <v>October</v>
      </c>
      <c r="E1646" s="3">
        <v>44863</v>
      </c>
      <c r="F1646" s="3">
        <v>44863</v>
      </c>
      <c r="G1646" s="2">
        <v>22029095</v>
      </c>
      <c r="H1646" s="2">
        <v>2237978</v>
      </c>
      <c r="I1646" s="2">
        <v>1001755099</v>
      </c>
      <c r="J1646" s="2" t="s">
        <v>750</v>
      </c>
      <c r="K1646" s="10">
        <v>2560</v>
      </c>
      <c r="L1646" s="10">
        <v>0</v>
      </c>
      <c r="M1646" s="10">
        <v>2560</v>
      </c>
      <c r="N1646" s="10">
        <v>2560</v>
      </c>
      <c r="O1646" s="10">
        <f>Table1[[#This Row],[NET Amount]]-Table1[[#This Row],[Paid Amount]]</f>
        <v>0</v>
      </c>
      <c r="P1646" s="2" t="s">
        <v>18</v>
      </c>
      <c r="Q1646" s="2" t="s">
        <v>54</v>
      </c>
      <c r="R1646" s="16">
        <f>(Table1[[#This Row],[NET Amount]]-Table1[[#This Row],[Total Outstanding Amount]])/Table1[[#This Row],[NET Amount]]</f>
        <v>1</v>
      </c>
      <c r="S1646" s="2" t="s">
        <v>97</v>
      </c>
    </row>
    <row r="1647" spans="1:19" x14ac:dyDescent="0.3">
      <c r="A1647" s="4">
        <v>1645</v>
      </c>
      <c r="B1647" s="2" t="s">
        <v>2244</v>
      </c>
      <c r="C1647" s="3">
        <v>44863</v>
      </c>
      <c r="D1647" s="3" t="str">
        <f>TEXT(Table1[[#This Row],[Admission Date]],"MMMM")</f>
        <v>October</v>
      </c>
      <c r="E1647" s="3">
        <v>44863</v>
      </c>
      <c r="F1647" s="3">
        <v>44863</v>
      </c>
      <c r="G1647" s="2">
        <v>22029103</v>
      </c>
      <c r="H1647" s="2">
        <v>2237981</v>
      </c>
      <c r="I1647" s="2">
        <v>1001735831</v>
      </c>
      <c r="J1647" s="2" t="s">
        <v>693</v>
      </c>
      <c r="K1647" s="10">
        <v>2560</v>
      </c>
      <c r="L1647" s="10">
        <v>0</v>
      </c>
      <c r="M1647" s="10">
        <v>2560</v>
      </c>
      <c r="N1647" s="10">
        <v>2560</v>
      </c>
      <c r="O1647" s="10">
        <f>Table1[[#This Row],[NET Amount]]-Table1[[#This Row],[Paid Amount]]</f>
        <v>0</v>
      </c>
      <c r="P1647" s="2" t="s">
        <v>18</v>
      </c>
      <c r="Q1647" s="2" t="s">
        <v>54</v>
      </c>
      <c r="R1647" s="16">
        <f>(Table1[[#This Row],[NET Amount]]-Table1[[#This Row],[Total Outstanding Amount]])/Table1[[#This Row],[NET Amount]]</f>
        <v>1</v>
      </c>
      <c r="S1647" s="2" t="s">
        <v>97</v>
      </c>
    </row>
    <row r="1648" spans="1:19" x14ac:dyDescent="0.3">
      <c r="A1648" s="4">
        <v>1646</v>
      </c>
      <c r="B1648" s="2" t="s">
        <v>25</v>
      </c>
      <c r="C1648" s="3">
        <v>44865</v>
      </c>
      <c r="D1648" s="3" t="str">
        <f>TEXT(Table1[[#This Row],[Admission Date]],"MMMM")</f>
        <v>October</v>
      </c>
      <c r="E1648" s="3">
        <v>44865</v>
      </c>
      <c r="F1648" s="3">
        <v>44865</v>
      </c>
      <c r="G1648" s="2">
        <v>22029377</v>
      </c>
      <c r="H1648" s="2">
        <v>2238242</v>
      </c>
      <c r="I1648" s="2">
        <v>10013518452</v>
      </c>
      <c r="J1648" s="2" t="s">
        <v>648</v>
      </c>
      <c r="K1648" s="10">
        <v>4990</v>
      </c>
      <c r="L1648" s="10">
        <v>414</v>
      </c>
      <c r="M1648" s="10">
        <v>4576</v>
      </c>
      <c r="N1648" s="10">
        <v>4576</v>
      </c>
      <c r="O1648" s="10">
        <f>Table1[[#This Row],[NET Amount]]-Table1[[#This Row],[Paid Amount]]</f>
        <v>0</v>
      </c>
      <c r="P1648" s="2" t="s">
        <v>18</v>
      </c>
      <c r="Q1648" s="2" t="s">
        <v>54</v>
      </c>
      <c r="R1648" s="16">
        <f>(Table1[[#This Row],[NET Amount]]-Table1[[#This Row],[Total Outstanding Amount]])/Table1[[#This Row],[NET Amount]]</f>
        <v>1</v>
      </c>
      <c r="S1648" s="2" t="s">
        <v>97</v>
      </c>
    </row>
    <row r="1649" spans="1:19" x14ac:dyDescent="0.3">
      <c r="A1649" s="4">
        <v>1647</v>
      </c>
      <c r="B1649" s="2" t="s">
        <v>25</v>
      </c>
      <c r="C1649" s="3">
        <v>44862</v>
      </c>
      <c r="D1649" s="3" t="str">
        <f>TEXT(Table1[[#This Row],[Admission Date]],"MMMM")</f>
        <v>October</v>
      </c>
      <c r="E1649" s="3">
        <v>44862</v>
      </c>
      <c r="F1649" s="3">
        <v>44862</v>
      </c>
      <c r="G1649" s="2">
        <v>22028847</v>
      </c>
      <c r="H1649" s="2">
        <v>2237768</v>
      </c>
      <c r="I1649" s="2">
        <v>10013451851</v>
      </c>
      <c r="J1649" s="2" t="s">
        <v>300</v>
      </c>
      <c r="K1649" s="10">
        <v>4990</v>
      </c>
      <c r="L1649" s="10">
        <v>433</v>
      </c>
      <c r="M1649" s="10">
        <v>4557</v>
      </c>
      <c r="N1649" s="10">
        <v>4557</v>
      </c>
      <c r="O1649" s="10">
        <f>Table1[[#This Row],[NET Amount]]-Table1[[#This Row],[Paid Amount]]</f>
        <v>0</v>
      </c>
      <c r="P1649" s="2" t="s">
        <v>18</v>
      </c>
      <c r="Q1649" s="2" t="s">
        <v>54</v>
      </c>
      <c r="R1649" s="16">
        <f>(Table1[[#This Row],[NET Amount]]-Table1[[#This Row],[Total Outstanding Amount]])/Table1[[#This Row],[NET Amount]]</f>
        <v>1</v>
      </c>
      <c r="S1649" s="2" t="s">
        <v>97</v>
      </c>
    </row>
    <row r="1650" spans="1:19" x14ac:dyDescent="0.3">
      <c r="A1650" s="4">
        <v>1648</v>
      </c>
      <c r="B1650" s="2" t="s">
        <v>25</v>
      </c>
      <c r="C1650" s="3">
        <v>44860</v>
      </c>
      <c r="D1650" s="3" t="str">
        <f>TEXT(Table1[[#This Row],[Admission Date]],"MMMM")</f>
        <v>October</v>
      </c>
      <c r="E1650" s="3">
        <v>44862</v>
      </c>
      <c r="F1650" s="3">
        <v>44862</v>
      </c>
      <c r="G1650" s="2">
        <v>22028882</v>
      </c>
      <c r="H1650" s="2">
        <v>2237484</v>
      </c>
      <c r="I1650" s="2">
        <v>1001806312</v>
      </c>
      <c r="J1650" s="2" t="s">
        <v>2278</v>
      </c>
      <c r="K1650" s="10">
        <v>14857</v>
      </c>
      <c r="L1650" s="10">
        <v>2032</v>
      </c>
      <c r="M1650" s="10">
        <v>12825</v>
      </c>
      <c r="N1650" s="10">
        <v>12825</v>
      </c>
      <c r="O1650" s="10">
        <f>Table1[[#This Row],[NET Amount]]-Table1[[#This Row],[Paid Amount]]</f>
        <v>0</v>
      </c>
      <c r="P1650" s="2" t="s">
        <v>18</v>
      </c>
      <c r="Q1650" s="2" t="s">
        <v>30</v>
      </c>
      <c r="R1650" s="16">
        <f>(Table1[[#This Row],[NET Amount]]-Table1[[#This Row],[Total Outstanding Amount]])/Table1[[#This Row],[NET Amount]]</f>
        <v>1</v>
      </c>
      <c r="S1650" s="2" t="s">
        <v>37</v>
      </c>
    </row>
    <row r="1651" spans="1:19" x14ac:dyDescent="0.3">
      <c r="A1651" s="4">
        <v>1649</v>
      </c>
      <c r="B1651" s="2" t="s">
        <v>2279</v>
      </c>
      <c r="C1651" s="3">
        <v>44862</v>
      </c>
      <c r="D1651" s="3" t="str">
        <f>TEXT(Table1[[#This Row],[Admission Date]],"MMMM")</f>
        <v>October</v>
      </c>
      <c r="E1651" s="3">
        <v>44865</v>
      </c>
      <c r="F1651" s="3">
        <v>44865</v>
      </c>
      <c r="G1651" s="2">
        <v>22029250</v>
      </c>
      <c r="H1651" s="2">
        <v>2237829</v>
      </c>
      <c r="I1651" s="2">
        <v>1001806795</v>
      </c>
      <c r="J1651" s="2" t="s">
        <v>1138</v>
      </c>
      <c r="K1651" s="10">
        <v>20864</v>
      </c>
      <c r="L1651" s="10">
        <v>0</v>
      </c>
      <c r="M1651" s="10">
        <v>20864</v>
      </c>
      <c r="N1651" s="10">
        <v>20864</v>
      </c>
      <c r="O1651" s="10">
        <f>Table1[[#This Row],[NET Amount]]-Table1[[#This Row],[Paid Amount]]</f>
        <v>0</v>
      </c>
      <c r="P1651" s="2" t="s">
        <v>18</v>
      </c>
      <c r="Q1651" s="2" t="s">
        <v>30</v>
      </c>
      <c r="R1651" s="16">
        <f>(Table1[[#This Row],[NET Amount]]-Table1[[#This Row],[Total Outstanding Amount]])/Table1[[#This Row],[NET Amount]]</f>
        <v>1</v>
      </c>
      <c r="S1651" s="2" t="s">
        <v>27</v>
      </c>
    </row>
    <row r="1652" spans="1:19" x14ac:dyDescent="0.3">
      <c r="A1652" s="4">
        <v>1650</v>
      </c>
      <c r="B1652" s="2" t="s">
        <v>25</v>
      </c>
      <c r="C1652" s="3">
        <v>44851</v>
      </c>
      <c r="D1652" s="3" t="str">
        <f>TEXT(Table1[[#This Row],[Admission Date]],"MMMM")</f>
        <v>October</v>
      </c>
      <c r="E1652" s="3">
        <v>44864</v>
      </c>
      <c r="F1652" s="3">
        <v>44864</v>
      </c>
      <c r="G1652" s="2">
        <v>22029177</v>
      </c>
      <c r="H1652" s="2">
        <v>2236426</v>
      </c>
      <c r="I1652" s="2">
        <v>10013543495</v>
      </c>
      <c r="J1652" s="2" t="s">
        <v>1139</v>
      </c>
      <c r="K1652" s="10">
        <v>601587</v>
      </c>
      <c r="L1652" s="10">
        <v>601587</v>
      </c>
      <c r="M1652" s="10">
        <v>0</v>
      </c>
      <c r="N1652" s="10">
        <v>0</v>
      </c>
      <c r="O1652" s="10">
        <f>Table1[[#This Row],[NET Amount]]-Table1[[#This Row],[Paid Amount]]</f>
        <v>0</v>
      </c>
      <c r="P1652" s="2" t="s">
        <v>18</v>
      </c>
      <c r="Q1652" s="2" t="s">
        <v>90</v>
      </c>
      <c r="R1652" s="16" t="e">
        <f>(Table1[[#This Row],[NET Amount]]-Table1[[#This Row],[Total Outstanding Amount]])/Table1[[#This Row],[NET Amount]]</f>
        <v>#DIV/0!</v>
      </c>
      <c r="S1652" s="2" t="s">
        <v>20</v>
      </c>
    </row>
    <row r="1653" spans="1:19" x14ac:dyDescent="0.3">
      <c r="A1653" s="4">
        <v>1651</v>
      </c>
      <c r="B1653" s="2" t="s">
        <v>25</v>
      </c>
      <c r="C1653" s="3">
        <v>44851</v>
      </c>
      <c r="D1653" s="3" t="str">
        <f>TEXT(Table1[[#This Row],[Admission Date]],"MMMM")</f>
        <v>October</v>
      </c>
      <c r="E1653" s="3">
        <v>44851</v>
      </c>
      <c r="F1653" s="3">
        <v>44851</v>
      </c>
      <c r="G1653" s="2">
        <v>22027501</v>
      </c>
      <c r="H1653" s="2">
        <v>2236371</v>
      </c>
      <c r="I1653" s="2">
        <v>10013440543</v>
      </c>
      <c r="J1653" s="2" t="s">
        <v>96</v>
      </c>
      <c r="K1653" s="10">
        <v>6104</v>
      </c>
      <c r="L1653" s="10">
        <v>6104</v>
      </c>
      <c r="M1653" s="10">
        <v>0</v>
      </c>
      <c r="N1653" s="10">
        <v>0</v>
      </c>
      <c r="O1653" s="10">
        <f>Table1[[#This Row],[NET Amount]]-Table1[[#This Row],[Paid Amount]]</f>
        <v>0</v>
      </c>
      <c r="P1653" s="2" t="s">
        <v>18</v>
      </c>
      <c r="Q1653" s="2" t="s">
        <v>90</v>
      </c>
      <c r="R1653" s="16" t="e">
        <f>(Table1[[#This Row],[NET Amount]]-Table1[[#This Row],[Total Outstanding Amount]])/Table1[[#This Row],[NET Amount]]</f>
        <v>#DIV/0!</v>
      </c>
      <c r="S1653" s="2" t="s">
        <v>97</v>
      </c>
    </row>
    <row r="1654" spans="1:19" x14ac:dyDescent="0.3">
      <c r="A1654" s="4">
        <v>1652</v>
      </c>
      <c r="B1654" s="2" t="s">
        <v>25</v>
      </c>
      <c r="C1654" s="3">
        <v>44851</v>
      </c>
      <c r="D1654" s="3" t="str">
        <f>TEXT(Table1[[#This Row],[Admission Date]],"MMMM")</f>
        <v>October</v>
      </c>
      <c r="E1654" s="3">
        <v>44851</v>
      </c>
      <c r="F1654" s="3">
        <v>44851</v>
      </c>
      <c r="G1654" s="2">
        <v>22027433</v>
      </c>
      <c r="H1654" s="2">
        <v>2236327</v>
      </c>
      <c r="I1654" s="2">
        <v>10013541891</v>
      </c>
      <c r="J1654" s="2" t="s">
        <v>1140</v>
      </c>
      <c r="K1654" s="10">
        <v>3590</v>
      </c>
      <c r="L1654" s="10">
        <v>286</v>
      </c>
      <c r="M1654" s="10">
        <v>3304</v>
      </c>
      <c r="N1654" s="10">
        <v>3304</v>
      </c>
      <c r="O1654" s="10">
        <f>Table1[[#This Row],[NET Amount]]-Table1[[#This Row],[Paid Amount]]</f>
        <v>0</v>
      </c>
      <c r="P1654" s="2" t="s">
        <v>18</v>
      </c>
      <c r="Q1654" s="2" t="s">
        <v>54</v>
      </c>
      <c r="R1654" s="16">
        <f>(Table1[[#This Row],[NET Amount]]-Table1[[#This Row],[Total Outstanding Amount]])/Table1[[#This Row],[NET Amount]]</f>
        <v>1</v>
      </c>
      <c r="S1654" s="2" t="s">
        <v>97</v>
      </c>
    </row>
    <row r="1655" spans="1:19" x14ac:dyDescent="0.3">
      <c r="A1655" s="4">
        <v>1653</v>
      </c>
      <c r="B1655" s="2" t="s">
        <v>2243</v>
      </c>
      <c r="C1655" s="3">
        <v>44862</v>
      </c>
      <c r="D1655" s="3" t="str">
        <f>TEXT(Table1[[#This Row],[Admission Date]],"MMMM")</f>
        <v>October</v>
      </c>
      <c r="E1655" s="3">
        <v>44864</v>
      </c>
      <c r="F1655" s="3">
        <v>44864</v>
      </c>
      <c r="G1655" s="2">
        <v>22029226</v>
      </c>
      <c r="H1655" s="2">
        <v>2237830</v>
      </c>
      <c r="I1655" s="2">
        <v>1001806829</v>
      </c>
      <c r="J1655" s="2" t="s">
        <v>1141</v>
      </c>
      <c r="K1655" s="10">
        <v>15750</v>
      </c>
      <c r="L1655" s="10">
        <v>15750</v>
      </c>
      <c r="M1655" s="10">
        <v>0</v>
      </c>
      <c r="N1655" s="10">
        <v>0</v>
      </c>
      <c r="O1655" s="10">
        <f>Table1[[#This Row],[NET Amount]]-Table1[[#This Row],[Paid Amount]]</f>
        <v>0</v>
      </c>
      <c r="P1655" s="2" t="s">
        <v>18</v>
      </c>
      <c r="Q1655" s="2" t="s">
        <v>24</v>
      </c>
      <c r="R1655" s="16" t="e">
        <f>(Table1[[#This Row],[NET Amount]]-Table1[[#This Row],[Total Outstanding Amount]])/Table1[[#This Row],[NET Amount]]</f>
        <v>#DIV/0!</v>
      </c>
      <c r="S1655" s="2" t="s">
        <v>37</v>
      </c>
    </row>
    <row r="1656" spans="1:19" x14ac:dyDescent="0.3">
      <c r="A1656" s="4">
        <v>1654</v>
      </c>
      <c r="B1656" s="2" t="s">
        <v>25</v>
      </c>
      <c r="C1656" s="3">
        <v>44859</v>
      </c>
      <c r="D1656" s="3" t="str">
        <f>TEXT(Table1[[#This Row],[Admission Date]],"MMMM")</f>
        <v>October</v>
      </c>
      <c r="E1656" s="3">
        <v>44864</v>
      </c>
      <c r="F1656" s="3">
        <v>44864</v>
      </c>
      <c r="G1656" s="2">
        <v>22029194</v>
      </c>
      <c r="H1656" s="2">
        <v>2237390</v>
      </c>
      <c r="I1656" s="2">
        <v>10013544458</v>
      </c>
      <c r="J1656" s="2" t="s">
        <v>504</v>
      </c>
      <c r="K1656" s="10">
        <v>174162</v>
      </c>
      <c r="L1656" s="10">
        <v>24109</v>
      </c>
      <c r="M1656" s="10">
        <v>150054</v>
      </c>
      <c r="N1656" s="10">
        <v>150054</v>
      </c>
      <c r="O1656" s="10">
        <f>Table1[[#This Row],[NET Amount]]-Table1[[#This Row],[Paid Amount]]</f>
        <v>0</v>
      </c>
      <c r="P1656" s="2" t="s">
        <v>18</v>
      </c>
      <c r="Q1656" s="2" t="s">
        <v>24</v>
      </c>
      <c r="R1656" s="16">
        <f>(Table1[[#This Row],[NET Amount]]-Table1[[#This Row],[Total Outstanding Amount]])/Table1[[#This Row],[NET Amount]]</f>
        <v>1</v>
      </c>
      <c r="S1656" s="2" t="s">
        <v>280</v>
      </c>
    </row>
    <row r="1657" spans="1:19" x14ac:dyDescent="0.3">
      <c r="A1657" s="4">
        <v>1655</v>
      </c>
      <c r="B1657" s="2" t="s">
        <v>2244</v>
      </c>
      <c r="C1657" s="3">
        <v>44863</v>
      </c>
      <c r="D1657" s="3" t="str">
        <f>TEXT(Table1[[#This Row],[Admission Date]],"MMMM")</f>
        <v>October</v>
      </c>
      <c r="E1657" s="3">
        <v>44863</v>
      </c>
      <c r="F1657" s="3">
        <v>44863</v>
      </c>
      <c r="G1657" s="2">
        <v>22029098</v>
      </c>
      <c r="H1657" s="2">
        <v>2237968</v>
      </c>
      <c r="I1657" s="2">
        <v>1001797549</v>
      </c>
      <c r="J1657" s="2" t="s">
        <v>121</v>
      </c>
      <c r="K1657" s="10">
        <v>1610</v>
      </c>
      <c r="L1657" s="10">
        <v>0</v>
      </c>
      <c r="M1657" s="10">
        <v>1610</v>
      </c>
      <c r="N1657" s="10">
        <v>1610</v>
      </c>
      <c r="O1657" s="10">
        <f>Table1[[#This Row],[NET Amount]]-Table1[[#This Row],[Paid Amount]]</f>
        <v>0</v>
      </c>
      <c r="P1657" s="2" t="s">
        <v>18</v>
      </c>
      <c r="Q1657" s="2" t="s">
        <v>54</v>
      </c>
      <c r="R1657" s="16">
        <f>(Table1[[#This Row],[NET Amount]]-Table1[[#This Row],[Total Outstanding Amount]])/Table1[[#This Row],[NET Amount]]</f>
        <v>1</v>
      </c>
      <c r="S1657" s="2" t="s">
        <v>97</v>
      </c>
    </row>
    <row r="1658" spans="1:19" x14ac:dyDescent="0.3">
      <c r="A1658" s="4">
        <v>1656</v>
      </c>
      <c r="B1658" s="2" t="s">
        <v>75</v>
      </c>
      <c r="C1658" s="3">
        <v>44837</v>
      </c>
      <c r="D1658" s="3" t="str">
        <f>TEXT(Table1[[#This Row],[Admission Date]],"MMMM")</f>
        <v>October</v>
      </c>
      <c r="E1658" s="3">
        <v>44844</v>
      </c>
      <c r="F1658" s="3">
        <v>44844</v>
      </c>
      <c r="G1658" s="2">
        <v>22026380</v>
      </c>
      <c r="H1658" s="2">
        <v>2234485</v>
      </c>
      <c r="I1658" s="2">
        <v>10013541425</v>
      </c>
      <c r="J1658" s="2" t="s">
        <v>608</v>
      </c>
      <c r="K1658" s="10">
        <v>38611</v>
      </c>
      <c r="L1658" s="10">
        <v>0</v>
      </c>
      <c r="M1658" s="10">
        <v>38611</v>
      </c>
      <c r="N1658" s="10">
        <v>2660</v>
      </c>
      <c r="O1658" s="10">
        <f>Table1[[#This Row],[NET Amount]]-Table1[[#This Row],[Paid Amount]]</f>
        <v>35951</v>
      </c>
      <c r="P1658" s="2" t="s">
        <v>23</v>
      </c>
      <c r="Q1658" s="2" t="s">
        <v>24</v>
      </c>
      <c r="R1658" s="16">
        <f>(Table1[[#This Row],[NET Amount]]-Table1[[#This Row],[Total Outstanding Amount]])/Table1[[#This Row],[NET Amount]]</f>
        <v>6.8892284582113911E-2</v>
      </c>
      <c r="S1658" s="2" t="s">
        <v>20</v>
      </c>
    </row>
    <row r="1659" spans="1:19" x14ac:dyDescent="0.3">
      <c r="A1659" s="4">
        <v>1657</v>
      </c>
      <c r="B1659" s="2" t="s">
        <v>152</v>
      </c>
      <c r="C1659" s="3">
        <v>44840</v>
      </c>
      <c r="D1659" s="3" t="str">
        <f>TEXT(Table1[[#This Row],[Admission Date]],"MMMM")</f>
        <v>October</v>
      </c>
      <c r="E1659" s="3">
        <v>44844</v>
      </c>
      <c r="F1659" s="3">
        <v>44844</v>
      </c>
      <c r="G1659" s="2">
        <v>22026397</v>
      </c>
      <c r="H1659" s="2">
        <v>2234886</v>
      </c>
      <c r="I1659" s="2">
        <v>10013541647</v>
      </c>
      <c r="J1659" s="2" t="s">
        <v>1142</v>
      </c>
      <c r="K1659" s="10">
        <v>27894</v>
      </c>
      <c r="L1659" s="10">
        <v>0</v>
      </c>
      <c r="M1659" s="10">
        <v>27894</v>
      </c>
      <c r="N1659" s="10">
        <v>1040</v>
      </c>
      <c r="O1659" s="10">
        <f>Table1[[#This Row],[NET Amount]]-Table1[[#This Row],[Paid Amount]]</f>
        <v>26854</v>
      </c>
      <c r="P1659" s="2" t="s">
        <v>23</v>
      </c>
      <c r="Q1659" s="2" t="s">
        <v>30</v>
      </c>
      <c r="R1659" s="16">
        <f>(Table1[[#This Row],[NET Amount]]-Table1[[#This Row],[Total Outstanding Amount]])/Table1[[#This Row],[NET Amount]]</f>
        <v>3.7284003728400371E-2</v>
      </c>
      <c r="S1659" s="2" t="s">
        <v>20</v>
      </c>
    </row>
    <row r="1660" spans="1:19" x14ac:dyDescent="0.3">
      <c r="A1660" s="4">
        <v>1658</v>
      </c>
      <c r="B1660" s="2" t="s">
        <v>163</v>
      </c>
      <c r="C1660" s="3">
        <v>44862</v>
      </c>
      <c r="D1660" s="3" t="str">
        <f>TEXT(Table1[[#This Row],[Admission Date]],"MMMM")</f>
        <v>October</v>
      </c>
      <c r="E1660" s="3">
        <v>44865</v>
      </c>
      <c r="F1660" s="3">
        <v>44865</v>
      </c>
      <c r="G1660" s="2">
        <v>22029304</v>
      </c>
      <c r="H1660" s="2">
        <v>2237788</v>
      </c>
      <c r="I1660" s="2">
        <v>10013544836</v>
      </c>
      <c r="J1660" s="2" t="s">
        <v>1143</v>
      </c>
      <c r="K1660" s="10">
        <v>34249</v>
      </c>
      <c r="L1660" s="10">
        <v>0</v>
      </c>
      <c r="M1660" s="10">
        <v>34249</v>
      </c>
      <c r="N1660" s="10">
        <v>3732</v>
      </c>
      <c r="O1660" s="10">
        <f>Table1[[#This Row],[NET Amount]]-Table1[[#This Row],[Paid Amount]]</f>
        <v>30517</v>
      </c>
      <c r="P1660" s="2" t="s">
        <v>23</v>
      </c>
      <c r="Q1660" s="2" t="s">
        <v>24</v>
      </c>
      <c r="R1660" s="16">
        <f>(Table1[[#This Row],[NET Amount]]-Table1[[#This Row],[Total Outstanding Amount]])/Table1[[#This Row],[NET Amount]]</f>
        <v>0.10896668515869076</v>
      </c>
      <c r="S1660" s="2" t="s">
        <v>37</v>
      </c>
    </row>
    <row r="1661" spans="1:19" x14ac:dyDescent="0.3">
      <c r="A1661" s="4">
        <v>1659</v>
      </c>
      <c r="B1661" s="2" t="s">
        <v>738</v>
      </c>
      <c r="C1661" s="3">
        <v>44861</v>
      </c>
      <c r="D1661" s="3" t="str">
        <f>TEXT(Table1[[#This Row],[Admission Date]],"MMMM")</f>
        <v>October</v>
      </c>
      <c r="E1661" s="3">
        <v>44865</v>
      </c>
      <c r="F1661" s="3">
        <v>44865</v>
      </c>
      <c r="G1661" s="2">
        <v>22029340</v>
      </c>
      <c r="H1661" s="2">
        <v>2237596</v>
      </c>
      <c r="I1661" s="2">
        <v>1001806464</v>
      </c>
      <c r="J1661" s="2" t="s">
        <v>1144</v>
      </c>
      <c r="K1661" s="10">
        <v>107737</v>
      </c>
      <c r="L1661" s="10">
        <v>9313</v>
      </c>
      <c r="M1661" s="10">
        <v>98425</v>
      </c>
      <c r="N1661" s="10">
        <v>28606</v>
      </c>
      <c r="O1661" s="10">
        <f>Table1[[#This Row],[NET Amount]]-Table1[[#This Row],[Paid Amount]]</f>
        <v>69819</v>
      </c>
      <c r="P1661" s="2" t="s">
        <v>23</v>
      </c>
      <c r="Q1661" s="2" t="s">
        <v>19</v>
      </c>
      <c r="R1661" s="16">
        <f>(Table1[[#This Row],[NET Amount]]-Table1[[#This Row],[Total Outstanding Amount]])/Table1[[#This Row],[NET Amount]]</f>
        <v>0.29063754127508257</v>
      </c>
      <c r="S1661" s="2" t="s">
        <v>27</v>
      </c>
    </row>
    <row r="1662" spans="1:19" x14ac:dyDescent="0.3">
      <c r="A1662" s="4">
        <v>1660</v>
      </c>
      <c r="B1662" s="2" t="s">
        <v>25</v>
      </c>
      <c r="C1662" s="3">
        <v>44850</v>
      </c>
      <c r="D1662" s="3" t="str">
        <f>TEXT(Table1[[#This Row],[Admission Date]],"MMMM")</f>
        <v>October</v>
      </c>
      <c r="E1662" s="3">
        <v>44855</v>
      </c>
      <c r="F1662" s="3">
        <v>44855</v>
      </c>
      <c r="G1662" s="2">
        <v>22028054</v>
      </c>
      <c r="H1662" s="2">
        <v>2236250</v>
      </c>
      <c r="I1662" s="2">
        <v>10013543280</v>
      </c>
      <c r="J1662" s="2" t="s">
        <v>1145</v>
      </c>
      <c r="K1662" s="10">
        <v>128591</v>
      </c>
      <c r="L1662" s="10">
        <v>13664</v>
      </c>
      <c r="M1662" s="10">
        <v>114927</v>
      </c>
      <c r="N1662" s="10">
        <v>114927</v>
      </c>
      <c r="O1662" s="10">
        <f>Table1[[#This Row],[NET Amount]]-Table1[[#This Row],[Paid Amount]]</f>
        <v>0</v>
      </c>
      <c r="P1662" s="2" t="s">
        <v>18</v>
      </c>
      <c r="Q1662" s="2" t="s">
        <v>24</v>
      </c>
      <c r="R1662" s="16">
        <f>(Table1[[#This Row],[NET Amount]]-Table1[[#This Row],[Total Outstanding Amount]])/Table1[[#This Row],[NET Amount]]</f>
        <v>1</v>
      </c>
      <c r="S1662" s="2" t="s">
        <v>20</v>
      </c>
    </row>
    <row r="1663" spans="1:19" x14ac:dyDescent="0.3">
      <c r="A1663" s="4">
        <v>1661</v>
      </c>
      <c r="B1663" s="2" t="s">
        <v>25</v>
      </c>
      <c r="C1663" s="3">
        <v>44843</v>
      </c>
      <c r="D1663" s="3" t="str">
        <f>TEXT(Table1[[#This Row],[Admission Date]],"MMMM")</f>
        <v>October</v>
      </c>
      <c r="E1663" s="3">
        <v>44844</v>
      </c>
      <c r="F1663" s="3">
        <v>44844</v>
      </c>
      <c r="G1663" s="2">
        <v>22026402</v>
      </c>
      <c r="H1663" s="2">
        <v>2235261</v>
      </c>
      <c r="I1663" s="2">
        <v>10013542262</v>
      </c>
      <c r="J1663" s="2" t="s">
        <v>1146</v>
      </c>
      <c r="K1663" s="10">
        <v>47801</v>
      </c>
      <c r="L1663" s="10">
        <v>5623</v>
      </c>
      <c r="M1663" s="10">
        <v>42178</v>
      </c>
      <c r="N1663" s="10">
        <v>42178</v>
      </c>
      <c r="O1663" s="10">
        <f>Table1[[#This Row],[NET Amount]]-Table1[[#This Row],[Paid Amount]]</f>
        <v>0</v>
      </c>
      <c r="P1663" s="2" t="s">
        <v>18</v>
      </c>
      <c r="Q1663" s="2" t="s">
        <v>19</v>
      </c>
      <c r="R1663" s="16">
        <f>(Table1[[#This Row],[NET Amount]]-Table1[[#This Row],[Total Outstanding Amount]])/Table1[[#This Row],[NET Amount]]</f>
        <v>1</v>
      </c>
      <c r="S1663" s="2" t="s">
        <v>27</v>
      </c>
    </row>
    <row r="1664" spans="1:19" x14ac:dyDescent="0.3">
      <c r="A1664" s="4">
        <v>1662</v>
      </c>
      <c r="B1664" s="2" t="s">
        <v>25</v>
      </c>
      <c r="C1664" s="3">
        <v>44841</v>
      </c>
      <c r="D1664" s="3" t="str">
        <f>TEXT(Table1[[#This Row],[Admission Date]],"MMMM")</f>
        <v>October</v>
      </c>
      <c r="E1664" s="3">
        <v>44849</v>
      </c>
      <c r="F1664" s="3">
        <v>44849</v>
      </c>
      <c r="G1664" s="2">
        <v>22027169</v>
      </c>
      <c r="H1664" s="2">
        <v>2235102</v>
      </c>
      <c r="I1664" s="2">
        <v>10013541417</v>
      </c>
      <c r="J1664" s="2" t="s">
        <v>1147</v>
      </c>
      <c r="K1664" s="10">
        <v>295309</v>
      </c>
      <c r="L1664" s="10">
        <v>79582</v>
      </c>
      <c r="M1664" s="10">
        <v>215727</v>
      </c>
      <c r="N1664" s="10">
        <v>215727</v>
      </c>
      <c r="O1664" s="10">
        <f>Table1[[#This Row],[NET Amount]]-Table1[[#This Row],[Paid Amount]]</f>
        <v>0</v>
      </c>
      <c r="P1664" s="2" t="s">
        <v>18</v>
      </c>
      <c r="Q1664" s="2" t="s">
        <v>69</v>
      </c>
      <c r="R1664" s="16">
        <f>(Table1[[#This Row],[NET Amount]]-Table1[[#This Row],[Total Outstanding Amount]])/Table1[[#This Row],[NET Amount]]</f>
        <v>1</v>
      </c>
      <c r="S1664" s="2" t="s">
        <v>20</v>
      </c>
    </row>
    <row r="1665" spans="1:19" x14ac:dyDescent="0.3">
      <c r="A1665" s="4">
        <v>1663</v>
      </c>
      <c r="B1665" s="2" t="s">
        <v>45</v>
      </c>
      <c r="C1665" s="3">
        <v>44843</v>
      </c>
      <c r="D1665" s="3" t="str">
        <f>TEXT(Table1[[#This Row],[Admission Date]],"MMMM")</f>
        <v>October</v>
      </c>
      <c r="E1665" s="3">
        <v>44844</v>
      </c>
      <c r="F1665" s="3">
        <v>44844</v>
      </c>
      <c r="G1665" s="2">
        <v>22026371</v>
      </c>
      <c r="H1665" s="2">
        <v>2235280</v>
      </c>
      <c r="I1665" s="2">
        <v>10013360256</v>
      </c>
      <c r="J1665" s="2" t="s">
        <v>1148</v>
      </c>
      <c r="K1665" s="10">
        <v>28470</v>
      </c>
      <c r="L1665" s="10">
        <v>0</v>
      </c>
      <c r="M1665" s="10">
        <v>28470</v>
      </c>
      <c r="N1665" s="10">
        <v>7470</v>
      </c>
      <c r="O1665" s="10">
        <f>Table1[[#This Row],[NET Amount]]-Table1[[#This Row],[Paid Amount]]</f>
        <v>21000</v>
      </c>
      <c r="P1665" s="2" t="s">
        <v>23</v>
      </c>
      <c r="Q1665" s="2" t="s">
        <v>47</v>
      </c>
      <c r="R1665" s="16">
        <f>(Table1[[#This Row],[NET Amount]]-Table1[[#This Row],[Total Outstanding Amount]])/Table1[[#This Row],[NET Amount]]</f>
        <v>0.2623814541622761</v>
      </c>
      <c r="S1665" s="2" t="s">
        <v>39</v>
      </c>
    </row>
    <row r="1666" spans="1:19" x14ac:dyDescent="0.3">
      <c r="A1666" s="4">
        <v>1664</v>
      </c>
      <c r="B1666" s="2" t="s">
        <v>149</v>
      </c>
      <c r="C1666" s="3">
        <v>44861</v>
      </c>
      <c r="D1666" s="3" t="str">
        <f>TEXT(Table1[[#This Row],[Admission Date]],"MMMM")</f>
        <v>October</v>
      </c>
      <c r="E1666" s="3">
        <v>44865</v>
      </c>
      <c r="F1666" s="3">
        <v>44865</v>
      </c>
      <c r="G1666" s="2">
        <v>22029271</v>
      </c>
      <c r="H1666" s="2">
        <v>2237678</v>
      </c>
      <c r="I1666" s="2">
        <v>1001806621</v>
      </c>
      <c r="J1666" s="2" t="s">
        <v>1149</v>
      </c>
      <c r="K1666" s="10">
        <v>38401</v>
      </c>
      <c r="L1666" s="10">
        <v>0</v>
      </c>
      <c r="M1666" s="10">
        <v>38401</v>
      </c>
      <c r="N1666" s="10">
        <v>1500</v>
      </c>
      <c r="O1666" s="10">
        <f>Table1[[#This Row],[NET Amount]]-Table1[[#This Row],[Paid Amount]]</f>
        <v>36901</v>
      </c>
      <c r="P1666" s="2" t="s">
        <v>23</v>
      </c>
      <c r="Q1666" s="2" t="s">
        <v>24</v>
      </c>
      <c r="R1666" s="16">
        <f>(Table1[[#This Row],[NET Amount]]-Table1[[#This Row],[Total Outstanding Amount]])/Table1[[#This Row],[NET Amount]]</f>
        <v>3.9061482773886096E-2</v>
      </c>
      <c r="S1666" s="2" t="s">
        <v>20</v>
      </c>
    </row>
    <row r="1667" spans="1:19" x14ac:dyDescent="0.3">
      <c r="A1667" s="4">
        <v>1665</v>
      </c>
      <c r="B1667" s="2" t="s">
        <v>126</v>
      </c>
      <c r="C1667" s="3">
        <v>44861</v>
      </c>
      <c r="D1667" s="3" t="str">
        <f>TEXT(Table1[[#This Row],[Admission Date]],"MMMM")</f>
        <v>October</v>
      </c>
      <c r="E1667" s="3">
        <v>44865</v>
      </c>
      <c r="F1667" s="3">
        <v>44865</v>
      </c>
      <c r="G1667" s="2">
        <v>22029321</v>
      </c>
      <c r="H1667" s="2">
        <v>2237680</v>
      </c>
      <c r="I1667" s="2">
        <v>10013463100</v>
      </c>
      <c r="J1667" s="2" t="s">
        <v>1150</v>
      </c>
      <c r="K1667" s="10">
        <v>61496</v>
      </c>
      <c r="L1667" s="10">
        <v>7357</v>
      </c>
      <c r="M1667" s="10">
        <v>54139</v>
      </c>
      <c r="N1667" s="10">
        <v>3907</v>
      </c>
      <c r="O1667" s="10">
        <f>Table1[[#This Row],[NET Amount]]-Table1[[#This Row],[Paid Amount]]</f>
        <v>50232</v>
      </c>
      <c r="P1667" s="2" t="s">
        <v>23</v>
      </c>
      <c r="Q1667" s="2" t="s">
        <v>30</v>
      </c>
      <c r="R1667" s="16">
        <f>(Table1[[#This Row],[NET Amount]]-Table1[[#This Row],[Total Outstanding Amount]])/Table1[[#This Row],[NET Amount]]</f>
        <v>7.2166090988012341E-2</v>
      </c>
      <c r="S1667" s="2" t="s">
        <v>20</v>
      </c>
    </row>
    <row r="1668" spans="1:19" x14ac:dyDescent="0.3">
      <c r="A1668" s="4">
        <v>1666</v>
      </c>
      <c r="B1668" s="2" t="s">
        <v>28</v>
      </c>
      <c r="C1668" s="3">
        <v>44852</v>
      </c>
      <c r="D1668" s="3" t="str">
        <f>TEXT(Table1[[#This Row],[Admission Date]],"MMMM")</f>
        <v>October</v>
      </c>
      <c r="E1668" s="3">
        <v>44852</v>
      </c>
      <c r="F1668" s="3">
        <v>44852</v>
      </c>
      <c r="G1668" s="2">
        <v>22027612</v>
      </c>
      <c r="H1668" s="2">
        <v>2236462</v>
      </c>
      <c r="I1668" s="2">
        <v>1001805005</v>
      </c>
      <c r="J1668" s="2" t="s">
        <v>1151</v>
      </c>
      <c r="K1668" s="10">
        <v>22500</v>
      </c>
      <c r="L1668" s="10">
        <v>2100</v>
      </c>
      <c r="M1668" s="10">
        <v>20400</v>
      </c>
      <c r="N1668" s="10">
        <v>1500</v>
      </c>
      <c r="O1668" s="10">
        <f>Table1[[#This Row],[NET Amount]]-Table1[[#This Row],[Paid Amount]]</f>
        <v>18900</v>
      </c>
      <c r="P1668" s="2" t="s">
        <v>23</v>
      </c>
      <c r="Q1668" s="2" t="s">
        <v>54</v>
      </c>
      <c r="R1668" s="16">
        <f>(Table1[[#This Row],[NET Amount]]-Table1[[#This Row],[Total Outstanding Amount]])/Table1[[#This Row],[NET Amount]]</f>
        <v>7.3529411764705885E-2</v>
      </c>
      <c r="S1668" s="2" t="s">
        <v>27</v>
      </c>
    </row>
    <row r="1669" spans="1:19" x14ac:dyDescent="0.3">
      <c r="A1669" s="4">
        <v>1667</v>
      </c>
      <c r="B1669" s="2" t="s">
        <v>206</v>
      </c>
      <c r="C1669" s="3">
        <v>44860</v>
      </c>
      <c r="D1669" s="3" t="str">
        <f>TEXT(Table1[[#This Row],[Admission Date]],"MMMM")</f>
        <v>October</v>
      </c>
      <c r="E1669" s="3">
        <v>44864</v>
      </c>
      <c r="F1669" s="3">
        <v>44864</v>
      </c>
      <c r="G1669" s="2">
        <v>22029213</v>
      </c>
      <c r="H1669" s="2">
        <v>2237551</v>
      </c>
      <c r="I1669" s="2">
        <v>1001806414</v>
      </c>
      <c r="J1669" s="2" t="s">
        <v>1152</v>
      </c>
      <c r="K1669" s="10">
        <v>175198</v>
      </c>
      <c r="L1669" s="10">
        <v>16132</v>
      </c>
      <c r="M1669" s="10">
        <v>159066</v>
      </c>
      <c r="N1669" s="10">
        <v>3587</v>
      </c>
      <c r="O1669" s="10">
        <f>Table1[[#This Row],[NET Amount]]-Table1[[#This Row],[Paid Amount]]</f>
        <v>155479</v>
      </c>
      <c r="P1669" s="2" t="s">
        <v>23</v>
      </c>
      <c r="Q1669" s="2" t="s">
        <v>30</v>
      </c>
      <c r="R1669" s="16">
        <f>(Table1[[#This Row],[NET Amount]]-Table1[[#This Row],[Total Outstanding Amount]])/Table1[[#This Row],[NET Amount]]</f>
        <v>2.2550387889303809E-2</v>
      </c>
      <c r="S1669" s="2" t="s">
        <v>77</v>
      </c>
    </row>
    <row r="1670" spans="1:19" x14ac:dyDescent="0.3">
      <c r="A1670" s="4">
        <v>1668</v>
      </c>
      <c r="B1670" s="2" t="s">
        <v>25</v>
      </c>
      <c r="C1670" s="3">
        <v>44842</v>
      </c>
      <c r="D1670" s="3" t="str">
        <f>TEXT(Table1[[#This Row],[Admission Date]],"MMMM")</f>
        <v>October</v>
      </c>
      <c r="E1670" s="3">
        <v>44842</v>
      </c>
      <c r="F1670" s="3">
        <v>44842</v>
      </c>
      <c r="G1670" s="2">
        <v>22026159</v>
      </c>
      <c r="H1670" s="2">
        <v>2235161</v>
      </c>
      <c r="I1670" s="2">
        <v>10013507561</v>
      </c>
      <c r="J1670" s="2" t="s">
        <v>240</v>
      </c>
      <c r="K1670" s="10">
        <v>2844</v>
      </c>
      <c r="L1670" s="10">
        <v>286</v>
      </c>
      <c r="M1670" s="10">
        <v>2558</v>
      </c>
      <c r="N1670" s="10">
        <v>2558</v>
      </c>
      <c r="O1670" s="10">
        <f>Table1[[#This Row],[NET Amount]]-Table1[[#This Row],[Paid Amount]]</f>
        <v>0</v>
      </c>
      <c r="P1670" s="2" t="s">
        <v>18</v>
      </c>
      <c r="Q1670" s="2" t="s">
        <v>54</v>
      </c>
      <c r="R1670" s="16">
        <f>(Table1[[#This Row],[NET Amount]]-Table1[[#This Row],[Total Outstanding Amount]])/Table1[[#This Row],[NET Amount]]</f>
        <v>1</v>
      </c>
      <c r="S1670" s="2" t="s">
        <v>97</v>
      </c>
    </row>
    <row r="1671" spans="1:19" x14ac:dyDescent="0.3">
      <c r="A1671" s="4">
        <v>1669</v>
      </c>
      <c r="B1671" s="2" t="s">
        <v>141</v>
      </c>
      <c r="C1671" s="3">
        <v>44863</v>
      </c>
      <c r="D1671" s="3" t="str">
        <f>TEXT(Table1[[#This Row],[Admission Date]],"MMMM")</f>
        <v>October</v>
      </c>
      <c r="E1671" s="3">
        <v>44865</v>
      </c>
      <c r="F1671" s="3">
        <v>44865</v>
      </c>
      <c r="G1671" s="2">
        <v>22029324</v>
      </c>
      <c r="H1671" s="2">
        <v>2237904</v>
      </c>
      <c r="I1671" s="2">
        <v>1001806887</v>
      </c>
      <c r="J1671" s="2" t="s">
        <v>1153</v>
      </c>
      <c r="K1671" s="10">
        <v>59980</v>
      </c>
      <c r="L1671" s="10">
        <v>0</v>
      </c>
      <c r="M1671" s="10">
        <v>59980</v>
      </c>
      <c r="N1671" s="10">
        <v>9980</v>
      </c>
      <c r="O1671" s="10">
        <f>Table1[[#This Row],[NET Amount]]-Table1[[#This Row],[Paid Amount]]</f>
        <v>50000</v>
      </c>
      <c r="P1671" s="2" t="s">
        <v>23</v>
      </c>
      <c r="Q1671" s="2" t="s">
        <v>52</v>
      </c>
      <c r="R1671" s="16">
        <f>(Table1[[#This Row],[NET Amount]]-Table1[[#This Row],[Total Outstanding Amount]])/Table1[[#This Row],[NET Amount]]</f>
        <v>0.1663887962654218</v>
      </c>
      <c r="S1671" s="2" t="s">
        <v>27</v>
      </c>
    </row>
    <row r="1672" spans="1:19" x14ac:dyDescent="0.3">
      <c r="A1672" s="4">
        <v>1670</v>
      </c>
      <c r="B1672" s="2" t="s">
        <v>115</v>
      </c>
      <c r="C1672" s="3">
        <v>44847</v>
      </c>
      <c r="D1672" s="3" t="str">
        <f>TEXT(Table1[[#This Row],[Admission Date]],"MMMM")</f>
        <v>October</v>
      </c>
      <c r="E1672" s="3">
        <v>44852</v>
      </c>
      <c r="F1672" s="3">
        <v>44852</v>
      </c>
      <c r="G1672" s="2">
        <v>22027559</v>
      </c>
      <c r="H1672" s="2">
        <v>2235889</v>
      </c>
      <c r="I1672" s="2">
        <v>10013542898</v>
      </c>
      <c r="J1672" s="2" t="s">
        <v>1154</v>
      </c>
      <c r="K1672" s="10">
        <v>121236</v>
      </c>
      <c r="L1672" s="10">
        <v>16875</v>
      </c>
      <c r="M1672" s="10">
        <v>104361</v>
      </c>
      <c r="N1672" s="10">
        <v>5353</v>
      </c>
      <c r="O1672" s="10">
        <f>Table1[[#This Row],[NET Amount]]-Table1[[#This Row],[Paid Amount]]</f>
        <v>99008</v>
      </c>
      <c r="P1672" s="2" t="s">
        <v>23</v>
      </c>
      <c r="Q1672" s="2" t="s">
        <v>30</v>
      </c>
      <c r="R1672" s="16">
        <f>(Table1[[#This Row],[NET Amount]]-Table1[[#This Row],[Total Outstanding Amount]])/Table1[[#This Row],[NET Amount]]</f>
        <v>5.129310757850155E-2</v>
      </c>
      <c r="S1672" s="2" t="s">
        <v>20</v>
      </c>
    </row>
    <row r="1673" spans="1:19" x14ac:dyDescent="0.3">
      <c r="A1673" s="4">
        <v>1671</v>
      </c>
      <c r="B1673" s="2" t="s">
        <v>50</v>
      </c>
      <c r="C1673" s="3">
        <v>44849</v>
      </c>
      <c r="D1673" s="3" t="str">
        <f>TEXT(Table1[[#This Row],[Admission Date]],"MMMM")</f>
        <v>October</v>
      </c>
      <c r="E1673" s="3">
        <v>44850</v>
      </c>
      <c r="F1673" s="3">
        <v>44850</v>
      </c>
      <c r="G1673" s="2">
        <v>22027315</v>
      </c>
      <c r="H1673" s="2">
        <v>2236103</v>
      </c>
      <c r="I1673" s="2">
        <v>10013541150</v>
      </c>
      <c r="J1673" s="2" t="s">
        <v>1155</v>
      </c>
      <c r="K1673" s="10">
        <v>75542</v>
      </c>
      <c r="L1673" s="10">
        <v>394</v>
      </c>
      <c r="M1673" s="10">
        <v>75148</v>
      </c>
      <c r="N1673" s="10">
        <v>15265</v>
      </c>
      <c r="O1673" s="10">
        <f>Table1[[#This Row],[NET Amount]]-Table1[[#This Row],[Paid Amount]]</f>
        <v>59883</v>
      </c>
      <c r="P1673" s="2" t="s">
        <v>23</v>
      </c>
      <c r="Q1673" s="2" t="s">
        <v>52</v>
      </c>
      <c r="R1673" s="16">
        <f>(Table1[[#This Row],[NET Amount]]-Table1[[#This Row],[Total Outstanding Amount]])/Table1[[#This Row],[NET Amount]]</f>
        <v>0.20313248522914781</v>
      </c>
      <c r="S1673" s="2" t="s">
        <v>77</v>
      </c>
    </row>
    <row r="1674" spans="1:19" x14ac:dyDescent="0.3">
      <c r="A1674" s="4">
        <v>1672</v>
      </c>
      <c r="B1674" s="2" t="s">
        <v>50</v>
      </c>
      <c r="C1674" s="3">
        <v>44865</v>
      </c>
      <c r="D1674" s="3" t="str">
        <f>TEXT(Table1[[#This Row],[Admission Date]],"MMMM")</f>
        <v>October</v>
      </c>
      <c r="E1674" s="3">
        <v>44865</v>
      </c>
      <c r="F1674" s="3">
        <v>44865</v>
      </c>
      <c r="G1674" s="2">
        <v>22029329</v>
      </c>
      <c r="H1674" s="2">
        <v>2238182</v>
      </c>
      <c r="I1674" s="2">
        <v>1000983811</v>
      </c>
      <c r="J1674" s="2" t="s">
        <v>564</v>
      </c>
      <c r="K1674" s="10">
        <v>2200</v>
      </c>
      <c r="L1674" s="10">
        <v>0</v>
      </c>
      <c r="M1674" s="10">
        <v>2200</v>
      </c>
      <c r="N1674" s="10">
        <v>440</v>
      </c>
      <c r="O1674" s="10">
        <f>Table1[[#This Row],[NET Amount]]-Table1[[#This Row],[Paid Amount]]</f>
        <v>1760</v>
      </c>
      <c r="P1674" s="2" t="s">
        <v>23</v>
      </c>
      <c r="Q1674" s="2" t="s">
        <v>147</v>
      </c>
      <c r="R1674" s="16">
        <f>(Table1[[#This Row],[NET Amount]]-Table1[[#This Row],[Total Outstanding Amount]])/Table1[[#This Row],[NET Amount]]</f>
        <v>0.2</v>
      </c>
      <c r="S1674" s="2" t="s">
        <v>97</v>
      </c>
    </row>
    <row r="1675" spans="1:19" x14ac:dyDescent="0.3">
      <c r="A1675" s="4">
        <v>1673</v>
      </c>
      <c r="B1675" s="2" t="s">
        <v>25</v>
      </c>
      <c r="C1675" s="3">
        <v>44865</v>
      </c>
      <c r="D1675" s="3" t="str">
        <f>TEXT(Table1[[#This Row],[Admission Date]],"MMMM")</f>
        <v>October</v>
      </c>
      <c r="E1675" s="3">
        <v>44865</v>
      </c>
      <c r="F1675" s="3">
        <v>44865</v>
      </c>
      <c r="G1675" s="2">
        <v>22029344</v>
      </c>
      <c r="H1675" s="2">
        <v>2238196</v>
      </c>
      <c r="I1675" s="2">
        <v>1000891310</v>
      </c>
      <c r="J1675" s="2" t="s">
        <v>683</v>
      </c>
      <c r="K1675" s="10">
        <v>3319</v>
      </c>
      <c r="L1675" s="10">
        <v>3319</v>
      </c>
      <c r="M1675" s="10">
        <v>0</v>
      </c>
      <c r="N1675" s="10">
        <v>0</v>
      </c>
      <c r="O1675" s="10">
        <f>Table1[[#This Row],[NET Amount]]-Table1[[#This Row],[Paid Amount]]</f>
        <v>0</v>
      </c>
      <c r="P1675" s="2" t="s">
        <v>18</v>
      </c>
      <c r="Q1675" s="2" t="s">
        <v>90</v>
      </c>
      <c r="R1675" s="16" t="e">
        <f>(Table1[[#This Row],[NET Amount]]-Table1[[#This Row],[Total Outstanding Amount]])/Table1[[#This Row],[NET Amount]]</f>
        <v>#DIV/0!</v>
      </c>
      <c r="S1675" s="2" t="s">
        <v>97</v>
      </c>
    </row>
    <row r="1676" spans="1:19" x14ac:dyDescent="0.3">
      <c r="A1676" s="4">
        <v>1674</v>
      </c>
      <c r="B1676" s="2" t="s">
        <v>25</v>
      </c>
      <c r="C1676" s="3">
        <v>44865</v>
      </c>
      <c r="D1676" s="3" t="str">
        <f>TEXT(Table1[[#This Row],[Admission Date]],"MMMM")</f>
        <v>October</v>
      </c>
      <c r="E1676" s="3">
        <v>44865</v>
      </c>
      <c r="F1676" s="3">
        <v>44865</v>
      </c>
      <c r="G1676" s="2">
        <v>22029339</v>
      </c>
      <c r="H1676" s="2">
        <v>2238195</v>
      </c>
      <c r="I1676" s="2">
        <v>1000890994</v>
      </c>
      <c r="J1676" s="2" t="s">
        <v>271</v>
      </c>
      <c r="K1676" s="10">
        <v>3488</v>
      </c>
      <c r="L1676" s="10">
        <v>327</v>
      </c>
      <c r="M1676" s="10">
        <v>3161</v>
      </c>
      <c r="N1676" s="10">
        <v>3161</v>
      </c>
      <c r="O1676" s="10">
        <f>Table1[[#This Row],[NET Amount]]-Table1[[#This Row],[Paid Amount]]</f>
        <v>0</v>
      </c>
      <c r="P1676" s="2" t="s">
        <v>18</v>
      </c>
      <c r="Q1676" s="2" t="s">
        <v>54</v>
      </c>
      <c r="R1676" s="16">
        <f>(Table1[[#This Row],[NET Amount]]-Table1[[#This Row],[Total Outstanding Amount]])/Table1[[#This Row],[NET Amount]]</f>
        <v>1</v>
      </c>
      <c r="S1676" s="2" t="s">
        <v>97</v>
      </c>
    </row>
    <row r="1677" spans="1:19" x14ac:dyDescent="0.3">
      <c r="A1677" s="4">
        <v>1675</v>
      </c>
      <c r="B1677" s="2" t="s">
        <v>25</v>
      </c>
      <c r="C1677" s="3">
        <v>44828</v>
      </c>
      <c r="D1677" s="3" t="str">
        <f>TEXT(Table1[[#This Row],[Admission Date]],"MMMM")</f>
        <v>September</v>
      </c>
      <c r="E1677" s="3">
        <v>44836</v>
      </c>
      <c r="F1677" s="3">
        <v>44836</v>
      </c>
      <c r="G1677" s="2">
        <v>22025298</v>
      </c>
      <c r="H1677" s="2">
        <v>2233317</v>
      </c>
      <c r="I1677" s="2">
        <v>10013540205</v>
      </c>
      <c r="J1677" s="2" t="s">
        <v>1156</v>
      </c>
      <c r="K1677" s="10">
        <v>84649</v>
      </c>
      <c r="L1677" s="10">
        <v>10956</v>
      </c>
      <c r="M1677" s="10">
        <v>73693</v>
      </c>
      <c r="N1677" s="10">
        <v>73693</v>
      </c>
      <c r="O1677" s="10">
        <f>Table1[[#This Row],[NET Amount]]-Table1[[#This Row],[Paid Amount]]</f>
        <v>0</v>
      </c>
      <c r="P1677" s="2" t="s">
        <v>18</v>
      </c>
      <c r="Q1677" s="2" t="s">
        <v>24</v>
      </c>
      <c r="R1677" s="16">
        <f>(Table1[[#This Row],[NET Amount]]-Table1[[#This Row],[Total Outstanding Amount]])/Table1[[#This Row],[NET Amount]]</f>
        <v>1</v>
      </c>
      <c r="S1677" s="2" t="s">
        <v>20</v>
      </c>
    </row>
    <row r="1678" spans="1:19" x14ac:dyDescent="0.3">
      <c r="A1678" s="4">
        <v>1676</v>
      </c>
      <c r="B1678" s="2" t="s">
        <v>25</v>
      </c>
      <c r="C1678" s="3">
        <v>44859</v>
      </c>
      <c r="D1678" s="3" t="str">
        <f>TEXT(Table1[[#This Row],[Admission Date]],"MMMM")</f>
        <v>October</v>
      </c>
      <c r="E1678" s="3">
        <v>44860</v>
      </c>
      <c r="F1678" s="3">
        <v>44860</v>
      </c>
      <c r="G1678" s="2">
        <v>22028626</v>
      </c>
      <c r="H1678" s="2">
        <v>2237353</v>
      </c>
      <c r="I1678" s="2">
        <v>1000946072</v>
      </c>
      <c r="J1678" s="2" t="s">
        <v>1157</v>
      </c>
      <c r="K1678" s="10">
        <v>44137</v>
      </c>
      <c r="L1678" s="10">
        <v>6199</v>
      </c>
      <c r="M1678" s="10">
        <v>37939</v>
      </c>
      <c r="N1678" s="10">
        <v>37939</v>
      </c>
      <c r="O1678" s="10">
        <f>Table1[[#This Row],[NET Amount]]-Table1[[#This Row],[Paid Amount]]</f>
        <v>0</v>
      </c>
      <c r="P1678" s="2" t="s">
        <v>18</v>
      </c>
      <c r="Q1678" s="2" t="s">
        <v>24</v>
      </c>
      <c r="R1678" s="16">
        <f>(Table1[[#This Row],[NET Amount]]-Table1[[#This Row],[Total Outstanding Amount]])/Table1[[#This Row],[NET Amount]]</f>
        <v>1</v>
      </c>
      <c r="S1678" s="2" t="s">
        <v>39</v>
      </c>
    </row>
    <row r="1679" spans="1:19" x14ac:dyDescent="0.3">
      <c r="A1679" s="4">
        <v>1677</v>
      </c>
      <c r="B1679" s="2" t="s">
        <v>35</v>
      </c>
      <c r="C1679" s="3">
        <v>44853</v>
      </c>
      <c r="D1679" s="3" t="str">
        <f>TEXT(Table1[[#This Row],[Admission Date]],"MMMM")</f>
        <v>October</v>
      </c>
      <c r="E1679" s="3">
        <v>44853</v>
      </c>
      <c r="F1679" s="3">
        <v>44853</v>
      </c>
      <c r="G1679" s="2">
        <v>22027739</v>
      </c>
      <c r="H1679" s="2">
        <v>2236619</v>
      </c>
      <c r="I1679" s="2">
        <v>10013468645</v>
      </c>
      <c r="J1679" s="2" t="s">
        <v>1158</v>
      </c>
      <c r="K1679" s="10">
        <v>13225</v>
      </c>
      <c r="L1679" s="10">
        <v>0</v>
      </c>
      <c r="M1679" s="10">
        <v>13225</v>
      </c>
      <c r="N1679" s="10">
        <v>13225</v>
      </c>
      <c r="O1679" s="10">
        <f>Table1[[#This Row],[NET Amount]]-Table1[[#This Row],[Paid Amount]]</f>
        <v>0</v>
      </c>
      <c r="P1679" s="2" t="s">
        <v>18</v>
      </c>
      <c r="Q1679" s="2" t="s">
        <v>19</v>
      </c>
      <c r="R1679" s="16">
        <f>(Table1[[#This Row],[NET Amount]]-Table1[[#This Row],[Total Outstanding Amount]])/Table1[[#This Row],[NET Amount]]</f>
        <v>1</v>
      </c>
      <c r="S1679" s="2" t="s">
        <v>39</v>
      </c>
    </row>
    <row r="1680" spans="1:19" x14ac:dyDescent="0.3">
      <c r="A1680" s="4">
        <v>1678</v>
      </c>
      <c r="B1680" s="2" t="s">
        <v>25</v>
      </c>
      <c r="C1680" s="3">
        <v>44848</v>
      </c>
      <c r="D1680" s="3" t="str">
        <f>TEXT(Table1[[#This Row],[Admission Date]],"MMMM")</f>
        <v>October</v>
      </c>
      <c r="E1680" s="3">
        <v>44853</v>
      </c>
      <c r="F1680" s="3">
        <v>44853</v>
      </c>
      <c r="G1680" s="2">
        <v>22027713</v>
      </c>
      <c r="H1680" s="2">
        <v>2235984</v>
      </c>
      <c r="I1680" s="2">
        <v>10013542838</v>
      </c>
      <c r="J1680" s="2" t="s">
        <v>1159</v>
      </c>
      <c r="K1680" s="10">
        <v>117395</v>
      </c>
      <c r="L1680" s="10">
        <v>21936</v>
      </c>
      <c r="M1680" s="10">
        <v>95459</v>
      </c>
      <c r="N1680" s="10">
        <v>95459</v>
      </c>
      <c r="O1680" s="10">
        <f>Table1[[#This Row],[NET Amount]]-Table1[[#This Row],[Paid Amount]]</f>
        <v>0</v>
      </c>
      <c r="P1680" s="2" t="s">
        <v>18</v>
      </c>
      <c r="Q1680" s="2" t="s">
        <v>24</v>
      </c>
      <c r="R1680" s="16">
        <f>(Table1[[#This Row],[NET Amount]]-Table1[[#This Row],[Total Outstanding Amount]])/Table1[[#This Row],[NET Amount]]</f>
        <v>1</v>
      </c>
      <c r="S1680" s="2" t="s">
        <v>20</v>
      </c>
    </row>
    <row r="1681" spans="1:19" x14ac:dyDescent="0.3">
      <c r="A1681" s="4">
        <v>1679</v>
      </c>
      <c r="B1681" s="2" t="s">
        <v>25</v>
      </c>
      <c r="C1681" s="3">
        <v>44865</v>
      </c>
      <c r="D1681" s="3" t="str">
        <f>TEXT(Table1[[#This Row],[Admission Date]],"MMMM")</f>
        <v>October</v>
      </c>
      <c r="E1681" s="3">
        <v>44865</v>
      </c>
      <c r="F1681" s="3">
        <v>44865</v>
      </c>
      <c r="G1681" s="2">
        <v>22029385</v>
      </c>
      <c r="H1681" s="2">
        <v>2238255</v>
      </c>
      <c r="I1681" s="2">
        <v>10013440543</v>
      </c>
      <c r="J1681" s="2" t="s">
        <v>96</v>
      </c>
      <c r="K1681" s="10">
        <v>2794</v>
      </c>
      <c r="L1681" s="10">
        <v>2794</v>
      </c>
      <c r="M1681" s="10">
        <v>0</v>
      </c>
      <c r="N1681" s="10">
        <v>0</v>
      </c>
      <c r="O1681" s="10">
        <f>Table1[[#This Row],[NET Amount]]-Table1[[#This Row],[Paid Amount]]</f>
        <v>0</v>
      </c>
      <c r="P1681" s="2" t="s">
        <v>18</v>
      </c>
      <c r="Q1681" s="2" t="s">
        <v>90</v>
      </c>
      <c r="R1681" s="16" t="e">
        <f>(Table1[[#This Row],[NET Amount]]-Table1[[#This Row],[Total Outstanding Amount]])/Table1[[#This Row],[NET Amount]]</f>
        <v>#DIV/0!</v>
      </c>
      <c r="S1681" s="2" t="s">
        <v>97</v>
      </c>
    </row>
    <row r="1682" spans="1:19" x14ac:dyDescent="0.3">
      <c r="A1682" s="4">
        <v>1680</v>
      </c>
      <c r="B1682" s="2" t="s">
        <v>117</v>
      </c>
      <c r="C1682" s="3">
        <v>44838</v>
      </c>
      <c r="D1682" s="3" t="str">
        <f>TEXT(Table1[[#This Row],[Admission Date]],"MMMM")</f>
        <v>October</v>
      </c>
      <c r="E1682" s="3">
        <v>44839</v>
      </c>
      <c r="F1682" s="3">
        <v>44839</v>
      </c>
      <c r="G1682" s="2">
        <v>22025779</v>
      </c>
      <c r="H1682" s="2">
        <v>2234501</v>
      </c>
      <c r="I1682" s="2">
        <v>10013540343</v>
      </c>
      <c r="J1682" s="2" t="s">
        <v>1160</v>
      </c>
      <c r="K1682" s="10">
        <v>69770</v>
      </c>
      <c r="L1682" s="10">
        <v>0</v>
      </c>
      <c r="M1682" s="10">
        <v>69770</v>
      </c>
      <c r="N1682" s="10">
        <v>69770</v>
      </c>
      <c r="O1682" s="10">
        <f>Table1[[#This Row],[NET Amount]]-Table1[[#This Row],[Paid Amount]]</f>
        <v>0</v>
      </c>
      <c r="P1682" s="2" t="s">
        <v>18</v>
      </c>
      <c r="Q1682" s="2" t="s">
        <v>24</v>
      </c>
      <c r="R1682" s="16">
        <f>(Table1[[#This Row],[NET Amount]]-Table1[[#This Row],[Total Outstanding Amount]])/Table1[[#This Row],[NET Amount]]</f>
        <v>1</v>
      </c>
      <c r="S1682" s="2" t="s">
        <v>43</v>
      </c>
    </row>
    <row r="1683" spans="1:19" x14ac:dyDescent="0.3">
      <c r="A1683" s="4">
        <v>1681</v>
      </c>
      <c r="B1683" s="2" t="s">
        <v>155</v>
      </c>
      <c r="C1683" s="3">
        <v>44840</v>
      </c>
      <c r="D1683" s="3" t="str">
        <f>TEXT(Table1[[#This Row],[Admission Date]],"MMMM")</f>
        <v>October</v>
      </c>
      <c r="E1683" s="3">
        <v>44840</v>
      </c>
      <c r="F1683" s="3">
        <v>44840</v>
      </c>
      <c r="G1683" s="2">
        <v>22025798</v>
      </c>
      <c r="H1683" s="2">
        <v>2234819</v>
      </c>
      <c r="I1683" s="2">
        <v>10013269857</v>
      </c>
      <c r="J1683" s="2" t="s">
        <v>175</v>
      </c>
      <c r="K1683" s="10">
        <v>1610</v>
      </c>
      <c r="L1683" s="10">
        <v>0</v>
      </c>
      <c r="M1683" s="10">
        <v>1610</v>
      </c>
      <c r="N1683" s="10">
        <v>1610</v>
      </c>
      <c r="O1683" s="10">
        <f>Table1[[#This Row],[NET Amount]]-Table1[[#This Row],[Paid Amount]]</f>
        <v>0</v>
      </c>
      <c r="P1683" s="2" t="s">
        <v>18</v>
      </c>
      <c r="Q1683" s="2" t="s">
        <v>54</v>
      </c>
      <c r="R1683" s="16">
        <f>(Table1[[#This Row],[NET Amount]]-Table1[[#This Row],[Total Outstanding Amount]])/Table1[[#This Row],[NET Amount]]</f>
        <v>1</v>
      </c>
      <c r="S1683" s="2" t="s">
        <v>97</v>
      </c>
    </row>
    <row r="1684" spans="1:19" x14ac:dyDescent="0.3">
      <c r="A1684" s="4">
        <v>1682</v>
      </c>
      <c r="B1684" s="2" t="s">
        <v>155</v>
      </c>
      <c r="C1684" s="3">
        <v>44840</v>
      </c>
      <c r="D1684" s="3" t="str">
        <f>TEXT(Table1[[#This Row],[Admission Date]],"MMMM")</f>
        <v>October</v>
      </c>
      <c r="E1684" s="3">
        <v>44840</v>
      </c>
      <c r="F1684" s="3">
        <v>44840</v>
      </c>
      <c r="G1684" s="2">
        <v>22025800</v>
      </c>
      <c r="H1684" s="2">
        <v>2234821</v>
      </c>
      <c r="I1684" s="2">
        <v>10013537888</v>
      </c>
      <c r="J1684" s="2" t="s">
        <v>358</v>
      </c>
      <c r="K1684" s="10">
        <v>1610</v>
      </c>
      <c r="L1684" s="10">
        <v>0</v>
      </c>
      <c r="M1684" s="10">
        <v>1610</v>
      </c>
      <c r="N1684" s="10">
        <v>1610</v>
      </c>
      <c r="O1684" s="10">
        <f>Table1[[#This Row],[NET Amount]]-Table1[[#This Row],[Paid Amount]]</f>
        <v>0</v>
      </c>
      <c r="P1684" s="2" t="s">
        <v>18</v>
      </c>
      <c r="Q1684" s="2" t="s">
        <v>54</v>
      </c>
      <c r="R1684" s="16">
        <f>(Table1[[#This Row],[NET Amount]]-Table1[[#This Row],[Total Outstanding Amount]])/Table1[[#This Row],[NET Amount]]</f>
        <v>1</v>
      </c>
      <c r="S1684" s="2" t="s">
        <v>97</v>
      </c>
    </row>
    <row r="1685" spans="1:19" x14ac:dyDescent="0.3">
      <c r="A1685" s="4">
        <v>1683</v>
      </c>
      <c r="B1685" s="2" t="s">
        <v>35</v>
      </c>
      <c r="C1685" s="3">
        <v>44846</v>
      </c>
      <c r="D1685" s="3" t="str">
        <f>TEXT(Table1[[#This Row],[Admission Date]],"MMMM")</f>
        <v>October</v>
      </c>
      <c r="E1685" s="3">
        <v>44856</v>
      </c>
      <c r="F1685" s="3">
        <v>44856</v>
      </c>
      <c r="G1685" s="2">
        <v>22028216</v>
      </c>
      <c r="H1685" s="2">
        <v>2235715</v>
      </c>
      <c r="I1685" s="2">
        <v>10013497442</v>
      </c>
      <c r="J1685" s="2" t="s">
        <v>1161</v>
      </c>
      <c r="K1685" s="10">
        <v>111922</v>
      </c>
      <c r="L1685" s="10">
        <v>0</v>
      </c>
      <c r="M1685" s="10">
        <v>111922</v>
      </c>
      <c r="N1685" s="10">
        <v>111922</v>
      </c>
      <c r="O1685" s="10">
        <f>Table1[[#This Row],[NET Amount]]-Table1[[#This Row],[Paid Amount]]</f>
        <v>0</v>
      </c>
      <c r="P1685" s="2" t="s">
        <v>18</v>
      </c>
      <c r="Q1685" s="2" t="s">
        <v>19</v>
      </c>
      <c r="R1685" s="16">
        <f>(Table1[[#This Row],[NET Amount]]-Table1[[#This Row],[Total Outstanding Amount]])/Table1[[#This Row],[NET Amount]]</f>
        <v>1</v>
      </c>
      <c r="S1685" s="2" t="s">
        <v>27</v>
      </c>
    </row>
    <row r="1686" spans="1:19" x14ac:dyDescent="0.3">
      <c r="A1686" s="4">
        <v>1684</v>
      </c>
      <c r="B1686" s="2" t="s">
        <v>25</v>
      </c>
      <c r="C1686" s="3">
        <v>44839</v>
      </c>
      <c r="D1686" s="3" t="str">
        <f>TEXT(Table1[[#This Row],[Admission Date]],"MMMM")</f>
        <v>October</v>
      </c>
      <c r="E1686" s="3">
        <v>44842</v>
      </c>
      <c r="F1686" s="3">
        <v>44842</v>
      </c>
      <c r="G1686" s="2">
        <v>22026166</v>
      </c>
      <c r="H1686" s="2">
        <v>2234793</v>
      </c>
      <c r="I1686" s="2">
        <v>10013540109</v>
      </c>
      <c r="J1686" s="2" t="s">
        <v>1162</v>
      </c>
      <c r="K1686" s="10">
        <v>116478</v>
      </c>
      <c r="L1686" s="10">
        <v>14609</v>
      </c>
      <c r="M1686" s="10">
        <v>101868</v>
      </c>
      <c r="N1686" s="10">
        <v>101868</v>
      </c>
      <c r="O1686" s="10">
        <f>Table1[[#This Row],[NET Amount]]-Table1[[#This Row],[Paid Amount]]</f>
        <v>0</v>
      </c>
      <c r="P1686" s="2" t="s">
        <v>18</v>
      </c>
      <c r="Q1686" s="2" t="s">
        <v>104</v>
      </c>
      <c r="R1686" s="16">
        <f>(Table1[[#This Row],[NET Amount]]-Table1[[#This Row],[Total Outstanding Amount]])/Table1[[#This Row],[NET Amount]]</f>
        <v>1</v>
      </c>
      <c r="S1686" s="2" t="s">
        <v>27</v>
      </c>
    </row>
    <row r="1687" spans="1:19" x14ac:dyDescent="0.3">
      <c r="A1687" s="4">
        <v>1685</v>
      </c>
      <c r="B1687" s="2" t="s">
        <v>25</v>
      </c>
      <c r="C1687" s="3">
        <v>44841</v>
      </c>
      <c r="D1687" s="3" t="str">
        <f>TEXT(Table1[[#This Row],[Admission Date]],"MMMM")</f>
        <v>October</v>
      </c>
      <c r="E1687" s="3">
        <v>44842</v>
      </c>
      <c r="F1687" s="3">
        <v>44842</v>
      </c>
      <c r="G1687" s="2">
        <v>22026133</v>
      </c>
      <c r="H1687" s="2">
        <v>2235005</v>
      </c>
      <c r="I1687" s="2">
        <v>10013464602</v>
      </c>
      <c r="J1687" s="2" t="s">
        <v>1163</v>
      </c>
      <c r="K1687" s="10">
        <v>9805</v>
      </c>
      <c r="L1687" s="10">
        <v>1471</v>
      </c>
      <c r="M1687" s="10">
        <v>8334</v>
      </c>
      <c r="N1687" s="10">
        <v>8334</v>
      </c>
      <c r="O1687" s="10">
        <f>Table1[[#This Row],[NET Amount]]-Table1[[#This Row],[Paid Amount]]</f>
        <v>0</v>
      </c>
      <c r="P1687" s="2" t="s">
        <v>18</v>
      </c>
      <c r="Q1687" s="2" t="s">
        <v>24</v>
      </c>
      <c r="R1687" s="16">
        <f>(Table1[[#This Row],[NET Amount]]-Table1[[#This Row],[Total Outstanding Amount]])/Table1[[#This Row],[NET Amount]]</f>
        <v>1</v>
      </c>
      <c r="S1687" s="2" t="s">
        <v>27</v>
      </c>
    </row>
    <row r="1688" spans="1:19" x14ac:dyDescent="0.3">
      <c r="A1688" s="4">
        <v>1686</v>
      </c>
      <c r="B1688" s="2" t="s">
        <v>139</v>
      </c>
      <c r="C1688" s="3">
        <v>44844</v>
      </c>
      <c r="D1688" s="3" t="str">
        <f>TEXT(Table1[[#This Row],[Admission Date]],"MMMM")</f>
        <v>October</v>
      </c>
      <c r="E1688" s="3">
        <v>44844</v>
      </c>
      <c r="F1688" s="3">
        <v>44844</v>
      </c>
      <c r="G1688" s="2">
        <v>22026463</v>
      </c>
      <c r="H1688" s="2">
        <v>2235419</v>
      </c>
      <c r="I1688" s="2">
        <v>10013353354</v>
      </c>
      <c r="J1688" s="2" t="s">
        <v>374</v>
      </c>
      <c r="K1688" s="10">
        <v>2200</v>
      </c>
      <c r="L1688" s="10">
        <v>0</v>
      </c>
      <c r="M1688" s="10">
        <v>2200</v>
      </c>
      <c r="N1688" s="10">
        <v>220</v>
      </c>
      <c r="O1688" s="10">
        <f>Table1[[#This Row],[NET Amount]]-Table1[[#This Row],[Paid Amount]]</f>
        <v>1980</v>
      </c>
      <c r="P1688" s="2" t="s">
        <v>23</v>
      </c>
      <c r="Q1688" s="2" t="s">
        <v>147</v>
      </c>
      <c r="R1688" s="16">
        <f>(Table1[[#This Row],[NET Amount]]-Table1[[#This Row],[Total Outstanding Amount]])/Table1[[#This Row],[NET Amount]]</f>
        <v>0.1</v>
      </c>
      <c r="S1688" s="2" t="s">
        <v>97</v>
      </c>
    </row>
    <row r="1689" spans="1:19" x14ac:dyDescent="0.3">
      <c r="A1689" s="4">
        <v>1687</v>
      </c>
      <c r="B1689" s="2" t="s">
        <v>122</v>
      </c>
      <c r="C1689" s="3">
        <v>44844</v>
      </c>
      <c r="D1689" s="3" t="str">
        <f>TEXT(Table1[[#This Row],[Admission Date]],"MMMM")</f>
        <v>October</v>
      </c>
      <c r="E1689" s="3">
        <v>44844</v>
      </c>
      <c r="F1689" s="3">
        <v>44844</v>
      </c>
      <c r="G1689" s="2">
        <v>22026472</v>
      </c>
      <c r="H1689" s="2">
        <v>2235434</v>
      </c>
      <c r="I1689" s="2">
        <v>1001087967</v>
      </c>
      <c r="J1689" s="2" t="s">
        <v>123</v>
      </c>
      <c r="K1689" s="10">
        <v>3519</v>
      </c>
      <c r="L1689" s="10">
        <v>3519</v>
      </c>
      <c r="M1689" s="10">
        <v>0</v>
      </c>
      <c r="N1689" s="10">
        <v>0</v>
      </c>
      <c r="O1689" s="10">
        <f>Table1[[#This Row],[NET Amount]]-Table1[[#This Row],[Paid Amount]]</f>
        <v>0</v>
      </c>
      <c r="P1689" s="2" t="s">
        <v>18</v>
      </c>
      <c r="Q1689" s="2" t="s">
        <v>54</v>
      </c>
      <c r="R1689" s="16" t="e">
        <f>(Table1[[#This Row],[NET Amount]]-Table1[[#This Row],[Total Outstanding Amount]])/Table1[[#This Row],[NET Amount]]</f>
        <v>#DIV/0!</v>
      </c>
      <c r="S1689" s="2" t="s">
        <v>97</v>
      </c>
    </row>
    <row r="1690" spans="1:19" x14ac:dyDescent="0.3">
      <c r="A1690" s="4">
        <v>1688</v>
      </c>
      <c r="B1690" s="2" t="s">
        <v>25</v>
      </c>
      <c r="C1690" s="3">
        <v>44844</v>
      </c>
      <c r="D1690" s="3" t="str">
        <f>TEXT(Table1[[#This Row],[Admission Date]],"MMMM")</f>
        <v>October</v>
      </c>
      <c r="E1690" s="3">
        <v>44844</v>
      </c>
      <c r="F1690" s="3">
        <v>44844</v>
      </c>
      <c r="G1690" s="2">
        <v>22026471</v>
      </c>
      <c r="H1690" s="2">
        <v>2235433</v>
      </c>
      <c r="I1690" s="2">
        <v>1001130529</v>
      </c>
      <c r="J1690" s="2" t="s">
        <v>302</v>
      </c>
      <c r="K1690" s="10">
        <v>2794</v>
      </c>
      <c r="L1690" s="10">
        <v>2794</v>
      </c>
      <c r="M1690" s="10">
        <v>0</v>
      </c>
      <c r="N1690" s="10">
        <v>0</v>
      </c>
      <c r="O1690" s="10">
        <f>Table1[[#This Row],[NET Amount]]-Table1[[#This Row],[Paid Amount]]</f>
        <v>0</v>
      </c>
      <c r="P1690" s="2" t="s">
        <v>18</v>
      </c>
      <c r="Q1690" s="2" t="s">
        <v>90</v>
      </c>
      <c r="R1690" s="16" t="e">
        <f>(Table1[[#This Row],[NET Amount]]-Table1[[#This Row],[Total Outstanding Amount]])/Table1[[#This Row],[NET Amount]]</f>
        <v>#DIV/0!</v>
      </c>
      <c r="S1690" s="2" t="s">
        <v>97</v>
      </c>
    </row>
    <row r="1691" spans="1:19" x14ac:dyDescent="0.3">
      <c r="A1691" s="4">
        <v>1689</v>
      </c>
      <c r="B1691" s="2" t="s">
        <v>25</v>
      </c>
      <c r="C1691" s="3">
        <v>44843</v>
      </c>
      <c r="D1691" s="3" t="str">
        <f>TEXT(Table1[[#This Row],[Admission Date]],"MMMM")</f>
        <v>October</v>
      </c>
      <c r="E1691" s="3">
        <v>44848</v>
      </c>
      <c r="F1691" s="3">
        <v>44848</v>
      </c>
      <c r="G1691" s="2">
        <v>22027022</v>
      </c>
      <c r="H1691" s="2">
        <v>2235295</v>
      </c>
      <c r="I1691" s="2">
        <v>10013542302</v>
      </c>
      <c r="J1691" s="2" t="s">
        <v>1164</v>
      </c>
      <c r="K1691" s="10">
        <v>235989</v>
      </c>
      <c r="L1691" s="10">
        <v>56624</v>
      </c>
      <c r="M1691" s="10">
        <v>179365</v>
      </c>
      <c r="N1691" s="10">
        <v>179365</v>
      </c>
      <c r="O1691" s="10">
        <f>Table1[[#This Row],[NET Amount]]-Table1[[#This Row],[Paid Amount]]</f>
        <v>0</v>
      </c>
      <c r="P1691" s="2" t="s">
        <v>18</v>
      </c>
      <c r="Q1691" s="2" t="s">
        <v>69</v>
      </c>
      <c r="R1691" s="16">
        <f>(Table1[[#This Row],[NET Amount]]-Table1[[#This Row],[Total Outstanding Amount]])/Table1[[#This Row],[NET Amount]]</f>
        <v>1</v>
      </c>
      <c r="S1691" s="2" t="s">
        <v>65</v>
      </c>
    </row>
    <row r="1692" spans="1:19" x14ac:dyDescent="0.3">
      <c r="A1692" s="4">
        <v>1690</v>
      </c>
      <c r="B1692" s="2" t="s">
        <v>40</v>
      </c>
      <c r="C1692" s="3">
        <v>44853</v>
      </c>
      <c r="D1692" s="3" t="str">
        <f>TEXT(Table1[[#This Row],[Admission Date]],"MMMM")</f>
        <v>October</v>
      </c>
      <c r="E1692" s="3">
        <v>44865</v>
      </c>
      <c r="F1692" s="3">
        <v>44865</v>
      </c>
      <c r="G1692" s="2">
        <v>22029338</v>
      </c>
      <c r="H1692" s="2">
        <v>2236664</v>
      </c>
      <c r="I1692" s="2">
        <v>10013543768</v>
      </c>
      <c r="J1692" s="2" t="s">
        <v>1165</v>
      </c>
      <c r="K1692" s="10">
        <v>491204</v>
      </c>
      <c r="L1692" s="10">
        <v>49032</v>
      </c>
      <c r="M1692" s="10">
        <v>442172</v>
      </c>
      <c r="N1692" s="10">
        <v>118141</v>
      </c>
      <c r="O1692" s="10">
        <f>Table1[[#This Row],[NET Amount]]-Table1[[#This Row],[Paid Amount]]</f>
        <v>324031</v>
      </c>
      <c r="P1692" s="2" t="s">
        <v>23</v>
      </c>
      <c r="Q1692" s="2" t="s">
        <v>396</v>
      </c>
      <c r="R1692" s="16">
        <f>(Table1[[#This Row],[NET Amount]]-Table1[[#This Row],[Total Outstanding Amount]])/Table1[[#This Row],[NET Amount]]</f>
        <v>0.2671833585120722</v>
      </c>
      <c r="S1692" s="2" t="s">
        <v>95</v>
      </c>
    </row>
    <row r="1693" spans="1:19" x14ac:dyDescent="0.3">
      <c r="A1693" s="4">
        <v>1691</v>
      </c>
      <c r="B1693" s="2" t="s">
        <v>1166</v>
      </c>
      <c r="C1693" s="3">
        <v>44848</v>
      </c>
      <c r="D1693" s="3" t="str">
        <f>TEXT(Table1[[#This Row],[Admission Date]],"MMMM")</f>
        <v>October</v>
      </c>
      <c r="E1693" s="3">
        <v>44853</v>
      </c>
      <c r="F1693" s="3">
        <v>44853</v>
      </c>
      <c r="G1693" s="2">
        <v>22027746</v>
      </c>
      <c r="H1693" s="2">
        <v>2235934</v>
      </c>
      <c r="I1693" s="2">
        <v>10013542931</v>
      </c>
      <c r="J1693" s="2" t="s">
        <v>1167</v>
      </c>
      <c r="K1693" s="10">
        <v>29819</v>
      </c>
      <c r="L1693" s="10">
        <v>0</v>
      </c>
      <c r="M1693" s="10">
        <v>29819</v>
      </c>
      <c r="N1693" s="10">
        <v>29819</v>
      </c>
      <c r="O1693" s="10">
        <f>Table1[[#This Row],[NET Amount]]-Table1[[#This Row],[Paid Amount]]</f>
        <v>0</v>
      </c>
      <c r="P1693" s="2" t="s">
        <v>18</v>
      </c>
      <c r="Q1693" s="2" t="s">
        <v>24</v>
      </c>
      <c r="R1693" s="16">
        <f>(Table1[[#This Row],[NET Amount]]-Table1[[#This Row],[Total Outstanding Amount]])/Table1[[#This Row],[NET Amount]]</f>
        <v>1</v>
      </c>
      <c r="S1693" s="2" t="s">
        <v>20</v>
      </c>
    </row>
    <row r="1694" spans="1:19" x14ac:dyDescent="0.3">
      <c r="A1694" s="4">
        <v>1692</v>
      </c>
      <c r="B1694" s="2" t="s">
        <v>259</v>
      </c>
      <c r="C1694" s="3">
        <v>44853</v>
      </c>
      <c r="D1694" s="3" t="str">
        <f>TEXT(Table1[[#This Row],[Admission Date]],"MMMM")</f>
        <v>October</v>
      </c>
      <c r="E1694" s="3">
        <v>44856</v>
      </c>
      <c r="F1694" s="3">
        <v>44856</v>
      </c>
      <c r="G1694" s="2">
        <v>22028225</v>
      </c>
      <c r="H1694" s="2">
        <v>2236567</v>
      </c>
      <c r="I1694" s="2">
        <v>1001559796</v>
      </c>
      <c r="J1694" s="2" t="s">
        <v>1168</v>
      </c>
      <c r="K1694" s="10">
        <v>81354</v>
      </c>
      <c r="L1694" s="10">
        <v>10064</v>
      </c>
      <c r="M1694" s="10">
        <v>71290</v>
      </c>
      <c r="N1694" s="10">
        <v>3385</v>
      </c>
      <c r="O1694" s="10">
        <f>Table1[[#This Row],[NET Amount]]-Table1[[#This Row],[Paid Amount]]</f>
        <v>67905</v>
      </c>
      <c r="P1694" s="2" t="s">
        <v>23</v>
      </c>
      <c r="Q1694" s="2" t="s">
        <v>24</v>
      </c>
      <c r="R1694" s="16">
        <f>(Table1[[#This Row],[NET Amount]]-Table1[[#This Row],[Total Outstanding Amount]])/Table1[[#This Row],[NET Amount]]</f>
        <v>4.7482115303689156E-2</v>
      </c>
      <c r="S1694" s="2" t="s">
        <v>20</v>
      </c>
    </row>
    <row r="1695" spans="1:19" x14ac:dyDescent="0.3">
      <c r="A1695" s="4">
        <v>1693</v>
      </c>
      <c r="B1695" s="2" t="s">
        <v>28</v>
      </c>
      <c r="C1695" s="3">
        <v>44827</v>
      </c>
      <c r="D1695" s="3" t="str">
        <f>TEXT(Table1[[#This Row],[Admission Date]],"MMMM")</f>
        <v>September</v>
      </c>
      <c r="E1695" s="3">
        <v>44835</v>
      </c>
      <c r="F1695" s="3">
        <v>44835</v>
      </c>
      <c r="G1695" s="2">
        <v>22025151</v>
      </c>
      <c r="H1695" s="2">
        <v>2233159</v>
      </c>
      <c r="I1695" s="2">
        <v>10013540049</v>
      </c>
      <c r="J1695" s="2" t="s">
        <v>1169</v>
      </c>
      <c r="K1695" s="10">
        <v>166021</v>
      </c>
      <c r="L1695" s="10">
        <v>17385</v>
      </c>
      <c r="M1695" s="10">
        <v>148635</v>
      </c>
      <c r="N1695" s="10">
        <v>7050</v>
      </c>
      <c r="O1695" s="10">
        <f>Table1[[#This Row],[NET Amount]]-Table1[[#This Row],[Paid Amount]]</f>
        <v>141585</v>
      </c>
      <c r="P1695" s="2" t="s">
        <v>23</v>
      </c>
      <c r="Q1695" s="2" t="s">
        <v>30</v>
      </c>
      <c r="R1695" s="16">
        <f>(Table1[[#This Row],[NET Amount]]-Table1[[#This Row],[Total Outstanding Amount]])/Table1[[#This Row],[NET Amount]]</f>
        <v>4.7431627813099203E-2</v>
      </c>
      <c r="S1695" s="2" t="s">
        <v>20</v>
      </c>
    </row>
    <row r="1696" spans="1:19" x14ac:dyDescent="0.3">
      <c r="A1696" s="4">
        <v>1694</v>
      </c>
      <c r="B1696" s="2" t="s">
        <v>75</v>
      </c>
      <c r="C1696" s="3">
        <v>44824</v>
      </c>
      <c r="D1696" s="3" t="str">
        <f>TEXT(Table1[[#This Row],[Admission Date]],"MMMM")</f>
        <v>September</v>
      </c>
      <c r="E1696" s="3">
        <v>44837</v>
      </c>
      <c r="F1696" s="3">
        <v>44837</v>
      </c>
      <c r="G1696" s="2">
        <v>22025412</v>
      </c>
      <c r="H1696" s="2">
        <v>2232777</v>
      </c>
      <c r="I1696" s="2">
        <v>1001332150</v>
      </c>
      <c r="J1696" s="2" t="s">
        <v>1170</v>
      </c>
      <c r="K1696" s="10">
        <v>141492</v>
      </c>
      <c r="L1696" s="10">
        <v>0</v>
      </c>
      <c r="M1696" s="10">
        <v>141492</v>
      </c>
      <c r="N1696" s="10">
        <v>2782</v>
      </c>
      <c r="O1696" s="10">
        <f>Table1[[#This Row],[NET Amount]]-Table1[[#This Row],[Paid Amount]]</f>
        <v>138710</v>
      </c>
      <c r="P1696" s="2" t="s">
        <v>23</v>
      </c>
      <c r="Q1696" s="2" t="s">
        <v>24</v>
      </c>
      <c r="R1696" s="16">
        <f>(Table1[[#This Row],[NET Amount]]-Table1[[#This Row],[Total Outstanding Amount]])/Table1[[#This Row],[NET Amount]]</f>
        <v>1.9661889011392871E-2</v>
      </c>
      <c r="S1696" s="2" t="s">
        <v>20</v>
      </c>
    </row>
    <row r="1697" spans="1:19" x14ac:dyDescent="0.3">
      <c r="A1697" s="4">
        <v>1695</v>
      </c>
      <c r="B1697" s="2" t="s">
        <v>25</v>
      </c>
      <c r="C1697" s="3">
        <v>44845</v>
      </c>
      <c r="D1697" s="3" t="str">
        <f>TEXT(Table1[[#This Row],[Admission Date]],"MMMM")</f>
        <v>October</v>
      </c>
      <c r="E1697" s="3">
        <v>44846</v>
      </c>
      <c r="F1697" s="3">
        <v>44846</v>
      </c>
      <c r="G1697" s="2">
        <v>22026679</v>
      </c>
      <c r="H1697" s="2">
        <v>2235476</v>
      </c>
      <c r="I1697" s="2">
        <v>1001803131</v>
      </c>
      <c r="J1697" s="2" t="s">
        <v>63</v>
      </c>
      <c r="K1697" s="10">
        <v>23311</v>
      </c>
      <c r="L1697" s="10">
        <v>3188</v>
      </c>
      <c r="M1697" s="10">
        <v>20123</v>
      </c>
      <c r="N1697" s="10">
        <v>20123</v>
      </c>
      <c r="O1697" s="10">
        <f>Table1[[#This Row],[NET Amount]]-Table1[[#This Row],[Paid Amount]]</f>
        <v>0</v>
      </c>
      <c r="P1697" s="2" t="s">
        <v>18</v>
      </c>
      <c r="Q1697" s="2" t="s">
        <v>24</v>
      </c>
      <c r="R1697" s="16">
        <f>(Table1[[#This Row],[NET Amount]]-Table1[[#This Row],[Total Outstanding Amount]])/Table1[[#This Row],[NET Amount]]</f>
        <v>1</v>
      </c>
      <c r="S1697" s="2" t="s">
        <v>37</v>
      </c>
    </row>
    <row r="1698" spans="1:19" x14ac:dyDescent="0.3">
      <c r="A1698" s="4">
        <v>1696</v>
      </c>
      <c r="B1698" s="2" t="s">
        <v>91</v>
      </c>
      <c r="C1698" s="3">
        <v>44837</v>
      </c>
      <c r="D1698" s="3" t="str">
        <f>TEXT(Table1[[#This Row],[Admission Date]],"MMMM")</f>
        <v>October</v>
      </c>
      <c r="E1698" s="3">
        <v>44843</v>
      </c>
      <c r="F1698" s="3">
        <v>44843</v>
      </c>
      <c r="G1698" s="2">
        <v>22026274</v>
      </c>
      <c r="H1698" s="2">
        <v>2234457</v>
      </c>
      <c r="I1698" s="2">
        <v>10013541408</v>
      </c>
      <c r="J1698" s="2" t="s">
        <v>1171</v>
      </c>
      <c r="K1698" s="10">
        <v>72354</v>
      </c>
      <c r="L1698" s="10">
        <v>4228</v>
      </c>
      <c r="M1698" s="10">
        <v>68125</v>
      </c>
      <c r="N1698" s="10">
        <v>34500</v>
      </c>
      <c r="O1698" s="10">
        <f>Table1[[#This Row],[NET Amount]]-Table1[[#This Row],[Paid Amount]]</f>
        <v>33625</v>
      </c>
      <c r="P1698" s="2" t="s">
        <v>23</v>
      </c>
      <c r="Q1698" s="2" t="s">
        <v>24</v>
      </c>
      <c r="R1698" s="16">
        <f>(Table1[[#This Row],[NET Amount]]-Table1[[#This Row],[Total Outstanding Amount]])/Table1[[#This Row],[NET Amount]]</f>
        <v>0.50642201834862388</v>
      </c>
      <c r="S1698" s="2" t="s">
        <v>37</v>
      </c>
    </row>
    <row r="1699" spans="1:19" x14ac:dyDescent="0.3">
      <c r="A1699" s="4">
        <v>1697</v>
      </c>
      <c r="B1699" s="2" t="s">
        <v>939</v>
      </c>
      <c r="C1699" s="3">
        <v>44839</v>
      </c>
      <c r="D1699" s="3" t="str">
        <f>TEXT(Table1[[#This Row],[Admission Date]],"MMMM")</f>
        <v>October</v>
      </c>
      <c r="E1699" s="3">
        <v>44844</v>
      </c>
      <c r="F1699" s="3">
        <v>44844</v>
      </c>
      <c r="G1699" s="2">
        <v>22026437</v>
      </c>
      <c r="H1699" s="2">
        <v>2234800</v>
      </c>
      <c r="I1699" s="2">
        <v>10013541675</v>
      </c>
      <c r="J1699" s="2" t="s">
        <v>1172</v>
      </c>
      <c r="K1699" s="10">
        <v>104467</v>
      </c>
      <c r="L1699" s="10">
        <v>0</v>
      </c>
      <c r="M1699" s="10">
        <v>104467</v>
      </c>
      <c r="N1699" s="10">
        <v>29165</v>
      </c>
      <c r="O1699" s="10">
        <f>Table1[[#This Row],[NET Amount]]-Table1[[#This Row],[Paid Amount]]</f>
        <v>75302</v>
      </c>
      <c r="P1699" s="2" t="s">
        <v>23</v>
      </c>
      <c r="Q1699" s="2" t="s">
        <v>19</v>
      </c>
      <c r="R1699" s="16">
        <f>(Table1[[#This Row],[NET Amount]]-Table1[[#This Row],[Total Outstanding Amount]])/Table1[[#This Row],[NET Amount]]</f>
        <v>0.27917907090277311</v>
      </c>
      <c r="S1699" s="2" t="s">
        <v>65</v>
      </c>
    </row>
    <row r="1700" spans="1:19" x14ac:dyDescent="0.3">
      <c r="A1700" s="4">
        <v>1698</v>
      </c>
      <c r="B1700" s="2" t="s">
        <v>166</v>
      </c>
      <c r="C1700" s="3">
        <v>44852</v>
      </c>
      <c r="D1700" s="3" t="str">
        <f>TEXT(Table1[[#This Row],[Admission Date]],"MMMM")</f>
        <v>October</v>
      </c>
      <c r="E1700" s="3">
        <v>44853</v>
      </c>
      <c r="F1700" s="3">
        <v>44853</v>
      </c>
      <c r="G1700" s="2">
        <v>22027749</v>
      </c>
      <c r="H1700" s="2">
        <v>2236518</v>
      </c>
      <c r="I1700" s="2">
        <v>1001805083</v>
      </c>
      <c r="J1700" s="2" t="s">
        <v>1173</v>
      </c>
      <c r="K1700" s="10">
        <v>290644</v>
      </c>
      <c r="L1700" s="10">
        <v>0</v>
      </c>
      <c r="M1700" s="10">
        <v>290644</v>
      </c>
      <c r="N1700" s="10">
        <v>1500</v>
      </c>
      <c r="O1700" s="10">
        <f>Table1[[#This Row],[NET Amount]]-Table1[[#This Row],[Paid Amount]]</f>
        <v>289144</v>
      </c>
      <c r="P1700" s="2" t="s">
        <v>23</v>
      </c>
      <c r="Q1700" s="2" t="s">
        <v>47</v>
      </c>
      <c r="R1700" s="16">
        <f>(Table1[[#This Row],[NET Amount]]-Table1[[#This Row],[Total Outstanding Amount]])/Table1[[#This Row],[NET Amount]]</f>
        <v>5.1609529183468438E-3</v>
      </c>
      <c r="S1700" s="2" t="s">
        <v>39</v>
      </c>
    </row>
    <row r="1701" spans="1:19" x14ac:dyDescent="0.3">
      <c r="A1701" s="4">
        <v>1699</v>
      </c>
      <c r="B1701" s="2" t="s">
        <v>25</v>
      </c>
      <c r="C1701" s="3">
        <v>44843</v>
      </c>
      <c r="D1701" s="3" t="str">
        <f>TEXT(Table1[[#This Row],[Admission Date]],"MMMM")</f>
        <v>October</v>
      </c>
      <c r="E1701" s="3">
        <v>44845</v>
      </c>
      <c r="F1701" s="3">
        <v>44845</v>
      </c>
      <c r="G1701" s="2">
        <v>22026523</v>
      </c>
      <c r="H1701" s="2">
        <v>2235292</v>
      </c>
      <c r="I1701" s="2">
        <v>10013542183</v>
      </c>
      <c r="J1701" s="2" t="s">
        <v>1174</v>
      </c>
      <c r="K1701" s="10">
        <v>90178</v>
      </c>
      <c r="L1701" s="10">
        <v>20178</v>
      </c>
      <c r="M1701" s="10">
        <v>70000</v>
      </c>
      <c r="N1701" s="10">
        <v>70000</v>
      </c>
      <c r="O1701" s="10">
        <f>Table1[[#This Row],[NET Amount]]-Table1[[#This Row],[Paid Amount]]</f>
        <v>0</v>
      </c>
      <c r="P1701" s="2" t="s">
        <v>18</v>
      </c>
      <c r="Q1701" s="2" t="s">
        <v>69</v>
      </c>
      <c r="R1701" s="16">
        <f>(Table1[[#This Row],[NET Amount]]-Table1[[#This Row],[Total Outstanding Amount]])/Table1[[#This Row],[NET Amount]]</f>
        <v>1</v>
      </c>
      <c r="S1701" s="2" t="s">
        <v>201</v>
      </c>
    </row>
    <row r="1702" spans="1:19" x14ac:dyDescent="0.3">
      <c r="A1702" s="4">
        <v>1700</v>
      </c>
      <c r="B1702" s="2" t="s">
        <v>2251</v>
      </c>
      <c r="C1702" s="3">
        <v>44849</v>
      </c>
      <c r="D1702" s="3" t="str">
        <f>TEXT(Table1[[#This Row],[Admission Date]],"MMMM")</f>
        <v>October</v>
      </c>
      <c r="E1702" s="3">
        <v>44855</v>
      </c>
      <c r="F1702" s="3">
        <v>44855</v>
      </c>
      <c r="G1702" s="2">
        <v>22028083</v>
      </c>
      <c r="H1702" s="2">
        <v>2236105</v>
      </c>
      <c r="I1702" s="2">
        <v>1001804446</v>
      </c>
      <c r="J1702" s="2" t="s">
        <v>1175</v>
      </c>
      <c r="K1702" s="10">
        <v>83893</v>
      </c>
      <c r="L1702" s="10">
        <v>12207</v>
      </c>
      <c r="M1702" s="10">
        <v>71686</v>
      </c>
      <c r="N1702" s="10">
        <v>1000</v>
      </c>
      <c r="O1702" s="10">
        <f>Table1[[#This Row],[NET Amount]]-Table1[[#This Row],[Paid Amount]]</f>
        <v>70686</v>
      </c>
      <c r="P1702" s="2" t="s">
        <v>23</v>
      </c>
      <c r="Q1702" s="2" t="s">
        <v>30</v>
      </c>
      <c r="R1702" s="16">
        <f>(Table1[[#This Row],[NET Amount]]-Table1[[#This Row],[Total Outstanding Amount]])/Table1[[#This Row],[NET Amount]]</f>
        <v>1.3949725190413749E-2</v>
      </c>
      <c r="S1702" s="2" t="s">
        <v>20</v>
      </c>
    </row>
    <row r="1703" spans="1:19" x14ac:dyDescent="0.3">
      <c r="A1703" s="4">
        <v>1701</v>
      </c>
      <c r="B1703" s="2" t="s">
        <v>25</v>
      </c>
      <c r="C1703" s="3">
        <v>44849</v>
      </c>
      <c r="D1703" s="3" t="str">
        <f>TEXT(Table1[[#This Row],[Admission Date]],"MMMM")</f>
        <v>October</v>
      </c>
      <c r="E1703" s="3">
        <v>44849</v>
      </c>
      <c r="F1703" s="3">
        <v>44849</v>
      </c>
      <c r="G1703" s="2">
        <v>22027118</v>
      </c>
      <c r="H1703" s="2">
        <v>2236081</v>
      </c>
      <c r="I1703" s="2">
        <v>10013533576</v>
      </c>
      <c r="J1703" s="2" t="s">
        <v>143</v>
      </c>
      <c r="K1703" s="10">
        <v>2844</v>
      </c>
      <c r="L1703" s="10">
        <v>308</v>
      </c>
      <c r="M1703" s="10">
        <v>2536</v>
      </c>
      <c r="N1703" s="10">
        <v>2536</v>
      </c>
      <c r="O1703" s="10">
        <f>Table1[[#This Row],[NET Amount]]-Table1[[#This Row],[Paid Amount]]</f>
        <v>0</v>
      </c>
      <c r="P1703" s="2" t="s">
        <v>18</v>
      </c>
      <c r="Q1703" s="2" t="s">
        <v>54</v>
      </c>
      <c r="R1703" s="16">
        <f>(Table1[[#This Row],[NET Amount]]-Table1[[#This Row],[Total Outstanding Amount]])/Table1[[#This Row],[NET Amount]]</f>
        <v>1</v>
      </c>
      <c r="S1703" s="2" t="s">
        <v>97</v>
      </c>
    </row>
    <row r="1704" spans="1:19" x14ac:dyDescent="0.3">
      <c r="A1704" s="4">
        <v>1702</v>
      </c>
      <c r="B1704" s="2" t="s">
        <v>45</v>
      </c>
      <c r="C1704" s="3">
        <v>44849</v>
      </c>
      <c r="D1704" s="3" t="str">
        <f>TEXT(Table1[[#This Row],[Admission Date]],"MMMM")</f>
        <v>October</v>
      </c>
      <c r="E1704" s="3">
        <v>44849</v>
      </c>
      <c r="F1704" s="3">
        <v>44849</v>
      </c>
      <c r="G1704" s="2">
        <v>22027141</v>
      </c>
      <c r="H1704" s="2">
        <v>2236104</v>
      </c>
      <c r="I1704" s="2">
        <v>10013464572</v>
      </c>
      <c r="J1704" s="2" t="s">
        <v>278</v>
      </c>
      <c r="K1704" s="10">
        <v>4840</v>
      </c>
      <c r="L1704" s="10">
        <v>1128</v>
      </c>
      <c r="M1704" s="10">
        <v>3712</v>
      </c>
      <c r="N1704" s="10">
        <v>1512</v>
      </c>
      <c r="O1704" s="10">
        <f>Table1[[#This Row],[NET Amount]]-Table1[[#This Row],[Paid Amount]]</f>
        <v>2200</v>
      </c>
      <c r="P1704" s="2" t="s">
        <v>23</v>
      </c>
      <c r="Q1704" s="2" t="s">
        <v>147</v>
      </c>
      <c r="R1704" s="16">
        <f>(Table1[[#This Row],[NET Amount]]-Table1[[#This Row],[Total Outstanding Amount]])/Table1[[#This Row],[NET Amount]]</f>
        <v>0.40732758620689657</v>
      </c>
      <c r="S1704" s="2" t="s">
        <v>97</v>
      </c>
    </row>
    <row r="1705" spans="1:19" x14ac:dyDescent="0.3">
      <c r="A1705" s="4">
        <v>1703</v>
      </c>
      <c r="B1705" s="2" t="s">
        <v>25</v>
      </c>
      <c r="C1705" s="3">
        <v>44849</v>
      </c>
      <c r="D1705" s="3" t="str">
        <f>TEXT(Table1[[#This Row],[Admission Date]],"MMMM")</f>
        <v>October</v>
      </c>
      <c r="E1705" s="3">
        <v>44849</v>
      </c>
      <c r="F1705" s="3">
        <v>44849</v>
      </c>
      <c r="G1705" s="2">
        <v>22027146</v>
      </c>
      <c r="H1705" s="2">
        <v>2236097</v>
      </c>
      <c r="I1705" s="2">
        <v>1000891450</v>
      </c>
      <c r="J1705" s="2" t="s">
        <v>337</v>
      </c>
      <c r="K1705" s="10">
        <v>3519</v>
      </c>
      <c r="L1705" s="10">
        <v>1591</v>
      </c>
      <c r="M1705" s="10">
        <v>1928</v>
      </c>
      <c r="N1705" s="10">
        <v>1928</v>
      </c>
      <c r="O1705" s="10">
        <f>Table1[[#This Row],[NET Amount]]-Table1[[#This Row],[Paid Amount]]</f>
        <v>0</v>
      </c>
      <c r="P1705" s="2" t="s">
        <v>18</v>
      </c>
      <c r="Q1705" s="2" t="s">
        <v>54</v>
      </c>
      <c r="R1705" s="16">
        <f>(Table1[[#This Row],[NET Amount]]-Table1[[#This Row],[Total Outstanding Amount]])/Table1[[#This Row],[NET Amount]]</f>
        <v>1</v>
      </c>
      <c r="S1705" s="2" t="s">
        <v>97</v>
      </c>
    </row>
    <row r="1706" spans="1:19" x14ac:dyDescent="0.3">
      <c r="A1706" s="4">
        <v>1704</v>
      </c>
      <c r="B1706" s="2" t="s">
        <v>2247</v>
      </c>
      <c r="C1706" s="3">
        <v>44842</v>
      </c>
      <c r="D1706" s="3" t="str">
        <f>TEXT(Table1[[#This Row],[Admission Date]],"MMMM")</f>
        <v>October</v>
      </c>
      <c r="E1706" s="3">
        <v>44846</v>
      </c>
      <c r="F1706" s="3">
        <v>44846</v>
      </c>
      <c r="G1706" s="2">
        <v>22026684</v>
      </c>
      <c r="H1706" s="2">
        <v>2235254</v>
      </c>
      <c r="I1706" s="2">
        <v>1001391611</v>
      </c>
      <c r="J1706" s="2" t="s">
        <v>1176</v>
      </c>
      <c r="K1706" s="10">
        <v>48463</v>
      </c>
      <c r="L1706" s="10">
        <v>7695</v>
      </c>
      <c r="M1706" s="10">
        <v>40768</v>
      </c>
      <c r="N1706" s="10">
        <v>5077</v>
      </c>
      <c r="O1706" s="10">
        <f>Table1[[#This Row],[NET Amount]]-Table1[[#This Row],[Paid Amount]]</f>
        <v>35691</v>
      </c>
      <c r="P1706" s="2" t="s">
        <v>23</v>
      </c>
      <c r="Q1706" s="2" t="s">
        <v>52</v>
      </c>
      <c r="R1706" s="16">
        <f>(Table1[[#This Row],[NET Amount]]-Table1[[#This Row],[Total Outstanding Amount]])/Table1[[#This Row],[NET Amount]]</f>
        <v>0.12453394819466249</v>
      </c>
      <c r="S1706" s="2" t="s">
        <v>20</v>
      </c>
    </row>
    <row r="1707" spans="1:19" x14ac:dyDescent="0.3">
      <c r="A1707" s="4">
        <v>1705</v>
      </c>
      <c r="B1707" s="2" t="s">
        <v>155</v>
      </c>
      <c r="C1707" s="3">
        <v>44847</v>
      </c>
      <c r="D1707" s="3" t="str">
        <f>TEXT(Table1[[#This Row],[Admission Date]],"MMMM")</f>
        <v>October</v>
      </c>
      <c r="E1707" s="3">
        <v>44847</v>
      </c>
      <c r="F1707" s="3">
        <v>44847</v>
      </c>
      <c r="G1707" s="2">
        <v>22026816</v>
      </c>
      <c r="H1707" s="2">
        <v>2235804</v>
      </c>
      <c r="I1707" s="2">
        <v>10013386841</v>
      </c>
      <c r="J1707" s="2" t="s">
        <v>629</v>
      </c>
      <c r="K1707" s="10">
        <v>1610</v>
      </c>
      <c r="L1707" s="10">
        <v>0</v>
      </c>
      <c r="M1707" s="10">
        <v>1610</v>
      </c>
      <c r="N1707" s="10">
        <v>1610</v>
      </c>
      <c r="O1707" s="10">
        <f>Table1[[#This Row],[NET Amount]]-Table1[[#This Row],[Paid Amount]]</f>
        <v>0</v>
      </c>
      <c r="P1707" s="2" t="s">
        <v>18</v>
      </c>
      <c r="Q1707" s="2" t="s">
        <v>54</v>
      </c>
      <c r="R1707" s="16">
        <f>(Table1[[#This Row],[NET Amount]]-Table1[[#This Row],[Total Outstanding Amount]])/Table1[[#This Row],[NET Amount]]</f>
        <v>1</v>
      </c>
      <c r="S1707" s="2" t="s">
        <v>97</v>
      </c>
    </row>
    <row r="1708" spans="1:19" x14ac:dyDescent="0.3">
      <c r="A1708" s="4">
        <v>1706</v>
      </c>
      <c r="B1708" s="2" t="s">
        <v>50</v>
      </c>
      <c r="C1708" s="3">
        <v>44851</v>
      </c>
      <c r="D1708" s="3" t="str">
        <f>TEXT(Table1[[#This Row],[Admission Date]],"MMMM")</f>
        <v>October</v>
      </c>
      <c r="E1708" s="3">
        <v>44853</v>
      </c>
      <c r="F1708" s="3">
        <v>44853</v>
      </c>
      <c r="G1708" s="2">
        <v>22027699</v>
      </c>
      <c r="H1708" s="2">
        <v>2236305</v>
      </c>
      <c r="I1708" s="2">
        <v>1001804776</v>
      </c>
      <c r="J1708" s="2" t="s">
        <v>1177</v>
      </c>
      <c r="K1708" s="10">
        <v>6956</v>
      </c>
      <c r="L1708" s="10">
        <v>0</v>
      </c>
      <c r="M1708" s="10">
        <v>6956</v>
      </c>
      <c r="N1708" s="10">
        <v>6956</v>
      </c>
      <c r="O1708" s="10">
        <f>Table1[[#This Row],[NET Amount]]-Table1[[#This Row],[Paid Amount]]</f>
        <v>0</v>
      </c>
      <c r="P1708" s="2" t="s">
        <v>18</v>
      </c>
      <c r="Q1708" s="2" t="s">
        <v>52</v>
      </c>
      <c r="R1708" s="16">
        <f>(Table1[[#This Row],[NET Amount]]-Table1[[#This Row],[Total Outstanding Amount]])/Table1[[#This Row],[NET Amount]]</f>
        <v>1</v>
      </c>
      <c r="S1708" s="2" t="s">
        <v>37</v>
      </c>
    </row>
    <row r="1709" spans="1:19" x14ac:dyDescent="0.3">
      <c r="A1709" s="4">
        <v>1707</v>
      </c>
      <c r="B1709" s="2" t="s">
        <v>35</v>
      </c>
      <c r="C1709" s="3">
        <v>44834</v>
      </c>
      <c r="D1709" s="3" t="str">
        <f>TEXT(Table1[[#This Row],[Admission Date]],"MMMM")</f>
        <v>September</v>
      </c>
      <c r="E1709" s="3">
        <v>44836</v>
      </c>
      <c r="F1709" s="3">
        <v>44836</v>
      </c>
      <c r="G1709" s="2">
        <v>22025300</v>
      </c>
      <c r="H1709" s="2">
        <v>2234045</v>
      </c>
      <c r="I1709" s="2">
        <v>1001801665</v>
      </c>
      <c r="J1709" s="2" t="s">
        <v>1178</v>
      </c>
      <c r="K1709" s="10">
        <v>148007</v>
      </c>
      <c r="L1709" s="10">
        <v>0</v>
      </c>
      <c r="M1709" s="10">
        <v>148007</v>
      </c>
      <c r="N1709" s="10">
        <v>1422</v>
      </c>
      <c r="O1709" s="10">
        <f>Table1[[#This Row],[NET Amount]]-Table1[[#This Row],[Paid Amount]]</f>
        <v>146585</v>
      </c>
      <c r="P1709" s="2" t="s">
        <v>23</v>
      </c>
      <c r="Q1709" s="2" t="s">
        <v>30</v>
      </c>
      <c r="R1709" s="16">
        <f>(Table1[[#This Row],[NET Amount]]-Table1[[#This Row],[Total Outstanding Amount]])/Table1[[#This Row],[NET Amount]]</f>
        <v>9.6076536920551049E-3</v>
      </c>
      <c r="S1709" s="2" t="s">
        <v>39</v>
      </c>
    </row>
    <row r="1710" spans="1:19" x14ac:dyDescent="0.3">
      <c r="A1710" s="4">
        <v>1708</v>
      </c>
      <c r="B1710" s="2" t="s">
        <v>25</v>
      </c>
      <c r="C1710" s="3">
        <v>44835</v>
      </c>
      <c r="D1710" s="3" t="str">
        <f>TEXT(Table1[[#This Row],[Admission Date]],"MMMM")</f>
        <v>October</v>
      </c>
      <c r="E1710" s="3">
        <v>44838</v>
      </c>
      <c r="F1710" s="3">
        <v>44838</v>
      </c>
      <c r="G1710" s="2">
        <v>22025580</v>
      </c>
      <c r="H1710" s="2">
        <v>2234287</v>
      </c>
      <c r="I1710" s="2">
        <v>10013541181</v>
      </c>
      <c r="J1710" s="2" t="s">
        <v>1179</v>
      </c>
      <c r="K1710" s="10">
        <v>122787</v>
      </c>
      <c r="L1710" s="10">
        <v>26032</v>
      </c>
      <c r="M1710" s="10">
        <v>96755</v>
      </c>
      <c r="N1710" s="10">
        <v>96755</v>
      </c>
      <c r="O1710" s="10">
        <f>Table1[[#This Row],[NET Amount]]-Table1[[#This Row],[Paid Amount]]</f>
        <v>0</v>
      </c>
      <c r="P1710" s="2" t="s">
        <v>18</v>
      </c>
      <c r="Q1710" s="2" t="s">
        <v>24</v>
      </c>
      <c r="R1710" s="16">
        <f>(Table1[[#This Row],[NET Amount]]-Table1[[#This Row],[Total Outstanding Amount]])/Table1[[#This Row],[NET Amount]]</f>
        <v>1</v>
      </c>
      <c r="S1710" s="2" t="s">
        <v>39</v>
      </c>
    </row>
    <row r="1711" spans="1:19" x14ac:dyDescent="0.3">
      <c r="A1711" s="4">
        <v>1709</v>
      </c>
      <c r="B1711" s="2" t="s">
        <v>166</v>
      </c>
      <c r="C1711" s="3">
        <v>44848</v>
      </c>
      <c r="D1711" s="3" t="str">
        <f>TEXT(Table1[[#This Row],[Admission Date]],"MMMM")</f>
        <v>October</v>
      </c>
      <c r="E1711" s="3">
        <v>44848</v>
      </c>
      <c r="F1711" s="3">
        <v>44848</v>
      </c>
      <c r="G1711" s="2">
        <v>22027027</v>
      </c>
      <c r="H1711" s="2">
        <v>2235953</v>
      </c>
      <c r="I1711" s="2">
        <v>10013471499</v>
      </c>
      <c r="J1711" s="2" t="s">
        <v>729</v>
      </c>
      <c r="K1711" s="10">
        <v>2200</v>
      </c>
      <c r="L1711" s="10">
        <v>0</v>
      </c>
      <c r="M1711" s="10">
        <v>2200</v>
      </c>
      <c r="N1711" s="10">
        <v>220</v>
      </c>
      <c r="O1711" s="10">
        <f>Table1[[#This Row],[NET Amount]]-Table1[[#This Row],[Paid Amount]]</f>
        <v>1980</v>
      </c>
      <c r="P1711" s="2" t="s">
        <v>23</v>
      </c>
      <c r="Q1711" s="2" t="s">
        <v>147</v>
      </c>
      <c r="R1711" s="16">
        <f>(Table1[[#This Row],[NET Amount]]-Table1[[#This Row],[Total Outstanding Amount]])/Table1[[#This Row],[NET Amount]]</f>
        <v>0.1</v>
      </c>
      <c r="S1711" s="2" t="s">
        <v>97</v>
      </c>
    </row>
    <row r="1712" spans="1:19" x14ac:dyDescent="0.3">
      <c r="A1712" s="4">
        <v>1710</v>
      </c>
      <c r="B1712" s="2" t="s">
        <v>40</v>
      </c>
      <c r="C1712" s="3">
        <v>44848</v>
      </c>
      <c r="D1712" s="3" t="str">
        <f>TEXT(Table1[[#This Row],[Admission Date]],"MMMM")</f>
        <v>October</v>
      </c>
      <c r="E1712" s="3">
        <v>44848</v>
      </c>
      <c r="F1712" s="3">
        <v>44848</v>
      </c>
      <c r="G1712" s="2">
        <v>22027032</v>
      </c>
      <c r="H1712" s="2">
        <v>2235961</v>
      </c>
      <c r="I1712" s="2">
        <v>1001300227</v>
      </c>
      <c r="J1712" s="2" t="s">
        <v>202</v>
      </c>
      <c r="K1712" s="10">
        <v>2200</v>
      </c>
      <c r="L1712" s="10">
        <v>0</v>
      </c>
      <c r="M1712" s="10">
        <v>2200</v>
      </c>
      <c r="N1712" s="10">
        <v>2200</v>
      </c>
      <c r="O1712" s="10">
        <f>Table1[[#This Row],[NET Amount]]-Table1[[#This Row],[Paid Amount]]</f>
        <v>0</v>
      </c>
      <c r="P1712" s="2" t="s">
        <v>18</v>
      </c>
      <c r="Q1712" s="2" t="s">
        <v>147</v>
      </c>
      <c r="R1712" s="16">
        <f>(Table1[[#This Row],[NET Amount]]-Table1[[#This Row],[Total Outstanding Amount]])/Table1[[#This Row],[NET Amount]]</f>
        <v>1</v>
      </c>
      <c r="S1712" s="2" t="s">
        <v>97</v>
      </c>
    </row>
    <row r="1713" spans="1:19" x14ac:dyDescent="0.3">
      <c r="A1713" s="4">
        <v>1711</v>
      </c>
      <c r="B1713" s="2" t="s">
        <v>166</v>
      </c>
      <c r="C1713" s="3">
        <v>44848</v>
      </c>
      <c r="D1713" s="3" t="str">
        <f>TEXT(Table1[[#This Row],[Admission Date]],"MMMM")</f>
        <v>October</v>
      </c>
      <c r="E1713" s="3">
        <v>44848</v>
      </c>
      <c r="F1713" s="3">
        <v>44848</v>
      </c>
      <c r="G1713" s="2">
        <v>22027071</v>
      </c>
      <c r="H1713" s="2">
        <v>2235948</v>
      </c>
      <c r="I1713" s="2">
        <v>1001804309</v>
      </c>
      <c r="J1713" s="2" t="s">
        <v>1180</v>
      </c>
      <c r="K1713" s="10">
        <v>22500</v>
      </c>
      <c r="L1713" s="10">
        <v>0</v>
      </c>
      <c r="M1713" s="10">
        <v>22500</v>
      </c>
      <c r="N1713" s="10">
        <v>1500</v>
      </c>
      <c r="O1713" s="10">
        <f>Table1[[#This Row],[NET Amount]]-Table1[[#This Row],[Paid Amount]]</f>
        <v>21000</v>
      </c>
      <c r="P1713" s="2" t="s">
        <v>23</v>
      </c>
      <c r="Q1713" s="2" t="s">
        <v>47</v>
      </c>
      <c r="R1713" s="16">
        <f>(Table1[[#This Row],[NET Amount]]-Table1[[#This Row],[Total Outstanding Amount]])/Table1[[#This Row],[NET Amount]]</f>
        <v>6.6666666666666666E-2</v>
      </c>
      <c r="S1713" s="2" t="s">
        <v>39</v>
      </c>
    </row>
    <row r="1714" spans="1:19" x14ac:dyDescent="0.3">
      <c r="A1714" s="4">
        <v>1712</v>
      </c>
      <c r="B1714" s="2" t="s">
        <v>25</v>
      </c>
      <c r="C1714" s="3">
        <v>44861</v>
      </c>
      <c r="D1714" s="3" t="str">
        <f>TEXT(Table1[[#This Row],[Admission Date]],"MMMM")</f>
        <v>October</v>
      </c>
      <c r="E1714" s="3">
        <v>44863</v>
      </c>
      <c r="F1714" s="3">
        <v>44863</v>
      </c>
      <c r="G1714" s="2">
        <v>22029048</v>
      </c>
      <c r="H1714" s="2">
        <v>2237623</v>
      </c>
      <c r="I1714" s="2">
        <v>10013358365</v>
      </c>
      <c r="J1714" s="2" t="s">
        <v>1181</v>
      </c>
      <c r="K1714" s="10">
        <v>251784</v>
      </c>
      <c r="L1714" s="10">
        <v>26752</v>
      </c>
      <c r="M1714" s="10">
        <v>225032</v>
      </c>
      <c r="N1714" s="10">
        <v>225032</v>
      </c>
      <c r="O1714" s="10">
        <f>Table1[[#This Row],[NET Amount]]-Table1[[#This Row],[Paid Amount]]</f>
        <v>0</v>
      </c>
      <c r="P1714" s="2" t="s">
        <v>18</v>
      </c>
      <c r="Q1714" s="2" t="s">
        <v>24</v>
      </c>
      <c r="R1714" s="16">
        <f>(Table1[[#This Row],[NET Amount]]-Table1[[#This Row],[Total Outstanding Amount]])/Table1[[#This Row],[NET Amount]]</f>
        <v>1</v>
      </c>
      <c r="S1714" s="2" t="s">
        <v>39</v>
      </c>
    </row>
    <row r="1715" spans="1:19" x14ac:dyDescent="0.3">
      <c r="A1715" s="4">
        <v>1713</v>
      </c>
      <c r="B1715" s="2" t="s">
        <v>25</v>
      </c>
      <c r="C1715" s="3">
        <v>44847</v>
      </c>
      <c r="D1715" s="3" t="str">
        <f>TEXT(Table1[[#This Row],[Admission Date]],"MMMM")</f>
        <v>October</v>
      </c>
      <c r="E1715" s="3">
        <v>44849</v>
      </c>
      <c r="F1715" s="3">
        <v>44849</v>
      </c>
      <c r="G1715" s="2">
        <v>22027170</v>
      </c>
      <c r="H1715" s="2">
        <v>2235826</v>
      </c>
      <c r="I1715" s="2">
        <v>1001167002</v>
      </c>
      <c r="J1715" s="2" t="s">
        <v>1182</v>
      </c>
      <c r="K1715" s="10">
        <v>80482</v>
      </c>
      <c r="L1715" s="10">
        <v>9512</v>
      </c>
      <c r="M1715" s="10">
        <v>70970</v>
      </c>
      <c r="N1715" s="10">
        <v>70970</v>
      </c>
      <c r="O1715" s="10">
        <f>Table1[[#This Row],[NET Amount]]-Table1[[#This Row],[Paid Amount]]</f>
        <v>0</v>
      </c>
      <c r="P1715" s="2" t="s">
        <v>18</v>
      </c>
      <c r="Q1715" s="2" t="s">
        <v>19</v>
      </c>
      <c r="R1715" s="16">
        <f>(Table1[[#This Row],[NET Amount]]-Table1[[#This Row],[Total Outstanding Amount]])/Table1[[#This Row],[NET Amount]]</f>
        <v>1</v>
      </c>
      <c r="S1715" s="2" t="s">
        <v>27</v>
      </c>
    </row>
    <row r="1716" spans="1:19" x14ac:dyDescent="0.3">
      <c r="A1716" s="4">
        <v>1714</v>
      </c>
      <c r="B1716" s="2" t="s">
        <v>50</v>
      </c>
      <c r="C1716" s="3">
        <v>44845</v>
      </c>
      <c r="D1716" s="3" t="str">
        <f>TEXT(Table1[[#This Row],[Admission Date]],"MMMM")</f>
        <v>October</v>
      </c>
      <c r="E1716" s="3">
        <v>44851</v>
      </c>
      <c r="F1716" s="3">
        <v>44851</v>
      </c>
      <c r="G1716" s="2">
        <v>22027396</v>
      </c>
      <c r="H1716" s="2">
        <v>2235577</v>
      </c>
      <c r="I1716" s="2">
        <v>1001287654</v>
      </c>
      <c r="J1716" s="2" t="s">
        <v>1183</v>
      </c>
      <c r="K1716" s="10">
        <v>78508</v>
      </c>
      <c r="L1716" s="10">
        <v>11046</v>
      </c>
      <c r="M1716" s="10">
        <v>67462</v>
      </c>
      <c r="N1716" s="10">
        <v>0</v>
      </c>
      <c r="O1716" s="10">
        <f>Table1[[#This Row],[NET Amount]]-Table1[[#This Row],[Paid Amount]]</f>
        <v>67462</v>
      </c>
      <c r="P1716" s="2" t="s">
        <v>23</v>
      </c>
      <c r="Q1716" s="2" t="s">
        <v>42</v>
      </c>
      <c r="R1716" s="16">
        <f>(Table1[[#This Row],[NET Amount]]-Table1[[#This Row],[Total Outstanding Amount]])/Table1[[#This Row],[NET Amount]]</f>
        <v>0</v>
      </c>
      <c r="S1716" s="2" t="s">
        <v>20</v>
      </c>
    </row>
    <row r="1717" spans="1:19" x14ac:dyDescent="0.3">
      <c r="A1717" s="4">
        <v>1715</v>
      </c>
      <c r="B1717" s="2" t="s">
        <v>25</v>
      </c>
      <c r="C1717" s="3">
        <v>44851</v>
      </c>
      <c r="D1717" s="3" t="str">
        <f>TEXT(Table1[[#This Row],[Admission Date]],"MMMM")</f>
        <v>October</v>
      </c>
      <c r="E1717" s="3">
        <v>44853</v>
      </c>
      <c r="F1717" s="3">
        <v>44853</v>
      </c>
      <c r="G1717" s="2">
        <v>22027659</v>
      </c>
      <c r="H1717" s="2">
        <v>2236374</v>
      </c>
      <c r="I1717" s="2">
        <v>1001804894</v>
      </c>
      <c r="J1717" s="2" t="s">
        <v>1184</v>
      </c>
      <c r="K1717" s="10">
        <v>37516</v>
      </c>
      <c r="L1717" s="10">
        <v>5476</v>
      </c>
      <c r="M1717" s="10">
        <v>32040</v>
      </c>
      <c r="N1717" s="10">
        <v>32040</v>
      </c>
      <c r="O1717" s="10">
        <f>Table1[[#This Row],[NET Amount]]-Table1[[#This Row],[Paid Amount]]</f>
        <v>0</v>
      </c>
      <c r="P1717" s="2" t="s">
        <v>18</v>
      </c>
      <c r="Q1717" s="2" t="s">
        <v>69</v>
      </c>
      <c r="R1717" s="16">
        <f>(Table1[[#This Row],[NET Amount]]-Table1[[#This Row],[Total Outstanding Amount]])/Table1[[#This Row],[NET Amount]]</f>
        <v>1</v>
      </c>
      <c r="S1717" s="2" t="s">
        <v>37</v>
      </c>
    </row>
    <row r="1718" spans="1:19" x14ac:dyDescent="0.3">
      <c r="A1718" s="4">
        <v>1716</v>
      </c>
      <c r="B1718" s="2" t="s">
        <v>40</v>
      </c>
      <c r="C1718" s="3">
        <v>44845</v>
      </c>
      <c r="D1718" s="3" t="str">
        <f>TEXT(Table1[[#This Row],[Admission Date]],"MMMM")</f>
        <v>October</v>
      </c>
      <c r="E1718" s="3">
        <v>44850</v>
      </c>
      <c r="F1718" s="3">
        <v>44850</v>
      </c>
      <c r="G1718" s="2">
        <v>22027354</v>
      </c>
      <c r="H1718" s="2">
        <v>2235595</v>
      </c>
      <c r="I1718" s="2">
        <v>1001734866</v>
      </c>
      <c r="J1718" s="2" t="s">
        <v>1185</v>
      </c>
      <c r="K1718" s="10">
        <v>406435</v>
      </c>
      <c r="L1718" s="10">
        <v>43171</v>
      </c>
      <c r="M1718" s="10">
        <v>363264</v>
      </c>
      <c r="N1718" s="10">
        <v>35000</v>
      </c>
      <c r="O1718" s="10">
        <f>Table1[[#This Row],[NET Amount]]-Table1[[#This Row],[Paid Amount]]</f>
        <v>328264</v>
      </c>
      <c r="P1718" s="2" t="s">
        <v>23</v>
      </c>
      <c r="Q1718" s="2" t="s">
        <v>42</v>
      </c>
      <c r="R1718" s="16">
        <f>(Table1[[#This Row],[NET Amount]]-Table1[[#This Row],[Total Outstanding Amount]])/Table1[[#This Row],[NET Amount]]</f>
        <v>9.6348661028893584E-2</v>
      </c>
      <c r="S1718" s="2" t="s">
        <v>20</v>
      </c>
    </row>
    <row r="1719" spans="1:19" x14ac:dyDescent="0.3">
      <c r="A1719" s="4">
        <v>1717</v>
      </c>
      <c r="B1719" s="2" t="s">
        <v>93</v>
      </c>
      <c r="C1719" s="3">
        <v>44839</v>
      </c>
      <c r="D1719" s="3" t="str">
        <f>TEXT(Table1[[#This Row],[Admission Date]],"MMMM")</f>
        <v>October</v>
      </c>
      <c r="E1719" s="3">
        <v>44845</v>
      </c>
      <c r="F1719" s="3">
        <v>44845</v>
      </c>
      <c r="G1719" s="2">
        <v>22026525</v>
      </c>
      <c r="H1719" s="2">
        <v>2234769</v>
      </c>
      <c r="I1719" s="2">
        <v>1001802574</v>
      </c>
      <c r="J1719" s="2" t="s">
        <v>1186</v>
      </c>
      <c r="K1719" s="10">
        <v>224138</v>
      </c>
      <c r="L1719" s="10">
        <v>28679</v>
      </c>
      <c r="M1719" s="10">
        <v>195459</v>
      </c>
      <c r="N1719" s="10">
        <v>40255</v>
      </c>
      <c r="O1719" s="10">
        <f>Table1[[#This Row],[NET Amount]]-Table1[[#This Row],[Paid Amount]]</f>
        <v>155204</v>
      </c>
      <c r="P1719" s="2" t="s">
        <v>23</v>
      </c>
      <c r="Q1719" s="2" t="s">
        <v>42</v>
      </c>
      <c r="R1719" s="16">
        <f>(Table1[[#This Row],[NET Amount]]-Table1[[#This Row],[Total Outstanding Amount]])/Table1[[#This Row],[NET Amount]]</f>
        <v>0.20595112018377257</v>
      </c>
      <c r="S1719" s="2" t="s">
        <v>77</v>
      </c>
    </row>
    <row r="1720" spans="1:19" x14ac:dyDescent="0.3">
      <c r="A1720" s="4">
        <v>1718</v>
      </c>
      <c r="B1720" s="2" t="s">
        <v>144</v>
      </c>
      <c r="C1720" s="3">
        <v>44838</v>
      </c>
      <c r="D1720" s="3" t="str">
        <f>TEXT(Table1[[#This Row],[Admission Date]],"MMMM")</f>
        <v>October</v>
      </c>
      <c r="E1720" s="3">
        <v>44841</v>
      </c>
      <c r="F1720" s="3">
        <v>44841</v>
      </c>
      <c r="G1720" s="2">
        <v>22025982</v>
      </c>
      <c r="H1720" s="2">
        <v>2234563</v>
      </c>
      <c r="I1720" s="2">
        <v>1001802404</v>
      </c>
      <c r="J1720" s="2" t="s">
        <v>1187</v>
      </c>
      <c r="K1720" s="10">
        <v>84437</v>
      </c>
      <c r="L1720" s="10">
        <v>11672</v>
      </c>
      <c r="M1720" s="10">
        <v>72765</v>
      </c>
      <c r="N1720" s="10">
        <v>39038</v>
      </c>
      <c r="O1720" s="10">
        <f>Table1[[#This Row],[NET Amount]]-Table1[[#This Row],[Paid Amount]]</f>
        <v>33727</v>
      </c>
      <c r="P1720" s="2" t="s">
        <v>23</v>
      </c>
      <c r="Q1720" s="2" t="s">
        <v>47</v>
      </c>
      <c r="R1720" s="16">
        <f>(Table1[[#This Row],[NET Amount]]-Table1[[#This Row],[Total Outstanding Amount]])/Table1[[#This Row],[NET Amount]]</f>
        <v>0.53649419363705075</v>
      </c>
      <c r="S1720" s="2" t="s">
        <v>39</v>
      </c>
    </row>
    <row r="1721" spans="1:19" x14ac:dyDescent="0.3">
      <c r="A1721" s="4">
        <v>1719</v>
      </c>
      <c r="B1721" s="2" t="s">
        <v>25</v>
      </c>
      <c r="C1721" s="3">
        <v>44832</v>
      </c>
      <c r="D1721" s="3" t="str">
        <f>TEXT(Table1[[#This Row],[Admission Date]],"MMMM")</f>
        <v>September</v>
      </c>
      <c r="E1721" s="3">
        <v>44837</v>
      </c>
      <c r="F1721" s="3">
        <v>44837</v>
      </c>
      <c r="G1721" s="2">
        <v>22025407</v>
      </c>
      <c r="H1721" s="2">
        <v>2233853</v>
      </c>
      <c r="I1721" s="2">
        <v>10013278406</v>
      </c>
      <c r="J1721" s="2" t="s">
        <v>1188</v>
      </c>
      <c r="K1721" s="10">
        <v>232741</v>
      </c>
      <c r="L1721" s="10">
        <v>39811</v>
      </c>
      <c r="M1721" s="10">
        <v>192930</v>
      </c>
      <c r="N1721" s="10">
        <v>192930</v>
      </c>
      <c r="O1721" s="10">
        <f>Table1[[#This Row],[NET Amount]]-Table1[[#This Row],[Paid Amount]]</f>
        <v>0</v>
      </c>
      <c r="P1721" s="2" t="s">
        <v>18</v>
      </c>
      <c r="Q1721" s="2" t="s">
        <v>30</v>
      </c>
      <c r="R1721" s="16">
        <f>(Table1[[#This Row],[NET Amount]]-Table1[[#This Row],[Total Outstanding Amount]])/Table1[[#This Row],[NET Amount]]</f>
        <v>1</v>
      </c>
      <c r="S1721" s="2" t="s">
        <v>20</v>
      </c>
    </row>
    <row r="1722" spans="1:19" x14ac:dyDescent="0.3">
      <c r="A1722" s="4">
        <v>1720</v>
      </c>
      <c r="B1722" s="2" t="s">
        <v>21</v>
      </c>
      <c r="C1722" s="3">
        <v>44836</v>
      </c>
      <c r="D1722" s="3" t="str">
        <f>TEXT(Table1[[#This Row],[Admission Date]],"MMMM")</f>
        <v>October</v>
      </c>
      <c r="E1722" s="3">
        <v>44838</v>
      </c>
      <c r="F1722" s="3">
        <v>44838</v>
      </c>
      <c r="G1722" s="2">
        <v>22025540</v>
      </c>
      <c r="H1722" s="2">
        <v>2234318</v>
      </c>
      <c r="I1722" s="2">
        <v>10013524476</v>
      </c>
      <c r="J1722" s="2" t="s">
        <v>1189</v>
      </c>
      <c r="K1722" s="10">
        <v>12186</v>
      </c>
      <c r="L1722" s="10">
        <v>0</v>
      </c>
      <c r="M1722" s="10">
        <v>12186</v>
      </c>
      <c r="N1722" s="10">
        <v>12186</v>
      </c>
      <c r="O1722" s="10">
        <f>Table1[[#This Row],[NET Amount]]-Table1[[#This Row],[Paid Amount]]</f>
        <v>0</v>
      </c>
      <c r="P1722" s="2" t="s">
        <v>18</v>
      </c>
      <c r="Q1722" s="2" t="s">
        <v>19</v>
      </c>
      <c r="R1722" s="16">
        <f>(Table1[[#This Row],[NET Amount]]-Table1[[#This Row],[Total Outstanding Amount]])/Table1[[#This Row],[NET Amount]]</f>
        <v>1</v>
      </c>
      <c r="S1722" s="2" t="s">
        <v>65</v>
      </c>
    </row>
    <row r="1723" spans="1:19" x14ac:dyDescent="0.3">
      <c r="A1723" s="4">
        <v>1721</v>
      </c>
      <c r="B1723" s="2" t="s">
        <v>61</v>
      </c>
      <c r="C1723" s="3">
        <v>44836</v>
      </c>
      <c r="D1723" s="3" t="str">
        <f>TEXT(Table1[[#This Row],[Admission Date]],"MMMM")</f>
        <v>October</v>
      </c>
      <c r="E1723" s="3">
        <v>44840</v>
      </c>
      <c r="F1723" s="3">
        <v>44840</v>
      </c>
      <c r="G1723" s="2">
        <v>22025879</v>
      </c>
      <c r="H1723" s="2">
        <v>2234322</v>
      </c>
      <c r="I1723" s="2">
        <v>1001026544</v>
      </c>
      <c r="J1723" s="2" t="s">
        <v>1190</v>
      </c>
      <c r="K1723" s="10">
        <v>103484</v>
      </c>
      <c r="L1723" s="10">
        <v>6306</v>
      </c>
      <c r="M1723" s="10">
        <v>97178</v>
      </c>
      <c r="N1723" s="10">
        <v>25299</v>
      </c>
      <c r="O1723" s="10">
        <f>Table1[[#This Row],[NET Amount]]-Table1[[#This Row],[Paid Amount]]</f>
        <v>71879</v>
      </c>
      <c r="P1723" s="2" t="s">
        <v>23</v>
      </c>
      <c r="Q1723" s="2" t="s">
        <v>42</v>
      </c>
      <c r="R1723" s="16">
        <f>(Table1[[#This Row],[NET Amount]]-Table1[[#This Row],[Total Outstanding Amount]])/Table1[[#This Row],[NET Amount]]</f>
        <v>0.26033670172261214</v>
      </c>
      <c r="S1723" s="2" t="s">
        <v>77</v>
      </c>
    </row>
    <row r="1724" spans="1:19" x14ac:dyDescent="0.3">
      <c r="A1724" s="4">
        <v>1722</v>
      </c>
      <c r="B1724" s="2" t="s">
        <v>25</v>
      </c>
      <c r="C1724" s="3">
        <v>44860</v>
      </c>
      <c r="D1724" s="3" t="str">
        <f>TEXT(Table1[[#This Row],[Admission Date]],"MMMM")</f>
        <v>October</v>
      </c>
      <c r="E1724" s="3">
        <v>44863</v>
      </c>
      <c r="F1724" s="3">
        <v>44863</v>
      </c>
      <c r="G1724" s="2">
        <v>22029027</v>
      </c>
      <c r="H1724" s="2">
        <v>2237520</v>
      </c>
      <c r="I1724" s="2">
        <v>10013544583</v>
      </c>
      <c r="J1724" s="2" t="s">
        <v>389</v>
      </c>
      <c r="K1724" s="10">
        <v>57772</v>
      </c>
      <c r="L1724" s="10">
        <v>12193</v>
      </c>
      <c r="M1724" s="10">
        <v>45579</v>
      </c>
      <c r="N1724" s="10">
        <v>45579</v>
      </c>
      <c r="O1724" s="10">
        <f>Table1[[#This Row],[NET Amount]]-Table1[[#This Row],[Paid Amount]]</f>
        <v>0</v>
      </c>
      <c r="P1724" s="2" t="s">
        <v>18</v>
      </c>
      <c r="Q1724" s="2" t="s">
        <v>24</v>
      </c>
      <c r="R1724" s="16">
        <f>(Table1[[#This Row],[NET Amount]]-Table1[[#This Row],[Total Outstanding Amount]])/Table1[[#This Row],[NET Amount]]</f>
        <v>1</v>
      </c>
      <c r="S1724" s="2" t="s">
        <v>65</v>
      </c>
    </row>
    <row r="1725" spans="1:19" x14ac:dyDescent="0.3">
      <c r="A1725" s="4">
        <v>1723</v>
      </c>
      <c r="B1725" s="2" t="s">
        <v>40</v>
      </c>
      <c r="C1725" s="3">
        <v>44847</v>
      </c>
      <c r="D1725" s="3" t="str">
        <f>TEXT(Table1[[#This Row],[Admission Date]],"MMMM")</f>
        <v>October</v>
      </c>
      <c r="E1725" s="3">
        <v>44850</v>
      </c>
      <c r="F1725" s="3">
        <v>44850</v>
      </c>
      <c r="G1725" s="2">
        <v>22027332</v>
      </c>
      <c r="H1725" s="2">
        <v>2235809</v>
      </c>
      <c r="I1725" s="2">
        <v>10013542796</v>
      </c>
      <c r="J1725" s="2" t="s">
        <v>1191</v>
      </c>
      <c r="K1725" s="10">
        <v>67922</v>
      </c>
      <c r="L1725" s="10">
        <v>9927</v>
      </c>
      <c r="M1725" s="10">
        <v>57995</v>
      </c>
      <c r="N1725" s="10">
        <v>5872</v>
      </c>
      <c r="O1725" s="10">
        <f>Table1[[#This Row],[NET Amount]]-Table1[[#This Row],[Paid Amount]]</f>
        <v>52123</v>
      </c>
      <c r="P1725" s="2" t="s">
        <v>23</v>
      </c>
      <c r="Q1725" s="2" t="s">
        <v>42</v>
      </c>
      <c r="R1725" s="16">
        <f>(Table1[[#This Row],[NET Amount]]-Table1[[#This Row],[Total Outstanding Amount]])/Table1[[#This Row],[NET Amount]]</f>
        <v>0.10125010776791103</v>
      </c>
      <c r="S1725" s="2" t="s">
        <v>37</v>
      </c>
    </row>
    <row r="1726" spans="1:19" x14ac:dyDescent="0.3">
      <c r="A1726" s="4">
        <v>1724</v>
      </c>
      <c r="B1726" s="2" t="s">
        <v>50</v>
      </c>
      <c r="C1726" s="3">
        <v>44847</v>
      </c>
      <c r="D1726" s="3" t="str">
        <f>TEXT(Table1[[#This Row],[Admission Date]],"MMMM")</f>
        <v>October</v>
      </c>
      <c r="E1726" s="3">
        <v>44848</v>
      </c>
      <c r="F1726" s="3">
        <v>44848</v>
      </c>
      <c r="G1726" s="2">
        <v>22026998</v>
      </c>
      <c r="H1726" s="2">
        <v>2235827</v>
      </c>
      <c r="I1726" s="2">
        <v>10013531493</v>
      </c>
      <c r="J1726" s="2" t="s">
        <v>1192</v>
      </c>
      <c r="K1726" s="10">
        <v>83568</v>
      </c>
      <c r="L1726" s="10">
        <v>11647</v>
      </c>
      <c r="M1726" s="10">
        <v>71921</v>
      </c>
      <c r="N1726" s="10">
        <v>10612</v>
      </c>
      <c r="O1726" s="10">
        <f>Table1[[#This Row],[NET Amount]]-Table1[[#This Row],[Paid Amount]]</f>
        <v>61309</v>
      </c>
      <c r="P1726" s="2" t="s">
        <v>23</v>
      </c>
      <c r="Q1726" s="2" t="s">
        <v>30</v>
      </c>
      <c r="R1726" s="16">
        <f>(Table1[[#This Row],[NET Amount]]-Table1[[#This Row],[Total Outstanding Amount]])/Table1[[#This Row],[NET Amount]]</f>
        <v>0.14755078488897541</v>
      </c>
      <c r="S1726" s="2" t="s">
        <v>1193</v>
      </c>
    </row>
    <row r="1727" spans="1:19" x14ac:dyDescent="0.3">
      <c r="A1727" s="4">
        <v>1725</v>
      </c>
      <c r="B1727" s="2" t="s">
        <v>149</v>
      </c>
      <c r="C1727" s="3">
        <v>44831</v>
      </c>
      <c r="D1727" s="3" t="str">
        <f>TEXT(Table1[[#This Row],[Admission Date]],"MMMM")</f>
        <v>September</v>
      </c>
      <c r="E1727" s="3">
        <v>44840</v>
      </c>
      <c r="F1727" s="3">
        <v>44840</v>
      </c>
      <c r="G1727" s="2">
        <v>22025845</v>
      </c>
      <c r="H1727" s="2">
        <v>2233653</v>
      </c>
      <c r="I1727" s="2">
        <v>10013540537</v>
      </c>
      <c r="J1727" s="2" t="s">
        <v>1194</v>
      </c>
      <c r="K1727" s="10">
        <v>117175</v>
      </c>
      <c r="L1727" s="10">
        <v>0</v>
      </c>
      <c r="M1727" s="10">
        <v>117175</v>
      </c>
      <c r="N1727" s="10">
        <v>0</v>
      </c>
      <c r="O1727" s="10">
        <f>Table1[[#This Row],[NET Amount]]-Table1[[#This Row],[Paid Amount]]</f>
        <v>117175</v>
      </c>
      <c r="P1727" s="2" t="s">
        <v>23</v>
      </c>
      <c r="Q1727" s="2" t="s">
        <v>19</v>
      </c>
      <c r="R1727" s="16">
        <f>(Table1[[#This Row],[NET Amount]]-Table1[[#This Row],[Total Outstanding Amount]])/Table1[[#This Row],[NET Amount]]</f>
        <v>0</v>
      </c>
      <c r="S1727" s="2" t="s">
        <v>20</v>
      </c>
    </row>
    <row r="1728" spans="1:19" x14ac:dyDescent="0.3">
      <c r="A1728" s="4">
        <v>1726</v>
      </c>
      <c r="B1728" s="2" t="s">
        <v>2247</v>
      </c>
      <c r="C1728" s="3">
        <v>44837</v>
      </c>
      <c r="D1728" s="3" t="str">
        <f>TEXT(Table1[[#This Row],[Admission Date]],"MMMM")</f>
        <v>October</v>
      </c>
      <c r="E1728" s="3">
        <v>44839</v>
      </c>
      <c r="F1728" s="3">
        <v>44839</v>
      </c>
      <c r="G1728" s="2">
        <v>22025677</v>
      </c>
      <c r="H1728" s="2">
        <v>2234348</v>
      </c>
      <c r="I1728" s="2">
        <v>1001624136</v>
      </c>
      <c r="J1728" s="2" t="s">
        <v>1195</v>
      </c>
      <c r="K1728" s="10">
        <v>33850</v>
      </c>
      <c r="L1728" s="10">
        <v>236</v>
      </c>
      <c r="M1728" s="10">
        <v>33614</v>
      </c>
      <c r="N1728" s="10">
        <v>1175</v>
      </c>
      <c r="O1728" s="10">
        <f>Table1[[#This Row],[NET Amount]]-Table1[[#This Row],[Paid Amount]]</f>
        <v>32439</v>
      </c>
      <c r="P1728" s="2" t="s">
        <v>23</v>
      </c>
      <c r="Q1728" s="2" t="s">
        <v>42</v>
      </c>
      <c r="R1728" s="16">
        <f>(Table1[[#This Row],[NET Amount]]-Table1[[#This Row],[Total Outstanding Amount]])/Table1[[#This Row],[NET Amount]]</f>
        <v>3.4955673231391683E-2</v>
      </c>
      <c r="S1728" s="2" t="s">
        <v>27</v>
      </c>
    </row>
    <row r="1729" spans="1:19" x14ac:dyDescent="0.3">
      <c r="A1729" s="4">
        <v>1727</v>
      </c>
      <c r="B1729" s="2" t="s">
        <v>25</v>
      </c>
      <c r="C1729" s="3">
        <v>44845</v>
      </c>
      <c r="D1729" s="3" t="str">
        <f>TEXT(Table1[[#This Row],[Admission Date]],"MMMM")</f>
        <v>October</v>
      </c>
      <c r="E1729" s="3">
        <v>44845</v>
      </c>
      <c r="F1729" s="3">
        <v>44845</v>
      </c>
      <c r="G1729" s="2">
        <v>22026643</v>
      </c>
      <c r="H1729" s="2">
        <v>2235604</v>
      </c>
      <c r="I1729" s="2">
        <v>1001327108</v>
      </c>
      <c r="J1729" s="2" t="s">
        <v>321</v>
      </c>
      <c r="K1729" s="10">
        <v>2794</v>
      </c>
      <c r="L1729" s="10">
        <v>2794</v>
      </c>
      <c r="M1729" s="10">
        <v>0</v>
      </c>
      <c r="N1729" s="10">
        <v>0</v>
      </c>
      <c r="O1729" s="10">
        <f>Table1[[#This Row],[NET Amount]]-Table1[[#This Row],[Paid Amount]]</f>
        <v>0</v>
      </c>
      <c r="P1729" s="2" t="s">
        <v>18</v>
      </c>
      <c r="Q1729" s="2" t="s">
        <v>90</v>
      </c>
      <c r="R1729" s="16" t="e">
        <f>(Table1[[#This Row],[NET Amount]]-Table1[[#This Row],[Total Outstanding Amount]])/Table1[[#This Row],[NET Amount]]</f>
        <v>#DIV/0!</v>
      </c>
      <c r="S1729" s="2" t="s">
        <v>97</v>
      </c>
    </row>
    <row r="1730" spans="1:19" x14ac:dyDescent="0.3">
      <c r="A1730" s="4">
        <v>1728</v>
      </c>
      <c r="B1730" s="2" t="s">
        <v>25</v>
      </c>
      <c r="C1730" s="3">
        <v>44851</v>
      </c>
      <c r="D1730" s="3" t="str">
        <f>TEXT(Table1[[#This Row],[Admission Date]],"MMMM")</f>
        <v>October</v>
      </c>
      <c r="E1730" s="3">
        <v>44851</v>
      </c>
      <c r="F1730" s="3">
        <v>44851</v>
      </c>
      <c r="G1730" s="2">
        <v>22027415</v>
      </c>
      <c r="H1730" s="2">
        <v>2236311</v>
      </c>
      <c r="I1730" s="2">
        <v>10013543360</v>
      </c>
      <c r="J1730" s="2" t="s">
        <v>1196</v>
      </c>
      <c r="K1730" s="10">
        <v>14000</v>
      </c>
      <c r="L1730" s="10">
        <v>0</v>
      </c>
      <c r="M1730" s="10">
        <v>14000</v>
      </c>
      <c r="N1730" s="10">
        <v>14000</v>
      </c>
      <c r="O1730" s="10">
        <f>Table1[[#This Row],[NET Amount]]-Table1[[#This Row],[Paid Amount]]</f>
        <v>0</v>
      </c>
      <c r="P1730" s="2" t="s">
        <v>18</v>
      </c>
      <c r="Q1730" s="2" t="s">
        <v>54</v>
      </c>
      <c r="R1730" s="16">
        <f>(Table1[[#This Row],[NET Amount]]-Table1[[#This Row],[Total Outstanding Amount]])/Table1[[#This Row],[NET Amount]]</f>
        <v>1</v>
      </c>
      <c r="S1730" s="2" t="s">
        <v>39</v>
      </c>
    </row>
    <row r="1731" spans="1:19" x14ac:dyDescent="0.3">
      <c r="A1731" s="4">
        <v>1729</v>
      </c>
      <c r="B1731" s="2" t="s">
        <v>25</v>
      </c>
      <c r="C1731" s="3">
        <v>44851</v>
      </c>
      <c r="D1731" s="3" t="str">
        <f>TEXT(Table1[[#This Row],[Admission Date]],"MMMM")</f>
        <v>October</v>
      </c>
      <c r="E1731" s="3">
        <v>44851</v>
      </c>
      <c r="F1731" s="3">
        <v>44851</v>
      </c>
      <c r="G1731" s="2">
        <v>22027428</v>
      </c>
      <c r="H1731" s="2">
        <v>2236312</v>
      </c>
      <c r="I1731" s="2">
        <v>1001804807</v>
      </c>
      <c r="J1731" s="2" t="s">
        <v>1197</v>
      </c>
      <c r="K1731" s="10">
        <v>14000</v>
      </c>
      <c r="L1731" s="10">
        <v>0</v>
      </c>
      <c r="M1731" s="10">
        <v>14000</v>
      </c>
      <c r="N1731" s="10">
        <v>14000</v>
      </c>
      <c r="O1731" s="10">
        <f>Table1[[#This Row],[NET Amount]]-Table1[[#This Row],[Paid Amount]]</f>
        <v>0</v>
      </c>
      <c r="P1731" s="2" t="s">
        <v>18</v>
      </c>
      <c r="Q1731" s="2" t="s">
        <v>54</v>
      </c>
      <c r="R1731" s="16">
        <f>(Table1[[#This Row],[NET Amount]]-Table1[[#This Row],[Total Outstanding Amount]])/Table1[[#This Row],[NET Amount]]</f>
        <v>1</v>
      </c>
      <c r="S1731" s="2" t="s">
        <v>39</v>
      </c>
    </row>
    <row r="1732" spans="1:19" x14ac:dyDescent="0.3">
      <c r="A1732" s="4">
        <v>1730</v>
      </c>
      <c r="B1732" s="2" t="s">
        <v>149</v>
      </c>
      <c r="C1732" s="3">
        <v>44840</v>
      </c>
      <c r="D1732" s="3" t="str">
        <f>TEXT(Table1[[#This Row],[Admission Date]],"MMMM")</f>
        <v>October</v>
      </c>
      <c r="E1732" s="3">
        <v>44841</v>
      </c>
      <c r="F1732" s="3">
        <v>44841</v>
      </c>
      <c r="G1732" s="2">
        <v>22026026</v>
      </c>
      <c r="H1732" s="2">
        <v>2234899</v>
      </c>
      <c r="I1732" s="2">
        <v>10013541841</v>
      </c>
      <c r="J1732" s="2" t="s">
        <v>1198</v>
      </c>
      <c r="K1732" s="10">
        <v>28241</v>
      </c>
      <c r="L1732" s="10">
        <v>0</v>
      </c>
      <c r="M1732" s="10">
        <v>28241</v>
      </c>
      <c r="N1732" s="10">
        <v>25000</v>
      </c>
      <c r="O1732" s="10">
        <f>Table1[[#This Row],[NET Amount]]-Table1[[#This Row],[Paid Amount]]</f>
        <v>3241</v>
      </c>
      <c r="P1732" s="2" t="s">
        <v>23</v>
      </c>
      <c r="Q1732" s="2" t="s">
        <v>24</v>
      </c>
      <c r="R1732" s="16">
        <f>(Table1[[#This Row],[NET Amount]]-Table1[[#This Row],[Total Outstanding Amount]])/Table1[[#This Row],[NET Amount]]</f>
        <v>0.88523777486632904</v>
      </c>
      <c r="S1732" s="2" t="s">
        <v>20</v>
      </c>
    </row>
    <row r="1733" spans="1:19" x14ac:dyDescent="0.3">
      <c r="A1733" s="4">
        <v>1731</v>
      </c>
      <c r="B1733" s="2" t="s">
        <v>149</v>
      </c>
      <c r="C1733" s="3">
        <v>44834</v>
      </c>
      <c r="D1733" s="3" t="str">
        <f>TEXT(Table1[[#This Row],[Admission Date]],"MMMM")</f>
        <v>September</v>
      </c>
      <c r="E1733" s="3">
        <v>44839</v>
      </c>
      <c r="F1733" s="3">
        <v>44839</v>
      </c>
      <c r="G1733" s="2">
        <v>22025684</v>
      </c>
      <c r="H1733" s="2">
        <v>2234060</v>
      </c>
      <c r="I1733" s="2">
        <v>1001328801</v>
      </c>
      <c r="J1733" s="2" t="s">
        <v>1199</v>
      </c>
      <c r="K1733" s="10">
        <v>135962</v>
      </c>
      <c r="L1733" s="10">
        <v>10524</v>
      </c>
      <c r="M1733" s="10">
        <v>125438</v>
      </c>
      <c r="N1733" s="10">
        <v>2452</v>
      </c>
      <c r="O1733" s="10">
        <f>Table1[[#This Row],[NET Amount]]-Table1[[#This Row],[Paid Amount]]</f>
        <v>122986</v>
      </c>
      <c r="P1733" s="2" t="s">
        <v>23</v>
      </c>
      <c r="Q1733" s="2" t="s">
        <v>47</v>
      </c>
      <c r="R1733" s="16">
        <f>(Table1[[#This Row],[NET Amount]]-Table1[[#This Row],[Total Outstanding Amount]])/Table1[[#This Row],[NET Amount]]</f>
        <v>1.9547505540585788E-2</v>
      </c>
      <c r="S1733" s="2" t="s">
        <v>39</v>
      </c>
    </row>
    <row r="1734" spans="1:19" x14ac:dyDescent="0.3">
      <c r="A1734" s="4">
        <v>1732</v>
      </c>
      <c r="B1734" s="2" t="s">
        <v>898</v>
      </c>
      <c r="C1734" s="3">
        <v>44860</v>
      </c>
      <c r="D1734" s="3" t="str">
        <f>TEXT(Table1[[#This Row],[Admission Date]],"MMMM")</f>
        <v>October</v>
      </c>
      <c r="E1734" s="3">
        <v>44863</v>
      </c>
      <c r="F1734" s="3">
        <v>44863</v>
      </c>
      <c r="G1734" s="2">
        <v>22029099</v>
      </c>
      <c r="H1734" s="2">
        <v>2237552</v>
      </c>
      <c r="I1734" s="2">
        <v>10013541658</v>
      </c>
      <c r="J1734" s="2" t="s">
        <v>1200</v>
      </c>
      <c r="K1734" s="10">
        <v>92625</v>
      </c>
      <c r="L1734" s="10">
        <v>0</v>
      </c>
      <c r="M1734" s="10">
        <v>92625</v>
      </c>
      <c r="N1734" s="10">
        <v>32625</v>
      </c>
      <c r="O1734" s="10">
        <f>Table1[[#This Row],[NET Amount]]-Table1[[#This Row],[Paid Amount]]</f>
        <v>60000</v>
      </c>
      <c r="P1734" s="2" t="s">
        <v>23</v>
      </c>
      <c r="Q1734" s="2" t="s">
        <v>30</v>
      </c>
      <c r="R1734" s="16">
        <f>(Table1[[#This Row],[NET Amount]]-Table1[[#This Row],[Total Outstanding Amount]])/Table1[[#This Row],[NET Amount]]</f>
        <v>0.35222672064777327</v>
      </c>
      <c r="S1734" s="2" t="s">
        <v>27</v>
      </c>
    </row>
    <row r="1735" spans="1:19" x14ac:dyDescent="0.3">
      <c r="A1735" s="4">
        <v>1733</v>
      </c>
      <c r="B1735" s="2" t="s">
        <v>1201</v>
      </c>
      <c r="C1735" s="3">
        <v>44855</v>
      </c>
      <c r="D1735" s="3" t="str">
        <f>TEXT(Table1[[#This Row],[Admission Date]],"MMMM")</f>
        <v>October</v>
      </c>
      <c r="E1735" s="3">
        <v>44855</v>
      </c>
      <c r="F1735" s="3">
        <v>44855</v>
      </c>
      <c r="G1735" s="2">
        <v>22028050</v>
      </c>
      <c r="H1735" s="2">
        <v>2236894</v>
      </c>
      <c r="I1735" s="2">
        <v>10013487696</v>
      </c>
      <c r="J1735" s="2" t="s">
        <v>359</v>
      </c>
      <c r="K1735" s="10">
        <v>1610</v>
      </c>
      <c r="L1735" s="10">
        <v>0</v>
      </c>
      <c r="M1735" s="10">
        <v>1610</v>
      </c>
      <c r="N1735" s="10">
        <v>1610</v>
      </c>
      <c r="O1735" s="10">
        <f>Table1[[#This Row],[NET Amount]]-Table1[[#This Row],[Paid Amount]]</f>
        <v>0</v>
      </c>
      <c r="P1735" s="2" t="s">
        <v>18</v>
      </c>
      <c r="Q1735" s="2" t="s">
        <v>54</v>
      </c>
      <c r="R1735" s="16">
        <f>(Table1[[#This Row],[NET Amount]]-Table1[[#This Row],[Total Outstanding Amount]])/Table1[[#This Row],[NET Amount]]</f>
        <v>1</v>
      </c>
      <c r="S1735" s="2" t="s">
        <v>97</v>
      </c>
    </row>
    <row r="1736" spans="1:19" x14ac:dyDescent="0.3">
      <c r="A1736" s="4">
        <v>1734</v>
      </c>
      <c r="B1736" s="2" t="s">
        <v>25</v>
      </c>
      <c r="C1736" s="3">
        <v>44861</v>
      </c>
      <c r="D1736" s="3" t="str">
        <f>TEXT(Table1[[#This Row],[Admission Date]],"MMMM")</f>
        <v>October</v>
      </c>
      <c r="E1736" s="3">
        <v>44861</v>
      </c>
      <c r="F1736" s="3">
        <v>44861</v>
      </c>
      <c r="G1736" s="2">
        <v>22028841</v>
      </c>
      <c r="H1736" s="2">
        <v>2237706</v>
      </c>
      <c r="I1736" s="2">
        <v>1001491648</v>
      </c>
      <c r="J1736" s="2" t="s">
        <v>124</v>
      </c>
      <c r="K1736" s="10">
        <v>2794</v>
      </c>
      <c r="L1736" s="10">
        <v>2794</v>
      </c>
      <c r="M1736" s="10">
        <v>0</v>
      </c>
      <c r="N1736" s="10">
        <v>0</v>
      </c>
      <c r="O1736" s="10">
        <f>Table1[[#This Row],[NET Amount]]-Table1[[#This Row],[Paid Amount]]</f>
        <v>0</v>
      </c>
      <c r="P1736" s="2" t="s">
        <v>18</v>
      </c>
      <c r="Q1736" s="2" t="s">
        <v>90</v>
      </c>
      <c r="R1736" s="16" t="e">
        <f>(Table1[[#This Row],[NET Amount]]-Table1[[#This Row],[Total Outstanding Amount]])/Table1[[#This Row],[NET Amount]]</f>
        <v>#DIV/0!</v>
      </c>
      <c r="S1736" s="2" t="s">
        <v>97</v>
      </c>
    </row>
    <row r="1737" spans="1:19" x14ac:dyDescent="0.3">
      <c r="A1737" s="4">
        <v>1735</v>
      </c>
      <c r="B1737" s="2" t="s">
        <v>25</v>
      </c>
      <c r="C1737" s="3">
        <v>44832</v>
      </c>
      <c r="D1737" s="3" t="str">
        <f>TEXT(Table1[[#This Row],[Admission Date]],"MMMM")</f>
        <v>September</v>
      </c>
      <c r="E1737" s="3">
        <v>44837</v>
      </c>
      <c r="F1737" s="3">
        <v>44837</v>
      </c>
      <c r="G1737" s="2">
        <v>22025387</v>
      </c>
      <c r="H1737" s="2">
        <v>2233704</v>
      </c>
      <c r="I1737" s="2">
        <v>10013540567</v>
      </c>
      <c r="J1737" s="2" t="s">
        <v>291</v>
      </c>
      <c r="K1737" s="10">
        <v>123005</v>
      </c>
      <c r="L1737" s="10">
        <v>40524</v>
      </c>
      <c r="M1737" s="10">
        <v>82481</v>
      </c>
      <c r="N1737" s="10">
        <v>82481</v>
      </c>
      <c r="O1737" s="10">
        <f>Table1[[#This Row],[NET Amount]]-Table1[[#This Row],[Paid Amount]]</f>
        <v>0</v>
      </c>
      <c r="P1737" s="2" t="s">
        <v>18</v>
      </c>
      <c r="Q1737" s="2" t="s">
        <v>69</v>
      </c>
      <c r="R1737" s="16">
        <f>(Table1[[#This Row],[NET Amount]]-Table1[[#This Row],[Total Outstanding Amount]])/Table1[[#This Row],[NET Amount]]</f>
        <v>1</v>
      </c>
      <c r="S1737" s="2" t="s">
        <v>65</v>
      </c>
    </row>
    <row r="1738" spans="1:19" x14ac:dyDescent="0.3">
      <c r="A1738" s="4">
        <v>1736</v>
      </c>
      <c r="B1738" s="2" t="s">
        <v>2259</v>
      </c>
      <c r="C1738" s="3">
        <v>44849</v>
      </c>
      <c r="D1738" s="3" t="str">
        <f>TEXT(Table1[[#This Row],[Admission Date]],"MMMM")</f>
        <v>October</v>
      </c>
      <c r="E1738" s="3">
        <v>44863</v>
      </c>
      <c r="F1738" s="3">
        <v>44863</v>
      </c>
      <c r="G1738" s="2">
        <v>22029111</v>
      </c>
      <c r="H1738" s="2">
        <v>2236140</v>
      </c>
      <c r="I1738" s="2">
        <v>1001804477</v>
      </c>
      <c r="J1738" s="2" t="s">
        <v>1202</v>
      </c>
      <c r="K1738" s="10">
        <v>590571</v>
      </c>
      <c r="L1738" s="10">
        <v>10436</v>
      </c>
      <c r="M1738" s="10">
        <v>580135</v>
      </c>
      <c r="N1738" s="10">
        <v>2500</v>
      </c>
      <c r="O1738" s="10">
        <f>Table1[[#This Row],[NET Amount]]-Table1[[#This Row],[Paid Amount]]</f>
        <v>577635</v>
      </c>
      <c r="P1738" s="2" t="s">
        <v>23</v>
      </c>
      <c r="Q1738" s="2" t="s">
        <v>24</v>
      </c>
      <c r="R1738" s="16">
        <f>(Table1[[#This Row],[NET Amount]]-Table1[[#This Row],[Total Outstanding Amount]])/Table1[[#This Row],[NET Amount]]</f>
        <v>4.3093417911348221E-3</v>
      </c>
      <c r="S1738" s="2" t="s">
        <v>20</v>
      </c>
    </row>
    <row r="1739" spans="1:19" x14ac:dyDescent="0.3">
      <c r="A1739" s="4">
        <v>1737</v>
      </c>
      <c r="B1739" s="2" t="s">
        <v>139</v>
      </c>
      <c r="C1739" s="3">
        <v>44848</v>
      </c>
      <c r="D1739" s="3" t="str">
        <f>TEXT(Table1[[#This Row],[Admission Date]],"MMMM")</f>
        <v>October</v>
      </c>
      <c r="E1739" s="3">
        <v>44849</v>
      </c>
      <c r="F1739" s="3">
        <v>44849</v>
      </c>
      <c r="G1739" s="2">
        <v>22027143</v>
      </c>
      <c r="H1739" s="2">
        <v>2235904</v>
      </c>
      <c r="I1739" s="2">
        <v>10013542510</v>
      </c>
      <c r="J1739" s="2" t="s">
        <v>1203</v>
      </c>
      <c r="K1739" s="10">
        <v>87619</v>
      </c>
      <c r="L1739" s="10">
        <v>0</v>
      </c>
      <c r="M1739" s="10">
        <v>87619</v>
      </c>
      <c r="N1739" s="10">
        <v>3000</v>
      </c>
      <c r="O1739" s="10">
        <f>Table1[[#This Row],[NET Amount]]-Table1[[#This Row],[Paid Amount]]</f>
        <v>84619</v>
      </c>
      <c r="P1739" s="2" t="s">
        <v>23</v>
      </c>
      <c r="Q1739" s="2" t="s">
        <v>396</v>
      </c>
      <c r="R1739" s="16">
        <f>(Table1[[#This Row],[NET Amount]]-Table1[[#This Row],[Total Outstanding Amount]])/Table1[[#This Row],[NET Amount]]</f>
        <v>3.4239149043015782E-2</v>
      </c>
      <c r="S1739" s="2" t="s">
        <v>77</v>
      </c>
    </row>
    <row r="1740" spans="1:19" x14ac:dyDescent="0.3">
      <c r="A1740" s="4">
        <v>1738</v>
      </c>
      <c r="B1740" s="2" t="s">
        <v>126</v>
      </c>
      <c r="C1740" s="3">
        <v>44841</v>
      </c>
      <c r="D1740" s="3" t="str">
        <f>TEXT(Table1[[#This Row],[Admission Date]],"MMMM")</f>
        <v>October</v>
      </c>
      <c r="E1740" s="3">
        <v>44849</v>
      </c>
      <c r="F1740" s="3">
        <v>44849</v>
      </c>
      <c r="G1740" s="2">
        <v>22027134</v>
      </c>
      <c r="H1740" s="2">
        <v>2235003</v>
      </c>
      <c r="I1740" s="2">
        <v>1001803008</v>
      </c>
      <c r="J1740" s="2" t="s">
        <v>1204</v>
      </c>
      <c r="K1740" s="10">
        <v>229634</v>
      </c>
      <c r="L1740" s="10">
        <v>23170</v>
      </c>
      <c r="M1740" s="10">
        <v>206464</v>
      </c>
      <c r="N1740" s="10">
        <v>9496</v>
      </c>
      <c r="O1740" s="10">
        <f>Table1[[#This Row],[NET Amount]]-Table1[[#This Row],[Paid Amount]]</f>
        <v>196968</v>
      </c>
      <c r="P1740" s="2" t="s">
        <v>23</v>
      </c>
      <c r="Q1740" s="2" t="s">
        <v>24</v>
      </c>
      <c r="R1740" s="16">
        <f>(Table1[[#This Row],[NET Amount]]-Table1[[#This Row],[Total Outstanding Amount]])/Table1[[#This Row],[NET Amount]]</f>
        <v>4.5993490390576562E-2</v>
      </c>
      <c r="S1740" s="2" t="s">
        <v>20</v>
      </c>
    </row>
    <row r="1741" spans="1:19" x14ac:dyDescent="0.3">
      <c r="A1741" s="4">
        <v>1739</v>
      </c>
      <c r="B1741" s="2" t="s">
        <v>155</v>
      </c>
      <c r="C1741" s="3">
        <v>44851</v>
      </c>
      <c r="D1741" s="3" t="str">
        <f>TEXT(Table1[[#This Row],[Admission Date]],"MMMM")</f>
        <v>October</v>
      </c>
      <c r="E1741" s="3">
        <v>44851</v>
      </c>
      <c r="F1741" s="3">
        <v>44851</v>
      </c>
      <c r="G1741" s="2">
        <v>22027361</v>
      </c>
      <c r="H1741" s="2">
        <v>2236276</v>
      </c>
      <c r="I1741" s="2">
        <v>10013537888</v>
      </c>
      <c r="J1741" s="2" t="s">
        <v>358</v>
      </c>
      <c r="K1741" s="10">
        <v>1610</v>
      </c>
      <c r="L1741" s="10">
        <v>0</v>
      </c>
      <c r="M1741" s="10">
        <v>1610</v>
      </c>
      <c r="N1741" s="10">
        <v>1610</v>
      </c>
      <c r="O1741" s="10">
        <f>Table1[[#This Row],[NET Amount]]-Table1[[#This Row],[Paid Amount]]</f>
        <v>0</v>
      </c>
      <c r="P1741" s="2" t="s">
        <v>18</v>
      </c>
      <c r="Q1741" s="2" t="s">
        <v>54</v>
      </c>
      <c r="R1741" s="16">
        <f>(Table1[[#This Row],[NET Amount]]-Table1[[#This Row],[Total Outstanding Amount]])/Table1[[#This Row],[NET Amount]]</f>
        <v>1</v>
      </c>
      <c r="S1741" s="2" t="s">
        <v>97</v>
      </c>
    </row>
    <row r="1742" spans="1:19" x14ac:dyDescent="0.3">
      <c r="A1742" s="4">
        <v>1740</v>
      </c>
      <c r="B1742" s="2" t="s">
        <v>25</v>
      </c>
      <c r="C1742" s="3">
        <v>44851</v>
      </c>
      <c r="D1742" s="3" t="str">
        <f>TEXT(Table1[[#This Row],[Admission Date]],"MMMM")</f>
        <v>October</v>
      </c>
      <c r="E1742" s="3">
        <v>44851</v>
      </c>
      <c r="F1742" s="3">
        <v>44851</v>
      </c>
      <c r="G1742" s="2">
        <v>22027369</v>
      </c>
      <c r="H1742" s="2">
        <v>2236292</v>
      </c>
      <c r="I1742" s="2">
        <v>1001542684</v>
      </c>
      <c r="J1742" s="2" t="s">
        <v>176</v>
      </c>
      <c r="K1742" s="10">
        <v>4990</v>
      </c>
      <c r="L1742" s="10">
        <v>413</v>
      </c>
      <c r="M1742" s="10">
        <v>4577</v>
      </c>
      <c r="N1742" s="10">
        <v>4577</v>
      </c>
      <c r="O1742" s="10">
        <f>Table1[[#This Row],[NET Amount]]-Table1[[#This Row],[Paid Amount]]</f>
        <v>0</v>
      </c>
      <c r="P1742" s="2" t="s">
        <v>18</v>
      </c>
      <c r="Q1742" s="2" t="s">
        <v>54</v>
      </c>
      <c r="R1742" s="16">
        <f>(Table1[[#This Row],[NET Amount]]-Table1[[#This Row],[Total Outstanding Amount]])/Table1[[#This Row],[NET Amount]]</f>
        <v>1</v>
      </c>
      <c r="S1742" s="2" t="s">
        <v>97</v>
      </c>
    </row>
    <row r="1743" spans="1:19" x14ac:dyDescent="0.3">
      <c r="A1743" s="4">
        <v>1741</v>
      </c>
      <c r="B1743" s="2" t="s">
        <v>25</v>
      </c>
      <c r="C1743" s="3">
        <v>44840</v>
      </c>
      <c r="D1743" s="3" t="str">
        <f>TEXT(Table1[[#This Row],[Admission Date]],"MMMM")</f>
        <v>October</v>
      </c>
      <c r="E1743" s="3">
        <v>44842</v>
      </c>
      <c r="F1743" s="3">
        <v>44842</v>
      </c>
      <c r="G1743" s="2">
        <v>22026176</v>
      </c>
      <c r="H1743" s="2">
        <v>2234836</v>
      </c>
      <c r="I1743" s="2">
        <v>10013504361</v>
      </c>
      <c r="J1743" s="2" t="s">
        <v>1205</v>
      </c>
      <c r="K1743" s="10">
        <v>82205</v>
      </c>
      <c r="L1743" s="10">
        <v>9539</v>
      </c>
      <c r="M1743" s="10">
        <v>72666</v>
      </c>
      <c r="N1743" s="10">
        <v>72666</v>
      </c>
      <c r="O1743" s="10">
        <f>Table1[[#This Row],[NET Amount]]-Table1[[#This Row],[Paid Amount]]</f>
        <v>0</v>
      </c>
      <c r="P1743" s="2" t="s">
        <v>18</v>
      </c>
      <c r="Q1743" s="2" t="s">
        <v>19</v>
      </c>
      <c r="R1743" s="16">
        <f>(Table1[[#This Row],[NET Amount]]-Table1[[#This Row],[Total Outstanding Amount]])/Table1[[#This Row],[NET Amount]]</f>
        <v>1</v>
      </c>
      <c r="S1743" s="2" t="s">
        <v>27</v>
      </c>
    </row>
    <row r="1744" spans="1:19" x14ac:dyDescent="0.3">
      <c r="A1744" s="4">
        <v>1742</v>
      </c>
      <c r="B1744" s="2" t="s">
        <v>35</v>
      </c>
      <c r="C1744" s="3">
        <v>44842</v>
      </c>
      <c r="D1744" s="3" t="str">
        <f>TEXT(Table1[[#This Row],[Admission Date]],"MMMM")</f>
        <v>October</v>
      </c>
      <c r="E1744" s="3">
        <v>44842</v>
      </c>
      <c r="F1744" s="3">
        <v>44842</v>
      </c>
      <c r="G1744" s="2">
        <v>22026078</v>
      </c>
      <c r="H1744" s="2">
        <v>2235136</v>
      </c>
      <c r="I1744" s="2">
        <v>10013530699</v>
      </c>
      <c r="J1744" s="2" t="s">
        <v>356</v>
      </c>
      <c r="K1744" s="10">
        <v>1610</v>
      </c>
      <c r="L1744" s="10">
        <v>0</v>
      </c>
      <c r="M1744" s="10">
        <v>1610</v>
      </c>
      <c r="N1744" s="10">
        <v>1610</v>
      </c>
      <c r="O1744" s="10">
        <f>Table1[[#This Row],[NET Amount]]-Table1[[#This Row],[Paid Amount]]</f>
        <v>0</v>
      </c>
      <c r="P1744" s="2" t="s">
        <v>18</v>
      </c>
      <c r="Q1744" s="2" t="s">
        <v>54</v>
      </c>
      <c r="R1744" s="16">
        <f>(Table1[[#This Row],[NET Amount]]-Table1[[#This Row],[Total Outstanding Amount]])/Table1[[#This Row],[NET Amount]]</f>
        <v>1</v>
      </c>
      <c r="S1744" s="2" t="s">
        <v>97</v>
      </c>
    </row>
    <row r="1745" spans="1:19" x14ac:dyDescent="0.3">
      <c r="A1745" s="4">
        <v>1743</v>
      </c>
      <c r="B1745" s="2" t="s">
        <v>25</v>
      </c>
      <c r="C1745" s="3">
        <v>44842</v>
      </c>
      <c r="D1745" s="3" t="str">
        <f>TEXT(Table1[[#This Row],[Admission Date]],"MMMM")</f>
        <v>October</v>
      </c>
      <c r="E1745" s="3">
        <v>44842</v>
      </c>
      <c r="F1745" s="3">
        <v>44842</v>
      </c>
      <c r="G1745" s="2">
        <v>22026081</v>
      </c>
      <c r="H1745" s="2">
        <v>2235132</v>
      </c>
      <c r="I1745" s="2">
        <v>10013407139</v>
      </c>
      <c r="J1745" s="2" t="s">
        <v>237</v>
      </c>
      <c r="K1745" s="10">
        <v>2844</v>
      </c>
      <c r="L1745" s="10">
        <v>286</v>
      </c>
      <c r="M1745" s="10">
        <v>2558</v>
      </c>
      <c r="N1745" s="10">
        <v>2558</v>
      </c>
      <c r="O1745" s="10">
        <f>Table1[[#This Row],[NET Amount]]-Table1[[#This Row],[Paid Amount]]</f>
        <v>0</v>
      </c>
      <c r="P1745" s="2" t="s">
        <v>18</v>
      </c>
      <c r="Q1745" s="2" t="s">
        <v>54</v>
      </c>
      <c r="R1745" s="16">
        <f>(Table1[[#This Row],[NET Amount]]-Table1[[#This Row],[Total Outstanding Amount]])/Table1[[#This Row],[NET Amount]]</f>
        <v>1</v>
      </c>
      <c r="S1745" s="2" t="s">
        <v>97</v>
      </c>
    </row>
    <row r="1746" spans="1:19" x14ac:dyDescent="0.3">
      <c r="A1746" s="4">
        <v>1744</v>
      </c>
      <c r="B1746" s="2" t="s">
        <v>126</v>
      </c>
      <c r="C1746" s="3">
        <v>44853</v>
      </c>
      <c r="D1746" s="3" t="str">
        <f>TEXT(Table1[[#This Row],[Admission Date]],"MMMM")</f>
        <v>October</v>
      </c>
      <c r="E1746" s="3">
        <v>44857</v>
      </c>
      <c r="F1746" s="3">
        <v>44857</v>
      </c>
      <c r="G1746" s="2">
        <v>22028366</v>
      </c>
      <c r="H1746" s="2">
        <v>2236685</v>
      </c>
      <c r="I1746" s="2">
        <v>1000850707</v>
      </c>
      <c r="J1746" s="2" t="s">
        <v>1206</v>
      </c>
      <c r="K1746" s="10">
        <v>102952</v>
      </c>
      <c r="L1746" s="10">
        <v>10609</v>
      </c>
      <c r="M1746" s="10">
        <v>92343</v>
      </c>
      <c r="N1746" s="10">
        <v>3551</v>
      </c>
      <c r="O1746" s="10">
        <f>Table1[[#This Row],[NET Amount]]-Table1[[#This Row],[Paid Amount]]</f>
        <v>88792</v>
      </c>
      <c r="P1746" s="2" t="s">
        <v>23</v>
      </c>
      <c r="Q1746" s="2" t="s">
        <v>24</v>
      </c>
      <c r="R1746" s="16">
        <f>(Table1[[#This Row],[NET Amount]]-Table1[[#This Row],[Total Outstanding Amount]])/Table1[[#This Row],[NET Amount]]</f>
        <v>3.8454457836544186E-2</v>
      </c>
      <c r="S1746" s="2" t="s">
        <v>20</v>
      </c>
    </row>
    <row r="1747" spans="1:19" x14ac:dyDescent="0.3">
      <c r="A1747" s="4">
        <v>1745</v>
      </c>
      <c r="B1747" s="2" t="s">
        <v>50</v>
      </c>
      <c r="C1747" s="3">
        <v>44854</v>
      </c>
      <c r="D1747" s="3" t="str">
        <f>TEXT(Table1[[#This Row],[Admission Date]],"MMMM")</f>
        <v>October</v>
      </c>
      <c r="E1747" s="3">
        <v>44854</v>
      </c>
      <c r="F1747" s="3">
        <v>44854</v>
      </c>
      <c r="G1747" s="2">
        <v>22027893</v>
      </c>
      <c r="H1747" s="2">
        <v>2236782</v>
      </c>
      <c r="I1747" s="2">
        <v>1000983811</v>
      </c>
      <c r="J1747" s="2" t="s">
        <v>564</v>
      </c>
      <c r="K1747" s="10">
        <v>2200</v>
      </c>
      <c r="L1747" s="10">
        <v>0</v>
      </c>
      <c r="M1747" s="10">
        <v>2200</v>
      </c>
      <c r="N1747" s="10">
        <v>440</v>
      </c>
      <c r="O1747" s="10">
        <f>Table1[[#This Row],[NET Amount]]-Table1[[#This Row],[Paid Amount]]</f>
        <v>1760</v>
      </c>
      <c r="P1747" s="2" t="s">
        <v>23</v>
      </c>
      <c r="Q1747" s="2" t="s">
        <v>147</v>
      </c>
      <c r="R1747" s="16">
        <f>(Table1[[#This Row],[NET Amount]]-Table1[[#This Row],[Total Outstanding Amount]])/Table1[[#This Row],[NET Amount]]</f>
        <v>0.2</v>
      </c>
      <c r="S1747" s="2" t="s">
        <v>97</v>
      </c>
    </row>
    <row r="1748" spans="1:19" x14ac:dyDescent="0.3">
      <c r="A1748" s="4">
        <v>1746</v>
      </c>
      <c r="B1748" s="2" t="s">
        <v>327</v>
      </c>
      <c r="C1748" s="3">
        <v>44853</v>
      </c>
      <c r="D1748" s="3" t="str">
        <f>TEXT(Table1[[#This Row],[Admission Date]],"MMMM")</f>
        <v>October</v>
      </c>
      <c r="E1748" s="3">
        <v>44854</v>
      </c>
      <c r="F1748" s="3">
        <v>44854</v>
      </c>
      <c r="G1748" s="2">
        <v>22027900</v>
      </c>
      <c r="H1748" s="2">
        <v>2236601</v>
      </c>
      <c r="I1748" s="2">
        <v>1001659755</v>
      </c>
      <c r="J1748" s="2" t="s">
        <v>1207</v>
      </c>
      <c r="K1748" s="10">
        <v>231206</v>
      </c>
      <c r="L1748" s="10">
        <v>0</v>
      </c>
      <c r="M1748" s="10">
        <v>231206</v>
      </c>
      <c r="N1748" s="10">
        <v>231206</v>
      </c>
      <c r="O1748" s="10">
        <f>Table1[[#This Row],[NET Amount]]-Table1[[#This Row],[Paid Amount]]</f>
        <v>0</v>
      </c>
      <c r="P1748" s="2" t="s">
        <v>18</v>
      </c>
      <c r="Q1748" s="2" t="s">
        <v>47</v>
      </c>
      <c r="R1748" s="16">
        <f>(Table1[[#This Row],[NET Amount]]-Table1[[#This Row],[Total Outstanding Amount]])/Table1[[#This Row],[NET Amount]]</f>
        <v>1</v>
      </c>
      <c r="S1748" s="2" t="s">
        <v>39</v>
      </c>
    </row>
    <row r="1749" spans="1:19" x14ac:dyDescent="0.3">
      <c r="A1749" s="4">
        <v>1747</v>
      </c>
      <c r="B1749" s="2" t="s">
        <v>75</v>
      </c>
      <c r="C1749" s="3">
        <v>44846</v>
      </c>
      <c r="D1749" s="3" t="str">
        <f>TEXT(Table1[[#This Row],[Admission Date]],"MMMM")</f>
        <v>October</v>
      </c>
      <c r="E1749" s="3">
        <v>44851</v>
      </c>
      <c r="F1749" s="3">
        <v>44851</v>
      </c>
      <c r="G1749" s="2">
        <v>22027431</v>
      </c>
      <c r="H1749" s="2">
        <v>2235727</v>
      </c>
      <c r="I1749" s="2">
        <v>1001611207</v>
      </c>
      <c r="J1749" s="2" t="s">
        <v>1208</v>
      </c>
      <c r="K1749" s="10">
        <v>85259</v>
      </c>
      <c r="L1749" s="10">
        <v>0</v>
      </c>
      <c r="M1749" s="10">
        <v>85259</v>
      </c>
      <c r="N1749" s="10">
        <v>1344</v>
      </c>
      <c r="O1749" s="10">
        <f>Table1[[#This Row],[NET Amount]]-Table1[[#This Row],[Paid Amount]]</f>
        <v>83915</v>
      </c>
      <c r="P1749" s="2" t="s">
        <v>23</v>
      </c>
      <c r="Q1749" s="2" t="s">
        <v>24</v>
      </c>
      <c r="R1749" s="16">
        <f>(Table1[[#This Row],[NET Amount]]-Table1[[#This Row],[Total Outstanding Amount]])/Table1[[#This Row],[NET Amount]]</f>
        <v>1.5763731688150224E-2</v>
      </c>
      <c r="S1749" s="2" t="s">
        <v>20</v>
      </c>
    </row>
    <row r="1750" spans="1:19" x14ac:dyDescent="0.3">
      <c r="A1750" s="4">
        <v>1748</v>
      </c>
      <c r="B1750" s="2" t="s">
        <v>25</v>
      </c>
      <c r="C1750" s="3">
        <v>44864</v>
      </c>
      <c r="D1750" s="3" t="str">
        <f>TEXT(Table1[[#This Row],[Admission Date]],"MMMM")</f>
        <v>October</v>
      </c>
      <c r="E1750" s="3">
        <v>44865</v>
      </c>
      <c r="F1750" s="3">
        <v>44865</v>
      </c>
      <c r="G1750" s="2">
        <v>22029380</v>
      </c>
      <c r="H1750" s="2">
        <v>2238101</v>
      </c>
      <c r="I1750" s="2">
        <v>10013545217</v>
      </c>
      <c r="J1750" s="2" t="s">
        <v>1209</v>
      </c>
      <c r="K1750" s="10">
        <v>108647</v>
      </c>
      <c r="L1750" s="10">
        <v>34099</v>
      </c>
      <c r="M1750" s="10">
        <v>74549</v>
      </c>
      <c r="N1750" s="10">
        <v>74549</v>
      </c>
      <c r="O1750" s="10">
        <f>Table1[[#This Row],[NET Amount]]-Table1[[#This Row],[Paid Amount]]</f>
        <v>0</v>
      </c>
      <c r="P1750" s="2" t="s">
        <v>18</v>
      </c>
      <c r="Q1750" s="2" t="s">
        <v>225</v>
      </c>
      <c r="R1750" s="16">
        <f>(Table1[[#This Row],[NET Amount]]-Table1[[#This Row],[Total Outstanding Amount]])/Table1[[#This Row],[NET Amount]]</f>
        <v>1</v>
      </c>
      <c r="S1750" s="2" t="s">
        <v>32</v>
      </c>
    </row>
    <row r="1751" spans="1:19" x14ac:dyDescent="0.3">
      <c r="A1751" s="4">
        <v>1749</v>
      </c>
      <c r="B1751" s="2" t="s">
        <v>25</v>
      </c>
      <c r="C1751" s="3">
        <v>44851</v>
      </c>
      <c r="D1751" s="3" t="str">
        <f>TEXT(Table1[[#This Row],[Admission Date]],"MMMM")</f>
        <v>October</v>
      </c>
      <c r="E1751" s="3">
        <v>44851</v>
      </c>
      <c r="F1751" s="3">
        <v>44851</v>
      </c>
      <c r="G1751" s="2">
        <v>22027398</v>
      </c>
      <c r="H1751" s="2">
        <v>2236299</v>
      </c>
      <c r="I1751" s="2">
        <v>1001666089</v>
      </c>
      <c r="J1751" s="2" t="s">
        <v>809</v>
      </c>
      <c r="K1751" s="10">
        <v>2680</v>
      </c>
      <c r="L1751" s="10">
        <v>500</v>
      </c>
      <c r="M1751" s="10">
        <v>2180</v>
      </c>
      <c r="N1751" s="10">
        <v>2180</v>
      </c>
      <c r="O1751" s="10">
        <f>Table1[[#This Row],[NET Amount]]-Table1[[#This Row],[Paid Amount]]</f>
        <v>0</v>
      </c>
      <c r="P1751" s="2" t="s">
        <v>18</v>
      </c>
      <c r="Q1751" s="2" t="s">
        <v>54</v>
      </c>
      <c r="R1751" s="16">
        <f>(Table1[[#This Row],[NET Amount]]-Table1[[#This Row],[Total Outstanding Amount]])/Table1[[#This Row],[NET Amount]]</f>
        <v>1</v>
      </c>
      <c r="S1751" s="2" t="s">
        <v>97</v>
      </c>
    </row>
    <row r="1752" spans="1:19" x14ac:dyDescent="0.3">
      <c r="A1752" s="4">
        <v>1750</v>
      </c>
      <c r="B1752" s="2" t="s">
        <v>144</v>
      </c>
      <c r="C1752" s="3">
        <v>44843</v>
      </c>
      <c r="D1752" s="3" t="str">
        <f>TEXT(Table1[[#This Row],[Admission Date]],"MMMM")</f>
        <v>October</v>
      </c>
      <c r="E1752" s="3">
        <v>44845</v>
      </c>
      <c r="F1752" s="3">
        <v>44845</v>
      </c>
      <c r="G1752" s="2">
        <v>22026559</v>
      </c>
      <c r="H1752" s="2">
        <v>2235275</v>
      </c>
      <c r="I1752" s="2">
        <v>1001803407</v>
      </c>
      <c r="J1752" s="2" t="s">
        <v>1210</v>
      </c>
      <c r="K1752" s="10">
        <v>8108</v>
      </c>
      <c r="L1752" s="10">
        <v>0</v>
      </c>
      <c r="M1752" s="10">
        <v>8108</v>
      </c>
      <c r="N1752" s="10">
        <v>8108</v>
      </c>
      <c r="O1752" s="10">
        <f>Table1[[#This Row],[NET Amount]]-Table1[[#This Row],[Paid Amount]]</f>
        <v>0</v>
      </c>
      <c r="P1752" s="2" t="s">
        <v>18</v>
      </c>
      <c r="Q1752" s="2" t="s">
        <v>30</v>
      </c>
      <c r="R1752" s="16">
        <f>(Table1[[#This Row],[NET Amount]]-Table1[[#This Row],[Total Outstanding Amount]])/Table1[[#This Row],[NET Amount]]</f>
        <v>1</v>
      </c>
      <c r="S1752" s="2" t="s">
        <v>37</v>
      </c>
    </row>
    <row r="1753" spans="1:19" x14ac:dyDescent="0.3">
      <c r="A1753" s="4">
        <v>1751</v>
      </c>
      <c r="B1753" s="2" t="s">
        <v>45</v>
      </c>
      <c r="C1753" s="3">
        <v>44843</v>
      </c>
      <c r="D1753" s="3" t="str">
        <f>TEXT(Table1[[#This Row],[Admission Date]],"MMMM")</f>
        <v>October</v>
      </c>
      <c r="E1753" s="3">
        <v>44845</v>
      </c>
      <c r="F1753" s="3">
        <v>44845</v>
      </c>
      <c r="G1753" s="2">
        <v>22026505</v>
      </c>
      <c r="H1753" s="2">
        <v>2235305</v>
      </c>
      <c r="I1753" s="2">
        <v>10013435347</v>
      </c>
      <c r="J1753" s="2" t="s">
        <v>1211</v>
      </c>
      <c r="K1753" s="10">
        <v>59997</v>
      </c>
      <c r="L1753" s="10">
        <v>7349</v>
      </c>
      <c r="M1753" s="10">
        <v>52648</v>
      </c>
      <c r="N1753" s="10">
        <v>5909</v>
      </c>
      <c r="O1753" s="10">
        <f>Table1[[#This Row],[NET Amount]]-Table1[[#This Row],[Paid Amount]]</f>
        <v>46739</v>
      </c>
      <c r="P1753" s="2" t="s">
        <v>23</v>
      </c>
      <c r="Q1753" s="2" t="s">
        <v>42</v>
      </c>
      <c r="R1753" s="16">
        <f>(Table1[[#This Row],[NET Amount]]-Table1[[#This Row],[Total Outstanding Amount]])/Table1[[#This Row],[NET Amount]]</f>
        <v>0.11223598237349947</v>
      </c>
      <c r="S1753" s="2" t="s">
        <v>20</v>
      </c>
    </row>
    <row r="1754" spans="1:19" x14ac:dyDescent="0.3">
      <c r="A1754" s="4">
        <v>1752</v>
      </c>
      <c r="B1754" s="2" t="s">
        <v>25</v>
      </c>
      <c r="C1754" s="3">
        <v>44840</v>
      </c>
      <c r="D1754" s="3" t="str">
        <f>TEXT(Table1[[#This Row],[Admission Date]],"MMMM")</f>
        <v>October</v>
      </c>
      <c r="E1754" s="3">
        <v>44840</v>
      </c>
      <c r="F1754" s="3">
        <v>44840</v>
      </c>
      <c r="G1754" s="2">
        <v>22025921</v>
      </c>
      <c r="H1754" s="2">
        <v>2234955</v>
      </c>
      <c r="I1754" s="2">
        <v>1001130529</v>
      </c>
      <c r="J1754" s="2" t="s">
        <v>302</v>
      </c>
      <c r="K1754" s="10">
        <v>2794</v>
      </c>
      <c r="L1754" s="10">
        <v>2794</v>
      </c>
      <c r="M1754" s="10">
        <v>0</v>
      </c>
      <c r="N1754" s="10">
        <v>0</v>
      </c>
      <c r="O1754" s="10">
        <f>Table1[[#This Row],[NET Amount]]-Table1[[#This Row],[Paid Amount]]</f>
        <v>0</v>
      </c>
      <c r="P1754" s="2" t="s">
        <v>18</v>
      </c>
      <c r="Q1754" s="2" t="s">
        <v>90</v>
      </c>
      <c r="R1754" s="16" t="e">
        <f>(Table1[[#This Row],[NET Amount]]-Table1[[#This Row],[Total Outstanding Amount]])/Table1[[#This Row],[NET Amount]]</f>
        <v>#DIV/0!</v>
      </c>
      <c r="S1754" s="2" t="s">
        <v>97</v>
      </c>
    </row>
    <row r="1755" spans="1:19" x14ac:dyDescent="0.3">
      <c r="A1755" s="4">
        <v>1753</v>
      </c>
      <c r="B1755" s="2" t="s">
        <v>50</v>
      </c>
      <c r="C1755" s="3">
        <v>44837</v>
      </c>
      <c r="D1755" s="3" t="str">
        <f>TEXT(Table1[[#This Row],[Admission Date]],"MMMM")</f>
        <v>October</v>
      </c>
      <c r="E1755" s="3">
        <v>44840</v>
      </c>
      <c r="F1755" s="3">
        <v>44840</v>
      </c>
      <c r="G1755" s="2">
        <v>22025874</v>
      </c>
      <c r="H1755" s="2">
        <v>2234461</v>
      </c>
      <c r="I1755" s="2">
        <v>10013457023</v>
      </c>
      <c r="J1755" s="2" t="s">
        <v>1212</v>
      </c>
      <c r="K1755" s="10">
        <v>60320</v>
      </c>
      <c r="L1755" s="10">
        <v>0</v>
      </c>
      <c r="M1755" s="10">
        <v>60320</v>
      </c>
      <c r="N1755" s="10">
        <v>2520</v>
      </c>
      <c r="O1755" s="10">
        <f>Table1[[#This Row],[NET Amount]]-Table1[[#This Row],[Paid Amount]]</f>
        <v>57800</v>
      </c>
      <c r="P1755" s="2" t="s">
        <v>23</v>
      </c>
      <c r="Q1755" s="2" t="s">
        <v>52</v>
      </c>
      <c r="R1755" s="16">
        <f>(Table1[[#This Row],[NET Amount]]-Table1[[#This Row],[Total Outstanding Amount]])/Table1[[#This Row],[NET Amount]]</f>
        <v>4.1777188328912467E-2</v>
      </c>
      <c r="S1755" s="2" t="s">
        <v>27</v>
      </c>
    </row>
    <row r="1756" spans="1:19" x14ac:dyDescent="0.3">
      <c r="A1756" s="4">
        <v>1754</v>
      </c>
      <c r="B1756" s="2" t="s">
        <v>75</v>
      </c>
      <c r="C1756" s="3">
        <v>44837</v>
      </c>
      <c r="D1756" s="3" t="str">
        <f>TEXT(Table1[[#This Row],[Admission Date]],"MMMM")</f>
        <v>October</v>
      </c>
      <c r="E1756" s="3">
        <v>44841</v>
      </c>
      <c r="F1756" s="3">
        <v>44841</v>
      </c>
      <c r="G1756" s="2">
        <v>22025950</v>
      </c>
      <c r="H1756" s="2">
        <v>2234401</v>
      </c>
      <c r="I1756" s="2">
        <v>10013537562</v>
      </c>
      <c r="J1756" s="2" t="s">
        <v>1213</v>
      </c>
      <c r="K1756" s="10">
        <v>24794</v>
      </c>
      <c r="L1756" s="10">
        <v>0</v>
      </c>
      <c r="M1756" s="10">
        <v>24794</v>
      </c>
      <c r="N1756" s="10">
        <v>300</v>
      </c>
      <c r="O1756" s="10">
        <f>Table1[[#This Row],[NET Amount]]-Table1[[#This Row],[Paid Amount]]</f>
        <v>24494</v>
      </c>
      <c r="P1756" s="2" t="s">
        <v>23</v>
      </c>
      <c r="Q1756" s="2" t="s">
        <v>24</v>
      </c>
      <c r="R1756" s="16">
        <f>(Table1[[#This Row],[NET Amount]]-Table1[[#This Row],[Total Outstanding Amount]])/Table1[[#This Row],[NET Amount]]</f>
        <v>1.209970154069533E-2</v>
      </c>
      <c r="S1756" s="2" t="s">
        <v>27</v>
      </c>
    </row>
    <row r="1757" spans="1:19" x14ac:dyDescent="0.3">
      <c r="A1757" s="4">
        <v>1755</v>
      </c>
      <c r="B1757" s="2" t="s">
        <v>2244</v>
      </c>
      <c r="C1757" s="3">
        <v>44854</v>
      </c>
      <c r="D1757" s="3" t="str">
        <f>TEXT(Table1[[#This Row],[Admission Date]],"MMMM")</f>
        <v>October</v>
      </c>
      <c r="E1757" s="3">
        <v>44854</v>
      </c>
      <c r="F1757" s="3">
        <v>44854</v>
      </c>
      <c r="G1757" s="2">
        <v>22027931</v>
      </c>
      <c r="H1757" s="2">
        <v>2236769</v>
      </c>
      <c r="I1757" s="2">
        <v>1001755099</v>
      </c>
      <c r="J1757" s="2" t="s">
        <v>750</v>
      </c>
      <c r="K1757" s="10">
        <v>2560</v>
      </c>
      <c r="L1757" s="10">
        <v>0</v>
      </c>
      <c r="M1757" s="10">
        <v>2560</v>
      </c>
      <c r="N1757" s="10">
        <v>2560</v>
      </c>
      <c r="O1757" s="10">
        <f>Table1[[#This Row],[NET Amount]]-Table1[[#This Row],[Paid Amount]]</f>
        <v>0</v>
      </c>
      <c r="P1757" s="2" t="s">
        <v>18</v>
      </c>
      <c r="Q1757" s="2" t="s">
        <v>54</v>
      </c>
      <c r="R1757" s="16">
        <f>(Table1[[#This Row],[NET Amount]]-Table1[[#This Row],[Total Outstanding Amount]])/Table1[[#This Row],[NET Amount]]</f>
        <v>1</v>
      </c>
      <c r="S1757" s="2" t="s">
        <v>97</v>
      </c>
    </row>
    <row r="1758" spans="1:19" x14ac:dyDescent="0.3">
      <c r="A1758" s="4">
        <v>1756</v>
      </c>
      <c r="B1758" s="2" t="s">
        <v>25</v>
      </c>
      <c r="C1758" s="3">
        <v>44855</v>
      </c>
      <c r="D1758" s="3" t="str">
        <f>TEXT(Table1[[#This Row],[Admission Date]],"MMMM")</f>
        <v>October</v>
      </c>
      <c r="E1758" s="3">
        <v>44856</v>
      </c>
      <c r="F1758" s="3">
        <v>44856</v>
      </c>
      <c r="G1758" s="2">
        <v>22028163</v>
      </c>
      <c r="H1758" s="2">
        <v>2236928</v>
      </c>
      <c r="I1758" s="2">
        <v>1001188262</v>
      </c>
      <c r="J1758" s="2" t="s">
        <v>1214</v>
      </c>
      <c r="K1758" s="10">
        <v>45188</v>
      </c>
      <c r="L1758" s="10">
        <v>7582</v>
      </c>
      <c r="M1758" s="10">
        <v>37605</v>
      </c>
      <c r="N1758" s="10">
        <v>37605</v>
      </c>
      <c r="O1758" s="10">
        <f>Table1[[#This Row],[NET Amount]]-Table1[[#This Row],[Paid Amount]]</f>
        <v>0</v>
      </c>
      <c r="P1758" s="2" t="s">
        <v>18</v>
      </c>
      <c r="Q1758" s="2" t="s">
        <v>24</v>
      </c>
      <c r="R1758" s="16">
        <f>(Table1[[#This Row],[NET Amount]]-Table1[[#This Row],[Total Outstanding Amount]])/Table1[[#This Row],[NET Amount]]</f>
        <v>1</v>
      </c>
      <c r="S1758" s="2" t="s">
        <v>39</v>
      </c>
    </row>
    <row r="1759" spans="1:19" x14ac:dyDescent="0.3">
      <c r="A1759" s="4">
        <v>1757</v>
      </c>
      <c r="B1759" s="2" t="s">
        <v>25</v>
      </c>
      <c r="C1759" s="3">
        <v>44854</v>
      </c>
      <c r="D1759" s="3" t="str">
        <f>TEXT(Table1[[#This Row],[Admission Date]],"MMMM")</f>
        <v>October</v>
      </c>
      <c r="E1759" s="3">
        <v>44856</v>
      </c>
      <c r="F1759" s="3">
        <v>44856</v>
      </c>
      <c r="G1759" s="2">
        <v>22028189</v>
      </c>
      <c r="H1759" s="2">
        <v>2236828</v>
      </c>
      <c r="I1759" s="2">
        <v>1001805513</v>
      </c>
      <c r="J1759" s="2" t="s">
        <v>1215</v>
      </c>
      <c r="K1759" s="10">
        <v>47479</v>
      </c>
      <c r="L1759" s="10">
        <v>10402</v>
      </c>
      <c r="M1759" s="10">
        <v>37077</v>
      </c>
      <c r="N1759" s="10">
        <v>37077</v>
      </c>
      <c r="O1759" s="10">
        <f>Table1[[#This Row],[NET Amount]]-Table1[[#This Row],[Paid Amount]]</f>
        <v>0</v>
      </c>
      <c r="P1759" s="2" t="s">
        <v>18</v>
      </c>
      <c r="Q1759" s="2" t="s">
        <v>19</v>
      </c>
      <c r="R1759" s="16">
        <f>(Table1[[#This Row],[NET Amount]]-Table1[[#This Row],[Total Outstanding Amount]])/Table1[[#This Row],[NET Amount]]</f>
        <v>1</v>
      </c>
      <c r="S1759" s="2" t="s">
        <v>20</v>
      </c>
    </row>
    <row r="1760" spans="1:19" x14ac:dyDescent="0.3">
      <c r="A1760" s="4">
        <v>1758</v>
      </c>
      <c r="B1760" s="2" t="s">
        <v>149</v>
      </c>
      <c r="C1760" s="3">
        <v>44846</v>
      </c>
      <c r="D1760" s="3" t="str">
        <f>TEXT(Table1[[#This Row],[Admission Date]],"MMMM")</f>
        <v>October</v>
      </c>
      <c r="E1760" s="3">
        <v>44848</v>
      </c>
      <c r="F1760" s="3">
        <v>44848</v>
      </c>
      <c r="G1760" s="2">
        <v>22026997</v>
      </c>
      <c r="H1760" s="2">
        <v>2235731</v>
      </c>
      <c r="I1760" s="2">
        <v>1001803998</v>
      </c>
      <c r="J1760" s="2" t="s">
        <v>1216</v>
      </c>
      <c r="K1760" s="10">
        <v>205108</v>
      </c>
      <c r="L1760" s="10">
        <v>0</v>
      </c>
      <c r="M1760" s="10">
        <v>205108</v>
      </c>
      <c r="N1760" s="10">
        <v>1500</v>
      </c>
      <c r="O1760" s="10">
        <f>Table1[[#This Row],[NET Amount]]-Table1[[#This Row],[Paid Amount]]</f>
        <v>203608</v>
      </c>
      <c r="P1760" s="2" t="s">
        <v>23</v>
      </c>
      <c r="Q1760" s="2" t="s">
        <v>47</v>
      </c>
      <c r="R1760" s="16">
        <f>(Table1[[#This Row],[NET Amount]]-Table1[[#This Row],[Total Outstanding Amount]])/Table1[[#This Row],[NET Amount]]</f>
        <v>7.3132203522046921E-3</v>
      </c>
      <c r="S1760" s="2" t="s">
        <v>39</v>
      </c>
    </row>
    <row r="1761" spans="1:19" x14ac:dyDescent="0.3">
      <c r="A1761" s="4">
        <v>1759</v>
      </c>
      <c r="B1761" s="2" t="s">
        <v>25</v>
      </c>
      <c r="C1761" s="3">
        <v>44846</v>
      </c>
      <c r="D1761" s="3" t="str">
        <f>TEXT(Table1[[#This Row],[Admission Date]],"MMMM")</f>
        <v>October</v>
      </c>
      <c r="E1761" s="3">
        <v>44847</v>
      </c>
      <c r="F1761" s="3">
        <v>44847</v>
      </c>
      <c r="G1761" s="2">
        <v>22026850</v>
      </c>
      <c r="H1761" s="2">
        <v>2235712</v>
      </c>
      <c r="I1761" s="2">
        <v>1001803960</v>
      </c>
      <c r="J1761" s="2" t="s">
        <v>1217</v>
      </c>
      <c r="K1761" s="10">
        <v>14314</v>
      </c>
      <c r="L1761" s="10">
        <v>1250</v>
      </c>
      <c r="M1761" s="10">
        <v>13064</v>
      </c>
      <c r="N1761" s="10">
        <v>13064</v>
      </c>
      <c r="O1761" s="10">
        <f>Table1[[#This Row],[NET Amount]]-Table1[[#This Row],[Paid Amount]]</f>
        <v>0</v>
      </c>
      <c r="P1761" s="2" t="s">
        <v>18</v>
      </c>
      <c r="Q1761" s="2" t="s">
        <v>24</v>
      </c>
      <c r="R1761" s="16">
        <f>(Table1[[#This Row],[NET Amount]]-Table1[[#This Row],[Total Outstanding Amount]])/Table1[[#This Row],[NET Amount]]</f>
        <v>1</v>
      </c>
      <c r="S1761" s="2" t="s">
        <v>32</v>
      </c>
    </row>
    <row r="1762" spans="1:19" x14ac:dyDescent="0.3">
      <c r="A1762" s="4">
        <v>1760</v>
      </c>
      <c r="B1762" s="2" t="s">
        <v>75</v>
      </c>
      <c r="C1762" s="3">
        <v>44844</v>
      </c>
      <c r="D1762" s="3" t="str">
        <f>TEXT(Table1[[#This Row],[Admission Date]],"MMMM")</f>
        <v>October</v>
      </c>
      <c r="E1762" s="3">
        <v>44847</v>
      </c>
      <c r="F1762" s="3">
        <v>44847</v>
      </c>
      <c r="G1762" s="2">
        <v>22026930</v>
      </c>
      <c r="H1762" s="2">
        <v>2235383</v>
      </c>
      <c r="I1762" s="2">
        <v>10013474403</v>
      </c>
      <c r="J1762" s="2" t="s">
        <v>770</v>
      </c>
      <c r="K1762" s="10">
        <v>32549</v>
      </c>
      <c r="L1762" s="10">
        <v>0</v>
      </c>
      <c r="M1762" s="10">
        <v>32549</v>
      </c>
      <c r="N1762" s="10">
        <v>50</v>
      </c>
      <c r="O1762" s="10">
        <f>Table1[[#This Row],[NET Amount]]-Table1[[#This Row],[Paid Amount]]</f>
        <v>32499</v>
      </c>
      <c r="P1762" s="2" t="s">
        <v>23</v>
      </c>
      <c r="Q1762" s="2" t="s">
        <v>19</v>
      </c>
      <c r="R1762" s="16">
        <f>(Table1[[#This Row],[NET Amount]]-Table1[[#This Row],[Total Outstanding Amount]])/Table1[[#This Row],[NET Amount]]</f>
        <v>1.5361455037021107E-3</v>
      </c>
      <c r="S1762" s="2" t="s">
        <v>39</v>
      </c>
    </row>
    <row r="1763" spans="1:19" x14ac:dyDescent="0.3">
      <c r="A1763" s="4">
        <v>1761</v>
      </c>
      <c r="B1763" s="2" t="s">
        <v>25</v>
      </c>
      <c r="C1763" s="3">
        <v>44846</v>
      </c>
      <c r="D1763" s="3" t="str">
        <f>TEXT(Table1[[#This Row],[Admission Date]],"MMMM")</f>
        <v>October</v>
      </c>
      <c r="E1763" s="3">
        <v>44847</v>
      </c>
      <c r="F1763" s="3">
        <v>44847</v>
      </c>
      <c r="G1763" s="2">
        <v>22026849</v>
      </c>
      <c r="H1763" s="2">
        <v>2235726</v>
      </c>
      <c r="I1763" s="2">
        <v>10013542734</v>
      </c>
      <c r="J1763" s="2" t="s">
        <v>1218</v>
      </c>
      <c r="K1763" s="10">
        <v>184154</v>
      </c>
      <c r="L1763" s="10">
        <v>9680</v>
      </c>
      <c r="M1763" s="10">
        <v>174474</v>
      </c>
      <c r="N1763" s="10">
        <v>174474</v>
      </c>
      <c r="O1763" s="10">
        <f>Table1[[#This Row],[NET Amount]]-Table1[[#This Row],[Paid Amount]]</f>
        <v>0</v>
      </c>
      <c r="P1763" s="2" t="s">
        <v>18</v>
      </c>
      <c r="Q1763" s="2" t="s">
        <v>24</v>
      </c>
      <c r="R1763" s="16">
        <f>(Table1[[#This Row],[NET Amount]]-Table1[[#This Row],[Total Outstanding Amount]])/Table1[[#This Row],[NET Amount]]</f>
        <v>1</v>
      </c>
      <c r="S1763" s="2" t="s">
        <v>39</v>
      </c>
    </row>
    <row r="1764" spans="1:19" x14ac:dyDescent="0.3">
      <c r="A1764" s="4">
        <v>1762</v>
      </c>
      <c r="B1764" s="2" t="s">
        <v>126</v>
      </c>
      <c r="C1764" s="3">
        <v>44833</v>
      </c>
      <c r="D1764" s="3" t="str">
        <f>TEXT(Table1[[#This Row],[Admission Date]],"MMMM")</f>
        <v>September</v>
      </c>
      <c r="E1764" s="3">
        <v>44836</v>
      </c>
      <c r="F1764" s="3">
        <v>44836</v>
      </c>
      <c r="G1764" s="2">
        <v>22025295</v>
      </c>
      <c r="H1764" s="2">
        <v>2233992</v>
      </c>
      <c r="I1764" s="2">
        <v>10013539033</v>
      </c>
      <c r="J1764" s="2" t="s">
        <v>1219</v>
      </c>
      <c r="K1764" s="10">
        <v>86735</v>
      </c>
      <c r="L1764" s="10">
        <v>11262</v>
      </c>
      <c r="M1764" s="10">
        <v>75473</v>
      </c>
      <c r="N1764" s="10">
        <v>75473</v>
      </c>
      <c r="O1764" s="10">
        <f>Table1[[#This Row],[NET Amount]]-Table1[[#This Row],[Paid Amount]]</f>
        <v>0</v>
      </c>
      <c r="P1764" s="2" t="s">
        <v>18</v>
      </c>
      <c r="Q1764" s="2" t="s">
        <v>19</v>
      </c>
      <c r="R1764" s="16">
        <f>(Table1[[#This Row],[NET Amount]]-Table1[[#This Row],[Total Outstanding Amount]])/Table1[[#This Row],[NET Amount]]</f>
        <v>1</v>
      </c>
      <c r="S1764" s="2" t="s">
        <v>20</v>
      </c>
    </row>
    <row r="1765" spans="1:19" x14ac:dyDescent="0.3">
      <c r="A1765" s="4">
        <v>1763</v>
      </c>
      <c r="B1765" s="2" t="s">
        <v>1220</v>
      </c>
      <c r="C1765" s="3">
        <v>44837</v>
      </c>
      <c r="D1765" s="3" t="str">
        <f>TEXT(Table1[[#This Row],[Admission Date]],"MMMM")</f>
        <v>October</v>
      </c>
      <c r="E1765" s="3">
        <v>44842</v>
      </c>
      <c r="F1765" s="3">
        <v>44842</v>
      </c>
      <c r="G1765" s="2">
        <v>22026135</v>
      </c>
      <c r="H1765" s="2">
        <v>2234403</v>
      </c>
      <c r="I1765" s="2">
        <v>10013541352</v>
      </c>
      <c r="J1765" s="2" t="s">
        <v>1221</v>
      </c>
      <c r="K1765" s="10">
        <v>126668</v>
      </c>
      <c r="L1765" s="10">
        <v>0</v>
      </c>
      <c r="M1765" s="10">
        <v>126668</v>
      </c>
      <c r="N1765" s="10">
        <v>4812</v>
      </c>
      <c r="O1765" s="10">
        <f>Table1[[#This Row],[NET Amount]]-Table1[[#This Row],[Paid Amount]]</f>
        <v>121856</v>
      </c>
      <c r="P1765" s="2" t="s">
        <v>23</v>
      </c>
      <c r="Q1765" s="2" t="s">
        <v>24</v>
      </c>
      <c r="R1765" s="16">
        <f>(Table1[[#This Row],[NET Amount]]-Table1[[#This Row],[Total Outstanding Amount]])/Table1[[#This Row],[NET Amount]]</f>
        <v>3.7989073799223165E-2</v>
      </c>
      <c r="S1765" s="2" t="s">
        <v>65</v>
      </c>
    </row>
    <row r="1766" spans="1:19" x14ac:dyDescent="0.3">
      <c r="A1766" s="4">
        <v>1764</v>
      </c>
      <c r="B1766" s="2" t="s">
        <v>28</v>
      </c>
      <c r="C1766" s="3">
        <v>44840</v>
      </c>
      <c r="D1766" s="3" t="str">
        <f>TEXT(Table1[[#This Row],[Admission Date]],"MMMM")</f>
        <v>October</v>
      </c>
      <c r="E1766" s="3">
        <v>44842</v>
      </c>
      <c r="F1766" s="3">
        <v>44842</v>
      </c>
      <c r="G1766" s="2">
        <v>22026111</v>
      </c>
      <c r="H1766" s="2">
        <v>2234812</v>
      </c>
      <c r="I1766" s="2">
        <v>10013541390</v>
      </c>
      <c r="J1766" s="2" t="s">
        <v>1222</v>
      </c>
      <c r="K1766" s="10">
        <v>178226</v>
      </c>
      <c r="L1766" s="10">
        <v>17600</v>
      </c>
      <c r="M1766" s="10">
        <v>160626</v>
      </c>
      <c r="N1766" s="10">
        <v>1573</v>
      </c>
      <c r="O1766" s="10">
        <f>Table1[[#This Row],[NET Amount]]-Table1[[#This Row],[Paid Amount]]</f>
        <v>159053</v>
      </c>
      <c r="P1766" s="2" t="s">
        <v>23</v>
      </c>
      <c r="Q1766" s="2" t="s">
        <v>30</v>
      </c>
      <c r="R1766" s="16">
        <f>(Table1[[#This Row],[NET Amount]]-Table1[[#This Row],[Total Outstanding Amount]])/Table1[[#This Row],[NET Amount]]</f>
        <v>9.7929351412598207E-3</v>
      </c>
      <c r="S1766" s="2" t="s">
        <v>27</v>
      </c>
    </row>
    <row r="1767" spans="1:19" x14ac:dyDescent="0.3">
      <c r="A1767" s="4">
        <v>1765</v>
      </c>
      <c r="B1767" s="2" t="s">
        <v>139</v>
      </c>
      <c r="C1767" s="3">
        <v>44840</v>
      </c>
      <c r="D1767" s="3" t="str">
        <f>TEXT(Table1[[#This Row],[Admission Date]],"MMMM")</f>
        <v>October</v>
      </c>
      <c r="E1767" s="3">
        <v>44842</v>
      </c>
      <c r="F1767" s="3">
        <v>44842</v>
      </c>
      <c r="G1767" s="2">
        <v>22026102</v>
      </c>
      <c r="H1767" s="2">
        <v>2234880</v>
      </c>
      <c r="I1767" s="2">
        <v>1001802826</v>
      </c>
      <c r="J1767" s="2" t="s">
        <v>1223</v>
      </c>
      <c r="K1767" s="10">
        <v>91619</v>
      </c>
      <c r="L1767" s="10">
        <v>0</v>
      </c>
      <c r="M1767" s="10">
        <v>91619</v>
      </c>
      <c r="N1767" s="10">
        <v>19756</v>
      </c>
      <c r="O1767" s="10">
        <f>Table1[[#This Row],[NET Amount]]-Table1[[#This Row],[Paid Amount]]</f>
        <v>71863</v>
      </c>
      <c r="P1767" s="2" t="s">
        <v>23</v>
      </c>
      <c r="Q1767" s="2" t="s">
        <v>52</v>
      </c>
      <c r="R1767" s="16">
        <f>(Table1[[#This Row],[NET Amount]]-Table1[[#This Row],[Total Outstanding Amount]])/Table1[[#This Row],[NET Amount]]</f>
        <v>0.21563212870692761</v>
      </c>
      <c r="S1767" s="2" t="s">
        <v>57</v>
      </c>
    </row>
    <row r="1768" spans="1:19" x14ac:dyDescent="0.3">
      <c r="A1768" s="4">
        <v>1766</v>
      </c>
      <c r="B1768" s="2" t="s">
        <v>2257</v>
      </c>
      <c r="C1768" s="3">
        <v>44862</v>
      </c>
      <c r="D1768" s="3" t="str">
        <f>TEXT(Table1[[#This Row],[Admission Date]],"MMMM")</f>
        <v>October</v>
      </c>
      <c r="E1768" s="3">
        <v>44865</v>
      </c>
      <c r="F1768" s="3">
        <v>44865</v>
      </c>
      <c r="G1768" s="2">
        <v>22029319</v>
      </c>
      <c r="H1768" s="2">
        <v>2237895</v>
      </c>
      <c r="I1768" s="2">
        <v>1001806875</v>
      </c>
      <c r="J1768" s="2" t="s">
        <v>1167</v>
      </c>
      <c r="K1768" s="10">
        <v>36704</v>
      </c>
      <c r="L1768" s="10">
        <v>5745</v>
      </c>
      <c r="M1768" s="10">
        <v>30959</v>
      </c>
      <c r="N1768" s="10">
        <v>2459</v>
      </c>
      <c r="O1768" s="10">
        <f>Table1[[#This Row],[NET Amount]]-Table1[[#This Row],[Paid Amount]]</f>
        <v>28500</v>
      </c>
      <c r="P1768" s="2" t="s">
        <v>23</v>
      </c>
      <c r="Q1768" s="2" t="s">
        <v>19</v>
      </c>
      <c r="R1768" s="16">
        <f>(Table1[[#This Row],[NET Amount]]-Table1[[#This Row],[Total Outstanding Amount]])/Table1[[#This Row],[NET Amount]]</f>
        <v>7.9427630091411225E-2</v>
      </c>
      <c r="S1768" s="2" t="s">
        <v>20</v>
      </c>
    </row>
    <row r="1769" spans="1:19" x14ac:dyDescent="0.3">
      <c r="A1769" s="4">
        <v>1767</v>
      </c>
      <c r="B1769" s="2" t="s">
        <v>25</v>
      </c>
      <c r="C1769" s="3">
        <v>44835</v>
      </c>
      <c r="D1769" s="3" t="str">
        <f>TEXT(Table1[[#This Row],[Admission Date]],"MMMM")</f>
        <v>October</v>
      </c>
      <c r="E1769" s="3">
        <v>44836</v>
      </c>
      <c r="F1769" s="3">
        <v>44836</v>
      </c>
      <c r="G1769" s="2">
        <v>22025324</v>
      </c>
      <c r="H1769" s="2">
        <v>2234263</v>
      </c>
      <c r="I1769" s="2">
        <v>1001801938</v>
      </c>
      <c r="J1769" s="2" t="s">
        <v>1224</v>
      </c>
      <c r="K1769" s="10">
        <v>48222</v>
      </c>
      <c r="L1769" s="10">
        <v>19222</v>
      </c>
      <c r="M1769" s="10">
        <v>29000</v>
      </c>
      <c r="N1769" s="10">
        <v>29000</v>
      </c>
      <c r="O1769" s="10">
        <f>Table1[[#This Row],[NET Amount]]-Table1[[#This Row],[Paid Amount]]</f>
        <v>0</v>
      </c>
      <c r="P1769" s="2" t="s">
        <v>18</v>
      </c>
      <c r="Q1769" s="2" t="s">
        <v>69</v>
      </c>
      <c r="R1769" s="16">
        <f>(Table1[[#This Row],[NET Amount]]-Table1[[#This Row],[Total Outstanding Amount]])/Table1[[#This Row],[NET Amount]]</f>
        <v>1</v>
      </c>
      <c r="S1769" s="2" t="s">
        <v>32</v>
      </c>
    </row>
    <row r="1770" spans="1:19" x14ac:dyDescent="0.3">
      <c r="A1770" s="4">
        <v>1768</v>
      </c>
      <c r="B1770" s="2" t="s">
        <v>50</v>
      </c>
      <c r="C1770" s="3">
        <v>44856</v>
      </c>
      <c r="D1770" s="3" t="str">
        <f>TEXT(Table1[[#This Row],[Admission Date]],"MMMM")</f>
        <v>October</v>
      </c>
      <c r="E1770" s="3">
        <v>44857</v>
      </c>
      <c r="F1770" s="3">
        <v>44857</v>
      </c>
      <c r="G1770" s="2">
        <v>22028323</v>
      </c>
      <c r="H1770" s="2">
        <v>2236993</v>
      </c>
      <c r="I1770" s="2">
        <v>1001805718</v>
      </c>
      <c r="J1770" s="2" t="s">
        <v>1225</v>
      </c>
      <c r="K1770" s="10">
        <v>3036</v>
      </c>
      <c r="L1770" s="10">
        <v>0</v>
      </c>
      <c r="M1770" s="10">
        <v>3036</v>
      </c>
      <c r="N1770" s="10">
        <v>3036</v>
      </c>
      <c r="O1770" s="10">
        <f>Table1[[#This Row],[NET Amount]]-Table1[[#This Row],[Paid Amount]]</f>
        <v>0</v>
      </c>
      <c r="P1770" s="2" t="s">
        <v>18</v>
      </c>
      <c r="Q1770" s="2" t="s">
        <v>30</v>
      </c>
      <c r="R1770" s="16">
        <f>(Table1[[#This Row],[NET Amount]]-Table1[[#This Row],[Total Outstanding Amount]])/Table1[[#This Row],[NET Amount]]</f>
        <v>1</v>
      </c>
      <c r="S1770" s="2" t="s">
        <v>37</v>
      </c>
    </row>
    <row r="1771" spans="1:19" x14ac:dyDescent="0.3">
      <c r="A1771" s="4">
        <v>1769</v>
      </c>
      <c r="B1771" s="2" t="s">
        <v>25</v>
      </c>
      <c r="C1771" s="3">
        <v>44857</v>
      </c>
      <c r="D1771" s="3" t="str">
        <f>TEXT(Table1[[#This Row],[Admission Date]],"MMMM")</f>
        <v>October</v>
      </c>
      <c r="E1771" s="3">
        <v>44857</v>
      </c>
      <c r="F1771" s="3">
        <v>44857</v>
      </c>
      <c r="G1771" s="2">
        <v>22028315</v>
      </c>
      <c r="H1771" s="2">
        <v>2237133</v>
      </c>
      <c r="I1771" s="2">
        <v>10013424453</v>
      </c>
      <c r="J1771" s="2" t="s">
        <v>333</v>
      </c>
      <c r="K1771" s="10">
        <v>4990</v>
      </c>
      <c r="L1771" s="10">
        <v>413</v>
      </c>
      <c r="M1771" s="10">
        <v>4577</v>
      </c>
      <c r="N1771" s="10">
        <v>4577</v>
      </c>
      <c r="O1771" s="10">
        <f>Table1[[#This Row],[NET Amount]]-Table1[[#This Row],[Paid Amount]]</f>
        <v>0</v>
      </c>
      <c r="P1771" s="2" t="s">
        <v>18</v>
      </c>
      <c r="Q1771" s="2" t="s">
        <v>54</v>
      </c>
      <c r="R1771" s="16">
        <f>(Table1[[#This Row],[NET Amount]]-Table1[[#This Row],[Total Outstanding Amount]])/Table1[[#This Row],[NET Amount]]</f>
        <v>1</v>
      </c>
      <c r="S1771" s="2" t="s">
        <v>97</v>
      </c>
    </row>
    <row r="1772" spans="1:19" x14ac:dyDescent="0.3">
      <c r="A1772" s="4">
        <v>1770</v>
      </c>
      <c r="B1772" s="2" t="s">
        <v>25</v>
      </c>
      <c r="C1772" s="3">
        <v>44835</v>
      </c>
      <c r="D1772" s="3" t="str">
        <f>TEXT(Table1[[#This Row],[Admission Date]],"MMMM")</f>
        <v>October</v>
      </c>
      <c r="E1772" s="3">
        <v>44838</v>
      </c>
      <c r="F1772" s="3">
        <v>44838</v>
      </c>
      <c r="G1772" s="2">
        <v>22025506</v>
      </c>
      <c r="H1772" s="2">
        <v>2234220</v>
      </c>
      <c r="I1772" s="2">
        <v>10013230808</v>
      </c>
      <c r="J1772" s="2" t="s">
        <v>1226</v>
      </c>
      <c r="K1772" s="10">
        <v>55349</v>
      </c>
      <c r="L1772" s="10">
        <v>11780</v>
      </c>
      <c r="M1772" s="10">
        <v>43569</v>
      </c>
      <c r="N1772" s="10">
        <v>43569</v>
      </c>
      <c r="O1772" s="10">
        <f>Table1[[#This Row],[NET Amount]]-Table1[[#This Row],[Paid Amount]]</f>
        <v>0</v>
      </c>
      <c r="P1772" s="2" t="s">
        <v>18</v>
      </c>
      <c r="Q1772" s="2" t="s">
        <v>24</v>
      </c>
      <c r="R1772" s="16">
        <f>(Table1[[#This Row],[NET Amount]]-Table1[[#This Row],[Total Outstanding Amount]])/Table1[[#This Row],[NET Amount]]</f>
        <v>1</v>
      </c>
      <c r="S1772" s="2" t="s">
        <v>20</v>
      </c>
    </row>
    <row r="1773" spans="1:19" x14ac:dyDescent="0.3">
      <c r="A1773" s="4">
        <v>1771</v>
      </c>
      <c r="B1773" s="2" t="s">
        <v>91</v>
      </c>
      <c r="C1773" s="3">
        <v>44859</v>
      </c>
      <c r="D1773" s="3" t="str">
        <f>TEXT(Table1[[#This Row],[Admission Date]],"MMMM")</f>
        <v>October</v>
      </c>
      <c r="E1773" s="3">
        <v>44860</v>
      </c>
      <c r="F1773" s="3">
        <v>44860</v>
      </c>
      <c r="G1773" s="2">
        <v>22028630</v>
      </c>
      <c r="H1773" s="2">
        <v>2237256</v>
      </c>
      <c r="I1773" s="2">
        <v>1001806005</v>
      </c>
      <c r="J1773" s="2" t="s">
        <v>1227</v>
      </c>
      <c r="K1773" s="10">
        <v>250057</v>
      </c>
      <c r="L1773" s="10">
        <v>18338</v>
      </c>
      <c r="M1773" s="10">
        <v>231719</v>
      </c>
      <c r="N1773" s="10">
        <v>23969</v>
      </c>
      <c r="O1773" s="10">
        <f>Table1[[#This Row],[NET Amount]]-Table1[[#This Row],[Paid Amount]]</f>
        <v>207750</v>
      </c>
      <c r="P1773" s="2" t="s">
        <v>23</v>
      </c>
      <c r="Q1773" s="2" t="s">
        <v>30</v>
      </c>
      <c r="R1773" s="16">
        <f>(Table1[[#This Row],[NET Amount]]-Table1[[#This Row],[Total Outstanding Amount]])/Table1[[#This Row],[NET Amount]]</f>
        <v>0.10343994234395971</v>
      </c>
      <c r="S1773" s="2" t="s">
        <v>55</v>
      </c>
    </row>
    <row r="1774" spans="1:19" x14ac:dyDescent="0.3">
      <c r="A1774" s="4">
        <v>1772</v>
      </c>
      <c r="B1774" s="2" t="s">
        <v>25</v>
      </c>
      <c r="C1774" s="3">
        <v>44859</v>
      </c>
      <c r="D1774" s="3" t="str">
        <f>TEXT(Table1[[#This Row],[Admission Date]],"MMMM")</f>
        <v>October</v>
      </c>
      <c r="E1774" s="3">
        <v>44859</v>
      </c>
      <c r="F1774" s="3">
        <v>44859</v>
      </c>
      <c r="G1774" s="2">
        <v>22028492</v>
      </c>
      <c r="H1774" s="2">
        <v>2237259</v>
      </c>
      <c r="I1774" s="2">
        <v>1001002708</v>
      </c>
      <c r="J1774" s="2" t="s">
        <v>1228</v>
      </c>
      <c r="K1774" s="10">
        <v>34199</v>
      </c>
      <c r="L1774" s="10">
        <v>24699</v>
      </c>
      <c r="M1774" s="10">
        <v>9500</v>
      </c>
      <c r="N1774" s="10">
        <v>9500</v>
      </c>
      <c r="O1774" s="10">
        <f>Table1[[#This Row],[NET Amount]]-Table1[[#This Row],[Paid Amount]]</f>
        <v>0</v>
      </c>
      <c r="P1774" s="2" t="s">
        <v>23</v>
      </c>
      <c r="Q1774" s="2" t="s">
        <v>24</v>
      </c>
      <c r="R1774" s="16">
        <f>(Table1[[#This Row],[NET Amount]]-Table1[[#This Row],[Total Outstanding Amount]])/Table1[[#This Row],[NET Amount]]</f>
        <v>1</v>
      </c>
      <c r="S1774" s="2" t="s">
        <v>20</v>
      </c>
    </row>
    <row r="1775" spans="1:19" x14ac:dyDescent="0.3">
      <c r="A1775" s="4">
        <v>1773</v>
      </c>
      <c r="B1775" s="2" t="s">
        <v>2251</v>
      </c>
      <c r="C1775" s="3">
        <v>44852</v>
      </c>
      <c r="D1775" s="3" t="str">
        <f>TEXT(Table1[[#This Row],[Admission Date]],"MMMM")</f>
        <v>October</v>
      </c>
      <c r="E1775" s="3">
        <v>44854</v>
      </c>
      <c r="F1775" s="3">
        <v>44854</v>
      </c>
      <c r="G1775" s="2">
        <v>22027883</v>
      </c>
      <c r="H1775" s="2">
        <v>2236495</v>
      </c>
      <c r="I1775" s="2">
        <v>1001804753</v>
      </c>
      <c r="J1775" s="2" t="s">
        <v>1229</v>
      </c>
      <c r="K1775" s="10">
        <v>60076</v>
      </c>
      <c r="L1775" s="10">
        <v>0</v>
      </c>
      <c r="M1775" s="10">
        <v>60076</v>
      </c>
      <c r="N1775" s="10">
        <v>2350</v>
      </c>
      <c r="O1775" s="10">
        <f>Table1[[#This Row],[NET Amount]]-Table1[[#This Row],[Paid Amount]]</f>
        <v>57726</v>
      </c>
      <c r="P1775" s="2" t="s">
        <v>23</v>
      </c>
      <c r="Q1775" s="2" t="s">
        <v>30</v>
      </c>
      <c r="R1775" s="16">
        <f>(Table1[[#This Row],[NET Amount]]-Table1[[#This Row],[Total Outstanding Amount]])/Table1[[#This Row],[NET Amount]]</f>
        <v>3.9117118316798719E-2</v>
      </c>
      <c r="S1775" s="2" t="s">
        <v>77</v>
      </c>
    </row>
    <row r="1776" spans="1:19" x14ac:dyDescent="0.3">
      <c r="A1776" s="4">
        <v>1774</v>
      </c>
      <c r="B1776" s="2" t="s">
        <v>25</v>
      </c>
      <c r="C1776" s="3">
        <v>44841</v>
      </c>
      <c r="D1776" s="3" t="str">
        <f>TEXT(Table1[[#This Row],[Admission Date]],"MMMM")</f>
        <v>October</v>
      </c>
      <c r="E1776" s="3">
        <v>44841</v>
      </c>
      <c r="F1776" s="3">
        <v>44841</v>
      </c>
      <c r="G1776" s="2">
        <v>22025984</v>
      </c>
      <c r="H1776" s="2">
        <v>2235024</v>
      </c>
      <c r="I1776" s="2">
        <v>10013527702</v>
      </c>
      <c r="J1776" s="2" t="s">
        <v>553</v>
      </c>
      <c r="K1776" s="10">
        <v>4990</v>
      </c>
      <c r="L1776" s="10">
        <v>419</v>
      </c>
      <c r="M1776" s="10">
        <v>4571</v>
      </c>
      <c r="N1776" s="10">
        <v>4571</v>
      </c>
      <c r="O1776" s="10">
        <f>Table1[[#This Row],[NET Amount]]-Table1[[#This Row],[Paid Amount]]</f>
        <v>0</v>
      </c>
      <c r="P1776" s="2" t="s">
        <v>18</v>
      </c>
      <c r="Q1776" s="2" t="s">
        <v>54</v>
      </c>
      <c r="R1776" s="16">
        <f>(Table1[[#This Row],[NET Amount]]-Table1[[#This Row],[Total Outstanding Amount]])/Table1[[#This Row],[NET Amount]]</f>
        <v>1</v>
      </c>
      <c r="S1776" s="2" t="s">
        <v>97</v>
      </c>
    </row>
    <row r="1777" spans="1:19" x14ac:dyDescent="0.3">
      <c r="A1777" s="4">
        <v>1775</v>
      </c>
      <c r="B1777" s="2" t="s">
        <v>126</v>
      </c>
      <c r="C1777" s="3">
        <v>44836</v>
      </c>
      <c r="D1777" s="3" t="str">
        <f>TEXT(Table1[[#This Row],[Admission Date]],"MMMM")</f>
        <v>October</v>
      </c>
      <c r="E1777" s="3">
        <v>44842</v>
      </c>
      <c r="F1777" s="3">
        <v>44842</v>
      </c>
      <c r="G1777" s="2">
        <v>22026106</v>
      </c>
      <c r="H1777" s="2">
        <v>2234328</v>
      </c>
      <c r="I1777" s="2">
        <v>10013505295</v>
      </c>
      <c r="J1777" s="2" t="s">
        <v>1009</v>
      </c>
      <c r="K1777" s="10">
        <v>127701</v>
      </c>
      <c r="L1777" s="10">
        <v>17704</v>
      </c>
      <c r="M1777" s="10">
        <v>109997</v>
      </c>
      <c r="N1777" s="10">
        <v>30717</v>
      </c>
      <c r="O1777" s="10">
        <f>Table1[[#This Row],[NET Amount]]-Table1[[#This Row],[Paid Amount]]</f>
        <v>79280</v>
      </c>
      <c r="P1777" s="2" t="s">
        <v>23</v>
      </c>
      <c r="Q1777" s="2" t="s">
        <v>30</v>
      </c>
      <c r="R1777" s="16">
        <f>(Table1[[#This Row],[NET Amount]]-Table1[[#This Row],[Total Outstanding Amount]])/Table1[[#This Row],[NET Amount]]</f>
        <v>0.27925307053828741</v>
      </c>
      <c r="S1777" s="2" t="s">
        <v>20</v>
      </c>
    </row>
    <row r="1778" spans="1:19" x14ac:dyDescent="0.3">
      <c r="A1778" s="4">
        <v>1776</v>
      </c>
      <c r="B1778" s="2" t="s">
        <v>25</v>
      </c>
      <c r="C1778" s="3">
        <v>44840</v>
      </c>
      <c r="D1778" s="3" t="str">
        <f>TEXT(Table1[[#This Row],[Admission Date]],"MMMM")</f>
        <v>October</v>
      </c>
      <c r="E1778" s="3">
        <v>44845</v>
      </c>
      <c r="F1778" s="3">
        <v>44845</v>
      </c>
      <c r="G1778" s="2">
        <v>22026591</v>
      </c>
      <c r="H1778" s="2">
        <v>2234940</v>
      </c>
      <c r="I1778" s="2">
        <v>1001802888</v>
      </c>
      <c r="J1778" s="2" t="s">
        <v>1230</v>
      </c>
      <c r="K1778" s="10">
        <v>70010</v>
      </c>
      <c r="L1778" s="10">
        <v>9942</v>
      </c>
      <c r="M1778" s="10">
        <v>60069</v>
      </c>
      <c r="N1778" s="10">
        <v>60069</v>
      </c>
      <c r="O1778" s="10">
        <f>Table1[[#This Row],[NET Amount]]-Table1[[#This Row],[Paid Amount]]</f>
        <v>0</v>
      </c>
      <c r="P1778" s="2" t="s">
        <v>18</v>
      </c>
      <c r="Q1778" s="2" t="s">
        <v>24</v>
      </c>
      <c r="R1778" s="16">
        <f>(Table1[[#This Row],[NET Amount]]-Table1[[#This Row],[Total Outstanding Amount]])/Table1[[#This Row],[NET Amount]]</f>
        <v>1</v>
      </c>
      <c r="S1778" s="2" t="s">
        <v>20</v>
      </c>
    </row>
    <row r="1779" spans="1:19" x14ac:dyDescent="0.3">
      <c r="A1779" s="4">
        <v>1777</v>
      </c>
      <c r="B1779" s="2" t="s">
        <v>93</v>
      </c>
      <c r="C1779" s="3">
        <v>44848</v>
      </c>
      <c r="D1779" s="3" t="str">
        <f>TEXT(Table1[[#This Row],[Admission Date]],"MMMM")</f>
        <v>October</v>
      </c>
      <c r="E1779" s="3">
        <v>44856</v>
      </c>
      <c r="F1779" s="3">
        <v>44856</v>
      </c>
      <c r="G1779" s="2">
        <v>22028196</v>
      </c>
      <c r="H1779" s="2">
        <v>2235991</v>
      </c>
      <c r="I1779" s="2">
        <v>1001004077</v>
      </c>
      <c r="J1779" s="2" t="s">
        <v>1231</v>
      </c>
      <c r="K1779" s="10">
        <v>410847</v>
      </c>
      <c r="L1779" s="10">
        <v>45000</v>
      </c>
      <c r="M1779" s="10">
        <v>365847</v>
      </c>
      <c r="N1779" s="10">
        <v>53906</v>
      </c>
      <c r="O1779" s="10">
        <f>Table1[[#This Row],[NET Amount]]-Table1[[#This Row],[Paid Amount]]</f>
        <v>311941</v>
      </c>
      <c r="P1779" s="2" t="s">
        <v>23</v>
      </c>
      <c r="Q1779" s="2" t="s">
        <v>42</v>
      </c>
      <c r="R1779" s="16">
        <f>(Table1[[#This Row],[NET Amount]]-Table1[[#This Row],[Total Outstanding Amount]])/Table1[[#This Row],[NET Amount]]</f>
        <v>0.14734574835928679</v>
      </c>
      <c r="S1779" s="2" t="s">
        <v>20</v>
      </c>
    </row>
    <row r="1780" spans="1:19" x14ac:dyDescent="0.3">
      <c r="A1780" s="4">
        <v>1778</v>
      </c>
      <c r="B1780" s="2" t="s">
        <v>679</v>
      </c>
      <c r="C1780" s="3">
        <v>44833</v>
      </c>
      <c r="D1780" s="3" t="str">
        <f>TEXT(Table1[[#This Row],[Admission Date]],"MMMM")</f>
        <v>September</v>
      </c>
      <c r="E1780" s="3">
        <v>44835</v>
      </c>
      <c r="F1780" s="3">
        <v>44835</v>
      </c>
      <c r="G1780" s="2">
        <v>22025109</v>
      </c>
      <c r="H1780" s="2">
        <v>2233882</v>
      </c>
      <c r="I1780" s="2">
        <v>10013538729</v>
      </c>
      <c r="J1780" s="2" t="s">
        <v>1232</v>
      </c>
      <c r="K1780" s="10">
        <v>15592</v>
      </c>
      <c r="L1780" s="10">
        <v>0</v>
      </c>
      <c r="M1780" s="10">
        <v>15592</v>
      </c>
      <c r="N1780" s="10">
        <v>15592</v>
      </c>
      <c r="O1780" s="10">
        <f>Table1[[#This Row],[NET Amount]]-Table1[[#This Row],[Paid Amount]]</f>
        <v>0</v>
      </c>
      <c r="P1780" s="2" t="s">
        <v>18</v>
      </c>
      <c r="Q1780" s="2" t="s">
        <v>24</v>
      </c>
      <c r="R1780" s="16">
        <f>(Table1[[#This Row],[NET Amount]]-Table1[[#This Row],[Total Outstanding Amount]])/Table1[[#This Row],[NET Amount]]</f>
        <v>1</v>
      </c>
      <c r="S1780" s="2" t="s">
        <v>43</v>
      </c>
    </row>
    <row r="1781" spans="1:19" x14ac:dyDescent="0.3">
      <c r="A1781" s="4">
        <v>1779</v>
      </c>
      <c r="B1781" s="2" t="s">
        <v>25</v>
      </c>
      <c r="C1781" s="3">
        <v>44859</v>
      </c>
      <c r="D1781" s="3" t="str">
        <f>TEXT(Table1[[#This Row],[Admission Date]],"MMMM")</f>
        <v>October</v>
      </c>
      <c r="E1781" s="3">
        <v>44862</v>
      </c>
      <c r="F1781" s="3">
        <v>44862</v>
      </c>
      <c r="G1781" s="2">
        <v>22028897</v>
      </c>
      <c r="H1781" s="2">
        <v>2237283</v>
      </c>
      <c r="I1781" s="2">
        <v>10013544246</v>
      </c>
      <c r="J1781" s="2" t="s">
        <v>1233</v>
      </c>
      <c r="K1781" s="10">
        <v>78435</v>
      </c>
      <c r="L1781" s="10">
        <v>9442</v>
      </c>
      <c r="M1781" s="10">
        <v>68993</v>
      </c>
      <c r="N1781" s="10">
        <v>68993</v>
      </c>
      <c r="O1781" s="10">
        <f>Table1[[#This Row],[NET Amount]]-Table1[[#This Row],[Paid Amount]]</f>
        <v>0</v>
      </c>
      <c r="P1781" s="2" t="s">
        <v>18</v>
      </c>
      <c r="Q1781" s="2" t="s">
        <v>19</v>
      </c>
      <c r="R1781" s="16">
        <f>(Table1[[#This Row],[NET Amount]]-Table1[[#This Row],[Total Outstanding Amount]])/Table1[[#This Row],[NET Amount]]</f>
        <v>1</v>
      </c>
      <c r="S1781" s="2" t="s">
        <v>20</v>
      </c>
    </row>
    <row r="1782" spans="1:19" x14ac:dyDescent="0.3">
      <c r="A1782" s="4">
        <v>1780</v>
      </c>
      <c r="B1782" s="2" t="s">
        <v>25</v>
      </c>
      <c r="C1782" s="3">
        <v>44854</v>
      </c>
      <c r="D1782" s="3" t="str">
        <f>TEXT(Table1[[#This Row],[Admission Date]],"MMMM")</f>
        <v>October</v>
      </c>
      <c r="E1782" s="3">
        <v>44855</v>
      </c>
      <c r="F1782" s="3">
        <v>44855</v>
      </c>
      <c r="G1782" s="2">
        <v>22027997</v>
      </c>
      <c r="H1782" s="2">
        <v>2236762</v>
      </c>
      <c r="I1782" s="2">
        <v>1001292178</v>
      </c>
      <c r="J1782" s="2" t="s">
        <v>1234</v>
      </c>
      <c r="K1782" s="10">
        <v>31472</v>
      </c>
      <c r="L1782" s="10">
        <v>3739</v>
      </c>
      <c r="M1782" s="10">
        <v>27733</v>
      </c>
      <c r="N1782" s="10">
        <v>27733</v>
      </c>
      <c r="O1782" s="10">
        <f>Table1[[#This Row],[NET Amount]]-Table1[[#This Row],[Paid Amount]]</f>
        <v>0</v>
      </c>
      <c r="P1782" s="2" t="s">
        <v>18</v>
      </c>
      <c r="Q1782" s="2" t="s">
        <v>24</v>
      </c>
      <c r="R1782" s="16">
        <f>(Table1[[#This Row],[NET Amount]]-Table1[[#This Row],[Total Outstanding Amount]])/Table1[[#This Row],[NET Amount]]</f>
        <v>1</v>
      </c>
      <c r="S1782" s="2" t="s">
        <v>27</v>
      </c>
    </row>
    <row r="1783" spans="1:19" x14ac:dyDescent="0.3">
      <c r="A1783" s="4">
        <v>1781</v>
      </c>
      <c r="B1783" s="2" t="s">
        <v>25</v>
      </c>
      <c r="C1783" s="3">
        <v>44848</v>
      </c>
      <c r="D1783" s="3" t="str">
        <f>TEXT(Table1[[#This Row],[Admission Date]],"MMMM")</f>
        <v>October</v>
      </c>
      <c r="E1783" s="3">
        <v>44848</v>
      </c>
      <c r="F1783" s="3">
        <v>44848</v>
      </c>
      <c r="G1783" s="2">
        <v>22027106</v>
      </c>
      <c r="H1783" s="2">
        <v>2236041</v>
      </c>
      <c r="I1783" s="2">
        <v>1001327108</v>
      </c>
      <c r="J1783" s="2" t="s">
        <v>321</v>
      </c>
      <c r="K1783" s="10">
        <v>2794</v>
      </c>
      <c r="L1783" s="10">
        <v>2794</v>
      </c>
      <c r="M1783" s="10">
        <v>0</v>
      </c>
      <c r="N1783" s="10">
        <v>0</v>
      </c>
      <c r="O1783" s="10">
        <f>Table1[[#This Row],[NET Amount]]-Table1[[#This Row],[Paid Amount]]</f>
        <v>0</v>
      </c>
      <c r="P1783" s="2" t="s">
        <v>18</v>
      </c>
      <c r="Q1783" s="2" t="s">
        <v>90</v>
      </c>
      <c r="R1783" s="16" t="e">
        <f>(Table1[[#This Row],[NET Amount]]-Table1[[#This Row],[Total Outstanding Amount]])/Table1[[#This Row],[NET Amount]]</f>
        <v>#DIV/0!</v>
      </c>
      <c r="S1783" s="2" t="s">
        <v>97</v>
      </c>
    </row>
    <row r="1784" spans="1:19" x14ac:dyDescent="0.3">
      <c r="A1784" s="4">
        <v>1782</v>
      </c>
      <c r="B1784" s="2" t="s">
        <v>25</v>
      </c>
      <c r="C1784" s="3">
        <v>44848</v>
      </c>
      <c r="D1784" s="3" t="str">
        <f>TEXT(Table1[[#This Row],[Admission Date]],"MMMM")</f>
        <v>October</v>
      </c>
      <c r="E1784" s="3">
        <v>44848</v>
      </c>
      <c r="F1784" s="3">
        <v>44848</v>
      </c>
      <c r="G1784" s="2">
        <v>22027105</v>
      </c>
      <c r="H1784" s="2">
        <v>2236040</v>
      </c>
      <c r="I1784" s="2">
        <v>1001012376</v>
      </c>
      <c r="J1784" s="2" t="s">
        <v>541</v>
      </c>
      <c r="K1784" s="10">
        <v>2794</v>
      </c>
      <c r="L1784" s="10">
        <v>2794</v>
      </c>
      <c r="M1784" s="10">
        <v>0</v>
      </c>
      <c r="N1784" s="10">
        <v>0</v>
      </c>
      <c r="O1784" s="10">
        <f>Table1[[#This Row],[NET Amount]]-Table1[[#This Row],[Paid Amount]]</f>
        <v>0</v>
      </c>
      <c r="P1784" s="2" t="s">
        <v>18</v>
      </c>
      <c r="Q1784" s="2" t="s">
        <v>90</v>
      </c>
      <c r="R1784" s="16" t="e">
        <f>(Table1[[#This Row],[NET Amount]]-Table1[[#This Row],[Total Outstanding Amount]])/Table1[[#This Row],[NET Amount]]</f>
        <v>#DIV/0!</v>
      </c>
      <c r="S1784" s="2" t="s">
        <v>97</v>
      </c>
    </row>
    <row r="1785" spans="1:19" x14ac:dyDescent="0.3">
      <c r="A1785" s="4">
        <v>1783</v>
      </c>
      <c r="B1785" s="2" t="s">
        <v>25</v>
      </c>
      <c r="C1785" s="3">
        <v>44863</v>
      </c>
      <c r="D1785" s="3" t="str">
        <f>TEXT(Table1[[#This Row],[Admission Date]],"MMMM")</f>
        <v>October</v>
      </c>
      <c r="E1785" s="3">
        <v>44865</v>
      </c>
      <c r="F1785" s="3">
        <v>44865</v>
      </c>
      <c r="G1785" s="2">
        <v>22029282</v>
      </c>
      <c r="H1785" s="2">
        <v>2238023</v>
      </c>
      <c r="I1785" s="2">
        <v>1001807077</v>
      </c>
      <c r="J1785" s="2" t="s">
        <v>1235</v>
      </c>
      <c r="K1785" s="10">
        <v>21154</v>
      </c>
      <c r="L1785" s="10">
        <v>2621</v>
      </c>
      <c r="M1785" s="10">
        <v>18533</v>
      </c>
      <c r="N1785" s="10">
        <v>18533</v>
      </c>
      <c r="O1785" s="10">
        <f>Table1[[#This Row],[NET Amount]]-Table1[[#This Row],[Paid Amount]]</f>
        <v>0</v>
      </c>
      <c r="P1785" s="2" t="s">
        <v>18</v>
      </c>
      <c r="Q1785" s="2" t="s">
        <v>24</v>
      </c>
      <c r="R1785" s="16">
        <f>(Table1[[#This Row],[NET Amount]]-Table1[[#This Row],[Total Outstanding Amount]])/Table1[[#This Row],[NET Amount]]</f>
        <v>1</v>
      </c>
      <c r="S1785" s="2" t="s">
        <v>27</v>
      </c>
    </row>
    <row r="1786" spans="1:19" x14ac:dyDescent="0.3">
      <c r="A1786" s="4">
        <v>1784</v>
      </c>
      <c r="B1786" s="2" t="s">
        <v>93</v>
      </c>
      <c r="C1786" s="3">
        <v>44833</v>
      </c>
      <c r="D1786" s="3" t="str">
        <f>TEXT(Table1[[#This Row],[Admission Date]],"MMMM")</f>
        <v>September</v>
      </c>
      <c r="E1786" s="3">
        <v>44837</v>
      </c>
      <c r="F1786" s="3">
        <v>44837</v>
      </c>
      <c r="G1786" s="2">
        <v>22025362</v>
      </c>
      <c r="H1786" s="2">
        <v>2233936</v>
      </c>
      <c r="I1786" s="2">
        <v>1001672404</v>
      </c>
      <c r="J1786" s="2" t="s">
        <v>1236</v>
      </c>
      <c r="K1786" s="10">
        <v>114078</v>
      </c>
      <c r="L1786" s="10">
        <v>16066</v>
      </c>
      <c r="M1786" s="10">
        <v>98012</v>
      </c>
      <c r="N1786" s="10">
        <v>3777</v>
      </c>
      <c r="O1786" s="10">
        <f>Table1[[#This Row],[NET Amount]]-Table1[[#This Row],[Paid Amount]]</f>
        <v>94235</v>
      </c>
      <c r="P1786" s="2" t="s">
        <v>23</v>
      </c>
      <c r="Q1786" s="2" t="s">
        <v>30</v>
      </c>
      <c r="R1786" s="16">
        <f>(Table1[[#This Row],[NET Amount]]-Table1[[#This Row],[Total Outstanding Amount]])/Table1[[#This Row],[NET Amount]]</f>
        <v>3.8536097620699504E-2</v>
      </c>
      <c r="S1786" s="2" t="s">
        <v>65</v>
      </c>
    </row>
    <row r="1787" spans="1:19" x14ac:dyDescent="0.3">
      <c r="A1787" s="4">
        <v>1785</v>
      </c>
      <c r="B1787" s="2" t="s">
        <v>91</v>
      </c>
      <c r="C1787" s="3">
        <v>44858</v>
      </c>
      <c r="D1787" s="3" t="str">
        <f>TEXT(Table1[[#This Row],[Admission Date]],"MMMM")</f>
        <v>October</v>
      </c>
      <c r="E1787" s="3">
        <v>44862</v>
      </c>
      <c r="F1787" s="3">
        <v>44862</v>
      </c>
      <c r="G1787" s="2">
        <v>22028855</v>
      </c>
      <c r="H1787" s="2">
        <v>2237208</v>
      </c>
      <c r="I1787" s="2">
        <v>10013478103</v>
      </c>
      <c r="J1787" s="2" t="s">
        <v>1237</v>
      </c>
      <c r="K1787" s="10">
        <v>70329</v>
      </c>
      <c r="L1787" s="10">
        <v>966</v>
      </c>
      <c r="M1787" s="10">
        <v>69363</v>
      </c>
      <c r="N1787" s="10">
        <v>5749</v>
      </c>
      <c r="O1787" s="10">
        <f>Table1[[#This Row],[NET Amount]]-Table1[[#This Row],[Paid Amount]]</f>
        <v>63614</v>
      </c>
      <c r="P1787" s="2" t="s">
        <v>23</v>
      </c>
      <c r="Q1787" s="2" t="s">
        <v>19</v>
      </c>
      <c r="R1787" s="16">
        <f>(Table1[[#This Row],[NET Amount]]-Table1[[#This Row],[Total Outstanding Amount]])/Table1[[#This Row],[NET Amount]]</f>
        <v>8.2882804953649636E-2</v>
      </c>
      <c r="S1787" s="2" t="s">
        <v>20</v>
      </c>
    </row>
    <row r="1788" spans="1:19" x14ac:dyDescent="0.3">
      <c r="A1788" s="4">
        <v>1786</v>
      </c>
      <c r="B1788" s="2" t="s">
        <v>2244</v>
      </c>
      <c r="C1788" s="3">
        <v>44856</v>
      </c>
      <c r="D1788" s="3" t="str">
        <f>TEXT(Table1[[#This Row],[Admission Date]],"MMMM")</f>
        <v>October</v>
      </c>
      <c r="E1788" s="3">
        <v>44856</v>
      </c>
      <c r="F1788" s="3">
        <v>44856</v>
      </c>
      <c r="G1788" s="2">
        <v>22028138</v>
      </c>
      <c r="H1788" s="2">
        <v>2237018</v>
      </c>
      <c r="I1788" s="2">
        <v>1001758739</v>
      </c>
      <c r="J1788" s="2" t="s">
        <v>233</v>
      </c>
      <c r="K1788" s="10">
        <v>2560</v>
      </c>
      <c r="L1788" s="10">
        <v>0</v>
      </c>
      <c r="M1788" s="10">
        <v>2560</v>
      </c>
      <c r="N1788" s="10">
        <v>2560</v>
      </c>
      <c r="O1788" s="10">
        <f>Table1[[#This Row],[NET Amount]]-Table1[[#This Row],[Paid Amount]]</f>
        <v>0</v>
      </c>
      <c r="P1788" s="2" t="s">
        <v>18</v>
      </c>
      <c r="Q1788" s="2" t="s">
        <v>54</v>
      </c>
      <c r="R1788" s="16">
        <f>(Table1[[#This Row],[NET Amount]]-Table1[[#This Row],[Total Outstanding Amount]])/Table1[[#This Row],[NET Amount]]</f>
        <v>1</v>
      </c>
      <c r="S1788" s="2" t="s">
        <v>97</v>
      </c>
    </row>
    <row r="1789" spans="1:19" x14ac:dyDescent="0.3">
      <c r="A1789" s="4">
        <v>1787</v>
      </c>
      <c r="B1789" s="2" t="s">
        <v>25</v>
      </c>
      <c r="C1789" s="3">
        <v>44856</v>
      </c>
      <c r="D1789" s="3" t="str">
        <f>TEXT(Table1[[#This Row],[Admission Date]],"MMMM")</f>
        <v>October</v>
      </c>
      <c r="E1789" s="3">
        <v>44856</v>
      </c>
      <c r="F1789" s="3">
        <v>44856</v>
      </c>
      <c r="G1789" s="2">
        <v>22028172</v>
      </c>
      <c r="H1789" s="2">
        <v>2236988</v>
      </c>
      <c r="I1789" s="2">
        <v>1001805711</v>
      </c>
      <c r="J1789" s="2" t="s">
        <v>221</v>
      </c>
      <c r="K1789" s="10">
        <v>22791</v>
      </c>
      <c r="L1789" s="10">
        <v>1250</v>
      </c>
      <c r="M1789" s="10">
        <v>21541</v>
      </c>
      <c r="N1789" s="10">
        <v>21541</v>
      </c>
      <c r="O1789" s="10">
        <f>Table1[[#This Row],[NET Amount]]-Table1[[#This Row],[Paid Amount]]</f>
        <v>0</v>
      </c>
      <c r="P1789" s="2" t="s">
        <v>18</v>
      </c>
      <c r="Q1789" s="2" t="s">
        <v>24</v>
      </c>
      <c r="R1789" s="16">
        <f>(Table1[[#This Row],[NET Amount]]-Table1[[#This Row],[Total Outstanding Amount]])/Table1[[#This Row],[NET Amount]]</f>
        <v>1</v>
      </c>
      <c r="S1789" s="2" t="s">
        <v>20</v>
      </c>
    </row>
    <row r="1790" spans="1:19" x14ac:dyDescent="0.3">
      <c r="A1790" s="4">
        <v>1788</v>
      </c>
      <c r="B1790" s="2" t="s">
        <v>2253</v>
      </c>
      <c r="C1790" s="3">
        <v>44845</v>
      </c>
      <c r="D1790" s="3" t="str">
        <f>TEXT(Table1[[#This Row],[Admission Date]],"MMMM")</f>
        <v>October</v>
      </c>
      <c r="E1790" s="3">
        <v>44850</v>
      </c>
      <c r="F1790" s="3">
        <v>44850</v>
      </c>
      <c r="G1790" s="2">
        <v>22027304</v>
      </c>
      <c r="H1790" s="2">
        <v>2235523</v>
      </c>
      <c r="I1790" s="2">
        <v>1001803714</v>
      </c>
      <c r="J1790" s="2" t="s">
        <v>1238</v>
      </c>
      <c r="K1790" s="10">
        <v>52728</v>
      </c>
      <c r="L1790" s="10">
        <v>0</v>
      </c>
      <c r="M1790" s="10">
        <v>52728</v>
      </c>
      <c r="N1790" s="10">
        <v>2579</v>
      </c>
      <c r="O1790" s="10">
        <f>Table1[[#This Row],[NET Amount]]-Table1[[#This Row],[Paid Amount]]</f>
        <v>50149</v>
      </c>
      <c r="P1790" s="2" t="s">
        <v>23</v>
      </c>
      <c r="Q1790" s="2" t="s">
        <v>19</v>
      </c>
      <c r="R1790" s="16">
        <f>(Table1[[#This Row],[NET Amount]]-Table1[[#This Row],[Total Outstanding Amount]])/Table1[[#This Row],[NET Amount]]</f>
        <v>4.8911394325595506E-2</v>
      </c>
      <c r="S1790" s="2" t="s">
        <v>20</v>
      </c>
    </row>
    <row r="1791" spans="1:19" x14ac:dyDescent="0.3">
      <c r="A1791" s="4">
        <v>1789</v>
      </c>
      <c r="B1791" s="2" t="s">
        <v>407</v>
      </c>
      <c r="C1791" s="3">
        <v>44861</v>
      </c>
      <c r="D1791" s="3" t="str">
        <f>TEXT(Table1[[#This Row],[Admission Date]],"MMMM")</f>
        <v>October</v>
      </c>
      <c r="E1791" s="3">
        <v>44865</v>
      </c>
      <c r="F1791" s="3">
        <v>44865</v>
      </c>
      <c r="G1791" s="2">
        <v>22029317</v>
      </c>
      <c r="H1791" s="2">
        <v>2237733</v>
      </c>
      <c r="I1791" s="2">
        <v>10013544831</v>
      </c>
      <c r="J1791" s="2" t="s">
        <v>211</v>
      </c>
      <c r="K1791" s="10">
        <v>52885</v>
      </c>
      <c r="L1791" s="10">
        <v>0</v>
      </c>
      <c r="M1791" s="10">
        <v>52885</v>
      </c>
      <c r="N1791" s="10">
        <v>0</v>
      </c>
      <c r="O1791" s="10">
        <f>Table1[[#This Row],[NET Amount]]-Table1[[#This Row],[Paid Amount]]</f>
        <v>52885</v>
      </c>
      <c r="P1791" s="2" t="s">
        <v>23</v>
      </c>
      <c r="Q1791" s="2" t="s">
        <v>24</v>
      </c>
      <c r="R1791" s="16">
        <f>(Table1[[#This Row],[NET Amount]]-Table1[[#This Row],[Total Outstanding Amount]])/Table1[[#This Row],[NET Amount]]</f>
        <v>0</v>
      </c>
      <c r="S1791" s="2" t="s">
        <v>201</v>
      </c>
    </row>
    <row r="1792" spans="1:19" x14ac:dyDescent="0.3">
      <c r="A1792" s="4">
        <v>1790</v>
      </c>
      <c r="B1792" s="2" t="s">
        <v>25</v>
      </c>
      <c r="C1792" s="3">
        <v>44843</v>
      </c>
      <c r="D1792" s="3" t="str">
        <f>TEXT(Table1[[#This Row],[Admission Date]],"MMMM")</f>
        <v>October</v>
      </c>
      <c r="E1792" s="3">
        <v>44846</v>
      </c>
      <c r="F1792" s="3">
        <v>44846</v>
      </c>
      <c r="G1792" s="2">
        <v>22026749</v>
      </c>
      <c r="H1792" s="2">
        <v>2235287</v>
      </c>
      <c r="I1792" s="2">
        <v>10013541538</v>
      </c>
      <c r="J1792" s="2" t="s">
        <v>1239</v>
      </c>
      <c r="K1792" s="10">
        <v>191105</v>
      </c>
      <c r="L1792" s="10">
        <v>25791</v>
      </c>
      <c r="M1792" s="10">
        <v>165314</v>
      </c>
      <c r="N1792" s="10">
        <v>165314</v>
      </c>
      <c r="O1792" s="10">
        <f>Table1[[#This Row],[NET Amount]]-Table1[[#This Row],[Paid Amount]]</f>
        <v>0</v>
      </c>
      <c r="P1792" s="2" t="s">
        <v>18</v>
      </c>
      <c r="Q1792" s="2" t="s">
        <v>24</v>
      </c>
      <c r="R1792" s="16">
        <f>(Table1[[#This Row],[NET Amount]]-Table1[[#This Row],[Total Outstanding Amount]])/Table1[[#This Row],[NET Amount]]</f>
        <v>1</v>
      </c>
      <c r="S1792" s="2" t="s">
        <v>201</v>
      </c>
    </row>
    <row r="1793" spans="1:19" x14ac:dyDescent="0.3">
      <c r="A1793" s="4">
        <v>1791</v>
      </c>
      <c r="B1793" s="2" t="s">
        <v>25</v>
      </c>
      <c r="C1793" s="3">
        <v>44838</v>
      </c>
      <c r="D1793" s="3" t="str">
        <f>TEXT(Table1[[#This Row],[Admission Date]],"MMMM")</f>
        <v>October</v>
      </c>
      <c r="E1793" s="3">
        <v>44838</v>
      </c>
      <c r="F1793" s="3">
        <v>44838</v>
      </c>
      <c r="G1793" s="2">
        <v>22025578</v>
      </c>
      <c r="H1793" s="2">
        <v>2234579</v>
      </c>
      <c r="I1793" s="2">
        <v>10013526375</v>
      </c>
      <c r="J1793" s="2" t="s">
        <v>241</v>
      </c>
      <c r="K1793" s="10">
        <v>4990</v>
      </c>
      <c r="L1793" s="10">
        <v>417</v>
      </c>
      <c r="M1793" s="10">
        <v>4573</v>
      </c>
      <c r="N1793" s="10">
        <v>4573</v>
      </c>
      <c r="O1793" s="10">
        <f>Table1[[#This Row],[NET Amount]]-Table1[[#This Row],[Paid Amount]]</f>
        <v>0</v>
      </c>
      <c r="P1793" s="2" t="s">
        <v>18</v>
      </c>
      <c r="Q1793" s="2" t="s">
        <v>54</v>
      </c>
      <c r="R1793" s="16">
        <f>(Table1[[#This Row],[NET Amount]]-Table1[[#This Row],[Total Outstanding Amount]])/Table1[[#This Row],[NET Amount]]</f>
        <v>1</v>
      </c>
      <c r="S1793" s="2" t="s">
        <v>97</v>
      </c>
    </row>
    <row r="1794" spans="1:19" x14ac:dyDescent="0.3">
      <c r="A1794" s="4">
        <v>1792</v>
      </c>
      <c r="B1794" s="2" t="s">
        <v>972</v>
      </c>
      <c r="C1794" s="3">
        <v>44835</v>
      </c>
      <c r="D1794" s="3" t="str">
        <f>TEXT(Table1[[#This Row],[Admission Date]],"MMMM")</f>
        <v>October</v>
      </c>
      <c r="E1794" s="3">
        <v>44836</v>
      </c>
      <c r="F1794" s="3">
        <v>44836</v>
      </c>
      <c r="G1794" s="2">
        <v>22025316</v>
      </c>
      <c r="H1794" s="2">
        <v>2234157</v>
      </c>
      <c r="I1794" s="2">
        <v>1001801789</v>
      </c>
      <c r="J1794" s="2" t="s">
        <v>1240</v>
      </c>
      <c r="K1794" s="10">
        <v>75731</v>
      </c>
      <c r="L1794" s="10">
        <v>11433</v>
      </c>
      <c r="M1794" s="10">
        <v>64298</v>
      </c>
      <c r="N1794" s="10">
        <v>1000</v>
      </c>
      <c r="O1794" s="10">
        <f>Table1[[#This Row],[NET Amount]]-Table1[[#This Row],[Paid Amount]]</f>
        <v>63298</v>
      </c>
      <c r="P1794" s="2" t="s">
        <v>23</v>
      </c>
      <c r="Q1794" s="2" t="s">
        <v>30</v>
      </c>
      <c r="R1794" s="16">
        <f>(Table1[[#This Row],[NET Amount]]-Table1[[#This Row],[Total Outstanding Amount]])/Table1[[#This Row],[NET Amount]]</f>
        <v>1.5552583284083486E-2</v>
      </c>
      <c r="S1794" s="2" t="s">
        <v>77</v>
      </c>
    </row>
    <row r="1795" spans="1:19" x14ac:dyDescent="0.3">
      <c r="A1795" s="4">
        <v>1793</v>
      </c>
      <c r="B1795" s="2" t="s">
        <v>2254</v>
      </c>
      <c r="C1795" s="3">
        <v>44835</v>
      </c>
      <c r="D1795" s="3" t="str">
        <f>TEXT(Table1[[#This Row],[Admission Date]],"MMMM")</f>
        <v>October</v>
      </c>
      <c r="E1795" s="3">
        <v>44836</v>
      </c>
      <c r="F1795" s="3">
        <v>44836</v>
      </c>
      <c r="G1795" s="2">
        <v>22025302</v>
      </c>
      <c r="H1795" s="2">
        <v>2234170</v>
      </c>
      <c r="I1795" s="2">
        <v>1001801835</v>
      </c>
      <c r="J1795" s="2" t="s">
        <v>1241</v>
      </c>
      <c r="K1795" s="10">
        <v>123580</v>
      </c>
      <c r="L1795" s="10">
        <v>11534</v>
      </c>
      <c r="M1795" s="10">
        <v>112045</v>
      </c>
      <c r="N1795" s="10">
        <v>1000</v>
      </c>
      <c r="O1795" s="10">
        <f>Table1[[#This Row],[NET Amount]]-Table1[[#This Row],[Paid Amount]]</f>
        <v>111045</v>
      </c>
      <c r="P1795" s="2" t="s">
        <v>23</v>
      </c>
      <c r="Q1795" s="2" t="s">
        <v>19</v>
      </c>
      <c r="R1795" s="16">
        <f>(Table1[[#This Row],[NET Amount]]-Table1[[#This Row],[Total Outstanding Amount]])/Table1[[#This Row],[NET Amount]]</f>
        <v>8.9249854968985673E-3</v>
      </c>
      <c r="S1795" s="2" t="s">
        <v>77</v>
      </c>
    </row>
    <row r="1796" spans="1:19" x14ac:dyDescent="0.3">
      <c r="A1796" s="4">
        <v>1794</v>
      </c>
      <c r="B1796" s="2" t="s">
        <v>141</v>
      </c>
      <c r="C1796" s="3">
        <v>44860</v>
      </c>
      <c r="D1796" s="3" t="str">
        <f>TEXT(Table1[[#This Row],[Admission Date]],"MMMM")</f>
        <v>October</v>
      </c>
      <c r="E1796" s="3">
        <v>44861</v>
      </c>
      <c r="F1796" s="3">
        <v>44861</v>
      </c>
      <c r="G1796" s="2">
        <v>22028818</v>
      </c>
      <c r="H1796" s="2">
        <v>2237510</v>
      </c>
      <c r="I1796" s="2">
        <v>10013544587</v>
      </c>
      <c r="J1796" s="2" t="s">
        <v>1242</v>
      </c>
      <c r="K1796" s="10">
        <v>61746</v>
      </c>
      <c r="L1796" s="10">
        <v>0</v>
      </c>
      <c r="M1796" s="10">
        <v>61746</v>
      </c>
      <c r="N1796" s="10">
        <v>27289</v>
      </c>
      <c r="O1796" s="10">
        <f>Table1[[#This Row],[NET Amount]]-Table1[[#This Row],[Paid Amount]]</f>
        <v>34457</v>
      </c>
      <c r="P1796" s="2" t="s">
        <v>23</v>
      </c>
      <c r="Q1796" s="2" t="s">
        <v>47</v>
      </c>
      <c r="R1796" s="16">
        <f>(Table1[[#This Row],[NET Amount]]-Table1[[#This Row],[Total Outstanding Amount]])/Table1[[#This Row],[NET Amount]]</f>
        <v>0.44195575421889677</v>
      </c>
      <c r="S1796" s="2" t="s">
        <v>39</v>
      </c>
    </row>
    <row r="1797" spans="1:19" x14ac:dyDescent="0.3">
      <c r="A1797" s="4">
        <v>1795</v>
      </c>
      <c r="B1797" s="2" t="s">
        <v>155</v>
      </c>
      <c r="C1797" s="3">
        <v>44860</v>
      </c>
      <c r="D1797" s="3" t="str">
        <f>TEXT(Table1[[#This Row],[Admission Date]],"MMMM")</f>
        <v>October</v>
      </c>
      <c r="E1797" s="3">
        <v>44860</v>
      </c>
      <c r="F1797" s="3">
        <v>44860</v>
      </c>
      <c r="G1797" s="2">
        <v>22028637</v>
      </c>
      <c r="H1797" s="2">
        <v>2237492</v>
      </c>
      <c r="I1797" s="2">
        <v>10013362937</v>
      </c>
      <c r="J1797" s="2" t="s">
        <v>963</v>
      </c>
      <c r="K1797" s="10">
        <v>1610</v>
      </c>
      <c r="L1797" s="10">
        <v>0</v>
      </c>
      <c r="M1797" s="10">
        <v>1610</v>
      </c>
      <c r="N1797" s="10">
        <v>1610</v>
      </c>
      <c r="O1797" s="10">
        <f>Table1[[#This Row],[NET Amount]]-Table1[[#This Row],[Paid Amount]]</f>
        <v>0</v>
      </c>
      <c r="P1797" s="2" t="s">
        <v>18</v>
      </c>
      <c r="Q1797" s="2" t="s">
        <v>54</v>
      </c>
      <c r="R1797" s="16">
        <f>(Table1[[#This Row],[NET Amount]]-Table1[[#This Row],[Total Outstanding Amount]])/Table1[[#This Row],[NET Amount]]</f>
        <v>1</v>
      </c>
      <c r="S1797" s="2" t="s">
        <v>97</v>
      </c>
    </row>
    <row r="1798" spans="1:19" x14ac:dyDescent="0.3">
      <c r="A1798" s="4">
        <v>1796</v>
      </c>
      <c r="B1798" s="2" t="s">
        <v>93</v>
      </c>
      <c r="C1798" s="3">
        <v>44839</v>
      </c>
      <c r="D1798" s="3" t="str">
        <f>TEXT(Table1[[#This Row],[Admission Date]],"MMMM")</f>
        <v>October</v>
      </c>
      <c r="E1798" s="3">
        <v>44843</v>
      </c>
      <c r="F1798" s="3">
        <v>44843</v>
      </c>
      <c r="G1798" s="2">
        <v>22026280</v>
      </c>
      <c r="H1798" s="2">
        <v>2234784</v>
      </c>
      <c r="I1798" s="2">
        <v>10013541660</v>
      </c>
      <c r="J1798" s="2" t="s">
        <v>1243</v>
      </c>
      <c r="K1798" s="10">
        <v>93521</v>
      </c>
      <c r="L1798" s="10">
        <v>9268</v>
      </c>
      <c r="M1798" s="10">
        <v>84253</v>
      </c>
      <c r="N1798" s="10">
        <v>6041</v>
      </c>
      <c r="O1798" s="10">
        <f>Table1[[#This Row],[NET Amount]]-Table1[[#This Row],[Paid Amount]]</f>
        <v>78212</v>
      </c>
      <c r="P1798" s="2" t="s">
        <v>23</v>
      </c>
      <c r="Q1798" s="2" t="s">
        <v>42</v>
      </c>
      <c r="R1798" s="16">
        <f>(Table1[[#This Row],[NET Amount]]-Table1[[#This Row],[Total Outstanding Amount]])/Table1[[#This Row],[NET Amount]]</f>
        <v>7.1700710953912616E-2</v>
      </c>
      <c r="S1798" s="2" t="s">
        <v>20</v>
      </c>
    </row>
    <row r="1799" spans="1:19" x14ac:dyDescent="0.3">
      <c r="A1799" s="4">
        <v>1797</v>
      </c>
      <c r="B1799" s="2" t="s">
        <v>2243</v>
      </c>
      <c r="C1799" s="3">
        <v>44848</v>
      </c>
      <c r="D1799" s="3" t="str">
        <f>TEXT(Table1[[#This Row],[Admission Date]],"MMMM")</f>
        <v>October</v>
      </c>
      <c r="E1799" s="3">
        <v>44852</v>
      </c>
      <c r="F1799" s="3">
        <v>44852</v>
      </c>
      <c r="G1799" s="2">
        <v>22027554</v>
      </c>
      <c r="H1799" s="2">
        <v>2235898</v>
      </c>
      <c r="I1799" s="2">
        <v>1001776690</v>
      </c>
      <c r="J1799" s="2" t="s">
        <v>1244</v>
      </c>
      <c r="K1799" s="10">
        <v>93219</v>
      </c>
      <c r="L1799" s="10">
        <v>93219</v>
      </c>
      <c r="M1799" s="10">
        <v>0</v>
      </c>
      <c r="N1799" s="10">
        <v>0</v>
      </c>
      <c r="O1799" s="10">
        <f>Table1[[#This Row],[NET Amount]]-Table1[[#This Row],[Paid Amount]]</f>
        <v>0</v>
      </c>
      <c r="P1799" s="2" t="s">
        <v>18</v>
      </c>
      <c r="Q1799" s="2" t="s">
        <v>90</v>
      </c>
      <c r="R1799" s="16" t="e">
        <f>(Table1[[#This Row],[NET Amount]]-Table1[[#This Row],[Total Outstanding Amount]])/Table1[[#This Row],[NET Amount]]</f>
        <v>#DIV/0!</v>
      </c>
      <c r="S1799" s="2" t="s">
        <v>37</v>
      </c>
    </row>
    <row r="1800" spans="1:19" x14ac:dyDescent="0.3">
      <c r="A1800" s="4">
        <v>1798</v>
      </c>
      <c r="B1800" s="2" t="s">
        <v>2243</v>
      </c>
      <c r="C1800" s="3">
        <v>44850</v>
      </c>
      <c r="D1800" s="3" t="str">
        <f>TEXT(Table1[[#This Row],[Admission Date]],"MMMM")</f>
        <v>October</v>
      </c>
      <c r="E1800" s="3">
        <v>44852</v>
      </c>
      <c r="F1800" s="3">
        <v>44852</v>
      </c>
      <c r="G1800" s="2">
        <v>22027541</v>
      </c>
      <c r="H1800" s="2">
        <v>2236227</v>
      </c>
      <c r="I1800" s="2">
        <v>1001804647</v>
      </c>
      <c r="J1800" s="2" t="s">
        <v>1245</v>
      </c>
      <c r="K1800" s="10">
        <v>21232</v>
      </c>
      <c r="L1800" s="10">
        <v>21232</v>
      </c>
      <c r="M1800" s="10">
        <v>0</v>
      </c>
      <c r="N1800" s="10">
        <v>0</v>
      </c>
      <c r="O1800" s="10">
        <f>Table1[[#This Row],[NET Amount]]-Table1[[#This Row],[Paid Amount]]</f>
        <v>0</v>
      </c>
      <c r="P1800" s="2" t="s">
        <v>18</v>
      </c>
      <c r="Q1800" s="2" t="s">
        <v>90</v>
      </c>
      <c r="R1800" s="16" t="e">
        <f>(Table1[[#This Row],[NET Amount]]-Table1[[#This Row],[Total Outstanding Amount]])/Table1[[#This Row],[NET Amount]]</f>
        <v>#DIV/0!</v>
      </c>
      <c r="S1800" s="2" t="s">
        <v>37</v>
      </c>
    </row>
    <row r="1801" spans="1:19" x14ac:dyDescent="0.3">
      <c r="A1801" s="4">
        <v>1799</v>
      </c>
      <c r="B1801" s="2" t="s">
        <v>126</v>
      </c>
      <c r="C1801" s="3">
        <v>44835</v>
      </c>
      <c r="D1801" s="3" t="str">
        <f>TEXT(Table1[[#This Row],[Admission Date]],"MMMM")</f>
        <v>October</v>
      </c>
      <c r="E1801" s="3">
        <v>44836</v>
      </c>
      <c r="F1801" s="3">
        <v>44836</v>
      </c>
      <c r="G1801" s="2">
        <v>22025284</v>
      </c>
      <c r="H1801" s="2">
        <v>2234167</v>
      </c>
      <c r="I1801" s="2">
        <v>1001801825</v>
      </c>
      <c r="J1801" s="2" t="s">
        <v>1246</v>
      </c>
      <c r="K1801" s="10">
        <v>268224</v>
      </c>
      <c r="L1801" s="10">
        <v>0</v>
      </c>
      <c r="M1801" s="10">
        <v>268224</v>
      </c>
      <c r="N1801" s="10">
        <v>54844</v>
      </c>
      <c r="O1801" s="10">
        <f>Table1[[#This Row],[NET Amount]]-Table1[[#This Row],[Paid Amount]]</f>
        <v>213380</v>
      </c>
      <c r="P1801" s="2" t="s">
        <v>23</v>
      </c>
      <c r="Q1801" s="2" t="s">
        <v>24</v>
      </c>
      <c r="R1801" s="16">
        <f>(Table1[[#This Row],[NET Amount]]-Table1[[#This Row],[Total Outstanding Amount]])/Table1[[#This Row],[NET Amount]]</f>
        <v>0.20447089000238605</v>
      </c>
      <c r="S1801" s="2" t="s">
        <v>39</v>
      </c>
    </row>
    <row r="1802" spans="1:19" x14ac:dyDescent="0.3">
      <c r="A1802" s="4">
        <v>1800</v>
      </c>
      <c r="B1802" s="2" t="s">
        <v>139</v>
      </c>
      <c r="C1802" s="3">
        <v>44835</v>
      </c>
      <c r="D1802" s="3" t="str">
        <f>TEXT(Table1[[#This Row],[Admission Date]],"MMMM")</f>
        <v>October</v>
      </c>
      <c r="E1802" s="3">
        <v>44836</v>
      </c>
      <c r="F1802" s="3">
        <v>44836</v>
      </c>
      <c r="G1802" s="2">
        <v>22025266</v>
      </c>
      <c r="H1802" s="2">
        <v>2234270</v>
      </c>
      <c r="I1802" s="2">
        <v>10013541180</v>
      </c>
      <c r="J1802" s="2" t="s">
        <v>1247</v>
      </c>
      <c r="K1802" s="10">
        <v>85872</v>
      </c>
      <c r="L1802" s="10">
        <v>0</v>
      </c>
      <c r="M1802" s="10">
        <v>85872</v>
      </c>
      <c r="N1802" s="10">
        <v>16709</v>
      </c>
      <c r="O1802" s="10">
        <f>Table1[[#This Row],[NET Amount]]-Table1[[#This Row],[Paid Amount]]</f>
        <v>69163</v>
      </c>
      <c r="P1802" s="2" t="s">
        <v>23</v>
      </c>
      <c r="Q1802" s="2" t="s">
        <v>42</v>
      </c>
      <c r="R1802" s="16">
        <f>(Table1[[#This Row],[NET Amount]]-Table1[[#This Row],[Total Outstanding Amount]])/Table1[[#This Row],[NET Amount]]</f>
        <v>0.19458030557108255</v>
      </c>
      <c r="S1802" s="2" t="s">
        <v>20</v>
      </c>
    </row>
    <row r="1803" spans="1:19" x14ac:dyDescent="0.3">
      <c r="A1803" s="4">
        <v>1801</v>
      </c>
      <c r="B1803" s="2" t="s">
        <v>35</v>
      </c>
      <c r="C1803" s="3">
        <v>44839</v>
      </c>
      <c r="D1803" s="3" t="str">
        <f>TEXT(Table1[[#This Row],[Admission Date]],"MMMM")</f>
        <v>October</v>
      </c>
      <c r="E1803" s="3">
        <v>44841</v>
      </c>
      <c r="F1803" s="3">
        <v>44841</v>
      </c>
      <c r="G1803" s="2">
        <v>22025953</v>
      </c>
      <c r="H1803" s="2">
        <v>2234735</v>
      </c>
      <c r="I1803" s="2">
        <v>10013394103</v>
      </c>
      <c r="J1803" s="2" t="s">
        <v>1248</v>
      </c>
      <c r="K1803" s="10">
        <v>19939</v>
      </c>
      <c r="L1803" s="10">
        <v>0</v>
      </c>
      <c r="M1803" s="10">
        <v>19939</v>
      </c>
      <c r="N1803" s="10">
        <v>19939</v>
      </c>
      <c r="O1803" s="10">
        <f>Table1[[#This Row],[NET Amount]]-Table1[[#This Row],[Paid Amount]]</f>
        <v>0</v>
      </c>
      <c r="P1803" s="2" t="s">
        <v>18</v>
      </c>
      <c r="Q1803" s="2" t="s">
        <v>24</v>
      </c>
      <c r="R1803" s="16">
        <f>(Table1[[#This Row],[NET Amount]]-Table1[[#This Row],[Total Outstanding Amount]])/Table1[[#This Row],[NET Amount]]</f>
        <v>1</v>
      </c>
      <c r="S1803" s="2" t="s">
        <v>77</v>
      </c>
    </row>
    <row r="1804" spans="1:19" x14ac:dyDescent="0.3">
      <c r="A1804" s="4">
        <v>1802</v>
      </c>
      <c r="B1804" s="2" t="s">
        <v>155</v>
      </c>
      <c r="C1804" s="3">
        <v>44839</v>
      </c>
      <c r="D1804" s="3" t="str">
        <f>TEXT(Table1[[#This Row],[Admission Date]],"MMMM")</f>
        <v>October</v>
      </c>
      <c r="E1804" s="3">
        <v>44839</v>
      </c>
      <c r="F1804" s="3">
        <v>44839</v>
      </c>
      <c r="G1804" s="2">
        <v>22025789</v>
      </c>
      <c r="H1804" s="2">
        <v>2234798</v>
      </c>
      <c r="I1804" s="2">
        <v>1000915662</v>
      </c>
      <c r="J1804" s="2" t="s">
        <v>188</v>
      </c>
      <c r="K1804" s="10">
        <v>1610</v>
      </c>
      <c r="L1804" s="10">
        <v>0</v>
      </c>
      <c r="M1804" s="10">
        <v>1610</v>
      </c>
      <c r="N1804" s="10">
        <v>1610</v>
      </c>
      <c r="O1804" s="10">
        <f>Table1[[#This Row],[NET Amount]]-Table1[[#This Row],[Paid Amount]]</f>
        <v>0</v>
      </c>
      <c r="P1804" s="2" t="s">
        <v>18</v>
      </c>
      <c r="Q1804" s="2" t="s">
        <v>54</v>
      </c>
      <c r="R1804" s="16">
        <f>(Table1[[#This Row],[NET Amount]]-Table1[[#This Row],[Total Outstanding Amount]])/Table1[[#This Row],[NET Amount]]</f>
        <v>1</v>
      </c>
      <c r="S1804" s="2" t="s">
        <v>97</v>
      </c>
    </row>
    <row r="1805" spans="1:19" x14ac:dyDescent="0.3">
      <c r="A1805" s="4">
        <v>1803</v>
      </c>
      <c r="B1805" s="2" t="s">
        <v>1249</v>
      </c>
      <c r="C1805" s="3">
        <v>44835</v>
      </c>
      <c r="D1805" s="3" t="str">
        <f>TEXT(Table1[[#This Row],[Admission Date]],"MMMM")</f>
        <v>October</v>
      </c>
      <c r="E1805" s="3">
        <v>44840</v>
      </c>
      <c r="F1805" s="3">
        <v>44840</v>
      </c>
      <c r="G1805" s="2">
        <v>22025841</v>
      </c>
      <c r="H1805" s="2">
        <v>2234169</v>
      </c>
      <c r="I1805" s="2">
        <v>10013450863</v>
      </c>
      <c r="J1805" s="2" t="s">
        <v>1250</v>
      </c>
      <c r="K1805" s="10">
        <v>173979</v>
      </c>
      <c r="L1805" s="10">
        <v>20906</v>
      </c>
      <c r="M1805" s="10">
        <v>153073</v>
      </c>
      <c r="N1805" s="10">
        <v>42369</v>
      </c>
      <c r="O1805" s="10">
        <f>Table1[[#This Row],[NET Amount]]-Table1[[#This Row],[Paid Amount]]</f>
        <v>110704</v>
      </c>
      <c r="P1805" s="2" t="s">
        <v>23</v>
      </c>
      <c r="Q1805" s="2" t="s">
        <v>52</v>
      </c>
      <c r="R1805" s="16">
        <f>(Table1[[#This Row],[NET Amount]]-Table1[[#This Row],[Total Outstanding Amount]])/Table1[[#This Row],[NET Amount]]</f>
        <v>0.27678950566069782</v>
      </c>
      <c r="S1805" s="2" t="s">
        <v>20</v>
      </c>
    </row>
    <row r="1806" spans="1:19" x14ac:dyDescent="0.3">
      <c r="A1806" s="4">
        <v>1804</v>
      </c>
      <c r="B1806" s="2" t="s">
        <v>25</v>
      </c>
      <c r="C1806" s="3">
        <v>44831</v>
      </c>
      <c r="D1806" s="3" t="str">
        <f>TEXT(Table1[[#This Row],[Admission Date]],"MMMM")</f>
        <v>September</v>
      </c>
      <c r="E1806" s="3">
        <v>44835</v>
      </c>
      <c r="F1806" s="3">
        <v>44835</v>
      </c>
      <c r="G1806" s="2">
        <v>22025148</v>
      </c>
      <c r="H1806" s="2">
        <v>2233673</v>
      </c>
      <c r="I1806" s="2">
        <v>10013540528</v>
      </c>
      <c r="J1806" s="2" t="s">
        <v>1251</v>
      </c>
      <c r="K1806" s="10">
        <v>61782</v>
      </c>
      <c r="L1806" s="10">
        <v>61782</v>
      </c>
      <c r="M1806" s="10">
        <v>0</v>
      </c>
      <c r="N1806" s="10">
        <v>0</v>
      </c>
      <c r="O1806" s="10">
        <f>Table1[[#This Row],[NET Amount]]-Table1[[#This Row],[Paid Amount]]</f>
        <v>0</v>
      </c>
      <c r="P1806" s="2" t="s">
        <v>18</v>
      </c>
      <c r="Q1806" s="2" t="s">
        <v>90</v>
      </c>
      <c r="R1806" s="16" t="e">
        <f>(Table1[[#This Row],[NET Amount]]-Table1[[#This Row],[Total Outstanding Amount]])/Table1[[#This Row],[NET Amount]]</f>
        <v>#DIV/0!</v>
      </c>
      <c r="S1806" s="2" t="s">
        <v>20</v>
      </c>
    </row>
    <row r="1807" spans="1:19" x14ac:dyDescent="0.3">
      <c r="A1807" s="4">
        <v>1805</v>
      </c>
      <c r="B1807" s="2" t="s">
        <v>25</v>
      </c>
      <c r="C1807" s="3">
        <v>44861</v>
      </c>
      <c r="D1807" s="3" t="str">
        <f>TEXT(Table1[[#This Row],[Admission Date]],"MMMM")</f>
        <v>October</v>
      </c>
      <c r="E1807" s="3">
        <v>44863</v>
      </c>
      <c r="F1807" s="3">
        <v>44863</v>
      </c>
      <c r="G1807" s="2">
        <v>22029093</v>
      </c>
      <c r="H1807" s="2">
        <v>2237735</v>
      </c>
      <c r="I1807" s="2">
        <v>10013317611</v>
      </c>
      <c r="J1807" s="2" t="s">
        <v>1252</v>
      </c>
      <c r="K1807" s="10">
        <v>42552</v>
      </c>
      <c r="L1807" s="10">
        <v>7413</v>
      </c>
      <c r="M1807" s="10">
        <v>35139</v>
      </c>
      <c r="N1807" s="10">
        <v>35139</v>
      </c>
      <c r="O1807" s="10">
        <f>Table1[[#This Row],[NET Amount]]-Table1[[#This Row],[Paid Amount]]</f>
        <v>0</v>
      </c>
      <c r="P1807" s="2" t="s">
        <v>18</v>
      </c>
      <c r="Q1807" s="2" t="s">
        <v>24</v>
      </c>
      <c r="R1807" s="16">
        <f>(Table1[[#This Row],[NET Amount]]-Table1[[#This Row],[Total Outstanding Amount]])/Table1[[#This Row],[NET Amount]]</f>
        <v>1</v>
      </c>
      <c r="S1807" s="2" t="s">
        <v>20</v>
      </c>
    </row>
    <row r="1808" spans="1:19" x14ac:dyDescent="0.3">
      <c r="A1808" s="4">
        <v>1806</v>
      </c>
      <c r="B1808" s="2" t="s">
        <v>35</v>
      </c>
      <c r="C1808" s="3">
        <v>44846</v>
      </c>
      <c r="D1808" s="3" t="str">
        <f>TEXT(Table1[[#This Row],[Admission Date]],"MMMM")</f>
        <v>October</v>
      </c>
      <c r="E1808" s="3">
        <v>44846</v>
      </c>
      <c r="F1808" s="3">
        <v>44846</v>
      </c>
      <c r="G1808" s="2">
        <v>22026654</v>
      </c>
      <c r="H1808" s="2">
        <v>2235638</v>
      </c>
      <c r="I1808" s="2">
        <v>10013480632</v>
      </c>
      <c r="J1808" s="2" t="s">
        <v>210</v>
      </c>
      <c r="K1808" s="10">
        <v>1610</v>
      </c>
      <c r="L1808" s="10">
        <v>0</v>
      </c>
      <c r="M1808" s="10">
        <v>1610</v>
      </c>
      <c r="N1808" s="10">
        <v>1610</v>
      </c>
      <c r="O1808" s="10">
        <f>Table1[[#This Row],[NET Amount]]-Table1[[#This Row],[Paid Amount]]</f>
        <v>0</v>
      </c>
      <c r="P1808" s="2" t="s">
        <v>18</v>
      </c>
      <c r="Q1808" s="2" t="s">
        <v>54</v>
      </c>
      <c r="R1808" s="16">
        <f>(Table1[[#This Row],[NET Amount]]-Table1[[#This Row],[Total Outstanding Amount]])/Table1[[#This Row],[NET Amount]]</f>
        <v>1</v>
      </c>
      <c r="S1808" s="2" t="s">
        <v>97</v>
      </c>
    </row>
    <row r="1809" spans="1:19" x14ac:dyDescent="0.3">
      <c r="A1809" s="4">
        <v>1807</v>
      </c>
      <c r="B1809" s="2" t="s">
        <v>93</v>
      </c>
      <c r="C1809" s="3">
        <v>44841</v>
      </c>
      <c r="D1809" s="3" t="str">
        <f>TEXT(Table1[[#This Row],[Admission Date]],"MMMM")</f>
        <v>October</v>
      </c>
      <c r="E1809" s="3">
        <v>44843</v>
      </c>
      <c r="F1809" s="3">
        <v>44843</v>
      </c>
      <c r="G1809" s="2">
        <v>22026265</v>
      </c>
      <c r="H1809" s="2">
        <v>2234975</v>
      </c>
      <c r="I1809" s="2">
        <v>10013430203</v>
      </c>
      <c r="J1809" s="2" t="s">
        <v>1253</v>
      </c>
      <c r="K1809" s="10">
        <v>99055</v>
      </c>
      <c r="L1809" s="10">
        <v>2716</v>
      </c>
      <c r="M1809" s="10">
        <v>96339</v>
      </c>
      <c r="N1809" s="10">
        <v>1418</v>
      </c>
      <c r="O1809" s="10">
        <f>Table1[[#This Row],[NET Amount]]-Table1[[#This Row],[Paid Amount]]</f>
        <v>94921</v>
      </c>
      <c r="P1809" s="2" t="s">
        <v>23</v>
      </c>
      <c r="Q1809" s="2" t="s">
        <v>30</v>
      </c>
      <c r="R1809" s="16">
        <f>(Table1[[#This Row],[NET Amount]]-Table1[[#This Row],[Total Outstanding Amount]])/Table1[[#This Row],[NET Amount]]</f>
        <v>1.4718857368251695E-2</v>
      </c>
      <c r="S1809" s="2" t="s">
        <v>27</v>
      </c>
    </row>
    <row r="1810" spans="1:19" x14ac:dyDescent="0.3">
      <c r="A1810" s="4">
        <v>1808</v>
      </c>
      <c r="B1810" s="2" t="s">
        <v>126</v>
      </c>
      <c r="C1810" s="3">
        <v>44840</v>
      </c>
      <c r="D1810" s="3" t="str">
        <f>TEXT(Table1[[#This Row],[Admission Date]],"MMMM")</f>
        <v>October</v>
      </c>
      <c r="E1810" s="3">
        <v>44843</v>
      </c>
      <c r="F1810" s="3">
        <v>44843</v>
      </c>
      <c r="G1810" s="2">
        <v>22026299</v>
      </c>
      <c r="H1810" s="2">
        <v>2234964</v>
      </c>
      <c r="I1810" s="2">
        <v>1001802912</v>
      </c>
      <c r="J1810" s="2" t="s">
        <v>425</v>
      </c>
      <c r="K1810" s="10">
        <v>96425</v>
      </c>
      <c r="L1810" s="10">
        <v>0</v>
      </c>
      <c r="M1810" s="10">
        <v>96425</v>
      </c>
      <c r="N1810" s="10">
        <v>2925</v>
      </c>
      <c r="O1810" s="10">
        <f>Table1[[#This Row],[NET Amount]]-Table1[[#This Row],[Paid Amount]]</f>
        <v>93500</v>
      </c>
      <c r="P1810" s="2" t="s">
        <v>23</v>
      </c>
      <c r="Q1810" s="2" t="s">
        <v>30</v>
      </c>
      <c r="R1810" s="16">
        <f>(Table1[[#This Row],[NET Amount]]-Table1[[#This Row],[Total Outstanding Amount]])/Table1[[#This Row],[NET Amount]]</f>
        <v>3.033445683173451E-2</v>
      </c>
      <c r="S1810" s="2" t="s">
        <v>77</v>
      </c>
    </row>
    <row r="1811" spans="1:19" x14ac:dyDescent="0.3">
      <c r="A1811" s="4">
        <v>1809</v>
      </c>
      <c r="B1811" s="2" t="s">
        <v>804</v>
      </c>
      <c r="C1811" s="3">
        <v>44862</v>
      </c>
      <c r="D1811" s="3" t="str">
        <f>TEXT(Table1[[#This Row],[Admission Date]],"MMMM")</f>
        <v>October</v>
      </c>
      <c r="E1811" s="3">
        <v>44863</v>
      </c>
      <c r="F1811" s="3">
        <v>44863</v>
      </c>
      <c r="G1811" s="2">
        <v>22029082</v>
      </c>
      <c r="H1811" s="2">
        <v>2237870</v>
      </c>
      <c r="I1811" s="2">
        <v>10013361345</v>
      </c>
      <c r="J1811" s="2" t="s">
        <v>1254</v>
      </c>
      <c r="K1811" s="10">
        <v>19211</v>
      </c>
      <c r="L1811" s="10">
        <v>0</v>
      </c>
      <c r="M1811" s="10">
        <v>19211</v>
      </c>
      <c r="N1811" s="10">
        <v>19211</v>
      </c>
      <c r="O1811" s="10">
        <f>Table1[[#This Row],[NET Amount]]-Table1[[#This Row],[Paid Amount]]</f>
        <v>0</v>
      </c>
      <c r="P1811" s="2" t="s">
        <v>18</v>
      </c>
      <c r="Q1811" s="2" t="s">
        <v>30</v>
      </c>
      <c r="R1811" s="16">
        <f>(Table1[[#This Row],[NET Amount]]-Table1[[#This Row],[Total Outstanding Amount]])/Table1[[#This Row],[NET Amount]]</f>
        <v>1</v>
      </c>
      <c r="S1811" s="2" t="s">
        <v>39</v>
      </c>
    </row>
    <row r="1812" spans="1:19" x14ac:dyDescent="0.3">
      <c r="A1812" s="4">
        <v>1810</v>
      </c>
      <c r="B1812" s="2" t="s">
        <v>327</v>
      </c>
      <c r="C1812" s="3">
        <v>44859</v>
      </c>
      <c r="D1812" s="3" t="str">
        <f>TEXT(Table1[[#This Row],[Admission Date]],"MMMM")</f>
        <v>October</v>
      </c>
      <c r="E1812" s="3">
        <v>44863</v>
      </c>
      <c r="F1812" s="3">
        <v>44863</v>
      </c>
      <c r="G1812" s="2">
        <v>22029036</v>
      </c>
      <c r="H1812" s="2">
        <v>2237345</v>
      </c>
      <c r="I1812" s="2">
        <v>10013544394</v>
      </c>
      <c r="J1812" s="2" t="s">
        <v>1255</v>
      </c>
      <c r="K1812" s="10">
        <v>20436</v>
      </c>
      <c r="L1812" s="10">
        <v>0</v>
      </c>
      <c r="M1812" s="10">
        <v>20436</v>
      </c>
      <c r="N1812" s="10">
        <v>20436</v>
      </c>
      <c r="O1812" s="10">
        <f>Table1[[#This Row],[NET Amount]]-Table1[[#This Row],[Paid Amount]]</f>
        <v>0</v>
      </c>
      <c r="P1812" s="2" t="s">
        <v>18</v>
      </c>
      <c r="Q1812" s="2" t="s">
        <v>24</v>
      </c>
      <c r="R1812" s="16">
        <f>(Table1[[#This Row],[NET Amount]]-Table1[[#This Row],[Total Outstanding Amount]])/Table1[[#This Row],[NET Amount]]</f>
        <v>1</v>
      </c>
      <c r="S1812" s="2" t="s">
        <v>20</v>
      </c>
    </row>
    <row r="1813" spans="1:19" x14ac:dyDescent="0.3">
      <c r="A1813" s="4">
        <v>1811</v>
      </c>
      <c r="B1813" s="2" t="s">
        <v>2291</v>
      </c>
      <c r="C1813" s="3">
        <v>44835</v>
      </c>
      <c r="D1813" s="3" t="str">
        <f>TEXT(Table1[[#This Row],[Admission Date]],"MMMM")</f>
        <v>October</v>
      </c>
      <c r="E1813" s="3">
        <v>44843</v>
      </c>
      <c r="F1813" s="3">
        <v>44843</v>
      </c>
      <c r="G1813" s="2">
        <v>22026307</v>
      </c>
      <c r="H1813" s="2">
        <v>2234143</v>
      </c>
      <c r="I1813" s="2">
        <v>1001188433</v>
      </c>
      <c r="J1813" s="2" t="s">
        <v>1256</v>
      </c>
      <c r="K1813" s="10">
        <v>145813</v>
      </c>
      <c r="L1813" s="10">
        <v>145813</v>
      </c>
      <c r="M1813" s="10">
        <v>0</v>
      </c>
      <c r="N1813" s="10">
        <v>0</v>
      </c>
      <c r="O1813" s="10">
        <f>Table1[[#This Row],[NET Amount]]-Table1[[#This Row],[Paid Amount]]</f>
        <v>0</v>
      </c>
      <c r="P1813" s="2" t="s">
        <v>18</v>
      </c>
      <c r="Q1813" s="2" t="s">
        <v>90</v>
      </c>
      <c r="R1813" s="16" t="e">
        <f>(Table1[[#This Row],[NET Amount]]-Table1[[#This Row],[Total Outstanding Amount]])/Table1[[#This Row],[NET Amount]]</f>
        <v>#DIV/0!</v>
      </c>
      <c r="S1813" s="2" t="s">
        <v>20</v>
      </c>
    </row>
    <row r="1814" spans="1:19" x14ac:dyDescent="0.3">
      <c r="A1814" s="4">
        <v>1812</v>
      </c>
      <c r="B1814" s="2" t="s">
        <v>72</v>
      </c>
      <c r="C1814" s="3">
        <v>44844</v>
      </c>
      <c r="D1814" s="3" t="str">
        <f>TEXT(Table1[[#This Row],[Admission Date]],"MMMM")</f>
        <v>October</v>
      </c>
      <c r="E1814" s="3">
        <v>44846</v>
      </c>
      <c r="F1814" s="3">
        <v>44846</v>
      </c>
      <c r="G1814" s="2">
        <v>22026696</v>
      </c>
      <c r="H1814" s="2">
        <v>2235410</v>
      </c>
      <c r="I1814" s="2">
        <v>1001803598</v>
      </c>
      <c r="J1814" s="2" t="s">
        <v>1257</v>
      </c>
      <c r="K1814" s="10">
        <v>7925</v>
      </c>
      <c r="L1814" s="10">
        <v>0</v>
      </c>
      <c r="M1814" s="10">
        <v>7925</v>
      </c>
      <c r="N1814" s="10">
        <v>7925</v>
      </c>
      <c r="O1814" s="10">
        <f>Table1[[#This Row],[NET Amount]]-Table1[[#This Row],[Paid Amount]]</f>
        <v>0</v>
      </c>
      <c r="P1814" s="2" t="s">
        <v>18</v>
      </c>
      <c r="Q1814" s="2" t="s">
        <v>30</v>
      </c>
      <c r="R1814" s="16">
        <f>(Table1[[#This Row],[NET Amount]]-Table1[[#This Row],[Total Outstanding Amount]])/Table1[[#This Row],[NET Amount]]</f>
        <v>1</v>
      </c>
      <c r="S1814" s="2" t="s">
        <v>37</v>
      </c>
    </row>
    <row r="1815" spans="1:19" x14ac:dyDescent="0.3">
      <c r="A1815" s="4">
        <v>1813</v>
      </c>
      <c r="B1815" s="2" t="s">
        <v>93</v>
      </c>
      <c r="C1815" s="3">
        <v>44842</v>
      </c>
      <c r="D1815" s="3" t="str">
        <f>TEXT(Table1[[#This Row],[Admission Date]],"MMMM")</f>
        <v>October</v>
      </c>
      <c r="E1815" s="3">
        <v>44845</v>
      </c>
      <c r="F1815" s="3">
        <v>44845</v>
      </c>
      <c r="G1815" s="2">
        <v>22026524</v>
      </c>
      <c r="H1815" s="2">
        <v>2235256</v>
      </c>
      <c r="I1815" s="2">
        <v>10013542255</v>
      </c>
      <c r="J1815" s="2" t="s">
        <v>1258</v>
      </c>
      <c r="K1815" s="10">
        <v>92263</v>
      </c>
      <c r="L1815" s="10">
        <v>0</v>
      </c>
      <c r="M1815" s="10">
        <v>92263</v>
      </c>
      <c r="N1815" s="10">
        <v>92263</v>
      </c>
      <c r="O1815" s="10">
        <f>Table1[[#This Row],[NET Amount]]-Table1[[#This Row],[Paid Amount]]</f>
        <v>0</v>
      </c>
      <c r="P1815" s="2" t="s">
        <v>18</v>
      </c>
      <c r="Q1815" s="2" t="s">
        <v>30</v>
      </c>
      <c r="R1815" s="16">
        <f>(Table1[[#This Row],[NET Amount]]-Table1[[#This Row],[Total Outstanding Amount]])/Table1[[#This Row],[NET Amount]]</f>
        <v>1</v>
      </c>
      <c r="S1815" s="2" t="s">
        <v>37</v>
      </c>
    </row>
    <row r="1816" spans="1:19" x14ac:dyDescent="0.3">
      <c r="A1816" s="4">
        <v>1814</v>
      </c>
      <c r="B1816" s="2" t="s">
        <v>122</v>
      </c>
      <c r="C1816" s="3">
        <v>44862</v>
      </c>
      <c r="D1816" s="3" t="str">
        <f>TEXT(Table1[[#This Row],[Admission Date]],"MMMM")</f>
        <v>October</v>
      </c>
      <c r="E1816" s="3">
        <v>44863</v>
      </c>
      <c r="F1816" s="3">
        <v>44863</v>
      </c>
      <c r="G1816" s="2">
        <v>22029116</v>
      </c>
      <c r="H1816" s="2">
        <v>2237828</v>
      </c>
      <c r="I1816" s="2">
        <v>1000950490</v>
      </c>
      <c r="J1816" s="2" t="s">
        <v>288</v>
      </c>
      <c r="K1816" s="10">
        <v>19794</v>
      </c>
      <c r="L1816" s="10">
        <v>19794</v>
      </c>
      <c r="M1816" s="10">
        <v>0</v>
      </c>
      <c r="N1816" s="10">
        <v>0</v>
      </c>
      <c r="O1816" s="10">
        <f>Table1[[#This Row],[NET Amount]]-Table1[[#This Row],[Paid Amount]]</f>
        <v>0</v>
      </c>
      <c r="P1816" s="2" t="s">
        <v>18</v>
      </c>
      <c r="Q1816" s="2" t="s">
        <v>90</v>
      </c>
      <c r="R1816" s="16" t="e">
        <f>(Table1[[#This Row],[NET Amount]]-Table1[[#This Row],[Total Outstanding Amount]])/Table1[[#This Row],[NET Amount]]</f>
        <v>#DIV/0!</v>
      </c>
      <c r="S1816" s="2" t="s">
        <v>162</v>
      </c>
    </row>
    <row r="1817" spans="1:19" x14ac:dyDescent="0.3">
      <c r="A1817" s="4">
        <v>1815</v>
      </c>
      <c r="B1817" s="2" t="s">
        <v>25</v>
      </c>
      <c r="C1817" s="3">
        <v>44837</v>
      </c>
      <c r="D1817" s="3" t="str">
        <f>TEXT(Table1[[#This Row],[Admission Date]],"MMMM")</f>
        <v>October</v>
      </c>
      <c r="E1817" s="3">
        <v>44837</v>
      </c>
      <c r="F1817" s="3">
        <v>44837</v>
      </c>
      <c r="G1817" s="2">
        <v>22025347</v>
      </c>
      <c r="H1817" s="2">
        <v>2234357</v>
      </c>
      <c r="I1817" s="2">
        <v>1001542684</v>
      </c>
      <c r="J1817" s="2" t="s">
        <v>176</v>
      </c>
      <c r="K1817" s="10">
        <v>3666</v>
      </c>
      <c r="L1817" s="10">
        <v>311</v>
      </c>
      <c r="M1817" s="10">
        <v>3355</v>
      </c>
      <c r="N1817" s="10">
        <v>3355</v>
      </c>
      <c r="O1817" s="10">
        <f>Table1[[#This Row],[NET Amount]]-Table1[[#This Row],[Paid Amount]]</f>
        <v>0</v>
      </c>
      <c r="P1817" s="2" t="s">
        <v>18</v>
      </c>
      <c r="Q1817" s="2" t="s">
        <v>54</v>
      </c>
      <c r="R1817" s="16">
        <f>(Table1[[#This Row],[NET Amount]]-Table1[[#This Row],[Total Outstanding Amount]])/Table1[[#This Row],[NET Amount]]</f>
        <v>1</v>
      </c>
      <c r="S1817" s="2" t="s">
        <v>97</v>
      </c>
    </row>
    <row r="1818" spans="1:19" x14ac:dyDescent="0.3">
      <c r="A1818" s="4">
        <v>1816</v>
      </c>
      <c r="B1818" s="2" t="s">
        <v>35</v>
      </c>
      <c r="C1818" s="3">
        <v>44834</v>
      </c>
      <c r="D1818" s="3" t="str">
        <f>TEXT(Table1[[#This Row],[Admission Date]],"MMMM")</f>
        <v>September</v>
      </c>
      <c r="E1818" s="3">
        <v>44835</v>
      </c>
      <c r="F1818" s="3">
        <v>44835</v>
      </c>
      <c r="G1818" s="2">
        <v>22025111</v>
      </c>
      <c r="H1818" s="2">
        <v>2234086</v>
      </c>
      <c r="I1818" s="2">
        <v>1001801732</v>
      </c>
      <c r="J1818" s="2" t="s">
        <v>1259</v>
      </c>
      <c r="K1818" s="10">
        <v>2466</v>
      </c>
      <c r="L1818" s="10">
        <v>0</v>
      </c>
      <c r="M1818" s="10">
        <v>2466</v>
      </c>
      <c r="N1818" s="10">
        <v>2466</v>
      </c>
      <c r="O1818" s="10">
        <f>Table1[[#This Row],[NET Amount]]-Table1[[#This Row],[Paid Amount]]</f>
        <v>0</v>
      </c>
      <c r="P1818" s="2" t="s">
        <v>18</v>
      </c>
      <c r="Q1818" s="2" t="s">
        <v>19</v>
      </c>
      <c r="R1818" s="16">
        <f>(Table1[[#This Row],[NET Amount]]-Table1[[#This Row],[Total Outstanding Amount]])/Table1[[#This Row],[NET Amount]]</f>
        <v>1</v>
      </c>
      <c r="S1818" s="2" t="s">
        <v>37</v>
      </c>
    </row>
    <row r="1819" spans="1:19" x14ac:dyDescent="0.3">
      <c r="A1819" s="4">
        <v>1817</v>
      </c>
      <c r="B1819" s="2" t="s">
        <v>2244</v>
      </c>
      <c r="C1819" s="3">
        <v>44844</v>
      </c>
      <c r="D1819" s="3" t="str">
        <f>TEXT(Table1[[#This Row],[Admission Date]],"MMMM")</f>
        <v>October</v>
      </c>
      <c r="E1819" s="3">
        <v>44844</v>
      </c>
      <c r="F1819" s="3">
        <v>44844</v>
      </c>
      <c r="G1819" s="2">
        <v>22026464</v>
      </c>
      <c r="H1819" s="2">
        <v>2235435</v>
      </c>
      <c r="I1819" s="2">
        <v>1001758739</v>
      </c>
      <c r="J1819" s="2" t="s">
        <v>233</v>
      </c>
      <c r="K1819" s="10">
        <v>2560</v>
      </c>
      <c r="L1819" s="10">
        <v>0</v>
      </c>
      <c r="M1819" s="10">
        <v>2560</v>
      </c>
      <c r="N1819" s="10">
        <v>2560</v>
      </c>
      <c r="O1819" s="10">
        <f>Table1[[#This Row],[NET Amount]]-Table1[[#This Row],[Paid Amount]]</f>
        <v>0</v>
      </c>
      <c r="P1819" s="2" t="s">
        <v>18</v>
      </c>
      <c r="Q1819" s="2" t="s">
        <v>54</v>
      </c>
      <c r="R1819" s="16">
        <f>(Table1[[#This Row],[NET Amount]]-Table1[[#This Row],[Total Outstanding Amount]])/Table1[[#This Row],[NET Amount]]</f>
        <v>1</v>
      </c>
      <c r="S1819" s="2" t="s">
        <v>97</v>
      </c>
    </row>
    <row r="1820" spans="1:19" x14ac:dyDescent="0.3">
      <c r="A1820" s="4">
        <v>1818</v>
      </c>
      <c r="B1820" s="2" t="s">
        <v>25</v>
      </c>
      <c r="C1820" s="3">
        <v>44853</v>
      </c>
      <c r="D1820" s="3" t="str">
        <f>TEXT(Table1[[#This Row],[Admission Date]],"MMMM")</f>
        <v>October</v>
      </c>
      <c r="E1820" s="3">
        <v>44853</v>
      </c>
      <c r="F1820" s="3">
        <v>44853</v>
      </c>
      <c r="G1820" s="2">
        <v>22027661</v>
      </c>
      <c r="H1820" s="2">
        <v>2236594</v>
      </c>
      <c r="I1820" s="2">
        <v>1000891450</v>
      </c>
      <c r="J1820" s="2" t="s">
        <v>337</v>
      </c>
      <c r="K1820" s="10">
        <v>3519</v>
      </c>
      <c r="L1820" s="10">
        <v>1508</v>
      </c>
      <c r="M1820" s="10">
        <v>2011</v>
      </c>
      <c r="N1820" s="10">
        <v>2011</v>
      </c>
      <c r="O1820" s="10">
        <f>Table1[[#This Row],[NET Amount]]-Table1[[#This Row],[Paid Amount]]</f>
        <v>0</v>
      </c>
      <c r="P1820" s="2" t="s">
        <v>18</v>
      </c>
      <c r="Q1820" s="2" t="s">
        <v>54</v>
      </c>
      <c r="R1820" s="16">
        <f>(Table1[[#This Row],[NET Amount]]-Table1[[#This Row],[Total Outstanding Amount]])/Table1[[#This Row],[NET Amount]]</f>
        <v>1</v>
      </c>
      <c r="S1820" s="2" t="s">
        <v>97</v>
      </c>
    </row>
    <row r="1821" spans="1:19" x14ac:dyDescent="0.3">
      <c r="A1821" s="4">
        <v>1819</v>
      </c>
      <c r="B1821" s="2" t="s">
        <v>72</v>
      </c>
      <c r="C1821" s="3">
        <v>44842</v>
      </c>
      <c r="D1821" s="3" t="str">
        <f>TEXT(Table1[[#This Row],[Admission Date]],"MMMM")</f>
        <v>October</v>
      </c>
      <c r="E1821" s="3">
        <v>44846</v>
      </c>
      <c r="F1821" s="3">
        <v>44846</v>
      </c>
      <c r="G1821" s="2">
        <v>22026705</v>
      </c>
      <c r="H1821" s="2">
        <v>2235154</v>
      </c>
      <c r="I1821" s="2">
        <v>1001078378</v>
      </c>
      <c r="J1821" s="2" t="s">
        <v>1260</v>
      </c>
      <c r="K1821" s="10">
        <v>74098</v>
      </c>
      <c r="L1821" s="10">
        <v>7777</v>
      </c>
      <c r="M1821" s="10">
        <v>66321</v>
      </c>
      <c r="N1821" s="10">
        <v>4305</v>
      </c>
      <c r="O1821" s="10">
        <f>Table1[[#This Row],[NET Amount]]-Table1[[#This Row],[Paid Amount]]</f>
        <v>62016</v>
      </c>
      <c r="P1821" s="2" t="s">
        <v>23</v>
      </c>
      <c r="Q1821" s="2" t="s">
        <v>42</v>
      </c>
      <c r="R1821" s="16">
        <f>(Table1[[#This Row],[NET Amount]]-Table1[[#This Row],[Total Outstanding Amount]])/Table1[[#This Row],[NET Amount]]</f>
        <v>6.4911566472158136E-2</v>
      </c>
      <c r="S1821" s="2" t="s">
        <v>20</v>
      </c>
    </row>
    <row r="1822" spans="1:19" x14ac:dyDescent="0.3">
      <c r="A1822" s="4">
        <v>1820</v>
      </c>
      <c r="B1822" s="2" t="s">
        <v>25</v>
      </c>
      <c r="C1822" s="3">
        <v>44850</v>
      </c>
      <c r="D1822" s="3" t="str">
        <f>TEXT(Table1[[#This Row],[Admission Date]],"MMMM")</f>
        <v>October</v>
      </c>
      <c r="E1822" s="3">
        <v>44852</v>
      </c>
      <c r="F1822" s="3">
        <v>44852</v>
      </c>
      <c r="G1822" s="2">
        <v>22027546</v>
      </c>
      <c r="H1822" s="2">
        <v>2236218</v>
      </c>
      <c r="I1822" s="2">
        <v>1001804639</v>
      </c>
      <c r="J1822" s="2" t="s">
        <v>1261</v>
      </c>
      <c r="K1822" s="10">
        <v>99440</v>
      </c>
      <c r="L1822" s="10">
        <v>12588</v>
      </c>
      <c r="M1822" s="10">
        <v>86852</v>
      </c>
      <c r="N1822" s="10">
        <v>86852</v>
      </c>
      <c r="O1822" s="10">
        <f>Table1[[#This Row],[NET Amount]]-Table1[[#This Row],[Paid Amount]]</f>
        <v>0</v>
      </c>
      <c r="P1822" s="2" t="s">
        <v>18</v>
      </c>
      <c r="Q1822" s="2" t="s">
        <v>30</v>
      </c>
      <c r="R1822" s="16">
        <f>(Table1[[#This Row],[NET Amount]]-Table1[[#This Row],[Total Outstanding Amount]])/Table1[[#This Row],[NET Amount]]</f>
        <v>1</v>
      </c>
      <c r="S1822" s="2" t="s">
        <v>27</v>
      </c>
    </row>
    <row r="1823" spans="1:19" x14ac:dyDescent="0.3">
      <c r="A1823" s="4">
        <v>1821</v>
      </c>
      <c r="B1823" s="2" t="s">
        <v>155</v>
      </c>
      <c r="C1823" s="3">
        <v>44839</v>
      </c>
      <c r="D1823" s="3" t="str">
        <f>TEXT(Table1[[#This Row],[Admission Date]],"MMMM")</f>
        <v>October</v>
      </c>
      <c r="E1823" s="3">
        <v>44839</v>
      </c>
      <c r="F1823" s="3">
        <v>44839</v>
      </c>
      <c r="G1823" s="2">
        <v>22025723</v>
      </c>
      <c r="H1823" s="2">
        <v>2234712</v>
      </c>
      <c r="I1823" s="2">
        <v>10013362937</v>
      </c>
      <c r="J1823" s="2" t="s">
        <v>963</v>
      </c>
      <c r="K1823" s="10">
        <v>1610</v>
      </c>
      <c r="L1823" s="10">
        <v>0</v>
      </c>
      <c r="M1823" s="10">
        <v>1610</v>
      </c>
      <c r="N1823" s="10">
        <v>1610</v>
      </c>
      <c r="O1823" s="10">
        <f>Table1[[#This Row],[NET Amount]]-Table1[[#This Row],[Paid Amount]]</f>
        <v>0</v>
      </c>
      <c r="P1823" s="2" t="s">
        <v>18</v>
      </c>
      <c r="Q1823" s="2" t="s">
        <v>54</v>
      </c>
      <c r="R1823" s="16">
        <f>(Table1[[#This Row],[NET Amount]]-Table1[[#This Row],[Total Outstanding Amount]])/Table1[[#This Row],[NET Amount]]</f>
        <v>1</v>
      </c>
      <c r="S1823" s="2" t="s">
        <v>97</v>
      </c>
    </row>
    <row r="1824" spans="1:19" x14ac:dyDescent="0.3">
      <c r="A1824" s="4">
        <v>1822</v>
      </c>
      <c r="B1824" s="2" t="s">
        <v>25</v>
      </c>
      <c r="C1824" s="3">
        <v>44837</v>
      </c>
      <c r="D1824" s="3" t="str">
        <f>TEXT(Table1[[#This Row],[Admission Date]],"MMMM")</f>
        <v>October</v>
      </c>
      <c r="E1824" s="3">
        <v>44837</v>
      </c>
      <c r="F1824" s="3">
        <v>44837</v>
      </c>
      <c r="G1824" s="2">
        <v>22025392</v>
      </c>
      <c r="H1824" s="2">
        <v>2234399</v>
      </c>
      <c r="I1824" s="2">
        <v>10013541337</v>
      </c>
      <c r="J1824" s="2" t="s">
        <v>1262</v>
      </c>
      <c r="K1824" s="10">
        <v>0</v>
      </c>
      <c r="L1824" s="10">
        <v>0</v>
      </c>
      <c r="M1824" s="10">
        <v>0</v>
      </c>
      <c r="N1824" s="10">
        <v>0</v>
      </c>
      <c r="O1824" s="10">
        <f>Table1[[#This Row],[NET Amount]]-Table1[[#This Row],[Paid Amount]]</f>
        <v>0</v>
      </c>
      <c r="P1824" s="2" t="s">
        <v>18</v>
      </c>
      <c r="Q1824" s="2" t="s">
        <v>1263</v>
      </c>
      <c r="R1824" s="16" t="e">
        <f>(Table1[[#This Row],[NET Amount]]-Table1[[#This Row],[Total Outstanding Amount]])/Table1[[#This Row],[NET Amount]]</f>
        <v>#DIV/0!</v>
      </c>
      <c r="S1824" s="2" t="s">
        <v>20</v>
      </c>
    </row>
    <row r="1825" spans="1:19" x14ac:dyDescent="0.3">
      <c r="A1825" s="4">
        <v>1823</v>
      </c>
      <c r="B1825" s="2" t="s">
        <v>93</v>
      </c>
      <c r="C1825" s="3">
        <v>44855</v>
      </c>
      <c r="D1825" s="3" t="str">
        <f>TEXT(Table1[[#This Row],[Admission Date]],"MMMM")</f>
        <v>October</v>
      </c>
      <c r="E1825" s="3">
        <v>44857</v>
      </c>
      <c r="F1825" s="3">
        <v>44857</v>
      </c>
      <c r="G1825" s="2">
        <v>22028320</v>
      </c>
      <c r="H1825" s="2">
        <v>2236934</v>
      </c>
      <c r="I1825" s="2">
        <v>10013391840</v>
      </c>
      <c r="J1825" s="2" t="s">
        <v>1264</v>
      </c>
      <c r="K1825" s="10">
        <v>52450</v>
      </c>
      <c r="L1825" s="10">
        <v>0</v>
      </c>
      <c r="M1825" s="10">
        <v>52450</v>
      </c>
      <c r="N1825" s="10">
        <v>9950</v>
      </c>
      <c r="O1825" s="10">
        <f>Table1[[#This Row],[NET Amount]]-Table1[[#This Row],[Paid Amount]]</f>
        <v>42500</v>
      </c>
      <c r="P1825" s="2" t="s">
        <v>23</v>
      </c>
      <c r="Q1825" s="2" t="s">
        <v>30</v>
      </c>
      <c r="R1825" s="16">
        <f>(Table1[[#This Row],[NET Amount]]-Table1[[#This Row],[Total Outstanding Amount]])/Table1[[#This Row],[NET Amount]]</f>
        <v>0.18970448045757865</v>
      </c>
      <c r="S1825" s="2" t="s">
        <v>27</v>
      </c>
    </row>
    <row r="1826" spans="1:19" x14ac:dyDescent="0.3">
      <c r="A1826" s="4">
        <v>1824</v>
      </c>
      <c r="B1826" s="2" t="s">
        <v>149</v>
      </c>
      <c r="C1826" s="3">
        <v>44853</v>
      </c>
      <c r="D1826" s="3" t="str">
        <f>TEXT(Table1[[#This Row],[Admission Date]],"MMMM")</f>
        <v>October</v>
      </c>
      <c r="E1826" s="3">
        <v>44856</v>
      </c>
      <c r="F1826" s="3">
        <v>44856</v>
      </c>
      <c r="G1826" s="2">
        <v>22028162</v>
      </c>
      <c r="H1826" s="2">
        <v>2236654</v>
      </c>
      <c r="I1826" s="2">
        <v>1001114920</v>
      </c>
      <c r="J1826" s="2" t="s">
        <v>1265</v>
      </c>
      <c r="K1826" s="10">
        <v>58405</v>
      </c>
      <c r="L1826" s="10">
        <v>0</v>
      </c>
      <c r="M1826" s="10">
        <v>58405</v>
      </c>
      <c r="N1826" s="10">
        <v>1500</v>
      </c>
      <c r="O1826" s="10">
        <f>Table1[[#This Row],[NET Amount]]-Table1[[#This Row],[Paid Amount]]</f>
        <v>56905</v>
      </c>
      <c r="P1826" s="2" t="s">
        <v>18</v>
      </c>
      <c r="Q1826" s="2" t="s">
        <v>30</v>
      </c>
      <c r="R1826" s="16">
        <f>(Table1[[#This Row],[NET Amount]]-Table1[[#This Row],[Total Outstanding Amount]])/Table1[[#This Row],[NET Amount]]</f>
        <v>2.5682732642753187E-2</v>
      </c>
      <c r="S1826" s="2" t="s">
        <v>20</v>
      </c>
    </row>
    <row r="1827" spans="1:19" x14ac:dyDescent="0.3">
      <c r="A1827" s="4">
        <v>1825</v>
      </c>
      <c r="B1827" s="2" t="s">
        <v>25</v>
      </c>
      <c r="C1827" s="3">
        <v>44833</v>
      </c>
      <c r="D1827" s="3" t="str">
        <f>TEXT(Table1[[#This Row],[Admission Date]],"MMMM")</f>
        <v>September</v>
      </c>
      <c r="E1827" s="3">
        <v>44835</v>
      </c>
      <c r="F1827" s="3">
        <v>44835</v>
      </c>
      <c r="G1827" s="2">
        <v>22025153</v>
      </c>
      <c r="H1827" s="2">
        <v>2233959</v>
      </c>
      <c r="I1827" s="2">
        <v>10013540845</v>
      </c>
      <c r="J1827" s="2" t="s">
        <v>1266</v>
      </c>
      <c r="K1827" s="10">
        <v>114305</v>
      </c>
      <c r="L1827" s="10">
        <v>39128</v>
      </c>
      <c r="M1827" s="10">
        <v>75177</v>
      </c>
      <c r="N1827" s="10">
        <v>75177</v>
      </c>
      <c r="O1827" s="10">
        <f>Table1[[#This Row],[NET Amount]]-Table1[[#This Row],[Paid Amount]]</f>
        <v>0</v>
      </c>
      <c r="P1827" s="2" t="s">
        <v>18</v>
      </c>
      <c r="Q1827" s="2" t="s">
        <v>225</v>
      </c>
      <c r="R1827" s="16">
        <f>(Table1[[#This Row],[NET Amount]]-Table1[[#This Row],[Total Outstanding Amount]])/Table1[[#This Row],[NET Amount]]</f>
        <v>1</v>
      </c>
      <c r="S1827" s="2" t="s">
        <v>20</v>
      </c>
    </row>
    <row r="1828" spans="1:19" x14ac:dyDescent="0.3">
      <c r="A1828" s="4">
        <v>1826</v>
      </c>
      <c r="B1828" s="2" t="s">
        <v>117</v>
      </c>
      <c r="C1828" s="3">
        <v>44843</v>
      </c>
      <c r="D1828" s="3" t="str">
        <f>TEXT(Table1[[#This Row],[Admission Date]],"MMMM")</f>
        <v>October</v>
      </c>
      <c r="E1828" s="3">
        <v>44847</v>
      </c>
      <c r="F1828" s="3">
        <v>44847</v>
      </c>
      <c r="G1828" s="2">
        <v>22026869</v>
      </c>
      <c r="H1828" s="2">
        <v>2235294</v>
      </c>
      <c r="I1828" s="2">
        <v>10013525967</v>
      </c>
      <c r="J1828" s="2" t="s">
        <v>1267</v>
      </c>
      <c r="K1828" s="10">
        <v>49430</v>
      </c>
      <c r="L1828" s="10">
        <v>0</v>
      </c>
      <c r="M1828" s="10">
        <v>49430</v>
      </c>
      <c r="N1828" s="10">
        <v>49430</v>
      </c>
      <c r="O1828" s="10">
        <f>Table1[[#This Row],[NET Amount]]-Table1[[#This Row],[Paid Amount]]</f>
        <v>0</v>
      </c>
      <c r="P1828" s="2" t="s">
        <v>18</v>
      </c>
      <c r="Q1828" s="2" t="s">
        <v>24</v>
      </c>
      <c r="R1828" s="16">
        <f>(Table1[[#This Row],[NET Amount]]-Table1[[#This Row],[Total Outstanding Amount]])/Table1[[#This Row],[NET Amount]]</f>
        <v>1</v>
      </c>
      <c r="S1828" s="2" t="s">
        <v>27</v>
      </c>
    </row>
    <row r="1829" spans="1:19" x14ac:dyDescent="0.3">
      <c r="A1829" s="4">
        <v>1827</v>
      </c>
      <c r="B1829" s="2" t="s">
        <v>2243</v>
      </c>
      <c r="C1829" s="3">
        <v>44842</v>
      </c>
      <c r="D1829" s="3" t="str">
        <f>TEXT(Table1[[#This Row],[Admission Date]],"MMMM")</f>
        <v>October</v>
      </c>
      <c r="E1829" s="3">
        <v>44844</v>
      </c>
      <c r="F1829" s="3">
        <v>44844</v>
      </c>
      <c r="G1829" s="2">
        <v>22026390</v>
      </c>
      <c r="H1829" s="2">
        <v>2235175</v>
      </c>
      <c r="I1829" s="2">
        <v>1001803276</v>
      </c>
      <c r="J1829" s="2" t="s">
        <v>1268</v>
      </c>
      <c r="K1829" s="10">
        <v>11855</v>
      </c>
      <c r="L1829" s="10">
        <v>11855</v>
      </c>
      <c r="M1829" s="10">
        <v>0</v>
      </c>
      <c r="N1829" s="10">
        <v>0</v>
      </c>
      <c r="O1829" s="10">
        <f>Table1[[#This Row],[NET Amount]]-Table1[[#This Row],[Paid Amount]]</f>
        <v>0</v>
      </c>
      <c r="P1829" s="2" t="s">
        <v>18</v>
      </c>
      <c r="Q1829" s="2" t="s">
        <v>24</v>
      </c>
      <c r="R1829" s="16" t="e">
        <f>(Table1[[#This Row],[NET Amount]]-Table1[[#This Row],[Total Outstanding Amount]])/Table1[[#This Row],[NET Amount]]</f>
        <v>#DIV/0!</v>
      </c>
      <c r="S1829" s="2" t="s">
        <v>37</v>
      </c>
    </row>
    <row r="1830" spans="1:19" x14ac:dyDescent="0.3">
      <c r="A1830" s="4">
        <v>1828</v>
      </c>
      <c r="B1830" s="2" t="s">
        <v>25</v>
      </c>
      <c r="C1830" s="3">
        <v>44857</v>
      </c>
      <c r="D1830" s="3" t="str">
        <f>TEXT(Table1[[#This Row],[Admission Date]],"MMMM")</f>
        <v>October</v>
      </c>
      <c r="E1830" s="3">
        <v>44858</v>
      </c>
      <c r="F1830" s="3">
        <v>44858</v>
      </c>
      <c r="G1830" s="2">
        <v>22028433</v>
      </c>
      <c r="H1830" s="2">
        <v>2237121</v>
      </c>
      <c r="I1830" s="2">
        <v>10013544212</v>
      </c>
      <c r="J1830" s="2" t="s">
        <v>1269</v>
      </c>
      <c r="K1830" s="10">
        <v>26494</v>
      </c>
      <c r="L1830" s="10">
        <v>3547</v>
      </c>
      <c r="M1830" s="10">
        <v>22947</v>
      </c>
      <c r="N1830" s="10">
        <v>22947</v>
      </c>
      <c r="O1830" s="10">
        <f>Table1[[#This Row],[NET Amount]]-Table1[[#This Row],[Paid Amount]]</f>
        <v>0</v>
      </c>
      <c r="P1830" s="2" t="s">
        <v>18</v>
      </c>
      <c r="Q1830" s="2" t="s">
        <v>19</v>
      </c>
      <c r="R1830" s="16">
        <f>(Table1[[#This Row],[NET Amount]]-Table1[[#This Row],[Total Outstanding Amount]])/Table1[[#This Row],[NET Amount]]</f>
        <v>1</v>
      </c>
      <c r="S1830" s="2" t="s">
        <v>20</v>
      </c>
    </row>
    <row r="1831" spans="1:19" x14ac:dyDescent="0.3">
      <c r="A1831" s="4">
        <v>1829</v>
      </c>
      <c r="B1831" s="2" t="s">
        <v>126</v>
      </c>
      <c r="C1831" s="3">
        <v>44854</v>
      </c>
      <c r="D1831" s="3" t="str">
        <f>TEXT(Table1[[#This Row],[Admission Date]],"MMMM")</f>
        <v>October</v>
      </c>
      <c r="E1831" s="3">
        <v>44858</v>
      </c>
      <c r="F1831" s="3">
        <v>44858</v>
      </c>
      <c r="G1831" s="2">
        <v>22028436</v>
      </c>
      <c r="H1831" s="2">
        <v>2236820</v>
      </c>
      <c r="I1831" s="2">
        <v>1001805498</v>
      </c>
      <c r="J1831" s="2" t="s">
        <v>1270</v>
      </c>
      <c r="K1831" s="10">
        <v>107789</v>
      </c>
      <c r="L1831" s="10">
        <v>15752</v>
      </c>
      <c r="M1831" s="10">
        <v>92037</v>
      </c>
      <c r="N1831" s="10">
        <v>3729</v>
      </c>
      <c r="O1831" s="10">
        <f>Table1[[#This Row],[NET Amount]]-Table1[[#This Row],[Paid Amount]]</f>
        <v>88308</v>
      </c>
      <c r="P1831" s="2" t="s">
        <v>23</v>
      </c>
      <c r="Q1831" s="2" t="s">
        <v>19</v>
      </c>
      <c r="R1831" s="16">
        <f>(Table1[[#This Row],[NET Amount]]-Table1[[#This Row],[Total Outstanding Amount]])/Table1[[#This Row],[NET Amount]]</f>
        <v>4.0516314091072071E-2</v>
      </c>
      <c r="S1831" s="2" t="s">
        <v>37</v>
      </c>
    </row>
    <row r="1832" spans="1:19" x14ac:dyDescent="0.3">
      <c r="A1832" s="4">
        <v>1830</v>
      </c>
      <c r="B1832" s="2" t="s">
        <v>72</v>
      </c>
      <c r="C1832" s="3">
        <v>44846</v>
      </c>
      <c r="D1832" s="3" t="str">
        <f>TEXT(Table1[[#This Row],[Admission Date]],"MMMM")</f>
        <v>October</v>
      </c>
      <c r="E1832" s="3">
        <v>44848</v>
      </c>
      <c r="F1832" s="3">
        <v>44848</v>
      </c>
      <c r="G1832" s="2">
        <v>22026981</v>
      </c>
      <c r="H1832" s="2">
        <v>2235627</v>
      </c>
      <c r="I1832" s="2">
        <v>10013460059</v>
      </c>
      <c r="J1832" s="2" t="s">
        <v>1271</v>
      </c>
      <c r="K1832" s="10">
        <v>52500</v>
      </c>
      <c r="L1832" s="10">
        <v>0</v>
      </c>
      <c r="M1832" s="10">
        <v>52500</v>
      </c>
      <c r="N1832" s="10">
        <v>14785</v>
      </c>
      <c r="O1832" s="10">
        <f>Table1[[#This Row],[NET Amount]]-Table1[[#This Row],[Paid Amount]]</f>
        <v>37715</v>
      </c>
      <c r="P1832" s="2" t="s">
        <v>23</v>
      </c>
      <c r="Q1832" s="2" t="s">
        <v>42</v>
      </c>
      <c r="R1832" s="16">
        <f>(Table1[[#This Row],[NET Amount]]-Table1[[#This Row],[Total Outstanding Amount]])/Table1[[#This Row],[NET Amount]]</f>
        <v>0.2816190476190476</v>
      </c>
      <c r="S1832" s="2" t="s">
        <v>27</v>
      </c>
    </row>
    <row r="1833" spans="1:19" x14ac:dyDescent="0.3">
      <c r="A1833" s="4">
        <v>1831</v>
      </c>
      <c r="B1833" s="2" t="s">
        <v>25</v>
      </c>
      <c r="C1833" s="3">
        <v>44841</v>
      </c>
      <c r="D1833" s="3" t="str">
        <f>TEXT(Table1[[#This Row],[Admission Date]],"MMMM")</f>
        <v>October</v>
      </c>
      <c r="E1833" s="3">
        <v>44841</v>
      </c>
      <c r="F1833" s="3">
        <v>44841</v>
      </c>
      <c r="G1833" s="2">
        <v>22026066</v>
      </c>
      <c r="H1833" s="2">
        <v>2235089</v>
      </c>
      <c r="I1833" s="2">
        <v>1001074324</v>
      </c>
      <c r="J1833" s="2" t="s">
        <v>255</v>
      </c>
      <c r="K1833" s="10">
        <v>2844</v>
      </c>
      <c r="L1833" s="10">
        <v>277</v>
      </c>
      <c r="M1833" s="10">
        <v>2567</v>
      </c>
      <c r="N1833" s="10">
        <v>2567</v>
      </c>
      <c r="O1833" s="10">
        <f>Table1[[#This Row],[NET Amount]]-Table1[[#This Row],[Paid Amount]]</f>
        <v>0</v>
      </c>
      <c r="P1833" s="2" t="s">
        <v>18</v>
      </c>
      <c r="Q1833" s="2" t="s">
        <v>54</v>
      </c>
      <c r="R1833" s="16">
        <f>(Table1[[#This Row],[NET Amount]]-Table1[[#This Row],[Total Outstanding Amount]])/Table1[[#This Row],[NET Amount]]</f>
        <v>1</v>
      </c>
      <c r="S1833" s="2" t="s">
        <v>97</v>
      </c>
    </row>
    <row r="1834" spans="1:19" x14ac:dyDescent="0.3">
      <c r="A1834" s="4">
        <v>1832</v>
      </c>
      <c r="B1834" s="2" t="s">
        <v>61</v>
      </c>
      <c r="C1834" s="3">
        <v>44828</v>
      </c>
      <c r="D1834" s="3" t="str">
        <f>TEXT(Table1[[#This Row],[Admission Date]],"MMMM")</f>
        <v>September</v>
      </c>
      <c r="E1834" s="3">
        <v>44835</v>
      </c>
      <c r="F1834" s="3">
        <v>44835</v>
      </c>
      <c r="G1834" s="2">
        <v>22025140</v>
      </c>
      <c r="H1834" s="2">
        <v>2233327</v>
      </c>
      <c r="I1834" s="2">
        <v>10013540218</v>
      </c>
      <c r="J1834" s="2" t="s">
        <v>1272</v>
      </c>
      <c r="K1834" s="10">
        <v>163620</v>
      </c>
      <c r="L1834" s="10">
        <v>23141</v>
      </c>
      <c r="M1834" s="10">
        <v>140479</v>
      </c>
      <c r="N1834" s="10">
        <v>50232</v>
      </c>
      <c r="O1834" s="10">
        <f>Table1[[#This Row],[NET Amount]]-Table1[[#This Row],[Paid Amount]]</f>
        <v>90247</v>
      </c>
      <c r="P1834" s="2" t="s">
        <v>23</v>
      </c>
      <c r="Q1834" s="2" t="s">
        <v>30</v>
      </c>
      <c r="R1834" s="16">
        <f>(Table1[[#This Row],[NET Amount]]-Table1[[#This Row],[Total Outstanding Amount]])/Table1[[#This Row],[NET Amount]]</f>
        <v>0.3575765772820137</v>
      </c>
      <c r="S1834" s="2" t="s">
        <v>37</v>
      </c>
    </row>
    <row r="1835" spans="1:19" x14ac:dyDescent="0.3">
      <c r="A1835" s="4">
        <v>1833</v>
      </c>
      <c r="B1835" s="2" t="s">
        <v>25</v>
      </c>
      <c r="C1835" s="3">
        <v>44857</v>
      </c>
      <c r="D1835" s="3" t="str">
        <f>TEXT(Table1[[#This Row],[Admission Date]],"MMMM")</f>
        <v>October</v>
      </c>
      <c r="E1835" s="3">
        <v>44863</v>
      </c>
      <c r="F1835" s="3">
        <v>44863</v>
      </c>
      <c r="G1835" s="2">
        <v>22029029</v>
      </c>
      <c r="H1835" s="2">
        <v>2237112</v>
      </c>
      <c r="I1835" s="2">
        <v>10013458312</v>
      </c>
      <c r="J1835" s="2" t="s">
        <v>1273</v>
      </c>
      <c r="K1835" s="10">
        <v>272086</v>
      </c>
      <c r="L1835" s="10">
        <v>29194</v>
      </c>
      <c r="M1835" s="10">
        <v>242892</v>
      </c>
      <c r="N1835" s="10">
        <v>242892</v>
      </c>
      <c r="O1835" s="10">
        <f>Table1[[#This Row],[NET Amount]]-Table1[[#This Row],[Paid Amount]]</f>
        <v>0</v>
      </c>
      <c r="P1835" s="2" t="s">
        <v>18</v>
      </c>
      <c r="Q1835" s="2" t="s">
        <v>88</v>
      </c>
      <c r="R1835" s="16">
        <f>(Table1[[#This Row],[NET Amount]]-Table1[[#This Row],[Total Outstanding Amount]])/Table1[[#This Row],[NET Amount]]</f>
        <v>1</v>
      </c>
      <c r="S1835" s="2" t="s">
        <v>20</v>
      </c>
    </row>
    <row r="1836" spans="1:19" x14ac:dyDescent="0.3">
      <c r="A1836" s="4">
        <v>1834</v>
      </c>
      <c r="B1836" s="2" t="s">
        <v>25</v>
      </c>
      <c r="C1836" s="3">
        <v>44846</v>
      </c>
      <c r="D1836" s="3" t="str">
        <f>TEXT(Table1[[#This Row],[Admission Date]],"MMMM")</f>
        <v>October</v>
      </c>
      <c r="E1836" s="3">
        <v>44848</v>
      </c>
      <c r="F1836" s="3">
        <v>44848</v>
      </c>
      <c r="G1836" s="2">
        <v>22027005</v>
      </c>
      <c r="H1836" s="2">
        <v>2235625</v>
      </c>
      <c r="I1836" s="2">
        <v>1001803849</v>
      </c>
      <c r="J1836" s="2" t="s">
        <v>1274</v>
      </c>
      <c r="K1836" s="10">
        <v>17237</v>
      </c>
      <c r="L1836" s="10">
        <v>2165</v>
      </c>
      <c r="M1836" s="10">
        <v>15072</v>
      </c>
      <c r="N1836" s="10">
        <v>15072</v>
      </c>
      <c r="O1836" s="10">
        <f>Table1[[#This Row],[NET Amount]]-Table1[[#This Row],[Paid Amount]]</f>
        <v>0</v>
      </c>
      <c r="P1836" s="2" t="s">
        <v>18</v>
      </c>
      <c r="Q1836" s="2" t="s">
        <v>30</v>
      </c>
      <c r="R1836" s="16">
        <f>(Table1[[#This Row],[NET Amount]]-Table1[[#This Row],[Total Outstanding Amount]])/Table1[[#This Row],[NET Amount]]</f>
        <v>1</v>
      </c>
      <c r="S1836" s="2" t="s">
        <v>37</v>
      </c>
    </row>
    <row r="1837" spans="1:19" x14ac:dyDescent="0.3">
      <c r="A1837" s="4">
        <v>1835</v>
      </c>
      <c r="B1837" s="2" t="s">
        <v>25</v>
      </c>
      <c r="C1837" s="3">
        <v>44846</v>
      </c>
      <c r="D1837" s="3" t="str">
        <f>TEXT(Table1[[#This Row],[Admission Date]],"MMMM")</f>
        <v>October</v>
      </c>
      <c r="E1837" s="3">
        <v>44846</v>
      </c>
      <c r="F1837" s="3">
        <v>44846</v>
      </c>
      <c r="G1837" s="2">
        <v>22026725</v>
      </c>
      <c r="H1837" s="2">
        <v>2235675</v>
      </c>
      <c r="I1837" s="2">
        <v>10013533576</v>
      </c>
      <c r="J1837" s="2" t="s">
        <v>143</v>
      </c>
      <c r="K1837" s="10">
        <v>3729</v>
      </c>
      <c r="L1837" s="10">
        <v>290</v>
      </c>
      <c r="M1837" s="10">
        <v>3439</v>
      </c>
      <c r="N1837" s="10">
        <v>3439</v>
      </c>
      <c r="O1837" s="10">
        <f>Table1[[#This Row],[NET Amount]]-Table1[[#This Row],[Paid Amount]]</f>
        <v>0</v>
      </c>
      <c r="P1837" s="2" t="s">
        <v>18</v>
      </c>
      <c r="Q1837" s="2" t="s">
        <v>54</v>
      </c>
      <c r="R1837" s="16">
        <f>(Table1[[#This Row],[NET Amount]]-Table1[[#This Row],[Total Outstanding Amount]])/Table1[[#This Row],[NET Amount]]</f>
        <v>1</v>
      </c>
      <c r="S1837" s="2" t="s">
        <v>97</v>
      </c>
    </row>
    <row r="1838" spans="1:19" x14ac:dyDescent="0.3">
      <c r="A1838" s="4">
        <v>1836</v>
      </c>
      <c r="B1838" s="2" t="s">
        <v>35</v>
      </c>
      <c r="C1838" s="3">
        <v>44846</v>
      </c>
      <c r="D1838" s="3" t="str">
        <f>TEXT(Table1[[#This Row],[Admission Date]],"MMMM")</f>
        <v>October</v>
      </c>
      <c r="E1838" s="3">
        <v>44846</v>
      </c>
      <c r="F1838" s="3">
        <v>44846</v>
      </c>
      <c r="G1838" s="2">
        <v>22026721</v>
      </c>
      <c r="H1838" s="2">
        <v>2235678</v>
      </c>
      <c r="I1838" s="2">
        <v>1001644664</v>
      </c>
      <c r="J1838" s="2" t="s">
        <v>101</v>
      </c>
      <c r="K1838" s="10">
        <v>1610</v>
      </c>
      <c r="L1838" s="10">
        <v>0</v>
      </c>
      <c r="M1838" s="10">
        <v>1610</v>
      </c>
      <c r="N1838" s="10">
        <v>1610</v>
      </c>
      <c r="O1838" s="10">
        <f>Table1[[#This Row],[NET Amount]]-Table1[[#This Row],[Paid Amount]]</f>
        <v>0</v>
      </c>
      <c r="P1838" s="2" t="s">
        <v>18</v>
      </c>
      <c r="Q1838" s="2" t="s">
        <v>54</v>
      </c>
      <c r="R1838" s="16">
        <f>(Table1[[#This Row],[NET Amount]]-Table1[[#This Row],[Total Outstanding Amount]])/Table1[[#This Row],[NET Amount]]</f>
        <v>1</v>
      </c>
      <c r="S1838" s="2" t="s">
        <v>97</v>
      </c>
    </row>
    <row r="1839" spans="1:19" x14ac:dyDescent="0.3">
      <c r="A1839" s="4">
        <v>1837</v>
      </c>
      <c r="B1839" s="2" t="s">
        <v>25</v>
      </c>
      <c r="C1839" s="3">
        <v>44846</v>
      </c>
      <c r="D1839" s="3" t="str">
        <f>TEXT(Table1[[#This Row],[Admission Date]],"MMMM")</f>
        <v>October</v>
      </c>
      <c r="E1839" s="3">
        <v>44846</v>
      </c>
      <c r="F1839" s="3">
        <v>44846</v>
      </c>
      <c r="G1839" s="2">
        <v>22026723</v>
      </c>
      <c r="H1839" s="2">
        <v>2235674</v>
      </c>
      <c r="I1839" s="2">
        <v>10013460950</v>
      </c>
      <c r="J1839" s="2" t="s">
        <v>248</v>
      </c>
      <c r="K1839" s="10">
        <v>2844</v>
      </c>
      <c r="L1839" s="10">
        <v>308</v>
      </c>
      <c r="M1839" s="10">
        <v>2536</v>
      </c>
      <c r="N1839" s="10">
        <v>2536</v>
      </c>
      <c r="O1839" s="10">
        <f>Table1[[#This Row],[NET Amount]]-Table1[[#This Row],[Paid Amount]]</f>
        <v>0</v>
      </c>
      <c r="P1839" s="2" t="s">
        <v>18</v>
      </c>
      <c r="Q1839" s="2" t="s">
        <v>54</v>
      </c>
      <c r="R1839" s="16">
        <f>(Table1[[#This Row],[NET Amount]]-Table1[[#This Row],[Total Outstanding Amount]])/Table1[[#This Row],[NET Amount]]</f>
        <v>1</v>
      </c>
      <c r="S1839" s="2" t="s">
        <v>97</v>
      </c>
    </row>
    <row r="1840" spans="1:19" x14ac:dyDescent="0.3">
      <c r="A1840" s="4">
        <v>1838</v>
      </c>
      <c r="B1840" s="2" t="s">
        <v>117</v>
      </c>
      <c r="C1840" s="3">
        <v>44853</v>
      </c>
      <c r="D1840" s="3" t="str">
        <f>TEXT(Table1[[#This Row],[Admission Date]],"MMMM")</f>
        <v>October</v>
      </c>
      <c r="E1840" s="3">
        <v>44853</v>
      </c>
      <c r="F1840" s="3">
        <v>44853</v>
      </c>
      <c r="G1840" s="2">
        <v>22027644</v>
      </c>
      <c r="H1840" s="2">
        <v>2236583</v>
      </c>
      <c r="I1840" s="2">
        <v>1000891454</v>
      </c>
      <c r="J1840" s="2" t="s">
        <v>232</v>
      </c>
      <c r="K1840" s="10">
        <v>2064</v>
      </c>
      <c r="L1840" s="10">
        <v>0</v>
      </c>
      <c r="M1840" s="10">
        <v>2064</v>
      </c>
      <c r="N1840" s="10">
        <v>2064</v>
      </c>
      <c r="O1840" s="10">
        <f>Table1[[#This Row],[NET Amount]]-Table1[[#This Row],[Paid Amount]]</f>
        <v>0</v>
      </c>
      <c r="P1840" s="2" t="s">
        <v>18</v>
      </c>
      <c r="Q1840" s="2" t="s">
        <v>54</v>
      </c>
      <c r="R1840" s="16">
        <f>(Table1[[#This Row],[NET Amount]]-Table1[[#This Row],[Total Outstanding Amount]])/Table1[[#This Row],[NET Amount]]</f>
        <v>1</v>
      </c>
      <c r="S1840" s="2" t="s">
        <v>97</v>
      </c>
    </row>
    <row r="1841" spans="1:19" x14ac:dyDescent="0.3">
      <c r="A1841" s="4">
        <v>1839</v>
      </c>
      <c r="B1841" s="2" t="s">
        <v>282</v>
      </c>
      <c r="C1841" s="3">
        <v>44843</v>
      </c>
      <c r="D1841" s="3" t="str">
        <f>TEXT(Table1[[#This Row],[Admission Date]],"MMMM")</f>
        <v>October</v>
      </c>
      <c r="E1841" s="3">
        <v>44844</v>
      </c>
      <c r="F1841" s="3">
        <v>44844</v>
      </c>
      <c r="G1841" s="2">
        <v>22026337</v>
      </c>
      <c r="H1841" s="2">
        <v>2235291</v>
      </c>
      <c r="I1841" s="2">
        <v>10013507882</v>
      </c>
      <c r="J1841" s="2" t="s">
        <v>1275</v>
      </c>
      <c r="K1841" s="10">
        <v>12957</v>
      </c>
      <c r="L1841" s="10">
        <v>12957</v>
      </c>
      <c r="M1841" s="10">
        <v>0</v>
      </c>
      <c r="N1841" s="10">
        <v>0</v>
      </c>
      <c r="O1841" s="10">
        <f>Table1[[#This Row],[NET Amount]]-Table1[[#This Row],[Paid Amount]]</f>
        <v>0</v>
      </c>
      <c r="P1841" s="2" t="s">
        <v>18</v>
      </c>
      <c r="Q1841" s="2" t="s">
        <v>24</v>
      </c>
      <c r="R1841" s="16" t="e">
        <f>(Table1[[#This Row],[NET Amount]]-Table1[[#This Row],[Total Outstanding Amount]])/Table1[[#This Row],[NET Amount]]</f>
        <v>#DIV/0!</v>
      </c>
      <c r="S1841" s="2" t="s">
        <v>55</v>
      </c>
    </row>
    <row r="1842" spans="1:19" x14ac:dyDescent="0.3">
      <c r="A1842" s="4">
        <v>1840</v>
      </c>
      <c r="B1842" s="2" t="s">
        <v>25</v>
      </c>
      <c r="C1842" s="3">
        <v>44832</v>
      </c>
      <c r="D1842" s="3" t="str">
        <f>TEXT(Table1[[#This Row],[Admission Date]],"MMMM")</f>
        <v>September</v>
      </c>
      <c r="E1842" s="3">
        <v>44838</v>
      </c>
      <c r="F1842" s="3">
        <v>44838</v>
      </c>
      <c r="G1842" s="2">
        <v>22025588</v>
      </c>
      <c r="H1842" s="2">
        <v>2233789</v>
      </c>
      <c r="I1842" s="2">
        <v>10013540474</v>
      </c>
      <c r="J1842" s="2" t="s">
        <v>1276</v>
      </c>
      <c r="K1842" s="10">
        <v>138722</v>
      </c>
      <c r="L1842" s="10">
        <v>138722</v>
      </c>
      <c r="M1842" s="10">
        <v>0</v>
      </c>
      <c r="N1842" s="10">
        <v>0</v>
      </c>
      <c r="O1842" s="10">
        <f>Table1[[#This Row],[NET Amount]]-Table1[[#This Row],[Paid Amount]]</f>
        <v>0</v>
      </c>
      <c r="P1842" s="2" t="s">
        <v>18</v>
      </c>
      <c r="Q1842" s="2" t="s">
        <v>90</v>
      </c>
      <c r="R1842" s="16" t="e">
        <f>(Table1[[#This Row],[NET Amount]]-Table1[[#This Row],[Total Outstanding Amount]])/Table1[[#This Row],[NET Amount]]</f>
        <v>#DIV/0!</v>
      </c>
      <c r="S1842" s="2" t="s">
        <v>20</v>
      </c>
    </row>
    <row r="1843" spans="1:19" x14ac:dyDescent="0.3">
      <c r="A1843" s="4">
        <v>1841</v>
      </c>
      <c r="B1843" s="2" t="s">
        <v>25</v>
      </c>
      <c r="C1843" s="3">
        <v>44854</v>
      </c>
      <c r="D1843" s="3" t="str">
        <f>TEXT(Table1[[#This Row],[Admission Date]],"MMMM")</f>
        <v>October</v>
      </c>
      <c r="E1843" s="3">
        <v>44856</v>
      </c>
      <c r="F1843" s="3">
        <v>44856</v>
      </c>
      <c r="G1843" s="2">
        <v>22028133</v>
      </c>
      <c r="H1843" s="2">
        <v>2236736</v>
      </c>
      <c r="I1843" s="2">
        <v>10013543819</v>
      </c>
      <c r="J1843" s="2" t="s">
        <v>46</v>
      </c>
      <c r="K1843" s="10">
        <v>187610</v>
      </c>
      <c r="L1843" s="10">
        <v>11880</v>
      </c>
      <c r="M1843" s="10">
        <v>175730</v>
      </c>
      <c r="N1843" s="10">
        <v>175730</v>
      </c>
      <c r="O1843" s="10">
        <f>Table1[[#This Row],[NET Amount]]-Table1[[#This Row],[Paid Amount]]</f>
        <v>0</v>
      </c>
      <c r="P1843" s="2" t="s">
        <v>18</v>
      </c>
      <c r="Q1843" s="2" t="s">
        <v>24</v>
      </c>
      <c r="R1843" s="16">
        <f>(Table1[[#This Row],[NET Amount]]-Table1[[#This Row],[Total Outstanding Amount]])/Table1[[#This Row],[NET Amount]]</f>
        <v>1</v>
      </c>
      <c r="S1843" s="2" t="s">
        <v>39</v>
      </c>
    </row>
    <row r="1844" spans="1:19" x14ac:dyDescent="0.3">
      <c r="A1844" s="4">
        <v>1842</v>
      </c>
      <c r="B1844" s="2" t="s">
        <v>75</v>
      </c>
      <c r="C1844" s="3">
        <v>44857</v>
      </c>
      <c r="D1844" s="3" t="str">
        <f>TEXT(Table1[[#This Row],[Admission Date]],"MMMM")</f>
        <v>October</v>
      </c>
      <c r="E1844" s="3">
        <v>44862</v>
      </c>
      <c r="F1844" s="3">
        <v>44862</v>
      </c>
      <c r="G1844" s="2">
        <v>22028945</v>
      </c>
      <c r="H1844" s="2">
        <v>2237144</v>
      </c>
      <c r="I1844" s="2">
        <v>10013544219</v>
      </c>
      <c r="J1844" s="2" t="s">
        <v>730</v>
      </c>
      <c r="K1844" s="10">
        <v>99895</v>
      </c>
      <c r="L1844" s="10">
        <v>0</v>
      </c>
      <c r="M1844" s="10">
        <v>99895</v>
      </c>
      <c r="N1844" s="10">
        <v>3772</v>
      </c>
      <c r="O1844" s="10">
        <f>Table1[[#This Row],[NET Amount]]-Table1[[#This Row],[Paid Amount]]</f>
        <v>96123</v>
      </c>
      <c r="P1844" s="2" t="s">
        <v>23</v>
      </c>
      <c r="Q1844" s="2" t="s">
        <v>24</v>
      </c>
      <c r="R1844" s="16">
        <f>(Table1[[#This Row],[NET Amount]]-Table1[[#This Row],[Total Outstanding Amount]])/Table1[[#This Row],[NET Amount]]</f>
        <v>3.7759647630011516E-2</v>
      </c>
      <c r="S1844" s="2" t="s">
        <v>20</v>
      </c>
    </row>
    <row r="1845" spans="1:19" x14ac:dyDescent="0.3">
      <c r="A1845" s="4">
        <v>1843</v>
      </c>
      <c r="B1845" s="2" t="s">
        <v>155</v>
      </c>
      <c r="C1845" s="3">
        <v>44863</v>
      </c>
      <c r="D1845" s="3" t="str">
        <f>TEXT(Table1[[#This Row],[Admission Date]],"MMMM")</f>
        <v>October</v>
      </c>
      <c r="E1845" s="3">
        <v>44863</v>
      </c>
      <c r="F1845" s="3">
        <v>44863</v>
      </c>
      <c r="G1845" s="2">
        <v>22029030</v>
      </c>
      <c r="H1845" s="2">
        <v>2237916</v>
      </c>
      <c r="I1845" s="2">
        <v>10013386841</v>
      </c>
      <c r="J1845" s="2" t="s">
        <v>629</v>
      </c>
      <c r="K1845" s="10">
        <v>1610</v>
      </c>
      <c r="L1845" s="10">
        <v>0</v>
      </c>
      <c r="M1845" s="10">
        <v>1610</v>
      </c>
      <c r="N1845" s="10">
        <v>1610</v>
      </c>
      <c r="O1845" s="10">
        <f>Table1[[#This Row],[NET Amount]]-Table1[[#This Row],[Paid Amount]]</f>
        <v>0</v>
      </c>
      <c r="P1845" s="2" t="s">
        <v>18</v>
      </c>
      <c r="Q1845" s="2" t="s">
        <v>54</v>
      </c>
      <c r="R1845" s="16">
        <f>(Table1[[#This Row],[NET Amount]]-Table1[[#This Row],[Total Outstanding Amount]])/Table1[[#This Row],[NET Amount]]</f>
        <v>1</v>
      </c>
      <c r="S1845" s="2" t="s">
        <v>97</v>
      </c>
    </row>
    <row r="1846" spans="1:19" x14ac:dyDescent="0.3">
      <c r="A1846" s="4">
        <v>1844</v>
      </c>
      <c r="B1846" s="2" t="s">
        <v>25</v>
      </c>
      <c r="C1846" s="3">
        <v>44842</v>
      </c>
      <c r="D1846" s="3" t="str">
        <f>TEXT(Table1[[#This Row],[Admission Date]],"MMMM")</f>
        <v>October</v>
      </c>
      <c r="E1846" s="3">
        <v>44845</v>
      </c>
      <c r="F1846" s="3">
        <v>44845</v>
      </c>
      <c r="G1846" s="2">
        <v>22026594</v>
      </c>
      <c r="H1846" s="2">
        <v>2235204</v>
      </c>
      <c r="I1846" s="2">
        <v>10013399054</v>
      </c>
      <c r="J1846" s="2" t="s">
        <v>1277</v>
      </c>
      <c r="K1846" s="10">
        <v>60822</v>
      </c>
      <c r="L1846" s="10">
        <v>60822</v>
      </c>
      <c r="M1846" s="10">
        <v>0</v>
      </c>
      <c r="N1846" s="10">
        <v>0</v>
      </c>
      <c r="O1846" s="10">
        <f>Table1[[#This Row],[NET Amount]]-Table1[[#This Row],[Paid Amount]]</f>
        <v>0</v>
      </c>
      <c r="P1846" s="2" t="s">
        <v>18</v>
      </c>
      <c r="Q1846" s="2" t="s">
        <v>90</v>
      </c>
      <c r="R1846" s="16" t="e">
        <f>(Table1[[#This Row],[NET Amount]]-Table1[[#This Row],[Total Outstanding Amount]])/Table1[[#This Row],[NET Amount]]</f>
        <v>#DIV/0!</v>
      </c>
      <c r="S1846" s="2" t="s">
        <v>20</v>
      </c>
    </row>
    <row r="1847" spans="1:19" x14ac:dyDescent="0.3">
      <c r="A1847" s="4">
        <v>1845</v>
      </c>
      <c r="B1847" s="2" t="s">
        <v>25</v>
      </c>
      <c r="C1847" s="3">
        <v>44843</v>
      </c>
      <c r="D1847" s="3" t="str">
        <f>TEXT(Table1[[#This Row],[Admission Date]],"MMMM")</f>
        <v>October</v>
      </c>
      <c r="E1847" s="3">
        <v>44845</v>
      </c>
      <c r="F1847" s="3">
        <v>44845</v>
      </c>
      <c r="G1847" s="2">
        <v>22026585</v>
      </c>
      <c r="H1847" s="2">
        <v>2235285</v>
      </c>
      <c r="I1847" s="2">
        <v>10013495944</v>
      </c>
      <c r="J1847" s="2" t="s">
        <v>1278</v>
      </c>
      <c r="K1847" s="10">
        <v>44123</v>
      </c>
      <c r="L1847" s="10">
        <v>44123</v>
      </c>
      <c r="M1847" s="10">
        <v>0</v>
      </c>
      <c r="N1847" s="10">
        <v>0</v>
      </c>
      <c r="O1847" s="10">
        <f>Table1[[#This Row],[NET Amount]]-Table1[[#This Row],[Paid Amount]]</f>
        <v>0</v>
      </c>
      <c r="P1847" s="2" t="s">
        <v>18</v>
      </c>
      <c r="Q1847" s="2" t="s">
        <v>90</v>
      </c>
      <c r="R1847" s="16" t="e">
        <f>(Table1[[#This Row],[NET Amount]]-Table1[[#This Row],[Total Outstanding Amount]])/Table1[[#This Row],[NET Amount]]</f>
        <v>#DIV/0!</v>
      </c>
      <c r="S1847" s="2" t="s">
        <v>27</v>
      </c>
    </row>
    <row r="1848" spans="1:19" x14ac:dyDescent="0.3">
      <c r="A1848" s="4">
        <v>1846</v>
      </c>
      <c r="B1848" s="2" t="s">
        <v>2254</v>
      </c>
      <c r="C1848" s="3">
        <v>44854</v>
      </c>
      <c r="D1848" s="3" t="str">
        <f>TEXT(Table1[[#This Row],[Admission Date]],"MMMM")</f>
        <v>October</v>
      </c>
      <c r="E1848" s="3">
        <v>44855</v>
      </c>
      <c r="F1848" s="3">
        <v>44855</v>
      </c>
      <c r="G1848" s="2">
        <v>22028076</v>
      </c>
      <c r="H1848" s="2">
        <v>2236765</v>
      </c>
      <c r="I1848" s="2">
        <v>1001805445</v>
      </c>
      <c r="J1848" s="2" t="s">
        <v>1279</v>
      </c>
      <c r="K1848" s="10">
        <v>30060</v>
      </c>
      <c r="L1848" s="10">
        <v>1359</v>
      </c>
      <c r="M1848" s="10">
        <v>28701</v>
      </c>
      <c r="N1848" s="10">
        <v>500</v>
      </c>
      <c r="O1848" s="10">
        <f>Table1[[#This Row],[NET Amount]]-Table1[[#This Row],[Paid Amount]]</f>
        <v>28201</v>
      </c>
      <c r="P1848" s="2" t="s">
        <v>23</v>
      </c>
      <c r="Q1848" s="2" t="s">
        <v>24</v>
      </c>
      <c r="R1848" s="16">
        <f>(Table1[[#This Row],[NET Amount]]-Table1[[#This Row],[Total Outstanding Amount]])/Table1[[#This Row],[NET Amount]]</f>
        <v>1.7420995784119021E-2</v>
      </c>
      <c r="S1848" s="2" t="s">
        <v>77</v>
      </c>
    </row>
    <row r="1849" spans="1:19" x14ac:dyDescent="0.3">
      <c r="A1849" s="4">
        <v>1847</v>
      </c>
      <c r="B1849" s="2" t="s">
        <v>72</v>
      </c>
      <c r="C1849" s="3">
        <v>44844</v>
      </c>
      <c r="D1849" s="3" t="str">
        <f>TEXT(Table1[[#This Row],[Admission Date]],"MMMM")</f>
        <v>October</v>
      </c>
      <c r="E1849" s="3">
        <v>44845</v>
      </c>
      <c r="F1849" s="3">
        <v>44845</v>
      </c>
      <c r="G1849" s="2">
        <v>22026557</v>
      </c>
      <c r="H1849" s="2">
        <v>2235365</v>
      </c>
      <c r="I1849" s="2">
        <v>10013448698</v>
      </c>
      <c r="J1849" s="2" t="s">
        <v>1280</v>
      </c>
      <c r="K1849" s="10">
        <v>34864</v>
      </c>
      <c r="L1849" s="10">
        <v>4310</v>
      </c>
      <c r="M1849" s="10">
        <v>30554</v>
      </c>
      <c r="N1849" s="10">
        <v>2255</v>
      </c>
      <c r="O1849" s="10">
        <f>Table1[[#This Row],[NET Amount]]-Table1[[#This Row],[Paid Amount]]</f>
        <v>28299</v>
      </c>
      <c r="P1849" s="2" t="s">
        <v>23</v>
      </c>
      <c r="Q1849" s="2" t="s">
        <v>42</v>
      </c>
      <c r="R1849" s="16">
        <f>(Table1[[#This Row],[NET Amount]]-Table1[[#This Row],[Total Outstanding Amount]])/Table1[[#This Row],[NET Amount]]</f>
        <v>7.3803757282188909E-2</v>
      </c>
      <c r="S1849" s="2" t="s">
        <v>65</v>
      </c>
    </row>
    <row r="1850" spans="1:19" x14ac:dyDescent="0.3">
      <c r="A1850" s="4">
        <v>1848</v>
      </c>
      <c r="B1850" s="2" t="s">
        <v>152</v>
      </c>
      <c r="C1850" s="3">
        <v>44833</v>
      </c>
      <c r="D1850" s="3" t="str">
        <f>TEXT(Table1[[#This Row],[Admission Date]],"MMMM")</f>
        <v>September</v>
      </c>
      <c r="E1850" s="3">
        <v>44835</v>
      </c>
      <c r="F1850" s="3">
        <v>44835</v>
      </c>
      <c r="G1850" s="2">
        <v>22025162</v>
      </c>
      <c r="H1850" s="2">
        <v>2233968</v>
      </c>
      <c r="I1850" s="2">
        <v>1001485294</v>
      </c>
      <c r="J1850" s="2" t="s">
        <v>2280</v>
      </c>
      <c r="K1850" s="10">
        <v>24779</v>
      </c>
      <c r="L1850" s="10">
        <v>0</v>
      </c>
      <c r="M1850" s="10">
        <v>24779</v>
      </c>
      <c r="N1850" s="10">
        <v>900</v>
      </c>
      <c r="O1850" s="10">
        <f>Table1[[#This Row],[NET Amount]]-Table1[[#This Row],[Paid Amount]]</f>
        <v>23879</v>
      </c>
      <c r="P1850" s="2" t="s">
        <v>23</v>
      </c>
      <c r="Q1850" s="2" t="s">
        <v>30</v>
      </c>
      <c r="R1850" s="16">
        <f>(Table1[[#This Row],[NET Amount]]-Table1[[#This Row],[Total Outstanding Amount]])/Table1[[#This Row],[NET Amount]]</f>
        <v>3.6321078332458935E-2</v>
      </c>
      <c r="S1850" s="2" t="s">
        <v>43</v>
      </c>
    </row>
    <row r="1851" spans="1:19" x14ac:dyDescent="0.3">
      <c r="A1851" s="4">
        <v>1849</v>
      </c>
      <c r="B1851" s="2" t="s">
        <v>25</v>
      </c>
      <c r="C1851" s="3">
        <v>44856</v>
      </c>
      <c r="D1851" s="3" t="str">
        <f>TEXT(Table1[[#This Row],[Admission Date]],"MMMM")</f>
        <v>October</v>
      </c>
      <c r="E1851" s="3">
        <v>44860</v>
      </c>
      <c r="F1851" s="3">
        <v>44860</v>
      </c>
      <c r="G1851" s="2">
        <v>22028609</v>
      </c>
      <c r="H1851" s="2">
        <v>2237092</v>
      </c>
      <c r="I1851" s="2">
        <v>1001045938</v>
      </c>
      <c r="J1851" s="2" t="s">
        <v>1281</v>
      </c>
      <c r="K1851" s="10">
        <v>117491</v>
      </c>
      <c r="L1851" s="10">
        <v>14440</v>
      </c>
      <c r="M1851" s="10">
        <v>103051</v>
      </c>
      <c r="N1851" s="10">
        <v>50000</v>
      </c>
      <c r="O1851" s="10">
        <f>Table1[[#This Row],[NET Amount]]-Table1[[#This Row],[Paid Amount]]</f>
        <v>53051</v>
      </c>
      <c r="P1851" s="2" t="s">
        <v>23</v>
      </c>
      <c r="Q1851" s="2" t="s">
        <v>30</v>
      </c>
      <c r="R1851" s="16">
        <f>(Table1[[#This Row],[NET Amount]]-Table1[[#This Row],[Total Outstanding Amount]])/Table1[[#This Row],[NET Amount]]</f>
        <v>0.485196650202327</v>
      </c>
      <c r="S1851" s="2" t="s">
        <v>27</v>
      </c>
    </row>
    <row r="1852" spans="1:19" x14ac:dyDescent="0.3">
      <c r="A1852" s="4">
        <v>1850</v>
      </c>
      <c r="B1852" s="2" t="s">
        <v>25</v>
      </c>
      <c r="C1852" s="3">
        <v>44856</v>
      </c>
      <c r="D1852" s="3" t="str">
        <f>TEXT(Table1[[#This Row],[Admission Date]],"MMMM")</f>
        <v>October</v>
      </c>
      <c r="E1852" s="3">
        <v>44860</v>
      </c>
      <c r="F1852" s="3">
        <v>44860</v>
      </c>
      <c r="G1852" s="2">
        <v>22028625</v>
      </c>
      <c r="H1852" s="2">
        <v>2237104</v>
      </c>
      <c r="I1852" s="2">
        <v>1001805831</v>
      </c>
      <c r="J1852" s="2" t="s">
        <v>1282</v>
      </c>
      <c r="K1852" s="10">
        <v>23168</v>
      </c>
      <c r="L1852" s="10">
        <v>3007</v>
      </c>
      <c r="M1852" s="10">
        <v>20161</v>
      </c>
      <c r="N1852" s="10">
        <v>20000</v>
      </c>
      <c r="O1852" s="10">
        <f>Table1[[#This Row],[NET Amount]]-Table1[[#This Row],[Paid Amount]]</f>
        <v>161</v>
      </c>
      <c r="P1852" s="2" t="s">
        <v>23</v>
      </c>
      <c r="Q1852" s="2" t="s">
        <v>30</v>
      </c>
      <c r="R1852" s="16">
        <f>(Table1[[#This Row],[NET Amount]]-Table1[[#This Row],[Total Outstanding Amount]])/Table1[[#This Row],[NET Amount]]</f>
        <v>0.9920142850057041</v>
      </c>
      <c r="S1852" s="2" t="s">
        <v>37</v>
      </c>
    </row>
    <row r="1853" spans="1:19" x14ac:dyDescent="0.3">
      <c r="A1853" s="4">
        <v>1851</v>
      </c>
      <c r="B1853" s="2" t="s">
        <v>25</v>
      </c>
      <c r="C1853" s="3">
        <v>44857</v>
      </c>
      <c r="D1853" s="3" t="str">
        <f>TEXT(Table1[[#This Row],[Admission Date]],"MMMM")</f>
        <v>October</v>
      </c>
      <c r="E1853" s="3">
        <v>44857</v>
      </c>
      <c r="F1853" s="3">
        <v>44857</v>
      </c>
      <c r="G1853" s="2">
        <v>22028379</v>
      </c>
      <c r="H1853" s="2">
        <v>2237115</v>
      </c>
      <c r="I1853" s="2">
        <v>10013529861</v>
      </c>
      <c r="J1853" s="2" t="s">
        <v>1137</v>
      </c>
      <c r="K1853" s="10">
        <v>9954</v>
      </c>
      <c r="L1853" s="10">
        <v>1444</v>
      </c>
      <c r="M1853" s="10">
        <v>8510</v>
      </c>
      <c r="N1853" s="10">
        <v>8510</v>
      </c>
      <c r="O1853" s="10">
        <f>Table1[[#This Row],[NET Amount]]-Table1[[#This Row],[Paid Amount]]</f>
        <v>0</v>
      </c>
      <c r="P1853" s="2" t="s">
        <v>18</v>
      </c>
      <c r="Q1853" s="2" t="s">
        <v>24</v>
      </c>
      <c r="R1853" s="16">
        <f>(Table1[[#This Row],[NET Amount]]-Table1[[#This Row],[Total Outstanding Amount]])/Table1[[#This Row],[NET Amount]]</f>
        <v>1</v>
      </c>
      <c r="S1853" s="2" t="s">
        <v>95</v>
      </c>
    </row>
    <row r="1854" spans="1:19" x14ac:dyDescent="0.3">
      <c r="A1854" s="4">
        <v>1852</v>
      </c>
      <c r="B1854" s="2" t="s">
        <v>25</v>
      </c>
      <c r="C1854" s="3">
        <v>44840</v>
      </c>
      <c r="D1854" s="3" t="str">
        <f>TEXT(Table1[[#This Row],[Admission Date]],"MMMM")</f>
        <v>October</v>
      </c>
      <c r="E1854" s="3">
        <v>44843</v>
      </c>
      <c r="F1854" s="3">
        <v>44843</v>
      </c>
      <c r="G1854" s="2">
        <v>22026273</v>
      </c>
      <c r="H1854" s="2">
        <v>2234904</v>
      </c>
      <c r="I1854" s="2">
        <v>1000897111</v>
      </c>
      <c r="J1854" s="2" t="s">
        <v>1283</v>
      </c>
      <c r="K1854" s="10">
        <v>218178</v>
      </c>
      <c r="L1854" s="10">
        <v>10909</v>
      </c>
      <c r="M1854" s="10">
        <v>207268</v>
      </c>
      <c r="N1854" s="10">
        <v>207268</v>
      </c>
      <c r="O1854" s="10">
        <f>Table1[[#This Row],[NET Amount]]-Table1[[#This Row],[Paid Amount]]</f>
        <v>0</v>
      </c>
      <c r="P1854" s="2" t="s">
        <v>18</v>
      </c>
      <c r="Q1854" s="2" t="s">
        <v>24</v>
      </c>
      <c r="R1854" s="16">
        <f>(Table1[[#This Row],[NET Amount]]-Table1[[#This Row],[Total Outstanding Amount]])/Table1[[#This Row],[NET Amount]]</f>
        <v>1</v>
      </c>
      <c r="S1854" s="2" t="s">
        <v>39</v>
      </c>
    </row>
    <row r="1855" spans="1:19" x14ac:dyDescent="0.3">
      <c r="A1855" s="4">
        <v>1853</v>
      </c>
      <c r="B1855" s="2" t="s">
        <v>25</v>
      </c>
      <c r="C1855" s="3">
        <v>44844</v>
      </c>
      <c r="D1855" s="3" t="str">
        <f>TEXT(Table1[[#This Row],[Admission Date]],"MMMM")</f>
        <v>October</v>
      </c>
      <c r="E1855" s="3">
        <v>44844</v>
      </c>
      <c r="F1855" s="3">
        <v>44844</v>
      </c>
      <c r="G1855" s="2">
        <v>22026328</v>
      </c>
      <c r="H1855" s="2">
        <v>2235328</v>
      </c>
      <c r="I1855" s="2">
        <v>1001542684</v>
      </c>
      <c r="J1855" s="2" t="s">
        <v>176</v>
      </c>
      <c r="K1855" s="10">
        <v>4990</v>
      </c>
      <c r="L1855" s="10">
        <v>413</v>
      </c>
      <c r="M1855" s="10">
        <v>4577</v>
      </c>
      <c r="N1855" s="10">
        <v>4577</v>
      </c>
      <c r="O1855" s="10">
        <f>Table1[[#This Row],[NET Amount]]-Table1[[#This Row],[Paid Amount]]</f>
        <v>0</v>
      </c>
      <c r="P1855" s="2" t="s">
        <v>18</v>
      </c>
      <c r="Q1855" s="2" t="s">
        <v>54</v>
      </c>
      <c r="R1855" s="16">
        <f>(Table1[[#This Row],[NET Amount]]-Table1[[#This Row],[Total Outstanding Amount]])/Table1[[#This Row],[NET Amount]]</f>
        <v>1</v>
      </c>
      <c r="S1855" s="2" t="s">
        <v>97</v>
      </c>
    </row>
    <row r="1856" spans="1:19" x14ac:dyDescent="0.3">
      <c r="A1856" s="4">
        <v>1854</v>
      </c>
      <c r="B1856" s="2" t="s">
        <v>2253</v>
      </c>
      <c r="C1856" s="3">
        <v>44837</v>
      </c>
      <c r="D1856" s="3" t="str">
        <f>TEXT(Table1[[#This Row],[Admission Date]],"MMMM")</f>
        <v>October</v>
      </c>
      <c r="E1856" s="3">
        <v>44840</v>
      </c>
      <c r="F1856" s="3">
        <v>44840</v>
      </c>
      <c r="G1856" s="2">
        <v>22025882</v>
      </c>
      <c r="H1856" s="2">
        <v>2234408</v>
      </c>
      <c r="I1856" s="2">
        <v>1001802190</v>
      </c>
      <c r="J1856" s="2" t="s">
        <v>1284</v>
      </c>
      <c r="K1856" s="10">
        <v>16766</v>
      </c>
      <c r="L1856" s="10">
        <v>0</v>
      </c>
      <c r="M1856" s="10">
        <v>16766</v>
      </c>
      <c r="N1856" s="10">
        <v>823</v>
      </c>
      <c r="O1856" s="10">
        <f>Table1[[#This Row],[NET Amount]]-Table1[[#This Row],[Paid Amount]]</f>
        <v>15943</v>
      </c>
      <c r="P1856" s="2" t="s">
        <v>23</v>
      </c>
      <c r="Q1856" s="2" t="s">
        <v>24</v>
      </c>
      <c r="R1856" s="16">
        <f>(Table1[[#This Row],[NET Amount]]-Table1[[#This Row],[Total Outstanding Amount]])/Table1[[#This Row],[NET Amount]]</f>
        <v>4.9087438864368366E-2</v>
      </c>
      <c r="S1856" s="2" t="s">
        <v>20</v>
      </c>
    </row>
    <row r="1857" spans="1:19" x14ac:dyDescent="0.3">
      <c r="A1857" s="4">
        <v>1855</v>
      </c>
      <c r="B1857" s="2" t="s">
        <v>25</v>
      </c>
      <c r="C1857" s="3">
        <v>44854</v>
      </c>
      <c r="D1857" s="3" t="str">
        <f>TEXT(Table1[[#This Row],[Admission Date]],"MMMM")</f>
        <v>October</v>
      </c>
      <c r="E1857" s="3">
        <v>44855</v>
      </c>
      <c r="F1857" s="3">
        <v>44855</v>
      </c>
      <c r="G1857" s="2">
        <v>22028026</v>
      </c>
      <c r="H1857" s="2">
        <v>2236831</v>
      </c>
      <c r="I1857" s="2">
        <v>1001805514</v>
      </c>
      <c r="J1857" s="2" t="s">
        <v>1285</v>
      </c>
      <c r="K1857" s="10">
        <v>21876</v>
      </c>
      <c r="L1857" s="10">
        <v>10876</v>
      </c>
      <c r="M1857" s="10">
        <v>11000</v>
      </c>
      <c r="N1857" s="10">
        <v>11000</v>
      </c>
      <c r="O1857" s="10">
        <f>Table1[[#This Row],[NET Amount]]-Table1[[#This Row],[Paid Amount]]</f>
        <v>0</v>
      </c>
      <c r="P1857" s="2" t="s">
        <v>23</v>
      </c>
      <c r="Q1857" s="2" t="s">
        <v>69</v>
      </c>
      <c r="R1857" s="16">
        <f>(Table1[[#This Row],[NET Amount]]-Table1[[#This Row],[Total Outstanding Amount]])/Table1[[#This Row],[NET Amount]]</f>
        <v>1</v>
      </c>
      <c r="S1857" s="2" t="s">
        <v>20</v>
      </c>
    </row>
    <row r="1858" spans="1:19" x14ac:dyDescent="0.3">
      <c r="A1858" s="4">
        <v>1856</v>
      </c>
      <c r="B1858" s="2" t="s">
        <v>2253</v>
      </c>
      <c r="C1858" s="3">
        <v>44849</v>
      </c>
      <c r="D1858" s="3" t="str">
        <f>TEXT(Table1[[#This Row],[Admission Date]],"MMMM")</f>
        <v>October</v>
      </c>
      <c r="E1858" s="3">
        <v>44855</v>
      </c>
      <c r="F1858" s="3">
        <v>44855</v>
      </c>
      <c r="G1858" s="2">
        <v>22027983</v>
      </c>
      <c r="H1858" s="2">
        <v>2236212</v>
      </c>
      <c r="I1858" s="2">
        <v>1001801510</v>
      </c>
      <c r="J1858" s="2" t="s">
        <v>1286</v>
      </c>
      <c r="K1858" s="10">
        <v>102479</v>
      </c>
      <c r="L1858" s="10">
        <v>0</v>
      </c>
      <c r="M1858" s="10">
        <v>102479</v>
      </c>
      <c r="N1858" s="10">
        <v>6233</v>
      </c>
      <c r="O1858" s="10">
        <f>Table1[[#This Row],[NET Amount]]-Table1[[#This Row],[Paid Amount]]</f>
        <v>96246</v>
      </c>
      <c r="P1858" s="2" t="s">
        <v>23</v>
      </c>
      <c r="Q1858" s="2" t="s">
        <v>24</v>
      </c>
      <c r="R1858" s="16">
        <f>(Table1[[#This Row],[NET Amount]]-Table1[[#This Row],[Total Outstanding Amount]])/Table1[[#This Row],[NET Amount]]</f>
        <v>6.0822217234750536E-2</v>
      </c>
      <c r="S1858" s="2" t="s">
        <v>20</v>
      </c>
    </row>
    <row r="1859" spans="1:19" x14ac:dyDescent="0.3">
      <c r="A1859" s="4">
        <v>1857</v>
      </c>
      <c r="B1859" s="2" t="s">
        <v>152</v>
      </c>
      <c r="C1859" s="3">
        <v>44834</v>
      </c>
      <c r="D1859" s="3" t="str">
        <f>TEXT(Table1[[#This Row],[Admission Date]],"MMMM")</f>
        <v>September</v>
      </c>
      <c r="E1859" s="3">
        <v>44835</v>
      </c>
      <c r="F1859" s="3">
        <v>44835</v>
      </c>
      <c r="G1859" s="2">
        <v>22025209</v>
      </c>
      <c r="H1859" s="2">
        <v>2234074</v>
      </c>
      <c r="I1859" s="2">
        <v>10013533000</v>
      </c>
      <c r="J1859" s="2" t="s">
        <v>917</v>
      </c>
      <c r="K1859" s="10">
        <v>14559</v>
      </c>
      <c r="L1859" s="10">
        <v>0</v>
      </c>
      <c r="M1859" s="10">
        <v>14558</v>
      </c>
      <c r="N1859" s="10">
        <v>14558</v>
      </c>
      <c r="O1859" s="10">
        <f>Table1[[#This Row],[NET Amount]]-Table1[[#This Row],[Paid Amount]]</f>
        <v>0</v>
      </c>
      <c r="P1859" s="2" t="s">
        <v>18</v>
      </c>
      <c r="Q1859" s="2" t="s">
        <v>24</v>
      </c>
      <c r="R1859" s="16">
        <f>(Table1[[#This Row],[NET Amount]]-Table1[[#This Row],[Total Outstanding Amount]])/Table1[[#This Row],[NET Amount]]</f>
        <v>1</v>
      </c>
      <c r="S1859" s="2" t="s">
        <v>162</v>
      </c>
    </row>
    <row r="1860" spans="1:19" x14ac:dyDescent="0.3">
      <c r="A1860" s="4">
        <v>1858</v>
      </c>
      <c r="B1860" s="2" t="s">
        <v>126</v>
      </c>
      <c r="C1860" s="3">
        <v>44832</v>
      </c>
      <c r="D1860" s="3" t="str">
        <f>TEXT(Table1[[#This Row],[Admission Date]],"MMMM")</f>
        <v>September</v>
      </c>
      <c r="E1860" s="3">
        <v>44835</v>
      </c>
      <c r="F1860" s="3">
        <v>44835</v>
      </c>
      <c r="G1860" s="2">
        <v>22025154</v>
      </c>
      <c r="H1860" s="2">
        <v>2233812</v>
      </c>
      <c r="I1860" s="2">
        <v>10013540700</v>
      </c>
      <c r="J1860" s="2" t="s">
        <v>785</v>
      </c>
      <c r="K1860" s="10">
        <v>283091</v>
      </c>
      <c r="L1860" s="10">
        <v>3289</v>
      </c>
      <c r="M1860" s="10">
        <v>279802</v>
      </c>
      <c r="N1860" s="10">
        <v>2870</v>
      </c>
      <c r="O1860" s="10">
        <f>Table1[[#This Row],[NET Amount]]-Table1[[#This Row],[Paid Amount]]</f>
        <v>276932</v>
      </c>
      <c r="P1860" s="2" t="s">
        <v>23</v>
      </c>
      <c r="Q1860" s="2" t="s">
        <v>30</v>
      </c>
      <c r="R1860" s="16">
        <f>(Table1[[#This Row],[NET Amount]]-Table1[[#This Row],[Total Outstanding Amount]])/Table1[[#This Row],[NET Amount]]</f>
        <v>1.0257253343435715E-2</v>
      </c>
      <c r="S1860" s="2" t="s">
        <v>39</v>
      </c>
    </row>
    <row r="1861" spans="1:19" x14ac:dyDescent="0.3">
      <c r="A1861" s="4">
        <v>1859</v>
      </c>
      <c r="B1861" s="2" t="s">
        <v>25</v>
      </c>
      <c r="C1861" s="3">
        <v>44857</v>
      </c>
      <c r="D1861" s="3" t="str">
        <f>TEXT(Table1[[#This Row],[Admission Date]],"MMMM")</f>
        <v>October</v>
      </c>
      <c r="E1861" s="3">
        <v>44860</v>
      </c>
      <c r="F1861" s="3">
        <v>44860</v>
      </c>
      <c r="G1861" s="2">
        <v>22028620</v>
      </c>
      <c r="H1861" s="2">
        <v>2237146</v>
      </c>
      <c r="I1861" s="2">
        <v>1001805869</v>
      </c>
      <c r="J1861" s="2" t="s">
        <v>1287</v>
      </c>
      <c r="K1861" s="10">
        <v>23097</v>
      </c>
      <c r="L1861" s="10">
        <v>2953</v>
      </c>
      <c r="M1861" s="10">
        <v>20144</v>
      </c>
      <c r="N1861" s="10">
        <v>20144</v>
      </c>
      <c r="O1861" s="10">
        <f>Table1[[#This Row],[NET Amount]]-Table1[[#This Row],[Paid Amount]]</f>
        <v>0</v>
      </c>
      <c r="P1861" s="2" t="s">
        <v>18</v>
      </c>
      <c r="Q1861" s="2" t="s">
        <v>30</v>
      </c>
      <c r="R1861" s="16">
        <f>(Table1[[#This Row],[NET Amount]]-Table1[[#This Row],[Total Outstanding Amount]])/Table1[[#This Row],[NET Amount]]</f>
        <v>1</v>
      </c>
      <c r="S1861" s="2" t="s">
        <v>37</v>
      </c>
    </row>
    <row r="1862" spans="1:19" x14ac:dyDescent="0.3">
      <c r="A1862" s="4">
        <v>1860</v>
      </c>
      <c r="B1862" s="2" t="s">
        <v>35</v>
      </c>
      <c r="C1862" s="3">
        <v>44857</v>
      </c>
      <c r="D1862" s="3" t="str">
        <f>TEXT(Table1[[#This Row],[Admission Date]],"MMMM")</f>
        <v>October</v>
      </c>
      <c r="E1862" s="3">
        <v>44859</v>
      </c>
      <c r="F1862" s="3">
        <v>44859</v>
      </c>
      <c r="G1862" s="2">
        <v>22028493</v>
      </c>
      <c r="H1862" s="2">
        <v>2237147</v>
      </c>
      <c r="I1862" s="2">
        <v>1001805870</v>
      </c>
      <c r="J1862" s="2" t="s">
        <v>1288</v>
      </c>
      <c r="K1862" s="10">
        <v>12894</v>
      </c>
      <c r="L1862" s="10">
        <v>0</v>
      </c>
      <c r="M1862" s="10">
        <v>12894</v>
      </c>
      <c r="N1862" s="10">
        <v>12894</v>
      </c>
      <c r="O1862" s="10">
        <f>Table1[[#This Row],[NET Amount]]-Table1[[#This Row],[Paid Amount]]</f>
        <v>0</v>
      </c>
      <c r="P1862" s="2" t="s">
        <v>18</v>
      </c>
      <c r="Q1862" s="2" t="s">
        <v>30</v>
      </c>
      <c r="R1862" s="16">
        <f>(Table1[[#This Row],[NET Amount]]-Table1[[#This Row],[Total Outstanding Amount]])/Table1[[#This Row],[NET Amount]]</f>
        <v>1</v>
      </c>
      <c r="S1862" s="2" t="s">
        <v>27</v>
      </c>
    </row>
    <row r="1863" spans="1:19" x14ac:dyDescent="0.3">
      <c r="A1863" s="4">
        <v>1861</v>
      </c>
      <c r="B1863" s="2" t="s">
        <v>35</v>
      </c>
      <c r="C1863" s="3">
        <v>44845</v>
      </c>
      <c r="D1863" s="3" t="str">
        <f>TEXT(Table1[[#This Row],[Admission Date]],"MMMM")</f>
        <v>October</v>
      </c>
      <c r="E1863" s="3">
        <v>44845</v>
      </c>
      <c r="F1863" s="3">
        <v>44845</v>
      </c>
      <c r="G1863" s="2">
        <v>22026548</v>
      </c>
      <c r="H1863" s="2">
        <v>2235520</v>
      </c>
      <c r="I1863" s="2">
        <v>10013487696</v>
      </c>
      <c r="J1863" s="2" t="s">
        <v>359</v>
      </c>
      <c r="K1863" s="10">
        <v>1610</v>
      </c>
      <c r="L1863" s="10">
        <v>0</v>
      </c>
      <c r="M1863" s="10">
        <v>1610</v>
      </c>
      <c r="N1863" s="10">
        <v>1610</v>
      </c>
      <c r="O1863" s="10">
        <f>Table1[[#This Row],[NET Amount]]-Table1[[#This Row],[Paid Amount]]</f>
        <v>0</v>
      </c>
      <c r="P1863" s="2" t="s">
        <v>18</v>
      </c>
      <c r="Q1863" s="2" t="s">
        <v>54</v>
      </c>
      <c r="R1863" s="16">
        <f>(Table1[[#This Row],[NET Amount]]-Table1[[#This Row],[Total Outstanding Amount]])/Table1[[#This Row],[NET Amount]]</f>
        <v>1</v>
      </c>
      <c r="S1863" s="2" t="s">
        <v>97</v>
      </c>
    </row>
    <row r="1864" spans="1:19" x14ac:dyDescent="0.3">
      <c r="A1864" s="4">
        <v>1862</v>
      </c>
      <c r="B1864" s="2" t="s">
        <v>25</v>
      </c>
      <c r="C1864" s="3">
        <v>44845</v>
      </c>
      <c r="D1864" s="3" t="str">
        <f>TEXT(Table1[[#This Row],[Admission Date]],"MMMM")</f>
        <v>October</v>
      </c>
      <c r="E1864" s="3">
        <v>44845</v>
      </c>
      <c r="F1864" s="3">
        <v>44845</v>
      </c>
      <c r="G1864" s="2">
        <v>22026580</v>
      </c>
      <c r="H1864" s="2">
        <v>2235505</v>
      </c>
      <c r="I1864" s="2">
        <v>1001307852</v>
      </c>
      <c r="J1864" s="2" t="s">
        <v>309</v>
      </c>
      <c r="K1864" s="10">
        <v>3319</v>
      </c>
      <c r="L1864" s="10">
        <v>3319</v>
      </c>
      <c r="M1864" s="10">
        <v>0</v>
      </c>
      <c r="N1864" s="10">
        <v>0</v>
      </c>
      <c r="O1864" s="10">
        <f>Table1[[#This Row],[NET Amount]]-Table1[[#This Row],[Paid Amount]]</f>
        <v>0</v>
      </c>
      <c r="P1864" s="2" t="s">
        <v>18</v>
      </c>
      <c r="Q1864" s="2" t="s">
        <v>90</v>
      </c>
      <c r="R1864" s="16" t="e">
        <f>(Table1[[#This Row],[NET Amount]]-Table1[[#This Row],[Total Outstanding Amount]])/Table1[[#This Row],[NET Amount]]</f>
        <v>#DIV/0!</v>
      </c>
      <c r="S1864" s="2" t="s">
        <v>97</v>
      </c>
    </row>
    <row r="1865" spans="1:19" x14ac:dyDescent="0.3">
      <c r="A1865" s="4">
        <v>1863</v>
      </c>
      <c r="B1865" s="2" t="s">
        <v>25</v>
      </c>
      <c r="C1865" s="3">
        <v>44845</v>
      </c>
      <c r="D1865" s="3" t="str">
        <f>TEXT(Table1[[#This Row],[Admission Date]],"MMMM")</f>
        <v>October</v>
      </c>
      <c r="E1865" s="3">
        <v>44845</v>
      </c>
      <c r="F1865" s="3">
        <v>44845</v>
      </c>
      <c r="G1865" s="2">
        <v>22026582</v>
      </c>
      <c r="H1865" s="2">
        <v>2235566</v>
      </c>
      <c r="I1865" s="2">
        <v>1000891328</v>
      </c>
      <c r="J1865" s="2" t="s">
        <v>367</v>
      </c>
      <c r="K1865" s="10">
        <v>3319</v>
      </c>
      <c r="L1865" s="10">
        <v>3319</v>
      </c>
      <c r="M1865" s="10">
        <v>0</v>
      </c>
      <c r="N1865" s="10">
        <v>0</v>
      </c>
      <c r="O1865" s="10">
        <f>Table1[[#This Row],[NET Amount]]-Table1[[#This Row],[Paid Amount]]</f>
        <v>0</v>
      </c>
      <c r="P1865" s="2" t="s">
        <v>18</v>
      </c>
      <c r="Q1865" s="2" t="s">
        <v>90</v>
      </c>
      <c r="R1865" s="16" t="e">
        <f>(Table1[[#This Row],[NET Amount]]-Table1[[#This Row],[Total Outstanding Amount]])/Table1[[#This Row],[NET Amount]]</f>
        <v>#DIV/0!</v>
      </c>
      <c r="S1865" s="2" t="s">
        <v>97</v>
      </c>
    </row>
    <row r="1866" spans="1:19" x14ac:dyDescent="0.3">
      <c r="A1866" s="4">
        <v>1864</v>
      </c>
      <c r="B1866" s="2" t="s">
        <v>117</v>
      </c>
      <c r="C1866" s="3">
        <v>44845</v>
      </c>
      <c r="D1866" s="3" t="str">
        <f>TEXT(Table1[[#This Row],[Admission Date]],"MMMM")</f>
        <v>October</v>
      </c>
      <c r="E1866" s="3">
        <v>44845</v>
      </c>
      <c r="F1866" s="3">
        <v>44845</v>
      </c>
      <c r="G1866" s="2">
        <v>22026592</v>
      </c>
      <c r="H1866" s="2">
        <v>2235489</v>
      </c>
      <c r="I1866" s="2">
        <v>10013461113</v>
      </c>
      <c r="J1866" s="2" t="s">
        <v>308</v>
      </c>
      <c r="K1866" s="10">
        <v>2064</v>
      </c>
      <c r="L1866" s="10">
        <v>0</v>
      </c>
      <c r="M1866" s="10">
        <v>2064</v>
      </c>
      <c r="N1866" s="10">
        <v>2064</v>
      </c>
      <c r="O1866" s="10">
        <f>Table1[[#This Row],[NET Amount]]-Table1[[#This Row],[Paid Amount]]</f>
        <v>0</v>
      </c>
      <c r="P1866" s="2" t="s">
        <v>18</v>
      </c>
      <c r="Q1866" s="2" t="s">
        <v>54</v>
      </c>
      <c r="R1866" s="16">
        <f>(Table1[[#This Row],[NET Amount]]-Table1[[#This Row],[Total Outstanding Amount]])/Table1[[#This Row],[NET Amount]]</f>
        <v>1</v>
      </c>
      <c r="S1866" s="2" t="s">
        <v>97</v>
      </c>
    </row>
    <row r="1867" spans="1:19" x14ac:dyDescent="0.3">
      <c r="A1867" s="4">
        <v>1865</v>
      </c>
      <c r="B1867" s="2" t="s">
        <v>152</v>
      </c>
      <c r="C1867" s="3">
        <v>44837</v>
      </c>
      <c r="D1867" s="3" t="str">
        <f>TEXT(Table1[[#This Row],[Admission Date]],"MMMM")</f>
        <v>October</v>
      </c>
      <c r="E1867" s="3">
        <v>44837</v>
      </c>
      <c r="F1867" s="3">
        <v>44837</v>
      </c>
      <c r="G1867" s="2">
        <v>22025411</v>
      </c>
      <c r="H1867" s="2">
        <v>2234377</v>
      </c>
      <c r="I1867" s="2">
        <v>10013540016</v>
      </c>
      <c r="J1867" s="2" t="s">
        <v>1289</v>
      </c>
      <c r="K1867" s="10">
        <v>22183</v>
      </c>
      <c r="L1867" s="10">
        <v>0</v>
      </c>
      <c r="M1867" s="10">
        <v>22183</v>
      </c>
      <c r="N1867" s="10">
        <v>22183</v>
      </c>
      <c r="O1867" s="10">
        <f>Table1[[#This Row],[NET Amount]]-Table1[[#This Row],[Paid Amount]]</f>
        <v>0</v>
      </c>
      <c r="P1867" s="2" t="s">
        <v>18</v>
      </c>
      <c r="Q1867" s="2" t="s">
        <v>24</v>
      </c>
      <c r="R1867" s="16">
        <f>(Table1[[#This Row],[NET Amount]]-Table1[[#This Row],[Total Outstanding Amount]])/Table1[[#This Row],[NET Amount]]</f>
        <v>1</v>
      </c>
      <c r="S1867" s="2" t="s">
        <v>768</v>
      </c>
    </row>
    <row r="1868" spans="1:19" x14ac:dyDescent="0.3">
      <c r="A1868" s="4">
        <v>1866</v>
      </c>
      <c r="B1868" s="2" t="s">
        <v>2265</v>
      </c>
      <c r="C1868" s="3">
        <v>44840</v>
      </c>
      <c r="D1868" s="3" t="str">
        <f>TEXT(Table1[[#This Row],[Admission Date]],"MMMM")</f>
        <v>October</v>
      </c>
      <c r="E1868" s="3">
        <v>44845</v>
      </c>
      <c r="F1868" s="3">
        <v>44845</v>
      </c>
      <c r="G1868" s="2">
        <v>22026514</v>
      </c>
      <c r="H1868" s="2">
        <v>2234877</v>
      </c>
      <c r="I1868" s="2">
        <v>1001802778</v>
      </c>
      <c r="J1868" s="2" t="s">
        <v>1290</v>
      </c>
      <c r="K1868" s="10">
        <v>99589</v>
      </c>
      <c r="L1868" s="10">
        <v>16686</v>
      </c>
      <c r="M1868" s="10">
        <v>82903</v>
      </c>
      <c r="N1868" s="10">
        <v>1000</v>
      </c>
      <c r="O1868" s="10">
        <f>Table1[[#This Row],[NET Amount]]-Table1[[#This Row],[Paid Amount]]</f>
        <v>81903</v>
      </c>
      <c r="P1868" s="2" t="s">
        <v>23</v>
      </c>
      <c r="Q1868" s="2" t="s">
        <v>19</v>
      </c>
      <c r="R1868" s="16">
        <f>(Table1[[#This Row],[NET Amount]]-Table1[[#This Row],[Total Outstanding Amount]])/Table1[[#This Row],[NET Amount]]</f>
        <v>1.2062289663823987E-2</v>
      </c>
      <c r="S1868" s="2" t="s">
        <v>20</v>
      </c>
    </row>
    <row r="1869" spans="1:19" x14ac:dyDescent="0.3">
      <c r="A1869" s="4">
        <v>1867</v>
      </c>
      <c r="B1869" s="2" t="s">
        <v>25</v>
      </c>
      <c r="C1869" s="3">
        <v>44844</v>
      </c>
      <c r="D1869" s="3" t="str">
        <f>TEXT(Table1[[#This Row],[Admission Date]],"MMMM")</f>
        <v>October</v>
      </c>
      <c r="E1869" s="3">
        <v>44847</v>
      </c>
      <c r="F1869" s="3">
        <v>44847</v>
      </c>
      <c r="G1869" s="2">
        <v>22026821</v>
      </c>
      <c r="H1869" s="2">
        <v>2235446</v>
      </c>
      <c r="I1869" s="2">
        <v>1001803630</v>
      </c>
      <c r="J1869" s="2" t="s">
        <v>1291</v>
      </c>
      <c r="K1869" s="10">
        <v>237152</v>
      </c>
      <c r="L1869" s="10">
        <v>25321</v>
      </c>
      <c r="M1869" s="10">
        <v>211831</v>
      </c>
      <c r="N1869" s="10">
        <v>211831</v>
      </c>
      <c r="O1869" s="10">
        <f>Table1[[#This Row],[NET Amount]]-Table1[[#This Row],[Paid Amount]]</f>
        <v>0</v>
      </c>
      <c r="P1869" s="2" t="s">
        <v>18</v>
      </c>
      <c r="Q1869" s="2" t="s">
        <v>30</v>
      </c>
      <c r="R1869" s="16">
        <f>(Table1[[#This Row],[NET Amount]]-Table1[[#This Row],[Total Outstanding Amount]])/Table1[[#This Row],[NET Amount]]</f>
        <v>1</v>
      </c>
      <c r="S1869" s="2" t="s">
        <v>201</v>
      </c>
    </row>
    <row r="1870" spans="1:19" x14ac:dyDescent="0.3">
      <c r="A1870" s="4">
        <v>1868</v>
      </c>
      <c r="B1870" s="2" t="s">
        <v>35</v>
      </c>
      <c r="C1870" s="3">
        <v>44848</v>
      </c>
      <c r="D1870" s="3" t="str">
        <f>TEXT(Table1[[#This Row],[Admission Date]],"MMMM")</f>
        <v>October</v>
      </c>
      <c r="E1870" s="3">
        <v>44856</v>
      </c>
      <c r="F1870" s="3">
        <v>44856</v>
      </c>
      <c r="G1870" s="2">
        <v>22028248</v>
      </c>
      <c r="H1870" s="2">
        <v>2236042</v>
      </c>
      <c r="I1870" s="2">
        <v>10013337508</v>
      </c>
      <c r="J1870" s="2" t="s">
        <v>1292</v>
      </c>
      <c r="K1870" s="10">
        <v>120043</v>
      </c>
      <c r="L1870" s="10">
        <v>0</v>
      </c>
      <c r="M1870" s="10">
        <v>120043</v>
      </c>
      <c r="N1870" s="10">
        <v>120043</v>
      </c>
      <c r="O1870" s="10">
        <f>Table1[[#This Row],[NET Amount]]-Table1[[#This Row],[Paid Amount]]</f>
        <v>0</v>
      </c>
      <c r="P1870" s="2" t="s">
        <v>18</v>
      </c>
      <c r="Q1870" s="2" t="s">
        <v>30</v>
      </c>
      <c r="R1870" s="16">
        <f>(Table1[[#This Row],[NET Amount]]-Table1[[#This Row],[Total Outstanding Amount]])/Table1[[#This Row],[NET Amount]]</f>
        <v>1</v>
      </c>
      <c r="S1870" s="2" t="s">
        <v>20</v>
      </c>
    </row>
    <row r="1871" spans="1:19" x14ac:dyDescent="0.3">
      <c r="A1871" s="4">
        <v>1869</v>
      </c>
      <c r="B1871" s="2" t="s">
        <v>28</v>
      </c>
      <c r="C1871" s="3">
        <v>44844</v>
      </c>
      <c r="D1871" s="3" t="str">
        <f>TEXT(Table1[[#This Row],[Admission Date]],"MMMM")</f>
        <v>October</v>
      </c>
      <c r="E1871" s="3">
        <v>44846</v>
      </c>
      <c r="F1871" s="3">
        <v>44846</v>
      </c>
      <c r="G1871" s="2">
        <v>22026734</v>
      </c>
      <c r="H1871" s="2">
        <v>2235392</v>
      </c>
      <c r="I1871" s="2">
        <v>1001795866</v>
      </c>
      <c r="J1871" s="2" t="s">
        <v>425</v>
      </c>
      <c r="K1871" s="10">
        <v>86680</v>
      </c>
      <c r="L1871" s="10">
        <v>8519</v>
      </c>
      <c r="M1871" s="10">
        <v>78161</v>
      </c>
      <c r="N1871" s="10">
        <v>1500</v>
      </c>
      <c r="O1871" s="10">
        <f>Table1[[#This Row],[NET Amount]]-Table1[[#This Row],[Paid Amount]]</f>
        <v>76661</v>
      </c>
      <c r="P1871" s="2" t="s">
        <v>23</v>
      </c>
      <c r="Q1871" s="2" t="s">
        <v>19</v>
      </c>
      <c r="R1871" s="16">
        <f>(Table1[[#This Row],[NET Amount]]-Table1[[#This Row],[Total Outstanding Amount]])/Table1[[#This Row],[NET Amount]]</f>
        <v>1.9191156714985735E-2</v>
      </c>
      <c r="S1871" s="2" t="s">
        <v>77</v>
      </c>
    </row>
    <row r="1872" spans="1:19" x14ac:dyDescent="0.3">
      <c r="A1872" s="4">
        <v>1870</v>
      </c>
      <c r="B1872" s="2" t="s">
        <v>1293</v>
      </c>
      <c r="C1872" s="3">
        <v>44853</v>
      </c>
      <c r="D1872" s="3" t="str">
        <f>TEXT(Table1[[#This Row],[Admission Date]],"MMMM")</f>
        <v>October</v>
      </c>
      <c r="E1872" s="3">
        <v>44854</v>
      </c>
      <c r="F1872" s="3">
        <v>44854</v>
      </c>
      <c r="G1872" s="2">
        <v>22027876</v>
      </c>
      <c r="H1872" s="2">
        <v>2236598</v>
      </c>
      <c r="I1872" s="2">
        <v>1001805191</v>
      </c>
      <c r="J1872" s="2" t="s">
        <v>954</v>
      </c>
      <c r="K1872" s="10">
        <v>112929</v>
      </c>
      <c r="L1872" s="10">
        <v>0</v>
      </c>
      <c r="M1872" s="10">
        <v>112929</v>
      </c>
      <c r="N1872" s="10">
        <v>5175</v>
      </c>
      <c r="O1872" s="10">
        <f>Table1[[#This Row],[NET Amount]]-Table1[[#This Row],[Paid Amount]]</f>
        <v>107754</v>
      </c>
      <c r="P1872" s="2" t="s">
        <v>23</v>
      </c>
      <c r="Q1872" s="2" t="s">
        <v>19</v>
      </c>
      <c r="R1872" s="16">
        <f>(Table1[[#This Row],[NET Amount]]-Table1[[#This Row],[Total Outstanding Amount]])/Table1[[#This Row],[NET Amount]]</f>
        <v>4.5825253035092849E-2</v>
      </c>
      <c r="S1872" s="2" t="s">
        <v>280</v>
      </c>
    </row>
    <row r="1873" spans="1:19" x14ac:dyDescent="0.3">
      <c r="A1873" s="4">
        <v>1871</v>
      </c>
      <c r="B1873" s="2" t="s">
        <v>1294</v>
      </c>
      <c r="C1873" s="3">
        <v>44829</v>
      </c>
      <c r="D1873" s="3" t="str">
        <f>TEXT(Table1[[#This Row],[Admission Date]],"MMMM")</f>
        <v>September</v>
      </c>
      <c r="E1873" s="3">
        <v>44836</v>
      </c>
      <c r="F1873" s="3">
        <v>44836</v>
      </c>
      <c r="G1873" s="2">
        <v>22025320</v>
      </c>
      <c r="H1873" s="2">
        <v>2233415</v>
      </c>
      <c r="I1873" s="2">
        <v>1001116185</v>
      </c>
      <c r="J1873" s="2" t="s">
        <v>1295</v>
      </c>
      <c r="K1873" s="10">
        <v>115995</v>
      </c>
      <c r="L1873" s="10">
        <v>0</v>
      </c>
      <c r="M1873" s="10">
        <v>115995</v>
      </c>
      <c r="N1873" s="10">
        <v>2400</v>
      </c>
      <c r="O1873" s="10">
        <f>Table1[[#This Row],[NET Amount]]-Table1[[#This Row],[Paid Amount]]</f>
        <v>113595</v>
      </c>
      <c r="P1873" s="2" t="s">
        <v>23</v>
      </c>
      <c r="Q1873" s="2" t="s">
        <v>24</v>
      </c>
      <c r="R1873" s="16">
        <f>(Table1[[#This Row],[NET Amount]]-Table1[[#This Row],[Total Outstanding Amount]])/Table1[[#This Row],[NET Amount]]</f>
        <v>2.069054700633648E-2</v>
      </c>
      <c r="S1873" s="2" t="s">
        <v>20</v>
      </c>
    </row>
    <row r="1874" spans="1:19" x14ac:dyDescent="0.3">
      <c r="A1874" s="4">
        <v>1872</v>
      </c>
      <c r="B1874" s="2" t="s">
        <v>2291</v>
      </c>
      <c r="C1874" s="3">
        <v>44844</v>
      </c>
      <c r="D1874" s="3" t="str">
        <f>TEXT(Table1[[#This Row],[Admission Date]],"MMMM")</f>
        <v>October</v>
      </c>
      <c r="E1874" s="3">
        <v>44847</v>
      </c>
      <c r="F1874" s="3">
        <v>44847</v>
      </c>
      <c r="G1874" s="2">
        <v>22026938</v>
      </c>
      <c r="H1874" s="2">
        <v>2235467</v>
      </c>
      <c r="I1874" s="2">
        <v>10013456333</v>
      </c>
      <c r="J1874" s="2" t="s">
        <v>313</v>
      </c>
      <c r="K1874" s="10">
        <v>37865</v>
      </c>
      <c r="L1874" s="10">
        <v>37865</v>
      </c>
      <c r="M1874" s="10">
        <v>0</v>
      </c>
      <c r="N1874" s="10">
        <v>0</v>
      </c>
      <c r="O1874" s="10">
        <f>Table1[[#This Row],[NET Amount]]-Table1[[#This Row],[Paid Amount]]</f>
        <v>0</v>
      </c>
      <c r="P1874" s="2" t="s">
        <v>18</v>
      </c>
      <c r="Q1874" s="2" t="s">
        <v>90</v>
      </c>
      <c r="R1874" s="16" t="e">
        <f>(Table1[[#This Row],[NET Amount]]-Table1[[#This Row],[Total Outstanding Amount]])/Table1[[#This Row],[NET Amount]]</f>
        <v>#DIV/0!</v>
      </c>
      <c r="S1874" s="2" t="s">
        <v>20</v>
      </c>
    </row>
    <row r="1875" spans="1:19" x14ac:dyDescent="0.3">
      <c r="A1875" s="4">
        <v>1873</v>
      </c>
      <c r="B1875" s="2" t="s">
        <v>80</v>
      </c>
      <c r="C1875" s="3">
        <v>44842</v>
      </c>
      <c r="D1875" s="3" t="str">
        <f>TEXT(Table1[[#This Row],[Admission Date]],"MMMM")</f>
        <v>October</v>
      </c>
      <c r="E1875" s="3">
        <v>44843</v>
      </c>
      <c r="F1875" s="3">
        <v>44843</v>
      </c>
      <c r="G1875" s="2">
        <v>22026259</v>
      </c>
      <c r="H1875" s="2">
        <v>2235119</v>
      </c>
      <c r="I1875" s="2">
        <v>1001339775</v>
      </c>
      <c r="J1875" s="2" t="s">
        <v>1296</v>
      </c>
      <c r="K1875" s="10">
        <v>86775</v>
      </c>
      <c r="L1875" s="10">
        <v>0</v>
      </c>
      <c r="M1875" s="10">
        <v>86775</v>
      </c>
      <c r="N1875" s="10">
        <v>1975</v>
      </c>
      <c r="O1875" s="10">
        <f>Table1[[#This Row],[NET Amount]]-Table1[[#This Row],[Paid Amount]]</f>
        <v>84800</v>
      </c>
      <c r="P1875" s="2" t="s">
        <v>23</v>
      </c>
      <c r="Q1875" s="2" t="s">
        <v>30</v>
      </c>
      <c r="R1875" s="16">
        <f>(Table1[[#This Row],[NET Amount]]-Table1[[#This Row],[Total Outstanding Amount]])/Table1[[#This Row],[NET Amount]]</f>
        <v>2.2760011524056468E-2</v>
      </c>
      <c r="S1875" s="2" t="s">
        <v>77</v>
      </c>
    </row>
    <row r="1876" spans="1:19" x14ac:dyDescent="0.3">
      <c r="A1876" s="4">
        <v>1874</v>
      </c>
      <c r="B1876" s="2" t="s">
        <v>50</v>
      </c>
      <c r="C1876" s="3">
        <v>44860</v>
      </c>
      <c r="D1876" s="3" t="str">
        <f>TEXT(Table1[[#This Row],[Admission Date]],"MMMM")</f>
        <v>October</v>
      </c>
      <c r="E1876" s="3">
        <v>44860</v>
      </c>
      <c r="F1876" s="3">
        <v>44860</v>
      </c>
      <c r="G1876" s="2">
        <v>22028682</v>
      </c>
      <c r="H1876" s="2">
        <v>2237529</v>
      </c>
      <c r="I1876" s="2">
        <v>10013538474</v>
      </c>
      <c r="J1876" s="2" t="s">
        <v>324</v>
      </c>
      <c r="K1876" s="10">
        <v>2200</v>
      </c>
      <c r="L1876" s="10">
        <v>0</v>
      </c>
      <c r="M1876" s="10">
        <v>2200</v>
      </c>
      <c r="N1876" s="10">
        <v>440</v>
      </c>
      <c r="O1876" s="10">
        <f>Table1[[#This Row],[NET Amount]]-Table1[[#This Row],[Paid Amount]]</f>
        <v>1760</v>
      </c>
      <c r="P1876" s="2" t="s">
        <v>23</v>
      </c>
      <c r="Q1876" s="2" t="s">
        <v>147</v>
      </c>
      <c r="R1876" s="16">
        <f>(Table1[[#This Row],[NET Amount]]-Table1[[#This Row],[Total Outstanding Amount]])/Table1[[#This Row],[NET Amount]]</f>
        <v>0.2</v>
      </c>
      <c r="S1876" s="2" t="s">
        <v>97</v>
      </c>
    </row>
    <row r="1877" spans="1:19" x14ac:dyDescent="0.3">
      <c r="A1877" s="4">
        <v>1875</v>
      </c>
      <c r="B1877" s="2" t="s">
        <v>25</v>
      </c>
      <c r="C1877" s="3">
        <v>44861</v>
      </c>
      <c r="D1877" s="3" t="str">
        <f>TEXT(Table1[[#This Row],[Admission Date]],"MMMM")</f>
        <v>October</v>
      </c>
      <c r="E1877" s="3">
        <v>44861</v>
      </c>
      <c r="F1877" s="3">
        <v>44861</v>
      </c>
      <c r="G1877" s="2">
        <v>22028710</v>
      </c>
      <c r="H1877" s="2">
        <v>2237602</v>
      </c>
      <c r="I1877" s="2">
        <v>10013531598</v>
      </c>
      <c r="J1877" s="2" t="s">
        <v>372</v>
      </c>
      <c r="K1877" s="10">
        <v>3488</v>
      </c>
      <c r="L1877" s="10">
        <v>271</v>
      </c>
      <c r="M1877" s="10">
        <v>3217</v>
      </c>
      <c r="N1877" s="10">
        <v>3217</v>
      </c>
      <c r="O1877" s="10">
        <f>Table1[[#This Row],[NET Amount]]-Table1[[#This Row],[Paid Amount]]</f>
        <v>0</v>
      </c>
      <c r="P1877" s="2" t="s">
        <v>18</v>
      </c>
      <c r="Q1877" s="2" t="s">
        <v>54</v>
      </c>
      <c r="R1877" s="16">
        <f>(Table1[[#This Row],[NET Amount]]-Table1[[#This Row],[Total Outstanding Amount]])/Table1[[#This Row],[NET Amount]]</f>
        <v>1</v>
      </c>
      <c r="S1877" s="2" t="s">
        <v>97</v>
      </c>
    </row>
    <row r="1878" spans="1:19" x14ac:dyDescent="0.3">
      <c r="A1878" s="4">
        <v>1876</v>
      </c>
      <c r="B1878" s="2" t="s">
        <v>21</v>
      </c>
      <c r="C1878" s="3">
        <v>44848</v>
      </c>
      <c r="D1878" s="3" t="str">
        <f>TEXT(Table1[[#This Row],[Admission Date]],"MMMM")</f>
        <v>October</v>
      </c>
      <c r="E1878" s="3">
        <v>44848</v>
      </c>
      <c r="F1878" s="3">
        <v>44848</v>
      </c>
      <c r="G1878" s="2">
        <v>22027055</v>
      </c>
      <c r="H1878" s="2">
        <v>2235940</v>
      </c>
      <c r="I1878" s="2">
        <v>10013454831</v>
      </c>
      <c r="J1878" s="2" t="s">
        <v>789</v>
      </c>
      <c r="K1878" s="10">
        <v>14315</v>
      </c>
      <c r="L1878" s="10">
        <v>0</v>
      </c>
      <c r="M1878" s="10">
        <v>14315</v>
      </c>
      <c r="N1878" s="10">
        <v>14315</v>
      </c>
      <c r="O1878" s="10">
        <f>Table1[[#This Row],[NET Amount]]-Table1[[#This Row],[Paid Amount]]</f>
        <v>0</v>
      </c>
      <c r="P1878" s="2" t="s">
        <v>18</v>
      </c>
      <c r="Q1878" s="2" t="s">
        <v>24</v>
      </c>
      <c r="R1878" s="16">
        <f>(Table1[[#This Row],[NET Amount]]-Table1[[#This Row],[Total Outstanding Amount]])/Table1[[#This Row],[NET Amount]]</f>
        <v>1</v>
      </c>
      <c r="S1878" s="2" t="s">
        <v>162</v>
      </c>
    </row>
    <row r="1879" spans="1:19" x14ac:dyDescent="0.3">
      <c r="A1879" s="4">
        <v>1877</v>
      </c>
      <c r="B1879" s="2" t="s">
        <v>25</v>
      </c>
      <c r="C1879" s="3">
        <v>44861</v>
      </c>
      <c r="D1879" s="3" t="str">
        <f>TEXT(Table1[[#This Row],[Admission Date]],"MMMM")</f>
        <v>October</v>
      </c>
      <c r="E1879" s="3">
        <v>44863</v>
      </c>
      <c r="F1879" s="3">
        <v>44863</v>
      </c>
      <c r="G1879" s="2">
        <v>22029065</v>
      </c>
      <c r="H1879" s="2">
        <v>2237681</v>
      </c>
      <c r="I1879" s="2">
        <v>1001806625</v>
      </c>
      <c r="J1879" s="2" t="s">
        <v>1297</v>
      </c>
      <c r="K1879" s="10">
        <v>12793</v>
      </c>
      <c r="L1879" s="10">
        <v>1735</v>
      </c>
      <c r="M1879" s="10">
        <v>11058</v>
      </c>
      <c r="N1879" s="10">
        <v>11058</v>
      </c>
      <c r="O1879" s="10">
        <f>Table1[[#This Row],[NET Amount]]-Table1[[#This Row],[Paid Amount]]</f>
        <v>0</v>
      </c>
      <c r="P1879" s="2" t="s">
        <v>18</v>
      </c>
      <c r="Q1879" s="2" t="s">
        <v>24</v>
      </c>
      <c r="R1879" s="16">
        <f>(Table1[[#This Row],[NET Amount]]-Table1[[#This Row],[Total Outstanding Amount]])/Table1[[#This Row],[NET Amount]]</f>
        <v>1</v>
      </c>
      <c r="S1879" s="2" t="s">
        <v>37</v>
      </c>
    </row>
    <row r="1880" spans="1:19" x14ac:dyDescent="0.3">
      <c r="A1880" s="4">
        <v>1878</v>
      </c>
      <c r="B1880" s="2" t="s">
        <v>259</v>
      </c>
      <c r="C1880" s="3">
        <v>44851</v>
      </c>
      <c r="D1880" s="3" t="str">
        <f>TEXT(Table1[[#This Row],[Admission Date]],"MMMM")</f>
        <v>October</v>
      </c>
      <c r="E1880" s="3">
        <v>44855</v>
      </c>
      <c r="F1880" s="3">
        <v>44855</v>
      </c>
      <c r="G1880" s="2">
        <v>22027980</v>
      </c>
      <c r="H1880" s="2">
        <v>2236428</v>
      </c>
      <c r="I1880" s="2">
        <v>10013543497</v>
      </c>
      <c r="J1880" s="2" t="s">
        <v>1298</v>
      </c>
      <c r="K1880" s="10">
        <v>83810</v>
      </c>
      <c r="L1880" s="10">
        <v>0</v>
      </c>
      <c r="M1880" s="10">
        <v>83810</v>
      </c>
      <c r="N1880" s="10">
        <v>5875</v>
      </c>
      <c r="O1880" s="10">
        <f>Table1[[#This Row],[NET Amount]]-Table1[[#This Row],[Paid Amount]]</f>
        <v>77935</v>
      </c>
      <c r="P1880" s="2" t="s">
        <v>23</v>
      </c>
      <c r="Q1880" s="2" t="s">
        <v>24</v>
      </c>
      <c r="R1880" s="16">
        <f>(Table1[[#This Row],[NET Amount]]-Table1[[#This Row],[Total Outstanding Amount]])/Table1[[#This Row],[NET Amount]]</f>
        <v>7.0099033528218585E-2</v>
      </c>
      <c r="S1880" s="2" t="s">
        <v>37</v>
      </c>
    </row>
    <row r="1881" spans="1:19" x14ac:dyDescent="0.3">
      <c r="A1881" s="4">
        <v>1879</v>
      </c>
      <c r="B1881" s="2" t="s">
        <v>1299</v>
      </c>
      <c r="C1881" s="3">
        <v>44854</v>
      </c>
      <c r="D1881" s="3" t="str">
        <f>TEXT(Table1[[#This Row],[Admission Date]],"MMMM")</f>
        <v>October</v>
      </c>
      <c r="E1881" s="3">
        <v>44855</v>
      </c>
      <c r="F1881" s="3">
        <v>44855</v>
      </c>
      <c r="G1881" s="2">
        <v>22028075</v>
      </c>
      <c r="H1881" s="2">
        <v>2236772</v>
      </c>
      <c r="I1881" s="2">
        <v>10013398311</v>
      </c>
      <c r="J1881" s="2" t="s">
        <v>1300</v>
      </c>
      <c r="K1881" s="10">
        <v>44565</v>
      </c>
      <c r="L1881" s="10">
        <v>3783</v>
      </c>
      <c r="M1881" s="10">
        <v>40782</v>
      </c>
      <c r="N1881" s="10">
        <v>6684</v>
      </c>
      <c r="O1881" s="10">
        <f>Table1[[#This Row],[NET Amount]]-Table1[[#This Row],[Paid Amount]]</f>
        <v>34098</v>
      </c>
      <c r="P1881" s="2" t="s">
        <v>23</v>
      </c>
      <c r="Q1881" s="2" t="s">
        <v>47</v>
      </c>
      <c r="R1881" s="16">
        <f>(Table1[[#This Row],[NET Amount]]-Table1[[#This Row],[Total Outstanding Amount]])/Table1[[#This Row],[NET Amount]]</f>
        <v>0.16389583639841107</v>
      </c>
      <c r="S1881" s="2" t="s">
        <v>39</v>
      </c>
    </row>
    <row r="1882" spans="1:19" x14ac:dyDescent="0.3">
      <c r="A1882" s="4">
        <v>1880</v>
      </c>
      <c r="B1882" s="2" t="s">
        <v>93</v>
      </c>
      <c r="C1882" s="3">
        <v>44847</v>
      </c>
      <c r="D1882" s="3" t="str">
        <f>TEXT(Table1[[#This Row],[Admission Date]],"MMMM")</f>
        <v>October</v>
      </c>
      <c r="E1882" s="3">
        <v>44848</v>
      </c>
      <c r="F1882" s="3">
        <v>44848</v>
      </c>
      <c r="G1882" s="2">
        <v>22027081</v>
      </c>
      <c r="H1882" s="2">
        <v>2235861</v>
      </c>
      <c r="I1882" s="2">
        <v>10013542883</v>
      </c>
      <c r="J1882" s="2" t="s">
        <v>1301</v>
      </c>
      <c r="K1882" s="10">
        <v>78495</v>
      </c>
      <c r="L1882" s="10">
        <v>0</v>
      </c>
      <c r="M1882" s="10">
        <v>78495</v>
      </c>
      <c r="N1882" s="10">
        <v>78490</v>
      </c>
      <c r="O1882" s="10">
        <f>Table1[[#This Row],[NET Amount]]-Table1[[#This Row],[Paid Amount]]</f>
        <v>5</v>
      </c>
      <c r="P1882" s="2" t="s">
        <v>23</v>
      </c>
      <c r="Q1882" s="2" t="s">
        <v>42</v>
      </c>
      <c r="R1882" s="16">
        <f>(Table1[[#This Row],[NET Amount]]-Table1[[#This Row],[Total Outstanding Amount]])/Table1[[#This Row],[NET Amount]]</f>
        <v>0.99993630167526593</v>
      </c>
      <c r="S1882" s="2" t="s">
        <v>32</v>
      </c>
    </row>
    <row r="1883" spans="1:19" x14ac:dyDescent="0.3">
      <c r="A1883" s="4">
        <v>1881</v>
      </c>
      <c r="B1883" s="2" t="s">
        <v>2246</v>
      </c>
      <c r="C1883" s="3">
        <v>44841</v>
      </c>
      <c r="D1883" s="3" t="str">
        <f>TEXT(Table1[[#This Row],[Admission Date]],"MMMM")</f>
        <v>October</v>
      </c>
      <c r="E1883" s="3">
        <v>44842</v>
      </c>
      <c r="F1883" s="3">
        <v>44842</v>
      </c>
      <c r="G1883" s="2">
        <v>22026225</v>
      </c>
      <c r="H1883" s="2">
        <v>2235103</v>
      </c>
      <c r="I1883" s="2">
        <v>1001790494</v>
      </c>
      <c r="J1883" s="2" t="s">
        <v>215</v>
      </c>
      <c r="K1883" s="10">
        <v>13591</v>
      </c>
      <c r="L1883" s="10">
        <v>0</v>
      </c>
      <c r="M1883" s="10">
        <v>13591</v>
      </c>
      <c r="N1883" s="10">
        <v>13591</v>
      </c>
      <c r="O1883" s="10">
        <f>Table1[[#This Row],[NET Amount]]-Table1[[#This Row],[Paid Amount]]</f>
        <v>0</v>
      </c>
      <c r="P1883" s="2" t="s">
        <v>18</v>
      </c>
      <c r="Q1883" s="2" t="s">
        <v>24</v>
      </c>
      <c r="R1883" s="16">
        <f>(Table1[[#This Row],[NET Amount]]-Table1[[#This Row],[Total Outstanding Amount]])/Table1[[#This Row],[NET Amount]]</f>
        <v>1</v>
      </c>
      <c r="S1883" s="2" t="s">
        <v>27</v>
      </c>
    </row>
    <row r="1884" spans="1:19" x14ac:dyDescent="0.3">
      <c r="A1884" s="4">
        <v>1882</v>
      </c>
      <c r="B1884" s="2" t="s">
        <v>152</v>
      </c>
      <c r="C1884" s="3">
        <v>44851</v>
      </c>
      <c r="D1884" s="3" t="str">
        <f>TEXT(Table1[[#This Row],[Admission Date]],"MMMM")</f>
        <v>October</v>
      </c>
      <c r="E1884" s="3">
        <v>44855</v>
      </c>
      <c r="F1884" s="3">
        <v>44855</v>
      </c>
      <c r="G1884" s="2">
        <v>22028071</v>
      </c>
      <c r="H1884" s="2">
        <v>2236402</v>
      </c>
      <c r="I1884" s="2">
        <v>1000932742</v>
      </c>
      <c r="J1884" s="2" t="s">
        <v>1302</v>
      </c>
      <c r="K1884" s="10">
        <v>98951</v>
      </c>
      <c r="L1884" s="10">
        <v>0</v>
      </c>
      <c r="M1884" s="10">
        <v>98951</v>
      </c>
      <c r="N1884" s="10">
        <v>2714</v>
      </c>
      <c r="O1884" s="10">
        <f>Table1[[#This Row],[NET Amount]]-Table1[[#This Row],[Paid Amount]]</f>
        <v>96237</v>
      </c>
      <c r="P1884" s="2" t="s">
        <v>23</v>
      </c>
      <c r="Q1884" s="2" t="s">
        <v>30</v>
      </c>
      <c r="R1884" s="16">
        <f>(Table1[[#This Row],[NET Amount]]-Table1[[#This Row],[Total Outstanding Amount]])/Table1[[#This Row],[NET Amount]]</f>
        <v>2.7427716748693799E-2</v>
      </c>
      <c r="S1884" s="2" t="s">
        <v>20</v>
      </c>
    </row>
    <row r="1885" spans="1:19" x14ac:dyDescent="0.3">
      <c r="A1885" s="4">
        <v>1883</v>
      </c>
      <c r="B1885" s="2" t="s">
        <v>25</v>
      </c>
      <c r="C1885" s="3">
        <v>44862</v>
      </c>
      <c r="D1885" s="3" t="str">
        <f>TEXT(Table1[[#This Row],[Admission Date]],"MMMM")</f>
        <v>October</v>
      </c>
      <c r="E1885" s="3">
        <v>44862</v>
      </c>
      <c r="F1885" s="3">
        <v>44862</v>
      </c>
      <c r="G1885" s="2">
        <v>22028985</v>
      </c>
      <c r="H1885" s="2">
        <v>2237883</v>
      </c>
      <c r="I1885" s="2">
        <v>1001074324</v>
      </c>
      <c r="J1885" s="2" t="s">
        <v>255</v>
      </c>
      <c r="K1885" s="10">
        <v>3590</v>
      </c>
      <c r="L1885" s="10">
        <v>267</v>
      </c>
      <c r="M1885" s="10">
        <v>3323</v>
      </c>
      <c r="N1885" s="10">
        <v>3323</v>
      </c>
      <c r="O1885" s="10">
        <f>Table1[[#This Row],[NET Amount]]-Table1[[#This Row],[Paid Amount]]</f>
        <v>0</v>
      </c>
      <c r="P1885" s="2" t="s">
        <v>18</v>
      </c>
      <c r="Q1885" s="2" t="s">
        <v>54</v>
      </c>
      <c r="R1885" s="16">
        <f>(Table1[[#This Row],[NET Amount]]-Table1[[#This Row],[Total Outstanding Amount]])/Table1[[#This Row],[NET Amount]]</f>
        <v>1</v>
      </c>
      <c r="S1885" s="2" t="s">
        <v>97</v>
      </c>
    </row>
    <row r="1886" spans="1:19" x14ac:dyDescent="0.3">
      <c r="A1886" s="4">
        <v>1884</v>
      </c>
      <c r="B1886" s="2" t="s">
        <v>75</v>
      </c>
      <c r="C1886" s="3">
        <v>44811</v>
      </c>
      <c r="D1886" s="3" t="str">
        <f>TEXT(Table1[[#This Row],[Admission Date]],"MMMM")</f>
        <v>September</v>
      </c>
      <c r="E1886" s="3">
        <v>44835</v>
      </c>
      <c r="F1886" s="3">
        <v>44835</v>
      </c>
      <c r="G1886" s="2">
        <v>22025250</v>
      </c>
      <c r="H1886" s="2">
        <v>2230931</v>
      </c>
      <c r="I1886" s="2">
        <v>10013537376</v>
      </c>
      <c r="J1886" s="2" t="s">
        <v>1303</v>
      </c>
      <c r="K1886" s="10">
        <v>828958</v>
      </c>
      <c r="L1886" s="10">
        <v>0</v>
      </c>
      <c r="M1886" s="10">
        <v>828958</v>
      </c>
      <c r="N1886" s="10">
        <v>43781</v>
      </c>
      <c r="O1886" s="10">
        <f>Table1[[#This Row],[NET Amount]]-Table1[[#This Row],[Paid Amount]]</f>
        <v>785177</v>
      </c>
      <c r="P1886" s="2" t="s">
        <v>23</v>
      </c>
      <c r="Q1886" s="2" t="s">
        <v>24</v>
      </c>
      <c r="R1886" s="16">
        <f>(Table1[[#This Row],[NET Amount]]-Table1[[#This Row],[Total Outstanding Amount]])/Table1[[#This Row],[NET Amount]]</f>
        <v>5.2814497236289414E-2</v>
      </c>
      <c r="S1886" s="2" t="s">
        <v>20</v>
      </c>
    </row>
    <row r="1887" spans="1:19" x14ac:dyDescent="0.3">
      <c r="A1887" s="4">
        <v>1885</v>
      </c>
      <c r="B1887" s="2" t="s">
        <v>25</v>
      </c>
      <c r="C1887" s="3">
        <v>44844</v>
      </c>
      <c r="D1887" s="3" t="str">
        <f>TEXT(Table1[[#This Row],[Admission Date]],"MMMM")</f>
        <v>October</v>
      </c>
      <c r="E1887" s="3">
        <v>44846</v>
      </c>
      <c r="F1887" s="3">
        <v>44846</v>
      </c>
      <c r="G1887" s="2">
        <v>22026701</v>
      </c>
      <c r="H1887" s="2">
        <v>2235439</v>
      </c>
      <c r="I1887" s="2">
        <v>10013539488</v>
      </c>
      <c r="J1887" s="2" t="s">
        <v>1304</v>
      </c>
      <c r="K1887" s="10">
        <v>94527</v>
      </c>
      <c r="L1887" s="10">
        <v>94527</v>
      </c>
      <c r="M1887" s="10">
        <v>0</v>
      </c>
      <c r="N1887" s="10">
        <v>0</v>
      </c>
      <c r="O1887" s="10">
        <f>Table1[[#This Row],[NET Amount]]-Table1[[#This Row],[Paid Amount]]</f>
        <v>0</v>
      </c>
      <c r="P1887" s="2" t="s">
        <v>18</v>
      </c>
      <c r="Q1887" s="2" t="s">
        <v>90</v>
      </c>
      <c r="R1887" s="16" t="e">
        <f>(Table1[[#This Row],[NET Amount]]-Table1[[#This Row],[Total Outstanding Amount]])/Table1[[#This Row],[NET Amount]]</f>
        <v>#DIV/0!</v>
      </c>
      <c r="S1887" s="2" t="s">
        <v>77</v>
      </c>
    </row>
    <row r="1888" spans="1:19" x14ac:dyDescent="0.3">
      <c r="A1888" s="4">
        <v>1886</v>
      </c>
      <c r="B1888" s="2" t="s">
        <v>35</v>
      </c>
      <c r="C1888" s="3">
        <v>44846</v>
      </c>
      <c r="D1888" s="3" t="str">
        <f>TEXT(Table1[[#This Row],[Admission Date]],"MMMM")</f>
        <v>October</v>
      </c>
      <c r="E1888" s="3">
        <v>44846</v>
      </c>
      <c r="F1888" s="3">
        <v>44846</v>
      </c>
      <c r="G1888" s="2">
        <v>22026762</v>
      </c>
      <c r="H1888" s="2">
        <v>2235641</v>
      </c>
      <c r="I1888" s="2">
        <v>10013407477</v>
      </c>
      <c r="J1888" s="2" t="s">
        <v>1305</v>
      </c>
      <c r="K1888" s="10">
        <v>4404</v>
      </c>
      <c r="L1888" s="10">
        <v>0</v>
      </c>
      <c r="M1888" s="10">
        <v>4404</v>
      </c>
      <c r="N1888" s="10">
        <v>4404</v>
      </c>
      <c r="O1888" s="10">
        <f>Table1[[#This Row],[NET Amount]]-Table1[[#This Row],[Paid Amount]]</f>
        <v>0</v>
      </c>
      <c r="P1888" s="2" t="s">
        <v>18</v>
      </c>
      <c r="Q1888" s="2" t="s">
        <v>24</v>
      </c>
      <c r="R1888" s="16">
        <f>(Table1[[#This Row],[NET Amount]]-Table1[[#This Row],[Total Outstanding Amount]])/Table1[[#This Row],[NET Amount]]</f>
        <v>1</v>
      </c>
      <c r="S1888" s="2" t="s">
        <v>410</v>
      </c>
    </row>
    <row r="1889" spans="1:19" x14ac:dyDescent="0.3">
      <c r="A1889" s="4">
        <v>1887</v>
      </c>
      <c r="B1889" s="2" t="s">
        <v>2281</v>
      </c>
      <c r="C1889" s="3">
        <v>44835</v>
      </c>
      <c r="D1889" s="3" t="str">
        <f>TEXT(Table1[[#This Row],[Admission Date]],"MMMM")</f>
        <v>October</v>
      </c>
      <c r="E1889" s="3">
        <v>44836</v>
      </c>
      <c r="F1889" s="3">
        <v>44836</v>
      </c>
      <c r="G1889" s="2">
        <v>22025311</v>
      </c>
      <c r="H1889" s="2">
        <v>2234187</v>
      </c>
      <c r="I1889" s="2">
        <v>1001801867</v>
      </c>
      <c r="J1889" s="2" t="s">
        <v>1306</v>
      </c>
      <c r="K1889" s="10">
        <v>121590</v>
      </c>
      <c r="L1889" s="10">
        <v>2254</v>
      </c>
      <c r="M1889" s="10">
        <v>119336</v>
      </c>
      <c r="N1889" s="10">
        <v>1000</v>
      </c>
      <c r="O1889" s="10">
        <f>Table1[[#This Row],[NET Amount]]-Table1[[#This Row],[Paid Amount]]</f>
        <v>118336</v>
      </c>
      <c r="P1889" s="2" t="s">
        <v>23</v>
      </c>
      <c r="Q1889" s="2" t="s">
        <v>30</v>
      </c>
      <c r="R1889" s="16">
        <f>(Table1[[#This Row],[NET Amount]]-Table1[[#This Row],[Total Outstanding Amount]])/Table1[[#This Row],[NET Amount]]</f>
        <v>8.3797010122678827E-3</v>
      </c>
      <c r="S1889" s="2" t="s">
        <v>77</v>
      </c>
    </row>
    <row r="1890" spans="1:19" x14ac:dyDescent="0.3">
      <c r="A1890" s="4">
        <v>1888</v>
      </c>
      <c r="B1890" s="2" t="s">
        <v>126</v>
      </c>
      <c r="C1890" s="3">
        <v>44839</v>
      </c>
      <c r="D1890" s="3" t="str">
        <f>TEXT(Table1[[#This Row],[Admission Date]],"MMMM")</f>
        <v>October</v>
      </c>
      <c r="E1890" s="3">
        <v>44844</v>
      </c>
      <c r="F1890" s="3">
        <v>44844</v>
      </c>
      <c r="G1890" s="2">
        <v>22026399</v>
      </c>
      <c r="H1890" s="2">
        <v>2234662</v>
      </c>
      <c r="I1890" s="2">
        <v>1001148867</v>
      </c>
      <c r="J1890" s="2" t="s">
        <v>1307</v>
      </c>
      <c r="K1890" s="10">
        <v>149332</v>
      </c>
      <c r="L1890" s="10">
        <v>16490</v>
      </c>
      <c r="M1890" s="10">
        <v>132842</v>
      </c>
      <c r="N1890" s="10">
        <v>13497</v>
      </c>
      <c r="O1890" s="10">
        <f>Table1[[#This Row],[NET Amount]]-Table1[[#This Row],[Paid Amount]]</f>
        <v>119345</v>
      </c>
      <c r="P1890" s="2" t="s">
        <v>23</v>
      </c>
      <c r="Q1890" s="2" t="s">
        <v>30</v>
      </c>
      <c r="R1890" s="16">
        <f>(Table1[[#This Row],[NET Amount]]-Table1[[#This Row],[Total Outstanding Amount]])/Table1[[#This Row],[NET Amount]]</f>
        <v>0.10160190301260144</v>
      </c>
      <c r="S1890" s="2" t="s">
        <v>20</v>
      </c>
    </row>
    <row r="1891" spans="1:19" x14ac:dyDescent="0.3">
      <c r="A1891" s="4">
        <v>1889</v>
      </c>
      <c r="B1891" s="2" t="s">
        <v>25</v>
      </c>
      <c r="C1891" s="3">
        <v>44828</v>
      </c>
      <c r="D1891" s="3" t="str">
        <f>TEXT(Table1[[#This Row],[Admission Date]],"MMMM")</f>
        <v>September</v>
      </c>
      <c r="E1891" s="3">
        <v>44836</v>
      </c>
      <c r="F1891" s="3">
        <v>44836</v>
      </c>
      <c r="G1891" s="2">
        <v>22025314</v>
      </c>
      <c r="H1891" s="2">
        <v>2233358</v>
      </c>
      <c r="I1891" s="2">
        <v>10013540129</v>
      </c>
      <c r="J1891" s="2" t="s">
        <v>1308</v>
      </c>
      <c r="K1891" s="10">
        <v>83931</v>
      </c>
      <c r="L1891" s="10">
        <v>10482</v>
      </c>
      <c r="M1891" s="10">
        <v>73450</v>
      </c>
      <c r="N1891" s="10">
        <v>73450</v>
      </c>
      <c r="O1891" s="10">
        <f>Table1[[#This Row],[NET Amount]]-Table1[[#This Row],[Paid Amount]]</f>
        <v>0</v>
      </c>
      <c r="P1891" s="2" t="s">
        <v>18</v>
      </c>
      <c r="Q1891" s="2" t="s">
        <v>24</v>
      </c>
      <c r="R1891" s="16">
        <f>(Table1[[#This Row],[NET Amount]]-Table1[[#This Row],[Total Outstanding Amount]])/Table1[[#This Row],[NET Amount]]</f>
        <v>1</v>
      </c>
      <c r="S1891" s="2" t="s">
        <v>20</v>
      </c>
    </row>
    <row r="1892" spans="1:19" x14ac:dyDescent="0.3">
      <c r="A1892" s="4">
        <v>1890</v>
      </c>
      <c r="B1892" s="2" t="s">
        <v>35</v>
      </c>
      <c r="C1892" s="3">
        <v>44860</v>
      </c>
      <c r="D1892" s="3" t="str">
        <f>TEXT(Table1[[#This Row],[Admission Date]],"MMMM")</f>
        <v>October</v>
      </c>
      <c r="E1892" s="3">
        <v>44860</v>
      </c>
      <c r="F1892" s="3">
        <v>44860</v>
      </c>
      <c r="G1892" s="2">
        <v>22028576</v>
      </c>
      <c r="H1892" s="2">
        <v>2237441</v>
      </c>
      <c r="I1892" s="2">
        <v>10013514103</v>
      </c>
      <c r="J1892" s="2" t="s">
        <v>173</v>
      </c>
      <c r="K1892" s="10">
        <v>1610</v>
      </c>
      <c r="L1892" s="10">
        <v>0</v>
      </c>
      <c r="M1892" s="10">
        <v>1610</v>
      </c>
      <c r="N1892" s="10">
        <v>1610</v>
      </c>
      <c r="O1892" s="10">
        <f>Table1[[#This Row],[NET Amount]]-Table1[[#This Row],[Paid Amount]]</f>
        <v>0</v>
      </c>
      <c r="P1892" s="2" t="s">
        <v>18</v>
      </c>
      <c r="Q1892" s="2" t="s">
        <v>54</v>
      </c>
      <c r="R1892" s="16">
        <f>(Table1[[#This Row],[NET Amount]]-Table1[[#This Row],[Total Outstanding Amount]])/Table1[[#This Row],[NET Amount]]</f>
        <v>1</v>
      </c>
      <c r="S1892" s="2" t="s">
        <v>97</v>
      </c>
    </row>
    <row r="1893" spans="1:19" x14ac:dyDescent="0.3">
      <c r="A1893" s="4">
        <v>1891</v>
      </c>
      <c r="B1893" s="2" t="s">
        <v>25</v>
      </c>
      <c r="C1893" s="3">
        <v>44840</v>
      </c>
      <c r="D1893" s="3" t="str">
        <f>TEXT(Table1[[#This Row],[Admission Date]],"MMMM")</f>
        <v>October</v>
      </c>
      <c r="E1893" s="3">
        <v>44840</v>
      </c>
      <c r="F1893" s="3">
        <v>44840</v>
      </c>
      <c r="G1893" s="2">
        <v>22025818</v>
      </c>
      <c r="H1893" s="2">
        <v>2234827</v>
      </c>
      <c r="I1893" s="2">
        <v>1001314823</v>
      </c>
      <c r="J1893" s="2" t="s">
        <v>129</v>
      </c>
      <c r="K1893" s="10">
        <v>3630</v>
      </c>
      <c r="L1893" s="10">
        <v>338</v>
      </c>
      <c r="M1893" s="10">
        <v>3292</v>
      </c>
      <c r="N1893" s="10">
        <v>3292</v>
      </c>
      <c r="O1893" s="10">
        <f>Table1[[#This Row],[NET Amount]]-Table1[[#This Row],[Paid Amount]]</f>
        <v>0</v>
      </c>
      <c r="P1893" s="2" t="s">
        <v>18</v>
      </c>
      <c r="Q1893" s="2" t="s">
        <v>54</v>
      </c>
      <c r="R1893" s="16">
        <f>(Table1[[#This Row],[NET Amount]]-Table1[[#This Row],[Total Outstanding Amount]])/Table1[[#This Row],[NET Amount]]</f>
        <v>1</v>
      </c>
      <c r="S1893" s="2" t="s">
        <v>97</v>
      </c>
    </row>
    <row r="1894" spans="1:19" x14ac:dyDescent="0.3">
      <c r="A1894" s="4">
        <v>1892</v>
      </c>
      <c r="B1894" s="2" t="s">
        <v>2282</v>
      </c>
      <c r="C1894" s="3">
        <v>44859</v>
      </c>
      <c r="D1894" s="3" t="str">
        <f>TEXT(Table1[[#This Row],[Admission Date]],"MMMM")</f>
        <v>October</v>
      </c>
      <c r="E1894" s="3">
        <v>44860</v>
      </c>
      <c r="F1894" s="3">
        <v>44860</v>
      </c>
      <c r="G1894" s="2">
        <v>22028575</v>
      </c>
      <c r="H1894" s="2">
        <v>2237329</v>
      </c>
      <c r="I1894" s="2">
        <v>1001528358</v>
      </c>
      <c r="J1894" s="2" t="s">
        <v>1309</v>
      </c>
      <c r="K1894" s="10">
        <v>5752</v>
      </c>
      <c r="L1894" s="10">
        <v>0</v>
      </c>
      <c r="M1894" s="10">
        <v>5752</v>
      </c>
      <c r="N1894" s="10">
        <v>5752</v>
      </c>
      <c r="O1894" s="10">
        <f>Table1[[#This Row],[NET Amount]]-Table1[[#This Row],[Paid Amount]]</f>
        <v>0</v>
      </c>
      <c r="P1894" s="2" t="s">
        <v>18</v>
      </c>
      <c r="Q1894" s="2" t="s">
        <v>19</v>
      </c>
      <c r="R1894" s="16">
        <f>(Table1[[#This Row],[NET Amount]]-Table1[[#This Row],[Total Outstanding Amount]])/Table1[[#This Row],[NET Amount]]</f>
        <v>1</v>
      </c>
      <c r="S1894" s="2" t="s">
        <v>20</v>
      </c>
    </row>
    <row r="1895" spans="1:19" x14ac:dyDescent="0.3">
      <c r="A1895" s="4">
        <v>1893</v>
      </c>
      <c r="B1895" s="2" t="s">
        <v>25</v>
      </c>
      <c r="C1895" s="3">
        <v>44854</v>
      </c>
      <c r="D1895" s="3" t="str">
        <f>TEXT(Table1[[#This Row],[Admission Date]],"MMMM")</f>
        <v>October</v>
      </c>
      <c r="E1895" s="3">
        <v>44854</v>
      </c>
      <c r="F1895" s="3">
        <v>44854</v>
      </c>
      <c r="G1895" s="2">
        <v>22027807</v>
      </c>
      <c r="H1895" s="2">
        <v>2236734</v>
      </c>
      <c r="I1895" s="2">
        <v>10013531598</v>
      </c>
      <c r="J1895" s="2" t="s">
        <v>372</v>
      </c>
      <c r="K1895" s="10">
        <v>2844</v>
      </c>
      <c r="L1895" s="10">
        <v>285</v>
      </c>
      <c r="M1895" s="10">
        <v>2559</v>
      </c>
      <c r="N1895" s="10">
        <v>2559</v>
      </c>
      <c r="O1895" s="10">
        <f>Table1[[#This Row],[NET Amount]]-Table1[[#This Row],[Paid Amount]]</f>
        <v>0</v>
      </c>
      <c r="P1895" s="2" t="s">
        <v>18</v>
      </c>
      <c r="Q1895" s="2" t="s">
        <v>54</v>
      </c>
      <c r="R1895" s="16">
        <f>(Table1[[#This Row],[NET Amount]]-Table1[[#This Row],[Total Outstanding Amount]])/Table1[[#This Row],[NET Amount]]</f>
        <v>1</v>
      </c>
      <c r="S1895" s="2" t="s">
        <v>97</v>
      </c>
    </row>
    <row r="1896" spans="1:19" x14ac:dyDescent="0.3">
      <c r="A1896" s="4">
        <v>1894</v>
      </c>
      <c r="B1896" s="2" t="s">
        <v>25</v>
      </c>
      <c r="C1896" s="3">
        <v>44854</v>
      </c>
      <c r="D1896" s="3" t="str">
        <f>TEXT(Table1[[#This Row],[Admission Date]],"MMMM")</f>
        <v>October</v>
      </c>
      <c r="E1896" s="3">
        <v>44854</v>
      </c>
      <c r="F1896" s="3">
        <v>44854</v>
      </c>
      <c r="G1896" s="2">
        <v>22027824</v>
      </c>
      <c r="H1896" s="2">
        <v>2236745</v>
      </c>
      <c r="I1896" s="2">
        <v>10013424453</v>
      </c>
      <c r="J1896" s="2" t="s">
        <v>333</v>
      </c>
      <c r="K1896" s="10">
        <v>4990</v>
      </c>
      <c r="L1896" s="10">
        <v>413</v>
      </c>
      <c r="M1896" s="10">
        <v>4577</v>
      </c>
      <c r="N1896" s="10">
        <v>4577</v>
      </c>
      <c r="O1896" s="10">
        <f>Table1[[#This Row],[NET Amount]]-Table1[[#This Row],[Paid Amount]]</f>
        <v>0</v>
      </c>
      <c r="P1896" s="2" t="s">
        <v>18</v>
      </c>
      <c r="Q1896" s="2" t="s">
        <v>54</v>
      </c>
      <c r="R1896" s="16">
        <f>(Table1[[#This Row],[NET Amount]]-Table1[[#This Row],[Total Outstanding Amount]])/Table1[[#This Row],[NET Amount]]</f>
        <v>1</v>
      </c>
      <c r="S1896" s="2" t="s">
        <v>97</v>
      </c>
    </row>
    <row r="1897" spans="1:19" x14ac:dyDescent="0.3">
      <c r="A1897" s="4">
        <v>1895</v>
      </c>
      <c r="B1897" s="2" t="s">
        <v>25</v>
      </c>
      <c r="C1897" s="3">
        <v>44835</v>
      </c>
      <c r="D1897" s="3" t="str">
        <f>TEXT(Table1[[#This Row],[Admission Date]],"MMMM")</f>
        <v>October</v>
      </c>
      <c r="E1897" s="3">
        <v>44835</v>
      </c>
      <c r="F1897" s="3">
        <v>44835</v>
      </c>
      <c r="G1897" s="2">
        <v>22025099</v>
      </c>
      <c r="H1897" s="2">
        <v>2234150</v>
      </c>
      <c r="I1897" s="2">
        <v>1001575947</v>
      </c>
      <c r="J1897" s="2" t="s">
        <v>919</v>
      </c>
      <c r="K1897" s="10">
        <v>3729</v>
      </c>
      <c r="L1897" s="10">
        <v>316</v>
      </c>
      <c r="M1897" s="10">
        <v>3413</v>
      </c>
      <c r="N1897" s="10">
        <v>3413</v>
      </c>
      <c r="O1897" s="10">
        <f>Table1[[#This Row],[NET Amount]]-Table1[[#This Row],[Paid Amount]]</f>
        <v>0</v>
      </c>
      <c r="P1897" s="2" t="s">
        <v>18</v>
      </c>
      <c r="Q1897" s="2" t="s">
        <v>54</v>
      </c>
      <c r="R1897" s="16">
        <f>(Table1[[#This Row],[NET Amount]]-Table1[[#This Row],[Total Outstanding Amount]])/Table1[[#This Row],[NET Amount]]</f>
        <v>1</v>
      </c>
      <c r="S1897" s="2" t="s">
        <v>97</v>
      </c>
    </row>
    <row r="1898" spans="1:19" x14ac:dyDescent="0.3">
      <c r="A1898" s="4">
        <v>1896</v>
      </c>
      <c r="B1898" s="2" t="s">
        <v>25</v>
      </c>
      <c r="C1898" s="3">
        <v>44837</v>
      </c>
      <c r="D1898" s="3" t="str">
        <f>TEXT(Table1[[#This Row],[Admission Date]],"MMMM")</f>
        <v>October</v>
      </c>
      <c r="E1898" s="3">
        <v>44837</v>
      </c>
      <c r="F1898" s="3">
        <v>44837</v>
      </c>
      <c r="G1898" s="2">
        <v>22025455</v>
      </c>
      <c r="H1898" s="2">
        <v>2234458</v>
      </c>
      <c r="I1898" s="2">
        <v>1001130529</v>
      </c>
      <c r="J1898" s="2" t="s">
        <v>302</v>
      </c>
      <c r="K1898" s="10">
        <v>2794</v>
      </c>
      <c r="L1898" s="10">
        <v>2794</v>
      </c>
      <c r="M1898" s="10">
        <v>0</v>
      </c>
      <c r="N1898" s="10">
        <v>0</v>
      </c>
      <c r="O1898" s="10">
        <f>Table1[[#This Row],[NET Amount]]-Table1[[#This Row],[Paid Amount]]</f>
        <v>0</v>
      </c>
      <c r="P1898" s="2" t="s">
        <v>18</v>
      </c>
      <c r="Q1898" s="2" t="s">
        <v>90</v>
      </c>
      <c r="R1898" s="16" t="e">
        <f>(Table1[[#This Row],[NET Amount]]-Table1[[#This Row],[Total Outstanding Amount]])/Table1[[#This Row],[NET Amount]]</f>
        <v>#DIV/0!</v>
      </c>
      <c r="S1898" s="2" t="s">
        <v>97</v>
      </c>
    </row>
    <row r="1899" spans="1:19" x14ac:dyDescent="0.3">
      <c r="A1899" s="4">
        <v>1897</v>
      </c>
      <c r="B1899" s="2" t="s">
        <v>25</v>
      </c>
      <c r="C1899" s="3">
        <v>44837</v>
      </c>
      <c r="D1899" s="3" t="str">
        <f>TEXT(Table1[[#This Row],[Admission Date]],"MMMM")</f>
        <v>October</v>
      </c>
      <c r="E1899" s="3">
        <v>44837</v>
      </c>
      <c r="F1899" s="3">
        <v>44837</v>
      </c>
      <c r="G1899" s="2">
        <v>22025454</v>
      </c>
      <c r="H1899" s="2">
        <v>2234456</v>
      </c>
      <c r="I1899" s="2">
        <v>10013440543</v>
      </c>
      <c r="J1899" s="2" t="s">
        <v>96</v>
      </c>
      <c r="K1899" s="10">
        <v>2794</v>
      </c>
      <c r="L1899" s="10">
        <v>2794</v>
      </c>
      <c r="M1899" s="10">
        <v>0</v>
      </c>
      <c r="N1899" s="10">
        <v>0</v>
      </c>
      <c r="O1899" s="10">
        <f>Table1[[#This Row],[NET Amount]]-Table1[[#This Row],[Paid Amount]]</f>
        <v>0</v>
      </c>
      <c r="P1899" s="2" t="s">
        <v>18</v>
      </c>
      <c r="Q1899" s="2" t="s">
        <v>90</v>
      </c>
      <c r="R1899" s="16" t="e">
        <f>(Table1[[#This Row],[NET Amount]]-Table1[[#This Row],[Total Outstanding Amount]])/Table1[[#This Row],[NET Amount]]</f>
        <v>#DIV/0!</v>
      </c>
      <c r="S1899" s="2" t="s">
        <v>97</v>
      </c>
    </row>
    <row r="1900" spans="1:19" x14ac:dyDescent="0.3">
      <c r="A1900" s="4">
        <v>1898</v>
      </c>
      <c r="B1900" s="2" t="s">
        <v>75</v>
      </c>
      <c r="C1900" s="3">
        <v>44827</v>
      </c>
      <c r="D1900" s="3" t="str">
        <f>TEXT(Table1[[#This Row],[Admission Date]],"MMMM")</f>
        <v>September</v>
      </c>
      <c r="E1900" s="3">
        <v>44854</v>
      </c>
      <c r="F1900" s="3">
        <v>44854</v>
      </c>
      <c r="G1900" s="2">
        <v>22027906</v>
      </c>
      <c r="H1900" s="2">
        <v>2233145</v>
      </c>
      <c r="I1900" s="2">
        <v>10013534967</v>
      </c>
      <c r="J1900" s="2" t="s">
        <v>1310</v>
      </c>
      <c r="K1900" s="10">
        <v>939926</v>
      </c>
      <c r="L1900" s="10">
        <v>0</v>
      </c>
      <c r="M1900" s="10">
        <v>939926</v>
      </c>
      <c r="N1900" s="10">
        <v>47220</v>
      </c>
      <c r="O1900" s="10">
        <f>Table1[[#This Row],[NET Amount]]-Table1[[#This Row],[Paid Amount]]</f>
        <v>892706</v>
      </c>
      <c r="P1900" s="2" t="s">
        <v>23</v>
      </c>
      <c r="Q1900" s="2" t="s">
        <v>24</v>
      </c>
      <c r="R1900" s="16">
        <f>(Table1[[#This Row],[NET Amount]]-Table1[[#This Row],[Total Outstanding Amount]])/Table1[[#This Row],[NET Amount]]</f>
        <v>5.0237997459374462E-2</v>
      </c>
      <c r="S1900" s="2" t="s">
        <v>20</v>
      </c>
    </row>
    <row r="1901" spans="1:19" x14ac:dyDescent="0.3">
      <c r="A1901" s="4">
        <v>1899</v>
      </c>
      <c r="B1901" s="2" t="s">
        <v>2253</v>
      </c>
      <c r="C1901" s="3">
        <v>44840</v>
      </c>
      <c r="D1901" s="3" t="str">
        <f>TEXT(Table1[[#This Row],[Admission Date]],"MMMM")</f>
        <v>October</v>
      </c>
      <c r="E1901" s="3">
        <v>44852</v>
      </c>
      <c r="F1901" s="3">
        <v>44852</v>
      </c>
      <c r="G1901" s="2">
        <v>22027597</v>
      </c>
      <c r="H1901" s="2">
        <v>2234925</v>
      </c>
      <c r="I1901" s="2">
        <v>1001719990</v>
      </c>
      <c r="J1901" s="2" t="s">
        <v>1311</v>
      </c>
      <c r="K1901" s="10">
        <v>99029</v>
      </c>
      <c r="L1901" s="10">
        <v>0</v>
      </c>
      <c r="M1901" s="10">
        <v>99029</v>
      </c>
      <c r="N1901" s="10">
        <v>1311</v>
      </c>
      <c r="O1901" s="10">
        <f>Table1[[#This Row],[NET Amount]]-Table1[[#This Row],[Paid Amount]]</f>
        <v>97718</v>
      </c>
      <c r="P1901" s="2" t="s">
        <v>23</v>
      </c>
      <c r="Q1901" s="2" t="s">
        <v>19</v>
      </c>
      <c r="R1901" s="16">
        <f>(Table1[[#This Row],[NET Amount]]-Table1[[#This Row],[Total Outstanding Amount]])/Table1[[#This Row],[NET Amount]]</f>
        <v>1.3238546284421735E-2</v>
      </c>
      <c r="S1901" s="2" t="s">
        <v>20</v>
      </c>
    </row>
    <row r="1902" spans="1:19" x14ac:dyDescent="0.3">
      <c r="A1902" s="4">
        <v>1900</v>
      </c>
      <c r="B1902" s="2" t="s">
        <v>2254</v>
      </c>
      <c r="C1902" s="3">
        <v>44834</v>
      </c>
      <c r="D1902" s="3" t="str">
        <f>TEXT(Table1[[#This Row],[Admission Date]],"MMMM")</f>
        <v>September</v>
      </c>
      <c r="E1902" s="3">
        <v>44844</v>
      </c>
      <c r="F1902" s="3">
        <v>44844</v>
      </c>
      <c r="G1902" s="2">
        <v>22026442</v>
      </c>
      <c r="H1902" s="2">
        <v>2234001</v>
      </c>
      <c r="I1902" s="2">
        <v>1001801585</v>
      </c>
      <c r="J1902" s="2" t="s">
        <v>1312</v>
      </c>
      <c r="K1902" s="10">
        <v>184789</v>
      </c>
      <c r="L1902" s="10">
        <v>18153</v>
      </c>
      <c r="M1902" s="10">
        <v>166636</v>
      </c>
      <c r="N1902" s="10">
        <v>1500</v>
      </c>
      <c r="O1902" s="10">
        <f>Table1[[#This Row],[NET Amount]]-Table1[[#This Row],[Paid Amount]]</f>
        <v>165136</v>
      </c>
      <c r="P1902" s="2" t="s">
        <v>23</v>
      </c>
      <c r="Q1902" s="2" t="s">
        <v>19</v>
      </c>
      <c r="R1902" s="16">
        <f>(Table1[[#This Row],[NET Amount]]-Table1[[#This Row],[Total Outstanding Amount]])/Table1[[#This Row],[NET Amount]]</f>
        <v>9.0016563047600751E-3</v>
      </c>
      <c r="S1902" s="2" t="s">
        <v>20</v>
      </c>
    </row>
    <row r="1903" spans="1:19" x14ac:dyDescent="0.3">
      <c r="A1903" s="4">
        <v>1901</v>
      </c>
      <c r="B1903" s="2" t="s">
        <v>2253</v>
      </c>
      <c r="C1903" s="3">
        <v>44834</v>
      </c>
      <c r="D1903" s="3" t="str">
        <f>TEXT(Table1[[#This Row],[Admission Date]],"MMMM")</f>
        <v>September</v>
      </c>
      <c r="E1903" s="3">
        <v>44840</v>
      </c>
      <c r="F1903" s="3">
        <v>44840</v>
      </c>
      <c r="G1903" s="2">
        <v>22025873</v>
      </c>
      <c r="H1903" s="2">
        <v>2234133</v>
      </c>
      <c r="I1903" s="2">
        <v>1001392623</v>
      </c>
      <c r="J1903" s="2" t="s">
        <v>1313</v>
      </c>
      <c r="K1903" s="10">
        <v>28204</v>
      </c>
      <c r="L1903" s="10">
        <v>0</v>
      </c>
      <c r="M1903" s="10">
        <v>28204</v>
      </c>
      <c r="N1903" s="10">
        <v>823</v>
      </c>
      <c r="O1903" s="10">
        <f>Table1[[#This Row],[NET Amount]]-Table1[[#This Row],[Paid Amount]]</f>
        <v>27381</v>
      </c>
      <c r="P1903" s="2" t="s">
        <v>23</v>
      </c>
      <c r="Q1903" s="2" t="s">
        <v>24</v>
      </c>
      <c r="R1903" s="16">
        <f>(Table1[[#This Row],[NET Amount]]-Table1[[#This Row],[Total Outstanding Amount]])/Table1[[#This Row],[NET Amount]]</f>
        <v>2.9180258119415686E-2</v>
      </c>
      <c r="S1903" s="2" t="s">
        <v>20</v>
      </c>
    </row>
    <row r="1904" spans="1:19" x14ac:dyDescent="0.3">
      <c r="A1904" s="4">
        <v>1902</v>
      </c>
      <c r="B1904" s="2" t="s">
        <v>2254</v>
      </c>
      <c r="C1904" s="3">
        <v>44841</v>
      </c>
      <c r="D1904" s="3" t="str">
        <f>TEXT(Table1[[#This Row],[Admission Date]],"MMMM")</f>
        <v>October</v>
      </c>
      <c r="E1904" s="3">
        <v>44843</v>
      </c>
      <c r="F1904" s="3">
        <v>44843</v>
      </c>
      <c r="G1904" s="2">
        <v>22026310</v>
      </c>
      <c r="H1904" s="2">
        <v>2234976</v>
      </c>
      <c r="I1904" s="2">
        <v>1001802931</v>
      </c>
      <c r="J1904" s="2" t="s">
        <v>1314</v>
      </c>
      <c r="K1904" s="10">
        <v>19525</v>
      </c>
      <c r="L1904" s="10">
        <v>3399</v>
      </c>
      <c r="M1904" s="10">
        <v>16126</v>
      </c>
      <c r="N1904" s="10">
        <v>500</v>
      </c>
      <c r="O1904" s="10">
        <f>Table1[[#This Row],[NET Amount]]-Table1[[#This Row],[Paid Amount]]</f>
        <v>15626</v>
      </c>
      <c r="P1904" s="2" t="s">
        <v>23</v>
      </c>
      <c r="Q1904" s="2" t="s">
        <v>19</v>
      </c>
      <c r="R1904" s="16">
        <f>(Table1[[#This Row],[NET Amount]]-Table1[[#This Row],[Total Outstanding Amount]])/Table1[[#This Row],[NET Amount]]</f>
        <v>3.1005829095870022E-2</v>
      </c>
      <c r="S1904" s="2" t="s">
        <v>37</v>
      </c>
    </row>
    <row r="1905" spans="1:19" x14ac:dyDescent="0.3">
      <c r="A1905" s="4">
        <v>1903</v>
      </c>
      <c r="B1905" s="2" t="s">
        <v>152</v>
      </c>
      <c r="C1905" s="3">
        <v>44838</v>
      </c>
      <c r="D1905" s="3" t="str">
        <f>TEXT(Table1[[#This Row],[Admission Date]],"MMMM")</f>
        <v>October</v>
      </c>
      <c r="E1905" s="3">
        <v>44843</v>
      </c>
      <c r="F1905" s="3">
        <v>44843</v>
      </c>
      <c r="G1905" s="2">
        <v>22026269</v>
      </c>
      <c r="H1905" s="2">
        <v>2234636</v>
      </c>
      <c r="I1905" s="2">
        <v>1001312059</v>
      </c>
      <c r="J1905" s="2" t="s">
        <v>1315</v>
      </c>
      <c r="K1905" s="10">
        <v>77914</v>
      </c>
      <c r="L1905" s="10">
        <v>0</v>
      </c>
      <c r="M1905" s="10">
        <v>77914</v>
      </c>
      <c r="N1905" s="10">
        <v>5787</v>
      </c>
      <c r="O1905" s="10">
        <f>Table1[[#This Row],[NET Amount]]-Table1[[#This Row],[Paid Amount]]</f>
        <v>72127</v>
      </c>
      <c r="P1905" s="2" t="s">
        <v>23</v>
      </c>
      <c r="Q1905" s="2" t="s">
        <v>30</v>
      </c>
      <c r="R1905" s="16">
        <f>(Table1[[#This Row],[NET Amount]]-Table1[[#This Row],[Total Outstanding Amount]])/Table1[[#This Row],[NET Amount]]</f>
        <v>7.4274199758708317E-2</v>
      </c>
      <c r="S1905" s="2" t="s">
        <v>32</v>
      </c>
    </row>
    <row r="1906" spans="1:19" x14ac:dyDescent="0.3">
      <c r="A1906" s="4">
        <v>1904</v>
      </c>
      <c r="B1906" s="2" t="s">
        <v>25</v>
      </c>
      <c r="C1906" s="3">
        <v>44840</v>
      </c>
      <c r="D1906" s="3" t="str">
        <f>TEXT(Table1[[#This Row],[Admission Date]],"MMMM")</f>
        <v>October</v>
      </c>
      <c r="E1906" s="3">
        <v>44843</v>
      </c>
      <c r="F1906" s="3">
        <v>44843</v>
      </c>
      <c r="G1906" s="2">
        <v>22026266</v>
      </c>
      <c r="H1906" s="2">
        <v>2234958</v>
      </c>
      <c r="I1906" s="2">
        <v>10013541887</v>
      </c>
      <c r="J1906" s="2" t="s">
        <v>1316</v>
      </c>
      <c r="K1906" s="10">
        <v>214255</v>
      </c>
      <c r="L1906" s="10">
        <v>14362</v>
      </c>
      <c r="M1906" s="10">
        <v>199893</v>
      </c>
      <c r="N1906" s="10">
        <v>199893</v>
      </c>
      <c r="O1906" s="10">
        <f>Table1[[#This Row],[NET Amount]]-Table1[[#This Row],[Paid Amount]]</f>
        <v>0</v>
      </c>
      <c r="P1906" s="2" t="s">
        <v>18</v>
      </c>
      <c r="Q1906" s="2" t="s">
        <v>24</v>
      </c>
      <c r="R1906" s="16">
        <f>(Table1[[#This Row],[NET Amount]]-Table1[[#This Row],[Total Outstanding Amount]])/Table1[[#This Row],[NET Amount]]</f>
        <v>1</v>
      </c>
      <c r="S1906" s="2" t="s">
        <v>39</v>
      </c>
    </row>
    <row r="1907" spans="1:19" x14ac:dyDescent="0.3">
      <c r="A1907" s="4">
        <v>1905</v>
      </c>
      <c r="B1907" s="2" t="s">
        <v>25</v>
      </c>
      <c r="C1907" s="3">
        <v>44865</v>
      </c>
      <c r="D1907" s="3" t="str">
        <f>TEXT(Table1[[#This Row],[Admission Date]],"MMMM")</f>
        <v>October</v>
      </c>
      <c r="E1907" s="3">
        <v>44865</v>
      </c>
      <c r="F1907" s="3">
        <v>44865</v>
      </c>
      <c r="G1907" s="2">
        <v>22029252</v>
      </c>
      <c r="H1907" s="2">
        <v>2238136</v>
      </c>
      <c r="I1907" s="2">
        <v>1001561182</v>
      </c>
      <c r="J1907" s="2" t="s">
        <v>222</v>
      </c>
      <c r="K1907" s="10">
        <v>3630</v>
      </c>
      <c r="L1907" s="10">
        <v>0</v>
      </c>
      <c r="M1907" s="10">
        <v>3630</v>
      </c>
      <c r="N1907" s="10">
        <v>3630</v>
      </c>
      <c r="O1907" s="10">
        <f>Table1[[#This Row],[NET Amount]]-Table1[[#This Row],[Paid Amount]]</f>
        <v>0</v>
      </c>
      <c r="P1907" s="2" t="s">
        <v>18</v>
      </c>
      <c r="Q1907" s="2" t="s">
        <v>54</v>
      </c>
      <c r="R1907" s="16">
        <f>(Table1[[#This Row],[NET Amount]]-Table1[[#This Row],[Total Outstanding Amount]])/Table1[[#This Row],[NET Amount]]</f>
        <v>1</v>
      </c>
      <c r="S1907" s="2" t="s">
        <v>97</v>
      </c>
    </row>
    <row r="1908" spans="1:19" x14ac:dyDescent="0.3">
      <c r="A1908" s="4">
        <v>1906</v>
      </c>
      <c r="B1908" s="2" t="s">
        <v>25</v>
      </c>
      <c r="C1908" s="3">
        <v>44861</v>
      </c>
      <c r="D1908" s="3" t="str">
        <f>TEXT(Table1[[#This Row],[Admission Date]],"MMMM")</f>
        <v>October</v>
      </c>
      <c r="E1908" s="3">
        <v>44861</v>
      </c>
      <c r="F1908" s="3">
        <v>44861</v>
      </c>
      <c r="G1908" s="2">
        <v>22028822</v>
      </c>
      <c r="H1908" s="2">
        <v>2237690</v>
      </c>
      <c r="I1908" s="2">
        <v>10013533934</v>
      </c>
      <c r="J1908" s="2" t="s">
        <v>498</v>
      </c>
      <c r="K1908" s="10">
        <v>4990</v>
      </c>
      <c r="L1908" s="10">
        <v>415</v>
      </c>
      <c r="M1908" s="10">
        <v>4575</v>
      </c>
      <c r="N1908" s="10">
        <v>4575</v>
      </c>
      <c r="O1908" s="10">
        <f>Table1[[#This Row],[NET Amount]]-Table1[[#This Row],[Paid Amount]]</f>
        <v>0</v>
      </c>
      <c r="P1908" s="2" t="s">
        <v>18</v>
      </c>
      <c r="Q1908" s="2" t="s">
        <v>54</v>
      </c>
      <c r="R1908" s="16">
        <f>(Table1[[#This Row],[NET Amount]]-Table1[[#This Row],[Total Outstanding Amount]])/Table1[[#This Row],[NET Amount]]</f>
        <v>1</v>
      </c>
      <c r="S1908" s="2" t="s">
        <v>97</v>
      </c>
    </row>
    <row r="1909" spans="1:19" x14ac:dyDescent="0.3">
      <c r="A1909" s="4">
        <v>1907</v>
      </c>
      <c r="B1909" s="2" t="s">
        <v>715</v>
      </c>
      <c r="C1909" s="3">
        <v>44848</v>
      </c>
      <c r="D1909" s="3" t="str">
        <f>TEXT(Table1[[#This Row],[Admission Date]],"MMMM")</f>
        <v>October</v>
      </c>
      <c r="E1909" s="3">
        <v>44852</v>
      </c>
      <c r="F1909" s="3">
        <v>44852</v>
      </c>
      <c r="G1909" s="2">
        <v>22027516</v>
      </c>
      <c r="H1909" s="2">
        <v>2235902</v>
      </c>
      <c r="I1909" s="2">
        <v>10013542901</v>
      </c>
      <c r="J1909" s="2" t="s">
        <v>745</v>
      </c>
      <c r="K1909" s="10">
        <v>254010</v>
      </c>
      <c r="L1909" s="10">
        <v>29322</v>
      </c>
      <c r="M1909" s="10">
        <v>224688</v>
      </c>
      <c r="N1909" s="10">
        <v>38526</v>
      </c>
      <c r="O1909" s="10">
        <f>Table1[[#This Row],[NET Amount]]-Table1[[#This Row],[Paid Amount]]</f>
        <v>186162</v>
      </c>
      <c r="P1909" s="2" t="s">
        <v>23</v>
      </c>
      <c r="Q1909" s="2" t="s">
        <v>52</v>
      </c>
      <c r="R1909" s="16">
        <f>(Table1[[#This Row],[NET Amount]]-Table1[[#This Row],[Total Outstanding Amount]])/Table1[[#This Row],[NET Amount]]</f>
        <v>0.17146443067720574</v>
      </c>
      <c r="S1909" s="2" t="s">
        <v>20</v>
      </c>
    </row>
    <row r="1910" spans="1:19" x14ac:dyDescent="0.3">
      <c r="A1910" s="4">
        <v>1908</v>
      </c>
      <c r="B1910" s="2" t="s">
        <v>25</v>
      </c>
      <c r="C1910" s="3">
        <v>44834</v>
      </c>
      <c r="D1910" s="3" t="str">
        <f>TEXT(Table1[[#This Row],[Admission Date]],"MMMM")</f>
        <v>September</v>
      </c>
      <c r="E1910" s="3">
        <v>44836</v>
      </c>
      <c r="F1910" s="3">
        <v>44836</v>
      </c>
      <c r="G1910" s="2">
        <v>22025299</v>
      </c>
      <c r="H1910" s="2">
        <v>2234003</v>
      </c>
      <c r="I1910" s="2">
        <v>10013540910</v>
      </c>
      <c r="J1910" s="2" t="s">
        <v>1317</v>
      </c>
      <c r="K1910" s="10">
        <v>61961</v>
      </c>
      <c r="L1910" s="10">
        <v>12743</v>
      </c>
      <c r="M1910" s="10">
        <v>49218</v>
      </c>
      <c r="N1910" s="10">
        <v>49218</v>
      </c>
      <c r="O1910" s="10">
        <f>Table1[[#This Row],[NET Amount]]-Table1[[#This Row],[Paid Amount]]</f>
        <v>0</v>
      </c>
      <c r="P1910" s="2" t="s">
        <v>18</v>
      </c>
      <c r="Q1910" s="2" t="s">
        <v>30</v>
      </c>
      <c r="R1910" s="16">
        <f>(Table1[[#This Row],[NET Amount]]-Table1[[#This Row],[Total Outstanding Amount]])/Table1[[#This Row],[NET Amount]]</f>
        <v>1</v>
      </c>
      <c r="S1910" s="2" t="s">
        <v>20</v>
      </c>
    </row>
    <row r="1911" spans="1:19" x14ac:dyDescent="0.3">
      <c r="A1911" s="4">
        <v>1909</v>
      </c>
      <c r="B1911" s="2" t="s">
        <v>149</v>
      </c>
      <c r="C1911" s="3">
        <v>44838</v>
      </c>
      <c r="D1911" s="3" t="str">
        <f>TEXT(Table1[[#This Row],[Admission Date]],"MMMM")</f>
        <v>October</v>
      </c>
      <c r="E1911" s="3">
        <v>44843</v>
      </c>
      <c r="F1911" s="3">
        <v>44843</v>
      </c>
      <c r="G1911" s="2">
        <v>22026252</v>
      </c>
      <c r="H1911" s="2">
        <v>2234656</v>
      </c>
      <c r="I1911" s="2">
        <v>10013541602</v>
      </c>
      <c r="J1911" s="2" t="s">
        <v>1318</v>
      </c>
      <c r="K1911" s="10">
        <v>61203</v>
      </c>
      <c r="L1911" s="10">
        <v>0</v>
      </c>
      <c r="M1911" s="10">
        <v>61203</v>
      </c>
      <c r="N1911" s="10">
        <v>1500</v>
      </c>
      <c r="O1911" s="10">
        <f>Table1[[#This Row],[NET Amount]]-Table1[[#This Row],[Paid Amount]]</f>
        <v>59703</v>
      </c>
      <c r="P1911" s="2" t="s">
        <v>23</v>
      </c>
      <c r="Q1911" s="2" t="s">
        <v>19</v>
      </c>
      <c r="R1911" s="16">
        <f>(Table1[[#This Row],[NET Amount]]-Table1[[#This Row],[Total Outstanding Amount]])/Table1[[#This Row],[NET Amount]]</f>
        <v>2.4508602519484338E-2</v>
      </c>
      <c r="S1911" s="2" t="s">
        <v>20</v>
      </c>
    </row>
    <row r="1912" spans="1:19" x14ac:dyDescent="0.3">
      <c r="A1912" s="4">
        <v>1910</v>
      </c>
      <c r="B1912" s="2" t="s">
        <v>25</v>
      </c>
      <c r="C1912" s="3">
        <v>44855</v>
      </c>
      <c r="D1912" s="3" t="str">
        <f>TEXT(Table1[[#This Row],[Admission Date]],"MMMM")</f>
        <v>October</v>
      </c>
      <c r="E1912" s="3">
        <v>44855</v>
      </c>
      <c r="F1912" s="3">
        <v>44855</v>
      </c>
      <c r="G1912" s="2">
        <v>22027978</v>
      </c>
      <c r="H1912" s="2">
        <v>2236884</v>
      </c>
      <c r="I1912" s="2">
        <v>10013527702</v>
      </c>
      <c r="J1912" s="2" t="s">
        <v>553</v>
      </c>
      <c r="K1912" s="10">
        <v>4990</v>
      </c>
      <c r="L1912" s="10">
        <v>414</v>
      </c>
      <c r="M1912" s="10">
        <v>4576</v>
      </c>
      <c r="N1912" s="10">
        <v>4576</v>
      </c>
      <c r="O1912" s="10">
        <f>Table1[[#This Row],[NET Amount]]-Table1[[#This Row],[Paid Amount]]</f>
        <v>0</v>
      </c>
      <c r="P1912" s="2" t="s">
        <v>18</v>
      </c>
      <c r="Q1912" s="2" t="s">
        <v>54</v>
      </c>
      <c r="R1912" s="16">
        <f>(Table1[[#This Row],[NET Amount]]-Table1[[#This Row],[Total Outstanding Amount]])/Table1[[#This Row],[NET Amount]]</f>
        <v>1</v>
      </c>
      <c r="S1912" s="2" t="s">
        <v>97</v>
      </c>
    </row>
    <row r="1913" spans="1:19" x14ac:dyDescent="0.3">
      <c r="A1913" s="4">
        <v>1911</v>
      </c>
      <c r="B1913" s="2" t="s">
        <v>584</v>
      </c>
      <c r="C1913" s="3">
        <v>44853</v>
      </c>
      <c r="D1913" s="3" t="str">
        <f>TEXT(Table1[[#This Row],[Admission Date]],"MMMM")</f>
        <v>October</v>
      </c>
      <c r="E1913" s="3">
        <v>44853</v>
      </c>
      <c r="F1913" s="3">
        <v>44853</v>
      </c>
      <c r="G1913" s="2">
        <v>22027719</v>
      </c>
      <c r="H1913" s="2">
        <v>2236613</v>
      </c>
      <c r="I1913" s="2">
        <v>10013376566</v>
      </c>
      <c r="J1913" s="2" t="s">
        <v>585</v>
      </c>
      <c r="K1913" s="10">
        <v>2200</v>
      </c>
      <c r="L1913" s="10">
        <v>0</v>
      </c>
      <c r="M1913" s="10">
        <v>2200</v>
      </c>
      <c r="N1913" s="10">
        <v>440</v>
      </c>
      <c r="O1913" s="10">
        <f>Table1[[#This Row],[NET Amount]]-Table1[[#This Row],[Paid Amount]]</f>
        <v>1760</v>
      </c>
      <c r="P1913" s="2" t="s">
        <v>23</v>
      </c>
      <c r="Q1913" s="2" t="s">
        <v>147</v>
      </c>
      <c r="R1913" s="16">
        <f>(Table1[[#This Row],[NET Amount]]-Table1[[#This Row],[Total Outstanding Amount]])/Table1[[#This Row],[NET Amount]]</f>
        <v>0.2</v>
      </c>
      <c r="S1913" s="2" t="s">
        <v>97</v>
      </c>
    </row>
    <row r="1914" spans="1:19" x14ac:dyDescent="0.3">
      <c r="A1914" s="4">
        <v>1912</v>
      </c>
      <c r="B1914" s="2" t="s">
        <v>25</v>
      </c>
      <c r="C1914" s="3">
        <v>44853</v>
      </c>
      <c r="D1914" s="3" t="str">
        <f>TEXT(Table1[[#This Row],[Admission Date]],"MMMM")</f>
        <v>October</v>
      </c>
      <c r="E1914" s="3">
        <v>44853</v>
      </c>
      <c r="F1914" s="3">
        <v>44853</v>
      </c>
      <c r="G1914" s="2">
        <v>22027717</v>
      </c>
      <c r="H1914" s="2">
        <v>2236624</v>
      </c>
      <c r="I1914" s="2">
        <v>10013230754</v>
      </c>
      <c r="J1914" s="2" t="s">
        <v>102</v>
      </c>
      <c r="K1914" s="10">
        <v>4990</v>
      </c>
      <c r="L1914" s="10">
        <v>1647</v>
      </c>
      <c r="M1914" s="10">
        <v>3343</v>
      </c>
      <c r="N1914" s="10">
        <v>3343</v>
      </c>
      <c r="O1914" s="10">
        <f>Table1[[#This Row],[NET Amount]]-Table1[[#This Row],[Paid Amount]]</f>
        <v>0</v>
      </c>
      <c r="P1914" s="2" t="s">
        <v>18</v>
      </c>
      <c r="Q1914" s="2" t="s">
        <v>54</v>
      </c>
      <c r="R1914" s="16">
        <f>(Table1[[#This Row],[NET Amount]]-Table1[[#This Row],[Total Outstanding Amount]])/Table1[[#This Row],[NET Amount]]</f>
        <v>1</v>
      </c>
      <c r="S1914" s="2" t="s">
        <v>97</v>
      </c>
    </row>
    <row r="1915" spans="1:19" x14ac:dyDescent="0.3">
      <c r="A1915" s="4">
        <v>1913</v>
      </c>
      <c r="B1915" s="2" t="s">
        <v>139</v>
      </c>
      <c r="C1915" s="3">
        <v>44838</v>
      </c>
      <c r="D1915" s="3" t="str">
        <f>TEXT(Table1[[#This Row],[Admission Date]],"MMMM")</f>
        <v>October</v>
      </c>
      <c r="E1915" s="3">
        <v>44842</v>
      </c>
      <c r="F1915" s="3">
        <v>44842</v>
      </c>
      <c r="G1915" s="2">
        <v>22026103</v>
      </c>
      <c r="H1915" s="2">
        <v>2234651</v>
      </c>
      <c r="I1915" s="2">
        <v>1001802495</v>
      </c>
      <c r="J1915" s="2" t="s">
        <v>1319</v>
      </c>
      <c r="K1915" s="10">
        <v>108959</v>
      </c>
      <c r="L1915" s="10">
        <v>11821</v>
      </c>
      <c r="M1915" s="10">
        <v>97138</v>
      </c>
      <c r="N1915" s="10">
        <v>54073</v>
      </c>
      <c r="O1915" s="10">
        <f>Table1[[#This Row],[NET Amount]]-Table1[[#This Row],[Paid Amount]]</f>
        <v>43065</v>
      </c>
      <c r="P1915" s="2" t="s">
        <v>23</v>
      </c>
      <c r="Q1915" s="2" t="s">
        <v>47</v>
      </c>
      <c r="R1915" s="16">
        <f>(Table1[[#This Row],[NET Amount]]-Table1[[#This Row],[Total Outstanding Amount]])/Table1[[#This Row],[NET Amount]]</f>
        <v>0.55666165661224243</v>
      </c>
      <c r="S1915" s="2" t="s">
        <v>39</v>
      </c>
    </row>
    <row r="1916" spans="1:19" x14ac:dyDescent="0.3">
      <c r="A1916" s="4">
        <v>1914</v>
      </c>
      <c r="B1916" s="2" t="s">
        <v>50</v>
      </c>
      <c r="C1916" s="3">
        <v>44852</v>
      </c>
      <c r="D1916" s="3" t="str">
        <f>TEXT(Table1[[#This Row],[Admission Date]],"MMMM")</f>
        <v>October</v>
      </c>
      <c r="E1916" s="3">
        <v>44860</v>
      </c>
      <c r="F1916" s="3">
        <v>44860</v>
      </c>
      <c r="G1916" s="2">
        <v>22028623</v>
      </c>
      <c r="H1916" s="2">
        <v>2236486</v>
      </c>
      <c r="I1916" s="2">
        <v>10013543560</v>
      </c>
      <c r="J1916" s="2" t="s">
        <v>1320</v>
      </c>
      <c r="K1916" s="10">
        <v>127572</v>
      </c>
      <c r="L1916" s="10">
        <v>15172</v>
      </c>
      <c r="M1916" s="10">
        <v>112400</v>
      </c>
      <c r="N1916" s="10">
        <v>3219</v>
      </c>
      <c r="O1916" s="10">
        <f>Table1[[#This Row],[NET Amount]]-Table1[[#This Row],[Paid Amount]]</f>
        <v>109181</v>
      </c>
      <c r="P1916" s="2" t="s">
        <v>23</v>
      </c>
      <c r="Q1916" s="2" t="s">
        <v>42</v>
      </c>
      <c r="R1916" s="16">
        <f>(Table1[[#This Row],[NET Amount]]-Table1[[#This Row],[Total Outstanding Amount]])/Table1[[#This Row],[NET Amount]]</f>
        <v>2.863879003558719E-2</v>
      </c>
      <c r="S1916" s="2" t="s">
        <v>20</v>
      </c>
    </row>
    <row r="1917" spans="1:19" x14ac:dyDescent="0.3">
      <c r="A1917" s="4">
        <v>1915</v>
      </c>
      <c r="B1917" s="2" t="s">
        <v>166</v>
      </c>
      <c r="C1917" s="3">
        <v>44862</v>
      </c>
      <c r="D1917" s="3" t="str">
        <f>TEXT(Table1[[#This Row],[Admission Date]],"MMMM")</f>
        <v>October</v>
      </c>
      <c r="E1917" s="3">
        <v>44862</v>
      </c>
      <c r="F1917" s="3">
        <v>44862</v>
      </c>
      <c r="G1917" s="2">
        <v>22028953</v>
      </c>
      <c r="H1917" s="2">
        <v>2237806</v>
      </c>
      <c r="I1917" s="2">
        <v>10013471499</v>
      </c>
      <c r="J1917" s="2" t="s">
        <v>729</v>
      </c>
      <c r="K1917" s="10">
        <v>2200</v>
      </c>
      <c r="L1917" s="10">
        <v>0</v>
      </c>
      <c r="M1917" s="10">
        <v>2200</v>
      </c>
      <c r="N1917" s="10">
        <v>220</v>
      </c>
      <c r="O1917" s="10">
        <f>Table1[[#This Row],[NET Amount]]-Table1[[#This Row],[Paid Amount]]</f>
        <v>1980</v>
      </c>
      <c r="P1917" s="2" t="s">
        <v>23</v>
      </c>
      <c r="Q1917" s="2" t="s">
        <v>147</v>
      </c>
      <c r="R1917" s="16">
        <f>(Table1[[#This Row],[NET Amount]]-Table1[[#This Row],[Total Outstanding Amount]])/Table1[[#This Row],[NET Amount]]</f>
        <v>0.1</v>
      </c>
      <c r="S1917" s="2" t="s">
        <v>97</v>
      </c>
    </row>
    <row r="1918" spans="1:19" x14ac:dyDescent="0.3">
      <c r="A1918" s="4">
        <v>1916</v>
      </c>
      <c r="B1918" s="2" t="s">
        <v>149</v>
      </c>
      <c r="C1918" s="3">
        <v>44838</v>
      </c>
      <c r="D1918" s="3" t="str">
        <f>TEXT(Table1[[#This Row],[Admission Date]],"MMMM")</f>
        <v>October</v>
      </c>
      <c r="E1918" s="3">
        <v>44839</v>
      </c>
      <c r="F1918" s="3">
        <v>44839</v>
      </c>
      <c r="G1918" s="2">
        <v>22025762</v>
      </c>
      <c r="H1918" s="2">
        <v>2234598</v>
      </c>
      <c r="I1918" s="2">
        <v>10013541575</v>
      </c>
      <c r="J1918" s="2" t="s">
        <v>1321</v>
      </c>
      <c r="K1918" s="10">
        <v>80034</v>
      </c>
      <c r="L1918" s="10">
        <v>0</v>
      </c>
      <c r="M1918" s="10">
        <v>80034</v>
      </c>
      <c r="N1918" s="10">
        <v>3956</v>
      </c>
      <c r="O1918" s="10">
        <f>Table1[[#This Row],[NET Amount]]-Table1[[#This Row],[Paid Amount]]</f>
        <v>76078</v>
      </c>
      <c r="P1918" s="2" t="s">
        <v>23</v>
      </c>
      <c r="Q1918" s="2" t="s">
        <v>19</v>
      </c>
      <c r="R1918" s="16">
        <f>(Table1[[#This Row],[NET Amount]]-Table1[[#This Row],[Total Outstanding Amount]])/Table1[[#This Row],[NET Amount]]</f>
        <v>4.9428992678111801E-2</v>
      </c>
      <c r="S1918" s="2" t="s">
        <v>55</v>
      </c>
    </row>
    <row r="1919" spans="1:19" x14ac:dyDescent="0.3">
      <c r="A1919" s="4">
        <v>1917</v>
      </c>
      <c r="B1919" s="2" t="s">
        <v>2247</v>
      </c>
      <c r="C1919" s="3">
        <v>44842</v>
      </c>
      <c r="D1919" s="3" t="str">
        <f>TEXT(Table1[[#This Row],[Admission Date]],"MMMM")</f>
        <v>October</v>
      </c>
      <c r="E1919" s="3">
        <v>44842</v>
      </c>
      <c r="F1919" s="3">
        <v>44842</v>
      </c>
      <c r="G1919" s="2">
        <v>22026070</v>
      </c>
      <c r="H1919" s="2">
        <v>2235127</v>
      </c>
      <c r="I1919" s="2">
        <v>1001561182</v>
      </c>
      <c r="J1919" s="2" t="s">
        <v>222</v>
      </c>
      <c r="K1919" s="10">
        <v>2000</v>
      </c>
      <c r="L1919" s="10">
        <v>0</v>
      </c>
      <c r="M1919" s="10">
        <v>2000</v>
      </c>
      <c r="N1919" s="10">
        <v>300</v>
      </c>
      <c r="O1919" s="10">
        <f>Table1[[#This Row],[NET Amount]]-Table1[[#This Row],[Paid Amount]]</f>
        <v>1700</v>
      </c>
      <c r="P1919" s="2" t="s">
        <v>23</v>
      </c>
      <c r="Q1919" s="2" t="s">
        <v>54</v>
      </c>
      <c r="R1919" s="16">
        <f>(Table1[[#This Row],[NET Amount]]-Table1[[#This Row],[Total Outstanding Amount]])/Table1[[#This Row],[NET Amount]]</f>
        <v>0.15</v>
      </c>
      <c r="S1919" s="2" t="s">
        <v>97</v>
      </c>
    </row>
    <row r="1920" spans="1:19" x14ac:dyDescent="0.3">
      <c r="A1920" s="4">
        <v>1918</v>
      </c>
      <c r="B1920" s="2" t="s">
        <v>152</v>
      </c>
      <c r="C1920" s="3">
        <v>44841</v>
      </c>
      <c r="D1920" s="3" t="str">
        <f>TEXT(Table1[[#This Row],[Admission Date]],"MMMM")</f>
        <v>October</v>
      </c>
      <c r="E1920" s="3">
        <v>44842</v>
      </c>
      <c r="F1920" s="3">
        <v>44842</v>
      </c>
      <c r="G1920" s="2">
        <v>22026122</v>
      </c>
      <c r="H1920" s="2">
        <v>2235020</v>
      </c>
      <c r="I1920" s="2">
        <v>1001803071</v>
      </c>
      <c r="J1920" s="2" t="s">
        <v>446</v>
      </c>
      <c r="K1920" s="10">
        <v>169257</v>
      </c>
      <c r="L1920" s="10">
        <v>0</v>
      </c>
      <c r="M1920" s="10">
        <v>169257</v>
      </c>
      <c r="N1920" s="10">
        <v>24420</v>
      </c>
      <c r="O1920" s="10">
        <f>Table1[[#This Row],[NET Amount]]-Table1[[#This Row],[Paid Amount]]</f>
        <v>144837</v>
      </c>
      <c r="P1920" s="2" t="s">
        <v>23</v>
      </c>
      <c r="Q1920" s="2" t="s">
        <v>24</v>
      </c>
      <c r="R1920" s="16">
        <f>(Table1[[#This Row],[NET Amount]]-Table1[[#This Row],[Total Outstanding Amount]])/Table1[[#This Row],[NET Amount]]</f>
        <v>0.14427763696627022</v>
      </c>
      <c r="S1920" s="2" t="s">
        <v>39</v>
      </c>
    </row>
    <row r="1921" spans="1:19" x14ac:dyDescent="0.3">
      <c r="A1921" s="4">
        <v>1919</v>
      </c>
      <c r="B1921" s="2" t="s">
        <v>25</v>
      </c>
      <c r="C1921" s="3">
        <v>44859</v>
      </c>
      <c r="D1921" s="3" t="str">
        <f>TEXT(Table1[[#This Row],[Admission Date]],"MMMM")</f>
        <v>October</v>
      </c>
      <c r="E1921" s="3">
        <v>44859</v>
      </c>
      <c r="F1921" s="3">
        <v>44859</v>
      </c>
      <c r="G1921" s="2">
        <v>22028525</v>
      </c>
      <c r="H1921" s="2">
        <v>2237337</v>
      </c>
      <c r="I1921" s="2">
        <v>10013372212</v>
      </c>
      <c r="J1921" s="2" t="s">
        <v>338</v>
      </c>
      <c r="K1921" s="10">
        <v>4990</v>
      </c>
      <c r="L1921" s="10">
        <v>416</v>
      </c>
      <c r="M1921" s="10">
        <v>4574</v>
      </c>
      <c r="N1921" s="10">
        <v>4574</v>
      </c>
      <c r="O1921" s="10">
        <f>Table1[[#This Row],[NET Amount]]-Table1[[#This Row],[Paid Amount]]</f>
        <v>0</v>
      </c>
      <c r="P1921" s="2" t="s">
        <v>18</v>
      </c>
      <c r="Q1921" s="2" t="s">
        <v>54</v>
      </c>
      <c r="R1921" s="16">
        <f>(Table1[[#This Row],[NET Amount]]-Table1[[#This Row],[Total Outstanding Amount]])/Table1[[#This Row],[NET Amount]]</f>
        <v>1</v>
      </c>
      <c r="S1921" s="2" t="s">
        <v>97</v>
      </c>
    </row>
    <row r="1922" spans="1:19" x14ac:dyDescent="0.3">
      <c r="A1922" s="4">
        <v>1920</v>
      </c>
      <c r="B1922" s="2" t="s">
        <v>2244</v>
      </c>
      <c r="C1922" s="3">
        <v>44853</v>
      </c>
      <c r="D1922" s="3" t="str">
        <f>TEXT(Table1[[#This Row],[Admission Date]],"MMMM")</f>
        <v>October</v>
      </c>
      <c r="E1922" s="3">
        <v>44853</v>
      </c>
      <c r="F1922" s="3">
        <v>44853</v>
      </c>
      <c r="G1922" s="2">
        <v>22027779</v>
      </c>
      <c r="H1922" s="2">
        <v>2236671</v>
      </c>
      <c r="I1922" s="2">
        <v>1001758739</v>
      </c>
      <c r="J1922" s="2" t="s">
        <v>233</v>
      </c>
      <c r="K1922" s="10">
        <v>2560</v>
      </c>
      <c r="L1922" s="10">
        <v>0</v>
      </c>
      <c r="M1922" s="10">
        <v>2560</v>
      </c>
      <c r="N1922" s="10">
        <v>2560</v>
      </c>
      <c r="O1922" s="10">
        <f>Table1[[#This Row],[NET Amount]]-Table1[[#This Row],[Paid Amount]]</f>
        <v>0</v>
      </c>
      <c r="P1922" s="2" t="s">
        <v>18</v>
      </c>
      <c r="Q1922" s="2" t="s">
        <v>54</v>
      </c>
      <c r="R1922" s="16">
        <f>(Table1[[#This Row],[NET Amount]]-Table1[[#This Row],[Total Outstanding Amount]])/Table1[[#This Row],[NET Amount]]</f>
        <v>1</v>
      </c>
      <c r="S1922" s="2" t="s">
        <v>97</v>
      </c>
    </row>
    <row r="1923" spans="1:19" x14ac:dyDescent="0.3">
      <c r="A1923" s="4">
        <v>1921</v>
      </c>
      <c r="B1923" s="2" t="s">
        <v>25</v>
      </c>
      <c r="C1923" s="3">
        <v>44854</v>
      </c>
      <c r="D1923" s="3" t="str">
        <f>TEXT(Table1[[#This Row],[Admission Date]],"MMMM")</f>
        <v>October</v>
      </c>
      <c r="E1923" s="3">
        <v>44854</v>
      </c>
      <c r="F1923" s="3">
        <v>44854</v>
      </c>
      <c r="G1923" s="2">
        <v>22027943</v>
      </c>
      <c r="H1923" s="2">
        <v>2236807</v>
      </c>
      <c r="I1923" s="2">
        <v>10013541901</v>
      </c>
      <c r="J1923" s="2" t="s">
        <v>556</v>
      </c>
      <c r="K1923" s="10">
        <v>2844</v>
      </c>
      <c r="L1923" s="10">
        <v>286</v>
      </c>
      <c r="M1923" s="10">
        <v>2558</v>
      </c>
      <c r="N1923" s="10">
        <v>2558</v>
      </c>
      <c r="O1923" s="10">
        <f>Table1[[#This Row],[NET Amount]]-Table1[[#This Row],[Paid Amount]]</f>
        <v>0</v>
      </c>
      <c r="P1923" s="2" t="s">
        <v>18</v>
      </c>
      <c r="Q1923" s="2" t="s">
        <v>54</v>
      </c>
      <c r="R1923" s="16">
        <f>(Table1[[#This Row],[NET Amount]]-Table1[[#This Row],[Total Outstanding Amount]])/Table1[[#This Row],[NET Amount]]</f>
        <v>1</v>
      </c>
      <c r="S1923" s="2" t="s">
        <v>97</v>
      </c>
    </row>
    <row r="1924" spans="1:19" x14ac:dyDescent="0.3">
      <c r="A1924" s="4">
        <v>1922</v>
      </c>
      <c r="B1924" s="2" t="s">
        <v>584</v>
      </c>
      <c r="C1924" s="3">
        <v>44851</v>
      </c>
      <c r="D1924" s="3" t="str">
        <f>TEXT(Table1[[#This Row],[Admission Date]],"MMMM")</f>
        <v>October</v>
      </c>
      <c r="E1924" s="3">
        <v>44851</v>
      </c>
      <c r="F1924" s="3">
        <v>44851</v>
      </c>
      <c r="G1924" s="2">
        <v>22027445</v>
      </c>
      <c r="H1924" s="2">
        <v>2236325</v>
      </c>
      <c r="I1924" s="2">
        <v>10013376566</v>
      </c>
      <c r="J1924" s="2" t="s">
        <v>585</v>
      </c>
      <c r="K1924" s="10">
        <v>2200</v>
      </c>
      <c r="L1924" s="10">
        <v>0</v>
      </c>
      <c r="M1924" s="10">
        <v>2200</v>
      </c>
      <c r="N1924" s="10">
        <v>440</v>
      </c>
      <c r="O1924" s="10">
        <f>Table1[[#This Row],[NET Amount]]-Table1[[#This Row],[Paid Amount]]</f>
        <v>1760</v>
      </c>
      <c r="P1924" s="2" t="s">
        <v>23</v>
      </c>
      <c r="Q1924" s="2" t="s">
        <v>147</v>
      </c>
      <c r="R1924" s="16">
        <f>(Table1[[#This Row],[NET Amount]]-Table1[[#This Row],[Total Outstanding Amount]])/Table1[[#This Row],[NET Amount]]</f>
        <v>0.2</v>
      </c>
      <c r="S1924" s="2" t="s">
        <v>97</v>
      </c>
    </row>
    <row r="1925" spans="1:19" x14ac:dyDescent="0.3">
      <c r="A1925" s="4">
        <v>1923</v>
      </c>
      <c r="B1925" s="2" t="s">
        <v>259</v>
      </c>
      <c r="C1925" s="3">
        <v>44834</v>
      </c>
      <c r="D1925" s="3" t="str">
        <f>TEXT(Table1[[#This Row],[Admission Date]],"MMMM")</f>
        <v>September</v>
      </c>
      <c r="E1925" s="3">
        <v>44835</v>
      </c>
      <c r="F1925" s="3">
        <v>44835</v>
      </c>
      <c r="G1925" s="2">
        <v>22025219</v>
      </c>
      <c r="H1925" s="2">
        <v>2234010</v>
      </c>
      <c r="I1925" s="2">
        <v>10013537777</v>
      </c>
      <c r="J1925" s="2" t="s">
        <v>1322</v>
      </c>
      <c r="K1925" s="10">
        <v>77025</v>
      </c>
      <c r="L1925" s="10">
        <v>0</v>
      </c>
      <c r="M1925" s="10">
        <v>77025</v>
      </c>
      <c r="N1925" s="10">
        <v>1500</v>
      </c>
      <c r="O1925" s="10">
        <f>Table1[[#This Row],[NET Amount]]-Table1[[#This Row],[Paid Amount]]</f>
        <v>75525</v>
      </c>
      <c r="P1925" s="2" t="s">
        <v>23</v>
      </c>
      <c r="Q1925" s="2" t="s">
        <v>24</v>
      </c>
      <c r="R1925" s="16">
        <f>(Table1[[#This Row],[NET Amount]]-Table1[[#This Row],[Total Outstanding Amount]])/Table1[[#This Row],[NET Amount]]</f>
        <v>1.9474196689386564E-2</v>
      </c>
      <c r="S1925" s="2" t="s">
        <v>138</v>
      </c>
    </row>
    <row r="1926" spans="1:19" x14ac:dyDescent="0.3">
      <c r="A1926" s="4">
        <v>1924</v>
      </c>
      <c r="B1926" s="2" t="s">
        <v>282</v>
      </c>
      <c r="C1926" s="3">
        <v>44853</v>
      </c>
      <c r="D1926" s="3" t="str">
        <f>TEXT(Table1[[#This Row],[Admission Date]],"MMMM")</f>
        <v>October</v>
      </c>
      <c r="E1926" s="3">
        <v>44854</v>
      </c>
      <c r="F1926" s="3">
        <v>44854</v>
      </c>
      <c r="G1926" s="2">
        <v>22027872</v>
      </c>
      <c r="H1926" s="2">
        <v>2236641</v>
      </c>
      <c r="I1926" s="2">
        <v>10013527371</v>
      </c>
      <c r="J1926" s="2" t="s">
        <v>438</v>
      </c>
      <c r="K1926" s="10">
        <v>8767</v>
      </c>
      <c r="L1926" s="10">
        <v>8767</v>
      </c>
      <c r="M1926" s="10">
        <v>0</v>
      </c>
      <c r="N1926" s="10">
        <v>0</v>
      </c>
      <c r="O1926" s="10">
        <f>Table1[[#This Row],[NET Amount]]-Table1[[#This Row],[Paid Amount]]</f>
        <v>0</v>
      </c>
      <c r="P1926" s="2" t="s">
        <v>18</v>
      </c>
      <c r="Q1926" s="2" t="s">
        <v>24</v>
      </c>
      <c r="R1926" s="16" t="e">
        <f>(Table1[[#This Row],[NET Amount]]-Table1[[#This Row],[Total Outstanding Amount]])/Table1[[#This Row],[NET Amount]]</f>
        <v>#DIV/0!</v>
      </c>
      <c r="S1926" s="2" t="s">
        <v>55</v>
      </c>
    </row>
    <row r="1927" spans="1:19" x14ac:dyDescent="0.3">
      <c r="A1927" s="4">
        <v>1925</v>
      </c>
      <c r="B1927" s="2" t="s">
        <v>2243</v>
      </c>
      <c r="C1927" s="3">
        <v>44857</v>
      </c>
      <c r="D1927" s="3" t="str">
        <f>TEXT(Table1[[#This Row],[Admission Date]],"MMMM")</f>
        <v>October</v>
      </c>
      <c r="E1927" s="3">
        <v>44857</v>
      </c>
      <c r="F1927" s="3">
        <v>44857</v>
      </c>
      <c r="G1927" s="2">
        <v>22028387</v>
      </c>
      <c r="H1927" s="2">
        <v>2237158</v>
      </c>
      <c r="I1927" s="2">
        <v>1000915528</v>
      </c>
      <c r="J1927" s="2" t="s">
        <v>187</v>
      </c>
      <c r="K1927" s="10">
        <v>3488</v>
      </c>
      <c r="L1927" s="10">
        <v>3488</v>
      </c>
      <c r="M1927" s="10">
        <v>0</v>
      </c>
      <c r="N1927" s="10">
        <v>0</v>
      </c>
      <c r="O1927" s="10">
        <f>Table1[[#This Row],[NET Amount]]-Table1[[#This Row],[Paid Amount]]</f>
        <v>0</v>
      </c>
      <c r="P1927" s="2" t="s">
        <v>18</v>
      </c>
      <c r="Q1927" s="2" t="s">
        <v>54</v>
      </c>
      <c r="R1927" s="16" t="e">
        <f>(Table1[[#This Row],[NET Amount]]-Table1[[#This Row],[Total Outstanding Amount]])/Table1[[#This Row],[NET Amount]]</f>
        <v>#DIV/0!</v>
      </c>
      <c r="S1927" s="2" t="s">
        <v>97</v>
      </c>
    </row>
    <row r="1928" spans="1:19" x14ac:dyDescent="0.3">
      <c r="A1928" s="4">
        <v>1926</v>
      </c>
      <c r="B1928" s="2" t="s">
        <v>75</v>
      </c>
      <c r="C1928" s="3">
        <v>44850</v>
      </c>
      <c r="D1928" s="3" t="str">
        <f>TEXT(Table1[[#This Row],[Admission Date]],"MMMM")</f>
        <v>October</v>
      </c>
      <c r="E1928" s="3">
        <v>44853</v>
      </c>
      <c r="F1928" s="3">
        <v>44853</v>
      </c>
      <c r="G1928" s="2">
        <v>22027675</v>
      </c>
      <c r="H1928" s="2">
        <v>2236261</v>
      </c>
      <c r="I1928" s="2">
        <v>10013472917</v>
      </c>
      <c r="J1928" s="2" t="s">
        <v>1323</v>
      </c>
      <c r="K1928" s="10">
        <v>70830</v>
      </c>
      <c r="L1928" s="10">
        <v>0</v>
      </c>
      <c r="M1928" s="10">
        <v>70830</v>
      </c>
      <c r="N1928" s="10">
        <v>5828</v>
      </c>
      <c r="O1928" s="10">
        <f>Table1[[#This Row],[NET Amount]]-Table1[[#This Row],[Paid Amount]]</f>
        <v>65002</v>
      </c>
      <c r="P1928" s="2" t="s">
        <v>23</v>
      </c>
      <c r="Q1928" s="2" t="s">
        <v>24</v>
      </c>
      <c r="R1928" s="16">
        <f>(Table1[[#This Row],[NET Amount]]-Table1[[#This Row],[Total Outstanding Amount]])/Table1[[#This Row],[NET Amount]]</f>
        <v>8.2281519130312009E-2</v>
      </c>
      <c r="S1928" s="2" t="s">
        <v>20</v>
      </c>
    </row>
    <row r="1929" spans="1:19" x14ac:dyDescent="0.3">
      <c r="A1929" s="4">
        <v>1927</v>
      </c>
      <c r="B1929" s="2" t="s">
        <v>28</v>
      </c>
      <c r="C1929" s="3">
        <v>44835</v>
      </c>
      <c r="D1929" s="3" t="str">
        <f>TEXT(Table1[[#This Row],[Admission Date]],"MMMM")</f>
        <v>October</v>
      </c>
      <c r="E1929" s="3">
        <v>44836</v>
      </c>
      <c r="F1929" s="3">
        <v>44836</v>
      </c>
      <c r="G1929" s="2">
        <v>22025293</v>
      </c>
      <c r="H1929" s="2">
        <v>2234146</v>
      </c>
      <c r="I1929" s="2">
        <v>1001801780</v>
      </c>
      <c r="J1929" s="2" t="s">
        <v>1324</v>
      </c>
      <c r="K1929" s="10">
        <v>117938</v>
      </c>
      <c r="L1929" s="10">
        <v>11537</v>
      </c>
      <c r="M1929" s="10">
        <v>106401</v>
      </c>
      <c r="N1929" s="10">
        <v>1937</v>
      </c>
      <c r="O1929" s="10">
        <f>Table1[[#This Row],[NET Amount]]-Table1[[#This Row],[Paid Amount]]</f>
        <v>104464</v>
      </c>
      <c r="P1929" s="2" t="s">
        <v>23</v>
      </c>
      <c r="Q1929" s="2" t="s">
        <v>30</v>
      </c>
      <c r="R1929" s="16">
        <f>(Table1[[#This Row],[NET Amount]]-Table1[[#This Row],[Total Outstanding Amount]])/Table1[[#This Row],[NET Amount]]</f>
        <v>1.8204716121089086E-2</v>
      </c>
      <c r="S1929" s="2" t="s">
        <v>201</v>
      </c>
    </row>
    <row r="1930" spans="1:19" x14ac:dyDescent="0.3">
      <c r="A1930" s="4">
        <v>1928</v>
      </c>
      <c r="B1930" s="2" t="s">
        <v>75</v>
      </c>
      <c r="C1930" s="3">
        <v>44825</v>
      </c>
      <c r="D1930" s="3" t="str">
        <f>TEXT(Table1[[#This Row],[Admission Date]],"MMMM")</f>
        <v>September</v>
      </c>
      <c r="E1930" s="3">
        <v>44836</v>
      </c>
      <c r="F1930" s="3">
        <v>44836</v>
      </c>
      <c r="G1930" s="2">
        <v>22025303</v>
      </c>
      <c r="H1930" s="2">
        <v>2232822</v>
      </c>
      <c r="I1930" s="2">
        <v>10013539657</v>
      </c>
      <c r="J1930" s="2" t="s">
        <v>1325</v>
      </c>
      <c r="K1930" s="10">
        <v>165155</v>
      </c>
      <c r="L1930" s="10">
        <v>0</v>
      </c>
      <c r="M1930" s="10">
        <v>165155</v>
      </c>
      <c r="N1930" s="10">
        <v>4224</v>
      </c>
      <c r="O1930" s="10">
        <f>Table1[[#This Row],[NET Amount]]-Table1[[#This Row],[Paid Amount]]</f>
        <v>160931</v>
      </c>
      <c r="P1930" s="2" t="s">
        <v>23</v>
      </c>
      <c r="Q1930" s="2" t="s">
        <v>19</v>
      </c>
      <c r="R1930" s="16">
        <f>(Table1[[#This Row],[NET Amount]]-Table1[[#This Row],[Total Outstanding Amount]])/Table1[[#This Row],[NET Amount]]</f>
        <v>2.5575974084950499E-2</v>
      </c>
      <c r="S1930" s="2" t="s">
        <v>20</v>
      </c>
    </row>
    <row r="1931" spans="1:19" x14ac:dyDescent="0.3">
      <c r="A1931" s="4">
        <v>1929</v>
      </c>
      <c r="B1931" s="2" t="s">
        <v>2291</v>
      </c>
      <c r="C1931" s="3">
        <v>44846</v>
      </c>
      <c r="D1931" s="3" t="str">
        <f>TEXT(Table1[[#This Row],[Admission Date]],"MMMM")</f>
        <v>October</v>
      </c>
      <c r="E1931" s="3">
        <v>44851</v>
      </c>
      <c r="F1931" s="3">
        <v>44851</v>
      </c>
      <c r="G1931" s="2">
        <v>22027435</v>
      </c>
      <c r="H1931" s="2">
        <v>2235723</v>
      </c>
      <c r="I1931" s="2">
        <v>10013409586</v>
      </c>
      <c r="J1931" s="2" t="s">
        <v>1326</v>
      </c>
      <c r="K1931" s="10">
        <v>169939</v>
      </c>
      <c r="L1931" s="10">
        <v>169939</v>
      </c>
      <c r="M1931" s="10">
        <v>0</v>
      </c>
      <c r="N1931" s="10">
        <v>0</v>
      </c>
      <c r="O1931" s="10">
        <f>Table1[[#This Row],[NET Amount]]-Table1[[#This Row],[Paid Amount]]</f>
        <v>0</v>
      </c>
      <c r="P1931" s="2" t="s">
        <v>18</v>
      </c>
      <c r="Q1931" s="2" t="s">
        <v>24</v>
      </c>
      <c r="R1931" s="16" t="e">
        <f>(Table1[[#This Row],[NET Amount]]-Table1[[#This Row],[Total Outstanding Amount]])/Table1[[#This Row],[NET Amount]]</f>
        <v>#DIV/0!</v>
      </c>
      <c r="S1931" s="2" t="s">
        <v>20</v>
      </c>
    </row>
    <row r="1932" spans="1:19" x14ac:dyDescent="0.3">
      <c r="A1932" s="4">
        <v>1930</v>
      </c>
      <c r="B1932" s="2" t="s">
        <v>380</v>
      </c>
      <c r="C1932" s="3">
        <v>44856</v>
      </c>
      <c r="D1932" s="3" t="str">
        <f>TEXT(Table1[[#This Row],[Admission Date]],"MMMM")</f>
        <v>October</v>
      </c>
      <c r="E1932" s="3">
        <v>44856</v>
      </c>
      <c r="F1932" s="3">
        <v>44856</v>
      </c>
      <c r="G1932" s="2">
        <v>22028288</v>
      </c>
      <c r="H1932" s="2">
        <v>2237096</v>
      </c>
      <c r="I1932" s="2">
        <v>1001188488</v>
      </c>
      <c r="J1932" s="2" t="s">
        <v>297</v>
      </c>
      <c r="K1932" s="10">
        <v>1274</v>
      </c>
      <c r="L1932" s="10">
        <v>0</v>
      </c>
      <c r="M1932" s="10">
        <v>1274</v>
      </c>
      <c r="N1932" s="10">
        <v>0</v>
      </c>
      <c r="O1932" s="10">
        <f>Table1[[#This Row],[NET Amount]]-Table1[[#This Row],[Paid Amount]]</f>
        <v>1274</v>
      </c>
      <c r="P1932" s="2" t="s">
        <v>23</v>
      </c>
      <c r="Q1932" s="2" t="s">
        <v>54</v>
      </c>
      <c r="R1932" s="16">
        <f>(Table1[[#This Row],[NET Amount]]-Table1[[#This Row],[Total Outstanding Amount]])/Table1[[#This Row],[NET Amount]]</f>
        <v>0</v>
      </c>
      <c r="S1932" s="2" t="s">
        <v>97</v>
      </c>
    </row>
    <row r="1933" spans="1:19" x14ac:dyDescent="0.3">
      <c r="A1933" s="4">
        <v>1931</v>
      </c>
      <c r="B1933" s="2" t="s">
        <v>2263</v>
      </c>
      <c r="C1933" s="3">
        <v>44837</v>
      </c>
      <c r="D1933" s="3" t="str">
        <f>TEXT(Table1[[#This Row],[Admission Date]],"MMMM")</f>
        <v>October</v>
      </c>
      <c r="E1933" s="3">
        <v>44837</v>
      </c>
      <c r="F1933" s="3">
        <v>44837</v>
      </c>
      <c r="G1933" s="2">
        <v>22025430</v>
      </c>
      <c r="H1933" s="2">
        <v>2234423</v>
      </c>
      <c r="I1933" s="2">
        <v>1001647517</v>
      </c>
      <c r="J1933" s="2" t="s">
        <v>802</v>
      </c>
      <c r="K1933" s="10">
        <v>1274</v>
      </c>
      <c r="L1933" s="10">
        <v>0</v>
      </c>
      <c r="M1933" s="10">
        <v>1274</v>
      </c>
      <c r="N1933" s="10">
        <v>0</v>
      </c>
      <c r="O1933" s="10">
        <f>Table1[[#This Row],[NET Amount]]-Table1[[#This Row],[Paid Amount]]</f>
        <v>1274</v>
      </c>
      <c r="P1933" s="2" t="s">
        <v>23</v>
      </c>
      <c r="Q1933" s="2" t="s">
        <v>54</v>
      </c>
      <c r="R1933" s="16">
        <f>(Table1[[#This Row],[NET Amount]]-Table1[[#This Row],[Total Outstanding Amount]])/Table1[[#This Row],[NET Amount]]</f>
        <v>0</v>
      </c>
      <c r="S1933" s="2" t="s">
        <v>97</v>
      </c>
    </row>
    <row r="1934" spans="1:19" x14ac:dyDescent="0.3">
      <c r="A1934" s="4">
        <v>1932</v>
      </c>
      <c r="B1934" s="2" t="s">
        <v>2263</v>
      </c>
      <c r="C1934" s="3">
        <v>44855</v>
      </c>
      <c r="D1934" s="3" t="str">
        <f>TEXT(Table1[[#This Row],[Admission Date]],"MMMM")</f>
        <v>October</v>
      </c>
      <c r="E1934" s="3">
        <v>44855</v>
      </c>
      <c r="F1934" s="3">
        <v>44855</v>
      </c>
      <c r="G1934" s="2">
        <v>22027972</v>
      </c>
      <c r="H1934" s="2">
        <v>2236872</v>
      </c>
      <c r="I1934" s="2">
        <v>1001751950</v>
      </c>
      <c r="J1934" s="2" t="s">
        <v>786</v>
      </c>
      <c r="K1934" s="10">
        <v>1274</v>
      </c>
      <c r="L1934" s="10">
        <v>0</v>
      </c>
      <c r="M1934" s="10">
        <v>1274</v>
      </c>
      <c r="N1934" s="10">
        <v>0</v>
      </c>
      <c r="O1934" s="10">
        <f>Table1[[#This Row],[NET Amount]]-Table1[[#This Row],[Paid Amount]]</f>
        <v>1274</v>
      </c>
      <c r="P1934" s="2" t="s">
        <v>23</v>
      </c>
      <c r="Q1934" s="2" t="s">
        <v>54</v>
      </c>
      <c r="R1934" s="16">
        <f>(Table1[[#This Row],[NET Amount]]-Table1[[#This Row],[Total Outstanding Amount]])/Table1[[#This Row],[NET Amount]]</f>
        <v>0</v>
      </c>
      <c r="S1934" s="2" t="s">
        <v>97</v>
      </c>
    </row>
    <row r="1935" spans="1:19" x14ac:dyDescent="0.3">
      <c r="A1935" s="4">
        <v>1933</v>
      </c>
      <c r="B1935" s="2" t="s">
        <v>178</v>
      </c>
      <c r="C1935" s="3">
        <v>44842</v>
      </c>
      <c r="D1935" s="3" t="str">
        <f>TEXT(Table1[[#This Row],[Admission Date]],"MMMM")</f>
        <v>October</v>
      </c>
      <c r="E1935" s="3">
        <v>44842</v>
      </c>
      <c r="F1935" s="3">
        <v>44842</v>
      </c>
      <c r="G1935" s="2">
        <v>22026221</v>
      </c>
      <c r="H1935" s="2">
        <v>2235215</v>
      </c>
      <c r="I1935" s="2">
        <v>10013519562</v>
      </c>
      <c r="J1935" s="2" t="s">
        <v>479</v>
      </c>
      <c r="K1935" s="10">
        <v>2200</v>
      </c>
      <c r="L1935" s="10">
        <v>0</v>
      </c>
      <c r="M1935" s="10">
        <v>2200</v>
      </c>
      <c r="N1935" s="10">
        <v>0</v>
      </c>
      <c r="O1935" s="10">
        <f>Table1[[#This Row],[NET Amount]]-Table1[[#This Row],[Paid Amount]]</f>
        <v>2200</v>
      </c>
      <c r="P1935" s="2" t="s">
        <v>23</v>
      </c>
      <c r="Q1935" s="2" t="s">
        <v>147</v>
      </c>
      <c r="R1935" s="16">
        <f>(Table1[[#This Row],[NET Amount]]-Table1[[#This Row],[Total Outstanding Amount]])/Table1[[#This Row],[NET Amount]]</f>
        <v>0</v>
      </c>
      <c r="S1935" s="2" t="s">
        <v>97</v>
      </c>
    </row>
    <row r="1936" spans="1:19" x14ac:dyDescent="0.3">
      <c r="A1936" s="4">
        <v>1934</v>
      </c>
      <c r="B1936" s="2" t="s">
        <v>2253</v>
      </c>
      <c r="C1936" s="3">
        <v>44839</v>
      </c>
      <c r="D1936" s="3" t="str">
        <f>TEXT(Table1[[#This Row],[Admission Date]],"MMMM")</f>
        <v>October</v>
      </c>
      <c r="E1936" s="3">
        <v>44839</v>
      </c>
      <c r="F1936" s="3">
        <v>44839</v>
      </c>
      <c r="G1936" s="2">
        <v>22025652</v>
      </c>
      <c r="H1936" s="2">
        <v>2234695</v>
      </c>
      <c r="I1936" s="2">
        <v>1001749543</v>
      </c>
      <c r="J1936" s="2" t="s">
        <v>810</v>
      </c>
      <c r="K1936" s="10">
        <v>1610</v>
      </c>
      <c r="L1936" s="10">
        <v>0</v>
      </c>
      <c r="M1936" s="10">
        <v>1610</v>
      </c>
      <c r="N1936" s="10">
        <v>0</v>
      </c>
      <c r="O1936" s="10">
        <f>Table1[[#This Row],[NET Amount]]-Table1[[#This Row],[Paid Amount]]</f>
        <v>1610</v>
      </c>
      <c r="P1936" s="2" t="s">
        <v>23</v>
      </c>
      <c r="Q1936" s="2" t="s">
        <v>54</v>
      </c>
      <c r="R1936" s="16">
        <f>(Table1[[#This Row],[NET Amount]]-Table1[[#This Row],[Total Outstanding Amount]])/Table1[[#This Row],[NET Amount]]</f>
        <v>0</v>
      </c>
      <c r="S1936" s="2" t="s">
        <v>97</v>
      </c>
    </row>
    <row r="1937" spans="1:19" x14ac:dyDescent="0.3">
      <c r="A1937" s="4">
        <v>1935</v>
      </c>
      <c r="B1937" s="2" t="s">
        <v>2253</v>
      </c>
      <c r="C1937" s="3">
        <v>44858</v>
      </c>
      <c r="D1937" s="3" t="str">
        <f>TEXT(Table1[[#This Row],[Admission Date]],"MMMM")</f>
        <v>October</v>
      </c>
      <c r="E1937" s="3">
        <v>44858</v>
      </c>
      <c r="F1937" s="3">
        <v>44858</v>
      </c>
      <c r="G1937" s="2">
        <v>22028445</v>
      </c>
      <c r="H1937" s="2">
        <v>2237230</v>
      </c>
      <c r="I1937" s="2">
        <v>1001772963</v>
      </c>
      <c r="J1937" s="2" t="s">
        <v>569</v>
      </c>
      <c r="K1937" s="10">
        <v>1610</v>
      </c>
      <c r="L1937" s="10">
        <v>0</v>
      </c>
      <c r="M1937" s="10">
        <v>1610</v>
      </c>
      <c r="N1937" s="10">
        <v>0</v>
      </c>
      <c r="O1937" s="10">
        <f>Table1[[#This Row],[NET Amount]]-Table1[[#This Row],[Paid Amount]]</f>
        <v>1610</v>
      </c>
      <c r="P1937" s="2" t="s">
        <v>23</v>
      </c>
      <c r="Q1937" s="2" t="s">
        <v>54</v>
      </c>
      <c r="R1937" s="16">
        <f>(Table1[[#This Row],[NET Amount]]-Table1[[#This Row],[Total Outstanding Amount]])/Table1[[#This Row],[NET Amount]]</f>
        <v>0</v>
      </c>
      <c r="S1937" s="2" t="s">
        <v>97</v>
      </c>
    </row>
    <row r="1938" spans="1:19" x14ac:dyDescent="0.3">
      <c r="A1938" s="4">
        <v>1936</v>
      </c>
      <c r="B1938" s="2" t="s">
        <v>380</v>
      </c>
      <c r="C1938" s="3">
        <v>44856</v>
      </c>
      <c r="D1938" s="3" t="str">
        <f>TEXT(Table1[[#This Row],[Admission Date]],"MMMM")</f>
        <v>October</v>
      </c>
      <c r="E1938" s="3">
        <v>44856</v>
      </c>
      <c r="F1938" s="3">
        <v>44856</v>
      </c>
      <c r="G1938" s="2">
        <v>22028290</v>
      </c>
      <c r="H1938" s="2">
        <v>2237087</v>
      </c>
      <c r="I1938" s="2">
        <v>10013371548</v>
      </c>
      <c r="J1938" s="2" t="s">
        <v>482</v>
      </c>
      <c r="K1938" s="10">
        <v>1274</v>
      </c>
      <c r="L1938" s="10">
        <v>0</v>
      </c>
      <c r="M1938" s="10">
        <v>1274</v>
      </c>
      <c r="N1938" s="10">
        <v>0</v>
      </c>
      <c r="O1938" s="10">
        <f>Table1[[#This Row],[NET Amount]]-Table1[[#This Row],[Paid Amount]]</f>
        <v>1274</v>
      </c>
      <c r="P1938" s="2" t="s">
        <v>23</v>
      </c>
      <c r="Q1938" s="2" t="s">
        <v>54</v>
      </c>
      <c r="R1938" s="16">
        <f>(Table1[[#This Row],[NET Amount]]-Table1[[#This Row],[Total Outstanding Amount]])/Table1[[#This Row],[NET Amount]]</f>
        <v>0</v>
      </c>
      <c r="S1938" s="2" t="s">
        <v>97</v>
      </c>
    </row>
    <row r="1939" spans="1:19" x14ac:dyDescent="0.3">
      <c r="A1939" s="4">
        <v>1937</v>
      </c>
      <c r="B1939" s="2" t="s">
        <v>126</v>
      </c>
      <c r="C1939" s="3">
        <v>44859</v>
      </c>
      <c r="D1939" s="3" t="str">
        <f>TEXT(Table1[[#This Row],[Admission Date]],"MMMM")</f>
        <v>October</v>
      </c>
      <c r="E1939" s="3">
        <v>44860</v>
      </c>
      <c r="F1939" s="3">
        <v>44860</v>
      </c>
      <c r="G1939" s="2">
        <v>22028613</v>
      </c>
      <c r="H1939" s="2">
        <v>2237303</v>
      </c>
      <c r="I1939" s="2">
        <v>1001806077</v>
      </c>
      <c r="J1939" s="2" t="s">
        <v>1327</v>
      </c>
      <c r="K1939" s="10">
        <v>43790</v>
      </c>
      <c r="L1939" s="10">
        <v>2594</v>
      </c>
      <c r="M1939" s="10">
        <v>41196</v>
      </c>
      <c r="N1939" s="10">
        <v>0</v>
      </c>
      <c r="O1939" s="10">
        <f>Table1[[#This Row],[NET Amount]]-Table1[[#This Row],[Paid Amount]]</f>
        <v>41196</v>
      </c>
      <c r="P1939" s="2" t="s">
        <v>23</v>
      </c>
      <c r="Q1939" s="2" t="s">
        <v>24</v>
      </c>
      <c r="R1939" s="16">
        <f>(Table1[[#This Row],[NET Amount]]-Table1[[#This Row],[Total Outstanding Amount]])/Table1[[#This Row],[NET Amount]]</f>
        <v>0</v>
      </c>
      <c r="S1939" s="2" t="s">
        <v>39</v>
      </c>
    </row>
    <row r="1940" spans="1:19" x14ac:dyDescent="0.3">
      <c r="A1940" s="4">
        <v>1938</v>
      </c>
      <c r="B1940" s="2" t="s">
        <v>407</v>
      </c>
      <c r="C1940" s="3">
        <v>44857</v>
      </c>
      <c r="D1940" s="3" t="str">
        <f>TEXT(Table1[[#This Row],[Admission Date]],"MMMM")</f>
        <v>October</v>
      </c>
      <c r="E1940" s="3">
        <v>44863</v>
      </c>
      <c r="F1940" s="3">
        <v>44863</v>
      </c>
      <c r="G1940" s="2">
        <v>22029110</v>
      </c>
      <c r="H1940" s="2">
        <v>2237191</v>
      </c>
      <c r="I1940" s="2">
        <v>1001027632</v>
      </c>
      <c r="J1940" s="2" t="s">
        <v>340</v>
      </c>
      <c r="K1940" s="10">
        <v>72680</v>
      </c>
      <c r="L1940" s="10">
        <v>0</v>
      </c>
      <c r="M1940" s="10">
        <v>72680</v>
      </c>
      <c r="N1940" s="10">
        <v>0</v>
      </c>
      <c r="O1940" s="10">
        <f>Table1[[#This Row],[NET Amount]]-Table1[[#This Row],[Paid Amount]]</f>
        <v>72680</v>
      </c>
      <c r="P1940" s="2" t="s">
        <v>23</v>
      </c>
      <c r="Q1940" s="2" t="s">
        <v>24</v>
      </c>
      <c r="R1940" s="16">
        <f>(Table1[[#This Row],[NET Amount]]-Table1[[#This Row],[Total Outstanding Amount]])/Table1[[#This Row],[NET Amount]]</f>
        <v>0</v>
      </c>
      <c r="S1940" s="2" t="s">
        <v>39</v>
      </c>
    </row>
    <row r="1941" spans="1:19" x14ac:dyDescent="0.3">
      <c r="A1941" s="4">
        <v>1939</v>
      </c>
      <c r="B1941" s="2" t="s">
        <v>2253</v>
      </c>
      <c r="C1941" s="3">
        <v>44855</v>
      </c>
      <c r="D1941" s="3" t="str">
        <f>TEXT(Table1[[#This Row],[Admission Date]],"MMMM")</f>
        <v>October</v>
      </c>
      <c r="E1941" s="3">
        <v>44855</v>
      </c>
      <c r="F1941" s="3">
        <v>44855</v>
      </c>
      <c r="G1941" s="2">
        <v>22028068</v>
      </c>
      <c r="H1941" s="2">
        <v>2236919</v>
      </c>
      <c r="I1941" s="2">
        <v>1001681903</v>
      </c>
      <c r="J1941" s="2" t="s">
        <v>471</v>
      </c>
      <c r="K1941" s="10">
        <v>1610</v>
      </c>
      <c r="L1941" s="10">
        <v>0</v>
      </c>
      <c r="M1941" s="10">
        <v>1610</v>
      </c>
      <c r="N1941" s="10">
        <v>0</v>
      </c>
      <c r="O1941" s="10">
        <f>Table1[[#This Row],[NET Amount]]-Table1[[#This Row],[Paid Amount]]</f>
        <v>1610</v>
      </c>
      <c r="P1941" s="2" t="s">
        <v>23</v>
      </c>
      <c r="Q1941" s="2" t="s">
        <v>54</v>
      </c>
      <c r="R1941" s="16">
        <f>(Table1[[#This Row],[NET Amount]]-Table1[[#This Row],[Total Outstanding Amount]])/Table1[[#This Row],[NET Amount]]</f>
        <v>0</v>
      </c>
      <c r="S1941" s="2" t="s">
        <v>97</v>
      </c>
    </row>
    <row r="1942" spans="1:19" x14ac:dyDescent="0.3">
      <c r="A1942" s="4">
        <v>1940</v>
      </c>
      <c r="B1942" s="2" t="s">
        <v>178</v>
      </c>
      <c r="C1942" s="3">
        <v>44846</v>
      </c>
      <c r="D1942" s="3" t="str">
        <f>TEXT(Table1[[#This Row],[Admission Date]],"MMMM")</f>
        <v>October</v>
      </c>
      <c r="E1942" s="3">
        <v>44846</v>
      </c>
      <c r="F1942" s="3">
        <v>44846</v>
      </c>
      <c r="G1942" s="2">
        <v>22026757</v>
      </c>
      <c r="H1942" s="2">
        <v>2235681</v>
      </c>
      <c r="I1942" s="2">
        <v>10013469159</v>
      </c>
      <c r="J1942" s="2" t="s">
        <v>790</v>
      </c>
      <c r="K1942" s="10">
        <v>2200</v>
      </c>
      <c r="L1942" s="10">
        <v>0</v>
      </c>
      <c r="M1942" s="10">
        <v>2200</v>
      </c>
      <c r="N1942" s="10">
        <v>0</v>
      </c>
      <c r="O1942" s="10">
        <f>Table1[[#This Row],[NET Amount]]-Table1[[#This Row],[Paid Amount]]</f>
        <v>2200</v>
      </c>
      <c r="P1942" s="2" t="s">
        <v>23</v>
      </c>
      <c r="Q1942" s="2" t="s">
        <v>147</v>
      </c>
      <c r="R1942" s="16">
        <f>(Table1[[#This Row],[NET Amount]]-Table1[[#This Row],[Total Outstanding Amount]])/Table1[[#This Row],[NET Amount]]</f>
        <v>0</v>
      </c>
      <c r="S1942" s="2" t="s">
        <v>97</v>
      </c>
    </row>
    <row r="1943" spans="1:19" x14ac:dyDescent="0.3">
      <c r="A1943" s="4">
        <v>1941</v>
      </c>
      <c r="B1943" s="2" t="s">
        <v>380</v>
      </c>
      <c r="C1943" s="3">
        <v>44861</v>
      </c>
      <c r="D1943" s="3" t="str">
        <f>TEXT(Table1[[#This Row],[Admission Date]],"MMMM")</f>
        <v>October</v>
      </c>
      <c r="E1943" s="3">
        <v>44861</v>
      </c>
      <c r="F1943" s="3">
        <v>44861</v>
      </c>
      <c r="G1943" s="2">
        <v>22028837</v>
      </c>
      <c r="H1943" s="2">
        <v>2237711</v>
      </c>
      <c r="I1943" s="2">
        <v>10013292990</v>
      </c>
      <c r="J1943" s="2" t="s">
        <v>779</v>
      </c>
      <c r="K1943" s="10">
        <v>1274</v>
      </c>
      <c r="L1943" s="10">
        <v>0</v>
      </c>
      <c r="M1943" s="10">
        <v>1274</v>
      </c>
      <c r="N1943" s="10">
        <v>0</v>
      </c>
      <c r="O1943" s="10">
        <f>Table1[[#This Row],[NET Amount]]-Table1[[#This Row],[Paid Amount]]</f>
        <v>1274</v>
      </c>
      <c r="P1943" s="2" t="s">
        <v>23</v>
      </c>
      <c r="Q1943" s="2" t="s">
        <v>54</v>
      </c>
      <c r="R1943" s="16">
        <f>(Table1[[#This Row],[NET Amount]]-Table1[[#This Row],[Total Outstanding Amount]])/Table1[[#This Row],[NET Amount]]</f>
        <v>0</v>
      </c>
      <c r="S1943" s="2" t="s">
        <v>97</v>
      </c>
    </row>
    <row r="1944" spans="1:19" x14ac:dyDescent="0.3">
      <c r="A1944" s="4">
        <v>1942</v>
      </c>
      <c r="B1944" s="2" t="s">
        <v>2253</v>
      </c>
      <c r="C1944" s="3">
        <v>44841</v>
      </c>
      <c r="D1944" s="3" t="str">
        <f>TEXT(Table1[[#This Row],[Admission Date]],"MMMM")</f>
        <v>October</v>
      </c>
      <c r="E1944" s="3">
        <v>44841</v>
      </c>
      <c r="F1944" s="3">
        <v>44841</v>
      </c>
      <c r="G1944" s="2">
        <v>22025937</v>
      </c>
      <c r="H1944" s="2">
        <v>2234989</v>
      </c>
      <c r="I1944" s="2">
        <v>10013503569</v>
      </c>
      <c r="J1944" s="2" t="s">
        <v>440</v>
      </c>
      <c r="K1944" s="10">
        <v>1610</v>
      </c>
      <c r="L1944" s="10">
        <v>0</v>
      </c>
      <c r="M1944" s="10">
        <v>1610</v>
      </c>
      <c r="N1944" s="10">
        <v>0</v>
      </c>
      <c r="O1944" s="10">
        <f>Table1[[#This Row],[NET Amount]]-Table1[[#This Row],[Paid Amount]]</f>
        <v>1610</v>
      </c>
      <c r="P1944" s="2" t="s">
        <v>23</v>
      </c>
      <c r="Q1944" s="2" t="s">
        <v>54</v>
      </c>
      <c r="R1944" s="16">
        <f>(Table1[[#This Row],[NET Amount]]-Table1[[#This Row],[Total Outstanding Amount]])/Table1[[#This Row],[NET Amount]]</f>
        <v>0</v>
      </c>
      <c r="S1944" s="2" t="s">
        <v>97</v>
      </c>
    </row>
    <row r="1945" spans="1:19" x14ac:dyDescent="0.3">
      <c r="A1945" s="4">
        <v>1943</v>
      </c>
      <c r="B1945" s="2" t="s">
        <v>149</v>
      </c>
      <c r="C1945" s="3">
        <v>44862</v>
      </c>
      <c r="D1945" s="3" t="str">
        <f>TEXT(Table1[[#This Row],[Admission Date]],"MMMM")</f>
        <v>October</v>
      </c>
      <c r="E1945" s="3">
        <v>44863</v>
      </c>
      <c r="F1945" s="3">
        <v>44863</v>
      </c>
      <c r="G1945" s="2">
        <v>22029046</v>
      </c>
      <c r="H1945" s="2">
        <v>2237743</v>
      </c>
      <c r="I1945" s="2">
        <v>10013366928</v>
      </c>
      <c r="J1945" s="2" t="s">
        <v>1328</v>
      </c>
      <c r="K1945" s="10">
        <v>55013</v>
      </c>
      <c r="L1945" s="10">
        <v>0</v>
      </c>
      <c r="M1945" s="10">
        <v>55013</v>
      </c>
      <c r="N1945" s="10">
        <v>0</v>
      </c>
      <c r="O1945" s="10">
        <f>Table1[[#This Row],[NET Amount]]-Table1[[#This Row],[Paid Amount]]</f>
        <v>55013</v>
      </c>
      <c r="P1945" s="2" t="s">
        <v>23</v>
      </c>
      <c r="Q1945" s="2" t="s">
        <v>24</v>
      </c>
      <c r="R1945" s="16">
        <f>(Table1[[#This Row],[NET Amount]]-Table1[[#This Row],[Total Outstanding Amount]])/Table1[[#This Row],[NET Amount]]</f>
        <v>0</v>
      </c>
      <c r="S1945" s="2" t="s">
        <v>77</v>
      </c>
    </row>
    <row r="1946" spans="1:19" x14ac:dyDescent="0.3">
      <c r="A1946" s="4">
        <v>1944</v>
      </c>
      <c r="B1946" s="2" t="s">
        <v>2273</v>
      </c>
      <c r="C1946" s="3">
        <v>44846</v>
      </c>
      <c r="D1946" s="3" t="str">
        <f>TEXT(Table1[[#This Row],[Admission Date]],"MMMM")</f>
        <v>October</v>
      </c>
      <c r="E1946" s="3">
        <v>44846</v>
      </c>
      <c r="F1946" s="3">
        <v>44846</v>
      </c>
      <c r="G1946" s="2">
        <v>22026795</v>
      </c>
      <c r="H1946" s="2">
        <v>2235746</v>
      </c>
      <c r="I1946" s="2">
        <v>1001753780</v>
      </c>
      <c r="J1946" s="2" t="s">
        <v>772</v>
      </c>
      <c r="K1946" s="10">
        <v>2950</v>
      </c>
      <c r="L1946" s="10">
        <v>0</v>
      </c>
      <c r="M1946" s="10">
        <v>2950</v>
      </c>
      <c r="N1946" s="10">
        <v>0</v>
      </c>
      <c r="O1946" s="10">
        <f>Table1[[#This Row],[NET Amount]]-Table1[[#This Row],[Paid Amount]]</f>
        <v>2950</v>
      </c>
      <c r="P1946" s="2" t="s">
        <v>23</v>
      </c>
      <c r="Q1946" s="2" t="s">
        <v>54</v>
      </c>
      <c r="R1946" s="16">
        <f>(Table1[[#This Row],[NET Amount]]-Table1[[#This Row],[Total Outstanding Amount]])/Table1[[#This Row],[NET Amount]]</f>
        <v>0</v>
      </c>
      <c r="S1946" s="2" t="s">
        <v>97</v>
      </c>
    </row>
    <row r="1947" spans="1:19" x14ac:dyDescent="0.3">
      <c r="A1947" s="4">
        <v>1945</v>
      </c>
      <c r="B1947" s="2" t="s">
        <v>407</v>
      </c>
      <c r="C1947" s="3">
        <v>44848</v>
      </c>
      <c r="D1947" s="3" t="str">
        <f>TEXT(Table1[[#This Row],[Admission Date]],"MMMM")</f>
        <v>October</v>
      </c>
      <c r="E1947" s="3">
        <v>44863</v>
      </c>
      <c r="F1947" s="3">
        <v>44863</v>
      </c>
      <c r="G1947" s="2">
        <v>22029137</v>
      </c>
      <c r="H1947" s="2">
        <v>2235901</v>
      </c>
      <c r="I1947" s="2">
        <v>10013542922</v>
      </c>
      <c r="J1947" s="2" t="s">
        <v>1329</v>
      </c>
      <c r="K1947" s="10">
        <v>156067</v>
      </c>
      <c r="L1947" s="10">
        <v>0</v>
      </c>
      <c r="M1947" s="10">
        <v>156067</v>
      </c>
      <c r="N1947" s="10">
        <v>0</v>
      </c>
      <c r="O1947" s="10">
        <f>Table1[[#This Row],[NET Amount]]-Table1[[#This Row],[Paid Amount]]</f>
        <v>156067</v>
      </c>
      <c r="P1947" s="2" t="s">
        <v>23</v>
      </c>
      <c r="Q1947" s="2" t="s">
        <v>19</v>
      </c>
      <c r="R1947" s="16">
        <f>(Table1[[#This Row],[NET Amount]]-Table1[[#This Row],[Total Outstanding Amount]])/Table1[[#This Row],[NET Amount]]</f>
        <v>0</v>
      </c>
      <c r="S1947" s="2" t="s">
        <v>20</v>
      </c>
    </row>
    <row r="1948" spans="1:19" x14ac:dyDescent="0.3">
      <c r="A1948" s="4">
        <v>1946</v>
      </c>
      <c r="B1948" s="2" t="s">
        <v>2263</v>
      </c>
      <c r="C1948" s="3">
        <v>44848</v>
      </c>
      <c r="D1948" s="3" t="str">
        <f>TEXT(Table1[[#This Row],[Admission Date]],"MMMM")</f>
        <v>October</v>
      </c>
      <c r="E1948" s="3">
        <v>44848</v>
      </c>
      <c r="F1948" s="3">
        <v>44848</v>
      </c>
      <c r="G1948" s="2">
        <v>22027091</v>
      </c>
      <c r="H1948" s="2">
        <v>2235996</v>
      </c>
      <c r="I1948" s="2">
        <v>1001699417</v>
      </c>
      <c r="J1948" s="2" t="s">
        <v>472</v>
      </c>
      <c r="K1948" s="10">
        <v>1274</v>
      </c>
      <c r="L1948" s="10">
        <v>0</v>
      </c>
      <c r="M1948" s="10">
        <v>1274</v>
      </c>
      <c r="N1948" s="10">
        <v>0</v>
      </c>
      <c r="O1948" s="10">
        <f>Table1[[#This Row],[NET Amount]]-Table1[[#This Row],[Paid Amount]]</f>
        <v>1274</v>
      </c>
      <c r="P1948" s="2" t="s">
        <v>23</v>
      </c>
      <c r="Q1948" s="2" t="s">
        <v>54</v>
      </c>
      <c r="R1948" s="16">
        <f>(Table1[[#This Row],[NET Amount]]-Table1[[#This Row],[Total Outstanding Amount]])/Table1[[#This Row],[NET Amount]]</f>
        <v>0</v>
      </c>
      <c r="S1948" s="2" t="s">
        <v>97</v>
      </c>
    </row>
    <row r="1949" spans="1:19" x14ac:dyDescent="0.3">
      <c r="A1949" s="4">
        <v>1947</v>
      </c>
      <c r="B1949" s="2" t="s">
        <v>2271</v>
      </c>
      <c r="C1949" s="3">
        <v>44837</v>
      </c>
      <c r="D1949" s="3" t="str">
        <f>TEXT(Table1[[#This Row],[Admission Date]],"MMMM")</f>
        <v>October</v>
      </c>
      <c r="E1949" s="3">
        <v>44837</v>
      </c>
      <c r="F1949" s="3">
        <v>44837</v>
      </c>
      <c r="G1949" s="2">
        <v>22025424</v>
      </c>
      <c r="H1949" s="2">
        <v>2234426</v>
      </c>
      <c r="I1949" s="2">
        <v>1001729640</v>
      </c>
      <c r="J1949" s="2" t="s">
        <v>470</v>
      </c>
      <c r="K1949" s="10">
        <v>1610</v>
      </c>
      <c r="L1949" s="10">
        <v>0</v>
      </c>
      <c r="M1949" s="10">
        <v>1610</v>
      </c>
      <c r="N1949" s="10">
        <v>0</v>
      </c>
      <c r="O1949" s="10">
        <f>Table1[[#This Row],[NET Amount]]-Table1[[#This Row],[Paid Amount]]</f>
        <v>1610</v>
      </c>
      <c r="P1949" s="2" t="s">
        <v>23</v>
      </c>
      <c r="Q1949" s="2" t="s">
        <v>54</v>
      </c>
      <c r="R1949" s="16">
        <f>(Table1[[#This Row],[NET Amount]]-Table1[[#This Row],[Total Outstanding Amount]])/Table1[[#This Row],[NET Amount]]</f>
        <v>0</v>
      </c>
      <c r="S1949" s="2" t="s">
        <v>97</v>
      </c>
    </row>
    <row r="1950" spans="1:19" x14ac:dyDescent="0.3">
      <c r="A1950" s="4">
        <v>1948</v>
      </c>
      <c r="B1950" s="2" t="s">
        <v>380</v>
      </c>
      <c r="C1950" s="3">
        <v>44835</v>
      </c>
      <c r="D1950" s="3" t="str">
        <f>TEXT(Table1[[#This Row],[Admission Date]],"MMMM")</f>
        <v>October</v>
      </c>
      <c r="E1950" s="3">
        <v>44835</v>
      </c>
      <c r="F1950" s="3">
        <v>44835</v>
      </c>
      <c r="G1950" s="2">
        <v>22025243</v>
      </c>
      <c r="H1950" s="2">
        <v>2234256</v>
      </c>
      <c r="I1950" s="2">
        <v>10013387247</v>
      </c>
      <c r="J1950" s="2" t="s">
        <v>1330</v>
      </c>
      <c r="K1950" s="10">
        <v>1274</v>
      </c>
      <c r="L1950" s="10">
        <v>0</v>
      </c>
      <c r="M1950" s="10">
        <v>1274</v>
      </c>
      <c r="N1950" s="10">
        <v>0</v>
      </c>
      <c r="O1950" s="10">
        <f>Table1[[#This Row],[NET Amount]]-Table1[[#This Row],[Paid Amount]]</f>
        <v>1274</v>
      </c>
      <c r="P1950" s="2" t="s">
        <v>23</v>
      </c>
      <c r="Q1950" s="2" t="s">
        <v>54</v>
      </c>
      <c r="R1950" s="16">
        <f>(Table1[[#This Row],[NET Amount]]-Table1[[#This Row],[Total Outstanding Amount]])/Table1[[#This Row],[NET Amount]]</f>
        <v>0</v>
      </c>
      <c r="S1950" s="2" t="s">
        <v>97</v>
      </c>
    </row>
    <row r="1951" spans="1:19" x14ac:dyDescent="0.3">
      <c r="A1951" s="4">
        <v>1949</v>
      </c>
      <c r="B1951" s="2" t="s">
        <v>380</v>
      </c>
      <c r="C1951" s="3">
        <v>44847</v>
      </c>
      <c r="D1951" s="3" t="str">
        <f>TEXT(Table1[[#This Row],[Admission Date]],"MMMM")</f>
        <v>October</v>
      </c>
      <c r="E1951" s="3">
        <v>44847</v>
      </c>
      <c r="F1951" s="3">
        <v>44847</v>
      </c>
      <c r="G1951" s="2">
        <v>22026957</v>
      </c>
      <c r="H1951" s="2">
        <v>2235885</v>
      </c>
      <c r="I1951" s="2">
        <v>10013223537</v>
      </c>
      <c r="J1951" s="2" t="s">
        <v>382</v>
      </c>
      <c r="K1951" s="10">
        <v>1274</v>
      </c>
      <c r="L1951" s="10">
        <v>0</v>
      </c>
      <c r="M1951" s="10">
        <v>1274</v>
      </c>
      <c r="N1951" s="10">
        <v>0</v>
      </c>
      <c r="O1951" s="10">
        <f>Table1[[#This Row],[NET Amount]]-Table1[[#This Row],[Paid Amount]]</f>
        <v>1274</v>
      </c>
      <c r="P1951" s="2" t="s">
        <v>23</v>
      </c>
      <c r="Q1951" s="2" t="s">
        <v>54</v>
      </c>
      <c r="R1951" s="16">
        <f>(Table1[[#This Row],[NET Amount]]-Table1[[#This Row],[Total Outstanding Amount]])/Table1[[#This Row],[NET Amount]]</f>
        <v>0</v>
      </c>
      <c r="S1951" s="2" t="s">
        <v>97</v>
      </c>
    </row>
    <row r="1952" spans="1:19" x14ac:dyDescent="0.3">
      <c r="A1952" s="4">
        <v>1950</v>
      </c>
      <c r="B1952" s="2" t="s">
        <v>75</v>
      </c>
      <c r="C1952" s="3">
        <v>44865</v>
      </c>
      <c r="D1952" s="3" t="str">
        <f>TEXT(Table1[[#This Row],[Admission Date]],"MMMM")</f>
        <v>October</v>
      </c>
      <c r="E1952" s="3">
        <v>44865</v>
      </c>
      <c r="F1952" s="3">
        <v>44865</v>
      </c>
      <c r="G1952" s="2">
        <v>22029326</v>
      </c>
      <c r="H1952" s="2">
        <v>2238176</v>
      </c>
      <c r="I1952" s="2">
        <v>1001300172</v>
      </c>
      <c r="J1952" s="2" t="s">
        <v>400</v>
      </c>
      <c r="K1952" s="10">
        <v>1610</v>
      </c>
      <c r="L1952" s="10">
        <v>0</v>
      </c>
      <c r="M1952" s="10">
        <v>1610</v>
      </c>
      <c r="N1952" s="10">
        <v>0</v>
      </c>
      <c r="O1952" s="10">
        <f>Table1[[#This Row],[NET Amount]]-Table1[[#This Row],[Paid Amount]]</f>
        <v>1610</v>
      </c>
      <c r="P1952" s="2" t="s">
        <v>23</v>
      </c>
      <c r="Q1952" s="2" t="s">
        <v>54</v>
      </c>
      <c r="R1952" s="16">
        <f>(Table1[[#This Row],[NET Amount]]-Table1[[#This Row],[Total Outstanding Amount]])/Table1[[#This Row],[NET Amount]]</f>
        <v>0</v>
      </c>
      <c r="S1952" s="2" t="s">
        <v>97</v>
      </c>
    </row>
    <row r="1953" spans="1:19" x14ac:dyDescent="0.3">
      <c r="A1953" s="4">
        <v>1951</v>
      </c>
      <c r="B1953" s="2" t="s">
        <v>2263</v>
      </c>
      <c r="C1953" s="3">
        <v>44860</v>
      </c>
      <c r="D1953" s="3" t="str">
        <f>TEXT(Table1[[#This Row],[Admission Date]],"MMMM")</f>
        <v>October</v>
      </c>
      <c r="E1953" s="3">
        <v>44860</v>
      </c>
      <c r="F1953" s="3">
        <v>44860</v>
      </c>
      <c r="G1953" s="2">
        <v>22028588</v>
      </c>
      <c r="H1953" s="2">
        <v>2237460</v>
      </c>
      <c r="I1953" s="2">
        <v>1001367923</v>
      </c>
      <c r="J1953" s="2" t="s">
        <v>391</v>
      </c>
      <c r="K1953" s="10">
        <v>1274</v>
      </c>
      <c r="L1953" s="10">
        <v>0</v>
      </c>
      <c r="M1953" s="10">
        <v>1274</v>
      </c>
      <c r="N1953" s="10">
        <v>0</v>
      </c>
      <c r="O1953" s="10">
        <f>Table1[[#This Row],[NET Amount]]-Table1[[#This Row],[Paid Amount]]</f>
        <v>1274</v>
      </c>
      <c r="P1953" s="2" t="s">
        <v>23</v>
      </c>
      <c r="Q1953" s="2" t="s">
        <v>54</v>
      </c>
      <c r="R1953" s="16">
        <f>(Table1[[#This Row],[NET Amount]]-Table1[[#This Row],[Total Outstanding Amount]])/Table1[[#This Row],[NET Amount]]</f>
        <v>0</v>
      </c>
      <c r="S1953" s="2" t="s">
        <v>97</v>
      </c>
    </row>
    <row r="1954" spans="1:19" x14ac:dyDescent="0.3">
      <c r="A1954" s="4">
        <v>1952</v>
      </c>
      <c r="B1954" s="2" t="s">
        <v>178</v>
      </c>
      <c r="C1954" s="3">
        <v>44844</v>
      </c>
      <c r="D1954" s="3" t="str">
        <f>TEXT(Table1[[#This Row],[Admission Date]],"MMMM")</f>
        <v>October</v>
      </c>
      <c r="E1954" s="3">
        <v>44844</v>
      </c>
      <c r="F1954" s="3">
        <v>44844</v>
      </c>
      <c r="G1954" s="2">
        <v>22026466</v>
      </c>
      <c r="H1954" s="2">
        <v>2235420</v>
      </c>
      <c r="I1954" s="2">
        <v>10013332282</v>
      </c>
      <c r="J1954" s="2" t="s">
        <v>415</v>
      </c>
      <c r="K1954" s="10">
        <v>2200</v>
      </c>
      <c r="L1954" s="10">
        <v>0</v>
      </c>
      <c r="M1954" s="10">
        <v>2200</v>
      </c>
      <c r="N1954" s="10">
        <v>0</v>
      </c>
      <c r="O1954" s="10">
        <f>Table1[[#This Row],[NET Amount]]-Table1[[#This Row],[Paid Amount]]</f>
        <v>2200</v>
      </c>
      <c r="P1954" s="2" t="s">
        <v>23</v>
      </c>
      <c r="Q1954" s="2" t="s">
        <v>147</v>
      </c>
      <c r="R1954" s="16">
        <f>(Table1[[#This Row],[NET Amount]]-Table1[[#This Row],[Total Outstanding Amount]])/Table1[[#This Row],[NET Amount]]</f>
        <v>0</v>
      </c>
      <c r="S1954" s="2" t="s">
        <v>97</v>
      </c>
    </row>
    <row r="1955" spans="1:19" x14ac:dyDescent="0.3">
      <c r="A1955" s="4">
        <v>1953</v>
      </c>
      <c r="B1955" s="2" t="s">
        <v>2263</v>
      </c>
      <c r="C1955" s="3">
        <v>44853</v>
      </c>
      <c r="D1955" s="3" t="str">
        <f>TEXT(Table1[[#This Row],[Admission Date]],"MMMM")</f>
        <v>October</v>
      </c>
      <c r="E1955" s="3">
        <v>44853</v>
      </c>
      <c r="F1955" s="3">
        <v>44853</v>
      </c>
      <c r="G1955" s="2">
        <v>22027765</v>
      </c>
      <c r="H1955" s="2">
        <v>2236659</v>
      </c>
      <c r="I1955" s="2">
        <v>1001684202</v>
      </c>
      <c r="J1955" s="2" t="s">
        <v>446</v>
      </c>
      <c r="K1955" s="10">
        <v>1274</v>
      </c>
      <c r="L1955" s="10">
        <v>0</v>
      </c>
      <c r="M1955" s="10">
        <v>1274</v>
      </c>
      <c r="N1955" s="10">
        <v>0</v>
      </c>
      <c r="O1955" s="10">
        <f>Table1[[#This Row],[NET Amount]]-Table1[[#This Row],[Paid Amount]]</f>
        <v>1274</v>
      </c>
      <c r="P1955" s="2" t="s">
        <v>23</v>
      </c>
      <c r="Q1955" s="2" t="s">
        <v>54</v>
      </c>
      <c r="R1955" s="16">
        <f>(Table1[[#This Row],[NET Amount]]-Table1[[#This Row],[Total Outstanding Amount]])/Table1[[#This Row],[NET Amount]]</f>
        <v>0</v>
      </c>
      <c r="S1955" s="2" t="s">
        <v>97</v>
      </c>
    </row>
    <row r="1956" spans="1:19" x14ac:dyDescent="0.3">
      <c r="A1956" s="4">
        <v>1954</v>
      </c>
      <c r="B1956" s="2" t="s">
        <v>61</v>
      </c>
      <c r="C1956" s="3">
        <v>44851</v>
      </c>
      <c r="D1956" s="3" t="str">
        <f>TEXT(Table1[[#This Row],[Admission Date]],"MMMM")</f>
        <v>October</v>
      </c>
      <c r="E1956" s="3">
        <v>44851</v>
      </c>
      <c r="F1956" s="3">
        <v>44851</v>
      </c>
      <c r="G1956" s="2">
        <v>22027365</v>
      </c>
      <c r="H1956" s="2">
        <v>2236285</v>
      </c>
      <c r="I1956" s="2">
        <v>10013497993</v>
      </c>
      <c r="J1956" s="2" t="s">
        <v>1077</v>
      </c>
      <c r="K1956" s="10">
        <v>2200</v>
      </c>
      <c r="L1956" s="10">
        <v>0</v>
      </c>
      <c r="M1956" s="10">
        <v>2200</v>
      </c>
      <c r="N1956" s="10">
        <v>0</v>
      </c>
      <c r="O1956" s="10">
        <f>Table1[[#This Row],[NET Amount]]-Table1[[#This Row],[Paid Amount]]</f>
        <v>2200</v>
      </c>
      <c r="P1956" s="2" t="s">
        <v>23</v>
      </c>
      <c r="Q1956" s="2" t="s">
        <v>147</v>
      </c>
      <c r="R1956" s="16">
        <f>(Table1[[#This Row],[NET Amount]]-Table1[[#This Row],[Total Outstanding Amount]])/Table1[[#This Row],[NET Amount]]</f>
        <v>0</v>
      </c>
      <c r="S1956" s="2" t="s">
        <v>97</v>
      </c>
    </row>
    <row r="1957" spans="1:19" x14ac:dyDescent="0.3">
      <c r="A1957" s="4">
        <v>1955</v>
      </c>
      <c r="B1957" s="2" t="s">
        <v>380</v>
      </c>
      <c r="C1957" s="3">
        <v>44859</v>
      </c>
      <c r="D1957" s="3" t="str">
        <f>TEXT(Table1[[#This Row],[Admission Date]],"MMMM")</f>
        <v>October</v>
      </c>
      <c r="E1957" s="3">
        <v>44859</v>
      </c>
      <c r="F1957" s="3">
        <v>44859</v>
      </c>
      <c r="G1957" s="2">
        <v>22028532</v>
      </c>
      <c r="H1957" s="2">
        <v>2237301</v>
      </c>
      <c r="I1957" s="2">
        <v>1001307852</v>
      </c>
      <c r="J1957" s="2" t="s">
        <v>309</v>
      </c>
      <c r="K1957" s="10">
        <v>1274</v>
      </c>
      <c r="L1957" s="10">
        <v>0</v>
      </c>
      <c r="M1957" s="10">
        <v>1274</v>
      </c>
      <c r="N1957" s="10">
        <v>0</v>
      </c>
      <c r="O1957" s="10">
        <f>Table1[[#This Row],[NET Amount]]-Table1[[#This Row],[Paid Amount]]</f>
        <v>1274</v>
      </c>
      <c r="P1957" s="2" t="s">
        <v>23</v>
      </c>
      <c r="Q1957" s="2" t="s">
        <v>54</v>
      </c>
      <c r="R1957" s="16">
        <f>(Table1[[#This Row],[NET Amount]]-Table1[[#This Row],[Total Outstanding Amount]])/Table1[[#This Row],[NET Amount]]</f>
        <v>0</v>
      </c>
      <c r="S1957" s="2" t="s">
        <v>97</v>
      </c>
    </row>
    <row r="1958" spans="1:19" x14ac:dyDescent="0.3">
      <c r="A1958" s="4">
        <v>1956</v>
      </c>
      <c r="B1958" s="2" t="s">
        <v>380</v>
      </c>
      <c r="C1958" s="3">
        <v>44845</v>
      </c>
      <c r="D1958" s="3" t="str">
        <f>TEXT(Table1[[#This Row],[Admission Date]],"MMMM")</f>
        <v>October</v>
      </c>
      <c r="E1958" s="3">
        <v>44845</v>
      </c>
      <c r="F1958" s="3">
        <v>44845</v>
      </c>
      <c r="G1958" s="2">
        <v>22026638</v>
      </c>
      <c r="H1958" s="2">
        <v>2235613</v>
      </c>
      <c r="I1958" s="2">
        <v>10013521329</v>
      </c>
      <c r="J1958" s="2" t="s">
        <v>457</v>
      </c>
      <c r="K1958" s="10">
        <v>1274</v>
      </c>
      <c r="L1958" s="10">
        <v>0</v>
      </c>
      <c r="M1958" s="10">
        <v>1274</v>
      </c>
      <c r="N1958" s="10">
        <v>0</v>
      </c>
      <c r="O1958" s="10">
        <f>Table1[[#This Row],[NET Amount]]-Table1[[#This Row],[Paid Amount]]</f>
        <v>1274</v>
      </c>
      <c r="P1958" s="2" t="s">
        <v>23</v>
      </c>
      <c r="Q1958" s="2" t="s">
        <v>54</v>
      </c>
      <c r="R1958" s="16">
        <f>(Table1[[#This Row],[NET Amount]]-Table1[[#This Row],[Total Outstanding Amount]])/Table1[[#This Row],[NET Amount]]</f>
        <v>0</v>
      </c>
      <c r="S1958" s="2" t="s">
        <v>97</v>
      </c>
    </row>
    <row r="1959" spans="1:19" x14ac:dyDescent="0.3">
      <c r="A1959" s="4">
        <v>1957</v>
      </c>
      <c r="B1959" s="2" t="s">
        <v>2258</v>
      </c>
      <c r="C1959" s="3">
        <v>44854</v>
      </c>
      <c r="D1959" s="3" t="str">
        <f>TEXT(Table1[[#This Row],[Admission Date]],"MMMM")</f>
        <v>October</v>
      </c>
      <c r="E1959" s="3">
        <v>44854</v>
      </c>
      <c r="F1959" s="3">
        <v>44854</v>
      </c>
      <c r="G1959" s="2">
        <v>22027929</v>
      </c>
      <c r="H1959" s="2">
        <v>2236773</v>
      </c>
      <c r="I1959" s="2">
        <v>1001797077</v>
      </c>
      <c r="J1959" s="2" t="s">
        <v>468</v>
      </c>
      <c r="K1959" s="10">
        <v>1610</v>
      </c>
      <c r="L1959" s="10">
        <v>0</v>
      </c>
      <c r="M1959" s="10">
        <v>1610</v>
      </c>
      <c r="N1959" s="10">
        <v>0</v>
      </c>
      <c r="O1959" s="10">
        <f>Table1[[#This Row],[NET Amount]]-Table1[[#This Row],[Paid Amount]]</f>
        <v>1610</v>
      </c>
      <c r="P1959" s="2" t="s">
        <v>23</v>
      </c>
      <c r="Q1959" s="2" t="s">
        <v>54</v>
      </c>
      <c r="R1959" s="16">
        <f>(Table1[[#This Row],[NET Amount]]-Table1[[#This Row],[Total Outstanding Amount]])/Table1[[#This Row],[NET Amount]]</f>
        <v>0</v>
      </c>
      <c r="S1959" s="2" t="s">
        <v>97</v>
      </c>
    </row>
    <row r="1960" spans="1:19" x14ac:dyDescent="0.3">
      <c r="A1960" s="4">
        <v>1958</v>
      </c>
      <c r="B1960" s="2" t="s">
        <v>25</v>
      </c>
      <c r="C1960" s="3">
        <v>44848</v>
      </c>
      <c r="D1960" s="3" t="str">
        <f>TEXT(Table1[[#This Row],[Admission Date]],"MMMM")</f>
        <v>October</v>
      </c>
      <c r="E1960" s="3">
        <v>44853</v>
      </c>
      <c r="F1960" s="3">
        <v>44853</v>
      </c>
      <c r="G1960" s="2">
        <v>22027751</v>
      </c>
      <c r="H1960" s="2">
        <v>2236025</v>
      </c>
      <c r="I1960" s="2">
        <v>10013543062</v>
      </c>
      <c r="J1960" s="2" t="s">
        <v>1331</v>
      </c>
      <c r="K1960" s="10">
        <v>175207</v>
      </c>
      <c r="L1960" s="10">
        <v>173407</v>
      </c>
      <c r="M1960" s="10">
        <v>1800</v>
      </c>
      <c r="N1960" s="10">
        <v>0</v>
      </c>
      <c r="O1960" s="10">
        <f>Table1[[#This Row],[NET Amount]]-Table1[[#This Row],[Paid Amount]]</f>
        <v>1800</v>
      </c>
      <c r="P1960" s="2" t="s">
        <v>23</v>
      </c>
      <c r="Q1960" s="2" t="s">
        <v>90</v>
      </c>
      <c r="R1960" s="16">
        <f>(Table1[[#This Row],[NET Amount]]-Table1[[#This Row],[Total Outstanding Amount]])/Table1[[#This Row],[NET Amount]]</f>
        <v>0</v>
      </c>
      <c r="S1960" s="2" t="s">
        <v>20</v>
      </c>
    </row>
    <row r="1961" spans="1:19" x14ac:dyDescent="0.3">
      <c r="A1961" s="4">
        <v>1959</v>
      </c>
      <c r="B1961" s="2" t="s">
        <v>75</v>
      </c>
      <c r="C1961" s="3">
        <v>44835</v>
      </c>
      <c r="D1961" s="3" t="str">
        <f>TEXT(Table1[[#This Row],[Admission Date]],"MMMM")</f>
        <v>October</v>
      </c>
      <c r="E1961" s="3">
        <v>44835</v>
      </c>
      <c r="F1961" s="3">
        <v>44835</v>
      </c>
      <c r="G1961" s="2">
        <v>22025101</v>
      </c>
      <c r="H1961" s="2">
        <v>2234164</v>
      </c>
      <c r="I1961" s="2">
        <v>10013373132</v>
      </c>
      <c r="J1961" s="2" t="s">
        <v>402</v>
      </c>
      <c r="K1961" s="10">
        <v>1610</v>
      </c>
      <c r="L1961" s="10">
        <v>0</v>
      </c>
      <c r="M1961" s="10">
        <v>1610</v>
      </c>
      <c r="N1961" s="10">
        <v>0</v>
      </c>
      <c r="O1961" s="10">
        <f>Table1[[#This Row],[NET Amount]]-Table1[[#This Row],[Paid Amount]]</f>
        <v>1610</v>
      </c>
      <c r="P1961" s="2" t="s">
        <v>23</v>
      </c>
      <c r="Q1961" s="2" t="s">
        <v>54</v>
      </c>
      <c r="R1961" s="16">
        <f>(Table1[[#This Row],[NET Amount]]-Table1[[#This Row],[Total Outstanding Amount]])/Table1[[#This Row],[NET Amount]]</f>
        <v>0</v>
      </c>
      <c r="S1961" s="2" t="s">
        <v>97</v>
      </c>
    </row>
    <row r="1962" spans="1:19" x14ac:dyDescent="0.3">
      <c r="A1962" s="4">
        <v>1960</v>
      </c>
      <c r="B1962" s="2" t="s">
        <v>380</v>
      </c>
      <c r="C1962" s="3">
        <v>44837</v>
      </c>
      <c r="D1962" s="3" t="str">
        <f>TEXT(Table1[[#This Row],[Admission Date]],"MMMM")</f>
        <v>October</v>
      </c>
      <c r="E1962" s="3">
        <v>44837</v>
      </c>
      <c r="F1962" s="3">
        <v>44837</v>
      </c>
      <c r="G1962" s="2">
        <v>22025465</v>
      </c>
      <c r="H1962" s="2">
        <v>2234479</v>
      </c>
      <c r="I1962" s="2">
        <v>10013413542</v>
      </c>
      <c r="J1962" s="2" t="s">
        <v>389</v>
      </c>
      <c r="K1962" s="10">
        <v>1274</v>
      </c>
      <c r="L1962" s="10">
        <v>0</v>
      </c>
      <c r="M1962" s="10">
        <v>1274</v>
      </c>
      <c r="N1962" s="10">
        <v>0</v>
      </c>
      <c r="O1962" s="10">
        <f>Table1[[#This Row],[NET Amount]]-Table1[[#This Row],[Paid Amount]]</f>
        <v>1274</v>
      </c>
      <c r="P1962" s="2" t="s">
        <v>23</v>
      </c>
      <c r="Q1962" s="2" t="s">
        <v>54</v>
      </c>
      <c r="R1962" s="16">
        <f>(Table1[[#This Row],[NET Amount]]-Table1[[#This Row],[Total Outstanding Amount]])/Table1[[#This Row],[NET Amount]]</f>
        <v>0</v>
      </c>
      <c r="S1962" s="2" t="s">
        <v>97</v>
      </c>
    </row>
    <row r="1963" spans="1:19" x14ac:dyDescent="0.3">
      <c r="A1963" s="4">
        <v>1961</v>
      </c>
      <c r="B1963" s="2" t="s">
        <v>75</v>
      </c>
      <c r="C1963" s="3">
        <v>44834</v>
      </c>
      <c r="D1963" s="3" t="str">
        <f>TEXT(Table1[[#This Row],[Admission Date]],"MMMM")</f>
        <v>September</v>
      </c>
      <c r="E1963" s="3">
        <v>44836</v>
      </c>
      <c r="F1963" s="3">
        <v>44836</v>
      </c>
      <c r="G1963" s="2">
        <v>22025270</v>
      </c>
      <c r="H1963" s="2">
        <v>2234043</v>
      </c>
      <c r="I1963" s="2">
        <v>10013540945</v>
      </c>
      <c r="J1963" s="2" t="s">
        <v>532</v>
      </c>
      <c r="K1963" s="10">
        <v>24882</v>
      </c>
      <c r="L1963" s="10">
        <v>0</v>
      </c>
      <c r="M1963" s="10">
        <v>24882</v>
      </c>
      <c r="N1963" s="10">
        <v>0</v>
      </c>
      <c r="O1963" s="10">
        <f>Table1[[#This Row],[NET Amount]]-Table1[[#This Row],[Paid Amount]]</f>
        <v>24882</v>
      </c>
      <c r="P1963" s="2" t="s">
        <v>23</v>
      </c>
      <c r="Q1963" s="2" t="s">
        <v>19</v>
      </c>
      <c r="R1963" s="16">
        <f>(Table1[[#This Row],[NET Amount]]-Table1[[#This Row],[Total Outstanding Amount]])/Table1[[#This Row],[NET Amount]]</f>
        <v>0</v>
      </c>
      <c r="S1963" s="2" t="s">
        <v>39</v>
      </c>
    </row>
    <row r="1964" spans="1:19" x14ac:dyDescent="0.3">
      <c r="A1964" s="4">
        <v>1962</v>
      </c>
      <c r="B1964" s="2" t="s">
        <v>155</v>
      </c>
      <c r="C1964" s="3">
        <v>44844</v>
      </c>
      <c r="D1964" s="3" t="str">
        <f>TEXT(Table1[[#This Row],[Admission Date]],"MMMM")</f>
        <v>October</v>
      </c>
      <c r="E1964" s="3">
        <v>44844</v>
      </c>
      <c r="F1964" s="3">
        <v>44844</v>
      </c>
      <c r="G1964" s="2">
        <v>22026404</v>
      </c>
      <c r="H1964" s="2">
        <v>2235377</v>
      </c>
      <c r="I1964" s="2">
        <v>1000853411</v>
      </c>
      <c r="J1964" s="2" t="s">
        <v>796</v>
      </c>
      <c r="K1964" s="10">
        <v>1610</v>
      </c>
      <c r="L1964" s="10">
        <v>0</v>
      </c>
      <c r="M1964" s="10">
        <v>1610</v>
      </c>
      <c r="N1964" s="10">
        <v>0</v>
      </c>
      <c r="O1964" s="10">
        <f>Table1[[#This Row],[NET Amount]]-Table1[[#This Row],[Paid Amount]]</f>
        <v>1610</v>
      </c>
      <c r="P1964" s="2" t="s">
        <v>23</v>
      </c>
      <c r="Q1964" s="2" t="s">
        <v>54</v>
      </c>
      <c r="R1964" s="16">
        <f>(Table1[[#This Row],[NET Amount]]-Table1[[#This Row],[Total Outstanding Amount]])/Table1[[#This Row],[NET Amount]]</f>
        <v>0</v>
      </c>
      <c r="S1964" s="2" t="s">
        <v>97</v>
      </c>
    </row>
    <row r="1965" spans="1:19" x14ac:dyDescent="0.3">
      <c r="A1965" s="4">
        <v>1963</v>
      </c>
      <c r="B1965" s="2" t="s">
        <v>122</v>
      </c>
      <c r="C1965" s="3">
        <v>44861</v>
      </c>
      <c r="D1965" s="3" t="str">
        <f>TEXT(Table1[[#This Row],[Admission Date]],"MMMM")</f>
        <v>October</v>
      </c>
      <c r="E1965" s="3">
        <v>44862</v>
      </c>
      <c r="F1965" s="3">
        <v>44862</v>
      </c>
      <c r="G1965" s="2">
        <v>22028947</v>
      </c>
      <c r="H1965" s="2">
        <v>2237630</v>
      </c>
      <c r="I1965" s="2">
        <v>1000907127</v>
      </c>
      <c r="J1965" s="2" t="s">
        <v>1332</v>
      </c>
      <c r="K1965" s="10">
        <v>131029</v>
      </c>
      <c r="L1965" s="10">
        <v>131029</v>
      </c>
      <c r="M1965" s="10">
        <v>0</v>
      </c>
      <c r="N1965" s="10">
        <v>0</v>
      </c>
      <c r="O1965" s="10">
        <f>Table1[[#This Row],[NET Amount]]-Table1[[#This Row],[Paid Amount]]</f>
        <v>0</v>
      </c>
      <c r="P1965" s="2" t="s">
        <v>23</v>
      </c>
      <c r="Q1965" s="2" t="s">
        <v>90</v>
      </c>
      <c r="R1965" s="16" t="e">
        <f>(Table1[[#This Row],[NET Amount]]-Table1[[#This Row],[Total Outstanding Amount]])/Table1[[#This Row],[NET Amount]]</f>
        <v>#DIV/0!</v>
      </c>
      <c r="S1965" s="2" t="s">
        <v>39</v>
      </c>
    </row>
    <row r="1966" spans="1:19" x14ac:dyDescent="0.3">
      <c r="A1966" s="4">
        <v>1964</v>
      </c>
      <c r="B1966" s="2" t="s">
        <v>380</v>
      </c>
      <c r="C1966" s="3">
        <v>44853</v>
      </c>
      <c r="D1966" s="3" t="str">
        <f>TEXT(Table1[[#This Row],[Admission Date]],"MMMM")</f>
        <v>October</v>
      </c>
      <c r="E1966" s="3">
        <v>44853</v>
      </c>
      <c r="F1966" s="3">
        <v>44853</v>
      </c>
      <c r="G1966" s="2">
        <v>22027799</v>
      </c>
      <c r="H1966" s="2">
        <v>2236690</v>
      </c>
      <c r="I1966" s="2">
        <v>1001188488</v>
      </c>
      <c r="J1966" s="2" t="s">
        <v>297</v>
      </c>
      <c r="K1966" s="10">
        <v>1274</v>
      </c>
      <c r="L1966" s="10">
        <v>0</v>
      </c>
      <c r="M1966" s="10">
        <v>1274</v>
      </c>
      <c r="N1966" s="10">
        <v>0</v>
      </c>
      <c r="O1966" s="10">
        <f>Table1[[#This Row],[NET Amount]]-Table1[[#This Row],[Paid Amount]]</f>
        <v>1274</v>
      </c>
      <c r="P1966" s="2" t="s">
        <v>23</v>
      </c>
      <c r="Q1966" s="2" t="s">
        <v>54</v>
      </c>
      <c r="R1966" s="16">
        <f>(Table1[[#This Row],[NET Amount]]-Table1[[#This Row],[Total Outstanding Amount]])/Table1[[#This Row],[NET Amount]]</f>
        <v>0</v>
      </c>
      <c r="S1966" s="2" t="s">
        <v>97</v>
      </c>
    </row>
    <row r="1967" spans="1:19" x14ac:dyDescent="0.3">
      <c r="A1967" s="4">
        <v>1965</v>
      </c>
      <c r="B1967" s="2" t="s">
        <v>45</v>
      </c>
      <c r="C1967" s="3">
        <v>44862</v>
      </c>
      <c r="D1967" s="3" t="str">
        <f>TEXT(Table1[[#This Row],[Admission Date]],"MMMM")</f>
        <v>October</v>
      </c>
      <c r="E1967" s="3">
        <v>44862</v>
      </c>
      <c r="F1967" s="3">
        <v>44862</v>
      </c>
      <c r="G1967" s="2">
        <v>22028851</v>
      </c>
      <c r="H1967" s="2">
        <v>2237759</v>
      </c>
      <c r="I1967" s="2">
        <v>1000992104</v>
      </c>
      <c r="J1967" s="2" t="s">
        <v>1062</v>
      </c>
      <c r="K1967" s="10">
        <v>2200</v>
      </c>
      <c r="L1967" s="10">
        <v>0</v>
      </c>
      <c r="M1967" s="10">
        <v>2200</v>
      </c>
      <c r="N1967" s="10">
        <v>0</v>
      </c>
      <c r="O1967" s="10">
        <f>Table1[[#This Row],[NET Amount]]-Table1[[#This Row],[Paid Amount]]</f>
        <v>2200</v>
      </c>
      <c r="P1967" s="2" t="s">
        <v>23</v>
      </c>
      <c r="Q1967" s="2" t="s">
        <v>147</v>
      </c>
      <c r="R1967" s="16">
        <f>(Table1[[#This Row],[NET Amount]]-Table1[[#This Row],[Total Outstanding Amount]])/Table1[[#This Row],[NET Amount]]</f>
        <v>0</v>
      </c>
      <c r="S1967" s="2" t="s">
        <v>97</v>
      </c>
    </row>
    <row r="1968" spans="1:19" x14ac:dyDescent="0.3">
      <c r="A1968" s="4">
        <v>1966</v>
      </c>
      <c r="B1968" s="2" t="s">
        <v>380</v>
      </c>
      <c r="C1968" s="3">
        <v>44847</v>
      </c>
      <c r="D1968" s="3" t="str">
        <f>TEXT(Table1[[#This Row],[Admission Date]],"MMMM")</f>
        <v>October</v>
      </c>
      <c r="E1968" s="3">
        <v>44847</v>
      </c>
      <c r="F1968" s="3">
        <v>44847</v>
      </c>
      <c r="G1968" s="2">
        <v>22026942</v>
      </c>
      <c r="H1968" s="2">
        <v>2235864</v>
      </c>
      <c r="I1968" s="2">
        <v>1000891592</v>
      </c>
      <c r="J1968" s="2" t="s">
        <v>815</v>
      </c>
      <c r="K1968" s="10">
        <v>1274</v>
      </c>
      <c r="L1968" s="10">
        <v>0</v>
      </c>
      <c r="M1968" s="10">
        <v>1274</v>
      </c>
      <c r="N1968" s="10">
        <v>0</v>
      </c>
      <c r="O1968" s="10">
        <f>Table1[[#This Row],[NET Amount]]-Table1[[#This Row],[Paid Amount]]</f>
        <v>1274</v>
      </c>
      <c r="P1968" s="2" t="s">
        <v>23</v>
      </c>
      <c r="Q1968" s="2" t="s">
        <v>54</v>
      </c>
      <c r="R1968" s="16">
        <f>(Table1[[#This Row],[NET Amount]]-Table1[[#This Row],[Total Outstanding Amount]])/Table1[[#This Row],[NET Amount]]</f>
        <v>0</v>
      </c>
      <c r="S1968" s="2" t="s">
        <v>97</v>
      </c>
    </row>
    <row r="1969" spans="1:19" x14ac:dyDescent="0.3">
      <c r="A1969" s="4">
        <v>1967</v>
      </c>
      <c r="B1969" s="2" t="s">
        <v>2263</v>
      </c>
      <c r="C1969" s="3">
        <v>44863</v>
      </c>
      <c r="D1969" s="3" t="str">
        <f>TEXT(Table1[[#This Row],[Admission Date]],"MMMM")</f>
        <v>October</v>
      </c>
      <c r="E1969" s="3">
        <v>44863</v>
      </c>
      <c r="F1969" s="3">
        <v>44863</v>
      </c>
      <c r="G1969" s="2">
        <v>22029013</v>
      </c>
      <c r="H1969" s="2">
        <v>2237922</v>
      </c>
      <c r="I1969" s="2">
        <v>1001666089</v>
      </c>
      <c r="J1969" s="2" t="s">
        <v>809</v>
      </c>
      <c r="K1969" s="10">
        <v>1274</v>
      </c>
      <c r="L1969" s="10">
        <v>0</v>
      </c>
      <c r="M1969" s="10">
        <v>1274</v>
      </c>
      <c r="N1969" s="10">
        <v>0</v>
      </c>
      <c r="O1969" s="10">
        <f>Table1[[#This Row],[NET Amount]]-Table1[[#This Row],[Paid Amount]]</f>
        <v>1274</v>
      </c>
      <c r="P1969" s="2" t="s">
        <v>23</v>
      </c>
      <c r="Q1969" s="2" t="s">
        <v>54</v>
      </c>
      <c r="R1969" s="16">
        <f>(Table1[[#This Row],[NET Amount]]-Table1[[#This Row],[Total Outstanding Amount]])/Table1[[#This Row],[NET Amount]]</f>
        <v>0</v>
      </c>
      <c r="S1969" s="2" t="s">
        <v>97</v>
      </c>
    </row>
    <row r="1970" spans="1:19" x14ac:dyDescent="0.3">
      <c r="A1970" s="4">
        <v>1968</v>
      </c>
      <c r="B1970" s="2" t="s">
        <v>75</v>
      </c>
      <c r="C1970" s="3">
        <v>44844</v>
      </c>
      <c r="D1970" s="3" t="str">
        <f>TEXT(Table1[[#This Row],[Admission Date]],"MMMM")</f>
        <v>October</v>
      </c>
      <c r="E1970" s="3">
        <v>44844</v>
      </c>
      <c r="F1970" s="3">
        <v>44844</v>
      </c>
      <c r="G1970" s="2">
        <v>22026335</v>
      </c>
      <c r="H1970" s="2">
        <v>2235337</v>
      </c>
      <c r="I1970" s="2">
        <v>10013401847</v>
      </c>
      <c r="J1970" s="2" t="s">
        <v>449</v>
      </c>
      <c r="K1970" s="10">
        <v>1610</v>
      </c>
      <c r="L1970" s="10">
        <v>0</v>
      </c>
      <c r="M1970" s="10">
        <v>1610</v>
      </c>
      <c r="N1970" s="10">
        <v>0</v>
      </c>
      <c r="O1970" s="10">
        <f>Table1[[#This Row],[NET Amount]]-Table1[[#This Row],[Paid Amount]]</f>
        <v>1610</v>
      </c>
      <c r="P1970" s="2" t="s">
        <v>23</v>
      </c>
      <c r="Q1970" s="2" t="s">
        <v>54</v>
      </c>
      <c r="R1970" s="16">
        <f>(Table1[[#This Row],[NET Amount]]-Table1[[#This Row],[Total Outstanding Amount]])/Table1[[#This Row],[NET Amount]]</f>
        <v>0</v>
      </c>
      <c r="S1970" s="2" t="s">
        <v>97</v>
      </c>
    </row>
    <row r="1971" spans="1:19" x14ac:dyDescent="0.3">
      <c r="A1971" s="4">
        <v>1969</v>
      </c>
      <c r="B1971" s="2" t="s">
        <v>155</v>
      </c>
      <c r="C1971" s="3">
        <v>44857</v>
      </c>
      <c r="D1971" s="3" t="str">
        <f>TEXT(Table1[[#This Row],[Admission Date]],"MMMM")</f>
        <v>October</v>
      </c>
      <c r="E1971" s="3">
        <v>44857</v>
      </c>
      <c r="F1971" s="3">
        <v>44857</v>
      </c>
      <c r="G1971" s="2">
        <v>22028370</v>
      </c>
      <c r="H1971" s="2">
        <v>2237155</v>
      </c>
      <c r="I1971" s="2">
        <v>1000853411</v>
      </c>
      <c r="J1971" s="2" t="s">
        <v>796</v>
      </c>
      <c r="K1971" s="10">
        <v>1610</v>
      </c>
      <c r="L1971" s="10">
        <v>0</v>
      </c>
      <c r="M1971" s="10">
        <v>1610</v>
      </c>
      <c r="N1971" s="10">
        <v>0</v>
      </c>
      <c r="O1971" s="10">
        <f>Table1[[#This Row],[NET Amount]]-Table1[[#This Row],[Paid Amount]]</f>
        <v>1610</v>
      </c>
      <c r="P1971" s="2" t="s">
        <v>23</v>
      </c>
      <c r="Q1971" s="2" t="s">
        <v>54</v>
      </c>
      <c r="R1971" s="16">
        <f>(Table1[[#This Row],[NET Amount]]-Table1[[#This Row],[Total Outstanding Amount]])/Table1[[#This Row],[NET Amount]]</f>
        <v>0</v>
      </c>
      <c r="S1971" s="2" t="s">
        <v>97</v>
      </c>
    </row>
    <row r="1972" spans="1:19" x14ac:dyDescent="0.3">
      <c r="A1972" s="4">
        <v>1970</v>
      </c>
      <c r="B1972" s="2" t="s">
        <v>2258</v>
      </c>
      <c r="C1972" s="3">
        <v>44836</v>
      </c>
      <c r="D1972" s="3" t="str">
        <f>TEXT(Table1[[#This Row],[Admission Date]],"MMMM")</f>
        <v>October</v>
      </c>
      <c r="E1972" s="3">
        <v>44846</v>
      </c>
      <c r="F1972" s="3">
        <v>44846</v>
      </c>
      <c r="G1972" s="2">
        <v>22026752</v>
      </c>
      <c r="H1972" s="2">
        <v>2234305</v>
      </c>
      <c r="I1972" s="2">
        <v>1001801989</v>
      </c>
      <c r="J1972" s="2" t="s">
        <v>1333</v>
      </c>
      <c r="K1972" s="10">
        <v>73176</v>
      </c>
      <c r="L1972" s="10">
        <v>0</v>
      </c>
      <c r="M1972" s="10">
        <v>73176</v>
      </c>
      <c r="N1972" s="10">
        <v>0</v>
      </c>
      <c r="O1972" s="10">
        <f>Table1[[#This Row],[NET Amount]]-Table1[[#This Row],[Paid Amount]]</f>
        <v>73176</v>
      </c>
      <c r="P1972" s="2" t="s">
        <v>23</v>
      </c>
      <c r="Q1972" s="2" t="s">
        <v>24</v>
      </c>
      <c r="R1972" s="16">
        <f>(Table1[[#This Row],[NET Amount]]-Table1[[#This Row],[Total Outstanding Amount]])/Table1[[#This Row],[NET Amount]]</f>
        <v>0</v>
      </c>
      <c r="S1972" s="2" t="s">
        <v>20</v>
      </c>
    </row>
    <row r="1973" spans="1:19" x14ac:dyDescent="0.3">
      <c r="A1973" s="4">
        <v>1971</v>
      </c>
      <c r="B1973" s="2" t="s">
        <v>380</v>
      </c>
      <c r="C1973" s="3">
        <v>44862</v>
      </c>
      <c r="D1973" s="3" t="str">
        <f>TEXT(Table1[[#This Row],[Admission Date]],"MMMM")</f>
        <v>October</v>
      </c>
      <c r="E1973" s="3">
        <v>44862</v>
      </c>
      <c r="F1973" s="3">
        <v>44862</v>
      </c>
      <c r="G1973" s="2">
        <v>22028984</v>
      </c>
      <c r="H1973" s="2">
        <v>2237884</v>
      </c>
      <c r="I1973" s="2">
        <v>1000891355</v>
      </c>
      <c r="J1973" s="2" t="s">
        <v>792</v>
      </c>
      <c r="K1973" s="10">
        <v>1274</v>
      </c>
      <c r="L1973" s="10">
        <v>0</v>
      </c>
      <c r="M1973" s="10">
        <v>1274</v>
      </c>
      <c r="N1973" s="10">
        <v>0</v>
      </c>
      <c r="O1973" s="10">
        <f>Table1[[#This Row],[NET Amount]]-Table1[[#This Row],[Paid Amount]]</f>
        <v>1274</v>
      </c>
      <c r="P1973" s="2" t="s">
        <v>23</v>
      </c>
      <c r="Q1973" s="2" t="s">
        <v>54</v>
      </c>
      <c r="R1973" s="16">
        <f>(Table1[[#This Row],[NET Amount]]-Table1[[#This Row],[Total Outstanding Amount]])/Table1[[#This Row],[NET Amount]]</f>
        <v>0</v>
      </c>
      <c r="S1973" s="2" t="s">
        <v>97</v>
      </c>
    </row>
    <row r="1974" spans="1:19" x14ac:dyDescent="0.3">
      <c r="A1974" s="4">
        <v>1972</v>
      </c>
      <c r="B1974" s="2" t="s">
        <v>45</v>
      </c>
      <c r="C1974" s="3">
        <v>44862</v>
      </c>
      <c r="D1974" s="3" t="str">
        <f>TEXT(Table1[[#This Row],[Admission Date]],"MMMM")</f>
        <v>October</v>
      </c>
      <c r="E1974" s="3">
        <v>44862</v>
      </c>
      <c r="F1974" s="3">
        <v>44862</v>
      </c>
      <c r="G1974" s="2">
        <v>22028932</v>
      </c>
      <c r="H1974" s="2">
        <v>2237784</v>
      </c>
      <c r="I1974" s="2">
        <v>1001684515</v>
      </c>
      <c r="J1974" s="2" t="s">
        <v>414</v>
      </c>
      <c r="K1974" s="10">
        <v>2200</v>
      </c>
      <c r="L1974" s="10">
        <v>0</v>
      </c>
      <c r="M1974" s="10">
        <v>2200</v>
      </c>
      <c r="N1974" s="10">
        <v>0</v>
      </c>
      <c r="O1974" s="10">
        <f>Table1[[#This Row],[NET Amount]]-Table1[[#This Row],[Paid Amount]]</f>
        <v>2200</v>
      </c>
      <c r="P1974" s="2" t="s">
        <v>23</v>
      </c>
      <c r="Q1974" s="2" t="s">
        <v>147</v>
      </c>
      <c r="R1974" s="16">
        <f>(Table1[[#This Row],[NET Amount]]-Table1[[#This Row],[Total Outstanding Amount]])/Table1[[#This Row],[NET Amount]]</f>
        <v>0</v>
      </c>
      <c r="S1974" s="2" t="s">
        <v>97</v>
      </c>
    </row>
    <row r="1975" spans="1:19" x14ac:dyDescent="0.3">
      <c r="A1975" s="4">
        <v>1973</v>
      </c>
      <c r="B1975" s="2" t="s">
        <v>2253</v>
      </c>
      <c r="C1975" s="3">
        <v>44846</v>
      </c>
      <c r="D1975" s="3" t="str">
        <f>TEXT(Table1[[#This Row],[Admission Date]],"MMMM")</f>
        <v>October</v>
      </c>
      <c r="E1975" s="3">
        <v>44847</v>
      </c>
      <c r="F1975" s="3">
        <v>44848</v>
      </c>
      <c r="G1975" s="2">
        <v>22027070</v>
      </c>
      <c r="H1975" s="2">
        <v>2235724</v>
      </c>
      <c r="I1975" s="2">
        <v>1001803988</v>
      </c>
      <c r="J1975" s="2" t="s">
        <v>1334</v>
      </c>
      <c r="K1975" s="10">
        <v>144868</v>
      </c>
      <c r="L1975" s="10">
        <v>0</v>
      </c>
      <c r="M1975" s="10">
        <v>144868</v>
      </c>
      <c r="N1975" s="10">
        <v>0</v>
      </c>
      <c r="O1975" s="10">
        <f>Table1[[#This Row],[NET Amount]]-Table1[[#This Row],[Paid Amount]]</f>
        <v>144868</v>
      </c>
      <c r="P1975" s="2" t="s">
        <v>23</v>
      </c>
      <c r="Q1975" s="2" t="s">
        <v>24</v>
      </c>
      <c r="R1975" s="16">
        <f>(Table1[[#This Row],[NET Amount]]-Table1[[#This Row],[Total Outstanding Amount]])/Table1[[#This Row],[NET Amount]]</f>
        <v>0</v>
      </c>
      <c r="S1975" s="2" t="s">
        <v>39</v>
      </c>
    </row>
    <row r="1976" spans="1:19" x14ac:dyDescent="0.3">
      <c r="A1976" s="4">
        <v>1974</v>
      </c>
      <c r="B1976" s="2" t="s">
        <v>2264</v>
      </c>
      <c r="C1976" s="3">
        <v>44842</v>
      </c>
      <c r="D1976" s="3" t="str">
        <f>TEXT(Table1[[#This Row],[Admission Date]],"MMMM")</f>
        <v>October</v>
      </c>
      <c r="E1976" s="3">
        <v>44842</v>
      </c>
      <c r="F1976" s="3">
        <v>44842</v>
      </c>
      <c r="G1976" s="2">
        <v>22026207</v>
      </c>
      <c r="H1976" s="2">
        <v>2235224</v>
      </c>
      <c r="I1976" s="2">
        <v>1001445916</v>
      </c>
      <c r="J1976" s="2" t="s">
        <v>445</v>
      </c>
      <c r="K1976" s="10">
        <v>2000</v>
      </c>
      <c r="L1976" s="10">
        <v>0</v>
      </c>
      <c r="M1976" s="10">
        <v>2000</v>
      </c>
      <c r="N1976" s="10">
        <v>0</v>
      </c>
      <c r="O1976" s="10">
        <f>Table1[[#This Row],[NET Amount]]-Table1[[#This Row],[Paid Amount]]</f>
        <v>2000</v>
      </c>
      <c r="P1976" s="2" t="s">
        <v>23</v>
      </c>
      <c r="Q1976" s="2" t="s">
        <v>54</v>
      </c>
      <c r="R1976" s="16">
        <f>(Table1[[#This Row],[NET Amount]]-Table1[[#This Row],[Total Outstanding Amount]])/Table1[[#This Row],[NET Amount]]</f>
        <v>0</v>
      </c>
      <c r="S1976" s="2" t="s">
        <v>97</v>
      </c>
    </row>
    <row r="1977" spans="1:19" x14ac:dyDescent="0.3">
      <c r="A1977" s="4">
        <v>1975</v>
      </c>
      <c r="B1977" s="2" t="s">
        <v>149</v>
      </c>
      <c r="C1977" s="3">
        <v>44834</v>
      </c>
      <c r="D1977" s="3" t="str">
        <f>TEXT(Table1[[#This Row],[Admission Date]],"MMMM")</f>
        <v>September</v>
      </c>
      <c r="E1977" s="3">
        <v>44835</v>
      </c>
      <c r="F1977" s="3">
        <v>44835</v>
      </c>
      <c r="G1977" s="2">
        <v>22025117</v>
      </c>
      <c r="H1977" s="2">
        <v>2234044</v>
      </c>
      <c r="I1977" s="2">
        <v>10013540889</v>
      </c>
      <c r="J1977" s="2" t="s">
        <v>1149</v>
      </c>
      <c r="K1977" s="10">
        <v>166802</v>
      </c>
      <c r="L1977" s="10">
        <v>0</v>
      </c>
      <c r="M1977" s="10">
        <v>166802</v>
      </c>
      <c r="N1977" s="10">
        <v>0</v>
      </c>
      <c r="O1977" s="10">
        <f>Table1[[#This Row],[NET Amount]]-Table1[[#This Row],[Paid Amount]]</f>
        <v>166802</v>
      </c>
      <c r="P1977" s="2" t="s">
        <v>23</v>
      </c>
      <c r="Q1977" s="2" t="s">
        <v>30</v>
      </c>
      <c r="R1977" s="16">
        <f>(Table1[[#This Row],[NET Amount]]-Table1[[#This Row],[Total Outstanding Amount]])/Table1[[#This Row],[NET Amount]]</f>
        <v>0</v>
      </c>
      <c r="S1977" s="2" t="s">
        <v>77</v>
      </c>
    </row>
    <row r="1978" spans="1:19" x14ac:dyDescent="0.3">
      <c r="A1978" s="4">
        <v>1976</v>
      </c>
      <c r="B1978" s="2" t="s">
        <v>155</v>
      </c>
      <c r="C1978" s="3">
        <v>44853</v>
      </c>
      <c r="D1978" s="3" t="str">
        <f>TEXT(Table1[[#This Row],[Admission Date]],"MMMM")</f>
        <v>October</v>
      </c>
      <c r="E1978" s="3">
        <v>44853</v>
      </c>
      <c r="F1978" s="3">
        <v>44853</v>
      </c>
      <c r="G1978" s="2">
        <v>22027729</v>
      </c>
      <c r="H1978" s="2">
        <v>2236618</v>
      </c>
      <c r="I1978" s="2">
        <v>1000979923</v>
      </c>
      <c r="J1978" s="2" t="s">
        <v>785</v>
      </c>
      <c r="K1978" s="10">
        <v>1610</v>
      </c>
      <c r="L1978" s="10">
        <v>0</v>
      </c>
      <c r="M1978" s="10">
        <v>1610</v>
      </c>
      <c r="N1978" s="10">
        <v>0</v>
      </c>
      <c r="O1978" s="10">
        <f>Table1[[#This Row],[NET Amount]]-Table1[[#This Row],[Paid Amount]]</f>
        <v>1610</v>
      </c>
      <c r="P1978" s="2" t="s">
        <v>23</v>
      </c>
      <c r="Q1978" s="2" t="s">
        <v>54</v>
      </c>
      <c r="R1978" s="16">
        <f>(Table1[[#This Row],[NET Amount]]-Table1[[#This Row],[Total Outstanding Amount]])/Table1[[#This Row],[NET Amount]]</f>
        <v>0</v>
      </c>
      <c r="S1978" s="2" t="s">
        <v>97</v>
      </c>
    </row>
    <row r="1979" spans="1:19" x14ac:dyDescent="0.3">
      <c r="A1979" s="4">
        <v>1977</v>
      </c>
      <c r="B1979" s="2" t="s">
        <v>115</v>
      </c>
      <c r="C1979" s="3">
        <v>44856</v>
      </c>
      <c r="D1979" s="3" t="str">
        <f>TEXT(Table1[[#This Row],[Admission Date]],"MMMM")</f>
        <v>October</v>
      </c>
      <c r="E1979" s="3">
        <v>44856</v>
      </c>
      <c r="F1979" s="3">
        <v>44856</v>
      </c>
      <c r="G1979" s="2">
        <v>22028297</v>
      </c>
      <c r="H1979" s="2">
        <v>2237100</v>
      </c>
      <c r="I1979" s="2">
        <v>1001456152</v>
      </c>
      <c r="J1979" s="2" t="s">
        <v>404</v>
      </c>
      <c r="K1979" s="10">
        <v>2200</v>
      </c>
      <c r="L1979" s="10">
        <v>0</v>
      </c>
      <c r="M1979" s="10">
        <v>2200</v>
      </c>
      <c r="N1979" s="10">
        <v>0</v>
      </c>
      <c r="O1979" s="10">
        <f>Table1[[#This Row],[NET Amount]]-Table1[[#This Row],[Paid Amount]]</f>
        <v>2200</v>
      </c>
      <c r="P1979" s="2" t="s">
        <v>23</v>
      </c>
      <c r="Q1979" s="2" t="s">
        <v>147</v>
      </c>
      <c r="R1979" s="16">
        <f>(Table1[[#This Row],[NET Amount]]-Table1[[#This Row],[Total Outstanding Amount]])/Table1[[#This Row],[NET Amount]]</f>
        <v>0</v>
      </c>
      <c r="S1979" s="2" t="s">
        <v>97</v>
      </c>
    </row>
    <row r="1980" spans="1:19" x14ac:dyDescent="0.3">
      <c r="A1980" s="4">
        <v>1978</v>
      </c>
      <c r="B1980" s="2" t="s">
        <v>2263</v>
      </c>
      <c r="C1980" s="3">
        <v>44860</v>
      </c>
      <c r="D1980" s="3" t="str">
        <f>TEXT(Table1[[#This Row],[Admission Date]],"MMMM")</f>
        <v>October</v>
      </c>
      <c r="E1980" s="3">
        <v>44860</v>
      </c>
      <c r="F1980" s="3">
        <v>44860</v>
      </c>
      <c r="G1980" s="2">
        <v>22028681</v>
      </c>
      <c r="H1980" s="2">
        <v>2237540</v>
      </c>
      <c r="I1980" s="2">
        <v>1001684202</v>
      </c>
      <c r="J1980" s="2" t="s">
        <v>446</v>
      </c>
      <c r="K1980" s="10">
        <v>1274</v>
      </c>
      <c r="L1980" s="10">
        <v>0</v>
      </c>
      <c r="M1980" s="10">
        <v>1274</v>
      </c>
      <c r="N1980" s="10">
        <v>0</v>
      </c>
      <c r="O1980" s="10">
        <f>Table1[[#This Row],[NET Amount]]-Table1[[#This Row],[Paid Amount]]</f>
        <v>1274</v>
      </c>
      <c r="P1980" s="2" t="s">
        <v>23</v>
      </c>
      <c r="Q1980" s="2" t="s">
        <v>54</v>
      </c>
      <c r="R1980" s="16">
        <f>(Table1[[#This Row],[NET Amount]]-Table1[[#This Row],[Total Outstanding Amount]])/Table1[[#This Row],[NET Amount]]</f>
        <v>0</v>
      </c>
      <c r="S1980" s="2" t="s">
        <v>97</v>
      </c>
    </row>
    <row r="1981" spans="1:19" x14ac:dyDescent="0.3">
      <c r="A1981" s="4">
        <v>1979</v>
      </c>
      <c r="B1981" s="2" t="s">
        <v>380</v>
      </c>
      <c r="C1981" s="3">
        <v>44860</v>
      </c>
      <c r="D1981" s="3" t="str">
        <f>TEXT(Table1[[#This Row],[Admission Date]],"MMMM")</f>
        <v>October</v>
      </c>
      <c r="E1981" s="3">
        <v>44860</v>
      </c>
      <c r="F1981" s="3">
        <v>44860</v>
      </c>
      <c r="G1981" s="2">
        <v>22028700</v>
      </c>
      <c r="H1981" s="2">
        <v>2237568</v>
      </c>
      <c r="I1981" s="2">
        <v>10013371548</v>
      </c>
      <c r="J1981" s="2" t="s">
        <v>482</v>
      </c>
      <c r="K1981" s="10">
        <v>1274</v>
      </c>
      <c r="L1981" s="10">
        <v>0</v>
      </c>
      <c r="M1981" s="10">
        <v>1274</v>
      </c>
      <c r="N1981" s="10">
        <v>0</v>
      </c>
      <c r="O1981" s="10">
        <f>Table1[[#This Row],[NET Amount]]-Table1[[#This Row],[Paid Amount]]</f>
        <v>1274</v>
      </c>
      <c r="P1981" s="2" t="s">
        <v>23</v>
      </c>
      <c r="Q1981" s="2" t="s">
        <v>54</v>
      </c>
      <c r="R1981" s="16">
        <f>(Table1[[#This Row],[NET Amount]]-Table1[[#This Row],[Total Outstanding Amount]])/Table1[[#This Row],[NET Amount]]</f>
        <v>0</v>
      </c>
      <c r="S1981" s="2" t="s">
        <v>97</v>
      </c>
    </row>
    <row r="1982" spans="1:19" x14ac:dyDescent="0.3">
      <c r="A1982" s="4">
        <v>1980</v>
      </c>
      <c r="B1982" s="2" t="s">
        <v>407</v>
      </c>
      <c r="C1982" s="3">
        <v>44847</v>
      </c>
      <c r="D1982" s="3" t="str">
        <f>TEXT(Table1[[#This Row],[Admission Date]],"MMMM")</f>
        <v>October</v>
      </c>
      <c r="E1982" s="3">
        <v>44851</v>
      </c>
      <c r="F1982" s="3">
        <v>44856</v>
      </c>
      <c r="G1982" s="2">
        <v>22028239</v>
      </c>
      <c r="H1982" s="2">
        <v>2235896</v>
      </c>
      <c r="I1982" s="2">
        <v>1001005990</v>
      </c>
      <c r="J1982" s="2" t="s">
        <v>1335</v>
      </c>
      <c r="K1982" s="10">
        <v>151642</v>
      </c>
      <c r="L1982" s="10">
        <v>0</v>
      </c>
      <c r="M1982" s="10">
        <v>151642</v>
      </c>
      <c r="N1982" s="10">
        <v>0</v>
      </c>
      <c r="O1982" s="10">
        <f>Table1[[#This Row],[NET Amount]]-Table1[[#This Row],[Paid Amount]]</f>
        <v>151642</v>
      </c>
      <c r="P1982" s="2" t="s">
        <v>23</v>
      </c>
      <c r="Q1982" s="2" t="s">
        <v>19</v>
      </c>
      <c r="R1982" s="16">
        <f>(Table1[[#This Row],[NET Amount]]-Table1[[#This Row],[Total Outstanding Amount]])/Table1[[#This Row],[NET Amount]]</f>
        <v>0</v>
      </c>
      <c r="S1982" s="2" t="s">
        <v>39</v>
      </c>
    </row>
    <row r="1983" spans="1:19" x14ac:dyDescent="0.3">
      <c r="A1983" s="4">
        <v>1981</v>
      </c>
      <c r="B1983" s="2" t="s">
        <v>380</v>
      </c>
      <c r="C1983" s="3">
        <v>44845</v>
      </c>
      <c r="D1983" s="3" t="str">
        <f>TEXT(Table1[[#This Row],[Admission Date]],"MMMM")</f>
        <v>October</v>
      </c>
      <c r="E1983" s="3">
        <v>44845</v>
      </c>
      <c r="F1983" s="3">
        <v>44845</v>
      </c>
      <c r="G1983" s="2">
        <v>22026640</v>
      </c>
      <c r="H1983" s="2">
        <v>2235610</v>
      </c>
      <c r="I1983" s="2">
        <v>1000891068</v>
      </c>
      <c r="J1983" s="2" t="s">
        <v>1082</v>
      </c>
      <c r="K1983" s="10">
        <v>1274</v>
      </c>
      <c r="L1983" s="10">
        <v>0</v>
      </c>
      <c r="M1983" s="10">
        <v>1274</v>
      </c>
      <c r="N1983" s="10">
        <v>0</v>
      </c>
      <c r="O1983" s="10">
        <f>Table1[[#This Row],[NET Amount]]-Table1[[#This Row],[Paid Amount]]</f>
        <v>1274</v>
      </c>
      <c r="P1983" s="2" t="s">
        <v>23</v>
      </c>
      <c r="Q1983" s="2" t="s">
        <v>54</v>
      </c>
      <c r="R1983" s="16">
        <f>(Table1[[#This Row],[NET Amount]]-Table1[[#This Row],[Total Outstanding Amount]])/Table1[[#This Row],[NET Amount]]</f>
        <v>0</v>
      </c>
      <c r="S1983" s="2" t="s">
        <v>97</v>
      </c>
    </row>
    <row r="1984" spans="1:19" x14ac:dyDescent="0.3">
      <c r="A1984" s="4">
        <v>1982</v>
      </c>
      <c r="B1984" s="2" t="s">
        <v>380</v>
      </c>
      <c r="C1984" s="3">
        <v>44856</v>
      </c>
      <c r="D1984" s="3" t="str">
        <f>TEXT(Table1[[#This Row],[Admission Date]],"MMMM")</f>
        <v>October</v>
      </c>
      <c r="E1984" s="3">
        <v>44856</v>
      </c>
      <c r="F1984" s="3">
        <v>44856</v>
      </c>
      <c r="G1984" s="2">
        <v>22028292</v>
      </c>
      <c r="H1984" s="2">
        <v>2237089</v>
      </c>
      <c r="I1984" s="2">
        <v>1000857532</v>
      </c>
      <c r="J1984" s="2" t="s">
        <v>416</v>
      </c>
      <c r="K1984" s="10">
        <v>1274</v>
      </c>
      <c r="L1984" s="10">
        <v>0</v>
      </c>
      <c r="M1984" s="10">
        <v>1274</v>
      </c>
      <c r="N1984" s="10">
        <v>0</v>
      </c>
      <c r="O1984" s="10">
        <f>Table1[[#This Row],[NET Amount]]-Table1[[#This Row],[Paid Amount]]</f>
        <v>1274</v>
      </c>
      <c r="P1984" s="2" t="s">
        <v>23</v>
      </c>
      <c r="Q1984" s="2" t="s">
        <v>54</v>
      </c>
      <c r="R1984" s="16">
        <f>(Table1[[#This Row],[NET Amount]]-Table1[[#This Row],[Total Outstanding Amount]])/Table1[[#This Row],[NET Amount]]</f>
        <v>0</v>
      </c>
      <c r="S1984" s="2" t="s">
        <v>97</v>
      </c>
    </row>
    <row r="1985" spans="1:19" x14ac:dyDescent="0.3">
      <c r="A1985" s="4">
        <v>1983</v>
      </c>
      <c r="B1985" s="2" t="s">
        <v>155</v>
      </c>
      <c r="C1985" s="3">
        <v>44849</v>
      </c>
      <c r="D1985" s="3" t="str">
        <f>TEXT(Table1[[#This Row],[Admission Date]],"MMMM")</f>
        <v>October</v>
      </c>
      <c r="E1985" s="3">
        <v>44849</v>
      </c>
      <c r="F1985" s="3">
        <v>44849</v>
      </c>
      <c r="G1985" s="2">
        <v>22027256</v>
      </c>
      <c r="H1985" s="2">
        <v>2236167</v>
      </c>
      <c r="I1985" s="2">
        <v>1000979923</v>
      </c>
      <c r="J1985" s="2" t="s">
        <v>785</v>
      </c>
      <c r="K1985" s="10">
        <v>1610</v>
      </c>
      <c r="L1985" s="10">
        <v>0</v>
      </c>
      <c r="M1985" s="10">
        <v>1610</v>
      </c>
      <c r="N1985" s="10">
        <v>0</v>
      </c>
      <c r="O1985" s="10">
        <f>Table1[[#This Row],[NET Amount]]-Table1[[#This Row],[Paid Amount]]</f>
        <v>1610</v>
      </c>
      <c r="P1985" s="2" t="s">
        <v>23</v>
      </c>
      <c r="Q1985" s="2" t="s">
        <v>54</v>
      </c>
      <c r="R1985" s="16">
        <f>(Table1[[#This Row],[NET Amount]]-Table1[[#This Row],[Total Outstanding Amount]])/Table1[[#This Row],[NET Amount]]</f>
        <v>0</v>
      </c>
      <c r="S1985" s="2" t="s">
        <v>97</v>
      </c>
    </row>
    <row r="1986" spans="1:19" x14ac:dyDescent="0.3">
      <c r="A1986" s="4">
        <v>1984</v>
      </c>
      <c r="B1986" s="2" t="s">
        <v>2263</v>
      </c>
      <c r="C1986" s="3">
        <v>44859</v>
      </c>
      <c r="D1986" s="3" t="str">
        <f>TEXT(Table1[[#This Row],[Admission Date]],"MMMM")</f>
        <v>October</v>
      </c>
      <c r="E1986" s="3">
        <v>44859</v>
      </c>
      <c r="F1986" s="3">
        <v>44859</v>
      </c>
      <c r="G1986" s="2">
        <v>22028541</v>
      </c>
      <c r="H1986" s="2">
        <v>2237379</v>
      </c>
      <c r="I1986" s="2">
        <v>1001777331</v>
      </c>
      <c r="J1986" s="2" t="s">
        <v>791</v>
      </c>
      <c r="K1986" s="10">
        <v>1274</v>
      </c>
      <c r="L1986" s="10">
        <v>0</v>
      </c>
      <c r="M1986" s="10">
        <v>1274</v>
      </c>
      <c r="N1986" s="10">
        <v>0</v>
      </c>
      <c r="O1986" s="10">
        <f>Table1[[#This Row],[NET Amount]]-Table1[[#This Row],[Paid Amount]]</f>
        <v>1274</v>
      </c>
      <c r="P1986" s="2" t="s">
        <v>23</v>
      </c>
      <c r="Q1986" s="2" t="s">
        <v>54</v>
      </c>
      <c r="R1986" s="16">
        <f>(Table1[[#This Row],[NET Amount]]-Table1[[#This Row],[Total Outstanding Amount]])/Table1[[#This Row],[NET Amount]]</f>
        <v>0</v>
      </c>
      <c r="S1986" s="2" t="s">
        <v>97</v>
      </c>
    </row>
    <row r="1987" spans="1:19" x14ac:dyDescent="0.3">
      <c r="A1987" s="4">
        <v>1985</v>
      </c>
      <c r="B1987" s="2" t="s">
        <v>380</v>
      </c>
      <c r="C1987" s="3">
        <v>44842</v>
      </c>
      <c r="D1987" s="3" t="str">
        <f>TEXT(Table1[[#This Row],[Admission Date]],"MMMM")</f>
        <v>October</v>
      </c>
      <c r="E1987" s="3">
        <v>44842</v>
      </c>
      <c r="F1987" s="3">
        <v>44842</v>
      </c>
      <c r="G1987" s="2">
        <v>22026229</v>
      </c>
      <c r="H1987" s="2">
        <v>2235237</v>
      </c>
      <c r="I1987" s="2">
        <v>10013516483</v>
      </c>
      <c r="J1987" s="2" t="s">
        <v>812</v>
      </c>
      <c r="K1987" s="10">
        <v>1274</v>
      </c>
      <c r="L1987" s="10">
        <v>0</v>
      </c>
      <c r="M1987" s="10">
        <v>1274</v>
      </c>
      <c r="N1987" s="10">
        <v>0</v>
      </c>
      <c r="O1987" s="10">
        <f>Table1[[#This Row],[NET Amount]]-Table1[[#This Row],[Paid Amount]]</f>
        <v>1274</v>
      </c>
      <c r="P1987" s="2" t="s">
        <v>23</v>
      </c>
      <c r="Q1987" s="2" t="s">
        <v>54</v>
      </c>
      <c r="R1987" s="16">
        <f>(Table1[[#This Row],[NET Amount]]-Table1[[#This Row],[Total Outstanding Amount]])/Table1[[#This Row],[NET Amount]]</f>
        <v>0</v>
      </c>
      <c r="S1987" s="2" t="s">
        <v>97</v>
      </c>
    </row>
    <row r="1988" spans="1:19" x14ac:dyDescent="0.3">
      <c r="A1988" s="4">
        <v>1986</v>
      </c>
      <c r="B1988" s="2" t="s">
        <v>75</v>
      </c>
      <c r="C1988" s="3">
        <v>44861</v>
      </c>
      <c r="D1988" s="3" t="str">
        <f>TEXT(Table1[[#This Row],[Admission Date]],"MMMM")</f>
        <v>October</v>
      </c>
      <c r="E1988" s="3">
        <v>44861</v>
      </c>
      <c r="F1988" s="3">
        <v>44861</v>
      </c>
      <c r="G1988" s="2">
        <v>22028781</v>
      </c>
      <c r="H1988" s="2">
        <v>2237637</v>
      </c>
      <c r="I1988" s="2">
        <v>10013335004</v>
      </c>
      <c r="J1988" s="2" t="s">
        <v>344</v>
      </c>
      <c r="K1988" s="10">
        <v>1610</v>
      </c>
      <c r="L1988" s="10">
        <v>0</v>
      </c>
      <c r="M1988" s="10">
        <v>1610</v>
      </c>
      <c r="N1988" s="10">
        <v>0</v>
      </c>
      <c r="O1988" s="10">
        <f>Table1[[#This Row],[NET Amount]]-Table1[[#This Row],[Paid Amount]]</f>
        <v>1610</v>
      </c>
      <c r="P1988" s="2" t="s">
        <v>23</v>
      </c>
      <c r="Q1988" s="2" t="s">
        <v>54</v>
      </c>
      <c r="R1988" s="16">
        <f>(Table1[[#This Row],[NET Amount]]-Table1[[#This Row],[Total Outstanding Amount]])/Table1[[#This Row],[NET Amount]]</f>
        <v>0</v>
      </c>
      <c r="S1988" s="2" t="s">
        <v>97</v>
      </c>
    </row>
    <row r="1989" spans="1:19" x14ac:dyDescent="0.3">
      <c r="A1989" s="4">
        <v>1987</v>
      </c>
      <c r="B1989" s="2" t="s">
        <v>75</v>
      </c>
      <c r="C1989" s="3">
        <v>44863</v>
      </c>
      <c r="D1989" s="3" t="str">
        <f>TEXT(Table1[[#This Row],[Admission Date]],"MMMM")</f>
        <v>October</v>
      </c>
      <c r="E1989" s="3">
        <v>44863</v>
      </c>
      <c r="F1989" s="3">
        <v>44863</v>
      </c>
      <c r="G1989" s="2">
        <v>22029017</v>
      </c>
      <c r="H1989" s="2">
        <v>2237925</v>
      </c>
      <c r="I1989" s="2">
        <v>10013480632</v>
      </c>
      <c r="J1989" s="2" t="s">
        <v>210</v>
      </c>
      <c r="K1989" s="10">
        <v>1610</v>
      </c>
      <c r="L1989" s="10">
        <v>0</v>
      </c>
      <c r="M1989" s="10">
        <v>1610</v>
      </c>
      <c r="N1989" s="10">
        <v>0</v>
      </c>
      <c r="O1989" s="10">
        <f>Table1[[#This Row],[NET Amount]]-Table1[[#This Row],[Paid Amount]]</f>
        <v>1610</v>
      </c>
      <c r="P1989" s="2" t="s">
        <v>23</v>
      </c>
      <c r="Q1989" s="2" t="s">
        <v>54</v>
      </c>
      <c r="R1989" s="16">
        <f>(Table1[[#This Row],[NET Amount]]-Table1[[#This Row],[Total Outstanding Amount]])/Table1[[#This Row],[NET Amount]]</f>
        <v>0</v>
      </c>
      <c r="S1989" s="2" t="s">
        <v>97</v>
      </c>
    </row>
    <row r="1990" spans="1:19" x14ac:dyDescent="0.3">
      <c r="A1990" s="4">
        <v>1988</v>
      </c>
      <c r="B1990" s="2" t="s">
        <v>380</v>
      </c>
      <c r="C1990" s="3">
        <v>44838</v>
      </c>
      <c r="D1990" s="3" t="str">
        <f>TEXT(Table1[[#This Row],[Admission Date]],"MMMM")</f>
        <v>October</v>
      </c>
      <c r="E1990" s="3">
        <v>44838</v>
      </c>
      <c r="F1990" s="3">
        <v>44838</v>
      </c>
      <c r="G1990" s="2">
        <v>22025618</v>
      </c>
      <c r="H1990" s="2">
        <v>2234621</v>
      </c>
      <c r="I1990" s="2">
        <v>1001397167</v>
      </c>
      <c r="J1990" s="2" t="s">
        <v>443</v>
      </c>
      <c r="K1990" s="10">
        <v>1274</v>
      </c>
      <c r="L1990" s="10">
        <v>0</v>
      </c>
      <c r="M1990" s="10">
        <v>1274</v>
      </c>
      <c r="N1990" s="10">
        <v>0</v>
      </c>
      <c r="O1990" s="10">
        <f>Table1[[#This Row],[NET Amount]]-Table1[[#This Row],[Paid Amount]]</f>
        <v>1274</v>
      </c>
      <c r="P1990" s="2" t="s">
        <v>23</v>
      </c>
      <c r="Q1990" s="2" t="s">
        <v>54</v>
      </c>
      <c r="R1990" s="16">
        <f>(Table1[[#This Row],[NET Amount]]-Table1[[#This Row],[Total Outstanding Amount]])/Table1[[#This Row],[NET Amount]]</f>
        <v>0</v>
      </c>
      <c r="S1990" s="2" t="s">
        <v>97</v>
      </c>
    </row>
    <row r="1991" spans="1:19" x14ac:dyDescent="0.3">
      <c r="A1991" s="4">
        <v>1989</v>
      </c>
      <c r="B1991" s="2" t="s">
        <v>282</v>
      </c>
      <c r="C1991" s="3">
        <v>44840</v>
      </c>
      <c r="D1991" s="3" t="str">
        <f>TEXT(Table1[[#This Row],[Admission Date]],"MMMM")</f>
        <v>October</v>
      </c>
      <c r="E1991" s="3">
        <v>44842</v>
      </c>
      <c r="F1991" s="3">
        <v>44842</v>
      </c>
      <c r="G1991" s="2">
        <v>22026175</v>
      </c>
      <c r="H1991" s="2">
        <v>2234934</v>
      </c>
      <c r="I1991" s="2">
        <v>10013540506</v>
      </c>
      <c r="J1991" s="2" t="s">
        <v>1336</v>
      </c>
      <c r="K1991" s="10">
        <v>59719</v>
      </c>
      <c r="L1991" s="10">
        <v>29719</v>
      </c>
      <c r="M1991" s="10">
        <v>30000</v>
      </c>
      <c r="N1991" s="10">
        <v>0</v>
      </c>
      <c r="O1991" s="10">
        <f>Table1[[#This Row],[NET Amount]]-Table1[[#This Row],[Paid Amount]]</f>
        <v>30000</v>
      </c>
      <c r="P1991" s="2" t="s">
        <v>23</v>
      </c>
      <c r="Q1991" s="2" t="s">
        <v>24</v>
      </c>
      <c r="R1991" s="16">
        <f>(Table1[[#This Row],[NET Amount]]-Table1[[#This Row],[Total Outstanding Amount]])/Table1[[#This Row],[NET Amount]]</f>
        <v>0</v>
      </c>
      <c r="S1991" s="2" t="s">
        <v>55</v>
      </c>
    </row>
    <row r="1992" spans="1:19" x14ac:dyDescent="0.3">
      <c r="A1992" s="4">
        <v>1990</v>
      </c>
      <c r="B1992" s="2" t="s">
        <v>380</v>
      </c>
      <c r="C1992" s="3">
        <v>44859</v>
      </c>
      <c r="D1992" s="3" t="str">
        <f>TEXT(Table1[[#This Row],[Admission Date]],"MMMM")</f>
        <v>October</v>
      </c>
      <c r="E1992" s="3">
        <v>44859</v>
      </c>
      <c r="F1992" s="3">
        <v>44859</v>
      </c>
      <c r="G1992" s="2">
        <v>22028534</v>
      </c>
      <c r="H1992" s="2">
        <v>2237292</v>
      </c>
      <c r="I1992" s="2">
        <v>10013457170</v>
      </c>
      <c r="J1992" s="2" t="s">
        <v>1075</v>
      </c>
      <c r="K1992" s="10">
        <v>1274</v>
      </c>
      <c r="L1992" s="10">
        <v>0</v>
      </c>
      <c r="M1992" s="10">
        <v>1274</v>
      </c>
      <c r="N1992" s="10">
        <v>0</v>
      </c>
      <c r="O1992" s="10">
        <f>Table1[[#This Row],[NET Amount]]-Table1[[#This Row],[Paid Amount]]</f>
        <v>1274</v>
      </c>
      <c r="P1992" s="2" t="s">
        <v>23</v>
      </c>
      <c r="Q1992" s="2" t="s">
        <v>54</v>
      </c>
      <c r="R1992" s="16">
        <f>(Table1[[#This Row],[NET Amount]]-Table1[[#This Row],[Total Outstanding Amount]])/Table1[[#This Row],[NET Amount]]</f>
        <v>0</v>
      </c>
      <c r="S1992" s="2" t="s">
        <v>97</v>
      </c>
    </row>
    <row r="1993" spans="1:19" x14ac:dyDescent="0.3">
      <c r="A1993" s="4">
        <v>1991</v>
      </c>
      <c r="B1993" s="2" t="s">
        <v>25</v>
      </c>
      <c r="C1993" s="3">
        <v>44859</v>
      </c>
      <c r="D1993" s="3" t="str">
        <f>TEXT(Table1[[#This Row],[Admission Date]],"MMMM")</f>
        <v>October</v>
      </c>
      <c r="E1993" s="3">
        <v>44863</v>
      </c>
      <c r="F1993" s="3">
        <v>44863</v>
      </c>
      <c r="G1993" s="2">
        <v>22028995</v>
      </c>
      <c r="H1993" s="2">
        <v>2237350</v>
      </c>
      <c r="I1993" s="2">
        <v>1001106724</v>
      </c>
      <c r="J1993" s="2" t="s">
        <v>446</v>
      </c>
      <c r="K1993" s="10">
        <v>142562</v>
      </c>
      <c r="L1993" s="10">
        <v>43205</v>
      </c>
      <c r="M1993" s="10">
        <v>99357</v>
      </c>
      <c r="N1993" s="10">
        <v>0</v>
      </c>
      <c r="O1993" s="10">
        <f>Table1[[#This Row],[NET Amount]]-Table1[[#This Row],[Paid Amount]]</f>
        <v>99357</v>
      </c>
      <c r="P1993" s="2" t="s">
        <v>23</v>
      </c>
      <c r="Q1993" s="2" t="s">
        <v>225</v>
      </c>
      <c r="R1993" s="16">
        <f>(Table1[[#This Row],[NET Amount]]-Table1[[#This Row],[Total Outstanding Amount]])/Table1[[#This Row],[NET Amount]]</f>
        <v>0</v>
      </c>
      <c r="S1993" s="2" t="s">
        <v>95</v>
      </c>
    </row>
    <row r="1994" spans="1:19" x14ac:dyDescent="0.3">
      <c r="A1994" s="4">
        <v>1992</v>
      </c>
      <c r="B1994" s="2" t="s">
        <v>380</v>
      </c>
      <c r="C1994" s="3">
        <v>44849</v>
      </c>
      <c r="D1994" s="3" t="str">
        <f>TEXT(Table1[[#This Row],[Admission Date]],"MMMM")</f>
        <v>October</v>
      </c>
      <c r="E1994" s="3">
        <v>44849</v>
      </c>
      <c r="F1994" s="3">
        <v>44849</v>
      </c>
      <c r="G1994" s="2">
        <v>22027155</v>
      </c>
      <c r="H1994" s="2">
        <v>2236099</v>
      </c>
      <c r="I1994" s="2">
        <v>10013436995</v>
      </c>
      <c r="J1994" s="2" t="s">
        <v>794</v>
      </c>
      <c r="K1994" s="10">
        <v>1274</v>
      </c>
      <c r="L1994" s="10">
        <v>0</v>
      </c>
      <c r="M1994" s="10">
        <v>1274</v>
      </c>
      <c r="N1994" s="10">
        <v>0</v>
      </c>
      <c r="O1994" s="10">
        <f>Table1[[#This Row],[NET Amount]]-Table1[[#This Row],[Paid Amount]]</f>
        <v>1274</v>
      </c>
      <c r="P1994" s="2" t="s">
        <v>23</v>
      </c>
      <c r="Q1994" s="2" t="s">
        <v>54</v>
      </c>
      <c r="R1994" s="16">
        <f>(Table1[[#This Row],[NET Amount]]-Table1[[#This Row],[Total Outstanding Amount]])/Table1[[#This Row],[NET Amount]]</f>
        <v>0</v>
      </c>
      <c r="S1994" s="2" t="s">
        <v>97</v>
      </c>
    </row>
    <row r="1995" spans="1:19" x14ac:dyDescent="0.3">
      <c r="A1995" s="4">
        <v>1993</v>
      </c>
      <c r="B1995" s="2" t="s">
        <v>2258</v>
      </c>
      <c r="C1995" s="3">
        <v>44863</v>
      </c>
      <c r="D1995" s="3" t="str">
        <f>TEXT(Table1[[#This Row],[Admission Date]],"MMMM")</f>
        <v>October</v>
      </c>
      <c r="E1995" s="3">
        <v>44863</v>
      </c>
      <c r="F1995" s="3">
        <v>44863</v>
      </c>
      <c r="G1995" s="2">
        <v>22029101</v>
      </c>
      <c r="H1995" s="2">
        <v>2237980</v>
      </c>
      <c r="I1995" s="2">
        <v>1001765693</v>
      </c>
      <c r="J1995" s="2" t="s">
        <v>401</v>
      </c>
      <c r="K1995" s="10">
        <v>1610</v>
      </c>
      <c r="L1995" s="10">
        <v>0</v>
      </c>
      <c r="M1995" s="10">
        <v>1610</v>
      </c>
      <c r="N1995" s="10">
        <v>0</v>
      </c>
      <c r="O1995" s="10">
        <f>Table1[[#This Row],[NET Amount]]-Table1[[#This Row],[Paid Amount]]</f>
        <v>1610</v>
      </c>
      <c r="P1995" s="2" t="s">
        <v>23</v>
      </c>
      <c r="Q1995" s="2" t="s">
        <v>54</v>
      </c>
      <c r="R1995" s="16">
        <f>(Table1[[#This Row],[NET Amount]]-Table1[[#This Row],[Total Outstanding Amount]])/Table1[[#This Row],[NET Amount]]</f>
        <v>0</v>
      </c>
      <c r="S1995" s="2" t="s">
        <v>97</v>
      </c>
    </row>
    <row r="1996" spans="1:19" x14ac:dyDescent="0.3">
      <c r="A1996" s="4">
        <v>1994</v>
      </c>
      <c r="B1996" s="2" t="s">
        <v>2253</v>
      </c>
      <c r="C1996" s="3">
        <v>44865</v>
      </c>
      <c r="D1996" s="3" t="str">
        <f>TEXT(Table1[[#This Row],[Admission Date]],"MMMM")</f>
        <v>October</v>
      </c>
      <c r="E1996" s="3">
        <v>44865</v>
      </c>
      <c r="F1996" s="3">
        <v>44865</v>
      </c>
      <c r="G1996" s="2">
        <v>22029243</v>
      </c>
      <c r="H1996" s="2">
        <v>2238135</v>
      </c>
      <c r="I1996" s="2">
        <v>1001777526</v>
      </c>
      <c r="J1996" s="2" t="s">
        <v>411</v>
      </c>
      <c r="K1996" s="10">
        <v>1610</v>
      </c>
      <c r="L1996" s="10">
        <v>0</v>
      </c>
      <c r="M1996" s="10">
        <v>1610</v>
      </c>
      <c r="N1996" s="10">
        <v>0</v>
      </c>
      <c r="O1996" s="10">
        <f>Table1[[#This Row],[NET Amount]]-Table1[[#This Row],[Paid Amount]]</f>
        <v>1610</v>
      </c>
      <c r="P1996" s="2" t="s">
        <v>23</v>
      </c>
      <c r="Q1996" s="2" t="s">
        <v>54</v>
      </c>
      <c r="R1996" s="16">
        <f>(Table1[[#This Row],[NET Amount]]-Table1[[#This Row],[Total Outstanding Amount]])/Table1[[#This Row],[NET Amount]]</f>
        <v>0</v>
      </c>
      <c r="S1996" s="2" t="s">
        <v>97</v>
      </c>
    </row>
    <row r="1997" spans="1:19" x14ac:dyDescent="0.3">
      <c r="A1997" s="4">
        <v>1995</v>
      </c>
      <c r="B1997" s="2" t="s">
        <v>2263</v>
      </c>
      <c r="C1997" s="3">
        <v>44859</v>
      </c>
      <c r="D1997" s="3" t="str">
        <f>TEXT(Table1[[#This Row],[Admission Date]],"MMMM")</f>
        <v>October</v>
      </c>
      <c r="E1997" s="3">
        <v>44859</v>
      </c>
      <c r="F1997" s="3">
        <v>44859</v>
      </c>
      <c r="G1997" s="2">
        <v>22028479</v>
      </c>
      <c r="H1997" s="2">
        <v>2237280</v>
      </c>
      <c r="I1997" s="2">
        <v>1001449196</v>
      </c>
      <c r="J1997" s="2" t="s">
        <v>398</v>
      </c>
      <c r="K1997" s="10">
        <v>1274</v>
      </c>
      <c r="L1997" s="10">
        <v>0</v>
      </c>
      <c r="M1997" s="10">
        <v>1274</v>
      </c>
      <c r="N1997" s="10">
        <v>0</v>
      </c>
      <c r="O1997" s="10">
        <f>Table1[[#This Row],[NET Amount]]-Table1[[#This Row],[Paid Amount]]</f>
        <v>1274</v>
      </c>
      <c r="P1997" s="2" t="s">
        <v>23</v>
      </c>
      <c r="Q1997" s="2" t="s">
        <v>54</v>
      </c>
      <c r="R1997" s="16">
        <f>(Table1[[#This Row],[NET Amount]]-Table1[[#This Row],[Total Outstanding Amount]])/Table1[[#This Row],[NET Amount]]</f>
        <v>0</v>
      </c>
      <c r="S1997" s="2" t="s">
        <v>97</v>
      </c>
    </row>
    <row r="1998" spans="1:19" x14ac:dyDescent="0.3">
      <c r="A1998" s="4">
        <v>1996</v>
      </c>
      <c r="B1998" s="2" t="s">
        <v>152</v>
      </c>
      <c r="C1998" s="3">
        <v>44833</v>
      </c>
      <c r="D1998" s="3" t="str">
        <f>TEXT(Table1[[#This Row],[Admission Date]],"MMMM")</f>
        <v>September</v>
      </c>
      <c r="E1998" s="3">
        <v>44835</v>
      </c>
      <c r="F1998" s="3">
        <v>44835</v>
      </c>
      <c r="G1998" s="2">
        <v>22025193</v>
      </c>
      <c r="H1998" s="2">
        <v>2233965</v>
      </c>
      <c r="I1998" s="2">
        <v>10013540878</v>
      </c>
      <c r="J1998" s="2" t="s">
        <v>1337</v>
      </c>
      <c r="K1998" s="10">
        <v>23435</v>
      </c>
      <c r="L1998" s="10">
        <v>0</v>
      </c>
      <c r="M1998" s="10">
        <v>23435</v>
      </c>
      <c r="N1998" s="10">
        <v>0</v>
      </c>
      <c r="O1998" s="10">
        <f>Table1[[#This Row],[NET Amount]]-Table1[[#This Row],[Paid Amount]]</f>
        <v>23435</v>
      </c>
      <c r="P1998" s="2" t="s">
        <v>23</v>
      </c>
      <c r="Q1998" s="2" t="s">
        <v>24</v>
      </c>
      <c r="R1998" s="16">
        <f>(Table1[[#This Row],[NET Amount]]-Table1[[#This Row],[Total Outstanding Amount]])/Table1[[#This Row],[NET Amount]]</f>
        <v>0</v>
      </c>
      <c r="S1998" s="2" t="s">
        <v>39</v>
      </c>
    </row>
    <row r="1999" spans="1:19" x14ac:dyDescent="0.3">
      <c r="A1999" s="4">
        <v>1997</v>
      </c>
      <c r="B1999" s="2" t="s">
        <v>155</v>
      </c>
      <c r="C1999" s="3">
        <v>44849</v>
      </c>
      <c r="D1999" s="3" t="str">
        <f>TEXT(Table1[[#This Row],[Admission Date]],"MMMM")</f>
        <v>October</v>
      </c>
      <c r="E1999" s="3">
        <v>44849</v>
      </c>
      <c r="F1999" s="3">
        <v>44849</v>
      </c>
      <c r="G1999" s="2">
        <v>22027210</v>
      </c>
      <c r="H1999" s="2">
        <v>2236135</v>
      </c>
      <c r="I1999" s="2">
        <v>10013502614</v>
      </c>
      <c r="J1999" s="2" t="s">
        <v>484</v>
      </c>
      <c r="K1999" s="10">
        <v>1610</v>
      </c>
      <c r="L1999" s="10">
        <v>0</v>
      </c>
      <c r="M1999" s="10">
        <v>1610</v>
      </c>
      <c r="N1999" s="10">
        <v>0</v>
      </c>
      <c r="O1999" s="10">
        <f>Table1[[#This Row],[NET Amount]]-Table1[[#This Row],[Paid Amount]]</f>
        <v>1610</v>
      </c>
      <c r="P1999" s="2" t="s">
        <v>23</v>
      </c>
      <c r="Q1999" s="2" t="s">
        <v>54</v>
      </c>
      <c r="R1999" s="16">
        <f>(Table1[[#This Row],[NET Amount]]-Table1[[#This Row],[Total Outstanding Amount]])/Table1[[#This Row],[NET Amount]]</f>
        <v>0</v>
      </c>
      <c r="S1999" s="2" t="s">
        <v>97</v>
      </c>
    </row>
    <row r="2000" spans="1:19" x14ac:dyDescent="0.3">
      <c r="A2000" s="4">
        <v>1998</v>
      </c>
      <c r="B2000" s="2" t="s">
        <v>380</v>
      </c>
      <c r="C2000" s="3">
        <v>44853</v>
      </c>
      <c r="D2000" s="3" t="str">
        <f>TEXT(Table1[[#This Row],[Admission Date]],"MMMM")</f>
        <v>October</v>
      </c>
      <c r="E2000" s="3">
        <v>44853</v>
      </c>
      <c r="F2000" s="3">
        <v>44853</v>
      </c>
      <c r="G2000" s="2">
        <v>22027782</v>
      </c>
      <c r="H2000" s="2">
        <v>2236667</v>
      </c>
      <c r="I2000" s="2">
        <v>1001761745</v>
      </c>
      <c r="J2000" s="2" t="s">
        <v>455</v>
      </c>
      <c r="K2000" s="10">
        <v>1274</v>
      </c>
      <c r="L2000" s="10">
        <v>0</v>
      </c>
      <c r="M2000" s="10">
        <v>1274</v>
      </c>
      <c r="N2000" s="10">
        <v>0</v>
      </c>
      <c r="O2000" s="10">
        <f>Table1[[#This Row],[NET Amount]]-Table1[[#This Row],[Paid Amount]]</f>
        <v>1274</v>
      </c>
      <c r="P2000" s="2" t="s">
        <v>23</v>
      </c>
      <c r="Q2000" s="2" t="s">
        <v>54</v>
      </c>
      <c r="R2000" s="16">
        <f>(Table1[[#This Row],[NET Amount]]-Table1[[#This Row],[Total Outstanding Amount]])/Table1[[#This Row],[NET Amount]]</f>
        <v>0</v>
      </c>
      <c r="S2000" s="2" t="s">
        <v>97</v>
      </c>
    </row>
    <row r="2001" spans="1:19" x14ac:dyDescent="0.3">
      <c r="A2001" s="4">
        <v>1999</v>
      </c>
      <c r="B2001" s="2" t="s">
        <v>139</v>
      </c>
      <c r="C2001" s="3">
        <v>44849</v>
      </c>
      <c r="D2001" s="3" t="str">
        <f>TEXT(Table1[[#This Row],[Admission Date]],"MMMM")</f>
        <v>October</v>
      </c>
      <c r="E2001" s="3">
        <v>44849</v>
      </c>
      <c r="F2001" s="3">
        <v>44849</v>
      </c>
      <c r="G2001" s="2">
        <v>22027261</v>
      </c>
      <c r="H2001" s="2">
        <v>2236171</v>
      </c>
      <c r="I2001" s="2">
        <v>1001590721</v>
      </c>
      <c r="J2001" s="2" t="s">
        <v>461</v>
      </c>
      <c r="K2001" s="10">
        <v>2200</v>
      </c>
      <c r="L2001" s="10">
        <v>0</v>
      </c>
      <c r="M2001" s="10">
        <v>2200</v>
      </c>
      <c r="N2001" s="10">
        <v>0</v>
      </c>
      <c r="O2001" s="10">
        <f>Table1[[#This Row],[NET Amount]]-Table1[[#This Row],[Paid Amount]]</f>
        <v>2200</v>
      </c>
      <c r="P2001" s="2" t="s">
        <v>23</v>
      </c>
      <c r="Q2001" s="2" t="s">
        <v>147</v>
      </c>
      <c r="R2001" s="16">
        <f>(Table1[[#This Row],[NET Amount]]-Table1[[#This Row],[Total Outstanding Amount]])/Table1[[#This Row],[NET Amount]]</f>
        <v>0</v>
      </c>
      <c r="S2001" s="2" t="s">
        <v>97</v>
      </c>
    </row>
    <row r="2002" spans="1:19" x14ac:dyDescent="0.3">
      <c r="A2002" s="4">
        <v>2000</v>
      </c>
      <c r="B2002" s="2" t="s">
        <v>380</v>
      </c>
      <c r="C2002" s="3">
        <v>44846</v>
      </c>
      <c r="D2002" s="3" t="str">
        <f>TEXT(Table1[[#This Row],[Admission Date]],"MMMM")</f>
        <v>October</v>
      </c>
      <c r="E2002" s="3">
        <v>44846</v>
      </c>
      <c r="F2002" s="3">
        <v>44846</v>
      </c>
      <c r="G2002" s="2">
        <v>22026786</v>
      </c>
      <c r="H2002" s="2">
        <v>2235743</v>
      </c>
      <c r="I2002" s="2">
        <v>10013422914</v>
      </c>
      <c r="J2002" s="2" t="s">
        <v>816</v>
      </c>
      <c r="K2002" s="10">
        <v>1274</v>
      </c>
      <c r="L2002" s="10">
        <v>0</v>
      </c>
      <c r="M2002" s="10">
        <v>1274</v>
      </c>
      <c r="N2002" s="10">
        <v>0</v>
      </c>
      <c r="O2002" s="10">
        <f>Table1[[#This Row],[NET Amount]]-Table1[[#This Row],[Paid Amount]]</f>
        <v>1274</v>
      </c>
      <c r="P2002" s="2" t="s">
        <v>23</v>
      </c>
      <c r="Q2002" s="2" t="s">
        <v>54</v>
      </c>
      <c r="R2002" s="16">
        <f>(Table1[[#This Row],[NET Amount]]-Table1[[#This Row],[Total Outstanding Amount]])/Table1[[#This Row],[NET Amount]]</f>
        <v>0</v>
      </c>
      <c r="S2002" s="2" t="s">
        <v>97</v>
      </c>
    </row>
    <row r="2003" spans="1:19" x14ac:dyDescent="0.3">
      <c r="A2003" s="4">
        <v>2001</v>
      </c>
      <c r="B2003" s="2" t="s">
        <v>380</v>
      </c>
      <c r="C2003" s="3">
        <v>44838</v>
      </c>
      <c r="D2003" s="3" t="str">
        <f>TEXT(Table1[[#This Row],[Admission Date]],"MMMM")</f>
        <v>October</v>
      </c>
      <c r="E2003" s="3">
        <v>44838</v>
      </c>
      <c r="F2003" s="3">
        <v>44838</v>
      </c>
      <c r="G2003" s="2">
        <v>22025624</v>
      </c>
      <c r="H2003" s="2">
        <v>2234645</v>
      </c>
      <c r="I2003" s="2">
        <v>10013521329</v>
      </c>
      <c r="J2003" s="2" t="s">
        <v>457</v>
      </c>
      <c r="K2003" s="10">
        <v>1274</v>
      </c>
      <c r="L2003" s="10">
        <v>0</v>
      </c>
      <c r="M2003" s="10">
        <v>1274</v>
      </c>
      <c r="N2003" s="10">
        <v>0</v>
      </c>
      <c r="O2003" s="10">
        <f>Table1[[#This Row],[NET Amount]]-Table1[[#This Row],[Paid Amount]]</f>
        <v>1274</v>
      </c>
      <c r="P2003" s="2" t="s">
        <v>23</v>
      </c>
      <c r="Q2003" s="2" t="s">
        <v>54</v>
      </c>
      <c r="R2003" s="16">
        <f>(Table1[[#This Row],[NET Amount]]-Table1[[#This Row],[Total Outstanding Amount]])/Table1[[#This Row],[NET Amount]]</f>
        <v>0</v>
      </c>
      <c r="S2003" s="2" t="s">
        <v>97</v>
      </c>
    </row>
    <row r="2004" spans="1:19" x14ac:dyDescent="0.3">
      <c r="A2004" s="4">
        <v>2002</v>
      </c>
      <c r="B2004" s="2" t="s">
        <v>75</v>
      </c>
      <c r="C2004" s="3">
        <v>44839</v>
      </c>
      <c r="D2004" s="3" t="str">
        <f>TEXT(Table1[[#This Row],[Admission Date]],"MMMM")</f>
        <v>October</v>
      </c>
      <c r="E2004" s="3">
        <v>44839</v>
      </c>
      <c r="F2004" s="3">
        <v>44839</v>
      </c>
      <c r="G2004" s="2">
        <v>22025720</v>
      </c>
      <c r="H2004" s="2">
        <v>2234720</v>
      </c>
      <c r="I2004" s="2">
        <v>1001300172</v>
      </c>
      <c r="J2004" s="2" t="s">
        <v>400</v>
      </c>
      <c r="K2004" s="10">
        <v>1610</v>
      </c>
      <c r="L2004" s="10">
        <v>0</v>
      </c>
      <c r="M2004" s="10">
        <v>1610</v>
      </c>
      <c r="N2004" s="10">
        <v>0</v>
      </c>
      <c r="O2004" s="10">
        <f>Table1[[#This Row],[NET Amount]]-Table1[[#This Row],[Paid Amount]]</f>
        <v>1610</v>
      </c>
      <c r="P2004" s="2" t="s">
        <v>23</v>
      </c>
      <c r="Q2004" s="2" t="s">
        <v>54</v>
      </c>
      <c r="R2004" s="16">
        <f>(Table1[[#This Row],[NET Amount]]-Table1[[#This Row],[Total Outstanding Amount]])/Table1[[#This Row],[NET Amount]]</f>
        <v>0</v>
      </c>
      <c r="S2004" s="2" t="s">
        <v>97</v>
      </c>
    </row>
    <row r="2005" spans="1:19" x14ac:dyDescent="0.3">
      <c r="A2005" s="4">
        <v>2003</v>
      </c>
      <c r="B2005" s="2" t="s">
        <v>2253</v>
      </c>
      <c r="C2005" s="3">
        <v>44841</v>
      </c>
      <c r="D2005" s="3" t="str">
        <f>TEXT(Table1[[#This Row],[Admission Date]],"MMMM")</f>
        <v>October</v>
      </c>
      <c r="E2005" s="3">
        <v>44841</v>
      </c>
      <c r="F2005" s="3">
        <v>44841</v>
      </c>
      <c r="G2005" s="2">
        <v>22026014</v>
      </c>
      <c r="H2005" s="2">
        <v>2235036</v>
      </c>
      <c r="I2005" s="2">
        <v>1001729640</v>
      </c>
      <c r="J2005" s="2" t="s">
        <v>470</v>
      </c>
      <c r="K2005" s="10">
        <v>1610</v>
      </c>
      <c r="L2005" s="10">
        <v>0</v>
      </c>
      <c r="M2005" s="10">
        <v>1610</v>
      </c>
      <c r="N2005" s="10">
        <v>0</v>
      </c>
      <c r="O2005" s="10">
        <f>Table1[[#This Row],[NET Amount]]-Table1[[#This Row],[Paid Amount]]</f>
        <v>1610</v>
      </c>
      <c r="P2005" s="2" t="s">
        <v>23</v>
      </c>
      <c r="Q2005" s="2" t="s">
        <v>54</v>
      </c>
      <c r="R2005" s="16">
        <f>(Table1[[#This Row],[NET Amount]]-Table1[[#This Row],[Total Outstanding Amount]])/Table1[[#This Row],[NET Amount]]</f>
        <v>0</v>
      </c>
      <c r="S2005" s="2" t="s">
        <v>97</v>
      </c>
    </row>
    <row r="2006" spans="1:19" x14ac:dyDescent="0.3">
      <c r="A2006" s="4">
        <v>2004</v>
      </c>
      <c r="B2006" s="2" t="s">
        <v>75</v>
      </c>
      <c r="C2006" s="3">
        <v>44856</v>
      </c>
      <c r="D2006" s="3" t="str">
        <f>TEXT(Table1[[#This Row],[Admission Date]],"MMMM")</f>
        <v>October</v>
      </c>
      <c r="E2006" s="3">
        <v>44856</v>
      </c>
      <c r="F2006" s="3">
        <v>44856</v>
      </c>
      <c r="G2006" s="2">
        <v>22028242</v>
      </c>
      <c r="H2006" s="2">
        <v>2237026</v>
      </c>
      <c r="I2006" s="2">
        <v>1001300172</v>
      </c>
      <c r="J2006" s="2" t="s">
        <v>400</v>
      </c>
      <c r="K2006" s="10">
        <v>1610</v>
      </c>
      <c r="L2006" s="10">
        <v>0</v>
      </c>
      <c r="M2006" s="10">
        <v>1610</v>
      </c>
      <c r="N2006" s="10">
        <v>0</v>
      </c>
      <c r="O2006" s="10">
        <f>Table1[[#This Row],[NET Amount]]-Table1[[#This Row],[Paid Amount]]</f>
        <v>1610</v>
      </c>
      <c r="P2006" s="2" t="s">
        <v>23</v>
      </c>
      <c r="Q2006" s="2" t="s">
        <v>54</v>
      </c>
      <c r="R2006" s="16">
        <f>(Table1[[#This Row],[NET Amount]]-Table1[[#This Row],[Total Outstanding Amount]])/Table1[[#This Row],[NET Amount]]</f>
        <v>0</v>
      </c>
      <c r="S2006" s="2" t="s">
        <v>97</v>
      </c>
    </row>
    <row r="2007" spans="1:19" x14ac:dyDescent="0.3">
      <c r="A2007" s="4">
        <v>2005</v>
      </c>
      <c r="B2007" s="2" t="s">
        <v>168</v>
      </c>
      <c r="C2007" s="3">
        <v>44837</v>
      </c>
      <c r="D2007" s="3" t="str">
        <f>TEXT(Table1[[#This Row],[Admission Date]],"MMMM")</f>
        <v>October</v>
      </c>
      <c r="E2007" s="3">
        <v>44837</v>
      </c>
      <c r="F2007" s="3">
        <v>44837</v>
      </c>
      <c r="G2007" s="2">
        <v>22025402</v>
      </c>
      <c r="H2007" s="2">
        <v>2234394</v>
      </c>
      <c r="I2007" s="2">
        <v>10013359873</v>
      </c>
      <c r="J2007" s="2" t="s">
        <v>774</v>
      </c>
      <c r="K2007" s="10">
        <v>2200</v>
      </c>
      <c r="L2007" s="10">
        <v>0</v>
      </c>
      <c r="M2007" s="10">
        <v>2200</v>
      </c>
      <c r="N2007" s="10">
        <v>0</v>
      </c>
      <c r="O2007" s="10">
        <f>Table1[[#This Row],[NET Amount]]-Table1[[#This Row],[Paid Amount]]</f>
        <v>2200</v>
      </c>
      <c r="P2007" s="2" t="s">
        <v>23</v>
      </c>
      <c r="Q2007" s="2" t="s">
        <v>147</v>
      </c>
      <c r="R2007" s="16">
        <f>(Table1[[#This Row],[NET Amount]]-Table1[[#This Row],[Total Outstanding Amount]])/Table1[[#This Row],[NET Amount]]</f>
        <v>0</v>
      </c>
      <c r="S2007" s="2" t="s">
        <v>97</v>
      </c>
    </row>
    <row r="2008" spans="1:19" x14ac:dyDescent="0.3">
      <c r="A2008" s="4">
        <v>2006</v>
      </c>
      <c r="B2008" s="2" t="s">
        <v>152</v>
      </c>
      <c r="C2008" s="3">
        <v>44832</v>
      </c>
      <c r="D2008" s="3" t="str">
        <f>TEXT(Table1[[#This Row],[Admission Date]],"MMMM")</f>
        <v>September</v>
      </c>
      <c r="E2008" s="3">
        <v>44839</v>
      </c>
      <c r="F2008" s="3">
        <v>44839</v>
      </c>
      <c r="G2008" s="2">
        <v>22025671</v>
      </c>
      <c r="H2008" s="2">
        <v>2233743</v>
      </c>
      <c r="I2008" s="2">
        <v>1000871344</v>
      </c>
      <c r="J2008" s="2" t="s">
        <v>1338</v>
      </c>
      <c r="K2008" s="10">
        <v>69845</v>
      </c>
      <c r="L2008" s="10">
        <v>0</v>
      </c>
      <c r="M2008" s="10">
        <v>69845</v>
      </c>
      <c r="N2008" s="10">
        <v>0</v>
      </c>
      <c r="O2008" s="10">
        <f>Table1[[#This Row],[NET Amount]]-Table1[[#This Row],[Paid Amount]]</f>
        <v>69845</v>
      </c>
      <c r="P2008" s="2" t="s">
        <v>23</v>
      </c>
      <c r="Q2008" s="2" t="s">
        <v>104</v>
      </c>
      <c r="R2008" s="16">
        <f>(Table1[[#This Row],[NET Amount]]-Table1[[#This Row],[Total Outstanding Amount]])/Table1[[#This Row],[NET Amount]]</f>
        <v>0</v>
      </c>
      <c r="S2008" s="2" t="s">
        <v>138</v>
      </c>
    </row>
    <row r="2009" spans="1:19" x14ac:dyDescent="0.3">
      <c r="A2009" s="4">
        <v>2007</v>
      </c>
      <c r="B2009" s="2" t="s">
        <v>2253</v>
      </c>
      <c r="C2009" s="3">
        <v>44835</v>
      </c>
      <c r="D2009" s="3" t="str">
        <f>TEXT(Table1[[#This Row],[Admission Date]],"MMMM")</f>
        <v>October</v>
      </c>
      <c r="E2009" s="3">
        <v>44835</v>
      </c>
      <c r="F2009" s="3">
        <v>44835</v>
      </c>
      <c r="G2009" s="2">
        <v>22025118</v>
      </c>
      <c r="H2009" s="2">
        <v>2234178</v>
      </c>
      <c r="I2009" s="2">
        <v>1001749543</v>
      </c>
      <c r="J2009" s="2" t="s">
        <v>810</v>
      </c>
      <c r="K2009" s="10">
        <v>1610</v>
      </c>
      <c r="L2009" s="10">
        <v>0</v>
      </c>
      <c r="M2009" s="10">
        <v>1610</v>
      </c>
      <c r="N2009" s="10">
        <v>0</v>
      </c>
      <c r="O2009" s="10">
        <f>Table1[[#This Row],[NET Amount]]-Table1[[#This Row],[Paid Amount]]</f>
        <v>1610</v>
      </c>
      <c r="P2009" s="2" t="s">
        <v>23</v>
      </c>
      <c r="Q2009" s="2" t="s">
        <v>54</v>
      </c>
      <c r="R2009" s="16">
        <f>(Table1[[#This Row],[NET Amount]]-Table1[[#This Row],[Total Outstanding Amount]])/Table1[[#This Row],[NET Amount]]</f>
        <v>0</v>
      </c>
      <c r="S2009" s="2" t="s">
        <v>97</v>
      </c>
    </row>
    <row r="2010" spans="1:19" x14ac:dyDescent="0.3">
      <c r="A2010" s="4">
        <v>2008</v>
      </c>
      <c r="B2010" s="2" t="s">
        <v>380</v>
      </c>
      <c r="C2010" s="3">
        <v>44855</v>
      </c>
      <c r="D2010" s="3" t="str">
        <f>TEXT(Table1[[#This Row],[Admission Date]],"MMMM")</f>
        <v>October</v>
      </c>
      <c r="E2010" s="3">
        <v>44855</v>
      </c>
      <c r="F2010" s="3">
        <v>44855</v>
      </c>
      <c r="G2010" s="2">
        <v>22028097</v>
      </c>
      <c r="H2010" s="2">
        <v>2236949</v>
      </c>
      <c r="I2010" s="2">
        <v>1001581259</v>
      </c>
      <c r="J2010" s="2" t="s">
        <v>381</v>
      </c>
      <c r="K2010" s="10">
        <v>1274</v>
      </c>
      <c r="L2010" s="10">
        <v>0</v>
      </c>
      <c r="M2010" s="10">
        <v>1274</v>
      </c>
      <c r="N2010" s="10">
        <v>0</v>
      </c>
      <c r="O2010" s="10">
        <f>Table1[[#This Row],[NET Amount]]-Table1[[#This Row],[Paid Amount]]</f>
        <v>1274</v>
      </c>
      <c r="P2010" s="2" t="s">
        <v>23</v>
      </c>
      <c r="Q2010" s="2" t="s">
        <v>54</v>
      </c>
      <c r="R2010" s="16">
        <f>(Table1[[#This Row],[NET Amount]]-Table1[[#This Row],[Total Outstanding Amount]])/Table1[[#This Row],[NET Amount]]</f>
        <v>0</v>
      </c>
      <c r="S2010" s="2" t="s">
        <v>97</v>
      </c>
    </row>
    <row r="2011" spans="1:19" x14ac:dyDescent="0.3">
      <c r="A2011" s="4">
        <v>2009</v>
      </c>
      <c r="B2011" s="2" t="s">
        <v>178</v>
      </c>
      <c r="C2011" s="3">
        <v>44837</v>
      </c>
      <c r="D2011" s="3" t="str">
        <f>TEXT(Table1[[#This Row],[Admission Date]],"MMMM")</f>
        <v>October</v>
      </c>
      <c r="E2011" s="3">
        <v>44837</v>
      </c>
      <c r="F2011" s="3">
        <v>44837</v>
      </c>
      <c r="G2011" s="2">
        <v>22025452</v>
      </c>
      <c r="H2011" s="2">
        <v>2234453</v>
      </c>
      <c r="I2011" s="2">
        <v>10013332282</v>
      </c>
      <c r="J2011" s="2" t="s">
        <v>415</v>
      </c>
      <c r="K2011" s="10">
        <v>2200</v>
      </c>
      <c r="L2011" s="10">
        <v>0</v>
      </c>
      <c r="M2011" s="10">
        <v>2200</v>
      </c>
      <c r="N2011" s="10">
        <v>0</v>
      </c>
      <c r="O2011" s="10">
        <f>Table1[[#This Row],[NET Amount]]-Table1[[#This Row],[Paid Amount]]</f>
        <v>2200</v>
      </c>
      <c r="P2011" s="2" t="s">
        <v>23</v>
      </c>
      <c r="Q2011" s="2" t="s">
        <v>147</v>
      </c>
      <c r="R2011" s="16">
        <f>(Table1[[#This Row],[NET Amount]]-Table1[[#This Row],[Total Outstanding Amount]])/Table1[[#This Row],[NET Amount]]</f>
        <v>0</v>
      </c>
      <c r="S2011" s="2" t="s">
        <v>97</v>
      </c>
    </row>
    <row r="2012" spans="1:19" x14ac:dyDescent="0.3">
      <c r="A2012" s="4">
        <v>2010</v>
      </c>
      <c r="B2012" s="2" t="s">
        <v>2263</v>
      </c>
      <c r="C2012" s="3">
        <v>44862</v>
      </c>
      <c r="D2012" s="3" t="str">
        <f>TEXT(Table1[[#This Row],[Admission Date]],"MMMM")</f>
        <v>October</v>
      </c>
      <c r="E2012" s="3">
        <v>44862</v>
      </c>
      <c r="F2012" s="3">
        <v>44862</v>
      </c>
      <c r="G2012" s="2">
        <v>22028968</v>
      </c>
      <c r="H2012" s="2">
        <v>2237845</v>
      </c>
      <c r="I2012" s="2">
        <v>1001699417</v>
      </c>
      <c r="J2012" s="2" t="s">
        <v>472</v>
      </c>
      <c r="K2012" s="10">
        <v>1274</v>
      </c>
      <c r="L2012" s="10">
        <v>0</v>
      </c>
      <c r="M2012" s="10">
        <v>1274</v>
      </c>
      <c r="N2012" s="10">
        <v>0</v>
      </c>
      <c r="O2012" s="10">
        <f>Table1[[#This Row],[NET Amount]]-Table1[[#This Row],[Paid Amount]]</f>
        <v>1274</v>
      </c>
      <c r="P2012" s="2" t="s">
        <v>23</v>
      </c>
      <c r="Q2012" s="2" t="s">
        <v>54</v>
      </c>
      <c r="R2012" s="16">
        <f>(Table1[[#This Row],[NET Amount]]-Table1[[#This Row],[Total Outstanding Amount]])/Table1[[#This Row],[NET Amount]]</f>
        <v>0</v>
      </c>
      <c r="S2012" s="2" t="s">
        <v>97</v>
      </c>
    </row>
    <row r="2013" spans="1:19" x14ac:dyDescent="0.3">
      <c r="A2013" s="4">
        <v>2011</v>
      </c>
      <c r="B2013" s="2" t="s">
        <v>2263</v>
      </c>
      <c r="C2013" s="3">
        <v>44838</v>
      </c>
      <c r="D2013" s="3" t="str">
        <f>TEXT(Table1[[#This Row],[Admission Date]],"MMMM")</f>
        <v>October</v>
      </c>
      <c r="E2013" s="3">
        <v>44838</v>
      </c>
      <c r="F2013" s="3">
        <v>44838</v>
      </c>
      <c r="G2013" s="2">
        <v>22025564</v>
      </c>
      <c r="H2013" s="2">
        <v>2234568</v>
      </c>
      <c r="I2013" s="2">
        <v>1001712791</v>
      </c>
      <c r="J2013" s="2" t="s">
        <v>450</v>
      </c>
      <c r="K2013" s="10">
        <v>1274</v>
      </c>
      <c r="L2013" s="10">
        <v>0</v>
      </c>
      <c r="M2013" s="10">
        <v>1274</v>
      </c>
      <c r="N2013" s="10">
        <v>0</v>
      </c>
      <c r="O2013" s="10">
        <f>Table1[[#This Row],[NET Amount]]-Table1[[#This Row],[Paid Amount]]</f>
        <v>1274</v>
      </c>
      <c r="P2013" s="2" t="s">
        <v>23</v>
      </c>
      <c r="Q2013" s="2" t="s">
        <v>54</v>
      </c>
      <c r="R2013" s="16">
        <f>(Table1[[#This Row],[NET Amount]]-Table1[[#This Row],[Total Outstanding Amount]])/Table1[[#This Row],[NET Amount]]</f>
        <v>0</v>
      </c>
      <c r="S2013" s="2" t="s">
        <v>97</v>
      </c>
    </row>
    <row r="2014" spans="1:19" x14ac:dyDescent="0.3">
      <c r="A2014" s="4">
        <v>2012</v>
      </c>
      <c r="B2014" s="2" t="s">
        <v>380</v>
      </c>
      <c r="C2014" s="3">
        <v>44860</v>
      </c>
      <c r="D2014" s="3" t="str">
        <f>TEXT(Table1[[#This Row],[Admission Date]],"MMMM")</f>
        <v>October</v>
      </c>
      <c r="E2014" s="3">
        <v>44860</v>
      </c>
      <c r="F2014" s="3">
        <v>44860</v>
      </c>
      <c r="G2014" s="2">
        <v>22028686</v>
      </c>
      <c r="H2014" s="2">
        <v>2237532</v>
      </c>
      <c r="I2014" s="2">
        <v>10013370253</v>
      </c>
      <c r="J2014" s="2" t="s">
        <v>488</v>
      </c>
      <c r="K2014" s="10">
        <v>1274</v>
      </c>
      <c r="L2014" s="10">
        <v>0</v>
      </c>
      <c r="M2014" s="10">
        <v>1274</v>
      </c>
      <c r="N2014" s="10">
        <v>0</v>
      </c>
      <c r="O2014" s="10">
        <f>Table1[[#This Row],[NET Amount]]-Table1[[#This Row],[Paid Amount]]</f>
        <v>1274</v>
      </c>
      <c r="P2014" s="2" t="s">
        <v>23</v>
      </c>
      <c r="Q2014" s="2" t="s">
        <v>54</v>
      </c>
      <c r="R2014" s="16">
        <f>(Table1[[#This Row],[NET Amount]]-Table1[[#This Row],[Total Outstanding Amount]])/Table1[[#This Row],[NET Amount]]</f>
        <v>0</v>
      </c>
      <c r="S2014" s="2" t="s">
        <v>97</v>
      </c>
    </row>
    <row r="2015" spans="1:19" x14ac:dyDescent="0.3">
      <c r="A2015" s="4">
        <v>2013</v>
      </c>
      <c r="B2015" s="2" t="s">
        <v>28</v>
      </c>
      <c r="C2015" s="3">
        <v>44842</v>
      </c>
      <c r="D2015" s="3" t="str">
        <f>TEXT(Table1[[#This Row],[Admission Date]],"MMMM")</f>
        <v>October</v>
      </c>
      <c r="E2015" s="3">
        <v>44842</v>
      </c>
      <c r="F2015" s="3">
        <v>44842</v>
      </c>
      <c r="G2015" s="2">
        <v>22026097</v>
      </c>
      <c r="H2015" s="2">
        <v>2235142</v>
      </c>
      <c r="I2015" s="2">
        <v>10013484190</v>
      </c>
      <c r="J2015" s="2" t="s">
        <v>427</v>
      </c>
      <c r="K2015" s="10">
        <v>2240</v>
      </c>
      <c r="L2015" s="10">
        <v>0</v>
      </c>
      <c r="M2015" s="10">
        <v>2240</v>
      </c>
      <c r="N2015" s="10">
        <v>0</v>
      </c>
      <c r="O2015" s="10">
        <f>Table1[[#This Row],[NET Amount]]-Table1[[#This Row],[Paid Amount]]</f>
        <v>2240</v>
      </c>
      <c r="P2015" s="2" t="s">
        <v>23</v>
      </c>
      <c r="Q2015" s="2" t="s">
        <v>54</v>
      </c>
      <c r="R2015" s="16">
        <f>(Table1[[#This Row],[NET Amount]]-Table1[[#This Row],[Total Outstanding Amount]])/Table1[[#This Row],[NET Amount]]</f>
        <v>0</v>
      </c>
      <c r="S2015" s="2" t="s">
        <v>97</v>
      </c>
    </row>
    <row r="2016" spans="1:19" x14ac:dyDescent="0.3">
      <c r="A2016" s="4">
        <v>2014</v>
      </c>
      <c r="B2016" s="2" t="s">
        <v>380</v>
      </c>
      <c r="C2016" s="3">
        <v>44852</v>
      </c>
      <c r="D2016" s="3" t="str">
        <f>TEXT(Table1[[#This Row],[Admission Date]],"MMMM")</f>
        <v>October</v>
      </c>
      <c r="E2016" s="3">
        <v>44852</v>
      </c>
      <c r="F2016" s="3">
        <v>44852</v>
      </c>
      <c r="G2016" s="2">
        <v>22027622</v>
      </c>
      <c r="H2016" s="2">
        <v>2236535</v>
      </c>
      <c r="I2016" s="2">
        <v>10013449380</v>
      </c>
      <c r="J2016" s="2" t="s">
        <v>453</v>
      </c>
      <c r="K2016" s="10">
        <v>1274</v>
      </c>
      <c r="L2016" s="10">
        <v>0</v>
      </c>
      <c r="M2016" s="10">
        <v>1274</v>
      </c>
      <c r="N2016" s="10">
        <v>0</v>
      </c>
      <c r="O2016" s="10">
        <f>Table1[[#This Row],[NET Amount]]-Table1[[#This Row],[Paid Amount]]</f>
        <v>1274</v>
      </c>
      <c r="P2016" s="2" t="s">
        <v>23</v>
      </c>
      <c r="Q2016" s="2" t="s">
        <v>54</v>
      </c>
      <c r="R2016" s="16">
        <f>(Table1[[#This Row],[NET Amount]]-Table1[[#This Row],[Total Outstanding Amount]])/Table1[[#This Row],[NET Amount]]</f>
        <v>0</v>
      </c>
      <c r="S2016" s="2" t="s">
        <v>97</v>
      </c>
    </row>
    <row r="2017" spans="1:19" x14ac:dyDescent="0.3">
      <c r="A2017" s="4">
        <v>2015</v>
      </c>
      <c r="B2017" s="2" t="s">
        <v>380</v>
      </c>
      <c r="C2017" s="3">
        <v>44839</v>
      </c>
      <c r="D2017" s="3" t="str">
        <f>TEXT(Table1[[#This Row],[Admission Date]],"MMMM")</f>
        <v>October</v>
      </c>
      <c r="E2017" s="3">
        <v>44839</v>
      </c>
      <c r="F2017" s="3">
        <v>44839</v>
      </c>
      <c r="G2017" s="2">
        <v>22025783</v>
      </c>
      <c r="H2017" s="2">
        <v>2234788</v>
      </c>
      <c r="I2017" s="2">
        <v>10013453025</v>
      </c>
      <c r="J2017" s="2" t="s">
        <v>435</v>
      </c>
      <c r="K2017" s="10">
        <v>1274</v>
      </c>
      <c r="L2017" s="10">
        <v>0</v>
      </c>
      <c r="M2017" s="10">
        <v>1274</v>
      </c>
      <c r="N2017" s="10">
        <v>0</v>
      </c>
      <c r="O2017" s="10">
        <f>Table1[[#This Row],[NET Amount]]-Table1[[#This Row],[Paid Amount]]</f>
        <v>1274</v>
      </c>
      <c r="P2017" s="2" t="s">
        <v>23</v>
      </c>
      <c r="Q2017" s="2" t="s">
        <v>54</v>
      </c>
      <c r="R2017" s="16">
        <f>(Table1[[#This Row],[NET Amount]]-Table1[[#This Row],[Total Outstanding Amount]])/Table1[[#This Row],[NET Amount]]</f>
        <v>0</v>
      </c>
      <c r="S2017" s="2" t="s">
        <v>97</v>
      </c>
    </row>
    <row r="2018" spans="1:19" x14ac:dyDescent="0.3">
      <c r="A2018" s="4">
        <v>2016</v>
      </c>
      <c r="B2018" s="2" t="s">
        <v>2263</v>
      </c>
      <c r="C2018" s="3">
        <v>44861</v>
      </c>
      <c r="D2018" s="3" t="str">
        <f>TEXT(Table1[[#This Row],[Admission Date]],"MMMM")</f>
        <v>October</v>
      </c>
      <c r="E2018" s="3">
        <v>44861</v>
      </c>
      <c r="F2018" s="3">
        <v>44861</v>
      </c>
      <c r="G2018" s="2">
        <v>22028729</v>
      </c>
      <c r="H2018" s="2">
        <v>2237614</v>
      </c>
      <c r="I2018" s="2">
        <v>1001711925</v>
      </c>
      <c r="J2018" s="2" t="s">
        <v>302</v>
      </c>
      <c r="K2018" s="10">
        <v>1274</v>
      </c>
      <c r="L2018" s="10">
        <v>0</v>
      </c>
      <c r="M2018" s="10">
        <v>1274</v>
      </c>
      <c r="N2018" s="10">
        <v>0</v>
      </c>
      <c r="O2018" s="10">
        <f>Table1[[#This Row],[NET Amount]]-Table1[[#This Row],[Paid Amount]]</f>
        <v>1274</v>
      </c>
      <c r="P2018" s="2" t="s">
        <v>23</v>
      </c>
      <c r="Q2018" s="2" t="s">
        <v>54</v>
      </c>
      <c r="R2018" s="16">
        <f>(Table1[[#This Row],[NET Amount]]-Table1[[#This Row],[Total Outstanding Amount]])/Table1[[#This Row],[NET Amount]]</f>
        <v>0</v>
      </c>
      <c r="S2018" s="2" t="s">
        <v>97</v>
      </c>
    </row>
    <row r="2019" spans="1:19" x14ac:dyDescent="0.3">
      <c r="A2019" s="4">
        <v>2017</v>
      </c>
      <c r="B2019" s="2" t="s">
        <v>380</v>
      </c>
      <c r="C2019" s="3">
        <v>44835</v>
      </c>
      <c r="D2019" s="3" t="str">
        <f>TEXT(Table1[[#This Row],[Admission Date]],"MMMM")</f>
        <v>October</v>
      </c>
      <c r="E2019" s="3">
        <v>44835</v>
      </c>
      <c r="F2019" s="3">
        <v>44835</v>
      </c>
      <c r="G2019" s="2">
        <v>22025252</v>
      </c>
      <c r="H2019" s="2">
        <v>2234276</v>
      </c>
      <c r="I2019" s="2">
        <v>1001188488</v>
      </c>
      <c r="J2019" s="2" t="s">
        <v>297</v>
      </c>
      <c r="K2019" s="10">
        <v>1274</v>
      </c>
      <c r="L2019" s="10">
        <v>0</v>
      </c>
      <c r="M2019" s="10">
        <v>1274</v>
      </c>
      <c r="N2019" s="10">
        <v>0</v>
      </c>
      <c r="O2019" s="10">
        <f>Table1[[#This Row],[NET Amount]]-Table1[[#This Row],[Paid Amount]]</f>
        <v>1274</v>
      </c>
      <c r="P2019" s="2" t="s">
        <v>23</v>
      </c>
      <c r="Q2019" s="2" t="s">
        <v>54</v>
      </c>
      <c r="R2019" s="16">
        <f>(Table1[[#This Row],[NET Amount]]-Table1[[#This Row],[Total Outstanding Amount]])/Table1[[#This Row],[NET Amount]]</f>
        <v>0</v>
      </c>
      <c r="S2019" s="2" t="s">
        <v>97</v>
      </c>
    </row>
    <row r="2020" spans="1:19" x14ac:dyDescent="0.3">
      <c r="A2020" s="4">
        <v>2018</v>
      </c>
      <c r="B2020" s="2" t="s">
        <v>380</v>
      </c>
      <c r="C2020" s="3">
        <v>44848</v>
      </c>
      <c r="D2020" s="3" t="str">
        <f>TEXT(Table1[[#This Row],[Admission Date]],"MMMM")</f>
        <v>October</v>
      </c>
      <c r="E2020" s="3">
        <v>44848</v>
      </c>
      <c r="F2020" s="3">
        <v>44848</v>
      </c>
      <c r="G2020" s="2">
        <v>22027110</v>
      </c>
      <c r="H2020" s="2">
        <v>2236037</v>
      </c>
      <c r="I2020" s="2">
        <v>1000891068</v>
      </c>
      <c r="J2020" s="2" t="s">
        <v>1082</v>
      </c>
      <c r="K2020" s="10">
        <v>1274</v>
      </c>
      <c r="L2020" s="10">
        <v>0</v>
      </c>
      <c r="M2020" s="10">
        <v>1274</v>
      </c>
      <c r="N2020" s="10">
        <v>0</v>
      </c>
      <c r="O2020" s="10">
        <f>Table1[[#This Row],[NET Amount]]-Table1[[#This Row],[Paid Amount]]</f>
        <v>1274</v>
      </c>
      <c r="P2020" s="2" t="s">
        <v>23</v>
      </c>
      <c r="Q2020" s="2" t="s">
        <v>54</v>
      </c>
      <c r="R2020" s="16">
        <f>(Table1[[#This Row],[NET Amount]]-Table1[[#This Row],[Total Outstanding Amount]])/Table1[[#This Row],[NET Amount]]</f>
        <v>0</v>
      </c>
      <c r="S2020" s="2" t="s">
        <v>97</v>
      </c>
    </row>
    <row r="2021" spans="1:19" x14ac:dyDescent="0.3">
      <c r="A2021" s="4">
        <v>2019</v>
      </c>
      <c r="B2021" s="2" t="s">
        <v>2271</v>
      </c>
      <c r="C2021" s="3">
        <v>44862</v>
      </c>
      <c r="D2021" s="3" t="str">
        <f>TEXT(Table1[[#This Row],[Admission Date]],"MMMM")</f>
        <v>October</v>
      </c>
      <c r="E2021" s="3">
        <v>44862</v>
      </c>
      <c r="F2021" s="3">
        <v>44862</v>
      </c>
      <c r="G2021" s="2">
        <v>22028923</v>
      </c>
      <c r="H2021" s="2">
        <v>2237822</v>
      </c>
      <c r="I2021" s="2">
        <v>1001729640</v>
      </c>
      <c r="J2021" s="2" t="s">
        <v>470</v>
      </c>
      <c r="K2021" s="10">
        <v>1610</v>
      </c>
      <c r="L2021" s="10">
        <v>0</v>
      </c>
      <c r="M2021" s="10">
        <v>1610</v>
      </c>
      <c r="N2021" s="10">
        <v>0</v>
      </c>
      <c r="O2021" s="10">
        <f>Table1[[#This Row],[NET Amount]]-Table1[[#This Row],[Paid Amount]]</f>
        <v>1610</v>
      </c>
      <c r="P2021" s="2" t="s">
        <v>23</v>
      </c>
      <c r="Q2021" s="2" t="s">
        <v>54</v>
      </c>
      <c r="R2021" s="16">
        <f>(Table1[[#This Row],[NET Amount]]-Table1[[#This Row],[Total Outstanding Amount]])/Table1[[#This Row],[NET Amount]]</f>
        <v>0</v>
      </c>
      <c r="S2021" s="2" t="s">
        <v>97</v>
      </c>
    </row>
    <row r="2022" spans="1:19" x14ac:dyDescent="0.3">
      <c r="A2022" s="4">
        <v>2020</v>
      </c>
      <c r="B2022" s="2" t="s">
        <v>45</v>
      </c>
      <c r="C2022" s="3">
        <v>44859</v>
      </c>
      <c r="D2022" s="3" t="str">
        <f>TEXT(Table1[[#This Row],[Admission Date]],"MMMM")</f>
        <v>October</v>
      </c>
      <c r="E2022" s="3">
        <v>44859</v>
      </c>
      <c r="F2022" s="3">
        <v>44859</v>
      </c>
      <c r="G2022" s="2">
        <v>22028472</v>
      </c>
      <c r="H2022" s="2">
        <v>2237274</v>
      </c>
      <c r="I2022" s="2">
        <v>1000992104</v>
      </c>
      <c r="J2022" s="2" t="s">
        <v>1062</v>
      </c>
      <c r="K2022" s="10">
        <v>2200</v>
      </c>
      <c r="L2022" s="10">
        <v>0</v>
      </c>
      <c r="M2022" s="10">
        <v>2200</v>
      </c>
      <c r="N2022" s="10">
        <v>0</v>
      </c>
      <c r="O2022" s="10">
        <f>Table1[[#This Row],[NET Amount]]-Table1[[#This Row],[Paid Amount]]</f>
        <v>2200</v>
      </c>
      <c r="P2022" s="2" t="s">
        <v>23</v>
      </c>
      <c r="Q2022" s="2" t="s">
        <v>147</v>
      </c>
      <c r="R2022" s="16">
        <f>(Table1[[#This Row],[NET Amount]]-Table1[[#This Row],[Total Outstanding Amount]])/Table1[[#This Row],[NET Amount]]</f>
        <v>0</v>
      </c>
      <c r="S2022" s="2" t="s">
        <v>97</v>
      </c>
    </row>
    <row r="2023" spans="1:19" x14ac:dyDescent="0.3">
      <c r="A2023" s="4">
        <v>2021</v>
      </c>
      <c r="B2023" s="2" t="s">
        <v>380</v>
      </c>
      <c r="C2023" s="3">
        <v>44844</v>
      </c>
      <c r="D2023" s="3" t="str">
        <f>TEXT(Table1[[#This Row],[Admission Date]],"MMMM")</f>
        <v>October</v>
      </c>
      <c r="E2023" s="3">
        <v>44844</v>
      </c>
      <c r="F2023" s="3">
        <v>44844</v>
      </c>
      <c r="G2023" s="2">
        <v>22026408</v>
      </c>
      <c r="H2023" s="2">
        <v>2235393</v>
      </c>
      <c r="I2023" s="2">
        <v>1001033406</v>
      </c>
      <c r="J2023" s="2" t="s">
        <v>388</v>
      </c>
      <c r="K2023" s="10">
        <v>1274</v>
      </c>
      <c r="L2023" s="10">
        <v>0</v>
      </c>
      <c r="M2023" s="10">
        <v>1274</v>
      </c>
      <c r="N2023" s="10">
        <v>0</v>
      </c>
      <c r="O2023" s="10">
        <f>Table1[[#This Row],[NET Amount]]-Table1[[#This Row],[Paid Amount]]</f>
        <v>1274</v>
      </c>
      <c r="P2023" s="2" t="s">
        <v>23</v>
      </c>
      <c r="Q2023" s="2" t="s">
        <v>54</v>
      </c>
      <c r="R2023" s="16">
        <f>(Table1[[#This Row],[NET Amount]]-Table1[[#This Row],[Total Outstanding Amount]])/Table1[[#This Row],[NET Amount]]</f>
        <v>0</v>
      </c>
      <c r="S2023" s="2" t="s">
        <v>97</v>
      </c>
    </row>
    <row r="2024" spans="1:19" x14ac:dyDescent="0.3">
      <c r="A2024" s="4">
        <v>2022</v>
      </c>
      <c r="B2024" s="2" t="s">
        <v>155</v>
      </c>
      <c r="C2024" s="3">
        <v>44846</v>
      </c>
      <c r="D2024" s="3" t="str">
        <f>TEXT(Table1[[#This Row],[Admission Date]],"MMMM")</f>
        <v>October</v>
      </c>
      <c r="E2024" s="3">
        <v>44846</v>
      </c>
      <c r="F2024" s="3">
        <v>44846</v>
      </c>
      <c r="G2024" s="2">
        <v>22026790</v>
      </c>
      <c r="H2024" s="2">
        <v>2235749</v>
      </c>
      <c r="I2024" s="2">
        <v>1000979923</v>
      </c>
      <c r="J2024" s="2" t="s">
        <v>785</v>
      </c>
      <c r="K2024" s="10">
        <v>1610</v>
      </c>
      <c r="L2024" s="10">
        <v>0</v>
      </c>
      <c r="M2024" s="10">
        <v>1610</v>
      </c>
      <c r="N2024" s="10">
        <v>0</v>
      </c>
      <c r="O2024" s="10">
        <f>Table1[[#This Row],[NET Amount]]-Table1[[#This Row],[Paid Amount]]</f>
        <v>1610</v>
      </c>
      <c r="P2024" s="2" t="s">
        <v>23</v>
      </c>
      <c r="Q2024" s="2" t="s">
        <v>54</v>
      </c>
      <c r="R2024" s="16">
        <f>(Table1[[#This Row],[NET Amount]]-Table1[[#This Row],[Total Outstanding Amount]])/Table1[[#This Row],[NET Amount]]</f>
        <v>0</v>
      </c>
      <c r="S2024" s="2" t="s">
        <v>97</v>
      </c>
    </row>
    <row r="2025" spans="1:19" x14ac:dyDescent="0.3">
      <c r="A2025" s="4">
        <v>2023</v>
      </c>
      <c r="B2025" s="2" t="s">
        <v>380</v>
      </c>
      <c r="C2025" s="3">
        <v>44855</v>
      </c>
      <c r="D2025" s="3" t="str">
        <f>TEXT(Table1[[#This Row],[Admission Date]],"MMMM")</f>
        <v>October</v>
      </c>
      <c r="E2025" s="3">
        <v>44855</v>
      </c>
      <c r="F2025" s="3">
        <v>44855</v>
      </c>
      <c r="G2025" s="2">
        <v>22028096</v>
      </c>
      <c r="H2025" s="2">
        <v>2236952</v>
      </c>
      <c r="I2025" s="2">
        <v>10013371134</v>
      </c>
      <c r="J2025" s="2" t="s">
        <v>412</v>
      </c>
      <c r="K2025" s="10">
        <v>1274</v>
      </c>
      <c r="L2025" s="10">
        <v>0</v>
      </c>
      <c r="M2025" s="10">
        <v>1274</v>
      </c>
      <c r="N2025" s="10">
        <v>0</v>
      </c>
      <c r="O2025" s="10">
        <f>Table1[[#This Row],[NET Amount]]-Table1[[#This Row],[Paid Amount]]</f>
        <v>1274</v>
      </c>
      <c r="P2025" s="2" t="s">
        <v>23</v>
      </c>
      <c r="Q2025" s="2" t="s">
        <v>54</v>
      </c>
      <c r="R2025" s="16">
        <f>(Table1[[#This Row],[NET Amount]]-Table1[[#This Row],[Total Outstanding Amount]])/Table1[[#This Row],[NET Amount]]</f>
        <v>0</v>
      </c>
      <c r="S2025" s="2" t="s">
        <v>97</v>
      </c>
    </row>
    <row r="2026" spans="1:19" x14ac:dyDescent="0.3">
      <c r="A2026" s="4">
        <v>2024</v>
      </c>
      <c r="B2026" s="2" t="s">
        <v>75</v>
      </c>
      <c r="C2026" s="3">
        <v>44865</v>
      </c>
      <c r="D2026" s="3" t="str">
        <f>TEXT(Table1[[#This Row],[Admission Date]],"MMMM")</f>
        <v>October</v>
      </c>
      <c r="E2026" s="3">
        <v>44865</v>
      </c>
      <c r="F2026" s="3">
        <v>44865</v>
      </c>
      <c r="G2026" s="2">
        <v>22029267</v>
      </c>
      <c r="H2026" s="2">
        <v>2238156</v>
      </c>
      <c r="I2026" s="2">
        <v>10013401847</v>
      </c>
      <c r="J2026" s="2" t="s">
        <v>449</v>
      </c>
      <c r="K2026" s="10">
        <v>1610</v>
      </c>
      <c r="L2026" s="10">
        <v>0</v>
      </c>
      <c r="M2026" s="10">
        <v>1610</v>
      </c>
      <c r="N2026" s="10">
        <v>0</v>
      </c>
      <c r="O2026" s="10">
        <f>Table1[[#This Row],[NET Amount]]-Table1[[#This Row],[Paid Amount]]</f>
        <v>1610</v>
      </c>
      <c r="P2026" s="2" t="s">
        <v>23</v>
      </c>
      <c r="Q2026" s="2" t="s">
        <v>54</v>
      </c>
      <c r="R2026" s="16">
        <f>(Table1[[#This Row],[NET Amount]]-Table1[[#This Row],[Total Outstanding Amount]])/Table1[[#This Row],[NET Amount]]</f>
        <v>0</v>
      </c>
      <c r="S2026" s="2" t="s">
        <v>97</v>
      </c>
    </row>
    <row r="2027" spans="1:19" x14ac:dyDescent="0.3">
      <c r="A2027" s="4">
        <v>2025</v>
      </c>
      <c r="B2027" s="2" t="s">
        <v>407</v>
      </c>
      <c r="C2027" s="3">
        <v>44850</v>
      </c>
      <c r="D2027" s="3" t="str">
        <f>TEXT(Table1[[#This Row],[Admission Date]],"MMMM")</f>
        <v>October</v>
      </c>
      <c r="E2027" s="3">
        <v>44857</v>
      </c>
      <c r="F2027" s="3">
        <v>44857</v>
      </c>
      <c r="G2027" s="2">
        <v>22028353</v>
      </c>
      <c r="H2027" s="2">
        <v>2236249</v>
      </c>
      <c r="I2027" s="2">
        <v>10013488344</v>
      </c>
      <c r="J2027" s="2" t="s">
        <v>1339</v>
      </c>
      <c r="K2027" s="10">
        <v>95340</v>
      </c>
      <c r="L2027" s="10">
        <v>0</v>
      </c>
      <c r="M2027" s="10">
        <v>95340</v>
      </c>
      <c r="N2027" s="10">
        <v>0</v>
      </c>
      <c r="O2027" s="10">
        <f>Table1[[#This Row],[NET Amount]]-Table1[[#This Row],[Paid Amount]]</f>
        <v>95340</v>
      </c>
      <c r="P2027" s="2" t="s">
        <v>23</v>
      </c>
      <c r="Q2027" s="2" t="s">
        <v>24</v>
      </c>
      <c r="R2027" s="16">
        <f>(Table1[[#This Row],[NET Amount]]-Table1[[#This Row],[Total Outstanding Amount]])/Table1[[#This Row],[NET Amount]]</f>
        <v>0</v>
      </c>
      <c r="S2027" s="2" t="s">
        <v>20</v>
      </c>
    </row>
    <row r="2028" spans="1:19" x14ac:dyDescent="0.3">
      <c r="A2028" s="4">
        <v>2026</v>
      </c>
      <c r="B2028" s="2" t="s">
        <v>380</v>
      </c>
      <c r="C2028" s="3">
        <v>44856</v>
      </c>
      <c r="D2028" s="3" t="str">
        <f>TEXT(Table1[[#This Row],[Admission Date]],"MMMM")</f>
        <v>October</v>
      </c>
      <c r="E2028" s="3">
        <v>44856</v>
      </c>
      <c r="F2028" s="3">
        <v>44856</v>
      </c>
      <c r="G2028" s="2">
        <v>22028268</v>
      </c>
      <c r="H2028" s="2">
        <v>2237066</v>
      </c>
      <c r="I2028" s="2">
        <v>10013387247</v>
      </c>
      <c r="J2028" s="2" t="s">
        <v>1330</v>
      </c>
      <c r="K2028" s="10">
        <v>1274</v>
      </c>
      <c r="L2028" s="10">
        <v>0</v>
      </c>
      <c r="M2028" s="10">
        <v>1274</v>
      </c>
      <c r="N2028" s="10">
        <v>0</v>
      </c>
      <c r="O2028" s="10">
        <f>Table1[[#This Row],[NET Amount]]-Table1[[#This Row],[Paid Amount]]</f>
        <v>1274</v>
      </c>
      <c r="P2028" s="2" t="s">
        <v>23</v>
      </c>
      <c r="Q2028" s="2" t="s">
        <v>54</v>
      </c>
      <c r="R2028" s="16">
        <f>(Table1[[#This Row],[NET Amount]]-Table1[[#This Row],[Total Outstanding Amount]])/Table1[[#This Row],[NET Amount]]</f>
        <v>0</v>
      </c>
      <c r="S2028" s="2" t="s">
        <v>97</v>
      </c>
    </row>
    <row r="2029" spans="1:19" x14ac:dyDescent="0.3">
      <c r="A2029" s="4">
        <v>2027</v>
      </c>
      <c r="B2029" s="2" t="s">
        <v>522</v>
      </c>
      <c r="C2029" s="3">
        <v>44855</v>
      </c>
      <c r="D2029" s="3" t="str">
        <f>TEXT(Table1[[#This Row],[Admission Date]],"MMMM")</f>
        <v>October</v>
      </c>
      <c r="E2029" s="3">
        <v>44856</v>
      </c>
      <c r="F2029" s="3">
        <v>44856</v>
      </c>
      <c r="G2029" s="2">
        <v>22028171</v>
      </c>
      <c r="H2029" s="2">
        <v>2236875</v>
      </c>
      <c r="I2029" s="2">
        <v>10013543711</v>
      </c>
      <c r="J2029" s="2" t="s">
        <v>1290</v>
      </c>
      <c r="K2029" s="10">
        <v>27615</v>
      </c>
      <c r="L2029" s="10">
        <v>0</v>
      </c>
      <c r="M2029" s="10">
        <v>27615</v>
      </c>
      <c r="N2029" s="10">
        <v>0</v>
      </c>
      <c r="O2029" s="10">
        <f>Table1[[#This Row],[NET Amount]]-Table1[[#This Row],[Paid Amount]]</f>
        <v>27615</v>
      </c>
      <c r="P2029" s="2" t="s">
        <v>23</v>
      </c>
      <c r="Q2029" s="2" t="s">
        <v>24</v>
      </c>
      <c r="R2029" s="16">
        <f>(Table1[[#This Row],[NET Amount]]-Table1[[#This Row],[Total Outstanding Amount]])/Table1[[#This Row],[NET Amount]]</f>
        <v>0</v>
      </c>
      <c r="S2029" s="2" t="s">
        <v>43</v>
      </c>
    </row>
    <row r="2030" spans="1:19" x14ac:dyDescent="0.3">
      <c r="A2030" s="4">
        <v>2028</v>
      </c>
      <c r="B2030" s="2" t="s">
        <v>155</v>
      </c>
      <c r="C2030" s="3">
        <v>44835</v>
      </c>
      <c r="D2030" s="3" t="str">
        <f>TEXT(Table1[[#This Row],[Admission Date]],"MMMM")</f>
        <v>October</v>
      </c>
      <c r="E2030" s="3">
        <v>44835</v>
      </c>
      <c r="F2030" s="3">
        <v>44835</v>
      </c>
      <c r="G2030" s="2">
        <v>22025200</v>
      </c>
      <c r="H2030" s="2">
        <v>2234223</v>
      </c>
      <c r="I2030" s="2">
        <v>1000979923</v>
      </c>
      <c r="J2030" s="2" t="s">
        <v>785</v>
      </c>
      <c r="K2030" s="10">
        <v>1610</v>
      </c>
      <c r="L2030" s="10">
        <v>0</v>
      </c>
      <c r="M2030" s="10">
        <v>1610</v>
      </c>
      <c r="N2030" s="10">
        <v>0</v>
      </c>
      <c r="O2030" s="10">
        <f>Table1[[#This Row],[NET Amount]]-Table1[[#This Row],[Paid Amount]]</f>
        <v>1610</v>
      </c>
      <c r="P2030" s="2" t="s">
        <v>23</v>
      </c>
      <c r="Q2030" s="2" t="s">
        <v>54</v>
      </c>
      <c r="R2030" s="16">
        <f>(Table1[[#This Row],[NET Amount]]-Table1[[#This Row],[Total Outstanding Amount]])/Table1[[#This Row],[NET Amount]]</f>
        <v>0</v>
      </c>
      <c r="S2030" s="2" t="s">
        <v>97</v>
      </c>
    </row>
    <row r="2031" spans="1:19" x14ac:dyDescent="0.3">
      <c r="A2031" s="4">
        <v>2029</v>
      </c>
      <c r="B2031" s="2" t="s">
        <v>380</v>
      </c>
      <c r="C2031" s="3">
        <v>44854</v>
      </c>
      <c r="D2031" s="3" t="str">
        <f>TEXT(Table1[[#This Row],[Admission Date]],"MMMM")</f>
        <v>October</v>
      </c>
      <c r="E2031" s="3">
        <v>44854</v>
      </c>
      <c r="F2031" s="3">
        <v>44854</v>
      </c>
      <c r="G2031" s="2">
        <v>22027941</v>
      </c>
      <c r="H2031" s="2">
        <v>2236809</v>
      </c>
      <c r="I2031" s="2">
        <v>1001208331</v>
      </c>
      <c r="J2031" s="2" t="s">
        <v>430</v>
      </c>
      <c r="K2031" s="10">
        <v>1274</v>
      </c>
      <c r="L2031" s="10">
        <v>0</v>
      </c>
      <c r="M2031" s="10">
        <v>1274</v>
      </c>
      <c r="N2031" s="10">
        <v>0</v>
      </c>
      <c r="O2031" s="10">
        <f>Table1[[#This Row],[NET Amount]]-Table1[[#This Row],[Paid Amount]]</f>
        <v>1274</v>
      </c>
      <c r="P2031" s="2" t="s">
        <v>23</v>
      </c>
      <c r="Q2031" s="2" t="s">
        <v>54</v>
      </c>
      <c r="R2031" s="16">
        <f>(Table1[[#This Row],[NET Amount]]-Table1[[#This Row],[Total Outstanding Amount]])/Table1[[#This Row],[NET Amount]]</f>
        <v>0</v>
      </c>
      <c r="S2031" s="2" t="s">
        <v>97</v>
      </c>
    </row>
    <row r="2032" spans="1:19" x14ac:dyDescent="0.3">
      <c r="A2032" s="4">
        <v>2030</v>
      </c>
      <c r="B2032" s="2" t="s">
        <v>141</v>
      </c>
      <c r="C2032" s="3">
        <v>44844</v>
      </c>
      <c r="D2032" s="3" t="str">
        <f>TEXT(Table1[[#This Row],[Admission Date]],"MMMM")</f>
        <v>October</v>
      </c>
      <c r="E2032" s="3">
        <v>44847</v>
      </c>
      <c r="F2032" s="3">
        <v>44847</v>
      </c>
      <c r="G2032" s="2">
        <v>22026859</v>
      </c>
      <c r="H2032" s="2">
        <v>2235399</v>
      </c>
      <c r="I2032" s="2">
        <v>10013533857</v>
      </c>
      <c r="J2032" s="2" t="s">
        <v>1340</v>
      </c>
      <c r="K2032" s="10">
        <v>190343</v>
      </c>
      <c r="L2032" s="10">
        <v>0</v>
      </c>
      <c r="M2032" s="10">
        <v>190343</v>
      </c>
      <c r="N2032" s="10">
        <v>0</v>
      </c>
      <c r="O2032" s="10">
        <f>Table1[[#This Row],[NET Amount]]-Table1[[#This Row],[Paid Amount]]</f>
        <v>190343</v>
      </c>
      <c r="P2032" s="2" t="s">
        <v>23</v>
      </c>
      <c r="Q2032" s="2" t="s">
        <v>396</v>
      </c>
      <c r="R2032" s="16">
        <f>(Table1[[#This Row],[NET Amount]]-Table1[[#This Row],[Total Outstanding Amount]])/Table1[[#This Row],[NET Amount]]</f>
        <v>0</v>
      </c>
      <c r="S2032" s="2" t="s">
        <v>201</v>
      </c>
    </row>
    <row r="2033" spans="1:19" x14ac:dyDescent="0.3">
      <c r="A2033" s="4">
        <v>2031</v>
      </c>
      <c r="B2033" s="2" t="s">
        <v>380</v>
      </c>
      <c r="C2033" s="3">
        <v>44849</v>
      </c>
      <c r="D2033" s="3" t="str">
        <f>TEXT(Table1[[#This Row],[Admission Date]],"MMMM")</f>
        <v>October</v>
      </c>
      <c r="E2033" s="3">
        <v>44849</v>
      </c>
      <c r="F2033" s="3">
        <v>44849</v>
      </c>
      <c r="G2033" s="2">
        <v>22027248</v>
      </c>
      <c r="H2033" s="2">
        <v>2236176</v>
      </c>
      <c r="I2033" s="2">
        <v>10013276269</v>
      </c>
      <c r="J2033" s="2" t="s">
        <v>403</v>
      </c>
      <c r="K2033" s="10">
        <v>1274</v>
      </c>
      <c r="L2033" s="10">
        <v>0</v>
      </c>
      <c r="M2033" s="10">
        <v>1274</v>
      </c>
      <c r="N2033" s="10">
        <v>0</v>
      </c>
      <c r="O2033" s="10">
        <f>Table1[[#This Row],[NET Amount]]-Table1[[#This Row],[Paid Amount]]</f>
        <v>1274</v>
      </c>
      <c r="P2033" s="2" t="s">
        <v>23</v>
      </c>
      <c r="Q2033" s="2" t="s">
        <v>54</v>
      </c>
      <c r="R2033" s="16">
        <f>(Table1[[#This Row],[NET Amount]]-Table1[[#This Row],[Total Outstanding Amount]])/Table1[[#This Row],[NET Amount]]</f>
        <v>0</v>
      </c>
      <c r="S2033" s="2" t="s">
        <v>97</v>
      </c>
    </row>
    <row r="2034" spans="1:19" x14ac:dyDescent="0.3">
      <c r="A2034" s="4">
        <v>2032</v>
      </c>
      <c r="B2034" s="2" t="s">
        <v>380</v>
      </c>
      <c r="C2034" s="3">
        <v>44849</v>
      </c>
      <c r="D2034" s="3" t="str">
        <f>TEXT(Table1[[#This Row],[Admission Date]],"MMMM")</f>
        <v>October</v>
      </c>
      <c r="E2034" s="3">
        <v>44849</v>
      </c>
      <c r="F2034" s="3">
        <v>44849</v>
      </c>
      <c r="G2034" s="2">
        <v>22027249</v>
      </c>
      <c r="H2034" s="2">
        <v>2236177</v>
      </c>
      <c r="I2034" s="2">
        <v>10013422914</v>
      </c>
      <c r="J2034" s="2" t="s">
        <v>816</v>
      </c>
      <c r="K2034" s="10">
        <v>1274</v>
      </c>
      <c r="L2034" s="10">
        <v>0</v>
      </c>
      <c r="M2034" s="10">
        <v>1274</v>
      </c>
      <c r="N2034" s="10">
        <v>0</v>
      </c>
      <c r="O2034" s="10">
        <f>Table1[[#This Row],[NET Amount]]-Table1[[#This Row],[Paid Amount]]</f>
        <v>1274</v>
      </c>
      <c r="P2034" s="2" t="s">
        <v>23</v>
      </c>
      <c r="Q2034" s="2" t="s">
        <v>54</v>
      </c>
      <c r="R2034" s="16">
        <f>(Table1[[#This Row],[NET Amount]]-Table1[[#This Row],[Total Outstanding Amount]])/Table1[[#This Row],[NET Amount]]</f>
        <v>0</v>
      </c>
      <c r="S2034" s="2" t="s">
        <v>97</v>
      </c>
    </row>
    <row r="2035" spans="1:19" x14ac:dyDescent="0.3">
      <c r="A2035" s="4">
        <v>2033</v>
      </c>
      <c r="B2035" s="2" t="s">
        <v>380</v>
      </c>
      <c r="C2035" s="3">
        <v>44863</v>
      </c>
      <c r="D2035" s="3" t="str">
        <f>TEXT(Table1[[#This Row],[Admission Date]],"MMMM")</f>
        <v>October</v>
      </c>
      <c r="E2035" s="3">
        <v>44863</v>
      </c>
      <c r="F2035" s="3">
        <v>44863</v>
      </c>
      <c r="G2035" s="2">
        <v>22029165</v>
      </c>
      <c r="H2035" s="2">
        <v>2238042</v>
      </c>
      <c r="I2035" s="2">
        <v>10013528076</v>
      </c>
      <c r="J2035" s="2" t="s">
        <v>420</v>
      </c>
      <c r="K2035" s="10">
        <v>1274</v>
      </c>
      <c r="L2035" s="10">
        <v>0</v>
      </c>
      <c r="M2035" s="10">
        <v>1274</v>
      </c>
      <c r="N2035" s="10">
        <v>0</v>
      </c>
      <c r="O2035" s="10">
        <f>Table1[[#This Row],[NET Amount]]-Table1[[#This Row],[Paid Amount]]</f>
        <v>1274</v>
      </c>
      <c r="P2035" s="2" t="s">
        <v>23</v>
      </c>
      <c r="Q2035" s="2" t="s">
        <v>54</v>
      </c>
      <c r="R2035" s="16">
        <f>(Table1[[#This Row],[NET Amount]]-Table1[[#This Row],[Total Outstanding Amount]])/Table1[[#This Row],[NET Amount]]</f>
        <v>0</v>
      </c>
      <c r="S2035" s="2" t="s">
        <v>97</v>
      </c>
    </row>
    <row r="2036" spans="1:19" x14ac:dyDescent="0.3">
      <c r="A2036" s="4">
        <v>2034</v>
      </c>
      <c r="B2036" s="2" t="s">
        <v>380</v>
      </c>
      <c r="C2036" s="3">
        <v>44841</v>
      </c>
      <c r="D2036" s="3" t="str">
        <f>TEXT(Table1[[#This Row],[Admission Date]],"MMMM")</f>
        <v>October</v>
      </c>
      <c r="E2036" s="3">
        <v>44841</v>
      </c>
      <c r="F2036" s="3">
        <v>44841</v>
      </c>
      <c r="G2036" s="2">
        <v>22026064</v>
      </c>
      <c r="H2036" s="2">
        <v>2235091</v>
      </c>
      <c r="I2036" s="2">
        <v>1001581259</v>
      </c>
      <c r="J2036" s="2" t="s">
        <v>381</v>
      </c>
      <c r="K2036" s="10">
        <v>1274</v>
      </c>
      <c r="L2036" s="10">
        <v>0</v>
      </c>
      <c r="M2036" s="10">
        <v>1274</v>
      </c>
      <c r="N2036" s="10">
        <v>0</v>
      </c>
      <c r="O2036" s="10">
        <f>Table1[[#This Row],[NET Amount]]-Table1[[#This Row],[Paid Amount]]</f>
        <v>1274</v>
      </c>
      <c r="P2036" s="2" t="s">
        <v>23</v>
      </c>
      <c r="Q2036" s="2" t="s">
        <v>54</v>
      </c>
      <c r="R2036" s="16">
        <f>(Table1[[#This Row],[NET Amount]]-Table1[[#This Row],[Total Outstanding Amount]])/Table1[[#This Row],[NET Amount]]</f>
        <v>0</v>
      </c>
      <c r="S2036" s="2" t="s">
        <v>97</v>
      </c>
    </row>
    <row r="2037" spans="1:19" x14ac:dyDescent="0.3">
      <c r="A2037" s="4">
        <v>2035</v>
      </c>
      <c r="B2037" s="2" t="s">
        <v>2263</v>
      </c>
      <c r="C2037" s="3">
        <v>44848</v>
      </c>
      <c r="D2037" s="3" t="str">
        <f>TEXT(Table1[[#This Row],[Admission Date]],"MMMM")</f>
        <v>October</v>
      </c>
      <c r="E2037" s="3">
        <v>44848</v>
      </c>
      <c r="F2037" s="3">
        <v>44848</v>
      </c>
      <c r="G2037" s="2">
        <v>22027067</v>
      </c>
      <c r="H2037" s="2">
        <v>2235983</v>
      </c>
      <c r="I2037" s="2">
        <v>1001527101</v>
      </c>
      <c r="J2037" s="2" t="s">
        <v>795</v>
      </c>
      <c r="K2037" s="10">
        <v>1274</v>
      </c>
      <c r="L2037" s="10">
        <v>0</v>
      </c>
      <c r="M2037" s="10">
        <v>1274</v>
      </c>
      <c r="N2037" s="10">
        <v>0</v>
      </c>
      <c r="O2037" s="10">
        <f>Table1[[#This Row],[NET Amount]]-Table1[[#This Row],[Paid Amount]]</f>
        <v>1274</v>
      </c>
      <c r="P2037" s="2" t="s">
        <v>23</v>
      </c>
      <c r="Q2037" s="2" t="s">
        <v>54</v>
      </c>
      <c r="R2037" s="16">
        <f>(Table1[[#This Row],[NET Amount]]-Table1[[#This Row],[Total Outstanding Amount]])/Table1[[#This Row],[NET Amount]]</f>
        <v>0</v>
      </c>
      <c r="S2037" s="2" t="s">
        <v>97</v>
      </c>
    </row>
    <row r="2038" spans="1:19" x14ac:dyDescent="0.3">
      <c r="A2038" s="4">
        <v>2036</v>
      </c>
      <c r="B2038" s="2" t="s">
        <v>380</v>
      </c>
      <c r="C2038" s="3">
        <v>44853</v>
      </c>
      <c r="D2038" s="3" t="str">
        <f>TEXT(Table1[[#This Row],[Admission Date]],"MMMM")</f>
        <v>October</v>
      </c>
      <c r="E2038" s="3">
        <v>44853</v>
      </c>
      <c r="F2038" s="3">
        <v>44853</v>
      </c>
      <c r="G2038" s="2">
        <v>22027798</v>
      </c>
      <c r="H2038" s="2">
        <v>2236697</v>
      </c>
      <c r="I2038" s="2">
        <v>1000857532</v>
      </c>
      <c r="J2038" s="2" t="s">
        <v>416</v>
      </c>
      <c r="K2038" s="10">
        <v>1274</v>
      </c>
      <c r="L2038" s="10">
        <v>0</v>
      </c>
      <c r="M2038" s="10">
        <v>1274</v>
      </c>
      <c r="N2038" s="10">
        <v>0</v>
      </c>
      <c r="O2038" s="10">
        <f>Table1[[#This Row],[NET Amount]]-Table1[[#This Row],[Paid Amount]]</f>
        <v>1274</v>
      </c>
      <c r="P2038" s="2" t="s">
        <v>23</v>
      </c>
      <c r="Q2038" s="2" t="s">
        <v>54</v>
      </c>
      <c r="R2038" s="16">
        <f>(Table1[[#This Row],[NET Amount]]-Table1[[#This Row],[Total Outstanding Amount]])/Table1[[#This Row],[NET Amount]]</f>
        <v>0</v>
      </c>
      <c r="S2038" s="2" t="s">
        <v>97</v>
      </c>
    </row>
    <row r="2039" spans="1:19" x14ac:dyDescent="0.3">
      <c r="A2039" s="4">
        <v>2037</v>
      </c>
      <c r="B2039" s="2" t="s">
        <v>25</v>
      </c>
      <c r="C2039" s="3">
        <v>44844</v>
      </c>
      <c r="D2039" s="3" t="str">
        <f>TEXT(Table1[[#This Row],[Admission Date]],"MMMM")</f>
        <v>October</v>
      </c>
      <c r="E2039" s="3">
        <v>44845</v>
      </c>
      <c r="F2039" s="3">
        <v>44845</v>
      </c>
      <c r="G2039" s="2">
        <v>22026590</v>
      </c>
      <c r="H2039" s="2">
        <v>2235368</v>
      </c>
      <c r="I2039" s="2">
        <v>1001803557</v>
      </c>
      <c r="J2039" s="2" t="s">
        <v>1341</v>
      </c>
      <c r="K2039" s="10">
        <v>6930</v>
      </c>
      <c r="L2039" s="10">
        <v>6930</v>
      </c>
      <c r="M2039" s="10">
        <v>0</v>
      </c>
      <c r="N2039" s="10">
        <v>0</v>
      </c>
      <c r="O2039" s="10">
        <f>Table1[[#This Row],[NET Amount]]-Table1[[#This Row],[Paid Amount]]</f>
        <v>0</v>
      </c>
      <c r="P2039" s="2" t="s">
        <v>23</v>
      </c>
      <c r="Q2039" s="2" t="s">
        <v>90</v>
      </c>
      <c r="R2039" s="16" t="e">
        <f>(Table1[[#This Row],[NET Amount]]-Table1[[#This Row],[Total Outstanding Amount]])/Table1[[#This Row],[NET Amount]]</f>
        <v>#DIV/0!</v>
      </c>
      <c r="S2039" s="2" t="s">
        <v>37</v>
      </c>
    </row>
    <row r="2040" spans="1:19" x14ac:dyDescent="0.3">
      <c r="A2040" s="4">
        <v>2038</v>
      </c>
      <c r="B2040" s="2" t="s">
        <v>75</v>
      </c>
      <c r="C2040" s="3">
        <v>44853</v>
      </c>
      <c r="D2040" s="3" t="str">
        <f>TEXT(Table1[[#This Row],[Admission Date]],"MMMM")</f>
        <v>October</v>
      </c>
      <c r="E2040" s="3">
        <v>44853</v>
      </c>
      <c r="F2040" s="3">
        <v>44853</v>
      </c>
      <c r="G2040" s="2">
        <v>22027736</v>
      </c>
      <c r="H2040" s="2">
        <v>2236620</v>
      </c>
      <c r="I2040" s="2">
        <v>10013514225</v>
      </c>
      <c r="J2040" s="2" t="s">
        <v>814</v>
      </c>
      <c r="K2040" s="10">
        <v>1610</v>
      </c>
      <c r="L2040" s="10">
        <v>0</v>
      </c>
      <c r="M2040" s="10">
        <v>1610</v>
      </c>
      <c r="N2040" s="10">
        <v>0</v>
      </c>
      <c r="O2040" s="10">
        <f>Table1[[#This Row],[NET Amount]]-Table1[[#This Row],[Paid Amount]]</f>
        <v>1610</v>
      </c>
      <c r="P2040" s="2" t="s">
        <v>23</v>
      </c>
      <c r="Q2040" s="2" t="s">
        <v>54</v>
      </c>
      <c r="R2040" s="16">
        <f>(Table1[[#This Row],[NET Amount]]-Table1[[#This Row],[Total Outstanding Amount]])/Table1[[#This Row],[NET Amount]]</f>
        <v>0</v>
      </c>
      <c r="S2040" s="2" t="s">
        <v>97</v>
      </c>
    </row>
    <row r="2041" spans="1:19" x14ac:dyDescent="0.3">
      <c r="A2041" s="4">
        <v>2039</v>
      </c>
      <c r="B2041" s="2" t="s">
        <v>2263</v>
      </c>
      <c r="C2041" s="3">
        <v>44847</v>
      </c>
      <c r="D2041" s="3" t="str">
        <f>TEXT(Table1[[#This Row],[Admission Date]],"MMMM")</f>
        <v>October</v>
      </c>
      <c r="E2041" s="3">
        <v>44847</v>
      </c>
      <c r="F2041" s="3">
        <v>44847</v>
      </c>
      <c r="G2041" s="2">
        <v>22026838</v>
      </c>
      <c r="H2041" s="2">
        <v>2235823</v>
      </c>
      <c r="I2041" s="2">
        <v>1001712791</v>
      </c>
      <c r="J2041" s="2" t="s">
        <v>450</v>
      </c>
      <c r="K2041" s="10">
        <v>1274</v>
      </c>
      <c r="L2041" s="10">
        <v>0</v>
      </c>
      <c r="M2041" s="10">
        <v>1274</v>
      </c>
      <c r="N2041" s="10">
        <v>0</v>
      </c>
      <c r="O2041" s="10">
        <f>Table1[[#This Row],[NET Amount]]-Table1[[#This Row],[Paid Amount]]</f>
        <v>1274</v>
      </c>
      <c r="P2041" s="2" t="s">
        <v>23</v>
      </c>
      <c r="Q2041" s="2" t="s">
        <v>54</v>
      </c>
      <c r="R2041" s="16">
        <f>(Table1[[#This Row],[NET Amount]]-Table1[[#This Row],[Total Outstanding Amount]])/Table1[[#This Row],[NET Amount]]</f>
        <v>0</v>
      </c>
      <c r="S2041" s="2" t="s">
        <v>97</v>
      </c>
    </row>
    <row r="2042" spans="1:19" x14ac:dyDescent="0.3">
      <c r="A2042" s="4">
        <v>2040</v>
      </c>
      <c r="B2042" s="2" t="s">
        <v>178</v>
      </c>
      <c r="C2042" s="3">
        <v>44860</v>
      </c>
      <c r="D2042" s="3" t="str">
        <f>TEXT(Table1[[#This Row],[Admission Date]],"MMMM")</f>
        <v>October</v>
      </c>
      <c r="E2042" s="3">
        <v>44860</v>
      </c>
      <c r="F2042" s="3">
        <v>44860</v>
      </c>
      <c r="G2042" s="2">
        <v>22028683</v>
      </c>
      <c r="H2042" s="2">
        <v>2237530</v>
      </c>
      <c r="I2042" s="2">
        <v>10013519562</v>
      </c>
      <c r="J2042" s="2" t="s">
        <v>479</v>
      </c>
      <c r="K2042" s="10">
        <v>2200</v>
      </c>
      <c r="L2042" s="10">
        <v>0</v>
      </c>
      <c r="M2042" s="10">
        <v>2200</v>
      </c>
      <c r="N2042" s="10">
        <v>0</v>
      </c>
      <c r="O2042" s="10">
        <f>Table1[[#This Row],[NET Amount]]-Table1[[#This Row],[Paid Amount]]</f>
        <v>2200</v>
      </c>
      <c r="P2042" s="2" t="s">
        <v>23</v>
      </c>
      <c r="Q2042" s="2" t="s">
        <v>147</v>
      </c>
      <c r="R2042" s="16">
        <f>(Table1[[#This Row],[NET Amount]]-Table1[[#This Row],[Total Outstanding Amount]])/Table1[[#This Row],[NET Amount]]</f>
        <v>0</v>
      </c>
      <c r="S2042" s="2" t="s">
        <v>97</v>
      </c>
    </row>
    <row r="2043" spans="1:19" x14ac:dyDescent="0.3">
      <c r="A2043" s="4">
        <v>2041</v>
      </c>
      <c r="B2043" s="2" t="s">
        <v>2263</v>
      </c>
      <c r="C2043" s="3">
        <v>44855</v>
      </c>
      <c r="D2043" s="3" t="str">
        <f>TEXT(Table1[[#This Row],[Admission Date]],"MMMM")</f>
        <v>October</v>
      </c>
      <c r="E2043" s="3">
        <v>44855</v>
      </c>
      <c r="F2043" s="3">
        <v>44855</v>
      </c>
      <c r="G2043" s="2">
        <v>22028061</v>
      </c>
      <c r="H2043" s="2">
        <v>2236924</v>
      </c>
      <c r="I2043" s="2">
        <v>1001647517</v>
      </c>
      <c r="J2043" s="2" t="s">
        <v>802</v>
      </c>
      <c r="K2043" s="10">
        <v>1274</v>
      </c>
      <c r="L2043" s="10">
        <v>0</v>
      </c>
      <c r="M2043" s="10">
        <v>1274</v>
      </c>
      <c r="N2043" s="10">
        <v>0</v>
      </c>
      <c r="O2043" s="10">
        <f>Table1[[#This Row],[NET Amount]]-Table1[[#This Row],[Paid Amount]]</f>
        <v>1274</v>
      </c>
      <c r="P2043" s="2" t="s">
        <v>23</v>
      </c>
      <c r="Q2043" s="2" t="s">
        <v>54</v>
      </c>
      <c r="R2043" s="16">
        <f>(Table1[[#This Row],[NET Amount]]-Table1[[#This Row],[Total Outstanding Amount]])/Table1[[#This Row],[NET Amount]]</f>
        <v>0</v>
      </c>
      <c r="S2043" s="2" t="s">
        <v>97</v>
      </c>
    </row>
    <row r="2044" spans="1:19" x14ac:dyDescent="0.3">
      <c r="A2044" s="4">
        <v>2042</v>
      </c>
      <c r="B2044" s="2" t="s">
        <v>2253</v>
      </c>
      <c r="C2044" s="3">
        <v>44856</v>
      </c>
      <c r="D2044" s="3" t="str">
        <f>TEXT(Table1[[#This Row],[Admission Date]],"MMMM")</f>
        <v>October</v>
      </c>
      <c r="E2044" s="3">
        <v>44856</v>
      </c>
      <c r="F2044" s="3">
        <v>44856</v>
      </c>
      <c r="G2044" s="2">
        <v>22028140</v>
      </c>
      <c r="H2044" s="2">
        <v>2236999</v>
      </c>
      <c r="I2044" s="2">
        <v>1001749543</v>
      </c>
      <c r="J2044" s="2" t="s">
        <v>810</v>
      </c>
      <c r="K2044" s="10">
        <v>1610</v>
      </c>
      <c r="L2044" s="10">
        <v>0</v>
      </c>
      <c r="M2044" s="10">
        <v>1610</v>
      </c>
      <c r="N2044" s="10">
        <v>0</v>
      </c>
      <c r="O2044" s="10">
        <f>Table1[[#This Row],[NET Amount]]-Table1[[#This Row],[Paid Amount]]</f>
        <v>1610</v>
      </c>
      <c r="P2044" s="2" t="s">
        <v>23</v>
      </c>
      <c r="Q2044" s="2" t="s">
        <v>54</v>
      </c>
      <c r="R2044" s="16">
        <f>(Table1[[#This Row],[NET Amount]]-Table1[[#This Row],[Total Outstanding Amount]])/Table1[[#This Row],[NET Amount]]</f>
        <v>0</v>
      </c>
      <c r="S2044" s="2" t="s">
        <v>97</v>
      </c>
    </row>
    <row r="2045" spans="1:19" x14ac:dyDescent="0.3">
      <c r="A2045" s="4">
        <v>2043</v>
      </c>
      <c r="B2045" s="2" t="s">
        <v>380</v>
      </c>
      <c r="C2045" s="3">
        <v>44851</v>
      </c>
      <c r="D2045" s="3" t="str">
        <f>TEXT(Table1[[#This Row],[Admission Date]],"MMMM")</f>
        <v>October</v>
      </c>
      <c r="E2045" s="3">
        <v>44851</v>
      </c>
      <c r="F2045" s="3">
        <v>44851</v>
      </c>
      <c r="G2045" s="2">
        <v>22027489</v>
      </c>
      <c r="H2045" s="2">
        <v>2236386</v>
      </c>
      <c r="I2045" s="2">
        <v>1000891592</v>
      </c>
      <c r="J2045" s="2" t="s">
        <v>815</v>
      </c>
      <c r="K2045" s="10">
        <v>1274</v>
      </c>
      <c r="L2045" s="10">
        <v>0</v>
      </c>
      <c r="M2045" s="10">
        <v>1274</v>
      </c>
      <c r="N2045" s="10">
        <v>0</v>
      </c>
      <c r="O2045" s="10">
        <f>Table1[[#This Row],[NET Amount]]-Table1[[#This Row],[Paid Amount]]</f>
        <v>1274</v>
      </c>
      <c r="P2045" s="2" t="s">
        <v>23</v>
      </c>
      <c r="Q2045" s="2" t="s">
        <v>54</v>
      </c>
      <c r="R2045" s="16">
        <f>(Table1[[#This Row],[NET Amount]]-Table1[[#This Row],[Total Outstanding Amount]])/Table1[[#This Row],[NET Amount]]</f>
        <v>0</v>
      </c>
      <c r="S2045" s="2" t="s">
        <v>97</v>
      </c>
    </row>
    <row r="2046" spans="1:19" x14ac:dyDescent="0.3">
      <c r="A2046" s="4">
        <v>2044</v>
      </c>
      <c r="B2046" s="2" t="s">
        <v>178</v>
      </c>
      <c r="C2046" s="3">
        <v>44849</v>
      </c>
      <c r="D2046" s="3" t="str">
        <f>TEXT(Table1[[#This Row],[Admission Date]],"MMMM")</f>
        <v>October</v>
      </c>
      <c r="E2046" s="3">
        <v>44849</v>
      </c>
      <c r="F2046" s="3">
        <v>44849</v>
      </c>
      <c r="G2046" s="2">
        <v>22027260</v>
      </c>
      <c r="H2046" s="2">
        <v>2236173</v>
      </c>
      <c r="I2046" s="2">
        <v>10013519562</v>
      </c>
      <c r="J2046" s="2" t="s">
        <v>479</v>
      </c>
      <c r="K2046" s="10">
        <v>2200</v>
      </c>
      <c r="L2046" s="10">
        <v>0</v>
      </c>
      <c r="M2046" s="10">
        <v>2200</v>
      </c>
      <c r="N2046" s="10">
        <v>0</v>
      </c>
      <c r="O2046" s="10">
        <f>Table1[[#This Row],[NET Amount]]-Table1[[#This Row],[Paid Amount]]</f>
        <v>2200</v>
      </c>
      <c r="P2046" s="2" t="s">
        <v>23</v>
      </c>
      <c r="Q2046" s="2" t="s">
        <v>147</v>
      </c>
      <c r="R2046" s="16">
        <f>(Table1[[#This Row],[NET Amount]]-Table1[[#This Row],[Total Outstanding Amount]])/Table1[[#This Row],[NET Amount]]</f>
        <v>0</v>
      </c>
      <c r="S2046" s="2" t="s">
        <v>97</v>
      </c>
    </row>
    <row r="2047" spans="1:19" x14ac:dyDescent="0.3">
      <c r="A2047" s="4">
        <v>2045</v>
      </c>
      <c r="B2047" s="2" t="s">
        <v>380</v>
      </c>
      <c r="C2047" s="3">
        <v>44842</v>
      </c>
      <c r="D2047" s="3" t="str">
        <f>TEXT(Table1[[#This Row],[Admission Date]],"MMMM")</f>
        <v>October</v>
      </c>
      <c r="E2047" s="3">
        <v>44842</v>
      </c>
      <c r="F2047" s="3">
        <v>44842</v>
      </c>
      <c r="G2047" s="2">
        <v>22026234</v>
      </c>
      <c r="H2047" s="2">
        <v>2235239</v>
      </c>
      <c r="I2047" s="2">
        <v>10013370253</v>
      </c>
      <c r="J2047" s="2" t="s">
        <v>488</v>
      </c>
      <c r="K2047" s="10">
        <v>1274</v>
      </c>
      <c r="L2047" s="10">
        <v>0</v>
      </c>
      <c r="M2047" s="10">
        <v>1274</v>
      </c>
      <c r="N2047" s="10">
        <v>0</v>
      </c>
      <c r="O2047" s="10">
        <f>Table1[[#This Row],[NET Amount]]-Table1[[#This Row],[Paid Amount]]</f>
        <v>1274</v>
      </c>
      <c r="P2047" s="2" t="s">
        <v>23</v>
      </c>
      <c r="Q2047" s="2" t="s">
        <v>54</v>
      </c>
      <c r="R2047" s="16">
        <f>(Table1[[#This Row],[NET Amount]]-Table1[[#This Row],[Total Outstanding Amount]])/Table1[[#This Row],[NET Amount]]</f>
        <v>0</v>
      </c>
      <c r="S2047" s="2" t="s">
        <v>97</v>
      </c>
    </row>
    <row r="2048" spans="1:19" x14ac:dyDescent="0.3">
      <c r="A2048" s="4">
        <v>2046</v>
      </c>
      <c r="B2048" s="2" t="s">
        <v>380</v>
      </c>
      <c r="C2048" s="3">
        <v>44840</v>
      </c>
      <c r="D2048" s="3" t="str">
        <f>TEXT(Table1[[#This Row],[Admission Date]],"MMMM")</f>
        <v>October</v>
      </c>
      <c r="E2048" s="3">
        <v>44840</v>
      </c>
      <c r="F2048" s="3">
        <v>44840</v>
      </c>
      <c r="G2048" s="2">
        <v>22025866</v>
      </c>
      <c r="H2048" s="2">
        <v>2234866</v>
      </c>
      <c r="I2048" s="2">
        <v>1001033406</v>
      </c>
      <c r="J2048" s="2" t="s">
        <v>388</v>
      </c>
      <c r="K2048" s="10">
        <v>1274</v>
      </c>
      <c r="L2048" s="10">
        <v>0</v>
      </c>
      <c r="M2048" s="10">
        <v>1274</v>
      </c>
      <c r="N2048" s="10">
        <v>0</v>
      </c>
      <c r="O2048" s="10">
        <f>Table1[[#This Row],[NET Amount]]-Table1[[#This Row],[Paid Amount]]</f>
        <v>1274</v>
      </c>
      <c r="P2048" s="2" t="s">
        <v>23</v>
      </c>
      <c r="Q2048" s="2" t="s">
        <v>54</v>
      </c>
      <c r="R2048" s="16">
        <f>(Table1[[#This Row],[NET Amount]]-Table1[[#This Row],[Total Outstanding Amount]])/Table1[[#This Row],[NET Amount]]</f>
        <v>0</v>
      </c>
      <c r="S2048" s="2" t="s">
        <v>97</v>
      </c>
    </row>
    <row r="2049" spans="1:19" x14ac:dyDescent="0.3">
      <c r="A2049" s="4">
        <v>2047</v>
      </c>
      <c r="B2049" s="2" t="s">
        <v>380</v>
      </c>
      <c r="C2049" s="3">
        <v>44859</v>
      </c>
      <c r="D2049" s="3" t="str">
        <f>TEXT(Table1[[#This Row],[Admission Date]],"MMMM")</f>
        <v>October</v>
      </c>
      <c r="E2049" s="3">
        <v>44859</v>
      </c>
      <c r="F2049" s="3">
        <v>44859</v>
      </c>
      <c r="G2049" s="2">
        <v>22028554</v>
      </c>
      <c r="H2049" s="2">
        <v>2237373</v>
      </c>
      <c r="I2049" s="2">
        <v>10013449380</v>
      </c>
      <c r="J2049" s="2" t="s">
        <v>453</v>
      </c>
      <c r="K2049" s="10">
        <v>1274</v>
      </c>
      <c r="L2049" s="10">
        <v>0</v>
      </c>
      <c r="M2049" s="10">
        <v>1274</v>
      </c>
      <c r="N2049" s="10">
        <v>0</v>
      </c>
      <c r="O2049" s="10">
        <f>Table1[[#This Row],[NET Amount]]-Table1[[#This Row],[Paid Amount]]</f>
        <v>1274</v>
      </c>
      <c r="P2049" s="2" t="s">
        <v>23</v>
      </c>
      <c r="Q2049" s="2" t="s">
        <v>54</v>
      </c>
      <c r="R2049" s="16">
        <f>(Table1[[#This Row],[NET Amount]]-Table1[[#This Row],[Total Outstanding Amount]])/Table1[[#This Row],[NET Amount]]</f>
        <v>0</v>
      </c>
      <c r="S2049" s="2" t="s">
        <v>97</v>
      </c>
    </row>
    <row r="2050" spans="1:19" x14ac:dyDescent="0.3">
      <c r="A2050" s="4">
        <v>2048</v>
      </c>
      <c r="B2050" s="2" t="s">
        <v>2258</v>
      </c>
      <c r="C2050" s="3">
        <v>44859</v>
      </c>
      <c r="D2050" s="3" t="str">
        <f>TEXT(Table1[[#This Row],[Admission Date]],"MMMM")</f>
        <v>October</v>
      </c>
      <c r="E2050" s="3">
        <v>44859</v>
      </c>
      <c r="F2050" s="3">
        <v>44859</v>
      </c>
      <c r="G2050" s="2">
        <v>22028520</v>
      </c>
      <c r="H2050" s="2">
        <v>2237316</v>
      </c>
      <c r="I2050" s="2">
        <v>1001765693</v>
      </c>
      <c r="J2050" s="2" t="s">
        <v>401</v>
      </c>
      <c r="K2050" s="10">
        <v>1610</v>
      </c>
      <c r="L2050" s="10">
        <v>0</v>
      </c>
      <c r="M2050" s="10">
        <v>1610</v>
      </c>
      <c r="N2050" s="10">
        <v>0</v>
      </c>
      <c r="O2050" s="10">
        <f>Table1[[#This Row],[NET Amount]]-Table1[[#This Row],[Paid Amount]]</f>
        <v>1610</v>
      </c>
      <c r="P2050" s="2" t="s">
        <v>23</v>
      </c>
      <c r="Q2050" s="2" t="s">
        <v>54</v>
      </c>
      <c r="R2050" s="16">
        <f>(Table1[[#This Row],[NET Amount]]-Table1[[#This Row],[Total Outstanding Amount]])/Table1[[#This Row],[NET Amount]]</f>
        <v>0</v>
      </c>
      <c r="S2050" s="2" t="s">
        <v>97</v>
      </c>
    </row>
    <row r="2051" spans="1:19" x14ac:dyDescent="0.3">
      <c r="A2051" s="4">
        <v>2049</v>
      </c>
      <c r="B2051" s="2" t="s">
        <v>380</v>
      </c>
      <c r="C2051" s="3">
        <v>44845</v>
      </c>
      <c r="D2051" s="3" t="str">
        <f>TEXT(Table1[[#This Row],[Admission Date]],"MMMM")</f>
        <v>October</v>
      </c>
      <c r="E2051" s="3">
        <v>44845</v>
      </c>
      <c r="F2051" s="3">
        <v>44845</v>
      </c>
      <c r="G2051" s="2">
        <v>22026630</v>
      </c>
      <c r="H2051" s="2">
        <v>2235582</v>
      </c>
      <c r="I2051" s="2">
        <v>10013516483</v>
      </c>
      <c r="J2051" s="2" t="s">
        <v>812</v>
      </c>
      <c r="K2051" s="10">
        <v>1274</v>
      </c>
      <c r="L2051" s="10">
        <v>0</v>
      </c>
      <c r="M2051" s="10">
        <v>1274</v>
      </c>
      <c r="N2051" s="10">
        <v>0</v>
      </c>
      <c r="O2051" s="10">
        <f>Table1[[#This Row],[NET Amount]]-Table1[[#This Row],[Paid Amount]]</f>
        <v>1274</v>
      </c>
      <c r="P2051" s="2" t="s">
        <v>23</v>
      </c>
      <c r="Q2051" s="2" t="s">
        <v>54</v>
      </c>
      <c r="R2051" s="16">
        <f>(Table1[[#This Row],[NET Amount]]-Table1[[#This Row],[Total Outstanding Amount]])/Table1[[#This Row],[NET Amount]]</f>
        <v>0</v>
      </c>
      <c r="S2051" s="2" t="s">
        <v>97</v>
      </c>
    </row>
    <row r="2052" spans="1:19" x14ac:dyDescent="0.3">
      <c r="A2052" s="4">
        <v>2050</v>
      </c>
      <c r="B2052" s="2" t="s">
        <v>2253</v>
      </c>
      <c r="C2052" s="3">
        <v>44848</v>
      </c>
      <c r="D2052" s="3" t="str">
        <f>TEXT(Table1[[#This Row],[Admission Date]],"MMMM")</f>
        <v>October</v>
      </c>
      <c r="E2052" s="3">
        <v>44848</v>
      </c>
      <c r="F2052" s="3">
        <v>44848</v>
      </c>
      <c r="G2052" s="2">
        <v>22027065</v>
      </c>
      <c r="H2052" s="2">
        <v>2235975</v>
      </c>
      <c r="I2052" s="2">
        <v>1001803044</v>
      </c>
      <c r="J2052" s="2" t="s">
        <v>426</v>
      </c>
      <c r="K2052" s="10">
        <v>1610</v>
      </c>
      <c r="L2052" s="10">
        <v>0</v>
      </c>
      <c r="M2052" s="10">
        <v>1610</v>
      </c>
      <c r="N2052" s="10">
        <v>0</v>
      </c>
      <c r="O2052" s="10">
        <f>Table1[[#This Row],[NET Amount]]-Table1[[#This Row],[Paid Amount]]</f>
        <v>1610</v>
      </c>
      <c r="P2052" s="2" t="s">
        <v>23</v>
      </c>
      <c r="Q2052" s="2" t="s">
        <v>54</v>
      </c>
      <c r="R2052" s="16">
        <f>(Table1[[#This Row],[NET Amount]]-Table1[[#This Row],[Total Outstanding Amount]])/Table1[[#This Row],[NET Amount]]</f>
        <v>0</v>
      </c>
      <c r="S2052" s="2" t="s">
        <v>97</v>
      </c>
    </row>
    <row r="2053" spans="1:19" x14ac:dyDescent="0.3">
      <c r="A2053" s="4">
        <v>2051</v>
      </c>
      <c r="B2053" s="2" t="s">
        <v>380</v>
      </c>
      <c r="C2053" s="3">
        <v>44838</v>
      </c>
      <c r="D2053" s="3" t="str">
        <f>TEXT(Table1[[#This Row],[Admission Date]],"MMMM")</f>
        <v>October</v>
      </c>
      <c r="E2053" s="3">
        <v>44838</v>
      </c>
      <c r="F2053" s="3">
        <v>44838</v>
      </c>
      <c r="G2053" s="2">
        <v>22025615</v>
      </c>
      <c r="H2053" s="2">
        <v>2234615</v>
      </c>
      <c r="I2053" s="2">
        <v>10013299539</v>
      </c>
      <c r="J2053" s="2" t="s">
        <v>487</v>
      </c>
      <c r="K2053" s="10">
        <v>1274</v>
      </c>
      <c r="L2053" s="10">
        <v>0</v>
      </c>
      <c r="M2053" s="10">
        <v>1274</v>
      </c>
      <c r="N2053" s="10">
        <v>0</v>
      </c>
      <c r="O2053" s="10">
        <f>Table1[[#This Row],[NET Amount]]-Table1[[#This Row],[Paid Amount]]</f>
        <v>1274</v>
      </c>
      <c r="P2053" s="2" t="s">
        <v>23</v>
      </c>
      <c r="Q2053" s="2" t="s">
        <v>54</v>
      </c>
      <c r="R2053" s="16">
        <f>(Table1[[#This Row],[NET Amount]]-Table1[[#This Row],[Total Outstanding Amount]])/Table1[[#This Row],[NET Amount]]</f>
        <v>0</v>
      </c>
      <c r="S2053" s="2" t="s">
        <v>97</v>
      </c>
    </row>
    <row r="2054" spans="1:19" x14ac:dyDescent="0.3">
      <c r="A2054" s="4">
        <v>2052</v>
      </c>
      <c r="B2054" s="2" t="s">
        <v>2251</v>
      </c>
      <c r="C2054" s="3">
        <v>44860</v>
      </c>
      <c r="D2054" s="3" t="str">
        <f>TEXT(Table1[[#This Row],[Admission Date]],"MMMM")</f>
        <v>October</v>
      </c>
      <c r="E2054" s="3">
        <v>44862</v>
      </c>
      <c r="F2054" s="3">
        <v>44862</v>
      </c>
      <c r="G2054" s="2">
        <v>22028931</v>
      </c>
      <c r="H2054" s="2">
        <v>2237522</v>
      </c>
      <c r="I2054" s="2">
        <v>1001806366</v>
      </c>
      <c r="J2054" s="2" t="s">
        <v>1342</v>
      </c>
      <c r="K2054" s="10">
        <v>33844</v>
      </c>
      <c r="L2054" s="10">
        <v>0</v>
      </c>
      <c r="M2054" s="10">
        <v>33844</v>
      </c>
      <c r="N2054" s="10">
        <v>0</v>
      </c>
      <c r="O2054" s="10">
        <f>Table1[[#This Row],[NET Amount]]-Table1[[#This Row],[Paid Amount]]</f>
        <v>33844</v>
      </c>
      <c r="P2054" s="2" t="s">
        <v>23</v>
      </c>
      <c r="Q2054" s="2" t="s">
        <v>24</v>
      </c>
      <c r="R2054" s="16">
        <f>(Table1[[#This Row],[NET Amount]]-Table1[[#This Row],[Total Outstanding Amount]])/Table1[[#This Row],[NET Amount]]</f>
        <v>0</v>
      </c>
      <c r="S2054" s="2" t="s">
        <v>201</v>
      </c>
    </row>
    <row r="2055" spans="1:19" x14ac:dyDescent="0.3">
      <c r="A2055" s="4">
        <v>2053</v>
      </c>
      <c r="B2055" s="2" t="s">
        <v>380</v>
      </c>
      <c r="C2055" s="3">
        <v>44852</v>
      </c>
      <c r="D2055" s="3" t="str">
        <f>TEXT(Table1[[#This Row],[Admission Date]],"MMMM")</f>
        <v>October</v>
      </c>
      <c r="E2055" s="3">
        <v>44852</v>
      </c>
      <c r="F2055" s="3">
        <v>44852</v>
      </c>
      <c r="G2055" s="2">
        <v>22027642</v>
      </c>
      <c r="H2055" s="2">
        <v>2236553</v>
      </c>
      <c r="I2055" s="2">
        <v>10013521329</v>
      </c>
      <c r="J2055" s="2" t="s">
        <v>457</v>
      </c>
      <c r="K2055" s="10">
        <v>1274</v>
      </c>
      <c r="L2055" s="10">
        <v>0</v>
      </c>
      <c r="M2055" s="10">
        <v>1274</v>
      </c>
      <c r="N2055" s="10">
        <v>0</v>
      </c>
      <c r="O2055" s="10">
        <f>Table1[[#This Row],[NET Amount]]-Table1[[#This Row],[Paid Amount]]</f>
        <v>1274</v>
      </c>
      <c r="P2055" s="2" t="s">
        <v>23</v>
      </c>
      <c r="Q2055" s="2" t="s">
        <v>54</v>
      </c>
      <c r="R2055" s="16">
        <f>(Table1[[#This Row],[NET Amount]]-Table1[[#This Row],[Total Outstanding Amount]])/Table1[[#This Row],[NET Amount]]</f>
        <v>0</v>
      </c>
      <c r="S2055" s="2" t="s">
        <v>97</v>
      </c>
    </row>
    <row r="2056" spans="1:19" x14ac:dyDescent="0.3">
      <c r="A2056" s="4">
        <v>2054</v>
      </c>
      <c r="B2056" s="2" t="s">
        <v>380</v>
      </c>
      <c r="C2056" s="3">
        <v>44860</v>
      </c>
      <c r="D2056" s="3" t="str">
        <f>TEXT(Table1[[#This Row],[Admission Date]],"MMMM")</f>
        <v>October</v>
      </c>
      <c r="E2056" s="3">
        <v>44860</v>
      </c>
      <c r="F2056" s="3">
        <v>44860</v>
      </c>
      <c r="G2056" s="2">
        <v>22028691</v>
      </c>
      <c r="H2056" s="2">
        <v>2237536</v>
      </c>
      <c r="I2056" s="2">
        <v>1001761745</v>
      </c>
      <c r="J2056" s="2" t="s">
        <v>455</v>
      </c>
      <c r="K2056" s="10">
        <v>1274</v>
      </c>
      <c r="L2056" s="10">
        <v>0</v>
      </c>
      <c r="M2056" s="10">
        <v>1274</v>
      </c>
      <c r="N2056" s="10">
        <v>0</v>
      </c>
      <c r="O2056" s="10">
        <f>Table1[[#This Row],[NET Amount]]-Table1[[#This Row],[Paid Amount]]</f>
        <v>1274</v>
      </c>
      <c r="P2056" s="2" t="s">
        <v>23</v>
      </c>
      <c r="Q2056" s="2" t="s">
        <v>54</v>
      </c>
      <c r="R2056" s="16">
        <f>(Table1[[#This Row],[NET Amount]]-Table1[[#This Row],[Total Outstanding Amount]])/Table1[[#This Row],[NET Amount]]</f>
        <v>0</v>
      </c>
      <c r="S2056" s="2" t="s">
        <v>97</v>
      </c>
    </row>
    <row r="2057" spans="1:19" x14ac:dyDescent="0.3">
      <c r="A2057" s="4">
        <v>2055</v>
      </c>
      <c r="B2057" s="2" t="s">
        <v>407</v>
      </c>
      <c r="C2057" s="3">
        <v>44826</v>
      </c>
      <c r="D2057" s="3" t="str">
        <f>TEXT(Table1[[#This Row],[Admission Date]],"MMMM")</f>
        <v>September</v>
      </c>
      <c r="E2057" s="3">
        <v>44842</v>
      </c>
      <c r="F2057" s="3">
        <v>44842</v>
      </c>
      <c r="G2057" s="2">
        <v>22026204</v>
      </c>
      <c r="H2057" s="2">
        <v>2233080</v>
      </c>
      <c r="I2057" s="2">
        <v>10013539954</v>
      </c>
      <c r="J2057" s="2" t="s">
        <v>323</v>
      </c>
      <c r="K2057" s="10">
        <v>238540</v>
      </c>
      <c r="L2057" s="10">
        <v>0</v>
      </c>
      <c r="M2057" s="10">
        <v>238540</v>
      </c>
      <c r="N2057" s="10">
        <v>0</v>
      </c>
      <c r="O2057" s="10">
        <f>Table1[[#This Row],[NET Amount]]-Table1[[#This Row],[Paid Amount]]</f>
        <v>238540</v>
      </c>
      <c r="P2057" s="2" t="s">
        <v>23</v>
      </c>
      <c r="Q2057" s="2" t="s">
        <v>24</v>
      </c>
      <c r="R2057" s="16">
        <f>(Table1[[#This Row],[NET Amount]]-Table1[[#This Row],[Total Outstanding Amount]])/Table1[[#This Row],[NET Amount]]</f>
        <v>0</v>
      </c>
      <c r="S2057" s="2" t="s">
        <v>138</v>
      </c>
    </row>
    <row r="2058" spans="1:19" x14ac:dyDescent="0.3">
      <c r="A2058" s="4">
        <v>2056</v>
      </c>
      <c r="B2058" s="2" t="s">
        <v>380</v>
      </c>
      <c r="C2058" s="3">
        <v>44865</v>
      </c>
      <c r="D2058" s="3" t="str">
        <f>TEXT(Table1[[#This Row],[Admission Date]],"MMMM")</f>
        <v>October</v>
      </c>
      <c r="E2058" s="3">
        <v>44865</v>
      </c>
      <c r="F2058" s="3">
        <v>44865</v>
      </c>
      <c r="G2058" s="2">
        <v>22029396</v>
      </c>
      <c r="H2058" s="2">
        <v>2238273</v>
      </c>
      <c r="I2058" s="2">
        <v>1001004027</v>
      </c>
      <c r="J2058" s="2" t="s">
        <v>454</v>
      </c>
      <c r="K2058" s="10">
        <v>1274</v>
      </c>
      <c r="L2058" s="10">
        <v>0</v>
      </c>
      <c r="M2058" s="10">
        <v>1274</v>
      </c>
      <c r="N2058" s="10">
        <v>0</v>
      </c>
      <c r="O2058" s="10">
        <f>Table1[[#This Row],[NET Amount]]-Table1[[#This Row],[Paid Amount]]</f>
        <v>1274</v>
      </c>
      <c r="P2058" s="2" t="s">
        <v>23</v>
      </c>
      <c r="Q2058" s="2" t="s">
        <v>54</v>
      </c>
      <c r="R2058" s="16">
        <f>(Table1[[#This Row],[NET Amount]]-Table1[[#This Row],[Total Outstanding Amount]])/Table1[[#This Row],[NET Amount]]</f>
        <v>0</v>
      </c>
      <c r="S2058" s="2" t="s">
        <v>97</v>
      </c>
    </row>
    <row r="2059" spans="1:19" x14ac:dyDescent="0.3">
      <c r="A2059" s="4">
        <v>2057</v>
      </c>
      <c r="B2059" s="2" t="s">
        <v>2258</v>
      </c>
      <c r="C2059" s="3">
        <v>44845</v>
      </c>
      <c r="D2059" s="3" t="str">
        <f>TEXT(Table1[[#This Row],[Admission Date]],"MMMM")</f>
        <v>October</v>
      </c>
      <c r="E2059" s="3">
        <v>44846</v>
      </c>
      <c r="F2059" s="3">
        <v>44846</v>
      </c>
      <c r="G2059" s="2">
        <v>22026769</v>
      </c>
      <c r="H2059" s="2">
        <v>2235551</v>
      </c>
      <c r="I2059" s="2">
        <v>1001646107</v>
      </c>
      <c r="J2059" s="2" t="s">
        <v>1343</v>
      </c>
      <c r="K2059" s="10">
        <v>13908</v>
      </c>
      <c r="L2059" s="10">
        <v>0</v>
      </c>
      <c r="M2059" s="10">
        <v>13908</v>
      </c>
      <c r="N2059" s="10">
        <v>0</v>
      </c>
      <c r="O2059" s="10">
        <f>Table1[[#This Row],[NET Amount]]-Table1[[#This Row],[Paid Amount]]</f>
        <v>13908</v>
      </c>
      <c r="P2059" s="2" t="s">
        <v>23</v>
      </c>
      <c r="Q2059" s="2" t="s">
        <v>24</v>
      </c>
      <c r="R2059" s="16">
        <f>(Table1[[#This Row],[NET Amount]]-Table1[[#This Row],[Total Outstanding Amount]])/Table1[[#This Row],[NET Amount]]</f>
        <v>0</v>
      </c>
      <c r="S2059" s="2" t="s">
        <v>39</v>
      </c>
    </row>
    <row r="2060" spans="1:19" x14ac:dyDescent="0.3">
      <c r="A2060" s="4">
        <v>2058</v>
      </c>
      <c r="B2060" s="2" t="s">
        <v>380</v>
      </c>
      <c r="C2060" s="3">
        <v>44853</v>
      </c>
      <c r="D2060" s="3" t="str">
        <f>TEXT(Table1[[#This Row],[Admission Date]],"MMMM")</f>
        <v>October</v>
      </c>
      <c r="E2060" s="3">
        <v>44853</v>
      </c>
      <c r="F2060" s="3">
        <v>44853</v>
      </c>
      <c r="G2060" s="2">
        <v>22027790</v>
      </c>
      <c r="H2060" s="2">
        <v>2236680</v>
      </c>
      <c r="I2060" s="2">
        <v>10013422914</v>
      </c>
      <c r="J2060" s="2" t="s">
        <v>816</v>
      </c>
      <c r="K2060" s="10">
        <v>1274</v>
      </c>
      <c r="L2060" s="10">
        <v>0</v>
      </c>
      <c r="M2060" s="10">
        <v>1274</v>
      </c>
      <c r="N2060" s="10">
        <v>0</v>
      </c>
      <c r="O2060" s="10">
        <f>Table1[[#This Row],[NET Amount]]-Table1[[#This Row],[Paid Amount]]</f>
        <v>1274</v>
      </c>
      <c r="P2060" s="2" t="s">
        <v>23</v>
      </c>
      <c r="Q2060" s="2" t="s">
        <v>54</v>
      </c>
      <c r="R2060" s="16">
        <f>(Table1[[#This Row],[NET Amount]]-Table1[[#This Row],[Total Outstanding Amount]])/Table1[[#This Row],[NET Amount]]</f>
        <v>0</v>
      </c>
      <c r="S2060" s="2" t="s">
        <v>97</v>
      </c>
    </row>
    <row r="2061" spans="1:19" x14ac:dyDescent="0.3">
      <c r="A2061" s="4">
        <v>2059</v>
      </c>
      <c r="B2061" s="2" t="s">
        <v>2263</v>
      </c>
      <c r="C2061" s="3">
        <v>44863</v>
      </c>
      <c r="D2061" s="3" t="str">
        <f>TEXT(Table1[[#This Row],[Admission Date]],"MMMM")</f>
        <v>October</v>
      </c>
      <c r="E2061" s="3">
        <v>44863</v>
      </c>
      <c r="F2061" s="3">
        <v>44863</v>
      </c>
      <c r="G2061" s="2">
        <v>22029107</v>
      </c>
      <c r="H2061" s="2">
        <v>2237987</v>
      </c>
      <c r="I2061" s="2">
        <v>1001686545</v>
      </c>
      <c r="J2061" s="2" t="s">
        <v>425</v>
      </c>
      <c r="K2061" s="10">
        <v>1274</v>
      </c>
      <c r="L2061" s="10">
        <v>0</v>
      </c>
      <c r="M2061" s="10">
        <v>1274</v>
      </c>
      <c r="N2061" s="10">
        <v>0</v>
      </c>
      <c r="O2061" s="10">
        <f>Table1[[#This Row],[NET Amount]]-Table1[[#This Row],[Paid Amount]]</f>
        <v>1274</v>
      </c>
      <c r="P2061" s="2" t="s">
        <v>23</v>
      </c>
      <c r="Q2061" s="2" t="s">
        <v>54</v>
      </c>
      <c r="R2061" s="16">
        <f>(Table1[[#This Row],[NET Amount]]-Table1[[#This Row],[Total Outstanding Amount]])/Table1[[#This Row],[NET Amount]]</f>
        <v>0</v>
      </c>
      <c r="S2061" s="2" t="s">
        <v>97</v>
      </c>
    </row>
    <row r="2062" spans="1:19" x14ac:dyDescent="0.3">
      <c r="A2062" s="4">
        <v>2060</v>
      </c>
      <c r="B2062" s="2" t="s">
        <v>75</v>
      </c>
      <c r="C2062" s="3">
        <v>44837</v>
      </c>
      <c r="D2062" s="3" t="str">
        <f>TEXT(Table1[[#This Row],[Admission Date]],"MMMM")</f>
        <v>October</v>
      </c>
      <c r="E2062" s="3">
        <v>44837</v>
      </c>
      <c r="F2062" s="3">
        <v>44837</v>
      </c>
      <c r="G2062" s="2">
        <v>22025336</v>
      </c>
      <c r="H2062" s="2">
        <v>2234359</v>
      </c>
      <c r="I2062" s="2">
        <v>1001531709</v>
      </c>
      <c r="J2062" s="2" t="s">
        <v>1080</v>
      </c>
      <c r="K2062" s="10">
        <v>1610</v>
      </c>
      <c r="L2062" s="10">
        <v>0</v>
      </c>
      <c r="M2062" s="10">
        <v>1610</v>
      </c>
      <c r="N2062" s="10">
        <v>0</v>
      </c>
      <c r="O2062" s="10">
        <f>Table1[[#This Row],[NET Amount]]-Table1[[#This Row],[Paid Amount]]</f>
        <v>1610</v>
      </c>
      <c r="P2062" s="2" t="s">
        <v>23</v>
      </c>
      <c r="Q2062" s="2" t="s">
        <v>54</v>
      </c>
      <c r="R2062" s="16">
        <f>(Table1[[#This Row],[NET Amount]]-Table1[[#This Row],[Total Outstanding Amount]])/Table1[[#This Row],[NET Amount]]</f>
        <v>0</v>
      </c>
      <c r="S2062" s="2" t="s">
        <v>97</v>
      </c>
    </row>
    <row r="2063" spans="1:19" x14ac:dyDescent="0.3">
      <c r="A2063" s="4">
        <v>2061</v>
      </c>
      <c r="B2063" s="2" t="s">
        <v>380</v>
      </c>
      <c r="C2063" s="3">
        <v>44845</v>
      </c>
      <c r="D2063" s="3" t="str">
        <f>TEXT(Table1[[#This Row],[Admission Date]],"MMMM")</f>
        <v>October</v>
      </c>
      <c r="E2063" s="3">
        <v>44845</v>
      </c>
      <c r="F2063" s="3">
        <v>44845</v>
      </c>
      <c r="G2063" s="2">
        <v>22026577</v>
      </c>
      <c r="H2063" s="2">
        <v>2235503</v>
      </c>
      <c r="I2063" s="2">
        <v>1000889533</v>
      </c>
      <c r="J2063" s="2" t="s">
        <v>466</v>
      </c>
      <c r="K2063" s="10">
        <v>1274</v>
      </c>
      <c r="L2063" s="10">
        <v>0</v>
      </c>
      <c r="M2063" s="10">
        <v>1274</v>
      </c>
      <c r="N2063" s="10">
        <v>0</v>
      </c>
      <c r="O2063" s="10">
        <f>Table1[[#This Row],[NET Amount]]-Table1[[#This Row],[Paid Amount]]</f>
        <v>1274</v>
      </c>
      <c r="P2063" s="2" t="s">
        <v>23</v>
      </c>
      <c r="Q2063" s="2" t="s">
        <v>54</v>
      </c>
      <c r="R2063" s="16">
        <f>(Table1[[#This Row],[NET Amount]]-Table1[[#This Row],[Total Outstanding Amount]])/Table1[[#This Row],[NET Amount]]</f>
        <v>0</v>
      </c>
      <c r="S2063" s="2" t="s">
        <v>97</v>
      </c>
    </row>
    <row r="2064" spans="1:19" x14ac:dyDescent="0.3">
      <c r="A2064" s="4">
        <v>2062</v>
      </c>
      <c r="B2064" s="2" t="s">
        <v>2263</v>
      </c>
      <c r="C2064" s="3">
        <v>44849</v>
      </c>
      <c r="D2064" s="3" t="str">
        <f>TEXT(Table1[[#This Row],[Admission Date]],"MMMM")</f>
        <v>October</v>
      </c>
      <c r="E2064" s="3">
        <v>44849</v>
      </c>
      <c r="F2064" s="3">
        <v>44849</v>
      </c>
      <c r="G2064" s="2">
        <v>22027122</v>
      </c>
      <c r="H2064" s="2">
        <v>2236089</v>
      </c>
      <c r="I2064" s="2">
        <v>1001712791</v>
      </c>
      <c r="J2064" s="2" t="s">
        <v>450</v>
      </c>
      <c r="K2064" s="10">
        <v>1274</v>
      </c>
      <c r="L2064" s="10">
        <v>0</v>
      </c>
      <c r="M2064" s="10">
        <v>1274</v>
      </c>
      <c r="N2064" s="10">
        <v>0</v>
      </c>
      <c r="O2064" s="10">
        <f>Table1[[#This Row],[NET Amount]]-Table1[[#This Row],[Paid Amount]]</f>
        <v>1274</v>
      </c>
      <c r="P2064" s="2" t="s">
        <v>23</v>
      </c>
      <c r="Q2064" s="2" t="s">
        <v>54</v>
      </c>
      <c r="R2064" s="16">
        <f>(Table1[[#This Row],[NET Amount]]-Table1[[#This Row],[Total Outstanding Amount]])/Table1[[#This Row],[NET Amount]]</f>
        <v>0</v>
      </c>
      <c r="S2064" s="2" t="s">
        <v>97</v>
      </c>
    </row>
    <row r="2065" spans="1:19" x14ac:dyDescent="0.3">
      <c r="A2065" s="4">
        <v>2063</v>
      </c>
      <c r="B2065" s="2" t="s">
        <v>380</v>
      </c>
      <c r="C2065" s="3">
        <v>44842</v>
      </c>
      <c r="D2065" s="3" t="str">
        <f>TEXT(Table1[[#This Row],[Admission Date]],"MMMM")</f>
        <v>October</v>
      </c>
      <c r="E2065" s="3">
        <v>44842</v>
      </c>
      <c r="F2065" s="3">
        <v>44842</v>
      </c>
      <c r="G2065" s="2">
        <v>22026214</v>
      </c>
      <c r="H2065" s="2">
        <v>2235207</v>
      </c>
      <c r="I2065" s="2">
        <v>10013422914</v>
      </c>
      <c r="J2065" s="2" t="s">
        <v>816</v>
      </c>
      <c r="K2065" s="10">
        <v>1274</v>
      </c>
      <c r="L2065" s="10">
        <v>0</v>
      </c>
      <c r="M2065" s="10">
        <v>1274</v>
      </c>
      <c r="N2065" s="10">
        <v>0</v>
      </c>
      <c r="O2065" s="10">
        <f>Table1[[#This Row],[NET Amount]]-Table1[[#This Row],[Paid Amount]]</f>
        <v>1274</v>
      </c>
      <c r="P2065" s="2" t="s">
        <v>23</v>
      </c>
      <c r="Q2065" s="2" t="s">
        <v>54</v>
      </c>
      <c r="R2065" s="16">
        <f>(Table1[[#This Row],[NET Amount]]-Table1[[#This Row],[Total Outstanding Amount]])/Table1[[#This Row],[NET Amount]]</f>
        <v>0</v>
      </c>
      <c r="S2065" s="2" t="s">
        <v>97</v>
      </c>
    </row>
    <row r="2066" spans="1:19" x14ac:dyDescent="0.3">
      <c r="A2066" s="4">
        <v>2064</v>
      </c>
      <c r="B2066" s="2" t="s">
        <v>2263</v>
      </c>
      <c r="C2066" s="3">
        <v>44848</v>
      </c>
      <c r="D2066" s="3" t="str">
        <f>TEXT(Table1[[#This Row],[Admission Date]],"MMMM")</f>
        <v>October</v>
      </c>
      <c r="E2066" s="3">
        <v>44848</v>
      </c>
      <c r="F2066" s="3">
        <v>44848</v>
      </c>
      <c r="G2066" s="2">
        <v>22027054</v>
      </c>
      <c r="H2066" s="2">
        <v>2235973</v>
      </c>
      <c r="I2066" s="2">
        <v>1001647517</v>
      </c>
      <c r="J2066" s="2" t="s">
        <v>802</v>
      </c>
      <c r="K2066" s="10">
        <v>1274</v>
      </c>
      <c r="L2066" s="10">
        <v>0</v>
      </c>
      <c r="M2066" s="10">
        <v>1274</v>
      </c>
      <c r="N2066" s="10">
        <v>0</v>
      </c>
      <c r="O2066" s="10">
        <f>Table1[[#This Row],[NET Amount]]-Table1[[#This Row],[Paid Amount]]</f>
        <v>1274</v>
      </c>
      <c r="P2066" s="2" t="s">
        <v>23</v>
      </c>
      <c r="Q2066" s="2" t="s">
        <v>54</v>
      </c>
      <c r="R2066" s="16">
        <f>(Table1[[#This Row],[NET Amount]]-Table1[[#This Row],[Total Outstanding Amount]])/Table1[[#This Row],[NET Amount]]</f>
        <v>0</v>
      </c>
      <c r="S2066" s="2" t="s">
        <v>97</v>
      </c>
    </row>
    <row r="2067" spans="1:19" x14ac:dyDescent="0.3">
      <c r="A2067" s="4">
        <v>2065</v>
      </c>
      <c r="B2067" s="2" t="s">
        <v>380</v>
      </c>
      <c r="C2067" s="3">
        <v>44841</v>
      </c>
      <c r="D2067" s="3" t="str">
        <f>TEXT(Table1[[#This Row],[Admission Date]],"MMMM")</f>
        <v>October</v>
      </c>
      <c r="E2067" s="3">
        <v>44841</v>
      </c>
      <c r="F2067" s="3">
        <v>44841</v>
      </c>
      <c r="G2067" s="2">
        <v>22026001</v>
      </c>
      <c r="H2067" s="2">
        <v>2235028</v>
      </c>
      <c r="I2067" s="2">
        <v>1001082290</v>
      </c>
      <c r="J2067" s="2" t="s">
        <v>436</v>
      </c>
      <c r="K2067" s="10">
        <v>1274</v>
      </c>
      <c r="L2067" s="10">
        <v>0</v>
      </c>
      <c r="M2067" s="10">
        <v>1274</v>
      </c>
      <c r="N2067" s="10">
        <v>0</v>
      </c>
      <c r="O2067" s="10">
        <f>Table1[[#This Row],[NET Amount]]-Table1[[#This Row],[Paid Amount]]</f>
        <v>1274</v>
      </c>
      <c r="P2067" s="2" t="s">
        <v>23</v>
      </c>
      <c r="Q2067" s="2" t="s">
        <v>54</v>
      </c>
      <c r="R2067" s="16">
        <f>(Table1[[#This Row],[NET Amount]]-Table1[[#This Row],[Total Outstanding Amount]])/Table1[[#This Row],[NET Amount]]</f>
        <v>0</v>
      </c>
      <c r="S2067" s="2" t="s">
        <v>97</v>
      </c>
    </row>
    <row r="2068" spans="1:19" x14ac:dyDescent="0.3">
      <c r="A2068" s="4">
        <v>2066</v>
      </c>
      <c r="B2068" s="2" t="s">
        <v>2263</v>
      </c>
      <c r="C2068" s="3">
        <v>44855</v>
      </c>
      <c r="D2068" s="3" t="str">
        <f>TEXT(Table1[[#This Row],[Admission Date]],"MMMM")</f>
        <v>October</v>
      </c>
      <c r="E2068" s="3">
        <v>44855</v>
      </c>
      <c r="F2068" s="3">
        <v>44855</v>
      </c>
      <c r="G2068" s="2">
        <v>22028060</v>
      </c>
      <c r="H2068" s="2">
        <v>2236918</v>
      </c>
      <c r="I2068" s="2">
        <v>1001767553</v>
      </c>
      <c r="J2068" s="2" t="s">
        <v>417</v>
      </c>
      <c r="K2068" s="10">
        <v>1274</v>
      </c>
      <c r="L2068" s="10">
        <v>0</v>
      </c>
      <c r="M2068" s="10">
        <v>1274</v>
      </c>
      <c r="N2068" s="10">
        <v>0</v>
      </c>
      <c r="O2068" s="10">
        <f>Table1[[#This Row],[NET Amount]]-Table1[[#This Row],[Paid Amount]]</f>
        <v>1274</v>
      </c>
      <c r="P2068" s="2" t="s">
        <v>23</v>
      </c>
      <c r="Q2068" s="2" t="s">
        <v>54</v>
      </c>
      <c r="R2068" s="16">
        <f>(Table1[[#This Row],[NET Amount]]-Table1[[#This Row],[Total Outstanding Amount]])/Table1[[#This Row],[NET Amount]]</f>
        <v>0</v>
      </c>
      <c r="S2068" s="2" t="s">
        <v>97</v>
      </c>
    </row>
    <row r="2069" spans="1:19" x14ac:dyDescent="0.3">
      <c r="A2069" s="4">
        <v>2067</v>
      </c>
      <c r="B2069" s="2" t="s">
        <v>2254</v>
      </c>
      <c r="C2069" s="3">
        <v>44843</v>
      </c>
      <c r="D2069" s="3" t="str">
        <f>TEXT(Table1[[#This Row],[Admission Date]],"MMMM")</f>
        <v>October</v>
      </c>
      <c r="E2069" s="3">
        <v>44847</v>
      </c>
      <c r="F2069" s="3">
        <v>44847</v>
      </c>
      <c r="G2069" s="2">
        <v>22026846</v>
      </c>
      <c r="H2069" s="2">
        <v>2235268</v>
      </c>
      <c r="I2069" s="2">
        <v>10013368246</v>
      </c>
      <c r="J2069" s="2" t="s">
        <v>302</v>
      </c>
      <c r="K2069" s="10">
        <v>44624</v>
      </c>
      <c r="L2069" s="10">
        <v>10123</v>
      </c>
      <c r="M2069" s="10">
        <v>34501</v>
      </c>
      <c r="N2069" s="10">
        <v>0</v>
      </c>
      <c r="O2069" s="10">
        <f>Table1[[#This Row],[NET Amount]]-Table1[[#This Row],[Paid Amount]]</f>
        <v>34501</v>
      </c>
      <c r="P2069" s="2" t="s">
        <v>23</v>
      </c>
      <c r="Q2069" s="2" t="s">
        <v>24</v>
      </c>
      <c r="R2069" s="16">
        <f>(Table1[[#This Row],[NET Amount]]-Table1[[#This Row],[Total Outstanding Amount]])/Table1[[#This Row],[NET Amount]]</f>
        <v>0</v>
      </c>
      <c r="S2069" s="2" t="s">
        <v>20</v>
      </c>
    </row>
    <row r="2070" spans="1:19" x14ac:dyDescent="0.3">
      <c r="A2070" s="4">
        <v>2068</v>
      </c>
      <c r="B2070" s="2" t="s">
        <v>380</v>
      </c>
      <c r="C2070" s="3">
        <v>44865</v>
      </c>
      <c r="D2070" s="3" t="str">
        <f>TEXT(Table1[[#This Row],[Admission Date]],"MMMM")</f>
        <v>October</v>
      </c>
      <c r="E2070" s="3">
        <v>44865</v>
      </c>
      <c r="F2070" s="3">
        <v>44865</v>
      </c>
      <c r="G2070" s="2">
        <v>22029335</v>
      </c>
      <c r="H2070" s="2">
        <v>2238198</v>
      </c>
      <c r="I2070" s="2">
        <v>1000891592</v>
      </c>
      <c r="J2070" s="2" t="s">
        <v>815</v>
      </c>
      <c r="K2070" s="10">
        <v>1274</v>
      </c>
      <c r="L2070" s="10">
        <v>0</v>
      </c>
      <c r="M2070" s="10">
        <v>1274</v>
      </c>
      <c r="N2070" s="10">
        <v>0</v>
      </c>
      <c r="O2070" s="10">
        <f>Table1[[#This Row],[NET Amount]]-Table1[[#This Row],[Paid Amount]]</f>
        <v>1274</v>
      </c>
      <c r="P2070" s="2" t="s">
        <v>23</v>
      </c>
      <c r="Q2070" s="2" t="s">
        <v>54</v>
      </c>
      <c r="R2070" s="16">
        <f>(Table1[[#This Row],[NET Amount]]-Table1[[#This Row],[Total Outstanding Amount]])/Table1[[#This Row],[NET Amount]]</f>
        <v>0</v>
      </c>
      <c r="S2070" s="2" t="s">
        <v>97</v>
      </c>
    </row>
    <row r="2071" spans="1:19" x14ac:dyDescent="0.3">
      <c r="A2071" s="4">
        <v>2069</v>
      </c>
      <c r="B2071" s="2" t="s">
        <v>380</v>
      </c>
      <c r="C2071" s="3">
        <v>44852</v>
      </c>
      <c r="D2071" s="3" t="str">
        <f>TEXT(Table1[[#This Row],[Admission Date]],"MMMM")</f>
        <v>October</v>
      </c>
      <c r="E2071" s="3">
        <v>44852</v>
      </c>
      <c r="F2071" s="3">
        <v>44852</v>
      </c>
      <c r="G2071" s="2">
        <v>22027628</v>
      </c>
      <c r="H2071" s="2">
        <v>2236529</v>
      </c>
      <c r="I2071" s="2">
        <v>1001397167</v>
      </c>
      <c r="J2071" s="2" t="s">
        <v>443</v>
      </c>
      <c r="K2071" s="10">
        <v>1274</v>
      </c>
      <c r="L2071" s="10">
        <v>0</v>
      </c>
      <c r="M2071" s="10">
        <v>1274</v>
      </c>
      <c r="N2071" s="10">
        <v>0</v>
      </c>
      <c r="O2071" s="10">
        <f>Table1[[#This Row],[NET Amount]]-Table1[[#This Row],[Paid Amount]]</f>
        <v>1274</v>
      </c>
      <c r="P2071" s="2" t="s">
        <v>23</v>
      </c>
      <c r="Q2071" s="2" t="s">
        <v>54</v>
      </c>
      <c r="R2071" s="16">
        <f>(Table1[[#This Row],[NET Amount]]-Table1[[#This Row],[Total Outstanding Amount]])/Table1[[#This Row],[NET Amount]]</f>
        <v>0</v>
      </c>
      <c r="S2071" s="2" t="s">
        <v>97</v>
      </c>
    </row>
    <row r="2072" spans="1:19" x14ac:dyDescent="0.3">
      <c r="A2072" s="4">
        <v>2070</v>
      </c>
      <c r="B2072" s="2" t="s">
        <v>2253</v>
      </c>
      <c r="C2072" s="3">
        <v>44859</v>
      </c>
      <c r="D2072" s="3" t="str">
        <f>TEXT(Table1[[#This Row],[Admission Date]],"MMMM")</f>
        <v>October</v>
      </c>
      <c r="E2072" s="3">
        <v>44859</v>
      </c>
      <c r="F2072" s="3">
        <v>44859</v>
      </c>
      <c r="G2072" s="2">
        <v>22028513</v>
      </c>
      <c r="H2072" s="2">
        <v>2237318</v>
      </c>
      <c r="I2072" s="2">
        <v>1001681903</v>
      </c>
      <c r="J2072" s="2" t="s">
        <v>471</v>
      </c>
      <c r="K2072" s="10">
        <v>1610</v>
      </c>
      <c r="L2072" s="10">
        <v>0</v>
      </c>
      <c r="M2072" s="10">
        <v>1610</v>
      </c>
      <c r="N2072" s="10">
        <v>0</v>
      </c>
      <c r="O2072" s="10">
        <f>Table1[[#This Row],[NET Amount]]-Table1[[#This Row],[Paid Amount]]</f>
        <v>1610</v>
      </c>
      <c r="P2072" s="2" t="s">
        <v>23</v>
      </c>
      <c r="Q2072" s="2" t="s">
        <v>54</v>
      </c>
      <c r="R2072" s="16">
        <f>(Table1[[#This Row],[NET Amount]]-Table1[[#This Row],[Total Outstanding Amount]])/Table1[[#This Row],[NET Amount]]</f>
        <v>0</v>
      </c>
      <c r="S2072" s="2" t="s">
        <v>97</v>
      </c>
    </row>
    <row r="2073" spans="1:19" x14ac:dyDescent="0.3">
      <c r="A2073" s="4">
        <v>2071</v>
      </c>
      <c r="B2073" s="2" t="s">
        <v>2263</v>
      </c>
      <c r="C2073" s="3">
        <v>44858</v>
      </c>
      <c r="D2073" s="3" t="str">
        <f>TEXT(Table1[[#This Row],[Admission Date]],"MMMM")</f>
        <v>October</v>
      </c>
      <c r="E2073" s="3">
        <v>44858</v>
      </c>
      <c r="F2073" s="3">
        <v>44858</v>
      </c>
      <c r="G2073" s="2">
        <v>22028418</v>
      </c>
      <c r="H2073" s="2">
        <v>2237213</v>
      </c>
      <c r="I2073" s="2">
        <v>1001767553</v>
      </c>
      <c r="J2073" s="2" t="s">
        <v>417</v>
      </c>
      <c r="K2073" s="10">
        <v>1274</v>
      </c>
      <c r="L2073" s="10">
        <v>0</v>
      </c>
      <c r="M2073" s="10">
        <v>1274</v>
      </c>
      <c r="N2073" s="10">
        <v>0</v>
      </c>
      <c r="O2073" s="10">
        <f>Table1[[#This Row],[NET Amount]]-Table1[[#This Row],[Paid Amount]]</f>
        <v>1274</v>
      </c>
      <c r="P2073" s="2" t="s">
        <v>23</v>
      </c>
      <c r="Q2073" s="2" t="s">
        <v>54</v>
      </c>
      <c r="R2073" s="16">
        <f>(Table1[[#This Row],[NET Amount]]-Table1[[#This Row],[Total Outstanding Amount]])/Table1[[#This Row],[NET Amount]]</f>
        <v>0</v>
      </c>
      <c r="S2073" s="2" t="s">
        <v>97</v>
      </c>
    </row>
    <row r="2074" spans="1:19" x14ac:dyDescent="0.3">
      <c r="A2074" s="4">
        <v>2072</v>
      </c>
      <c r="B2074" s="2" t="s">
        <v>2263</v>
      </c>
      <c r="C2074" s="3">
        <v>44849</v>
      </c>
      <c r="D2074" s="3" t="str">
        <f>TEXT(Table1[[#This Row],[Admission Date]],"MMMM")</f>
        <v>October</v>
      </c>
      <c r="E2074" s="3">
        <v>44849</v>
      </c>
      <c r="F2074" s="3">
        <v>44849</v>
      </c>
      <c r="G2074" s="2">
        <v>22027240</v>
      </c>
      <c r="H2074" s="2">
        <v>2236160</v>
      </c>
      <c r="I2074" s="2">
        <v>1001686545</v>
      </c>
      <c r="J2074" s="2" t="s">
        <v>425</v>
      </c>
      <c r="K2074" s="10">
        <v>1274</v>
      </c>
      <c r="L2074" s="10">
        <v>0</v>
      </c>
      <c r="M2074" s="10">
        <v>1274</v>
      </c>
      <c r="N2074" s="10">
        <v>0</v>
      </c>
      <c r="O2074" s="10">
        <f>Table1[[#This Row],[NET Amount]]-Table1[[#This Row],[Paid Amount]]</f>
        <v>1274</v>
      </c>
      <c r="P2074" s="2" t="s">
        <v>23</v>
      </c>
      <c r="Q2074" s="2" t="s">
        <v>54</v>
      </c>
      <c r="R2074" s="16">
        <f>(Table1[[#This Row],[NET Amount]]-Table1[[#This Row],[Total Outstanding Amount]])/Table1[[#This Row],[NET Amount]]</f>
        <v>0</v>
      </c>
      <c r="S2074" s="2" t="s">
        <v>97</v>
      </c>
    </row>
    <row r="2075" spans="1:19" x14ac:dyDescent="0.3">
      <c r="A2075" s="4">
        <v>2073</v>
      </c>
      <c r="B2075" s="2" t="s">
        <v>40</v>
      </c>
      <c r="C2075" s="3">
        <v>44838</v>
      </c>
      <c r="D2075" s="3" t="str">
        <f>TEXT(Table1[[#This Row],[Admission Date]],"MMMM")</f>
        <v>October</v>
      </c>
      <c r="E2075" s="3">
        <v>44838</v>
      </c>
      <c r="F2075" s="3">
        <v>44838</v>
      </c>
      <c r="G2075" s="2">
        <v>22025619</v>
      </c>
      <c r="H2075" s="2">
        <v>2234620</v>
      </c>
      <c r="I2075" s="2">
        <v>10013436915</v>
      </c>
      <c r="J2075" s="2" t="s">
        <v>773</v>
      </c>
      <c r="K2075" s="10">
        <v>2200</v>
      </c>
      <c r="L2075" s="10">
        <v>0</v>
      </c>
      <c r="M2075" s="10">
        <v>2200</v>
      </c>
      <c r="N2075" s="10">
        <v>0</v>
      </c>
      <c r="O2075" s="10">
        <f>Table1[[#This Row],[NET Amount]]-Table1[[#This Row],[Paid Amount]]</f>
        <v>2200</v>
      </c>
      <c r="P2075" s="2" t="s">
        <v>23</v>
      </c>
      <c r="Q2075" s="2" t="s">
        <v>147</v>
      </c>
      <c r="R2075" s="16">
        <f>(Table1[[#This Row],[NET Amount]]-Table1[[#This Row],[Total Outstanding Amount]])/Table1[[#This Row],[NET Amount]]</f>
        <v>0</v>
      </c>
      <c r="S2075" s="2" t="s">
        <v>97</v>
      </c>
    </row>
    <row r="2076" spans="1:19" x14ac:dyDescent="0.3">
      <c r="A2076" s="4">
        <v>2074</v>
      </c>
      <c r="B2076" s="2" t="s">
        <v>380</v>
      </c>
      <c r="C2076" s="3">
        <v>44862</v>
      </c>
      <c r="D2076" s="3" t="str">
        <f>TEXT(Table1[[#This Row],[Admission Date]],"MMMM")</f>
        <v>October</v>
      </c>
      <c r="E2076" s="3">
        <v>44862</v>
      </c>
      <c r="F2076" s="3">
        <v>44862</v>
      </c>
      <c r="G2076" s="2">
        <v>22028978</v>
      </c>
      <c r="H2076" s="2">
        <v>2237854</v>
      </c>
      <c r="I2076" s="2">
        <v>10013371134</v>
      </c>
      <c r="J2076" s="2" t="s">
        <v>412</v>
      </c>
      <c r="K2076" s="10">
        <v>1274</v>
      </c>
      <c r="L2076" s="10">
        <v>0</v>
      </c>
      <c r="M2076" s="10">
        <v>1274</v>
      </c>
      <c r="N2076" s="10">
        <v>0</v>
      </c>
      <c r="O2076" s="10">
        <f>Table1[[#This Row],[NET Amount]]-Table1[[#This Row],[Paid Amount]]</f>
        <v>1274</v>
      </c>
      <c r="P2076" s="2" t="s">
        <v>23</v>
      </c>
      <c r="Q2076" s="2" t="s">
        <v>54</v>
      </c>
      <c r="R2076" s="16">
        <f>(Table1[[#This Row],[NET Amount]]-Table1[[#This Row],[Total Outstanding Amount]])/Table1[[#This Row],[NET Amount]]</f>
        <v>0</v>
      </c>
      <c r="S2076" s="2" t="s">
        <v>97</v>
      </c>
    </row>
    <row r="2077" spans="1:19" x14ac:dyDescent="0.3">
      <c r="A2077" s="4">
        <v>2075</v>
      </c>
      <c r="B2077" s="2" t="s">
        <v>168</v>
      </c>
      <c r="C2077" s="3">
        <v>44844</v>
      </c>
      <c r="D2077" s="3" t="str">
        <f>TEXT(Table1[[#This Row],[Admission Date]],"MMMM")</f>
        <v>October</v>
      </c>
      <c r="E2077" s="3">
        <v>44844</v>
      </c>
      <c r="F2077" s="3">
        <v>44844</v>
      </c>
      <c r="G2077" s="2">
        <v>22026401</v>
      </c>
      <c r="H2077" s="2">
        <v>2235376</v>
      </c>
      <c r="I2077" s="2">
        <v>1001468779</v>
      </c>
      <c r="J2077" s="2" t="s">
        <v>387</v>
      </c>
      <c r="K2077" s="10">
        <v>2200</v>
      </c>
      <c r="L2077" s="10">
        <v>0</v>
      </c>
      <c r="M2077" s="10">
        <v>2200</v>
      </c>
      <c r="N2077" s="10">
        <v>0</v>
      </c>
      <c r="O2077" s="10">
        <f>Table1[[#This Row],[NET Amount]]-Table1[[#This Row],[Paid Amount]]</f>
        <v>2200</v>
      </c>
      <c r="P2077" s="2" t="s">
        <v>23</v>
      </c>
      <c r="Q2077" s="2" t="s">
        <v>147</v>
      </c>
      <c r="R2077" s="16">
        <f>(Table1[[#This Row],[NET Amount]]-Table1[[#This Row],[Total Outstanding Amount]])/Table1[[#This Row],[NET Amount]]</f>
        <v>0</v>
      </c>
      <c r="S2077" s="2" t="s">
        <v>97</v>
      </c>
    </row>
    <row r="2078" spans="1:19" x14ac:dyDescent="0.3">
      <c r="A2078" s="4">
        <v>2076</v>
      </c>
      <c r="B2078" s="2" t="s">
        <v>2257</v>
      </c>
      <c r="C2078" s="3">
        <v>44854</v>
      </c>
      <c r="D2078" s="3" t="str">
        <f>TEXT(Table1[[#This Row],[Admission Date]],"MMMM")</f>
        <v>October</v>
      </c>
      <c r="E2078" s="3">
        <v>44854</v>
      </c>
      <c r="F2078" s="3">
        <v>44854</v>
      </c>
      <c r="G2078" s="2">
        <v>22027930</v>
      </c>
      <c r="H2078" s="2">
        <v>2236775</v>
      </c>
      <c r="I2078" s="2">
        <v>1001689981</v>
      </c>
      <c r="J2078" s="2" t="s">
        <v>253</v>
      </c>
      <c r="K2078" s="10">
        <v>2950</v>
      </c>
      <c r="L2078" s="10">
        <v>0</v>
      </c>
      <c r="M2078" s="10">
        <v>2950</v>
      </c>
      <c r="N2078" s="10">
        <v>0</v>
      </c>
      <c r="O2078" s="10">
        <f>Table1[[#This Row],[NET Amount]]-Table1[[#This Row],[Paid Amount]]</f>
        <v>2950</v>
      </c>
      <c r="P2078" s="2" t="s">
        <v>23</v>
      </c>
      <c r="Q2078" s="2" t="s">
        <v>54</v>
      </c>
      <c r="R2078" s="16">
        <f>(Table1[[#This Row],[NET Amount]]-Table1[[#This Row],[Total Outstanding Amount]])/Table1[[#This Row],[NET Amount]]</f>
        <v>0</v>
      </c>
      <c r="S2078" s="2" t="s">
        <v>97</v>
      </c>
    </row>
    <row r="2079" spans="1:19" x14ac:dyDescent="0.3">
      <c r="A2079" s="4">
        <v>2077</v>
      </c>
      <c r="B2079" s="2" t="s">
        <v>407</v>
      </c>
      <c r="C2079" s="3">
        <v>44858</v>
      </c>
      <c r="D2079" s="3" t="str">
        <f>TEXT(Table1[[#This Row],[Admission Date]],"MMMM")</f>
        <v>October</v>
      </c>
      <c r="E2079" s="3">
        <v>44862</v>
      </c>
      <c r="F2079" s="3">
        <v>44862</v>
      </c>
      <c r="G2079" s="2">
        <v>22028906</v>
      </c>
      <c r="H2079" s="2">
        <v>2237235</v>
      </c>
      <c r="I2079" s="2">
        <v>10013544299</v>
      </c>
      <c r="J2079" s="2" t="s">
        <v>1344</v>
      </c>
      <c r="K2079" s="10">
        <v>123180</v>
      </c>
      <c r="L2079" s="10">
        <v>0</v>
      </c>
      <c r="M2079" s="10">
        <v>123180</v>
      </c>
      <c r="N2079" s="10">
        <v>0</v>
      </c>
      <c r="O2079" s="10">
        <f>Table1[[#This Row],[NET Amount]]-Table1[[#This Row],[Paid Amount]]</f>
        <v>123180</v>
      </c>
      <c r="P2079" s="2" t="s">
        <v>23</v>
      </c>
      <c r="Q2079" s="2" t="s">
        <v>24</v>
      </c>
      <c r="R2079" s="16">
        <f>(Table1[[#This Row],[NET Amount]]-Table1[[#This Row],[Total Outstanding Amount]])/Table1[[#This Row],[NET Amount]]</f>
        <v>0</v>
      </c>
      <c r="S2079" s="2" t="s">
        <v>20</v>
      </c>
    </row>
    <row r="2080" spans="1:19" x14ac:dyDescent="0.3">
      <c r="A2080" s="4">
        <v>2078</v>
      </c>
      <c r="B2080" s="2" t="s">
        <v>380</v>
      </c>
      <c r="C2080" s="3">
        <v>44846</v>
      </c>
      <c r="D2080" s="3" t="str">
        <f>TEXT(Table1[[#This Row],[Admission Date]],"MMMM")</f>
        <v>October</v>
      </c>
      <c r="E2080" s="3">
        <v>44846</v>
      </c>
      <c r="F2080" s="3">
        <v>44846</v>
      </c>
      <c r="G2080" s="2">
        <v>22026805</v>
      </c>
      <c r="H2080" s="2">
        <v>2235764</v>
      </c>
      <c r="I2080" s="2">
        <v>10013507516</v>
      </c>
      <c r="J2080" s="2" t="s">
        <v>481</v>
      </c>
      <c r="K2080" s="10">
        <v>1274</v>
      </c>
      <c r="L2080" s="10">
        <v>0</v>
      </c>
      <c r="M2080" s="10">
        <v>1274</v>
      </c>
      <c r="N2080" s="10">
        <v>0</v>
      </c>
      <c r="O2080" s="10">
        <f>Table1[[#This Row],[NET Amount]]-Table1[[#This Row],[Paid Amount]]</f>
        <v>1274</v>
      </c>
      <c r="P2080" s="2" t="s">
        <v>23</v>
      </c>
      <c r="Q2080" s="2" t="s">
        <v>54</v>
      </c>
      <c r="R2080" s="16">
        <f>(Table1[[#This Row],[NET Amount]]-Table1[[#This Row],[Total Outstanding Amount]])/Table1[[#This Row],[NET Amount]]</f>
        <v>0</v>
      </c>
      <c r="S2080" s="2" t="s">
        <v>97</v>
      </c>
    </row>
    <row r="2081" spans="1:19" x14ac:dyDescent="0.3">
      <c r="A2081" s="4">
        <v>2079</v>
      </c>
      <c r="B2081" s="2" t="s">
        <v>178</v>
      </c>
      <c r="C2081" s="3">
        <v>44856</v>
      </c>
      <c r="D2081" s="3" t="str">
        <f>TEXT(Table1[[#This Row],[Admission Date]],"MMMM")</f>
        <v>October</v>
      </c>
      <c r="E2081" s="3">
        <v>44856</v>
      </c>
      <c r="F2081" s="3">
        <v>44856</v>
      </c>
      <c r="G2081" s="2">
        <v>22028249</v>
      </c>
      <c r="H2081" s="2">
        <v>2237035</v>
      </c>
      <c r="I2081" s="2">
        <v>10013469159</v>
      </c>
      <c r="J2081" s="2" t="s">
        <v>790</v>
      </c>
      <c r="K2081" s="10">
        <v>2200</v>
      </c>
      <c r="L2081" s="10">
        <v>0</v>
      </c>
      <c r="M2081" s="10">
        <v>2200</v>
      </c>
      <c r="N2081" s="10">
        <v>0</v>
      </c>
      <c r="O2081" s="10">
        <f>Table1[[#This Row],[NET Amount]]-Table1[[#This Row],[Paid Amount]]</f>
        <v>2200</v>
      </c>
      <c r="P2081" s="2" t="s">
        <v>23</v>
      </c>
      <c r="Q2081" s="2" t="s">
        <v>147</v>
      </c>
      <c r="R2081" s="16">
        <f>(Table1[[#This Row],[NET Amount]]-Table1[[#This Row],[Total Outstanding Amount]])/Table1[[#This Row],[NET Amount]]</f>
        <v>0</v>
      </c>
      <c r="S2081" s="2" t="s">
        <v>97</v>
      </c>
    </row>
    <row r="2082" spans="1:19" x14ac:dyDescent="0.3">
      <c r="A2082" s="4">
        <v>2080</v>
      </c>
      <c r="B2082" s="2" t="s">
        <v>380</v>
      </c>
      <c r="C2082" s="3">
        <v>44845</v>
      </c>
      <c r="D2082" s="3" t="str">
        <f>TEXT(Table1[[#This Row],[Admission Date]],"MMMM")</f>
        <v>October</v>
      </c>
      <c r="E2082" s="3">
        <v>44845</v>
      </c>
      <c r="F2082" s="3">
        <v>44845</v>
      </c>
      <c r="G2082" s="2">
        <v>22026562</v>
      </c>
      <c r="H2082" s="2">
        <v>2235542</v>
      </c>
      <c r="I2082" s="2">
        <v>10013449380</v>
      </c>
      <c r="J2082" s="2" t="s">
        <v>453</v>
      </c>
      <c r="K2082" s="10">
        <v>1274</v>
      </c>
      <c r="L2082" s="10">
        <v>0</v>
      </c>
      <c r="M2082" s="10">
        <v>1274</v>
      </c>
      <c r="N2082" s="10">
        <v>0</v>
      </c>
      <c r="O2082" s="10">
        <f>Table1[[#This Row],[NET Amount]]-Table1[[#This Row],[Paid Amount]]</f>
        <v>1274</v>
      </c>
      <c r="P2082" s="2" t="s">
        <v>23</v>
      </c>
      <c r="Q2082" s="2" t="s">
        <v>54</v>
      </c>
      <c r="R2082" s="16">
        <f>(Table1[[#This Row],[NET Amount]]-Table1[[#This Row],[Total Outstanding Amount]])/Table1[[#This Row],[NET Amount]]</f>
        <v>0</v>
      </c>
      <c r="S2082" s="2" t="s">
        <v>97</v>
      </c>
    </row>
    <row r="2083" spans="1:19" x14ac:dyDescent="0.3">
      <c r="A2083" s="4">
        <v>2081</v>
      </c>
      <c r="B2083" s="2" t="s">
        <v>126</v>
      </c>
      <c r="C2083" s="3">
        <v>44855</v>
      </c>
      <c r="D2083" s="3" t="str">
        <f>TEXT(Table1[[#This Row],[Admission Date]],"MMMM")</f>
        <v>October</v>
      </c>
      <c r="E2083" s="3">
        <v>44856</v>
      </c>
      <c r="F2083" s="3">
        <v>44856</v>
      </c>
      <c r="G2083" s="2">
        <v>22028176</v>
      </c>
      <c r="H2083" s="2">
        <v>2236877</v>
      </c>
      <c r="I2083" s="2">
        <v>10013484190</v>
      </c>
      <c r="J2083" s="2" t="s">
        <v>427</v>
      </c>
      <c r="K2083" s="10">
        <v>71228</v>
      </c>
      <c r="L2083" s="10">
        <v>13049</v>
      </c>
      <c r="M2083" s="10">
        <v>58179</v>
      </c>
      <c r="N2083" s="10">
        <v>0</v>
      </c>
      <c r="O2083" s="10">
        <f>Table1[[#This Row],[NET Amount]]-Table1[[#This Row],[Paid Amount]]</f>
        <v>58179</v>
      </c>
      <c r="P2083" s="2" t="s">
        <v>23</v>
      </c>
      <c r="Q2083" s="2" t="s">
        <v>24</v>
      </c>
      <c r="R2083" s="16">
        <f>(Table1[[#This Row],[NET Amount]]-Table1[[#This Row],[Total Outstanding Amount]])/Table1[[#This Row],[NET Amount]]</f>
        <v>0</v>
      </c>
      <c r="S2083" s="2" t="s">
        <v>77</v>
      </c>
    </row>
    <row r="2084" spans="1:19" x14ac:dyDescent="0.3">
      <c r="A2084" s="4">
        <v>2082</v>
      </c>
      <c r="B2084" s="2" t="s">
        <v>2263</v>
      </c>
      <c r="C2084" s="3">
        <v>44855</v>
      </c>
      <c r="D2084" s="3" t="str">
        <f>TEXT(Table1[[#This Row],[Admission Date]],"MMMM")</f>
        <v>October</v>
      </c>
      <c r="E2084" s="3">
        <v>44855</v>
      </c>
      <c r="F2084" s="3">
        <v>44855</v>
      </c>
      <c r="G2084" s="2">
        <v>22028105</v>
      </c>
      <c r="H2084" s="2">
        <v>2236942</v>
      </c>
      <c r="I2084" s="2">
        <v>1001684202</v>
      </c>
      <c r="J2084" s="2" t="s">
        <v>446</v>
      </c>
      <c r="K2084" s="10">
        <v>1274</v>
      </c>
      <c r="L2084" s="10">
        <v>0</v>
      </c>
      <c r="M2084" s="10">
        <v>1274</v>
      </c>
      <c r="N2084" s="10">
        <v>0</v>
      </c>
      <c r="O2084" s="10">
        <f>Table1[[#This Row],[NET Amount]]-Table1[[#This Row],[Paid Amount]]</f>
        <v>1274</v>
      </c>
      <c r="P2084" s="2" t="s">
        <v>23</v>
      </c>
      <c r="Q2084" s="2" t="s">
        <v>54</v>
      </c>
      <c r="R2084" s="16">
        <f>(Table1[[#This Row],[NET Amount]]-Table1[[#This Row],[Total Outstanding Amount]])/Table1[[#This Row],[NET Amount]]</f>
        <v>0</v>
      </c>
      <c r="S2084" s="2" t="s">
        <v>97</v>
      </c>
    </row>
    <row r="2085" spans="1:19" x14ac:dyDescent="0.3">
      <c r="A2085" s="4">
        <v>2083</v>
      </c>
      <c r="B2085" s="2" t="s">
        <v>380</v>
      </c>
      <c r="C2085" s="3">
        <v>44860</v>
      </c>
      <c r="D2085" s="3" t="str">
        <f>TEXT(Table1[[#This Row],[Admission Date]],"MMMM")</f>
        <v>October</v>
      </c>
      <c r="E2085" s="3">
        <v>44860</v>
      </c>
      <c r="F2085" s="3">
        <v>44860</v>
      </c>
      <c r="G2085" s="2">
        <v>22028690</v>
      </c>
      <c r="H2085" s="2">
        <v>2237535</v>
      </c>
      <c r="I2085" s="2">
        <v>10013506167</v>
      </c>
      <c r="J2085" s="2" t="s">
        <v>467</v>
      </c>
      <c r="K2085" s="10">
        <v>1274</v>
      </c>
      <c r="L2085" s="10">
        <v>0</v>
      </c>
      <c r="M2085" s="10">
        <v>1274</v>
      </c>
      <c r="N2085" s="10">
        <v>0</v>
      </c>
      <c r="O2085" s="10">
        <f>Table1[[#This Row],[NET Amount]]-Table1[[#This Row],[Paid Amount]]</f>
        <v>1274</v>
      </c>
      <c r="P2085" s="2" t="s">
        <v>23</v>
      </c>
      <c r="Q2085" s="2" t="s">
        <v>54</v>
      </c>
      <c r="R2085" s="16">
        <f>(Table1[[#This Row],[NET Amount]]-Table1[[#This Row],[Total Outstanding Amount]])/Table1[[#This Row],[NET Amount]]</f>
        <v>0</v>
      </c>
      <c r="S2085" s="2" t="s">
        <v>97</v>
      </c>
    </row>
    <row r="2086" spans="1:19" x14ac:dyDescent="0.3">
      <c r="A2086" s="4">
        <v>2084</v>
      </c>
      <c r="B2086" s="2" t="s">
        <v>2263</v>
      </c>
      <c r="C2086" s="3">
        <v>44858</v>
      </c>
      <c r="D2086" s="3" t="str">
        <f>TEXT(Table1[[#This Row],[Admission Date]],"MMMM")</f>
        <v>October</v>
      </c>
      <c r="E2086" s="3">
        <v>44858</v>
      </c>
      <c r="F2086" s="3">
        <v>44858</v>
      </c>
      <c r="G2086" s="2">
        <v>22028423</v>
      </c>
      <c r="H2086" s="2">
        <v>2237214</v>
      </c>
      <c r="I2086" s="2">
        <v>1001647517</v>
      </c>
      <c r="J2086" s="2" t="s">
        <v>802</v>
      </c>
      <c r="K2086" s="10">
        <v>1274</v>
      </c>
      <c r="L2086" s="10">
        <v>0</v>
      </c>
      <c r="M2086" s="10">
        <v>1274</v>
      </c>
      <c r="N2086" s="10">
        <v>0</v>
      </c>
      <c r="O2086" s="10">
        <f>Table1[[#This Row],[NET Amount]]-Table1[[#This Row],[Paid Amount]]</f>
        <v>1274</v>
      </c>
      <c r="P2086" s="2" t="s">
        <v>23</v>
      </c>
      <c r="Q2086" s="2" t="s">
        <v>54</v>
      </c>
      <c r="R2086" s="16">
        <f>(Table1[[#This Row],[NET Amount]]-Table1[[#This Row],[Total Outstanding Amount]])/Table1[[#This Row],[NET Amount]]</f>
        <v>0</v>
      </c>
      <c r="S2086" s="2" t="s">
        <v>97</v>
      </c>
    </row>
    <row r="2087" spans="1:19" x14ac:dyDescent="0.3">
      <c r="A2087" s="4">
        <v>2085</v>
      </c>
      <c r="B2087" s="2" t="s">
        <v>75</v>
      </c>
      <c r="C2087" s="3">
        <v>44853</v>
      </c>
      <c r="D2087" s="3" t="str">
        <f>TEXT(Table1[[#This Row],[Admission Date]],"MMMM")</f>
        <v>October</v>
      </c>
      <c r="E2087" s="3">
        <v>44853</v>
      </c>
      <c r="F2087" s="3">
        <v>44853</v>
      </c>
      <c r="G2087" s="2">
        <v>22027666</v>
      </c>
      <c r="H2087" s="2">
        <v>2236590</v>
      </c>
      <c r="I2087" s="2">
        <v>10013401847</v>
      </c>
      <c r="J2087" s="2" t="s">
        <v>449</v>
      </c>
      <c r="K2087" s="10">
        <v>1610</v>
      </c>
      <c r="L2087" s="10">
        <v>0</v>
      </c>
      <c r="M2087" s="10">
        <v>1610</v>
      </c>
      <c r="N2087" s="10">
        <v>0</v>
      </c>
      <c r="O2087" s="10">
        <f>Table1[[#This Row],[NET Amount]]-Table1[[#This Row],[Paid Amount]]</f>
        <v>1610</v>
      </c>
      <c r="P2087" s="2" t="s">
        <v>23</v>
      </c>
      <c r="Q2087" s="2" t="s">
        <v>54</v>
      </c>
      <c r="R2087" s="16">
        <f>(Table1[[#This Row],[NET Amount]]-Table1[[#This Row],[Total Outstanding Amount]])/Table1[[#This Row],[NET Amount]]</f>
        <v>0</v>
      </c>
      <c r="S2087" s="2" t="s">
        <v>97</v>
      </c>
    </row>
    <row r="2088" spans="1:19" x14ac:dyDescent="0.3">
      <c r="A2088" s="4">
        <v>2086</v>
      </c>
      <c r="B2088" s="2" t="s">
        <v>2258</v>
      </c>
      <c r="C2088" s="3">
        <v>44845</v>
      </c>
      <c r="D2088" s="3" t="str">
        <f>TEXT(Table1[[#This Row],[Admission Date]],"MMMM")</f>
        <v>October</v>
      </c>
      <c r="E2088" s="3">
        <v>44852</v>
      </c>
      <c r="F2088" s="3">
        <v>44852</v>
      </c>
      <c r="G2088" s="2">
        <v>22027569</v>
      </c>
      <c r="H2088" s="2">
        <v>2235531</v>
      </c>
      <c r="I2088" s="2">
        <v>1001803740</v>
      </c>
      <c r="J2088" s="2" t="s">
        <v>1345</v>
      </c>
      <c r="K2088" s="10">
        <v>40565</v>
      </c>
      <c r="L2088" s="10">
        <v>0</v>
      </c>
      <c r="M2088" s="10">
        <v>40565</v>
      </c>
      <c r="N2088" s="10">
        <v>0</v>
      </c>
      <c r="O2088" s="10">
        <f>Table1[[#This Row],[NET Amount]]-Table1[[#This Row],[Paid Amount]]</f>
        <v>40565</v>
      </c>
      <c r="P2088" s="2" t="s">
        <v>23</v>
      </c>
      <c r="Q2088" s="2" t="s">
        <v>24</v>
      </c>
      <c r="R2088" s="16">
        <f>(Table1[[#This Row],[NET Amount]]-Table1[[#This Row],[Total Outstanding Amount]])/Table1[[#This Row],[NET Amount]]</f>
        <v>0</v>
      </c>
      <c r="S2088" s="2" t="s">
        <v>20</v>
      </c>
    </row>
    <row r="2089" spans="1:19" x14ac:dyDescent="0.3">
      <c r="A2089" s="4">
        <v>2087</v>
      </c>
      <c r="B2089" s="2" t="s">
        <v>380</v>
      </c>
      <c r="C2089" s="3">
        <v>44861</v>
      </c>
      <c r="D2089" s="3" t="str">
        <f>TEXT(Table1[[#This Row],[Admission Date]],"MMMM")</f>
        <v>October</v>
      </c>
      <c r="E2089" s="3">
        <v>44861</v>
      </c>
      <c r="F2089" s="3">
        <v>44861</v>
      </c>
      <c r="G2089" s="2">
        <v>22028838</v>
      </c>
      <c r="H2089" s="2">
        <v>2237712</v>
      </c>
      <c r="I2089" s="2">
        <v>10013437822</v>
      </c>
      <c r="J2089" s="2" t="s">
        <v>441</v>
      </c>
      <c r="K2089" s="10">
        <v>1274</v>
      </c>
      <c r="L2089" s="10">
        <v>0</v>
      </c>
      <c r="M2089" s="10">
        <v>1274</v>
      </c>
      <c r="N2089" s="10">
        <v>0</v>
      </c>
      <c r="O2089" s="10">
        <f>Table1[[#This Row],[NET Amount]]-Table1[[#This Row],[Paid Amount]]</f>
        <v>1274</v>
      </c>
      <c r="P2089" s="2" t="s">
        <v>23</v>
      </c>
      <c r="Q2089" s="2" t="s">
        <v>54</v>
      </c>
      <c r="R2089" s="16">
        <f>(Table1[[#This Row],[NET Amount]]-Table1[[#This Row],[Total Outstanding Amount]])/Table1[[#This Row],[NET Amount]]</f>
        <v>0</v>
      </c>
      <c r="S2089" s="2" t="s">
        <v>97</v>
      </c>
    </row>
    <row r="2090" spans="1:19" x14ac:dyDescent="0.3">
      <c r="A2090" s="4">
        <v>2088</v>
      </c>
      <c r="B2090" s="2" t="s">
        <v>2263</v>
      </c>
      <c r="C2090" s="3">
        <v>44851</v>
      </c>
      <c r="D2090" s="3" t="str">
        <f>TEXT(Table1[[#This Row],[Admission Date]],"MMMM")</f>
        <v>October</v>
      </c>
      <c r="E2090" s="3">
        <v>44851</v>
      </c>
      <c r="F2090" s="3">
        <v>44851</v>
      </c>
      <c r="G2090" s="2">
        <v>22027454</v>
      </c>
      <c r="H2090" s="2">
        <v>2236345</v>
      </c>
      <c r="I2090" s="2">
        <v>1001767553</v>
      </c>
      <c r="J2090" s="2" t="s">
        <v>417</v>
      </c>
      <c r="K2090" s="10">
        <v>1274</v>
      </c>
      <c r="L2090" s="10">
        <v>0</v>
      </c>
      <c r="M2090" s="10">
        <v>1274</v>
      </c>
      <c r="N2090" s="10">
        <v>0</v>
      </c>
      <c r="O2090" s="10">
        <f>Table1[[#This Row],[NET Amount]]-Table1[[#This Row],[Paid Amount]]</f>
        <v>1274</v>
      </c>
      <c r="P2090" s="2" t="s">
        <v>23</v>
      </c>
      <c r="Q2090" s="2" t="s">
        <v>54</v>
      </c>
      <c r="R2090" s="16">
        <f>(Table1[[#This Row],[NET Amount]]-Table1[[#This Row],[Total Outstanding Amount]])/Table1[[#This Row],[NET Amount]]</f>
        <v>0</v>
      </c>
      <c r="S2090" s="2" t="s">
        <v>97</v>
      </c>
    </row>
    <row r="2091" spans="1:19" x14ac:dyDescent="0.3">
      <c r="A2091" s="4">
        <v>2089</v>
      </c>
      <c r="B2091" s="2" t="s">
        <v>2263</v>
      </c>
      <c r="C2091" s="3">
        <v>44853</v>
      </c>
      <c r="D2091" s="3" t="str">
        <f>TEXT(Table1[[#This Row],[Admission Date]],"MMMM")</f>
        <v>October</v>
      </c>
      <c r="E2091" s="3">
        <v>44853</v>
      </c>
      <c r="F2091" s="3">
        <v>44853</v>
      </c>
      <c r="G2091" s="2">
        <v>22027652</v>
      </c>
      <c r="H2091" s="2">
        <v>2236578</v>
      </c>
      <c r="I2091" s="2">
        <v>1001647517</v>
      </c>
      <c r="J2091" s="2" t="s">
        <v>802</v>
      </c>
      <c r="K2091" s="10">
        <v>1274</v>
      </c>
      <c r="L2091" s="10">
        <v>0</v>
      </c>
      <c r="M2091" s="10">
        <v>1274</v>
      </c>
      <c r="N2091" s="10">
        <v>0</v>
      </c>
      <c r="O2091" s="10">
        <f>Table1[[#This Row],[NET Amount]]-Table1[[#This Row],[Paid Amount]]</f>
        <v>1274</v>
      </c>
      <c r="P2091" s="2" t="s">
        <v>23</v>
      </c>
      <c r="Q2091" s="2" t="s">
        <v>54</v>
      </c>
      <c r="R2091" s="16">
        <f>(Table1[[#This Row],[NET Amount]]-Table1[[#This Row],[Total Outstanding Amount]])/Table1[[#This Row],[NET Amount]]</f>
        <v>0</v>
      </c>
      <c r="S2091" s="2" t="s">
        <v>97</v>
      </c>
    </row>
    <row r="2092" spans="1:19" x14ac:dyDescent="0.3">
      <c r="A2092" s="4">
        <v>2090</v>
      </c>
      <c r="B2092" s="2" t="s">
        <v>122</v>
      </c>
      <c r="C2092" s="3">
        <v>44837</v>
      </c>
      <c r="D2092" s="3" t="str">
        <f>TEXT(Table1[[#This Row],[Admission Date]],"MMMM")</f>
        <v>October</v>
      </c>
      <c r="E2092" s="3">
        <v>44839</v>
      </c>
      <c r="F2092" s="3">
        <v>44839</v>
      </c>
      <c r="G2092" s="2">
        <v>22025760</v>
      </c>
      <c r="H2092" s="2">
        <v>2234400</v>
      </c>
      <c r="I2092" s="2">
        <v>1000956837</v>
      </c>
      <c r="J2092" s="2" t="s">
        <v>1346</v>
      </c>
      <c r="K2092" s="10">
        <v>65248</v>
      </c>
      <c r="L2092" s="10">
        <v>62748</v>
      </c>
      <c r="M2092" s="10">
        <v>2500</v>
      </c>
      <c r="N2092" s="10">
        <v>0</v>
      </c>
      <c r="O2092" s="10">
        <f>Table1[[#This Row],[NET Amount]]-Table1[[#This Row],[Paid Amount]]</f>
        <v>2500</v>
      </c>
      <c r="P2092" s="2" t="s">
        <v>23</v>
      </c>
      <c r="Q2092" s="2" t="s">
        <v>90</v>
      </c>
      <c r="R2092" s="16">
        <f>(Table1[[#This Row],[NET Amount]]-Table1[[#This Row],[Total Outstanding Amount]])/Table1[[#This Row],[NET Amount]]</f>
        <v>0</v>
      </c>
      <c r="S2092" s="2" t="s">
        <v>20</v>
      </c>
    </row>
    <row r="2093" spans="1:19" x14ac:dyDescent="0.3">
      <c r="A2093" s="4">
        <v>2091</v>
      </c>
      <c r="B2093" s="2" t="s">
        <v>45</v>
      </c>
      <c r="C2093" s="3">
        <v>44862</v>
      </c>
      <c r="D2093" s="3" t="str">
        <f>TEXT(Table1[[#This Row],[Admission Date]],"MMMM")</f>
        <v>October</v>
      </c>
      <c r="E2093" s="3">
        <v>44862</v>
      </c>
      <c r="F2093" s="3">
        <v>44862</v>
      </c>
      <c r="G2093" s="2">
        <v>22028865</v>
      </c>
      <c r="H2093" s="2">
        <v>2237763</v>
      </c>
      <c r="I2093" s="2">
        <v>1001020879</v>
      </c>
      <c r="J2093" s="2" t="s">
        <v>462</v>
      </c>
      <c r="K2093" s="10">
        <v>2200</v>
      </c>
      <c r="L2093" s="10">
        <v>0</v>
      </c>
      <c r="M2093" s="10">
        <v>2200</v>
      </c>
      <c r="N2093" s="10">
        <v>0</v>
      </c>
      <c r="O2093" s="10">
        <f>Table1[[#This Row],[NET Amount]]-Table1[[#This Row],[Paid Amount]]</f>
        <v>2200</v>
      </c>
      <c r="P2093" s="2" t="s">
        <v>23</v>
      </c>
      <c r="Q2093" s="2" t="s">
        <v>147</v>
      </c>
      <c r="R2093" s="16">
        <f>(Table1[[#This Row],[NET Amount]]-Table1[[#This Row],[Total Outstanding Amount]])/Table1[[#This Row],[NET Amount]]</f>
        <v>0</v>
      </c>
      <c r="S2093" s="2" t="s">
        <v>97</v>
      </c>
    </row>
    <row r="2094" spans="1:19" x14ac:dyDescent="0.3">
      <c r="A2094" s="4">
        <v>2092</v>
      </c>
      <c r="B2094" s="2" t="s">
        <v>2263</v>
      </c>
      <c r="C2094" s="3">
        <v>44842</v>
      </c>
      <c r="D2094" s="3" t="str">
        <f>TEXT(Table1[[#This Row],[Admission Date]],"MMMM")</f>
        <v>October</v>
      </c>
      <c r="E2094" s="3">
        <v>44842</v>
      </c>
      <c r="F2094" s="3">
        <v>44842</v>
      </c>
      <c r="G2094" s="2">
        <v>22026183</v>
      </c>
      <c r="H2094" s="2">
        <v>2235190</v>
      </c>
      <c r="I2094" s="2">
        <v>1001711925</v>
      </c>
      <c r="J2094" s="2" t="s">
        <v>302</v>
      </c>
      <c r="K2094" s="10">
        <v>1274</v>
      </c>
      <c r="L2094" s="10">
        <v>0</v>
      </c>
      <c r="M2094" s="10">
        <v>1274</v>
      </c>
      <c r="N2094" s="10">
        <v>0</v>
      </c>
      <c r="O2094" s="10">
        <f>Table1[[#This Row],[NET Amount]]-Table1[[#This Row],[Paid Amount]]</f>
        <v>1274</v>
      </c>
      <c r="P2094" s="2" t="s">
        <v>23</v>
      </c>
      <c r="Q2094" s="2" t="s">
        <v>54</v>
      </c>
      <c r="R2094" s="16">
        <f>(Table1[[#This Row],[NET Amount]]-Table1[[#This Row],[Total Outstanding Amount]])/Table1[[#This Row],[NET Amount]]</f>
        <v>0</v>
      </c>
      <c r="S2094" s="2" t="s">
        <v>97</v>
      </c>
    </row>
    <row r="2095" spans="1:19" x14ac:dyDescent="0.3">
      <c r="A2095" s="4">
        <v>2093</v>
      </c>
      <c r="B2095" s="2" t="s">
        <v>2263</v>
      </c>
      <c r="C2095" s="3">
        <v>44851</v>
      </c>
      <c r="D2095" s="3" t="str">
        <f>TEXT(Table1[[#This Row],[Admission Date]],"MMMM")</f>
        <v>October</v>
      </c>
      <c r="E2095" s="3">
        <v>44851</v>
      </c>
      <c r="F2095" s="3">
        <v>44851</v>
      </c>
      <c r="G2095" s="2">
        <v>22027385</v>
      </c>
      <c r="H2095" s="2">
        <v>2236301</v>
      </c>
      <c r="I2095" s="2">
        <v>1001367923</v>
      </c>
      <c r="J2095" s="2" t="s">
        <v>391</v>
      </c>
      <c r="K2095" s="10">
        <v>1274</v>
      </c>
      <c r="L2095" s="10">
        <v>0</v>
      </c>
      <c r="M2095" s="10">
        <v>1274</v>
      </c>
      <c r="N2095" s="10">
        <v>0</v>
      </c>
      <c r="O2095" s="10">
        <f>Table1[[#This Row],[NET Amount]]-Table1[[#This Row],[Paid Amount]]</f>
        <v>1274</v>
      </c>
      <c r="P2095" s="2" t="s">
        <v>23</v>
      </c>
      <c r="Q2095" s="2" t="s">
        <v>54</v>
      </c>
      <c r="R2095" s="16">
        <f>(Table1[[#This Row],[NET Amount]]-Table1[[#This Row],[Total Outstanding Amount]])/Table1[[#This Row],[NET Amount]]</f>
        <v>0</v>
      </c>
      <c r="S2095" s="2" t="s">
        <v>97</v>
      </c>
    </row>
    <row r="2096" spans="1:19" x14ac:dyDescent="0.3">
      <c r="A2096" s="4">
        <v>2094</v>
      </c>
      <c r="B2096" s="2" t="s">
        <v>149</v>
      </c>
      <c r="C2096" s="3">
        <v>44859</v>
      </c>
      <c r="D2096" s="3" t="str">
        <f>TEXT(Table1[[#This Row],[Admission Date]],"MMMM")</f>
        <v>October</v>
      </c>
      <c r="E2096" s="3">
        <v>44859</v>
      </c>
      <c r="F2096" s="3">
        <v>44859</v>
      </c>
      <c r="G2096" s="2">
        <v>22028474</v>
      </c>
      <c r="H2096" s="2">
        <v>2237281</v>
      </c>
      <c r="I2096" s="2">
        <v>10013477952</v>
      </c>
      <c r="J2096" s="2" t="s">
        <v>781</v>
      </c>
      <c r="K2096" s="10">
        <v>2240</v>
      </c>
      <c r="L2096" s="10">
        <v>0</v>
      </c>
      <c r="M2096" s="10">
        <v>2240</v>
      </c>
      <c r="N2096" s="10">
        <v>0</v>
      </c>
      <c r="O2096" s="10">
        <f>Table1[[#This Row],[NET Amount]]-Table1[[#This Row],[Paid Amount]]</f>
        <v>2240</v>
      </c>
      <c r="P2096" s="2" t="s">
        <v>23</v>
      </c>
      <c r="Q2096" s="2" t="s">
        <v>54</v>
      </c>
      <c r="R2096" s="16">
        <f>(Table1[[#This Row],[NET Amount]]-Table1[[#This Row],[Total Outstanding Amount]])/Table1[[#This Row],[NET Amount]]</f>
        <v>0</v>
      </c>
      <c r="S2096" s="2" t="s">
        <v>97</v>
      </c>
    </row>
    <row r="2097" spans="1:19" x14ac:dyDescent="0.3">
      <c r="A2097" s="4">
        <v>2095</v>
      </c>
      <c r="B2097" s="2" t="s">
        <v>2253</v>
      </c>
      <c r="C2097" s="3">
        <v>44844</v>
      </c>
      <c r="D2097" s="3" t="str">
        <f>TEXT(Table1[[#This Row],[Admission Date]],"MMMM")</f>
        <v>October</v>
      </c>
      <c r="E2097" s="3">
        <v>44844</v>
      </c>
      <c r="F2097" s="3">
        <v>44844</v>
      </c>
      <c r="G2097" s="2">
        <v>22026432</v>
      </c>
      <c r="H2097" s="2">
        <v>2235390</v>
      </c>
      <c r="I2097" s="2">
        <v>1001772963</v>
      </c>
      <c r="J2097" s="2" t="s">
        <v>569</v>
      </c>
      <c r="K2097" s="10">
        <v>1610</v>
      </c>
      <c r="L2097" s="10">
        <v>0</v>
      </c>
      <c r="M2097" s="10">
        <v>1610</v>
      </c>
      <c r="N2097" s="10">
        <v>0</v>
      </c>
      <c r="O2097" s="10">
        <f>Table1[[#This Row],[NET Amount]]-Table1[[#This Row],[Paid Amount]]</f>
        <v>1610</v>
      </c>
      <c r="P2097" s="2" t="s">
        <v>23</v>
      </c>
      <c r="Q2097" s="2" t="s">
        <v>54</v>
      </c>
      <c r="R2097" s="16">
        <f>(Table1[[#This Row],[NET Amount]]-Table1[[#This Row],[Total Outstanding Amount]])/Table1[[#This Row],[NET Amount]]</f>
        <v>0</v>
      </c>
      <c r="S2097" s="2" t="s">
        <v>97</v>
      </c>
    </row>
    <row r="2098" spans="1:19" x14ac:dyDescent="0.3">
      <c r="A2098" s="4">
        <v>2096</v>
      </c>
      <c r="B2098" s="2" t="s">
        <v>380</v>
      </c>
      <c r="C2098" s="3">
        <v>44845</v>
      </c>
      <c r="D2098" s="3" t="str">
        <f>TEXT(Table1[[#This Row],[Admission Date]],"MMMM")</f>
        <v>October</v>
      </c>
      <c r="E2098" s="3">
        <v>44845</v>
      </c>
      <c r="F2098" s="3">
        <v>44845</v>
      </c>
      <c r="G2098" s="2">
        <v>22026564</v>
      </c>
      <c r="H2098" s="2">
        <v>2235539</v>
      </c>
      <c r="I2098" s="2">
        <v>1001397167</v>
      </c>
      <c r="J2098" s="2" t="s">
        <v>443</v>
      </c>
      <c r="K2098" s="10">
        <v>1274</v>
      </c>
      <c r="L2098" s="10">
        <v>0</v>
      </c>
      <c r="M2098" s="10">
        <v>1274</v>
      </c>
      <c r="N2098" s="10">
        <v>0</v>
      </c>
      <c r="O2098" s="10">
        <f>Table1[[#This Row],[NET Amount]]-Table1[[#This Row],[Paid Amount]]</f>
        <v>1274</v>
      </c>
      <c r="P2098" s="2" t="s">
        <v>23</v>
      </c>
      <c r="Q2098" s="2" t="s">
        <v>54</v>
      </c>
      <c r="R2098" s="16">
        <f>(Table1[[#This Row],[NET Amount]]-Table1[[#This Row],[Total Outstanding Amount]])/Table1[[#This Row],[NET Amount]]</f>
        <v>0</v>
      </c>
      <c r="S2098" s="2" t="s">
        <v>97</v>
      </c>
    </row>
    <row r="2099" spans="1:19" x14ac:dyDescent="0.3">
      <c r="A2099" s="4">
        <v>2097</v>
      </c>
      <c r="B2099" s="2" t="s">
        <v>2263</v>
      </c>
      <c r="C2099" s="3">
        <v>44846</v>
      </c>
      <c r="D2099" s="3" t="str">
        <f>TEXT(Table1[[#This Row],[Admission Date]],"MMMM")</f>
        <v>October</v>
      </c>
      <c r="E2099" s="3">
        <v>44846</v>
      </c>
      <c r="F2099" s="3">
        <v>44846</v>
      </c>
      <c r="G2099" s="2">
        <v>22026661</v>
      </c>
      <c r="H2099" s="2">
        <v>2235648</v>
      </c>
      <c r="I2099" s="2">
        <v>1001678600</v>
      </c>
      <c r="J2099" s="2" t="s">
        <v>413</v>
      </c>
      <c r="K2099" s="10">
        <v>1274</v>
      </c>
      <c r="L2099" s="10">
        <v>0</v>
      </c>
      <c r="M2099" s="10">
        <v>1274</v>
      </c>
      <c r="N2099" s="10">
        <v>0</v>
      </c>
      <c r="O2099" s="10">
        <f>Table1[[#This Row],[NET Amount]]-Table1[[#This Row],[Paid Amount]]</f>
        <v>1274</v>
      </c>
      <c r="P2099" s="2" t="s">
        <v>23</v>
      </c>
      <c r="Q2099" s="2" t="s">
        <v>54</v>
      </c>
      <c r="R2099" s="16">
        <f>(Table1[[#This Row],[NET Amount]]-Table1[[#This Row],[Total Outstanding Amount]])/Table1[[#This Row],[NET Amount]]</f>
        <v>0</v>
      </c>
      <c r="S2099" s="2" t="s">
        <v>97</v>
      </c>
    </row>
    <row r="2100" spans="1:19" x14ac:dyDescent="0.3">
      <c r="A2100" s="4">
        <v>2098</v>
      </c>
      <c r="B2100" s="2" t="s">
        <v>61</v>
      </c>
      <c r="C2100" s="3">
        <v>44819</v>
      </c>
      <c r="D2100" s="3" t="str">
        <f>TEXT(Table1[[#This Row],[Admission Date]],"MMMM")</f>
        <v>September</v>
      </c>
      <c r="E2100" s="3">
        <v>44835</v>
      </c>
      <c r="F2100" s="3">
        <v>44835</v>
      </c>
      <c r="G2100" s="2">
        <v>22025143</v>
      </c>
      <c r="H2100" s="2">
        <v>2232083</v>
      </c>
      <c r="I2100" s="2">
        <v>1001798828</v>
      </c>
      <c r="J2100" s="2" t="s">
        <v>1347</v>
      </c>
      <c r="K2100" s="10">
        <v>517249</v>
      </c>
      <c r="L2100" s="10">
        <v>22202</v>
      </c>
      <c r="M2100" s="10">
        <v>495047</v>
      </c>
      <c r="N2100" s="10">
        <v>20139</v>
      </c>
      <c r="O2100" s="10">
        <f>Table1[[#This Row],[NET Amount]]-Table1[[#This Row],[Paid Amount]]</f>
        <v>474908</v>
      </c>
      <c r="P2100" s="2" t="s">
        <v>23</v>
      </c>
      <c r="Q2100" s="2" t="s">
        <v>47</v>
      </c>
      <c r="R2100" s="16">
        <f>(Table1[[#This Row],[NET Amount]]-Table1[[#This Row],[Total Outstanding Amount]])/Table1[[#This Row],[NET Amount]]</f>
        <v>4.068098584578838E-2</v>
      </c>
      <c r="S2100" s="2" t="s">
        <v>70</v>
      </c>
    </row>
    <row r="2101" spans="1:19" x14ac:dyDescent="0.3">
      <c r="A2101" s="4">
        <v>2099</v>
      </c>
      <c r="B2101" s="2" t="s">
        <v>25</v>
      </c>
      <c r="C2101" s="3">
        <v>44838</v>
      </c>
      <c r="D2101" s="3" t="str">
        <f>TEXT(Table1[[#This Row],[Admission Date]],"MMMM")</f>
        <v>October</v>
      </c>
      <c r="E2101" s="3">
        <v>44839</v>
      </c>
      <c r="F2101" s="3">
        <v>44839</v>
      </c>
      <c r="G2101" s="2">
        <v>22025704</v>
      </c>
      <c r="H2101" s="2">
        <v>2234630</v>
      </c>
      <c r="I2101" s="2">
        <v>1001802481</v>
      </c>
      <c r="J2101" s="2" t="s">
        <v>1348</v>
      </c>
      <c r="K2101" s="10">
        <v>7188</v>
      </c>
      <c r="L2101" s="10">
        <v>809</v>
      </c>
      <c r="M2101" s="10">
        <v>6379</v>
      </c>
      <c r="N2101" s="10">
        <v>6379</v>
      </c>
      <c r="O2101" s="10">
        <f>Table1[[#This Row],[NET Amount]]-Table1[[#This Row],[Paid Amount]]</f>
        <v>0</v>
      </c>
      <c r="P2101" s="2" t="s">
        <v>18</v>
      </c>
      <c r="Q2101" s="2" t="s">
        <v>19</v>
      </c>
      <c r="R2101" s="16">
        <f>(Table1[[#This Row],[NET Amount]]-Table1[[#This Row],[Total Outstanding Amount]])/Table1[[#This Row],[NET Amount]]</f>
        <v>1</v>
      </c>
      <c r="S2101" s="2" t="s">
        <v>37</v>
      </c>
    </row>
    <row r="2102" spans="1:19" x14ac:dyDescent="0.3">
      <c r="A2102" s="4">
        <v>2100</v>
      </c>
      <c r="B2102" s="2" t="s">
        <v>25</v>
      </c>
      <c r="C2102" s="3">
        <v>44838</v>
      </c>
      <c r="D2102" s="3" t="str">
        <f>TEXT(Table1[[#This Row],[Admission Date]],"MMMM")</f>
        <v>October</v>
      </c>
      <c r="E2102" s="3">
        <v>44840</v>
      </c>
      <c r="F2102" s="3">
        <v>44840</v>
      </c>
      <c r="G2102" s="2">
        <v>22025849</v>
      </c>
      <c r="H2102" s="2">
        <v>2234535</v>
      </c>
      <c r="I2102" s="2">
        <v>1001802353</v>
      </c>
      <c r="J2102" s="2" t="s">
        <v>1349</v>
      </c>
      <c r="K2102" s="10">
        <v>66468</v>
      </c>
      <c r="L2102" s="10">
        <v>8568</v>
      </c>
      <c r="M2102" s="10">
        <v>57900</v>
      </c>
      <c r="N2102" s="10">
        <v>57900</v>
      </c>
      <c r="O2102" s="10">
        <f>Table1[[#This Row],[NET Amount]]-Table1[[#This Row],[Paid Amount]]</f>
        <v>0</v>
      </c>
      <c r="P2102" s="2" t="s">
        <v>18</v>
      </c>
      <c r="Q2102" s="2" t="s">
        <v>24</v>
      </c>
      <c r="R2102" s="16">
        <f>(Table1[[#This Row],[NET Amount]]-Table1[[#This Row],[Total Outstanding Amount]])/Table1[[#This Row],[NET Amount]]</f>
        <v>1</v>
      </c>
      <c r="S2102" s="2" t="s">
        <v>27</v>
      </c>
    </row>
    <row r="2103" spans="1:19" x14ac:dyDescent="0.3">
      <c r="A2103" s="4">
        <v>2101</v>
      </c>
      <c r="B2103" s="2" t="s">
        <v>25</v>
      </c>
      <c r="C2103" s="3">
        <v>44838</v>
      </c>
      <c r="D2103" s="3" t="str">
        <f>TEXT(Table1[[#This Row],[Admission Date]],"MMMM")</f>
        <v>October</v>
      </c>
      <c r="E2103" s="3">
        <v>44840</v>
      </c>
      <c r="F2103" s="3">
        <v>44840</v>
      </c>
      <c r="G2103" s="2">
        <v>22025865</v>
      </c>
      <c r="H2103" s="2">
        <v>2234559</v>
      </c>
      <c r="I2103" s="2">
        <v>1001802392</v>
      </c>
      <c r="J2103" s="2" t="s">
        <v>1350</v>
      </c>
      <c r="K2103" s="10">
        <v>16562</v>
      </c>
      <c r="L2103" s="10">
        <v>2032</v>
      </c>
      <c r="M2103" s="10">
        <v>14530</v>
      </c>
      <c r="N2103" s="10">
        <v>14530</v>
      </c>
      <c r="O2103" s="10">
        <f>Table1[[#This Row],[NET Amount]]-Table1[[#This Row],[Paid Amount]]</f>
        <v>0</v>
      </c>
      <c r="P2103" s="2" t="s">
        <v>18</v>
      </c>
      <c r="Q2103" s="2" t="s">
        <v>30</v>
      </c>
      <c r="R2103" s="16">
        <f>(Table1[[#This Row],[NET Amount]]-Table1[[#This Row],[Total Outstanding Amount]])/Table1[[#This Row],[NET Amount]]</f>
        <v>1</v>
      </c>
      <c r="S2103" s="2" t="s">
        <v>37</v>
      </c>
    </row>
    <row r="2104" spans="1:19" x14ac:dyDescent="0.3">
      <c r="A2104" s="4">
        <v>2102</v>
      </c>
      <c r="B2104" s="2" t="s">
        <v>25</v>
      </c>
      <c r="C2104" s="3">
        <v>44851</v>
      </c>
      <c r="D2104" s="3" t="str">
        <f>TEXT(Table1[[#This Row],[Admission Date]],"MMMM")</f>
        <v>October</v>
      </c>
      <c r="E2104" s="3">
        <v>44851</v>
      </c>
      <c r="F2104" s="3">
        <v>44851</v>
      </c>
      <c r="G2104" s="2">
        <v>22027478</v>
      </c>
      <c r="H2104" s="2">
        <v>2236378</v>
      </c>
      <c r="I2104" s="2">
        <v>10013518452</v>
      </c>
      <c r="J2104" s="2" t="s">
        <v>648</v>
      </c>
      <c r="K2104" s="10">
        <v>4990</v>
      </c>
      <c r="L2104" s="10">
        <v>413</v>
      </c>
      <c r="M2104" s="10">
        <v>4577</v>
      </c>
      <c r="N2104" s="10">
        <v>4577</v>
      </c>
      <c r="O2104" s="10">
        <f>Table1[[#This Row],[NET Amount]]-Table1[[#This Row],[Paid Amount]]</f>
        <v>0</v>
      </c>
      <c r="P2104" s="2" t="s">
        <v>18</v>
      </c>
      <c r="Q2104" s="2" t="s">
        <v>54</v>
      </c>
      <c r="R2104" s="16">
        <f>(Table1[[#This Row],[NET Amount]]-Table1[[#This Row],[Total Outstanding Amount]])/Table1[[#This Row],[NET Amount]]</f>
        <v>1</v>
      </c>
      <c r="S2104" s="2" t="s">
        <v>97</v>
      </c>
    </row>
    <row r="2105" spans="1:19" x14ac:dyDescent="0.3">
      <c r="A2105" s="4">
        <v>2103</v>
      </c>
      <c r="B2105" s="2" t="s">
        <v>1351</v>
      </c>
      <c r="C2105" s="3">
        <v>44852</v>
      </c>
      <c r="D2105" s="3" t="str">
        <f>TEXT(Table1[[#This Row],[Admission Date]],"MMMM")</f>
        <v>October</v>
      </c>
      <c r="E2105" s="3">
        <v>44853</v>
      </c>
      <c r="F2105" s="3">
        <v>44853</v>
      </c>
      <c r="G2105" s="2">
        <v>22027685</v>
      </c>
      <c r="H2105" s="2">
        <v>2236463</v>
      </c>
      <c r="I2105" s="2">
        <v>1001805007</v>
      </c>
      <c r="J2105" s="2" t="s">
        <v>1352</v>
      </c>
      <c r="K2105" s="10">
        <v>72901</v>
      </c>
      <c r="L2105" s="10">
        <v>0</v>
      </c>
      <c r="M2105" s="10">
        <v>72901</v>
      </c>
      <c r="N2105" s="10">
        <v>72901</v>
      </c>
      <c r="O2105" s="10">
        <f>Table1[[#This Row],[NET Amount]]-Table1[[#This Row],[Paid Amount]]</f>
        <v>0</v>
      </c>
      <c r="P2105" s="2" t="s">
        <v>18</v>
      </c>
      <c r="Q2105" s="2" t="s">
        <v>104</v>
      </c>
      <c r="R2105" s="16">
        <f>(Table1[[#This Row],[NET Amount]]-Table1[[#This Row],[Total Outstanding Amount]])/Table1[[#This Row],[NET Amount]]</f>
        <v>1</v>
      </c>
      <c r="S2105" s="2" t="s">
        <v>77</v>
      </c>
    </row>
    <row r="2106" spans="1:19" x14ac:dyDescent="0.3">
      <c r="A2106" s="4">
        <v>2104</v>
      </c>
      <c r="B2106" s="2" t="s">
        <v>25</v>
      </c>
      <c r="C2106" s="3">
        <v>44848</v>
      </c>
      <c r="D2106" s="3" t="str">
        <f>TEXT(Table1[[#This Row],[Admission Date]],"MMMM")</f>
        <v>October</v>
      </c>
      <c r="E2106" s="3">
        <v>44862</v>
      </c>
      <c r="F2106" s="3">
        <v>44862</v>
      </c>
      <c r="G2106" s="2">
        <v>22028895</v>
      </c>
      <c r="H2106" s="2">
        <v>2235903</v>
      </c>
      <c r="I2106" s="2">
        <v>10013542928</v>
      </c>
      <c r="J2106" s="2" t="s">
        <v>1353</v>
      </c>
      <c r="K2106" s="10">
        <v>243788</v>
      </c>
      <c r="L2106" s="10">
        <v>40688</v>
      </c>
      <c r="M2106" s="10">
        <v>203100</v>
      </c>
      <c r="N2106" s="10">
        <v>203100</v>
      </c>
      <c r="O2106" s="10">
        <f>Table1[[#This Row],[NET Amount]]-Table1[[#This Row],[Paid Amount]]</f>
        <v>0</v>
      </c>
      <c r="P2106" s="2" t="s">
        <v>18</v>
      </c>
      <c r="Q2106" s="2" t="s">
        <v>24</v>
      </c>
      <c r="R2106" s="16">
        <f>(Table1[[#This Row],[NET Amount]]-Table1[[#This Row],[Total Outstanding Amount]])/Table1[[#This Row],[NET Amount]]</f>
        <v>1</v>
      </c>
      <c r="S2106" s="2" t="s">
        <v>20</v>
      </c>
    </row>
    <row r="2107" spans="1:19" x14ac:dyDescent="0.3">
      <c r="A2107" s="4">
        <v>2105</v>
      </c>
      <c r="B2107" s="2" t="s">
        <v>25</v>
      </c>
      <c r="C2107" s="3">
        <v>44863</v>
      </c>
      <c r="D2107" s="3" t="str">
        <f>TEXT(Table1[[#This Row],[Admission Date]],"MMMM")</f>
        <v>October</v>
      </c>
      <c r="E2107" s="3">
        <v>44865</v>
      </c>
      <c r="F2107" s="3">
        <v>44865</v>
      </c>
      <c r="G2107" s="2">
        <v>22029298</v>
      </c>
      <c r="H2107" s="2">
        <v>2238001</v>
      </c>
      <c r="I2107" s="2">
        <v>1001202559</v>
      </c>
      <c r="J2107" s="2" t="s">
        <v>974</v>
      </c>
      <c r="K2107" s="10">
        <v>117665</v>
      </c>
      <c r="L2107" s="10">
        <v>20176</v>
      </c>
      <c r="M2107" s="10">
        <v>97489</v>
      </c>
      <c r="N2107" s="10">
        <v>97489</v>
      </c>
      <c r="O2107" s="10">
        <f>Table1[[#This Row],[NET Amount]]-Table1[[#This Row],[Paid Amount]]</f>
        <v>0</v>
      </c>
      <c r="P2107" s="2" t="s">
        <v>18</v>
      </c>
      <c r="Q2107" s="2" t="s">
        <v>551</v>
      </c>
      <c r="R2107" s="16">
        <f>(Table1[[#This Row],[NET Amount]]-Table1[[#This Row],[Total Outstanding Amount]])/Table1[[#This Row],[NET Amount]]</f>
        <v>1</v>
      </c>
      <c r="S2107" s="2" t="s">
        <v>20</v>
      </c>
    </row>
    <row r="2108" spans="1:19" x14ac:dyDescent="0.3">
      <c r="A2108" s="4">
        <v>2106</v>
      </c>
      <c r="B2108" s="2" t="s">
        <v>25</v>
      </c>
      <c r="C2108" s="3">
        <v>44851</v>
      </c>
      <c r="D2108" s="3" t="str">
        <f>TEXT(Table1[[#This Row],[Admission Date]],"MMMM")</f>
        <v>October</v>
      </c>
      <c r="E2108" s="3">
        <v>44851</v>
      </c>
      <c r="F2108" s="3">
        <v>44851</v>
      </c>
      <c r="G2108" s="2">
        <v>22027487</v>
      </c>
      <c r="H2108" s="2">
        <v>2236350</v>
      </c>
      <c r="I2108" s="2">
        <v>1001579196</v>
      </c>
      <c r="J2108" s="2" t="s">
        <v>1354</v>
      </c>
      <c r="K2108" s="10">
        <v>14000</v>
      </c>
      <c r="L2108" s="10">
        <v>780</v>
      </c>
      <c r="M2108" s="10">
        <v>13220</v>
      </c>
      <c r="N2108" s="10">
        <v>13220</v>
      </c>
      <c r="O2108" s="10">
        <f>Table1[[#This Row],[NET Amount]]-Table1[[#This Row],[Paid Amount]]</f>
        <v>0</v>
      </c>
      <c r="P2108" s="2" t="s">
        <v>18</v>
      </c>
      <c r="Q2108" s="2" t="s">
        <v>54</v>
      </c>
      <c r="R2108" s="16">
        <f>(Table1[[#This Row],[NET Amount]]-Table1[[#This Row],[Total Outstanding Amount]])/Table1[[#This Row],[NET Amount]]</f>
        <v>1</v>
      </c>
      <c r="S2108" s="2" t="s">
        <v>39</v>
      </c>
    </row>
    <row r="2109" spans="1:19" x14ac:dyDescent="0.3">
      <c r="A2109" s="4">
        <v>2107</v>
      </c>
      <c r="B2109" s="2" t="s">
        <v>25</v>
      </c>
      <c r="C2109" s="3">
        <v>44840</v>
      </c>
      <c r="D2109" s="3" t="str">
        <f>TEXT(Table1[[#This Row],[Admission Date]],"MMMM")</f>
        <v>October</v>
      </c>
      <c r="E2109" s="3">
        <v>44840</v>
      </c>
      <c r="F2109" s="3">
        <v>44840</v>
      </c>
      <c r="G2109" s="2">
        <v>22025885</v>
      </c>
      <c r="H2109" s="2">
        <v>2234830</v>
      </c>
      <c r="I2109" s="2">
        <v>10013491169</v>
      </c>
      <c r="J2109" s="2" t="s">
        <v>1355</v>
      </c>
      <c r="K2109" s="10">
        <v>44362</v>
      </c>
      <c r="L2109" s="10">
        <v>5995</v>
      </c>
      <c r="M2109" s="10">
        <v>38367</v>
      </c>
      <c r="N2109" s="10">
        <v>38367</v>
      </c>
      <c r="O2109" s="10">
        <f>Table1[[#This Row],[NET Amount]]-Table1[[#This Row],[Paid Amount]]</f>
        <v>0</v>
      </c>
      <c r="P2109" s="2" t="s">
        <v>18</v>
      </c>
      <c r="Q2109" s="2" t="s">
        <v>54</v>
      </c>
      <c r="R2109" s="16">
        <f>(Table1[[#This Row],[NET Amount]]-Table1[[#This Row],[Total Outstanding Amount]])/Table1[[#This Row],[NET Amount]]</f>
        <v>1</v>
      </c>
      <c r="S2109" s="2" t="s">
        <v>55</v>
      </c>
    </row>
    <row r="2110" spans="1:19" x14ac:dyDescent="0.3">
      <c r="A2110" s="4">
        <v>2108</v>
      </c>
      <c r="B2110" s="2" t="s">
        <v>25</v>
      </c>
      <c r="C2110" s="3">
        <v>44861</v>
      </c>
      <c r="D2110" s="3" t="str">
        <f>TEXT(Table1[[#This Row],[Admission Date]],"MMMM")</f>
        <v>October</v>
      </c>
      <c r="E2110" s="3">
        <v>44862</v>
      </c>
      <c r="F2110" s="3">
        <v>44862</v>
      </c>
      <c r="G2110" s="2">
        <v>22028964</v>
      </c>
      <c r="H2110" s="2">
        <v>2237629</v>
      </c>
      <c r="I2110" s="2">
        <v>10013544703</v>
      </c>
      <c r="J2110" s="2" t="s">
        <v>1356</v>
      </c>
      <c r="K2110" s="10">
        <v>182228</v>
      </c>
      <c r="L2110" s="10">
        <v>29100</v>
      </c>
      <c r="M2110" s="10">
        <v>153128</v>
      </c>
      <c r="N2110" s="10">
        <v>153128</v>
      </c>
      <c r="O2110" s="10">
        <f>Table1[[#This Row],[NET Amount]]-Table1[[#This Row],[Paid Amount]]</f>
        <v>0</v>
      </c>
      <c r="P2110" s="2" t="s">
        <v>18</v>
      </c>
      <c r="Q2110" s="2" t="s">
        <v>69</v>
      </c>
      <c r="R2110" s="16">
        <f>(Table1[[#This Row],[NET Amount]]-Table1[[#This Row],[Total Outstanding Amount]])/Table1[[#This Row],[NET Amount]]</f>
        <v>1</v>
      </c>
      <c r="S2110" s="2" t="s">
        <v>39</v>
      </c>
    </row>
    <row r="2111" spans="1:19" x14ac:dyDescent="0.3">
      <c r="A2111" s="4">
        <v>2109</v>
      </c>
      <c r="B2111" s="2" t="s">
        <v>25</v>
      </c>
      <c r="C2111" s="3">
        <v>44846</v>
      </c>
      <c r="D2111" s="3" t="str">
        <f>TEXT(Table1[[#This Row],[Admission Date]],"MMMM")</f>
        <v>October</v>
      </c>
      <c r="E2111" s="3">
        <v>44854</v>
      </c>
      <c r="F2111" s="3">
        <v>44854</v>
      </c>
      <c r="G2111" s="2">
        <v>22027843</v>
      </c>
      <c r="H2111" s="2">
        <v>2235708</v>
      </c>
      <c r="I2111" s="2">
        <v>10013542709</v>
      </c>
      <c r="J2111" s="2" t="s">
        <v>1357</v>
      </c>
      <c r="K2111" s="10">
        <v>252200</v>
      </c>
      <c r="L2111" s="10">
        <v>15182</v>
      </c>
      <c r="M2111" s="10">
        <v>237018</v>
      </c>
      <c r="N2111" s="10">
        <v>237017</v>
      </c>
      <c r="O2111" s="10">
        <f>Table1[[#This Row],[NET Amount]]-Table1[[#This Row],[Paid Amount]]</f>
        <v>1</v>
      </c>
      <c r="P2111" s="2" t="s">
        <v>23</v>
      </c>
      <c r="Q2111" s="2" t="s">
        <v>24</v>
      </c>
      <c r="R2111" s="16">
        <f>(Table1[[#This Row],[NET Amount]]-Table1[[#This Row],[Total Outstanding Amount]])/Table1[[#This Row],[NET Amount]]</f>
        <v>0.99999578091115437</v>
      </c>
      <c r="S2111" s="2" t="s">
        <v>70</v>
      </c>
    </row>
    <row r="2112" spans="1:19" x14ac:dyDescent="0.3">
      <c r="A2112" s="4">
        <v>2110</v>
      </c>
      <c r="B2112" s="2" t="s">
        <v>25</v>
      </c>
      <c r="C2112" s="3">
        <v>44860</v>
      </c>
      <c r="D2112" s="3" t="str">
        <f>TEXT(Table1[[#This Row],[Admission Date]],"MMMM")</f>
        <v>October</v>
      </c>
      <c r="E2112" s="3">
        <v>44864</v>
      </c>
      <c r="F2112" s="3">
        <v>44864</v>
      </c>
      <c r="G2112" s="2">
        <v>22029201</v>
      </c>
      <c r="H2112" s="2">
        <v>2237474</v>
      </c>
      <c r="I2112" s="2">
        <v>10013544514</v>
      </c>
      <c r="J2112" s="2" t="s">
        <v>1358</v>
      </c>
      <c r="K2112" s="10">
        <v>47734</v>
      </c>
      <c r="L2112" s="10">
        <v>6584</v>
      </c>
      <c r="M2112" s="10">
        <v>41149</v>
      </c>
      <c r="N2112" s="10">
        <v>41149</v>
      </c>
      <c r="O2112" s="10">
        <f>Table1[[#This Row],[NET Amount]]-Table1[[#This Row],[Paid Amount]]</f>
        <v>0</v>
      </c>
      <c r="P2112" s="2" t="s">
        <v>18</v>
      </c>
      <c r="Q2112" s="2" t="s">
        <v>24</v>
      </c>
      <c r="R2112" s="16">
        <f>(Table1[[#This Row],[NET Amount]]-Table1[[#This Row],[Total Outstanding Amount]])/Table1[[#This Row],[NET Amount]]</f>
        <v>1</v>
      </c>
      <c r="S2112" s="2" t="s">
        <v>20</v>
      </c>
    </row>
    <row r="2113" spans="1:19" x14ac:dyDescent="0.3">
      <c r="A2113" s="4">
        <v>2111</v>
      </c>
      <c r="B2113" s="2" t="s">
        <v>25</v>
      </c>
      <c r="C2113" s="3">
        <v>44825</v>
      </c>
      <c r="D2113" s="3" t="str">
        <f>TEXT(Table1[[#This Row],[Admission Date]],"MMMM")</f>
        <v>September</v>
      </c>
      <c r="E2113" s="3">
        <v>44847</v>
      </c>
      <c r="F2113" s="3">
        <v>44847</v>
      </c>
      <c r="G2113" s="2">
        <v>22026934</v>
      </c>
      <c r="H2113" s="2">
        <v>2232806</v>
      </c>
      <c r="I2113" s="2">
        <v>10013539646</v>
      </c>
      <c r="J2113" s="2" t="s">
        <v>188</v>
      </c>
      <c r="K2113" s="10">
        <v>1032626</v>
      </c>
      <c r="L2113" s="10">
        <v>277647</v>
      </c>
      <c r="M2113" s="10">
        <v>754979</v>
      </c>
      <c r="N2113" s="10">
        <v>754979</v>
      </c>
      <c r="O2113" s="10">
        <f>Table1[[#This Row],[NET Amount]]-Table1[[#This Row],[Paid Amount]]</f>
        <v>0</v>
      </c>
      <c r="P2113" s="2" t="s">
        <v>18</v>
      </c>
      <c r="Q2113" s="2" t="s">
        <v>225</v>
      </c>
      <c r="R2113" s="16">
        <f>(Table1[[#This Row],[NET Amount]]-Table1[[#This Row],[Total Outstanding Amount]])/Table1[[#This Row],[NET Amount]]</f>
        <v>1</v>
      </c>
      <c r="S2113" s="2" t="s">
        <v>32</v>
      </c>
    </row>
    <row r="2114" spans="1:19" x14ac:dyDescent="0.3">
      <c r="A2114" s="4">
        <v>2112</v>
      </c>
      <c r="B2114" s="2" t="s">
        <v>144</v>
      </c>
      <c r="C2114" s="3">
        <v>44847</v>
      </c>
      <c r="D2114" s="3" t="str">
        <f>TEXT(Table1[[#This Row],[Admission Date]],"MMMM")</f>
        <v>October</v>
      </c>
      <c r="E2114" s="3">
        <v>44850</v>
      </c>
      <c r="F2114" s="3">
        <v>44850</v>
      </c>
      <c r="G2114" s="2">
        <v>22027342</v>
      </c>
      <c r="H2114" s="2">
        <v>2235891</v>
      </c>
      <c r="I2114" s="2">
        <v>10013540556</v>
      </c>
      <c r="J2114" s="2" t="s">
        <v>1359</v>
      </c>
      <c r="K2114" s="10">
        <v>77121</v>
      </c>
      <c r="L2114" s="10">
        <v>0</v>
      </c>
      <c r="M2114" s="10">
        <v>77121</v>
      </c>
      <c r="N2114" s="10">
        <v>27121</v>
      </c>
      <c r="O2114" s="10">
        <f>Table1[[#This Row],[NET Amount]]-Table1[[#This Row],[Paid Amount]]</f>
        <v>50000</v>
      </c>
      <c r="P2114" s="2" t="s">
        <v>23</v>
      </c>
      <c r="Q2114" s="2" t="s">
        <v>30</v>
      </c>
      <c r="R2114" s="16">
        <f>(Table1[[#This Row],[NET Amount]]-Table1[[#This Row],[Total Outstanding Amount]])/Table1[[#This Row],[NET Amount]]</f>
        <v>0.35166815782990368</v>
      </c>
      <c r="S2114" s="2" t="s">
        <v>27</v>
      </c>
    </row>
    <row r="2115" spans="1:19" x14ac:dyDescent="0.3">
      <c r="A2115" s="4">
        <v>2113</v>
      </c>
      <c r="B2115" s="2" t="s">
        <v>117</v>
      </c>
      <c r="C2115" s="3">
        <v>44836</v>
      </c>
      <c r="D2115" s="3" t="str">
        <f>TEXT(Table1[[#This Row],[Admission Date]],"MMMM")</f>
        <v>October</v>
      </c>
      <c r="E2115" s="3">
        <v>44853</v>
      </c>
      <c r="F2115" s="3">
        <v>44853</v>
      </c>
      <c r="G2115" s="2">
        <v>22027762</v>
      </c>
      <c r="H2115" s="2">
        <v>2234317</v>
      </c>
      <c r="I2115" s="2">
        <v>1001221279</v>
      </c>
      <c r="J2115" s="2" t="s">
        <v>789</v>
      </c>
      <c r="K2115" s="10">
        <v>877696</v>
      </c>
      <c r="L2115" s="10">
        <v>0</v>
      </c>
      <c r="M2115" s="10">
        <v>877696</v>
      </c>
      <c r="N2115" s="10">
        <v>877696</v>
      </c>
      <c r="O2115" s="10">
        <f>Table1[[#This Row],[NET Amount]]-Table1[[#This Row],[Paid Amount]]</f>
        <v>0</v>
      </c>
      <c r="P2115" s="2" t="s">
        <v>18</v>
      </c>
      <c r="Q2115" s="2" t="s">
        <v>24</v>
      </c>
      <c r="R2115" s="16">
        <f>(Table1[[#This Row],[NET Amount]]-Table1[[#This Row],[Total Outstanding Amount]])/Table1[[#This Row],[NET Amount]]</f>
        <v>1</v>
      </c>
      <c r="S2115" s="2" t="s">
        <v>20</v>
      </c>
    </row>
    <row r="2116" spans="1:19" x14ac:dyDescent="0.3">
      <c r="A2116" s="4">
        <v>2114</v>
      </c>
      <c r="B2116" s="2" t="s">
        <v>117</v>
      </c>
      <c r="C2116" s="3">
        <v>44853</v>
      </c>
      <c r="D2116" s="3" t="str">
        <f>TEXT(Table1[[#This Row],[Admission Date]],"MMMM")</f>
        <v>October</v>
      </c>
      <c r="E2116" s="3">
        <v>44854</v>
      </c>
      <c r="F2116" s="3">
        <v>44854</v>
      </c>
      <c r="G2116" s="2">
        <v>22027867</v>
      </c>
      <c r="H2116" s="2">
        <v>2236603</v>
      </c>
      <c r="I2116" s="2">
        <v>10013543606</v>
      </c>
      <c r="J2116" s="2" t="s">
        <v>1360</v>
      </c>
      <c r="K2116" s="10">
        <v>51720</v>
      </c>
      <c r="L2116" s="10">
        <v>0</v>
      </c>
      <c r="M2116" s="10">
        <v>51720</v>
      </c>
      <c r="N2116" s="10">
        <v>51720</v>
      </c>
      <c r="O2116" s="10">
        <f>Table1[[#This Row],[NET Amount]]-Table1[[#This Row],[Paid Amount]]</f>
        <v>0</v>
      </c>
      <c r="P2116" s="2" t="s">
        <v>18</v>
      </c>
      <c r="Q2116" s="2" t="s">
        <v>24</v>
      </c>
      <c r="R2116" s="16">
        <f>(Table1[[#This Row],[NET Amount]]-Table1[[#This Row],[Total Outstanding Amount]])/Table1[[#This Row],[NET Amount]]</f>
        <v>1</v>
      </c>
      <c r="S2116" s="2" t="s">
        <v>138</v>
      </c>
    </row>
    <row r="2117" spans="1:19" x14ac:dyDescent="0.3">
      <c r="A2117" s="4">
        <v>2115</v>
      </c>
      <c r="B2117" s="2" t="s">
        <v>25</v>
      </c>
      <c r="C2117" s="3">
        <v>44855</v>
      </c>
      <c r="D2117" s="3" t="str">
        <f>TEXT(Table1[[#This Row],[Admission Date]],"MMMM")</f>
        <v>October</v>
      </c>
      <c r="E2117" s="3">
        <v>44855</v>
      </c>
      <c r="F2117" s="3">
        <v>44855</v>
      </c>
      <c r="G2117" s="2">
        <v>22028085</v>
      </c>
      <c r="H2117" s="2">
        <v>2236896</v>
      </c>
      <c r="I2117" s="2">
        <v>10013542963</v>
      </c>
      <c r="J2117" s="2" t="s">
        <v>1361</v>
      </c>
      <c r="K2117" s="10">
        <v>19377</v>
      </c>
      <c r="L2117" s="10">
        <v>2560</v>
      </c>
      <c r="M2117" s="10">
        <v>16817</v>
      </c>
      <c r="N2117" s="10">
        <v>16817</v>
      </c>
      <c r="O2117" s="10">
        <f>Table1[[#This Row],[NET Amount]]-Table1[[#This Row],[Paid Amount]]</f>
        <v>0</v>
      </c>
      <c r="P2117" s="2" t="s">
        <v>18</v>
      </c>
      <c r="Q2117" s="2" t="s">
        <v>54</v>
      </c>
      <c r="R2117" s="16">
        <f>(Table1[[#This Row],[NET Amount]]-Table1[[#This Row],[Total Outstanding Amount]])/Table1[[#This Row],[NET Amount]]</f>
        <v>1</v>
      </c>
      <c r="S2117" s="2" t="s">
        <v>27</v>
      </c>
    </row>
    <row r="2118" spans="1:19" x14ac:dyDescent="0.3">
      <c r="A2118" s="4">
        <v>2116</v>
      </c>
      <c r="B2118" s="2" t="s">
        <v>25</v>
      </c>
      <c r="C2118" s="3">
        <v>44856</v>
      </c>
      <c r="D2118" s="3" t="str">
        <f>TEXT(Table1[[#This Row],[Admission Date]],"MMMM")</f>
        <v>October</v>
      </c>
      <c r="E2118" s="3">
        <v>44856</v>
      </c>
      <c r="F2118" s="3">
        <v>44856</v>
      </c>
      <c r="G2118" s="2">
        <v>22028240</v>
      </c>
      <c r="H2118" s="2">
        <v>2237032</v>
      </c>
      <c r="I2118" s="2">
        <v>10013507561</v>
      </c>
      <c r="J2118" s="2" t="s">
        <v>240</v>
      </c>
      <c r="K2118" s="10">
        <v>2844</v>
      </c>
      <c r="L2118" s="10">
        <v>310</v>
      </c>
      <c r="M2118" s="10">
        <v>2534</v>
      </c>
      <c r="N2118" s="10">
        <v>2534</v>
      </c>
      <c r="O2118" s="10">
        <f>Table1[[#This Row],[NET Amount]]-Table1[[#This Row],[Paid Amount]]</f>
        <v>0</v>
      </c>
      <c r="P2118" s="2" t="s">
        <v>18</v>
      </c>
      <c r="Q2118" s="2" t="s">
        <v>54</v>
      </c>
      <c r="R2118" s="16">
        <f>(Table1[[#This Row],[NET Amount]]-Table1[[#This Row],[Total Outstanding Amount]])/Table1[[#This Row],[NET Amount]]</f>
        <v>1</v>
      </c>
      <c r="S2118" s="2" t="s">
        <v>97</v>
      </c>
    </row>
    <row r="2119" spans="1:19" x14ac:dyDescent="0.3">
      <c r="A2119" s="4">
        <v>2117</v>
      </c>
      <c r="B2119" s="2" t="s">
        <v>50</v>
      </c>
      <c r="C2119" s="3">
        <v>44852</v>
      </c>
      <c r="D2119" s="3" t="str">
        <f>TEXT(Table1[[#This Row],[Admission Date]],"MMMM")</f>
        <v>October</v>
      </c>
      <c r="E2119" s="3">
        <v>44856</v>
      </c>
      <c r="F2119" s="3">
        <v>44856</v>
      </c>
      <c r="G2119" s="2">
        <v>22028222</v>
      </c>
      <c r="H2119" s="2">
        <v>2236502</v>
      </c>
      <c r="I2119" s="2">
        <v>10013484362</v>
      </c>
      <c r="J2119" s="2" t="s">
        <v>1362</v>
      </c>
      <c r="K2119" s="10">
        <v>115312</v>
      </c>
      <c r="L2119" s="10">
        <v>15550</v>
      </c>
      <c r="M2119" s="10">
        <v>99762</v>
      </c>
      <c r="N2119" s="10">
        <v>19372</v>
      </c>
      <c r="O2119" s="10">
        <f>Table1[[#This Row],[NET Amount]]-Table1[[#This Row],[Paid Amount]]</f>
        <v>80390</v>
      </c>
      <c r="P2119" s="2" t="s">
        <v>23</v>
      </c>
      <c r="Q2119" s="2" t="s">
        <v>42</v>
      </c>
      <c r="R2119" s="16">
        <f>(Table1[[#This Row],[NET Amount]]-Table1[[#This Row],[Total Outstanding Amount]])/Table1[[#This Row],[NET Amount]]</f>
        <v>0.19418215352539042</v>
      </c>
      <c r="S2119" s="2" t="s">
        <v>95</v>
      </c>
    </row>
    <row r="2120" spans="1:19" x14ac:dyDescent="0.3">
      <c r="A2120" s="4">
        <v>2118</v>
      </c>
      <c r="B2120" s="2" t="s">
        <v>25</v>
      </c>
      <c r="C2120" s="3">
        <v>44846</v>
      </c>
      <c r="D2120" s="3" t="str">
        <f>TEXT(Table1[[#This Row],[Admission Date]],"MMMM")</f>
        <v>October</v>
      </c>
      <c r="E2120" s="3">
        <v>44848</v>
      </c>
      <c r="F2120" s="3">
        <v>44848</v>
      </c>
      <c r="G2120" s="2">
        <v>22027010</v>
      </c>
      <c r="H2120" s="2">
        <v>2235659</v>
      </c>
      <c r="I2120" s="2">
        <v>10013336168</v>
      </c>
      <c r="J2120" s="2" t="s">
        <v>321</v>
      </c>
      <c r="K2120" s="10">
        <v>69507</v>
      </c>
      <c r="L2120" s="10">
        <v>9492</v>
      </c>
      <c r="M2120" s="10">
        <v>60014</v>
      </c>
      <c r="N2120" s="10">
        <v>60014</v>
      </c>
      <c r="O2120" s="10">
        <f>Table1[[#This Row],[NET Amount]]-Table1[[#This Row],[Paid Amount]]</f>
        <v>0</v>
      </c>
      <c r="P2120" s="2" t="s">
        <v>18</v>
      </c>
      <c r="Q2120" s="2" t="s">
        <v>24</v>
      </c>
      <c r="R2120" s="16">
        <f>(Table1[[#This Row],[NET Amount]]-Table1[[#This Row],[Total Outstanding Amount]])/Table1[[#This Row],[NET Amount]]</f>
        <v>1</v>
      </c>
      <c r="S2120" s="2" t="s">
        <v>27</v>
      </c>
    </row>
    <row r="2121" spans="1:19" x14ac:dyDescent="0.3">
      <c r="A2121" s="4">
        <v>2119</v>
      </c>
      <c r="B2121" s="2" t="s">
        <v>149</v>
      </c>
      <c r="C2121" s="3">
        <v>44847</v>
      </c>
      <c r="D2121" s="3" t="str">
        <f>TEXT(Table1[[#This Row],[Admission Date]],"MMMM")</f>
        <v>October</v>
      </c>
      <c r="E2121" s="3">
        <v>44854</v>
      </c>
      <c r="F2121" s="3">
        <v>44854</v>
      </c>
      <c r="G2121" s="2">
        <v>22027858</v>
      </c>
      <c r="H2121" s="2">
        <v>2235860</v>
      </c>
      <c r="I2121" s="2">
        <v>1001119664</v>
      </c>
      <c r="J2121" s="2" t="s">
        <v>150</v>
      </c>
      <c r="K2121" s="10">
        <v>165763</v>
      </c>
      <c r="L2121" s="10">
        <v>0</v>
      </c>
      <c r="M2121" s="10">
        <v>165763</v>
      </c>
      <c r="N2121" s="10">
        <v>0</v>
      </c>
      <c r="O2121" s="10">
        <f>Table1[[#This Row],[NET Amount]]-Table1[[#This Row],[Paid Amount]]</f>
        <v>165763</v>
      </c>
      <c r="P2121" s="2" t="s">
        <v>23</v>
      </c>
      <c r="Q2121" s="2" t="s">
        <v>24</v>
      </c>
      <c r="R2121" s="16">
        <f>(Table1[[#This Row],[NET Amount]]-Table1[[#This Row],[Total Outstanding Amount]])/Table1[[#This Row],[NET Amount]]</f>
        <v>0</v>
      </c>
      <c r="S2121" s="2" t="s">
        <v>43</v>
      </c>
    </row>
    <row r="2122" spans="1:19" x14ac:dyDescent="0.3">
      <c r="A2122" s="4">
        <v>2120</v>
      </c>
      <c r="B2122" s="2" t="s">
        <v>149</v>
      </c>
      <c r="C2122" s="3">
        <v>44848</v>
      </c>
      <c r="D2122" s="3" t="str">
        <f>TEXT(Table1[[#This Row],[Admission Date]],"MMMM")</f>
        <v>October</v>
      </c>
      <c r="E2122" s="3">
        <v>44851</v>
      </c>
      <c r="F2122" s="3">
        <v>44851</v>
      </c>
      <c r="G2122" s="2">
        <v>22027420</v>
      </c>
      <c r="H2122" s="2">
        <v>2236050</v>
      </c>
      <c r="I2122" s="2">
        <v>10013417785</v>
      </c>
      <c r="J2122" s="2" t="s">
        <v>755</v>
      </c>
      <c r="K2122" s="10">
        <v>179391</v>
      </c>
      <c r="L2122" s="10">
        <v>0</v>
      </c>
      <c r="M2122" s="10">
        <v>179391</v>
      </c>
      <c r="N2122" s="10">
        <v>0</v>
      </c>
      <c r="O2122" s="10">
        <f>Table1[[#This Row],[NET Amount]]-Table1[[#This Row],[Paid Amount]]</f>
        <v>179391</v>
      </c>
      <c r="P2122" s="2" t="s">
        <v>23</v>
      </c>
      <c r="Q2122" s="2" t="s">
        <v>30</v>
      </c>
      <c r="R2122" s="16">
        <f>(Table1[[#This Row],[NET Amount]]-Table1[[#This Row],[Total Outstanding Amount]])/Table1[[#This Row],[NET Amount]]</f>
        <v>0</v>
      </c>
      <c r="S2122" s="2" t="s">
        <v>201</v>
      </c>
    </row>
    <row r="2123" spans="1:19" x14ac:dyDescent="0.3">
      <c r="A2123" s="4">
        <v>2121</v>
      </c>
      <c r="B2123" s="2" t="s">
        <v>25</v>
      </c>
      <c r="C2123" s="3">
        <v>44841</v>
      </c>
      <c r="D2123" s="3" t="str">
        <f>TEXT(Table1[[#This Row],[Admission Date]],"MMMM")</f>
        <v>October</v>
      </c>
      <c r="E2123" s="3">
        <v>44842</v>
      </c>
      <c r="F2123" s="3">
        <v>44842</v>
      </c>
      <c r="G2123" s="2">
        <v>22026118</v>
      </c>
      <c r="H2123" s="2">
        <v>2235043</v>
      </c>
      <c r="I2123" s="2">
        <v>10013540512</v>
      </c>
      <c r="J2123" s="2" t="s">
        <v>868</v>
      </c>
      <c r="K2123" s="10">
        <v>85612</v>
      </c>
      <c r="L2123" s="10">
        <v>25612</v>
      </c>
      <c r="M2123" s="10">
        <v>60000</v>
      </c>
      <c r="N2123" s="10">
        <v>60000</v>
      </c>
      <c r="O2123" s="10">
        <f>Table1[[#This Row],[NET Amount]]-Table1[[#This Row],[Paid Amount]]</f>
        <v>0</v>
      </c>
      <c r="P2123" s="2" t="s">
        <v>18</v>
      </c>
      <c r="Q2123" s="2" t="s">
        <v>69</v>
      </c>
      <c r="R2123" s="16">
        <f>(Table1[[#This Row],[NET Amount]]-Table1[[#This Row],[Total Outstanding Amount]])/Table1[[#This Row],[NET Amount]]</f>
        <v>1</v>
      </c>
      <c r="S2123" s="2" t="s">
        <v>43</v>
      </c>
    </row>
    <row r="2124" spans="1:19" x14ac:dyDescent="0.3">
      <c r="A2124" s="4">
        <v>2122</v>
      </c>
      <c r="B2124" s="2" t="s">
        <v>25</v>
      </c>
      <c r="C2124" s="3">
        <v>44859</v>
      </c>
      <c r="D2124" s="3" t="str">
        <f>TEXT(Table1[[#This Row],[Admission Date]],"MMMM")</f>
        <v>October</v>
      </c>
      <c r="E2124" s="3">
        <v>44862</v>
      </c>
      <c r="F2124" s="3">
        <v>44862</v>
      </c>
      <c r="G2124" s="2">
        <v>22028901</v>
      </c>
      <c r="H2124" s="2">
        <v>2237290</v>
      </c>
      <c r="I2124" s="2">
        <v>10013544345</v>
      </c>
      <c r="J2124" s="2" t="s">
        <v>1363</v>
      </c>
      <c r="K2124" s="10">
        <v>152394</v>
      </c>
      <c r="L2124" s="10">
        <v>17908</v>
      </c>
      <c r="M2124" s="10">
        <v>134486</v>
      </c>
      <c r="N2124" s="10">
        <v>134486</v>
      </c>
      <c r="O2124" s="10">
        <f>Table1[[#This Row],[NET Amount]]-Table1[[#This Row],[Paid Amount]]</f>
        <v>0</v>
      </c>
      <c r="P2124" s="2" t="s">
        <v>18</v>
      </c>
      <c r="Q2124" s="2" t="s">
        <v>24</v>
      </c>
      <c r="R2124" s="16">
        <f>(Table1[[#This Row],[NET Amount]]-Table1[[#This Row],[Total Outstanding Amount]])/Table1[[#This Row],[NET Amount]]</f>
        <v>1</v>
      </c>
      <c r="S2124" s="2" t="s">
        <v>65</v>
      </c>
    </row>
    <row r="2125" spans="1:19" x14ac:dyDescent="0.3">
      <c r="A2125" s="4">
        <v>2123</v>
      </c>
      <c r="B2125" s="2" t="s">
        <v>152</v>
      </c>
      <c r="C2125" s="3">
        <v>44859</v>
      </c>
      <c r="D2125" s="3" t="str">
        <f>TEXT(Table1[[#This Row],[Admission Date]],"MMMM")</f>
        <v>October</v>
      </c>
      <c r="E2125" s="3">
        <v>44861</v>
      </c>
      <c r="F2125" s="3">
        <v>44861</v>
      </c>
      <c r="G2125" s="2">
        <v>22028768</v>
      </c>
      <c r="H2125" s="2">
        <v>2237317</v>
      </c>
      <c r="I2125" s="2">
        <v>1001806091</v>
      </c>
      <c r="J2125" s="2" t="s">
        <v>1364</v>
      </c>
      <c r="K2125" s="10">
        <v>4665</v>
      </c>
      <c r="L2125" s="10">
        <v>0</v>
      </c>
      <c r="M2125" s="10">
        <v>4665</v>
      </c>
      <c r="N2125" s="10">
        <v>4665</v>
      </c>
      <c r="O2125" s="10">
        <f>Table1[[#This Row],[NET Amount]]-Table1[[#This Row],[Paid Amount]]</f>
        <v>0</v>
      </c>
      <c r="P2125" s="2" t="s">
        <v>18</v>
      </c>
      <c r="Q2125" s="2" t="s">
        <v>19</v>
      </c>
      <c r="R2125" s="16">
        <f>(Table1[[#This Row],[NET Amount]]-Table1[[#This Row],[Total Outstanding Amount]])/Table1[[#This Row],[NET Amount]]</f>
        <v>1</v>
      </c>
      <c r="S2125" s="2" t="s">
        <v>37</v>
      </c>
    </row>
    <row r="2126" spans="1:19" x14ac:dyDescent="0.3">
      <c r="A2126" s="4">
        <v>2124</v>
      </c>
      <c r="B2126" s="2" t="s">
        <v>152</v>
      </c>
      <c r="C2126" s="3">
        <v>44859</v>
      </c>
      <c r="D2126" s="3" t="str">
        <f>TEXT(Table1[[#This Row],[Admission Date]],"MMMM")</f>
        <v>October</v>
      </c>
      <c r="E2126" s="3">
        <v>44861</v>
      </c>
      <c r="F2126" s="3">
        <v>44861</v>
      </c>
      <c r="G2126" s="2">
        <v>22028759</v>
      </c>
      <c r="H2126" s="2">
        <v>2237323</v>
      </c>
      <c r="I2126" s="2">
        <v>1001806094</v>
      </c>
      <c r="J2126" s="2" t="s">
        <v>1365</v>
      </c>
      <c r="K2126" s="10">
        <v>5512</v>
      </c>
      <c r="L2126" s="10">
        <v>0</v>
      </c>
      <c r="M2126" s="10">
        <v>5512</v>
      </c>
      <c r="N2126" s="10">
        <v>5512</v>
      </c>
      <c r="O2126" s="10">
        <f>Table1[[#This Row],[NET Amount]]-Table1[[#This Row],[Paid Amount]]</f>
        <v>0</v>
      </c>
      <c r="P2126" s="2" t="s">
        <v>18</v>
      </c>
      <c r="Q2126" s="2" t="s">
        <v>19</v>
      </c>
      <c r="R2126" s="16">
        <f>(Table1[[#This Row],[NET Amount]]-Table1[[#This Row],[Total Outstanding Amount]])/Table1[[#This Row],[NET Amount]]</f>
        <v>1</v>
      </c>
      <c r="S2126" s="2" t="s">
        <v>37</v>
      </c>
    </row>
    <row r="2127" spans="1:19" x14ac:dyDescent="0.3">
      <c r="A2127" s="4">
        <v>2125</v>
      </c>
      <c r="B2127" s="2" t="s">
        <v>25</v>
      </c>
      <c r="C2127" s="3">
        <v>44855</v>
      </c>
      <c r="D2127" s="3" t="str">
        <f>TEXT(Table1[[#This Row],[Admission Date]],"MMMM")</f>
        <v>October</v>
      </c>
      <c r="E2127" s="3">
        <v>44855</v>
      </c>
      <c r="F2127" s="3">
        <v>44855</v>
      </c>
      <c r="G2127" s="2">
        <v>22028103</v>
      </c>
      <c r="H2127" s="2">
        <v>2236956</v>
      </c>
      <c r="I2127" s="2">
        <v>1001202559</v>
      </c>
      <c r="J2127" s="2" t="s">
        <v>974</v>
      </c>
      <c r="K2127" s="10">
        <v>3590</v>
      </c>
      <c r="L2127" s="10">
        <v>619</v>
      </c>
      <c r="M2127" s="10">
        <v>2971</v>
      </c>
      <c r="N2127" s="10">
        <v>2971</v>
      </c>
      <c r="O2127" s="10">
        <f>Table1[[#This Row],[NET Amount]]-Table1[[#This Row],[Paid Amount]]</f>
        <v>0</v>
      </c>
      <c r="P2127" s="2" t="s">
        <v>18</v>
      </c>
      <c r="Q2127" s="2" t="s">
        <v>54</v>
      </c>
      <c r="R2127" s="16">
        <f>(Table1[[#This Row],[NET Amount]]-Table1[[#This Row],[Total Outstanding Amount]])/Table1[[#This Row],[NET Amount]]</f>
        <v>1</v>
      </c>
      <c r="S2127" s="2" t="s">
        <v>97</v>
      </c>
    </row>
    <row r="2128" spans="1:19" x14ac:dyDescent="0.3">
      <c r="A2128" s="4">
        <v>2126</v>
      </c>
      <c r="B2128" s="2" t="s">
        <v>25</v>
      </c>
      <c r="C2128" s="3">
        <v>44855</v>
      </c>
      <c r="D2128" s="3" t="str">
        <f>TEXT(Table1[[#This Row],[Admission Date]],"MMMM")</f>
        <v>October</v>
      </c>
      <c r="E2128" s="3">
        <v>44855</v>
      </c>
      <c r="F2128" s="3">
        <v>44855</v>
      </c>
      <c r="G2128" s="2">
        <v>22028109</v>
      </c>
      <c r="H2128" s="2">
        <v>2236969</v>
      </c>
      <c r="I2128" s="2">
        <v>1001327108</v>
      </c>
      <c r="J2128" s="2" t="s">
        <v>321</v>
      </c>
      <c r="K2128" s="10">
        <v>2794</v>
      </c>
      <c r="L2128" s="10">
        <v>2794</v>
      </c>
      <c r="M2128" s="10">
        <v>0</v>
      </c>
      <c r="N2128" s="10">
        <v>0</v>
      </c>
      <c r="O2128" s="10">
        <f>Table1[[#This Row],[NET Amount]]-Table1[[#This Row],[Paid Amount]]</f>
        <v>0</v>
      </c>
      <c r="P2128" s="2" t="s">
        <v>18</v>
      </c>
      <c r="Q2128" s="2" t="s">
        <v>90</v>
      </c>
      <c r="R2128" s="16" t="e">
        <f>(Table1[[#This Row],[NET Amount]]-Table1[[#This Row],[Total Outstanding Amount]])/Table1[[#This Row],[NET Amount]]</f>
        <v>#DIV/0!</v>
      </c>
      <c r="S2128" s="2" t="s">
        <v>97</v>
      </c>
    </row>
    <row r="2129" spans="1:19" x14ac:dyDescent="0.3">
      <c r="A2129" s="4">
        <v>2127</v>
      </c>
      <c r="B2129" s="2" t="s">
        <v>45</v>
      </c>
      <c r="C2129" s="3">
        <v>44848</v>
      </c>
      <c r="D2129" s="3" t="str">
        <f>TEXT(Table1[[#This Row],[Admission Date]],"MMMM")</f>
        <v>October</v>
      </c>
      <c r="E2129" s="3">
        <v>44850</v>
      </c>
      <c r="F2129" s="3">
        <v>44850</v>
      </c>
      <c r="G2129" s="2">
        <v>22027343</v>
      </c>
      <c r="H2129" s="2">
        <v>2235941</v>
      </c>
      <c r="I2129" s="2">
        <v>10013542137</v>
      </c>
      <c r="J2129" s="2" t="s">
        <v>1366</v>
      </c>
      <c r="K2129" s="10">
        <v>84339</v>
      </c>
      <c r="L2129" s="10">
        <v>0</v>
      </c>
      <c r="M2129" s="10">
        <v>84339</v>
      </c>
      <c r="N2129" s="10">
        <v>20589</v>
      </c>
      <c r="O2129" s="10">
        <f>Table1[[#This Row],[NET Amount]]-Table1[[#This Row],[Paid Amount]]</f>
        <v>63750</v>
      </c>
      <c r="P2129" s="2" t="s">
        <v>23</v>
      </c>
      <c r="Q2129" s="2" t="s">
        <v>52</v>
      </c>
      <c r="R2129" s="16">
        <f>(Table1[[#This Row],[NET Amount]]-Table1[[#This Row],[Total Outstanding Amount]])/Table1[[#This Row],[NET Amount]]</f>
        <v>0.24412193647067193</v>
      </c>
      <c r="S2129" s="2" t="s">
        <v>77</v>
      </c>
    </row>
    <row r="2130" spans="1:19" x14ac:dyDescent="0.3">
      <c r="A2130" s="4">
        <v>2128</v>
      </c>
      <c r="B2130" s="2" t="s">
        <v>126</v>
      </c>
      <c r="C2130" s="3">
        <v>44842</v>
      </c>
      <c r="D2130" s="3" t="str">
        <f>TEXT(Table1[[#This Row],[Admission Date]],"MMMM")</f>
        <v>October</v>
      </c>
      <c r="E2130" s="3">
        <v>44850</v>
      </c>
      <c r="F2130" s="3">
        <v>44850</v>
      </c>
      <c r="G2130" s="2">
        <v>22027335</v>
      </c>
      <c r="H2130" s="2">
        <v>2235165</v>
      </c>
      <c r="I2130" s="2">
        <v>10013542013</v>
      </c>
      <c r="J2130" s="2" t="s">
        <v>1367</v>
      </c>
      <c r="K2130" s="10">
        <v>941009</v>
      </c>
      <c r="L2130" s="10">
        <v>0</v>
      </c>
      <c r="M2130" s="10">
        <v>941009</v>
      </c>
      <c r="N2130" s="10">
        <v>525424</v>
      </c>
      <c r="O2130" s="10">
        <f>Table1[[#This Row],[NET Amount]]-Table1[[#This Row],[Paid Amount]]</f>
        <v>415585</v>
      </c>
      <c r="P2130" s="2" t="s">
        <v>23</v>
      </c>
      <c r="Q2130" s="2" t="s">
        <v>24</v>
      </c>
      <c r="R2130" s="16">
        <f>(Table1[[#This Row],[NET Amount]]-Table1[[#This Row],[Total Outstanding Amount]])/Table1[[#This Row],[NET Amount]]</f>
        <v>0.55836235360129394</v>
      </c>
      <c r="S2130" s="2" t="s">
        <v>39</v>
      </c>
    </row>
    <row r="2131" spans="1:19" x14ac:dyDescent="0.3">
      <c r="A2131" s="4">
        <v>2129</v>
      </c>
      <c r="B2131" s="2" t="s">
        <v>25</v>
      </c>
      <c r="C2131" s="3">
        <v>44838</v>
      </c>
      <c r="D2131" s="3" t="str">
        <f>TEXT(Table1[[#This Row],[Admission Date]],"MMMM")</f>
        <v>October</v>
      </c>
      <c r="E2131" s="3">
        <v>44852</v>
      </c>
      <c r="F2131" s="3">
        <v>44852</v>
      </c>
      <c r="G2131" s="2">
        <v>22027515</v>
      </c>
      <c r="H2131" s="2">
        <v>2234655</v>
      </c>
      <c r="I2131" s="2">
        <v>10013535695</v>
      </c>
      <c r="J2131" s="2" t="s">
        <v>1368</v>
      </c>
      <c r="K2131" s="10">
        <v>653925</v>
      </c>
      <c r="L2131" s="10">
        <v>653925</v>
      </c>
      <c r="M2131" s="10">
        <v>0</v>
      </c>
      <c r="N2131" s="10">
        <v>0</v>
      </c>
      <c r="O2131" s="10">
        <f>Table1[[#This Row],[NET Amount]]-Table1[[#This Row],[Paid Amount]]</f>
        <v>0</v>
      </c>
      <c r="P2131" s="2" t="s">
        <v>18</v>
      </c>
      <c r="Q2131" s="2" t="s">
        <v>90</v>
      </c>
      <c r="R2131" s="16" t="e">
        <f>(Table1[[#This Row],[NET Amount]]-Table1[[#This Row],[Total Outstanding Amount]])/Table1[[#This Row],[NET Amount]]</f>
        <v>#DIV/0!</v>
      </c>
      <c r="S2131" s="2" t="s">
        <v>20</v>
      </c>
    </row>
    <row r="2132" spans="1:19" x14ac:dyDescent="0.3">
      <c r="A2132" s="4">
        <v>2130</v>
      </c>
      <c r="B2132" s="2" t="s">
        <v>25</v>
      </c>
      <c r="C2132" s="3">
        <v>44852</v>
      </c>
      <c r="D2132" s="3" t="str">
        <f>TEXT(Table1[[#This Row],[Admission Date]],"MMMM")</f>
        <v>October</v>
      </c>
      <c r="E2132" s="3">
        <v>44854</v>
      </c>
      <c r="F2132" s="3">
        <v>44854</v>
      </c>
      <c r="G2132" s="2">
        <v>22027861</v>
      </c>
      <c r="H2132" s="2">
        <v>2236487</v>
      </c>
      <c r="I2132" s="2">
        <v>1001805053</v>
      </c>
      <c r="J2132" s="2" t="s">
        <v>1369</v>
      </c>
      <c r="K2132" s="10">
        <v>15980</v>
      </c>
      <c r="L2132" s="10">
        <v>2032</v>
      </c>
      <c r="M2132" s="10">
        <v>13948</v>
      </c>
      <c r="N2132" s="10">
        <v>13948</v>
      </c>
      <c r="O2132" s="10">
        <f>Table1[[#This Row],[NET Amount]]-Table1[[#This Row],[Paid Amount]]</f>
        <v>0</v>
      </c>
      <c r="P2132" s="2" t="s">
        <v>18</v>
      </c>
      <c r="Q2132" s="2" t="s">
        <v>30</v>
      </c>
      <c r="R2132" s="16">
        <f>(Table1[[#This Row],[NET Amount]]-Table1[[#This Row],[Total Outstanding Amount]])/Table1[[#This Row],[NET Amount]]</f>
        <v>1</v>
      </c>
      <c r="S2132" s="2" t="s">
        <v>37</v>
      </c>
    </row>
    <row r="2133" spans="1:19" x14ac:dyDescent="0.3">
      <c r="A2133" s="4">
        <v>2131</v>
      </c>
      <c r="B2133" s="2" t="s">
        <v>25</v>
      </c>
      <c r="C2133" s="3">
        <v>44837</v>
      </c>
      <c r="D2133" s="3" t="str">
        <f>TEXT(Table1[[#This Row],[Admission Date]],"MMMM")</f>
        <v>October</v>
      </c>
      <c r="E2133" s="3">
        <v>44839</v>
      </c>
      <c r="F2133" s="3">
        <v>44839</v>
      </c>
      <c r="G2133" s="2">
        <v>22025683</v>
      </c>
      <c r="H2133" s="2">
        <v>2234382</v>
      </c>
      <c r="I2133" s="2">
        <v>10013514662</v>
      </c>
      <c r="J2133" s="2" t="s">
        <v>1370</v>
      </c>
      <c r="K2133" s="10">
        <v>96542</v>
      </c>
      <c r="L2133" s="10">
        <v>11617</v>
      </c>
      <c r="M2133" s="10">
        <v>84925</v>
      </c>
      <c r="N2133" s="10">
        <v>84925</v>
      </c>
      <c r="O2133" s="10">
        <f>Table1[[#This Row],[NET Amount]]-Table1[[#This Row],[Paid Amount]]</f>
        <v>0</v>
      </c>
      <c r="P2133" s="2" t="s">
        <v>18</v>
      </c>
      <c r="Q2133" s="2" t="s">
        <v>30</v>
      </c>
      <c r="R2133" s="16">
        <f>(Table1[[#This Row],[NET Amount]]-Table1[[#This Row],[Total Outstanding Amount]])/Table1[[#This Row],[NET Amount]]</f>
        <v>1</v>
      </c>
      <c r="S2133" s="2" t="s">
        <v>27</v>
      </c>
    </row>
    <row r="2134" spans="1:19" x14ac:dyDescent="0.3">
      <c r="A2134" s="4">
        <v>2132</v>
      </c>
      <c r="B2134" s="2" t="s">
        <v>80</v>
      </c>
      <c r="C2134" s="3">
        <v>44846</v>
      </c>
      <c r="D2134" s="3" t="str">
        <f>TEXT(Table1[[#This Row],[Admission Date]],"MMMM")</f>
        <v>October</v>
      </c>
      <c r="E2134" s="3">
        <v>44848</v>
      </c>
      <c r="F2134" s="3">
        <v>44848</v>
      </c>
      <c r="G2134" s="2">
        <v>22027017</v>
      </c>
      <c r="H2134" s="2">
        <v>2235699</v>
      </c>
      <c r="I2134" s="2">
        <v>10013542704</v>
      </c>
      <c r="J2134" s="2" t="s">
        <v>1371</v>
      </c>
      <c r="K2134" s="10">
        <v>43275</v>
      </c>
      <c r="L2134" s="10">
        <v>4019</v>
      </c>
      <c r="M2134" s="10">
        <v>39256</v>
      </c>
      <c r="N2134" s="10">
        <v>6435</v>
      </c>
      <c r="O2134" s="10">
        <f>Table1[[#This Row],[NET Amount]]-Table1[[#This Row],[Paid Amount]]</f>
        <v>32821</v>
      </c>
      <c r="P2134" s="2" t="s">
        <v>23</v>
      </c>
      <c r="Q2134" s="2" t="s">
        <v>30</v>
      </c>
      <c r="R2134" s="16">
        <f>(Table1[[#This Row],[NET Amount]]-Table1[[#This Row],[Total Outstanding Amount]])/Table1[[#This Row],[NET Amount]]</f>
        <v>0.16392398614224576</v>
      </c>
      <c r="S2134" s="2" t="s">
        <v>20</v>
      </c>
    </row>
    <row r="2135" spans="1:19" x14ac:dyDescent="0.3">
      <c r="A2135" s="4">
        <v>2133</v>
      </c>
      <c r="B2135" s="2" t="s">
        <v>72</v>
      </c>
      <c r="C2135" s="3">
        <v>44852</v>
      </c>
      <c r="D2135" s="3" t="str">
        <f>TEXT(Table1[[#This Row],[Admission Date]],"MMMM")</f>
        <v>October</v>
      </c>
      <c r="E2135" s="3">
        <v>44854</v>
      </c>
      <c r="F2135" s="3">
        <v>44854</v>
      </c>
      <c r="G2135" s="2">
        <v>22027864</v>
      </c>
      <c r="H2135" s="2">
        <v>2236490</v>
      </c>
      <c r="I2135" s="2">
        <v>10013439361</v>
      </c>
      <c r="J2135" s="2" t="s">
        <v>1372</v>
      </c>
      <c r="K2135" s="10">
        <v>77021</v>
      </c>
      <c r="L2135" s="10">
        <v>10017</v>
      </c>
      <c r="M2135" s="10">
        <v>67004</v>
      </c>
      <c r="N2135" s="10">
        <v>12295</v>
      </c>
      <c r="O2135" s="10">
        <f>Table1[[#This Row],[NET Amount]]-Table1[[#This Row],[Paid Amount]]</f>
        <v>54709</v>
      </c>
      <c r="P2135" s="2" t="s">
        <v>23</v>
      </c>
      <c r="Q2135" s="2" t="s">
        <v>47</v>
      </c>
      <c r="R2135" s="16">
        <f>(Table1[[#This Row],[NET Amount]]-Table1[[#This Row],[Total Outstanding Amount]])/Table1[[#This Row],[NET Amount]]</f>
        <v>0.18349650767118381</v>
      </c>
      <c r="S2135" s="2" t="s">
        <v>39</v>
      </c>
    </row>
    <row r="2136" spans="1:19" x14ac:dyDescent="0.3">
      <c r="A2136" s="4">
        <v>2134</v>
      </c>
      <c r="B2136" s="2" t="s">
        <v>50</v>
      </c>
      <c r="C2136" s="3">
        <v>44846</v>
      </c>
      <c r="D2136" s="3" t="str">
        <f>TEXT(Table1[[#This Row],[Admission Date]],"MMMM")</f>
        <v>October</v>
      </c>
      <c r="E2136" s="3">
        <v>44849</v>
      </c>
      <c r="F2136" s="3">
        <v>44849</v>
      </c>
      <c r="G2136" s="2">
        <v>22027179</v>
      </c>
      <c r="H2136" s="2">
        <v>2235692</v>
      </c>
      <c r="I2136" s="2">
        <v>1001803951</v>
      </c>
      <c r="J2136" s="2" t="s">
        <v>218</v>
      </c>
      <c r="K2136" s="10">
        <v>33441</v>
      </c>
      <c r="L2136" s="10">
        <v>0</v>
      </c>
      <c r="M2136" s="10">
        <v>33441</v>
      </c>
      <c r="N2136" s="10">
        <v>33441</v>
      </c>
      <c r="O2136" s="10">
        <f>Table1[[#This Row],[NET Amount]]-Table1[[#This Row],[Paid Amount]]</f>
        <v>0</v>
      </c>
      <c r="P2136" s="2" t="s">
        <v>18</v>
      </c>
      <c r="Q2136" s="2" t="s">
        <v>30</v>
      </c>
      <c r="R2136" s="16">
        <f>(Table1[[#This Row],[NET Amount]]-Table1[[#This Row],[Total Outstanding Amount]])/Table1[[#This Row],[NET Amount]]</f>
        <v>1</v>
      </c>
      <c r="S2136" s="2" t="s">
        <v>37</v>
      </c>
    </row>
    <row r="2137" spans="1:19" x14ac:dyDescent="0.3">
      <c r="A2137" s="4">
        <v>2135</v>
      </c>
      <c r="B2137" s="2" t="s">
        <v>25</v>
      </c>
      <c r="C2137" s="3">
        <v>44851</v>
      </c>
      <c r="D2137" s="3" t="str">
        <f>TEXT(Table1[[#This Row],[Admission Date]],"MMMM")</f>
        <v>October</v>
      </c>
      <c r="E2137" s="3">
        <v>44854</v>
      </c>
      <c r="F2137" s="3">
        <v>44854</v>
      </c>
      <c r="G2137" s="2">
        <v>22027921</v>
      </c>
      <c r="H2137" s="2">
        <v>2236321</v>
      </c>
      <c r="I2137" s="2">
        <v>1001203841</v>
      </c>
      <c r="J2137" s="2" t="s">
        <v>1373</v>
      </c>
      <c r="K2137" s="10">
        <v>102635</v>
      </c>
      <c r="L2137" s="10">
        <v>22828</v>
      </c>
      <c r="M2137" s="10">
        <v>79807</v>
      </c>
      <c r="N2137" s="10">
        <v>79807</v>
      </c>
      <c r="O2137" s="10">
        <f>Table1[[#This Row],[NET Amount]]-Table1[[#This Row],[Paid Amount]]</f>
        <v>0</v>
      </c>
      <c r="P2137" s="2" t="s">
        <v>18</v>
      </c>
      <c r="Q2137" s="2" t="s">
        <v>24</v>
      </c>
      <c r="R2137" s="16">
        <f>(Table1[[#This Row],[NET Amount]]-Table1[[#This Row],[Total Outstanding Amount]])/Table1[[#This Row],[NET Amount]]</f>
        <v>1</v>
      </c>
      <c r="S2137" s="2" t="s">
        <v>20</v>
      </c>
    </row>
    <row r="2138" spans="1:19" x14ac:dyDescent="0.3">
      <c r="A2138" s="4">
        <v>2136</v>
      </c>
      <c r="B2138" s="2" t="s">
        <v>206</v>
      </c>
      <c r="C2138" s="3">
        <v>44853</v>
      </c>
      <c r="D2138" s="3" t="str">
        <f>TEXT(Table1[[#This Row],[Admission Date]],"MMMM")</f>
        <v>October</v>
      </c>
      <c r="E2138" s="3">
        <v>44858</v>
      </c>
      <c r="F2138" s="3">
        <v>44858</v>
      </c>
      <c r="G2138" s="2">
        <v>22028425</v>
      </c>
      <c r="H2138" s="2">
        <v>2236711</v>
      </c>
      <c r="I2138" s="2">
        <v>10013543797</v>
      </c>
      <c r="J2138" s="2" t="s">
        <v>1374</v>
      </c>
      <c r="K2138" s="10">
        <v>125046</v>
      </c>
      <c r="L2138" s="10">
        <v>10834</v>
      </c>
      <c r="M2138" s="10">
        <v>114212</v>
      </c>
      <c r="N2138" s="10">
        <v>4728</v>
      </c>
      <c r="O2138" s="10">
        <f>Table1[[#This Row],[NET Amount]]-Table1[[#This Row],[Paid Amount]]</f>
        <v>109484</v>
      </c>
      <c r="P2138" s="2" t="s">
        <v>23</v>
      </c>
      <c r="Q2138" s="2" t="s">
        <v>19</v>
      </c>
      <c r="R2138" s="16">
        <f>(Table1[[#This Row],[NET Amount]]-Table1[[#This Row],[Total Outstanding Amount]])/Table1[[#This Row],[NET Amount]]</f>
        <v>4.1396700872062479E-2</v>
      </c>
      <c r="S2138" s="2" t="s">
        <v>20</v>
      </c>
    </row>
    <row r="2139" spans="1:19" x14ac:dyDescent="0.3">
      <c r="A2139" s="4">
        <v>2137</v>
      </c>
      <c r="B2139" s="2" t="s">
        <v>28</v>
      </c>
      <c r="C2139" s="3">
        <v>44844</v>
      </c>
      <c r="D2139" s="3" t="str">
        <f>TEXT(Table1[[#This Row],[Admission Date]],"MMMM")</f>
        <v>October</v>
      </c>
      <c r="E2139" s="3">
        <v>44845</v>
      </c>
      <c r="F2139" s="3">
        <v>44845</v>
      </c>
      <c r="G2139" s="2">
        <v>22026581</v>
      </c>
      <c r="H2139" s="2">
        <v>2235357</v>
      </c>
      <c r="I2139" s="2">
        <v>1001803530</v>
      </c>
      <c r="J2139" s="2" t="s">
        <v>1375</v>
      </c>
      <c r="K2139" s="10">
        <v>233624</v>
      </c>
      <c r="L2139" s="10">
        <v>0</v>
      </c>
      <c r="M2139" s="10">
        <v>233624</v>
      </c>
      <c r="N2139" s="10">
        <v>1500</v>
      </c>
      <c r="O2139" s="10">
        <f>Table1[[#This Row],[NET Amount]]-Table1[[#This Row],[Paid Amount]]</f>
        <v>232124</v>
      </c>
      <c r="P2139" s="2" t="s">
        <v>23</v>
      </c>
      <c r="Q2139" s="2" t="s">
        <v>47</v>
      </c>
      <c r="R2139" s="16">
        <f>(Table1[[#This Row],[NET Amount]]-Table1[[#This Row],[Total Outstanding Amount]])/Table1[[#This Row],[NET Amount]]</f>
        <v>6.4205732287778653E-3</v>
      </c>
      <c r="S2139" s="2" t="s">
        <v>39</v>
      </c>
    </row>
    <row r="2140" spans="1:19" x14ac:dyDescent="0.3">
      <c r="A2140" s="4">
        <v>2138</v>
      </c>
      <c r="B2140" s="2" t="s">
        <v>149</v>
      </c>
      <c r="C2140" s="3">
        <v>44854</v>
      </c>
      <c r="D2140" s="3" t="str">
        <f>TEXT(Table1[[#This Row],[Admission Date]],"MMMM")</f>
        <v>October</v>
      </c>
      <c r="E2140" s="3">
        <v>44861</v>
      </c>
      <c r="F2140" s="3">
        <v>44861</v>
      </c>
      <c r="G2140" s="2">
        <v>22028754</v>
      </c>
      <c r="H2140" s="2">
        <v>2236848</v>
      </c>
      <c r="I2140" s="2">
        <v>10013543952</v>
      </c>
      <c r="J2140" s="2" t="s">
        <v>956</v>
      </c>
      <c r="K2140" s="10">
        <v>105297</v>
      </c>
      <c r="L2140" s="10">
        <v>0</v>
      </c>
      <c r="M2140" s="10">
        <v>105297</v>
      </c>
      <c r="N2140" s="10">
        <v>3140</v>
      </c>
      <c r="O2140" s="10">
        <f>Table1[[#This Row],[NET Amount]]-Table1[[#This Row],[Paid Amount]]</f>
        <v>102157</v>
      </c>
      <c r="P2140" s="2" t="s">
        <v>23</v>
      </c>
      <c r="Q2140" s="2" t="s">
        <v>24</v>
      </c>
      <c r="R2140" s="16">
        <f>(Table1[[#This Row],[NET Amount]]-Table1[[#This Row],[Total Outstanding Amount]])/Table1[[#This Row],[NET Amount]]</f>
        <v>2.9820412737304958E-2</v>
      </c>
      <c r="S2140" s="2" t="s">
        <v>20</v>
      </c>
    </row>
    <row r="2141" spans="1:19" x14ac:dyDescent="0.3">
      <c r="A2141" s="4">
        <v>2139</v>
      </c>
      <c r="B2141" s="2" t="s">
        <v>126</v>
      </c>
      <c r="C2141" s="3">
        <v>44855</v>
      </c>
      <c r="D2141" s="3" t="str">
        <f>TEXT(Table1[[#This Row],[Admission Date]],"MMMM")</f>
        <v>October</v>
      </c>
      <c r="E2141" s="3">
        <v>44861</v>
      </c>
      <c r="F2141" s="3">
        <v>44861</v>
      </c>
      <c r="G2141" s="2">
        <v>22028757</v>
      </c>
      <c r="H2141" s="2">
        <v>2236909</v>
      </c>
      <c r="I2141" s="2">
        <v>10013534870</v>
      </c>
      <c r="J2141" s="2" t="s">
        <v>1376</v>
      </c>
      <c r="K2141" s="10">
        <v>57298</v>
      </c>
      <c r="L2141" s="10">
        <v>7739</v>
      </c>
      <c r="M2141" s="10">
        <v>49558</v>
      </c>
      <c r="N2141" s="10">
        <v>3707</v>
      </c>
      <c r="O2141" s="10">
        <f>Table1[[#This Row],[NET Amount]]-Table1[[#This Row],[Paid Amount]]</f>
        <v>45851</v>
      </c>
      <c r="P2141" s="2" t="s">
        <v>23</v>
      </c>
      <c r="Q2141" s="2" t="s">
        <v>24</v>
      </c>
      <c r="R2141" s="16">
        <f>(Table1[[#This Row],[NET Amount]]-Table1[[#This Row],[Total Outstanding Amount]])/Table1[[#This Row],[NET Amount]]</f>
        <v>7.4801242988014049E-2</v>
      </c>
      <c r="S2141" s="2" t="s">
        <v>37</v>
      </c>
    </row>
    <row r="2142" spans="1:19" x14ac:dyDescent="0.3">
      <c r="A2142" s="4">
        <v>2140</v>
      </c>
      <c r="B2142" s="2" t="s">
        <v>25</v>
      </c>
      <c r="C2142" s="3">
        <v>44845</v>
      </c>
      <c r="D2142" s="3" t="str">
        <f>TEXT(Table1[[#This Row],[Admission Date]],"MMMM")</f>
        <v>October</v>
      </c>
      <c r="E2142" s="3">
        <v>44847</v>
      </c>
      <c r="F2142" s="3">
        <v>44847</v>
      </c>
      <c r="G2142" s="2">
        <v>22026888</v>
      </c>
      <c r="H2142" s="2">
        <v>2235481</v>
      </c>
      <c r="I2142" s="2">
        <v>1001790303</v>
      </c>
      <c r="J2142" s="2" t="s">
        <v>1377</v>
      </c>
      <c r="K2142" s="10">
        <v>80275</v>
      </c>
      <c r="L2142" s="10">
        <v>3750</v>
      </c>
      <c r="M2142" s="10">
        <v>76525</v>
      </c>
      <c r="N2142" s="10">
        <v>76525</v>
      </c>
      <c r="O2142" s="10">
        <f>Table1[[#This Row],[NET Amount]]-Table1[[#This Row],[Paid Amount]]</f>
        <v>0</v>
      </c>
      <c r="P2142" s="2" t="s">
        <v>18</v>
      </c>
      <c r="Q2142" s="2" t="s">
        <v>24</v>
      </c>
      <c r="R2142" s="16">
        <f>(Table1[[#This Row],[NET Amount]]-Table1[[#This Row],[Total Outstanding Amount]])/Table1[[#This Row],[NET Amount]]</f>
        <v>1</v>
      </c>
      <c r="S2142" s="2" t="s">
        <v>20</v>
      </c>
    </row>
    <row r="2143" spans="1:19" x14ac:dyDescent="0.3">
      <c r="A2143" s="4">
        <v>2141</v>
      </c>
      <c r="B2143" s="2" t="s">
        <v>50</v>
      </c>
      <c r="C2143" s="3">
        <v>44860</v>
      </c>
      <c r="D2143" s="3" t="str">
        <f>TEXT(Table1[[#This Row],[Admission Date]],"MMMM")</f>
        <v>October</v>
      </c>
      <c r="E2143" s="3">
        <v>44860</v>
      </c>
      <c r="F2143" s="3">
        <v>44860</v>
      </c>
      <c r="G2143" s="2">
        <v>22028598</v>
      </c>
      <c r="H2143" s="2">
        <v>2237453</v>
      </c>
      <c r="I2143" s="2">
        <v>1001105051</v>
      </c>
      <c r="J2143" s="2" t="s">
        <v>275</v>
      </c>
      <c r="K2143" s="10">
        <v>4840</v>
      </c>
      <c r="L2143" s="10">
        <v>0</v>
      </c>
      <c r="M2143" s="10">
        <v>4840</v>
      </c>
      <c r="N2143" s="10">
        <v>242</v>
      </c>
      <c r="O2143" s="10">
        <f>Table1[[#This Row],[NET Amount]]-Table1[[#This Row],[Paid Amount]]</f>
        <v>4598</v>
      </c>
      <c r="P2143" s="2" t="s">
        <v>23</v>
      </c>
      <c r="Q2143" s="2" t="s">
        <v>147</v>
      </c>
      <c r="R2143" s="16">
        <f>(Table1[[#This Row],[NET Amount]]-Table1[[#This Row],[Total Outstanding Amount]])/Table1[[#This Row],[NET Amount]]</f>
        <v>0.05</v>
      </c>
      <c r="S2143" s="2" t="s">
        <v>97</v>
      </c>
    </row>
    <row r="2144" spans="1:19" x14ac:dyDescent="0.3">
      <c r="A2144" s="4">
        <v>2142</v>
      </c>
      <c r="B2144" s="2" t="s">
        <v>25</v>
      </c>
      <c r="C2144" s="3">
        <v>44838</v>
      </c>
      <c r="D2144" s="3" t="str">
        <f>TEXT(Table1[[#This Row],[Admission Date]],"MMMM")</f>
        <v>October</v>
      </c>
      <c r="E2144" s="3">
        <v>44838</v>
      </c>
      <c r="F2144" s="3">
        <v>44838</v>
      </c>
      <c r="G2144" s="2">
        <v>22025579</v>
      </c>
      <c r="H2144" s="2">
        <v>2234527</v>
      </c>
      <c r="I2144" s="2">
        <v>1001454285</v>
      </c>
      <c r="J2144" s="2" t="s">
        <v>1378</v>
      </c>
      <c r="K2144" s="10">
        <v>18098</v>
      </c>
      <c r="L2144" s="10">
        <v>3950</v>
      </c>
      <c r="M2144" s="10">
        <v>14148</v>
      </c>
      <c r="N2144" s="10">
        <v>14148</v>
      </c>
      <c r="O2144" s="10">
        <f>Table1[[#This Row],[NET Amount]]-Table1[[#This Row],[Paid Amount]]</f>
        <v>0</v>
      </c>
      <c r="P2144" s="2" t="s">
        <v>18</v>
      </c>
      <c r="Q2144" s="2" t="s">
        <v>54</v>
      </c>
      <c r="R2144" s="16">
        <f>(Table1[[#This Row],[NET Amount]]-Table1[[#This Row],[Total Outstanding Amount]])/Table1[[#This Row],[NET Amount]]</f>
        <v>1</v>
      </c>
      <c r="S2144" s="2" t="s">
        <v>43</v>
      </c>
    </row>
    <row r="2145" spans="1:19" x14ac:dyDescent="0.3">
      <c r="A2145" s="4">
        <v>2143</v>
      </c>
      <c r="B2145" s="2" t="s">
        <v>50</v>
      </c>
      <c r="C2145" s="3">
        <v>44834</v>
      </c>
      <c r="D2145" s="3" t="str">
        <f>TEXT(Table1[[#This Row],[Admission Date]],"MMMM")</f>
        <v>September</v>
      </c>
      <c r="E2145" s="3">
        <v>44838</v>
      </c>
      <c r="F2145" s="3">
        <v>44838</v>
      </c>
      <c r="G2145" s="2">
        <v>22025511</v>
      </c>
      <c r="H2145" s="2">
        <v>2234002</v>
      </c>
      <c r="I2145" s="2">
        <v>10013540904</v>
      </c>
      <c r="J2145" s="2" t="s">
        <v>1379</v>
      </c>
      <c r="K2145" s="10">
        <v>71287</v>
      </c>
      <c r="L2145" s="10">
        <v>8472</v>
      </c>
      <c r="M2145" s="10">
        <v>62815</v>
      </c>
      <c r="N2145" s="10">
        <v>1634</v>
      </c>
      <c r="O2145" s="10">
        <f>Table1[[#This Row],[NET Amount]]-Table1[[#This Row],[Paid Amount]]</f>
        <v>61181</v>
      </c>
      <c r="P2145" s="2" t="s">
        <v>23</v>
      </c>
      <c r="Q2145" s="2" t="s">
        <v>42</v>
      </c>
      <c r="R2145" s="16">
        <f>(Table1[[#This Row],[NET Amount]]-Table1[[#This Row],[Total Outstanding Amount]])/Table1[[#This Row],[NET Amount]]</f>
        <v>2.6012895009153863E-2</v>
      </c>
      <c r="S2145" s="2" t="s">
        <v>20</v>
      </c>
    </row>
    <row r="2146" spans="1:19" x14ac:dyDescent="0.3">
      <c r="A2146" s="4">
        <v>2144</v>
      </c>
      <c r="B2146" s="2" t="s">
        <v>898</v>
      </c>
      <c r="C2146" s="3">
        <v>44837</v>
      </c>
      <c r="D2146" s="3" t="str">
        <f>TEXT(Table1[[#This Row],[Admission Date]],"MMMM")</f>
        <v>October</v>
      </c>
      <c r="E2146" s="3">
        <v>44838</v>
      </c>
      <c r="F2146" s="3">
        <v>44838</v>
      </c>
      <c r="G2146" s="2">
        <v>22025525</v>
      </c>
      <c r="H2146" s="2">
        <v>2234339</v>
      </c>
      <c r="I2146" s="2">
        <v>1001802056</v>
      </c>
      <c r="J2146" s="2" t="s">
        <v>1380</v>
      </c>
      <c r="K2146" s="10">
        <v>67908</v>
      </c>
      <c r="L2146" s="10">
        <v>2810</v>
      </c>
      <c r="M2146" s="10">
        <v>65098</v>
      </c>
      <c r="N2146" s="10">
        <v>9177</v>
      </c>
      <c r="O2146" s="10">
        <f>Table1[[#This Row],[NET Amount]]-Table1[[#This Row],[Paid Amount]]</f>
        <v>55921</v>
      </c>
      <c r="P2146" s="2" t="s">
        <v>23</v>
      </c>
      <c r="Q2146" s="2" t="s">
        <v>24</v>
      </c>
      <c r="R2146" s="16">
        <f>(Table1[[#This Row],[NET Amount]]-Table1[[#This Row],[Total Outstanding Amount]])/Table1[[#This Row],[NET Amount]]</f>
        <v>0.1409720728747427</v>
      </c>
      <c r="S2146" s="2" t="s">
        <v>55</v>
      </c>
    </row>
    <row r="2147" spans="1:19" x14ac:dyDescent="0.3">
      <c r="A2147" s="4">
        <v>2145</v>
      </c>
      <c r="B2147" s="2" t="s">
        <v>25</v>
      </c>
      <c r="C2147" s="3">
        <v>44837</v>
      </c>
      <c r="D2147" s="3" t="str">
        <f>TEXT(Table1[[#This Row],[Admission Date]],"MMMM")</f>
        <v>October</v>
      </c>
      <c r="E2147" s="3">
        <v>44842</v>
      </c>
      <c r="F2147" s="3">
        <v>44842</v>
      </c>
      <c r="G2147" s="2">
        <v>22026186</v>
      </c>
      <c r="H2147" s="2">
        <v>2234378</v>
      </c>
      <c r="I2147" s="2">
        <v>10013513495</v>
      </c>
      <c r="J2147" s="2" t="s">
        <v>1381</v>
      </c>
      <c r="K2147" s="10">
        <v>253012</v>
      </c>
      <c r="L2147" s="10">
        <v>46207</v>
      </c>
      <c r="M2147" s="10">
        <v>206804</v>
      </c>
      <c r="N2147" s="10">
        <v>206804</v>
      </c>
      <c r="O2147" s="10">
        <f>Table1[[#This Row],[NET Amount]]-Table1[[#This Row],[Paid Amount]]</f>
        <v>0</v>
      </c>
      <c r="P2147" s="2" t="s">
        <v>18</v>
      </c>
      <c r="Q2147" s="2" t="s">
        <v>69</v>
      </c>
      <c r="R2147" s="16">
        <f>(Table1[[#This Row],[NET Amount]]-Table1[[#This Row],[Total Outstanding Amount]])/Table1[[#This Row],[NET Amount]]</f>
        <v>1</v>
      </c>
      <c r="S2147" s="2" t="s">
        <v>27</v>
      </c>
    </row>
    <row r="2148" spans="1:19" x14ac:dyDescent="0.3">
      <c r="A2148" s="4">
        <v>2146</v>
      </c>
      <c r="B2148" s="2" t="s">
        <v>122</v>
      </c>
      <c r="C2148" s="3">
        <v>44857</v>
      </c>
      <c r="D2148" s="3" t="str">
        <f>TEXT(Table1[[#This Row],[Admission Date]],"MMMM")</f>
        <v>October</v>
      </c>
      <c r="E2148" s="3">
        <v>44857</v>
      </c>
      <c r="F2148" s="3">
        <v>44857</v>
      </c>
      <c r="G2148" s="2">
        <v>22028400</v>
      </c>
      <c r="H2148" s="2">
        <v>2237185</v>
      </c>
      <c r="I2148" s="2">
        <v>1001087967</v>
      </c>
      <c r="J2148" s="2" t="s">
        <v>123</v>
      </c>
      <c r="K2148" s="10">
        <v>3519</v>
      </c>
      <c r="L2148" s="10">
        <v>3519</v>
      </c>
      <c r="M2148" s="10">
        <v>0</v>
      </c>
      <c r="N2148" s="10">
        <v>0</v>
      </c>
      <c r="O2148" s="10">
        <f>Table1[[#This Row],[NET Amount]]-Table1[[#This Row],[Paid Amount]]</f>
        <v>0</v>
      </c>
      <c r="P2148" s="2" t="s">
        <v>18</v>
      </c>
      <c r="Q2148" s="2" t="s">
        <v>54</v>
      </c>
      <c r="R2148" s="16" t="e">
        <f>(Table1[[#This Row],[NET Amount]]-Table1[[#This Row],[Total Outstanding Amount]])/Table1[[#This Row],[NET Amount]]</f>
        <v>#DIV/0!</v>
      </c>
      <c r="S2148" s="2" t="s">
        <v>97</v>
      </c>
    </row>
    <row r="2149" spans="1:19" x14ac:dyDescent="0.3">
      <c r="A2149" s="4">
        <v>2147</v>
      </c>
      <c r="B2149" s="2" t="s">
        <v>91</v>
      </c>
      <c r="C2149" s="3">
        <v>44857</v>
      </c>
      <c r="D2149" s="3" t="str">
        <f>TEXT(Table1[[#This Row],[Admission Date]],"MMMM")</f>
        <v>October</v>
      </c>
      <c r="E2149" s="3">
        <v>44857</v>
      </c>
      <c r="F2149" s="3">
        <v>44857</v>
      </c>
      <c r="G2149" s="2">
        <v>22028403</v>
      </c>
      <c r="H2149" s="2">
        <v>2237187</v>
      </c>
      <c r="I2149" s="2">
        <v>10013478103</v>
      </c>
      <c r="J2149" s="2" t="s">
        <v>1237</v>
      </c>
      <c r="K2149" s="10">
        <v>0</v>
      </c>
      <c r="L2149" s="10">
        <v>0</v>
      </c>
      <c r="M2149" s="10">
        <v>0</v>
      </c>
      <c r="N2149" s="10">
        <v>0</v>
      </c>
      <c r="O2149" s="10">
        <f>Table1[[#This Row],[NET Amount]]-Table1[[#This Row],[Paid Amount]]</f>
        <v>0</v>
      </c>
      <c r="P2149" s="2" t="s">
        <v>18</v>
      </c>
      <c r="Q2149" s="2" t="s">
        <v>19</v>
      </c>
      <c r="R2149" s="16" t="e">
        <f>(Table1[[#This Row],[NET Amount]]-Table1[[#This Row],[Total Outstanding Amount]])/Table1[[#This Row],[NET Amount]]</f>
        <v>#DIV/0!</v>
      </c>
      <c r="S2149" s="2" t="s">
        <v>20</v>
      </c>
    </row>
    <row r="2150" spans="1:19" x14ac:dyDescent="0.3">
      <c r="A2150" s="4">
        <v>2148</v>
      </c>
      <c r="B2150" s="2" t="s">
        <v>25</v>
      </c>
      <c r="C2150" s="3">
        <v>44832</v>
      </c>
      <c r="D2150" s="3" t="str">
        <f>TEXT(Table1[[#This Row],[Admission Date]],"MMMM")</f>
        <v>September</v>
      </c>
      <c r="E2150" s="3">
        <v>44838</v>
      </c>
      <c r="F2150" s="3">
        <v>44838</v>
      </c>
      <c r="G2150" s="2">
        <v>22025472</v>
      </c>
      <c r="H2150" s="2">
        <v>2233739</v>
      </c>
      <c r="I2150" s="2">
        <v>10013530549</v>
      </c>
      <c r="J2150" s="2" t="s">
        <v>1382</v>
      </c>
      <c r="K2150" s="10">
        <v>198276</v>
      </c>
      <c r="L2150" s="10">
        <v>26107</v>
      </c>
      <c r="M2150" s="10">
        <v>172169</v>
      </c>
      <c r="N2150" s="10">
        <v>172169</v>
      </c>
      <c r="O2150" s="10">
        <f>Table1[[#This Row],[NET Amount]]-Table1[[#This Row],[Paid Amount]]</f>
        <v>0</v>
      </c>
      <c r="P2150" s="2" t="s">
        <v>18</v>
      </c>
      <c r="Q2150" s="2" t="s">
        <v>24</v>
      </c>
      <c r="R2150" s="16">
        <f>(Table1[[#This Row],[NET Amount]]-Table1[[#This Row],[Total Outstanding Amount]])/Table1[[#This Row],[NET Amount]]</f>
        <v>1</v>
      </c>
      <c r="S2150" s="2" t="s">
        <v>43</v>
      </c>
    </row>
    <row r="2151" spans="1:19" x14ac:dyDescent="0.3">
      <c r="A2151" s="4">
        <v>2149</v>
      </c>
      <c r="B2151" s="2" t="s">
        <v>25</v>
      </c>
      <c r="C2151" s="3">
        <v>44854</v>
      </c>
      <c r="D2151" s="3" t="str">
        <f>TEXT(Table1[[#This Row],[Admission Date]],"MMMM")</f>
        <v>October</v>
      </c>
      <c r="E2151" s="3">
        <v>44855</v>
      </c>
      <c r="F2151" s="3">
        <v>44855</v>
      </c>
      <c r="G2151" s="2">
        <v>22027986</v>
      </c>
      <c r="H2151" s="2">
        <v>2236720</v>
      </c>
      <c r="I2151" s="2">
        <v>10013536298</v>
      </c>
      <c r="J2151" s="2" t="s">
        <v>1383</v>
      </c>
      <c r="K2151" s="10">
        <v>252775</v>
      </c>
      <c r="L2151" s="10">
        <v>92408</v>
      </c>
      <c r="M2151" s="10">
        <v>160367</v>
      </c>
      <c r="N2151" s="10">
        <v>160367</v>
      </c>
      <c r="O2151" s="10">
        <f>Table1[[#This Row],[NET Amount]]-Table1[[#This Row],[Paid Amount]]</f>
        <v>0</v>
      </c>
      <c r="P2151" s="2" t="s">
        <v>18</v>
      </c>
      <c r="Q2151" s="2" t="s">
        <v>69</v>
      </c>
      <c r="R2151" s="16">
        <f>(Table1[[#This Row],[NET Amount]]-Table1[[#This Row],[Total Outstanding Amount]])/Table1[[#This Row],[NET Amount]]</f>
        <v>1</v>
      </c>
      <c r="S2151" s="2" t="s">
        <v>57</v>
      </c>
    </row>
    <row r="2152" spans="1:19" x14ac:dyDescent="0.3">
      <c r="A2152" s="4">
        <v>2150</v>
      </c>
      <c r="B2152" s="2" t="s">
        <v>35</v>
      </c>
      <c r="C2152" s="3">
        <v>44856</v>
      </c>
      <c r="D2152" s="3" t="str">
        <f>TEXT(Table1[[#This Row],[Admission Date]],"MMMM")</f>
        <v>October</v>
      </c>
      <c r="E2152" s="3">
        <v>44856</v>
      </c>
      <c r="F2152" s="3">
        <v>44856</v>
      </c>
      <c r="G2152" s="2">
        <v>22028127</v>
      </c>
      <c r="H2152" s="2">
        <v>2237008</v>
      </c>
      <c r="I2152" s="2">
        <v>10013514103</v>
      </c>
      <c r="J2152" s="2" t="s">
        <v>173</v>
      </c>
      <c r="K2152" s="10">
        <v>1610</v>
      </c>
      <c r="L2152" s="10">
        <v>0</v>
      </c>
      <c r="M2152" s="10">
        <v>1610</v>
      </c>
      <c r="N2152" s="10">
        <v>1610</v>
      </c>
      <c r="O2152" s="10">
        <f>Table1[[#This Row],[NET Amount]]-Table1[[#This Row],[Paid Amount]]</f>
        <v>0</v>
      </c>
      <c r="P2152" s="2" t="s">
        <v>18</v>
      </c>
      <c r="Q2152" s="2" t="s">
        <v>54</v>
      </c>
      <c r="R2152" s="16">
        <f>(Table1[[#This Row],[NET Amount]]-Table1[[#This Row],[Total Outstanding Amount]])/Table1[[#This Row],[NET Amount]]</f>
        <v>1</v>
      </c>
      <c r="S2152" s="2" t="s">
        <v>97</v>
      </c>
    </row>
    <row r="2153" spans="1:19" x14ac:dyDescent="0.3">
      <c r="A2153" s="4">
        <v>2151</v>
      </c>
      <c r="B2153" s="2" t="s">
        <v>25</v>
      </c>
      <c r="C2153" s="3">
        <v>44856</v>
      </c>
      <c r="D2153" s="3" t="str">
        <f>TEXT(Table1[[#This Row],[Admission Date]],"MMMM")</f>
        <v>October</v>
      </c>
      <c r="E2153" s="3">
        <v>44856</v>
      </c>
      <c r="F2153" s="3">
        <v>44856</v>
      </c>
      <c r="G2153" s="2">
        <v>22028122</v>
      </c>
      <c r="H2153" s="2">
        <v>2237000</v>
      </c>
      <c r="I2153" s="2">
        <v>1001575947</v>
      </c>
      <c r="J2153" s="2" t="s">
        <v>919</v>
      </c>
      <c r="K2153" s="10">
        <v>2844</v>
      </c>
      <c r="L2153" s="10">
        <v>310</v>
      </c>
      <c r="M2153" s="10">
        <v>2534</v>
      </c>
      <c r="N2153" s="10">
        <v>2534</v>
      </c>
      <c r="O2153" s="10">
        <f>Table1[[#This Row],[NET Amount]]-Table1[[#This Row],[Paid Amount]]</f>
        <v>0</v>
      </c>
      <c r="P2153" s="2" t="s">
        <v>18</v>
      </c>
      <c r="Q2153" s="2" t="s">
        <v>54</v>
      </c>
      <c r="R2153" s="16">
        <f>(Table1[[#This Row],[NET Amount]]-Table1[[#This Row],[Total Outstanding Amount]])/Table1[[#This Row],[NET Amount]]</f>
        <v>1</v>
      </c>
      <c r="S2153" s="2" t="s">
        <v>97</v>
      </c>
    </row>
    <row r="2154" spans="1:19" x14ac:dyDescent="0.3">
      <c r="A2154" s="4">
        <v>2152</v>
      </c>
      <c r="B2154" s="2" t="s">
        <v>35</v>
      </c>
      <c r="C2154" s="3">
        <v>44856</v>
      </c>
      <c r="D2154" s="3" t="str">
        <f>TEXT(Table1[[#This Row],[Admission Date]],"MMMM")</f>
        <v>October</v>
      </c>
      <c r="E2154" s="3">
        <v>44856</v>
      </c>
      <c r="F2154" s="3">
        <v>44856</v>
      </c>
      <c r="G2154" s="2">
        <v>22028126</v>
      </c>
      <c r="H2154" s="2">
        <v>2237003</v>
      </c>
      <c r="I2154" s="2">
        <v>10013401198</v>
      </c>
      <c r="J2154" s="2" t="s">
        <v>631</v>
      </c>
      <c r="K2154" s="10">
        <v>1610</v>
      </c>
      <c r="L2154" s="10">
        <v>0</v>
      </c>
      <c r="M2154" s="10">
        <v>1610</v>
      </c>
      <c r="N2154" s="10">
        <v>1610</v>
      </c>
      <c r="O2154" s="10">
        <f>Table1[[#This Row],[NET Amount]]-Table1[[#This Row],[Paid Amount]]</f>
        <v>0</v>
      </c>
      <c r="P2154" s="2" t="s">
        <v>18</v>
      </c>
      <c r="Q2154" s="2" t="s">
        <v>54</v>
      </c>
      <c r="R2154" s="16">
        <f>(Table1[[#This Row],[NET Amount]]-Table1[[#This Row],[Total Outstanding Amount]])/Table1[[#This Row],[NET Amount]]</f>
        <v>1</v>
      </c>
      <c r="S2154" s="2" t="s">
        <v>97</v>
      </c>
    </row>
    <row r="2155" spans="1:19" x14ac:dyDescent="0.3">
      <c r="A2155" s="4">
        <v>2153</v>
      </c>
      <c r="B2155" s="2" t="s">
        <v>329</v>
      </c>
      <c r="C2155" s="3">
        <v>44845</v>
      </c>
      <c r="D2155" s="3" t="str">
        <f>TEXT(Table1[[#This Row],[Admission Date]],"MMMM")</f>
        <v>October</v>
      </c>
      <c r="E2155" s="3">
        <v>44845</v>
      </c>
      <c r="F2155" s="3">
        <v>44845</v>
      </c>
      <c r="G2155" s="2">
        <v>22026611</v>
      </c>
      <c r="H2155" s="2">
        <v>2235513</v>
      </c>
      <c r="I2155" s="2">
        <v>1001456362</v>
      </c>
      <c r="J2155" s="2" t="s">
        <v>1384</v>
      </c>
      <c r="K2155" s="10">
        <v>25858</v>
      </c>
      <c r="L2155" s="10">
        <v>0</v>
      </c>
      <c r="M2155" s="10">
        <v>25858</v>
      </c>
      <c r="N2155" s="10">
        <v>25858</v>
      </c>
      <c r="O2155" s="10">
        <f>Table1[[#This Row],[NET Amount]]-Table1[[#This Row],[Paid Amount]]</f>
        <v>0</v>
      </c>
      <c r="P2155" s="2" t="s">
        <v>18</v>
      </c>
      <c r="Q2155" s="2" t="s">
        <v>24</v>
      </c>
      <c r="R2155" s="16">
        <f>(Table1[[#This Row],[NET Amount]]-Table1[[#This Row],[Total Outstanding Amount]])/Table1[[#This Row],[NET Amount]]</f>
        <v>1</v>
      </c>
      <c r="S2155" s="2" t="s">
        <v>768</v>
      </c>
    </row>
    <row r="2156" spans="1:19" x14ac:dyDescent="0.3">
      <c r="A2156" s="4">
        <v>2154</v>
      </c>
      <c r="B2156" s="2" t="s">
        <v>168</v>
      </c>
      <c r="C2156" s="3">
        <v>44834</v>
      </c>
      <c r="D2156" s="3" t="str">
        <f>TEXT(Table1[[#This Row],[Admission Date]],"MMMM")</f>
        <v>September</v>
      </c>
      <c r="E2156" s="3">
        <v>44845</v>
      </c>
      <c r="F2156" s="3">
        <v>44845</v>
      </c>
      <c r="G2156" s="2">
        <v>22026550</v>
      </c>
      <c r="H2156" s="2">
        <v>2234073</v>
      </c>
      <c r="I2156" s="2">
        <v>10013540695</v>
      </c>
      <c r="J2156" s="2" t="s">
        <v>1385</v>
      </c>
      <c r="K2156" s="10">
        <v>237730</v>
      </c>
      <c r="L2156" s="10">
        <v>29359</v>
      </c>
      <c r="M2156" s="10">
        <v>208371</v>
      </c>
      <c r="N2156" s="10">
        <v>25190</v>
      </c>
      <c r="O2156" s="10">
        <f>Table1[[#This Row],[NET Amount]]-Table1[[#This Row],[Paid Amount]]</f>
        <v>183181</v>
      </c>
      <c r="P2156" s="2" t="s">
        <v>23</v>
      </c>
      <c r="Q2156" s="2" t="s">
        <v>52</v>
      </c>
      <c r="R2156" s="16">
        <f>(Table1[[#This Row],[NET Amount]]-Table1[[#This Row],[Total Outstanding Amount]])/Table1[[#This Row],[NET Amount]]</f>
        <v>0.12089014306213437</v>
      </c>
      <c r="S2156" s="2" t="s">
        <v>20</v>
      </c>
    </row>
    <row r="2157" spans="1:19" x14ac:dyDescent="0.3">
      <c r="A2157" s="4">
        <v>2155</v>
      </c>
      <c r="B2157" s="2" t="s">
        <v>25</v>
      </c>
      <c r="C2157" s="3">
        <v>44858</v>
      </c>
      <c r="D2157" s="3" t="str">
        <f>TEXT(Table1[[#This Row],[Admission Date]],"MMMM")</f>
        <v>October</v>
      </c>
      <c r="E2157" s="3">
        <v>44862</v>
      </c>
      <c r="F2157" s="3">
        <v>44862</v>
      </c>
      <c r="G2157" s="2">
        <v>22028911</v>
      </c>
      <c r="H2157" s="2">
        <v>2237225</v>
      </c>
      <c r="I2157" s="2">
        <v>10013544292</v>
      </c>
      <c r="J2157" s="2" t="s">
        <v>1386</v>
      </c>
      <c r="K2157" s="10">
        <v>144623</v>
      </c>
      <c r="L2157" s="10">
        <v>20389</v>
      </c>
      <c r="M2157" s="10">
        <v>124234</v>
      </c>
      <c r="N2157" s="10">
        <v>124234</v>
      </c>
      <c r="O2157" s="10">
        <f>Table1[[#This Row],[NET Amount]]-Table1[[#This Row],[Paid Amount]]</f>
        <v>0</v>
      </c>
      <c r="P2157" s="2" t="s">
        <v>18</v>
      </c>
      <c r="Q2157" s="2" t="s">
        <v>69</v>
      </c>
      <c r="R2157" s="16">
        <f>(Table1[[#This Row],[NET Amount]]-Table1[[#This Row],[Total Outstanding Amount]])/Table1[[#This Row],[NET Amount]]</f>
        <v>1</v>
      </c>
      <c r="S2157" s="2" t="s">
        <v>65</v>
      </c>
    </row>
    <row r="2158" spans="1:19" x14ac:dyDescent="0.3">
      <c r="A2158" s="4">
        <v>2156</v>
      </c>
      <c r="B2158" s="2" t="s">
        <v>40</v>
      </c>
      <c r="C2158" s="3">
        <v>44859</v>
      </c>
      <c r="D2158" s="3" t="str">
        <f>TEXT(Table1[[#This Row],[Admission Date]],"MMMM")</f>
        <v>October</v>
      </c>
      <c r="E2158" s="3">
        <v>44859</v>
      </c>
      <c r="F2158" s="3">
        <v>44859</v>
      </c>
      <c r="G2158" s="2">
        <v>22028508</v>
      </c>
      <c r="H2158" s="2">
        <v>2237309</v>
      </c>
      <c r="I2158" s="2">
        <v>1001300227</v>
      </c>
      <c r="J2158" s="2" t="s">
        <v>202</v>
      </c>
      <c r="K2158" s="10">
        <v>2200</v>
      </c>
      <c r="L2158" s="10">
        <v>0</v>
      </c>
      <c r="M2158" s="10">
        <v>2200</v>
      </c>
      <c r="N2158" s="10">
        <v>2200</v>
      </c>
      <c r="O2158" s="10">
        <f>Table1[[#This Row],[NET Amount]]-Table1[[#This Row],[Paid Amount]]</f>
        <v>0</v>
      </c>
      <c r="P2158" s="2" t="s">
        <v>18</v>
      </c>
      <c r="Q2158" s="2" t="s">
        <v>147</v>
      </c>
      <c r="R2158" s="16">
        <f>(Table1[[#This Row],[NET Amount]]-Table1[[#This Row],[Total Outstanding Amount]])/Table1[[#This Row],[NET Amount]]</f>
        <v>1</v>
      </c>
      <c r="S2158" s="2" t="s">
        <v>97</v>
      </c>
    </row>
    <row r="2159" spans="1:19" x14ac:dyDescent="0.3">
      <c r="A2159" s="4">
        <v>2157</v>
      </c>
      <c r="B2159" s="2" t="s">
        <v>584</v>
      </c>
      <c r="C2159" s="3">
        <v>44859</v>
      </c>
      <c r="D2159" s="3" t="str">
        <f>TEXT(Table1[[#This Row],[Admission Date]],"MMMM")</f>
        <v>October</v>
      </c>
      <c r="E2159" s="3">
        <v>44859</v>
      </c>
      <c r="F2159" s="3">
        <v>44859</v>
      </c>
      <c r="G2159" s="2">
        <v>22028522</v>
      </c>
      <c r="H2159" s="2">
        <v>2237305</v>
      </c>
      <c r="I2159" s="2">
        <v>10013376566</v>
      </c>
      <c r="J2159" s="2" t="s">
        <v>585</v>
      </c>
      <c r="K2159" s="10">
        <v>2200</v>
      </c>
      <c r="L2159" s="10">
        <v>0</v>
      </c>
      <c r="M2159" s="10">
        <v>2200</v>
      </c>
      <c r="N2159" s="10">
        <v>440</v>
      </c>
      <c r="O2159" s="10">
        <f>Table1[[#This Row],[NET Amount]]-Table1[[#This Row],[Paid Amount]]</f>
        <v>1760</v>
      </c>
      <c r="P2159" s="2" t="s">
        <v>23</v>
      </c>
      <c r="Q2159" s="2" t="s">
        <v>147</v>
      </c>
      <c r="R2159" s="16">
        <f>(Table1[[#This Row],[NET Amount]]-Table1[[#This Row],[Total Outstanding Amount]])/Table1[[#This Row],[NET Amount]]</f>
        <v>0.2</v>
      </c>
      <c r="S2159" s="2" t="s">
        <v>97</v>
      </c>
    </row>
    <row r="2160" spans="1:19" x14ac:dyDescent="0.3">
      <c r="A2160" s="4">
        <v>2158</v>
      </c>
      <c r="B2160" s="2" t="s">
        <v>25</v>
      </c>
      <c r="C2160" s="3">
        <v>44862</v>
      </c>
      <c r="D2160" s="3" t="str">
        <f>TEXT(Table1[[#This Row],[Admission Date]],"MMMM")</f>
        <v>October</v>
      </c>
      <c r="E2160" s="3">
        <v>44864</v>
      </c>
      <c r="F2160" s="3">
        <v>44864</v>
      </c>
      <c r="G2160" s="2">
        <v>22029186</v>
      </c>
      <c r="H2160" s="2">
        <v>2237842</v>
      </c>
      <c r="I2160" s="2">
        <v>1001806845</v>
      </c>
      <c r="J2160" s="2" t="s">
        <v>1387</v>
      </c>
      <c r="K2160" s="10">
        <v>20601</v>
      </c>
      <c r="L2160" s="10">
        <v>2632</v>
      </c>
      <c r="M2160" s="10">
        <v>17969</v>
      </c>
      <c r="N2160" s="10">
        <v>17969</v>
      </c>
      <c r="O2160" s="10">
        <f>Table1[[#This Row],[NET Amount]]-Table1[[#This Row],[Paid Amount]]</f>
        <v>0</v>
      </c>
      <c r="P2160" s="2" t="s">
        <v>18</v>
      </c>
      <c r="Q2160" s="2" t="s">
        <v>30</v>
      </c>
      <c r="R2160" s="16">
        <f>(Table1[[#This Row],[NET Amount]]-Table1[[#This Row],[Total Outstanding Amount]])/Table1[[#This Row],[NET Amount]]</f>
        <v>1</v>
      </c>
      <c r="S2160" s="2" t="s">
        <v>37</v>
      </c>
    </row>
    <row r="2161" spans="1:19" x14ac:dyDescent="0.3">
      <c r="A2161" s="4">
        <v>2159</v>
      </c>
      <c r="B2161" s="2" t="s">
        <v>259</v>
      </c>
      <c r="C2161" s="3">
        <v>44834</v>
      </c>
      <c r="D2161" s="3" t="str">
        <f>TEXT(Table1[[#This Row],[Admission Date]],"MMMM")</f>
        <v>September</v>
      </c>
      <c r="E2161" s="3">
        <v>44838</v>
      </c>
      <c r="F2161" s="3">
        <v>44838</v>
      </c>
      <c r="G2161" s="2">
        <v>22025515</v>
      </c>
      <c r="H2161" s="2">
        <v>2234007</v>
      </c>
      <c r="I2161" s="2">
        <v>10013540920</v>
      </c>
      <c r="J2161" s="2" t="s">
        <v>1388</v>
      </c>
      <c r="K2161" s="10">
        <v>140307</v>
      </c>
      <c r="L2161" s="10">
        <v>0</v>
      </c>
      <c r="M2161" s="10">
        <v>140307</v>
      </c>
      <c r="N2161" s="10">
        <v>29261</v>
      </c>
      <c r="O2161" s="10">
        <f>Table1[[#This Row],[NET Amount]]-Table1[[#This Row],[Paid Amount]]</f>
        <v>111046</v>
      </c>
      <c r="P2161" s="2" t="s">
        <v>23</v>
      </c>
      <c r="Q2161" s="2" t="s">
        <v>30</v>
      </c>
      <c r="R2161" s="16">
        <f>(Table1[[#This Row],[NET Amount]]-Table1[[#This Row],[Total Outstanding Amount]])/Table1[[#This Row],[NET Amount]]</f>
        <v>0.20854982288838048</v>
      </c>
      <c r="S2161" s="2" t="s">
        <v>20</v>
      </c>
    </row>
    <row r="2162" spans="1:19" x14ac:dyDescent="0.3">
      <c r="A2162" s="4">
        <v>2160</v>
      </c>
      <c r="B2162" s="2" t="s">
        <v>1389</v>
      </c>
      <c r="C2162" s="3">
        <v>44841</v>
      </c>
      <c r="D2162" s="3" t="str">
        <f>TEXT(Table1[[#This Row],[Admission Date]],"MMMM")</f>
        <v>October</v>
      </c>
      <c r="E2162" s="3">
        <v>44845</v>
      </c>
      <c r="F2162" s="3">
        <v>44845</v>
      </c>
      <c r="G2162" s="2">
        <v>22026509</v>
      </c>
      <c r="H2162" s="2">
        <v>2235065</v>
      </c>
      <c r="I2162" s="2">
        <v>10013541609</v>
      </c>
      <c r="J2162" s="2" t="s">
        <v>1390</v>
      </c>
      <c r="K2162" s="10">
        <v>73638</v>
      </c>
      <c r="L2162" s="10">
        <v>0</v>
      </c>
      <c r="M2162" s="10">
        <v>73638</v>
      </c>
      <c r="N2162" s="10">
        <v>3325</v>
      </c>
      <c r="O2162" s="10">
        <f>Table1[[#This Row],[NET Amount]]-Table1[[#This Row],[Paid Amount]]</f>
        <v>70313</v>
      </c>
      <c r="P2162" s="2" t="s">
        <v>23</v>
      </c>
      <c r="Q2162" s="2" t="s">
        <v>30</v>
      </c>
      <c r="R2162" s="16">
        <f>(Table1[[#This Row],[NET Amount]]-Table1[[#This Row],[Total Outstanding Amount]])/Table1[[#This Row],[NET Amount]]</f>
        <v>4.5153317580596972E-2</v>
      </c>
      <c r="S2162" s="2" t="s">
        <v>37</v>
      </c>
    </row>
    <row r="2163" spans="1:19" x14ac:dyDescent="0.3">
      <c r="A2163" s="4">
        <v>2161</v>
      </c>
      <c r="B2163" s="2" t="s">
        <v>25</v>
      </c>
      <c r="C2163" s="3">
        <v>44837</v>
      </c>
      <c r="D2163" s="3" t="str">
        <f>TEXT(Table1[[#This Row],[Admission Date]],"MMMM")</f>
        <v>October</v>
      </c>
      <c r="E2163" s="3">
        <v>44839</v>
      </c>
      <c r="F2163" s="3">
        <v>44839</v>
      </c>
      <c r="G2163" s="2">
        <v>22025722</v>
      </c>
      <c r="H2163" s="2">
        <v>2234343</v>
      </c>
      <c r="I2163" s="2">
        <v>10013502797</v>
      </c>
      <c r="J2163" s="2" t="s">
        <v>1391</v>
      </c>
      <c r="K2163" s="10">
        <v>137559</v>
      </c>
      <c r="L2163" s="10">
        <v>17495</v>
      </c>
      <c r="M2163" s="10">
        <v>120064</v>
      </c>
      <c r="N2163" s="10">
        <v>120064</v>
      </c>
      <c r="O2163" s="10">
        <f>Table1[[#This Row],[NET Amount]]-Table1[[#This Row],[Paid Amount]]</f>
        <v>0</v>
      </c>
      <c r="P2163" s="2" t="s">
        <v>18</v>
      </c>
      <c r="Q2163" s="2" t="s">
        <v>30</v>
      </c>
      <c r="R2163" s="16">
        <f>(Table1[[#This Row],[NET Amount]]-Table1[[#This Row],[Total Outstanding Amount]])/Table1[[#This Row],[NET Amount]]</f>
        <v>1</v>
      </c>
      <c r="S2163" s="2" t="s">
        <v>27</v>
      </c>
    </row>
    <row r="2164" spans="1:19" x14ac:dyDescent="0.3">
      <c r="A2164" s="4">
        <v>2162</v>
      </c>
      <c r="B2164" s="2" t="s">
        <v>25</v>
      </c>
      <c r="C2164" s="3">
        <v>44859</v>
      </c>
      <c r="D2164" s="3" t="str">
        <f>TEXT(Table1[[#This Row],[Admission Date]],"MMMM")</f>
        <v>October</v>
      </c>
      <c r="E2164" s="3">
        <v>44859</v>
      </c>
      <c r="F2164" s="3">
        <v>44859</v>
      </c>
      <c r="G2164" s="2">
        <v>22028537</v>
      </c>
      <c r="H2164" s="2">
        <v>2237341</v>
      </c>
      <c r="I2164" s="2">
        <v>1000891328</v>
      </c>
      <c r="J2164" s="2" t="s">
        <v>367</v>
      </c>
      <c r="K2164" s="10">
        <v>3319</v>
      </c>
      <c r="L2164" s="10">
        <v>3319</v>
      </c>
      <c r="M2164" s="10">
        <v>0</v>
      </c>
      <c r="N2164" s="10">
        <v>0</v>
      </c>
      <c r="O2164" s="10">
        <f>Table1[[#This Row],[NET Amount]]-Table1[[#This Row],[Paid Amount]]</f>
        <v>0</v>
      </c>
      <c r="P2164" s="2" t="s">
        <v>18</v>
      </c>
      <c r="Q2164" s="2" t="s">
        <v>90</v>
      </c>
      <c r="R2164" s="16" t="e">
        <f>(Table1[[#This Row],[NET Amount]]-Table1[[#This Row],[Total Outstanding Amount]])/Table1[[#This Row],[NET Amount]]</f>
        <v>#DIV/0!</v>
      </c>
      <c r="S2164" s="2" t="s">
        <v>97</v>
      </c>
    </row>
    <row r="2165" spans="1:19" x14ac:dyDescent="0.3">
      <c r="A2165" s="4">
        <v>2163</v>
      </c>
      <c r="B2165" s="2" t="s">
        <v>25</v>
      </c>
      <c r="C2165" s="3">
        <v>44859</v>
      </c>
      <c r="D2165" s="3" t="str">
        <f>TEXT(Table1[[#This Row],[Admission Date]],"MMMM")</f>
        <v>October</v>
      </c>
      <c r="E2165" s="3">
        <v>44859</v>
      </c>
      <c r="F2165" s="3">
        <v>44859</v>
      </c>
      <c r="G2165" s="2">
        <v>22028536</v>
      </c>
      <c r="H2165" s="2">
        <v>2237310</v>
      </c>
      <c r="I2165" s="2">
        <v>10013339576</v>
      </c>
      <c r="J2165" s="2" t="s">
        <v>242</v>
      </c>
      <c r="K2165" s="10">
        <v>2794</v>
      </c>
      <c r="L2165" s="10">
        <v>2794</v>
      </c>
      <c r="M2165" s="10">
        <v>0</v>
      </c>
      <c r="N2165" s="10">
        <v>0</v>
      </c>
      <c r="O2165" s="10">
        <f>Table1[[#This Row],[NET Amount]]-Table1[[#This Row],[Paid Amount]]</f>
        <v>0</v>
      </c>
      <c r="P2165" s="2" t="s">
        <v>18</v>
      </c>
      <c r="Q2165" s="2" t="s">
        <v>90</v>
      </c>
      <c r="R2165" s="16" t="e">
        <f>(Table1[[#This Row],[NET Amount]]-Table1[[#This Row],[Total Outstanding Amount]])/Table1[[#This Row],[NET Amount]]</f>
        <v>#DIV/0!</v>
      </c>
      <c r="S2165" s="2" t="s">
        <v>97</v>
      </c>
    </row>
    <row r="2166" spans="1:19" x14ac:dyDescent="0.3">
      <c r="A2166" s="4">
        <v>2164</v>
      </c>
      <c r="B2166" s="2" t="s">
        <v>25</v>
      </c>
      <c r="C2166" s="3">
        <v>44807</v>
      </c>
      <c r="D2166" s="3" t="str">
        <f>TEXT(Table1[[#This Row],[Admission Date]],"MMMM")</f>
        <v>September</v>
      </c>
      <c r="E2166" s="3">
        <v>44859</v>
      </c>
      <c r="F2166" s="3">
        <v>44859</v>
      </c>
      <c r="G2166" s="2">
        <v>22028560</v>
      </c>
      <c r="H2166" s="2">
        <v>2230512</v>
      </c>
      <c r="I2166" s="2">
        <v>10013429306</v>
      </c>
      <c r="J2166" s="2" t="s">
        <v>1392</v>
      </c>
      <c r="K2166" s="10">
        <v>2089307</v>
      </c>
      <c r="L2166" s="10">
        <v>2089307</v>
      </c>
      <c r="M2166" s="10">
        <v>0</v>
      </c>
      <c r="N2166" s="10">
        <v>0</v>
      </c>
      <c r="O2166" s="10">
        <f>Table1[[#This Row],[NET Amount]]-Table1[[#This Row],[Paid Amount]]</f>
        <v>0</v>
      </c>
      <c r="P2166" s="2" t="s">
        <v>18</v>
      </c>
      <c r="Q2166" s="2" t="s">
        <v>90</v>
      </c>
      <c r="R2166" s="16" t="e">
        <f>(Table1[[#This Row],[NET Amount]]-Table1[[#This Row],[Total Outstanding Amount]])/Table1[[#This Row],[NET Amount]]</f>
        <v>#DIV/0!</v>
      </c>
      <c r="S2166" s="2" t="s">
        <v>32</v>
      </c>
    </row>
    <row r="2167" spans="1:19" x14ac:dyDescent="0.3">
      <c r="A2167" s="4">
        <v>2165</v>
      </c>
      <c r="B2167" s="2" t="s">
        <v>72</v>
      </c>
      <c r="C2167" s="3">
        <v>44856</v>
      </c>
      <c r="D2167" s="3" t="str">
        <f>TEXT(Table1[[#This Row],[Admission Date]],"MMMM")</f>
        <v>October</v>
      </c>
      <c r="E2167" s="3">
        <v>44865</v>
      </c>
      <c r="F2167" s="3">
        <v>44865</v>
      </c>
      <c r="G2167" s="2">
        <v>22029246</v>
      </c>
      <c r="H2167" s="2">
        <v>2237085</v>
      </c>
      <c r="I2167" s="2">
        <v>1001805821</v>
      </c>
      <c r="J2167" s="2" t="s">
        <v>1393</v>
      </c>
      <c r="K2167" s="10">
        <v>152302</v>
      </c>
      <c r="L2167" s="10">
        <v>0</v>
      </c>
      <c r="M2167" s="10">
        <v>152302</v>
      </c>
      <c r="N2167" s="10">
        <v>152302</v>
      </c>
      <c r="O2167" s="10">
        <f>Table1[[#This Row],[NET Amount]]-Table1[[#This Row],[Paid Amount]]</f>
        <v>0</v>
      </c>
      <c r="P2167" s="2" t="s">
        <v>18</v>
      </c>
      <c r="Q2167" s="2" t="s">
        <v>42</v>
      </c>
      <c r="R2167" s="16">
        <f>(Table1[[#This Row],[NET Amount]]-Table1[[#This Row],[Total Outstanding Amount]])/Table1[[#This Row],[NET Amount]]</f>
        <v>1</v>
      </c>
      <c r="S2167" s="2" t="s">
        <v>37</v>
      </c>
    </row>
    <row r="2168" spans="1:19" x14ac:dyDescent="0.3">
      <c r="A2168" s="4">
        <v>2166</v>
      </c>
      <c r="B2168" s="2" t="s">
        <v>155</v>
      </c>
      <c r="C2168" s="3">
        <v>44863</v>
      </c>
      <c r="D2168" s="3" t="str">
        <f>TEXT(Table1[[#This Row],[Admission Date]],"MMMM")</f>
        <v>October</v>
      </c>
      <c r="E2168" s="3">
        <v>44863</v>
      </c>
      <c r="F2168" s="3">
        <v>44863</v>
      </c>
      <c r="G2168" s="2">
        <v>22029170</v>
      </c>
      <c r="H2168" s="2">
        <v>2238048</v>
      </c>
      <c r="I2168" s="2">
        <v>1000915662</v>
      </c>
      <c r="J2168" s="2" t="s">
        <v>188</v>
      </c>
      <c r="K2168" s="10">
        <v>1610</v>
      </c>
      <c r="L2168" s="10">
        <v>0</v>
      </c>
      <c r="M2168" s="10">
        <v>1610</v>
      </c>
      <c r="N2168" s="10">
        <v>1610</v>
      </c>
      <c r="O2168" s="10">
        <f>Table1[[#This Row],[NET Amount]]-Table1[[#This Row],[Paid Amount]]</f>
        <v>0</v>
      </c>
      <c r="P2168" s="2" t="s">
        <v>18</v>
      </c>
      <c r="Q2168" s="2" t="s">
        <v>54</v>
      </c>
      <c r="R2168" s="16">
        <f>(Table1[[#This Row],[NET Amount]]-Table1[[#This Row],[Total Outstanding Amount]])/Table1[[#This Row],[NET Amount]]</f>
        <v>1</v>
      </c>
      <c r="S2168" s="2" t="s">
        <v>97</v>
      </c>
    </row>
    <row r="2169" spans="1:19" x14ac:dyDescent="0.3">
      <c r="A2169" s="4">
        <v>2167</v>
      </c>
      <c r="B2169" s="2" t="s">
        <v>244</v>
      </c>
      <c r="C2169" s="3">
        <v>44845</v>
      </c>
      <c r="D2169" s="3" t="str">
        <f>TEXT(Table1[[#This Row],[Admission Date]],"MMMM")</f>
        <v>October</v>
      </c>
      <c r="E2169" s="3">
        <v>44862</v>
      </c>
      <c r="F2169" s="3">
        <v>44862</v>
      </c>
      <c r="G2169" s="2">
        <v>22028905</v>
      </c>
      <c r="H2169" s="2">
        <v>2235480</v>
      </c>
      <c r="I2169" s="2">
        <v>10013542479</v>
      </c>
      <c r="J2169" s="2" t="s">
        <v>1394</v>
      </c>
      <c r="K2169" s="10">
        <v>610936</v>
      </c>
      <c r="L2169" s="10">
        <v>0</v>
      </c>
      <c r="M2169" s="10">
        <v>610936</v>
      </c>
      <c r="N2169" s="10">
        <v>110936</v>
      </c>
      <c r="O2169" s="10">
        <f>Table1[[#This Row],[NET Amount]]-Table1[[#This Row],[Paid Amount]]</f>
        <v>500000</v>
      </c>
      <c r="P2169" s="2" t="s">
        <v>23</v>
      </c>
      <c r="Q2169" s="2" t="s">
        <v>52</v>
      </c>
      <c r="R2169" s="16">
        <f>(Table1[[#This Row],[NET Amount]]-Table1[[#This Row],[Total Outstanding Amount]])/Table1[[#This Row],[NET Amount]]</f>
        <v>0.18158366833841844</v>
      </c>
      <c r="S2169" s="2" t="s">
        <v>77</v>
      </c>
    </row>
    <row r="2170" spans="1:19" x14ac:dyDescent="0.3">
      <c r="A2170" s="4">
        <v>2168</v>
      </c>
      <c r="B2170" s="2" t="s">
        <v>115</v>
      </c>
      <c r="C2170" s="3">
        <v>44862</v>
      </c>
      <c r="D2170" s="3" t="str">
        <f>TEXT(Table1[[#This Row],[Admission Date]],"MMMM")</f>
        <v>October</v>
      </c>
      <c r="E2170" s="3">
        <v>44863</v>
      </c>
      <c r="F2170" s="3">
        <v>44863</v>
      </c>
      <c r="G2170" s="2">
        <v>22029080</v>
      </c>
      <c r="H2170" s="2">
        <v>2237750</v>
      </c>
      <c r="I2170" s="2">
        <v>1001121625</v>
      </c>
      <c r="J2170" s="2" t="s">
        <v>1395</v>
      </c>
      <c r="K2170" s="10">
        <v>54207</v>
      </c>
      <c r="L2170" s="10">
        <v>7607</v>
      </c>
      <c r="M2170" s="10">
        <v>46600</v>
      </c>
      <c r="N2170" s="10">
        <v>6487</v>
      </c>
      <c r="O2170" s="10">
        <f>Table1[[#This Row],[NET Amount]]-Table1[[#This Row],[Paid Amount]]</f>
        <v>40113</v>
      </c>
      <c r="P2170" s="2" t="s">
        <v>23</v>
      </c>
      <c r="Q2170" s="2" t="s">
        <v>42</v>
      </c>
      <c r="R2170" s="16">
        <f>(Table1[[#This Row],[NET Amount]]-Table1[[#This Row],[Total Outstanding Amount]])/Table1[[#This Row],[NET Amount]]</f>
        <v>0.13920600858369098</v>
      </c>
      <c r="S2170" s="2" t="s">
        <v>20</v>
      </c>
    </row>
    <row r="2171" spans="1:19" x14ac:dyDescent="0.3">
      <c r="A2171" s="4">
        <v>2169</v>
      </c>
      <c r="B2171" s="2" t="s">
        <v>50</v>
      </c>
      <c r="C2171" s="3">
        <v>44846</v>
      </c>
      <c r="D2171" s="3" t="str">
        <f>TEXT(Table1[[#This Row],[Admission Date]],"MMMM")</f>
        <v>October</v>
      </c>
      <c r="E2171" s="3">
        <v>44848</v>
      </c>
      <c r="F2171" s="3">
        <v>44848</v>
      </c>
      <c r="G2171" s="2">
        <v>22026995</v>
      </c>
      <c r="H2171" s="2">
        <v>2235711</v>
      </c>
      <c r="I2171" s="2">
        <v>10013542699</v>
      </c>
      <c r="J2171" s="2" t="s">
        <v>1396</v>
      </c>
      <c r="K2171" s="10">
        <v>202335</v>
      </c>
      <c r="L2171" s="10">
        <v>225</v>
      </c>
      <c r="M2171" s="10">
        <v>202110</v>
      </c>
      <c r="N2171" s="10">
        <v>41622</v>
      </c>
      <c r="O2171" s="10">
        <f>Table1[[#This Row],[NET Amount]]-Table1[[#This Row],[Paid Amount]]</f>
        <v>160488</v>
      </c>
      <c r="P2171" s="2" t="s">
        <v>23</v>
      </c>
      <c r="Q2171" s="2" t="s">
        <v>47</v>
      </c>
      <c r="R2171" s="16">
        <f>(Table1[[#This Row],[NET Amount]]-Table1[[#This Row],[Total Outstanding Amount]])/Table1[[#This Row],[NET Amount]]</f>
        <v>0.20593736084310524</v>
      </c>
      <c r="S2171" s="2" t="s">
        <v>39</v>
      </c>
    </row>
    <row r="2172" spans="1:19" x14ac:dyDescent="0.3">
      <c r="A2172" s="4">
        <v>2170</v>
      </c>
      <c r="B2172" s="2" t="s">
        <v>45</v>
      </c>
      <c r="C2172" s="3">
        <v>44863</v>
      </c>
      <c r="D2172" s="3" t="str">
        <f>TEXT(Table1[[#This Row],[Admission Date]],"MMMM")</f>
        <v>October</v>
      </c>
      <c r="E2172" s="3">
        <v>44863</v>
      </c>
      <c r="F2172" s="3">
        <v>44863</v>
      </c>
      <c r="G2172" s="2">
        <v>22029130</v>
      </c>
      <c r="H2172" s="2">
        <v>2237920</v>
      </c>
      <c r="I2172" s="2">
        <v>1001176103</v>
      </c>
      <c r="J2172" s="2" t="s">
        <v>1397</v>
      </c>
      <c r="K2172" s="10">
        <v>82000</v>
      </c>
      <c r="L2172" s="10">
        <v>0</v>
      </c>
      <c r="M2172" s="10">
        <v>82000</v>
      </c>
      <c r="N2172" s="10">
        <v>3075</v>
      </c>
      <c r="O2172" s="10">
        <f>Table1[[#This Row],[NET Amount]]-Table1[[#This Row],[Paid Amount]]</f>
        <v>78925</v>
      </c>
      <c r="P2172" s="2" t="s">
        <v>23</v>
      </c>
      <c r="Q2172" s="2" t="s">
        <v>147</v>
      </c>
      <c r="R2172" s="16">
        <f>(Table1[[#This Row],[NET Amount]]-Table1[[#This Row],[Total Outstanding Amount]])/Table1[[#This Row],[NET Amount]]</f>
        <v>3.7499999999999999E-2</v>
      </c>
      <c r="S2172" s="2" t="s">
        <v>27</v>
      </c>
    </row>
    <row r="2173" spans="1:19" x14ac:dyDescent="0.3">
      <c r="A2173" s="4">
        <v>2171</v>
      </c>
      <c r="B2173" s="2" t="s">
        <v>126</v>
      </c>
      <c r="C2173" s="3">
        <v>44863</v>
      </c>
      <c r="D2173" s="3" t="str">
        <f>TEXT(Table1[[#This Row],[Admission Date]],"MMMM")</f>
        <v>October</v>
      </c>
      <c r="E2173" s="3">
        <v>44863</v>
      </c>
      <c r="F2173" s="3">
        <v>44863</v>
      </c>
      <c r="G2173" s="2">
        <v>22029139</v>
      </c>
      <c r="H2173" s="2">
        <v>2237935</v>
      </c>
      <c r="I2173" s="2">
        <v>10013542693</v>
      </c>
      <c r="J2173" s="2" t="s">
        <v>1398</v>
      </c>
      <c r="K2173" s="10">
        <v>29500</v>
      </c>
      <c r="L2173" s="10">
        <v>0</v>
      </c>
      <c r="M2173" s="10">
        <v>29500</v>
      </c>
      <c r="N2173" s="10">
        <v>20157</v>
      </c>
      <c r="O2173" s="10">
        <f>Table1[[#This Row],[NET Amount]]-Table1[[#This Row],[Paid Amount]]</f>
        <v>9343</v>
      </c>
      <c r="P2173" s="2" t="s">
        <v>23</v>
      </c>
      <c r="Q2173" s="2" t="s">
        <v>54</v>
      </c>
      <c r="R2173" s="16">
        <f>(Table1[[#This Row],[NET Amount]]-Table1[[#This Row],[Total Outstanding Amount]])/Table1[[#This Row],[NET Amount]]</f>
        <v>0.68328813559322032</v>
      </c>
      <c r="S2173" s="2" t="s">
        <v>27</v>
      </c>
    </row>
    <row r="2174" spans="1:19" x14ac:dyDescent="0.3">
      <c r="A2174" s="4">
        <v>2172</v>
      </c>
      <c r="B2174" s="2" t="s">
        <v>50</v>
      </c>
      <c r="C2174" s="3">
        <v>44862</v>
      </c>
      <c r="D2174" s="3" t="str">
        <f>TEXT(Table1[[#This Row],[Admission Date]],"MMMM")</f>
        <v>October</v>
      </c>
      <c r="E2174" s="3">
        <v>44862</v>
      </c>
      <c r="F2174" s="3">
        <v>44862</v>
      </c>
      <c r="G2174" s="2">
        <v>22028850</v>
      </c>
      <c r="H2174" s="2">
        <v>2237760</v>
      </c>
      <c r="I2174" s="2">
        <v>1000891498</v>
      </c>
      <c r="J2174" s="2" t="s">
        <v>299</v>
      </c>
      <c r="K2174" s="10">
        <v>2200</v>
      </c>
      <c r="L2174" s="10">
        <v>0</v>
      </c>
      <c r="M2174" s="10">
        <v>2200</v>
      </c>
      <c r="N2174" s="10">
        <v>440</v>
      </c>
      <c r="O2174" s="10">
        <f>Table1[[#This Row],[NET Amount]]-Table1[[#This Row],[Paid Amount]]</f>
        <v>1760</v>
      </c>
      <c r="P2174" s="2" t="s">
        <v>23</v>
      </c>
      <c r="Q2174" s="2" t="s">
        <v>147</v>
      </c>
      <c r="R2174" s="16">
        <f>(Table1[[#This Row],[NET Amount]]-Table1[[#This Row],[Total Outstanding Amount]])/Table1[[#This Row],[NET Amount]]</f>
        <v>0.2</v>
      </c>
      <c r="S2174" s="2" t="s">
        <v>97</v>
      </c>
    </row>
    <row r="2175" spans="1:19" x14ac:dyDescent="0.3">
      <c r="A2175" s="4">
        <v>2173</v>
      </c>
      <c r="B2175" s="2" t="s">
        <v>2251</v>
      </c>
      <c r="C2175" s="3">
        <v>44862</v>
      </c>
      <c r="D2175" s="3" t="str">
        <f>TEXT(Table1[[#This Row],[Admission Date]],"MMMM")</f>
        <v>October</v>
      </c>
      <c r="E2175" s="3">
        <v>44863</v>
      </c>
      <c r="F2175" s="3">
        <v>44863</v>
      </c>
      <c r="G2175" s="2">
        <v>22029128</v>
      </c>
      <c r="H2175" s="2">
        <v>2237808</v>
      </c>
      <c r="I2175" s="2">
        <v>1001806793</v>
      </c>
      <c r="J2175" s="2" t="s">
        <v>1399</v>
      </c>
      <c r="K2175" s="10">
        <v>67263</v>
      </c>
      <c r="L2175" s="10">
        <v>0</v>
      </c>
      <c r="M2175" s="10">
        <v>67263</v>
      </c>
      <c r="N2175" s="10">
        <v>1000</v>
      </c>
      <c r="O2175" s="10">
        <f>Table1[[#This Row],[NET Amount]]-Table1[[#This Row],[Paid Amount]]</f>
        <v>66263</v>
      </c>
      <c r="P2175" s="2" t="s">
        <v>23</v>
      </c>
      <c r="Q2175" s="2" t="s">
        <v>30</v>
      </c>
      <c r="R2175" s="16">
        <f>(Table1[[#This Row],[NET Amount]]-Table1[[#This Row],[Total Outstanding Amount]])/Table1[[#This Row],[NET Amount]]</f>
        <v>1.4867014554807248E-2</v>
      </c>
      <c r="S2175" s="2" t="s">
        <v>77</v>
      </c>
    </row>
    <row r="2176" spans="1:19" x14ac:dyDescent="0.3">
      <c r="A2176" s="4">
        <v>2174</v>
      </c>
      <c r="B2176" s="2" t="s">
        <v>25</v>
      </c>
      <c r="C2176" s="3">
        <v>44851</v>
      </c>
      <c r="D2176" s="3" t="str">
        <f>TEXT(Table1[[#This Row],[Admission Date]],"MMMM")</f>
        <v>October</v>
      </c>
      <c r="E2176" s="3">
        <v>44852</v>
      </c>
      <c r="F2176" s="3">
        <v>44852</v>
      </c>
      <c r="G2176" s="2">
        <v>22027557</v>
      </c>
      <c r="H2176" s="2">
        <v>2236266</v>
      </c>
      <c r="I2176" s="2">
        <v>10013350001</v>
      </c>
      <c r="J2176" s="2" t="s">
        <v>1400</v>
      </c>
      <c r="K2176" s="10">
        <v>72630</v>
      </c>
      <c r="L2176" s="10">
        <v>8380</v>
      </c>
      <c r="M2176" s="10">
        <v>64250</v>
      </c>
      <c r="N2176" s="10">
        <v>64250</v>
      </c>
      <c r="O2176" s="10">
        <f>Table1[[#This Row],[NET Amount]]-Table1[[#This Row],[Paid Amount]]</f>
        <v>0</v>
      </c>
      <c r="P2176" s="2" t="s">
        <v>18</v>
      </c>
      <c r="Q2176" s="2" t="s">
        <v>24</v>
      </c>
      <c r="R2176" s="16">
        <f>(Table1[[#This Row],[NET Amount]]-Table1[[#This Row],[Total Outstanding Amount]])/Table1[[#This Row],[NET Amount]]</f>
        <v>1</v>
      </c>
      <c r="S2176" s="2" t="s">
        <v>39</v>
      </c>
    </row>
    <row r="2177" spans="1:19" x14ac:dyDescent="0.3">
      <c r="A2177" s="4">
        <v>2175</v>
      </c>
      <c r="B2177" s="2" t="s">
        <v>152</v>
      </c>
      <c r="C2177" s="3">
        <v>44832</v>
      </c>
      <c r="D2177" s="3" t="str">
        <f>TEXT(Table1[[#This Row],[Admission Date]],"MMMM")</f>
        <v>September</v>
      </c>
      <c r="E2177" s="3">
        <v>44836</v>
      </c>
      <c r="F2177" s="3">
        <v>44836</v>
      </c>
      <c r="G2177" s="2">
        <v>22025280</v>
      </c>
      <c r="H2177" s="2">
        <v>2233775</v>
      </c>
      <c r="I2177" s="2">
        <v>10013458099</v>
      </c>
      <c r="J2177" s="2" t="s">
        <v>1401</v>
      </c>
      <c r="K2177" s="10">
        <v>18739</v>
      </c>
      <c r="L2177" s="10">
        <v>0</v>
      </c>
      <c r="M2177" s="10">
        <v>18739</v>
      </c>
      <c r="N2177" s="10">
        <v>18739</v>
      </c>
      <c r="O2177" s="10">
        <f>Table1[[#This Row],[NET Amount]]-Table1[[#This Row],[Paid Amount]]</f>
        <v>0</v>
      </c>
      <c r="P2177" s="2" t="s">
        <v>18</v>
      </c>
      <c r="Q2177" s="2" t="s">
        <v>24</v>
      </c>
      <c r="R2177" s="16">
        <f>(Table1[[#This Row],[NET Amount]]-Table1[[#This Row],[Total Outstanding Amount]])/Table1[[#This Row],[NET Amount]]</f>
        <v>1</v>
      </c>
      <c r="S2177" s="2" t="s">
        <v>20</v>
      </c>
    </row>
    <row r="2178" spans="1:19" x14ac:dyDescent="0.3">
      <c r="A2178" s="4">
        <v>2176</v>
      </c>
      <c r="B2178" s="2" t="s">
        <v>559</v>
      </c>
      <c r="C2178" s="3">
        <v>44860</v>
      </c>
      <c r="D2178" s="3" t="str">
        <f>TEXT(Table1[[#This Row],[Admission Date]],"MMMM")</f>
        <v>October</v>
      </c>
      <c r="E2178" s="3">
        <v>44865</v>
      </c>
      <c r="F2178" s="3">
        <v>44865</v>
      </c>
      <c r="G2178" s="2">
        <v>22029278</v>
      </c>
      <c r="H2178" s="2">
        <v>2237435</v>
      </c>
      <c r="I2178" s="2">
        <v>10013526975</v>
      </c>
      <c r="J2178" s="2" t="s">
        <v>1402</v>
      </c>
      <c r="K2178" s="10">
        <v>189257</v>
      </c>
      <c r="L2178" s="10">
        <v>0</v>
      </c>
      <c r="M2178" s="10">
        <v>189257</v>
      </c>
      <c r="N2178" s="10">
        <v>189257</v>
      </c>
      <c r="O2178" s="10">
        <f>Table1[[#This Row],[NET Amount]]-Table1[[#This Row],[Paid Amount]]</f>
        <v>0</v>
      </c>
      <c r="P2178" s="2" t="s">
        <v>18</v>
      </c>
      <c r="Q2178" s="2" t="s">
        <v>30</v>
      </c>
      <c r="R2178" s="16">
        <f>(Table1[[#This Row],[NET Amount]]-Table1[[#This Row],[Total Outstanding Amount]])/Table1[[#This Row],[NET Amount]]</f>
        <v>1</v>
      </c>
      <c r="S2178" s="2" t="s">
        <v>20</v>
      </c>
    </row>
    <row r="2179" spans="1:19" x14ac:dyDescent="0.3">
      <c r="A2179" s="4">
        <v>2177</v>
      </c>
      <c r="B2179" s="2" t="s">
        <v>149</v>
      </c>
      <c r="C2179" s="3">
        <v>44861</v>
      </c>
      <c r="D2179" s="3" t="str">
        <f>TEXT(Table1[[#This Row],[Admission Date]],"MMMM")</f>
        <v>October</v>
      </c>
      <c r="E2179" s="3">
        <v>44862</v>
      </c>
      <c r="F2179" s="3">
        <v>44862</v>
      </c>
      <c r="G2179" s="2">
        <v>22028909</v>
      </c>
      <c r="H2179" s="2">
        <v>2237652</v>
      </c>
      <c r="I2179" s="2">
        <v>10013544744</v>
      </c>
      <c r="J2179" s="2" t="s">
        <v>1403</v>
      </c>
      <c r="K2179" s="10">
        <v>41389</v>
      </c>
      <c r="L2179" s="10">
        <v>0</v>
      </c>
      <c r="M2179" s="10">
        <v>41389</v>
      </c>
      <c r="N2179" s="10">
        <v>41389</v>
      </c>
      <c r="O2179" s="10">
        <f>Table1[[#This Row],[NET Amount]]-Table1[[#This Row],[Paid Amount]]</f>
        <v>0</v>
      </c>
      <c r="P2179" s="2" t="s">
        <v>18</v>
      </c>
      <c r="Q2179" s="2" t="s">
        <v>30</v>
      </c>
      <c r="R2179" s="16">
        <f>(Table1[[#This Row],[NET Amount]]-Table1[[#This Row],[Total Outstanding Amount]])/Table1[[#This Row],[NET Amount]]</f>
        <v>1</v>
      </c>
      <c r="S2179" s="2" t="s">
        <v>32</v>
      </c>
    </row>
    <row r="2180" spans="1:19" x14ac:dyDescent="0.3">
      <c r="A2180" s="4">
        <v>2178</v>
      </c>
      <c r="B2180" s="2" t="s">
        <v>25</v>
      </c>
      <c r="C2180" s="3">
        <v>44861</v>
      </c>
      <c r="D2180" s="3" t="str">
        <f>TEXT(Table1[[#This Row],[Admission Date]],"MMMM")</f>
        <v>October</v>
      </c>
      <c r="E2180" s="3">
        <v>44864</v>
      </c>
      <c r="F2180" s="3">
        <v>44864</v>
      </c>
      <c r="G2180" s="2">
        <v>22029185</v>
      </c>
      <c r="H2180" s="2">
        <v>2237679</v>
      </c>
      <c r="I2180" s="2">
        <v>10013514304</v>
      </c>
      <c r="J2180" s="2" t="s">
        <v>1404</v>
      </c>
      <c r="K2180" s="10">
        <v>109308</v>
      </c>
      <c r="L2180" s="10">
        <v>13753</v>
      </c>
      <c r="M2180" s="10">
        <v>95555</v>
      </c>
      <c r="N2180" s="10">
        <v>95555</v>
      </c>
      <c r="O2180" s="10">
        <f>Table1[[#This Row],[NET Amount]]-Table1[[#This Row],[Paid Amount]]</f>
        <v>0</v>
      </c>
      <c r="P2180" s="2" t="s">
        <v>18</v>
      </c>
      <c r="Q2180" s="2" t="s">
        <v>30</v>
      </c>
      <c r="R2180" s="16">
        <f>(Table1[[#This Row],[NET Amount]]-Table1[[#This Row],[Total Outstanding Amount]])/Table1[[#This Row],[NET Amount]]</f>
        <v>1</v>
      </c>
      <c r="S2180" s="2" t="s">
        <v>27</v>
      </c>
    </row>
    <row r="2181" spans="1:19" x14ac:dyDescent="0.3">
      <c r="A2181" s="4">
        <v>2179</v>
      </c>
      <c r="B2181" s="2" t="s">
        <v>168</v>
      </c>
      <c r="C2181" s="3">
        <v>44862</v>
      </c>
      <c r="D2181" s="3" t="str">
        <f>TEXT(Table1[[#This Row],[Admission Date]],"MMMM")</f>
        <v>October</v>
      </c>
      <c r="E2181" s="3">
        <v>44864</v>
      </c>
      <c r="F2181" s="3">
        <v>44864</v>
      </c>
      <c r="G2181" s="2">
        <v>22029189</v>
      </c>
      <c r="H2181" s="2">
        <v>2237748</v>
      </c>
      <c r="I2181" s="2">
        <v>10013544613</v>
      </c>
      <c r="J2181" s="2" t="s">
        <v>1405</v>
      </c>
      <c r="K2181" s="10">
        <v>73155</v>
      </c>
      <c r="L2181" s="10">
        <v>0</v>
      </c>
      <c r="M2181" s="10">
        <v>73155</v>
      </c>
      <c r="N2181" s="10">
        <v>19155</v>
      </c>
      <c r="O2181" s="10">
        <f>Table1[[#This Row],[NET Amount]]-Table1[[#This Row],[Paid Amount]]</f>
        <v>54000</v>
      </c>
      <c r="P2181" s="2" t="s">
        <v>23</v>
      </c>
      <c r="Q2181" s="2" t="s">
        <v>42</v>
      </c>
      <c r="R2181" s="16">
        <f>(Table1[[#This Row],[NET Amount]]-Table1[[#This Row],[Total Outstanding Amount]])/Table1[[#This Row],[NET Amount]]</f>
        <v>0.26184129587861388</v>
      </c>
      <c r="S2181" s="2" t="s">
        <v>27</v>
      </c>
    </row>
    <row r="2182" spans="1:19" x14ac:dyDescent="0.3">
      <c r="A2182" s="4">
        <v>2180</v>
      </c>
      <c r="B2182" s="2" t="s">
        <v>25</v>
      </c>
      <c r="C2182" s="3">
        <v>44837</v>
      </c>
      <c r="D2182" s="3" t="str">
        <f>TEXT(Table1[[#This Row],[Admission Date]],"MMMM")</f>
        <v>October</v>
      </c>
      <c r="E2182" s="3">
        <v>44837</v>
      </c>
      <c r="F2182" s="3">
        <v>44837</v>
      </c>
      <c r="G2182" s="2">
        <v>22025342</v>
      </c>
      <c r="H2182" s="2">
        <v>2234368</v>
      </c>
      <c r="I2182" s="2">
        <v>1001314823</v>
      </c>
      <c r="J2182" s="2" t="s">
        <v>129</v>
      </c>
      <c r="K2182" s="10">
        <v>3630</v>
      </c>
      <c r="L2182" s="10">
        <v>311</v>
      </c>
      <c r="M2182" s="10">
        <v>3319</v>
      </c>
      <c r="N2182" s="10">
        <v>3319</v>
      </c>
      <c r="O2182" s="10">
        <f>Table1[[#This Row],[NET Amount]]-Table1[[#This Row],[Paid Amount]]</f>
        <v>0</v>
      </c>
      <c r="P2182" s="2" t="s">
        <v>18</v>
      </c>
      <c r="Q2182" s="2" t="s">
        <v>54</v>
      </c>
      <c r="R2182" s="16">
        <f>(Table1[[#This Row],[NET Amount]]-Table1[[#This Row],[Total Outstanding Amount]])/Table1[[#This Row],[NET Amount]]</f>
        <v>1</v>
      </c>
      <c r="S2182" s="2" t="s">
        <v>97</v>
      </c>
    </row>
    <row r="2183" spans="1:19" x14ac:dyDescent="0.3">
      <c r="A2183" s="4">
        <v>2181</v>
      </c>
      <c r="B2183" s="2" t="s">
        <v>91</v>
      </c>
      <c r="C2183" s="3">
        <v>44840</v>
      </c>
      <c r="D2183" s="3" t="str">
        <f>TEXT(Table1[[#This Row],[Admission Date]],"MMMM")</f>
        <v>October</v>
      </c>
      <c r="E2183" s="3">
        <v>44844</v>
      </c>
      <c r="F2183" s="3">
        <v>44844</v>
      </c>
      <c r="G2183" s="2">
        <v>22026378</v>
      </c>
      <c r="H2183" s="2">
        <v>2234807</v>
      </c>
      <c r="I2183" s="2">
        <v>10013541693</v>
      </c>
      <c r="J2183" s="2" t="s">
        <v>1406</v>
      </c>
      <c r="K2183" s="10">
        <v>126053</v>
      </c>
      <c r="L2183" s="10">
        <v>10492</v>
      </c>
      <c r="M2183" s="10">
        <v>115561</v>
      </c>
      <c r="N2183" s="10">
        <v>4874</v>
      </c>
      <c r="O2183" s="10">
        <f>Table1[[#This Row],[NET Amount]]-Table1[[#This Row],[Paid Amount]]</f>
        <v>110687</v>
      </c>
      <c r="P2183" s="2" t="s">
        <v>23</v>
      </c>
      <c r="Q2183" s="2" t="s">
        <v>47</v>
      </c>
      <c r="R2183" s="16">
        <f>(Table1[[#This Row],[NET Amount]]-Table1[[#This Row],[Total Outstanding Amount]])/Table1[[#This Row],[NET Amount]]</f>
        <v>4.2176858974913682E-2</v>
      </c>
      <c r="S2183" s="2" t="s">
        <v>39</v>
      </c>
    </row>
    <row r="2184" spans="1:19" x14ac:dyDescent="0.3">
      <c r="A2184" s="4">
        <v>2182</v>
      </c>
      <c r="B2184" s="2" t="s">
        <v>259</v>
      </c>
      <c r="C2184" s="3">
        <v>44861</v>
      </c>
      <c r="D2184" s="3" t="str">
        <f>TEXT(Table1[[#This Row],[Admission Date]],"MMMM")</f>
        <v>October</v>
      </c>
      <c r="E2184" s="3">
        <v>44865</v>
      </c>
      <c r="F2184" s="3">
        <v>44865</v>
      </c>
      <c r="G2184" s="2">
        <v>22029277</v>
      </c>
      <c r="H2184" s="2">
        <v>2237589</v>
      </c>
      <c r="I2184" s="2">
        <v>10013544668</v>
      </c>
      <c r="J2184" s="2" t="s">
        <v>1407</v>
      </c>
      <c r="K2184" s="10">
        <v>89158</v>
      </c>
      <c r="L2184" s="10">
        <v>0</v>
      </c>
      <c r="M2184" s="10">
        <v>89158</v>
      </c>
      <c r="N2184" s="10">
        <v>2151</v>
      </c>
      <c r="O2184" s="10">
        <f>Table1[[#This Row],[NET Amount]]-Table1[[#This Row],[Paid Amount]]</f>
        <v>87007</v>
      </c>
      <c r="P2184" s="2" t="s">
        <v>23</v>
      </c>
      <c r="Q2184" s="2" t="s">
        <v>30</v>
      </c>
      <c r="R2184" s="16">
        <f>(Table1[[#This Row],[NET Amount]]-Table1[[#This Row],[Total Outstanding Amount]])/Table1[[#This Row],[NET Amount]]</f>
        <v>2.4125709414746854E-2</v>
      </c>
      <c r="S2184" s="2" t="s">
        <v>20</v>
      </c>
    </row>
    <row r="2185" spans="1:19" x14ac:dyDescent="0.3">
      <c r="A2185" s="4">
        <v>2183</v>
      </c>
      <c r="B2185" s="2" t="s">
        <v>2246</v>
      </c>
      <c r="C2185" s="3">
        <v>44844</v>
      </c>
      <c r="D2185" s="3" t="str">
        <f>TEXT(Table1[[#This Row],[Admission Date]],"MMMM")</f>
        <v>October</v>
      </c>
      <c r="E2185" s="3">
        <v>44844</v>
      </c>
      <c r="F2185" s="3">
        <v>44844</v>
      </c>
      <c r="G2185" s="2">
        <v>22026350</v>
      </c>
      <c r="H2185" s="2">
        <v>2235331</v>
      </c>
      <c r="I2185" s="2">
        <v>1001788579</v>
      </c>
      <c r="J2185" s="2" t="s">
        <v>107</v>
      </c>
      <c r="K2185" s="10">
        <v>2172</v>
      </c>
      <c r="L2185" s="10">
        <v>0</v>
      </c>
      <c r="M2185" s="10">
        <v>2172</v>
      </c>
      <c r="N2185" s="10">
        <v>2172</v>
      </c>
      <c r="O2185" s="10">
        <f>Table1[[#This Row],[NET Amount]]-Table1[[#This Row],[Paid Amount]]</f>
        <v>0</v>
      </c>
      <c r="P2185" s="2" t="s">
        <v>18</v>
      </c>
      <c r="Q2185" s="2" t="s">
        <v>54</v>
      </c>
      <c r="R2185" s="16">
        <f>(Table1[[#This Row],[NET Amount]]-Table1[[#This Row],[Total Outstanding Amount]])/Table1[[#This Row],[NET Amount]]</f>
        <v>1</v>
      </c>
      <c r="S2185" s="2" t="s">
        <v>97</v>
      </c>
    </row>
    <row r="2186" spans="1:19" x14ac:dyDescent="0.3">
      <c r="A2186" s="4">
        <v>2184</v>
      </c>
      <c r="B2186" s="2" t="s">
        <v>139</v>
      </c>
      <c r="C2186" s="3">
        <v>44861</v>
      </c>
      <c r="D2186" s="3" t="str">
        <f>TEXT(Table1[[#This Row],[Admission Date]],"MMMM")</f>
        <v>October</v>
      </c>
      <c r="E2186" s="3">
        <v>44864</v>
      </c>
      <c r="F2186" s="3">
        <v>44864</v>
      </c>
      <c r="G2186" s="2">
        <v>22029204</v>
      </c>
      <c r="H2186" s="2">
        <v>2237730</v>
      </c>
      <c r="I2186" s="2">
        <v>1000947591</v>
      </c>
      <c r="J2186" s="2" t="s">
        <v>146</v>
      </c>
      <c r="K2186" s="10">
        <v>439530</v>
      </c>
      <c r="L2186" s="10">
        <v>0</v>
      </c>
      <c r="M2186" s="10">
        <v>439530</v>
      </c>
      <c r="N2186" s="10">
        <v>224730</v>
      </c>
      <c r="O2186" s="10">
        <f>Table1[[#This Row],[NET Amount]]-Table1[[#This Row],[Paid Amount]]</f>
        <v>214800</v>
      </c>
      <c r="P2186" s="2" t="s">
        <v>23</v>
      </c>
      <c r="Q2186" s="2" t="s">
        <v>47</v>
      </c>
      <c r="R2186" s="16">
        <f>(Table1[[#This Row],[NET Amount]]-Table1[[#This Row],[Total Outstanding Amount]])/Table1[[#This Row],[NET Amount]]</f>
        <v>0.51129615725889022</v>
      </c>
      <c r="S2186" s="2" t="s">
        <v>39</v>
      </c>
    </row>
    <row r="2187" spans="1:19" x14ac:dyDescent="0.3">
      <c r="A2187" s="4">
        <v>2185</v>
      </c>
      <c r="B2187" s="2" t="s">
        <v>21</v>
      </c>
      <c r="C2187" s="3">
        <v>44860</v>
      </c>
      <c r="D2187" s="3" t="str">
        <f>TEXT(Table1[[#This Row],[Admission Date]],"MMMM")</f>
        <v>October</v>
      </c>
      <c r="E2187" s="3">
        <v>44864</v>
      </c>
      <c r="F2187" s="3">
        <v>44864</v>
      </c>
      <c r="G2187" s="2">
        <v>22029233</v>
      </c>
      <c r="H2187" s="2">
        <v>2237563</v>
      </c>
      <c r="I2187" s="2">
        <v>1000993495</v>
      </c>
      <c r="J2187" s="2" t="s">
        <v>1408</v>
      </c>
      <c r="K2187" s="10">
        <v>72129</v>
      </c>
      <c r="L2187" s="10">
        <v>0</v>
      </c>
      <c r="M2187" s="10">
        <v>72129</v>
      </c>
      <c r="N2187" s="10">
        <v>72129</v>
      </c>
      <c r="O2187" s="10">
        <f>Table1[[#This Row],[NET Amount]]-Table1[[#This Row],[Paid Amount]]</f>
        <v>0</v>
      </c>
      <c r="P2187" s="2" t="s">
        <v>18</v>
      </c>
      <c r="Q2187" s="2" t="s">
        <v>24</v>
      </c>
      <c r="R2187" s="16">
        <f>(Table1[[#This Row],[NET Amount]]-Table1[[#This Row],[Total Outstanding Amount]])/Table1[[#This Row],[NET Amount]]</f>
        <v>1</v>
      </c>
      <c r="S2187" s="2" t="s">
        <v>20</v>
      </c>
    </row>
    <row r="2188" spans="1:19" x14ac:dyDescent="0.3">
      <c r="A2188" s="4">
        <v>2186</v>
      </c>
      <c r="B2188" s="2" t="s">
        <v>25</v>
      </c>
      <c r="C2188" s="3">
        <v>44842</v>
      </c>
      <c r="D2188" s="3" t="str">
        <f>TEXT(Table1[[#This Row],[Admission Date]],"MMMM")</f>
        <v>October</v>
      </c>
      <c r="E2188" s="3">
        <v>44842</v>
      </c>
      <c r="F2188" s="3">
        <v>44842</v>
      </c>
      <c r="G2188" s="2">
        <v>22026157</v>
      </c>
      <c r="H2188" s="2">
        <v>2235160</v>
      </c>
      <c r="I2188" s="2">
        <v>10013539422</v>
      </c>
      <c r="J2188" s="2" t="s">
        <v>552</v>
      </c>
      <c r="K2188" s="10">
        <v>2844</v>
      </c>
      <c r="L2188" s="10">
        <v>291</v>
      </c>
      <c r="M2188" s="10">
        <v>2553</v>
      </c>
      <c r="N2188" s="10">
        <v>2553</v>
      </c>
      <c r="O2188" s="10">
        <f>Table1[[#This Row],[NET Amount]]-Table1[[#This Row],[Paid Amount]]</f>
        <v>0</v>
      </c>
      <c r="P2188" s="2" t="s">
        <v>18</v>
      </c>
      <c r="Q2188" s="2" t="s">
        <v>54</v>
      </c>
      <c r="R2188" s="16">
        <f>(Table1[[#This Row],[NET Amount]]-Table1[[#This Row],[Total Outstanding Amount]])/Table1[[#This Row],[NET Amount]]</f>
        <v>1</v>
      </c>
      <c r="S2188" s="2" t="s">
        <v>97</v>
      </c>
    </row>
    <row r="2189" spans="1:19" x14ac:dyDescent="0.3">
      <c r="A2189" s="4">
        <v>2187</v>
      </c>
      <c r="B2189" s="2" t="s">
        <v>25</v>
      </c>
      <c r="C2189" s="3">
        <v>44840</v>
      </c>
      <c r="D2189" s="3" t="str">
        <f>TEXT(Table1[[#This Row],[Admission Date]],"MMMM")</f>
        <v>October</v>
      </c>
      <c r="E2189" s="3">
        <v>44844</v>
      </c>
      <c r="F2189" s="3">
        <v>44844</v>
      </c>
      <c r="G2189" s="2">
        <v>22026421</v>
      </c>
      <c r="H2189" s="2">
        <v>2234959</v>
      </c>
      <c r="I2189" s="2">
        <v>10013541891</v>
      </c>
      <c r="J2189" s="2" t="s">
        <v>1409</v>
      </c>
      <c r="K2189" s="10">
        <v>167554</v>
      </c>
      <c r="L2189" s="10">
        <v>20246</v>
      </c>
      <c r="M2189" s="10">
        <v>147307</v>
      </c>
      <c r="N2189" s="10">
        <v>147307</v>
      </c>
      <c r="O2189" s="10">
        <f>Table1[[#This Row],[NET Amount]]-Table1[[#This Row],[Paid Amount]]</f>
        <v>0</v>
      </c>
      <c r="P2189" s="2" t="s">
        <v>18</v>
      </c>
      <c r="Q2189" s="2" t="s">
        <v>24</v>
      </c>
      <c r="R2189" s="16">
        <f>(Table1[[#This Row],[NET Amount]]-Table1[[#This Row],[Total Outstanding Amount]])/Table1[[#This Row],[NET Amount]]</f>
        <v>1</v>
      </c>
      <c r="S2189" s="2" t="s">
        <v>39</v>
      </c>
    </row>
    <row r="2190" spans="1:19" x14ac:dyDescent="0.3">
      <c r="A2190" s="4">
        <v>2188</v>
      </c>
      <c r="B2190" s="2" t="s">
        <v>61</v>
      </c>
      <c r="C2190" s="3">
        <v>44839</v>
      </c>
      <c r="D2190" s="3" t="str">
        <f>TEXT(Table1[[#This Row],[Admission Date]],"MMMM")</f>
        <v>October</v>
      </c>
      <c r="E2190" s="3">
        <v>44844</v>
      </c>
      <c r="F2190" s="3">
        <v>44844</v>
      </c>
      <c r="G2190" s="2">
        <v>22026366</v>
      </c>
      <c r="H2190" s="2">
        <v>2234774</v>
      </c>
      <c r="I2190" s="2">
        <v>10013471616</v>
      </c>
      <c r="J2190" s="2" t="s">
        <v>121</v>
      </c>
      <c r="K2190" s="10">
        <v>133791</v>
      </c>
      <c r="L2190" s="10">
        <v>13382</v>
      </c>
      <c r="M2190" s="10">
        <v>120409</v>
      </c>
      <c r="N2190" s="10">
        <v>14704</v>
      </c>
      <c r="O2190" s="10">
        <f>Table1[[#This Row],[NET Amount]]-Table1[[#This Row],[Paid Amount]]</f>
        <v>105705</v>
      </c>
      <c r="P2190" s="2" t="s">
        <v>23</v>
      </c>
      <c r="Q2190" s="2" t="s">
        <v>30</v>
      </c>
      <c r="R2190" s="16">
        <f>(Table1[[#This Row],[NET Amount]]-Table1[[#This Row],[Total Outstanding Amount]])/Table1[[#This Row],[NET Amount]]</f>
        <v>0.12211711749121744</v>
      </c>
      <c r="S2190" s="2" t="s">
        <v>20</v>
      </c>
    </row>
    <row r="2191" spans="1:19" x14ac:dyDescent="0.3">
      <c r="A2191" s="4">
        <v>2189</v>
      </c>
      <c r="B2191" s="2" t="s">
        <v>149</v>
      </c>
      <c r="C2191" s="3">
        <v>44840</v>
      </c>
      <c r="D2191" s="3" t="str">
        <f>TEXT(Table1[[#This Row],[Admission Date]],"MMMM")</f>
        <v>October</v>
      </c>
      <c r="E2191" s="3">
        <v>44844</v>
      </c>
      <c r="F2191" s="3">
        <v>44844</v>
      </c>
      <c r="G2191" s="2">
        <v>22026385</v>
      </c>
      <c r="H2191" s="2">
        <v>2234910</v>
      </c>
      <c r="I2191" s="2">
        <v>10013541524</v>
      </c>
      <c r="J2191" s="2" t="s">
        <v>1410</v>
      </c>
      <c r="K2191" s="10">
        <v>43858</v>
      </c>
      <c r="L2191" s="10">
        <v>0</v>
      </c>
      <c r="M2191" s="10">
        <v>43858</v>
      </c>
      <c r="N2191" s="10">
        <v>1500</v>
      </c>
      <c r="O2191" s="10">
        <f>Table1[[#This Row],[NET Amount]]-Table1[[#This Row],[Paid Amount]]</f>
        <v>42358</v>
      </c>
      <c r="P2191" s="2" t="s">
        <v>23</v>
      </c>
      <c r="Q2191" s="2" t="s">
        <v>19</v>
      </c>
      <c r="R2191" s="16">
        <f>(Table1[[#This Row],[NET Amount]]-Table1[[#This Row],[Total Outstanding Amount]])/Table1[[#This Row],[NET Amount]]</f>
        <v>3.420128596835241E-2</v>
      </c>
      <c r="S2191" s="2" t="s">
        <v>20</v>
      </c>
    </row>
    <row r="2192" spans="1:19" x14ac:dyDescent="0.3">
      <c r="A2192" s="4">
        <v>2190</v>
      </c>
      <c r="B2192" s="2" t="s">
        <v>35</v>
      </c>
      <c r="C2192" s="3">
        <v>44865</v>
      </c>
      <c r="D2192" s="3" t="str">
        <f>TEXT(Table1[[#This Row],[Admission Date]],"MMMM")</f>
        <v>October</v>
      </c>
      <c r="E2192" s="3">
        <v>44865</v>
      </c>
      <c r="F2192" s="3">
        <v>44865</v>
      </c>
      <c r="G2192" s="2">
        <v>22029362</v>
      </c>
      <c r="H2192" s="2">
        <v>2238154</v>
      </c>
      <c r="I2192" s="2">
        <v>10013544002</v>
      </c>
      <c r="J2192" s="2" t="s">
        <v>1315</v>
      </c>
      <c r="K2192" s="10">
        <v>29533</v>
      </c>
      <c r="L2192" s="10">
        <v>0</v>
      </c>
      <c r="M2192" s="10">
        <v>29533</v>
      </c>
      <c r="N2192" s="10">
        <v>29533</v>
      </c>
      <c r="O2192" s="10">
        <f>Table1[[#This Row],[NET Amount]]-Table1[[#This Row],[Paid Amount]]</f>
        <v>0</v>
      </c>
      <c r="P2192" s="2" t="s">
        <v>18</v>
      </c>
      <c r="Q2192" s="2" t="s">
        <v>24</v>
      </c>
      <c r="R2192" s="16">
        <f>(Table1[[#This Row],[NET Amount]]-Table1[[#This Row],[Total Outstanding Amount]])/Table1[[#This Row],[NET Amount]]</f>
        <v>1</v>
      </c>
      <c r="S2192" s="2" t="s">
        <v>768</v>
      </c>
    </row>
    <row r="2193" spans="1:19" x14ac:dyDescent="0.3">
      <c r="A2193" s="4">
        <v>2191</v>
      </c>
      <c r="B2193" s="2" t="s">
        <v>75</v>
      </c>
      <c r="C2193" s="3">
        <v>44857</v>
      </c>
      <c r="D2193" s="3" t="str">
        <f>TEXT(Table1[[#This Row],[Admission Date]],"MMMM")</f>
        <v>October</v>
      </c>
      <c r="E2193" s="3">
        <v>44863</v>
      </c>
      <c r="F2193" s="3">
        <v>44863</v>
      </c>
      <c r="G2193" s="2">
        <v>22029123</v>
      </c>
      <c r="H2193" s="2">
        <v>2237203</v>
      </c>
      <c r="I2193" s="2">
        <v>10013544259</v>
      </c>
      <c r="J2193" s="2" t="s">
        <v>1411</v>
      </c>
      <c r="K2193" s="10">
        <v>126358</v>
      </c>
      <c r="L2193" s="10">
        <v>0</v>
      </c>
      <c r="M2193" s="10">
        <v>126358</v>
      </c>
      <c r="N2193" s="10">
        <v>31992</v>
      </c>
      <c r="O2193" s="10">
        <f>Table1[[#This Row],[NET Amount]]-Table1[[#This Row],[Paid Amount]]</f>
        <v>94366</v>
      </c>
      <c r="P2193" s="2" t="s">
        <v>23</v>
      </c>
      <c r="Q2193" s="2" t="s">
        <v>30</v>
      </c>
      <c r="R2193" s="16">
        <f>(Table1[[#This Row],[NET Amount]]-Table1[[#This Row],[Total Outstanding Amount]])/Table1[[#This Row],[NET Amount]]</f>
        <v>0.25318539388087813</v>
      </c>
      <c r="S2193" s="2" t="s">
        <v>20</v>
      </c>
    </row>
    <row r="2194" spans="1:19" x14ac:dyDescent="0.3">
      <c r="A2194" s="4">
        <v>2192</v>
      </c>
      <c r="B2194" s="2" t="s">
        <v>141</v>
      </c>
      <c r="C2194" s="3">
        <v>44863</v>
      </c>
      <c r="D2194" s="3" t="str">
        <f>TEXT(Table1[[#This Row],[Admission Date]],"MMMM")</f>
        <v>October</v>
      </c>
      <c r="E2194" s="3">
        <v>44865</v>
      </c>
      <c r="F2194" s="3">
        <v>44865</v>
      </c>
      <c r="G2194" s="2">
        <v>22029328</v>
      </c>
      <c r="H2194" s="2">
        <v>2237915</v>
      </c>
      <c r="I2194" s="2">
        <v>1001806901</v>
      </c>
      <c r="J2194" s="2" t="s">
        <v>1412</v>
      </c>
      <c r="K2194" s="10">
        <v>7565</v>
      </c>
      <c r="L2194" s="10">
        <v>0</v>
      </c>
      <c r="M2194" s="10">
        <v>7565</v>
      </c>
      <c r="N2194" s="10">
        <v>7565</v>
      </c>
      <c r="O2194" s="10">
        <f>Table1[[#This Row],[NET Amount]]-Table1[[#This Row],[Paid Amount]]</f>
        <v>0</v>
      </c>
      <c r="P2194" s="2" t="s">
        <v>18</v>
      </c>
      <c r="Q2194" s="2" t="s">
        <v>52</v>
      </c>
      <c r="R2194" s="16">
        <f>(Table1[[#This Row],[NET Amount]]-Table1[[#This Row],[Total Outstanding Amount]])/Table1[[#This Row],[NET Amount]]</f>
        <v>1</v>
      </c>
      <c r="S2194" s="2" t="s">
        <v>37</v>
      </c>
    </row>
    <row r="2195" spans="1:19" x14ac:dyDescent="0.3">
      <c r="A2195" s="4">
        <v>2193</v>
      </c>
      <c r="B2195" s="2" t="s">
        <v>25</v>
      </c>
      <c r="C2195" s="3">
        <v>44851</v>
      </c>
      <c r="D2195" s="3" t="str">
        <f>TEXT(Table1[[#This Row],[Admission Date]],"MMMM")</f>
        <v>October</v>
      </c>
      <c r="E2195" s="3">
        <v>44856</v>
      </c>
      <c r="F2195" s="3">
        <v>44856</v>
      </c>
      <c r="G2195" s="2">
        <v>22028218</v>
      </c>
      <c r="H2195" s="2">
        <v>2236424</v>
      </c>
      <c r="I2195" s="2">
        <v>10013511255</v>
      </c>
      <c r="J2195" s="2" t="s">
        <v>1413</v>
      </c>
      <c r="K2195" s="10">
        <v>138248</v>
      </c>
      <c r="L2195" s="10">
        <v>21124</v>
      </c>
      <c r="M2195" s="10">
        <v>117124</v>
      </c>
      <c r="N2195" s="10">
        <v>117124</v>
      </c>
      <c r="O2195" s="10">
        <f>Table1[[#This Row],[NET Amount]]-Table1[[#This Row],[Paid Amount]]</f>
        <v>0</v>
      </c>
      <c r="P2195" s="2" t="s">
        <v>18</v>
      </c>
      <c r="Q2195" s="2" t="s">
        <v>24</v>
      </c>
      <c r="R2195" s="16">
        <f>(Table1[[#This Row],[NET Amount]]-Table1[[#This Row],[Total Outstanding Amount]])/Table1[[#This Row],[NET Amount]]</f>
        <v>1</v>
      </c>
      <c r="S2195" s="2" t="s">
        <v>20</v>
      </c>
    </row>
    <row r="2196" spans="1:19" x14ac:dyDescent="0.3">
      <c r="A2196" s="4">
        <v>2194</v>
      </c>
      <c r="B2196" s="2" t="s">
        <v>50</v>
      </c>
      <c r="C2196" s="3">
        <v>44848</v>
      </c>
      <c r="D2196" s="3" t="str">
        <f>TEXT(Table1[[#This Row],[Admission Date]],"MMMM")</f>
        <v>October</v>
      </c>
      <c r="E2196" s="3">
        <v>44852</v>
      </c>
      <c r="F2196" s="3">
        <v>44852</v>
      </c>
      <c r="G2196" s="2">
        <v>22027561</v>
      </c>
      <c r="H2196" s="2">
        <v>2235990</v>
      </c>
      <c r="I2196" s="2">
        <v>1001804380</v>
      </c>
      <c r="J2196" s="2" t="s">
        <v>1414</v>
      </c>
      <c r="K2196" s="10">
        <v>86245</v>
      </c>
      <c r="L2196" s="10">
        <v>0</v>
      </c>
      <c r="M2196" s="10">
        <v>86245</v>
      </c>
      <c r="N2196" s="10">
        <v>3116</v>
      </c>
      <c r="O2196" s="10">
        <f>Table1[[#This Row],[NET Amount]]-Table1[[#This Row],[Paid Amount]]</f>
        <v>83129</v>
      </c>
      <c r="P2196" s="2" t="s">
        <v>23</v>
      </c>
      <c r="Q2196" s="2" t="s">
        <v>30</v>
      </c>
      <c r="R2196" s="16">
        <f>(Table1[[#This Row],[NET Amount]]-Table1[[#This Row],[Total Outstanding Amount]])/Table1[[#This Row],[NET Amount]]</f>
        <v>3.6129630703229172E-2</v>
      </c>
      <c r="S2196" s="2" t="s">
        <v>65</v>
      </c>
    </row>
    <row r="2197" spans="1:19" x14ac:dyDescent="0.3">
      <c r="A2197" s="4">
        <v>2195</v>
      </c>
      <c r="B2197" s="2" t="s">
        <v>259</v>
      </c>
      <c r="C2197" s="3">
        <v>44848</v>
      </c>
      <c r="D2197" s="3" t="str">
        <f>TEXT(Table1[[#This Row],[Admission Date]],"MMMM")</f>
        <v>October</v>
      </c>
      <c r="E2197" s="3">
        <v>44852</v>
      </c>
      <c r="F2197" s="3">
        <v>44852</v>
      </c>
      <c r="G2197" s="2">
        <v>22027576</v>
      </c>
      <c r="H2197" s="2">
        <v>2235900</v>
      </c>
      <c r="I2197" s="2">
        <v>10013536887</v>
      </c>
      <c r="J2197" s="2" t="s">
        <v>1415</v>
      </c>
      <c r="K2197" s="10">
        <v>79325</v>
      </c>
      <c r="L2197" s="10">
        <v>9545</v>
      </c>
      <c r="M2197" s="10">
        <v>69780</v>
      </c>
      <c r="N2197" s="10">
        <v>2125</v>
      </c>
      <c r="O2197" s="10">
        <f>Table1[[#This Row],[NET Amount]]-Table1[[#This Row],[Paid Amount]]</f>
        <v>67655</v>
      </c>
      <c r="P2197" s="2" t="s">
        <v>23</v>
      </c>
      <c r="Q2197" s="2" t="s">
        <v>24</v>
      </c>
      <c r="R2197" s="16">
        <f>(Table1[[#This Row],[NET Amount]]-Table1[[#This Row],[Total Outstanding Amount]])/Table1[[#This Row],[NET Amount]]</f>
        <v>3.0452851820005733E-2</v>
      </c>
      <c r="S2197" s="2" t="s">
        <v>20</v>
      </c>
    </row>
    <row r="2198" spans="1:19" x14ac:dyDescent="0.3">
      <c r="A2198" s="4">
        <v>2196</v>
      </c>
      <c r="B2198" s="2" t="s">
        <v>25</v>
      </c>
      <c r="C2198" s="3">
        <v>44863</v>
      </c>
      <c r="D2198" s="3" t="str">
        <f>TEXT(Table1[[#This Row],[Admission Date]],"MMMM")</f>
        <v>October</v>
      </c>
      <c r="E2198" s="3">
        <v>44864</v>
      </c>
      <c r="F2198" s="3">
        <v>44864</v>
      </c>
      <c r="G2198" s="2">
        <v>22029234</v>
      </c>
      <c r="H2198" s="2">
        <v>2237997</v>
      </c>
      <c r="I2198" s="2">
        <v>10013433199</v>
      </c>
      <c r="J2198" s="2" t="s">
        <v>1416</v>
      </c>
      <c r="K2198" s="10">
        <v>184154</v>
      </c>
      <c r="L2198" s="10">
        <v>0</v>
      </c>
      <c r="M2198" s="10">
        <v>184154</v>
      </c>
      <c r="N2198" s="10">
        <v>184154</v>
      </c>
      <c r="O2198" s="10">
        <f>Table1[[#This Row],[NET Amount]]-Table1[[#This Row],[Paid Amount]]</f>
        <v>0</v>
      </c>
      <c r="P2198" s="2" t="s">
        <v>18</v>
      </c>
      <c r="Q2198" s="2" t="s">
        <v>24</v>
      </c>
      <c r="R2198" s="16">
        <f>(Table1[[#This Row],[NET Amount]]-Table1[[#This Row],[Total Outstanding Amount]])/Table1[[#This Row],[NET Amount]]</f>
        <v>1</v>
      </c>
      <c r="S2198" s="2" t="s">
        <v>39</v>
      </c>
    </row>
    <row r="2199" spans="1:19" x14ac:dyDescent="0.3">
      <c r="A2199" s="4">
        <v>2197</v>
      </c>
      <c r="B2199" s="2" t="s">
        <v>139</v>
      </c>
      <c r="C2199" s="3">
        <v>44865</v>
      </c>
      <c r="D2199" s="3" t="str">
        <f>TEXT(Table1[[#This Row],[Admission Date]],"MMMM")</f>
        <v>October</v>
      </c>
      <c r="E2199" s="3">
        <v>44865</v>
      </c>
      <c r="F2199" s="3">
        <v>44865</v>
      </c>
      <c r="G2199" s="2">
        <v>22029386</v>
      </c>
      <c r="H2199" s="2">
        <v>2238248</v>
      </c>
      <c r="I2199" s="2">
        <v>10013353354</v>
      </c>
      <c r="J2199" s="2" t="s">
        <v>374</v>
      </c>
      <c r="K2199" s="10">
        <v>2200</v>
      </c>
      <c r="L2199" s="10">
        <v>0</v>
      </c>
      <c r="M2199" s="10">
        <v>2200</v>
      </c>
      <c r="N2199" s="10">
        <v>220</v>
      </c>
      <c r="O2199" s="10">
        <f>Table1[[#This Row],[NET Amount]]-Table1[[#This Row],[Paid Amount]]</f>
        <v>1980</v>
      </c>
      <c r="P2199" s="2" t="s">
        <v>23</v>
      </c>
      <c r="Q2199" s="2" t="s">
        <v>147</v>
      </c>
      <c r="R2199" s="16">
        <f>(Table1[[#This Row],[NET Amount]]-Table1[[#This Row],[Total Outstanding Amount]])/Table1[[#This Row],[NET Amount]]</f>
        <v>0.1</v>
      </c>
      <c r="S2199" s="2" t="s">
        <v>97</v>
      </c>
    </row>
    <row r="2200" spans="1:19" x14ac:dyDescent="0.3">
      <c r="A2200" s="4">
        <v>2198</v>
      </c>
      <c r="B2200" s="2" t="s">
        <v>259</v>
      </c>
      <c r="C2200" s="3">
        <v>44838</v>
      </c>
      <c r="D2200" s="3" t="str">
        <f>TEXT(Table1[[#This Row],[Admission Date]],"MMMM")</f>
        <v>October</v>
      </c>
      <c r="E2200" s="3">
        <v>44841</v>
      </c>
      <c r="F2200" s="3">
        <v>44841</v>
      </c>
      <c r="G2200" s="2">
        <v>22025947</v>
      </c>
      <c r="H2200" s="2">
        <v>2234497</v>
      </c>
      <c r="I2200" s="2">
        <v>1001802015</v>
      </c>
      <c r="J2200" s="2" t="s">
        <v>619</v>
      </c>
      <c r="K2200" s="10">
        <v>101250</v>
      </c>
      <c r="L2200" s="10">
        <v>607</v>
      </c>
      <c r="M2200" s="10">
        <v>100643</v>
      </c>
      <c r="N2200" s="10">
        <v>1500</v>
      </c>
      <c r="O2200" s="10">
        <f>Table1[[#This Row],[NET Amount]]-Table1[[#This Row],[Paid Amount]]</f>
        <v>99143</v>
      </c>
      <c r="P2200" s="2" t="s">
        <v>23</v>
      </c>
      <c r="Q2200" s="2" t="s">
        <v>24</v>
      </c>
      <c r="R2200" s="16">
        <f>(Table1[[#This Row],[NET Amount]]-Table1[[#This Row],[Total Outstanding Amount]])/Table1[[#This Row],[NET Amount]]</f>
        <v>1.4904166211261588E-2</v>
      </c>
      <c r="S2200" s="2" t="s">
        <v>27</v>
      </c>
    </row>
    <row r="2201" spans="1:19" x14ac:dyDescent="0.3">
      <c r="A2201" s="4">
        <v>2199</v>
      </c>
      <c r="B2201" s="2" t="s">
        <v>25</v>
      </c>
      <c r="C2201" s="3">
        <v>44838</v>
      </c>
      <c r="D2201" s="3" t="str">
        <f>TEXT(Table1[[#This Row],[Admission Date]],"MMMM")</f>
        <v>October</v>
      </c>
      <c r="E2201" s="3">
        <v>44838</v>
      </c>
      <c r="F2201" s="3">
        <v>44838</v>
      </c>
      <c r="G2201" s="2">
        <v>22025585</v>
      </c>
      <c r="H2201" s="2">
        <v>2234502</v>
      </c>
      <c r="I2201" s="2">
        <v>10013540761</v>
      </c>
      <c r="J2201" s="2" t="s">
        <v>1417</v>
      </c>
      <c r="K2201" s="10">
        <v>16709</v>
      </c>
      <c r="L2201" s="10">
        <v>2077</v>
      </c>
      <c r="M2201" s="10">
        <v>14632</v>
      </c>
      <c r="N2201" s="10">
        <v>14632</v>
      </c>
      <c r="O2201" s="10">
        <f>Table1[[#This Row],[NET Amount]]-Table1[[#This Row],[Paid Amount]]</f>
        <v>0</v>
      </c>
      <c r="P2201" s="2" t="s">
        <v>18</v>
      </c>
      <c r="Q2201" s="2" t="s">
        <v>54</v>
      </c>
      <c r="R2201" s="16">
        <f>(Table1[[#This Row],[NET Amount]]-Table1[[#This Row],[Total Outstanding Amount]])/Table1[[#This Row],[NET Amount]]</f>
        <v>1</v>
      </c>
      <c r="S2201" s="2" t="s">
        <v>27</v>
      </c>
    </row>
    <row r="2202" spans="1:19" x14ac:dyDescent="0.3">
      <c r="A2202" s="4">
        <v>2200</v>
      </c>
      <c r="B2202" s="2" t="s">
        <v>40</v>
      </c>
      <c r="C2202" s="3">
        <v>44835</v>
      </c>
      <c r="D2202" s="3" t="str">
        <f>TEXT(Table1[[#This Row],[Admission Date]],"MMMM")</f>
        <v>October</v>
      </c>
      <c r="E2202" s="3">
        <v>44844</v>
      </c>
      <c r="F2202" s="3">
        <v>44844</v>
      </c>
      <c r="G2202" s="2">
        <v>22026387</v>
      </c>
      <c r="H2202" s="2">
        <v>2234233</v>
      </c>
      <c r="I2202" s="2">
        <v>10013508141</v>
      </c>
      <c r="J2202" s="2" t="s">
        <v>1418</v>
      </c>
      <c r="K2202" s="10">
        <v>167378</v>
      </c>
      <c r="L2202" s="10">
        <v>13802</v>
      </c>
      <c r="M2202" s="10">
        <v>153576</v>
      </c>
      <c r="N2202" s="10">
        <v>54385</v>
      </c>
      <c r="O2202" s="10">
        <f>Table1[[#This Row],[NET Amount]]-Table1[[#This Row],[Paid Amount]]</f>
        <v>99191</v>
      </c>
      <c r="P2202" s="2" t="s">
        <v>23</v>
      </c>
      <c r="Q2202" s="2" t="s">
        <v>42</v>
      </c>
      <c r="R2202" s="16">
        <f>(Table1[[#This Row],[NET Amount]]-Table1[[#This Row],[Total Outstanding Amount]])/Table1[[#This Row],[NET Amount]]</f>
        <v>0.35412434234515811</v>
      </c>
      <c r="S2202" s="2" t="s">
        <v>20</v>
      </c>
    </row>
    <row r="2203" spans="1:19" x14ac:dyDescent="0.3">
      <c r="A2203" s="4">
        <v>2201</v>
      </c>
      <c r="B2203" s="2" t="s">
        <v>149</v>
      </c>
      <c r="C2203" s="3">
        <v>44852</v>
      </c>
      <c r="D2203" s="3" t="str">
        <f>TEXT(Table1[[#This Row],[Admission Date]],"MMMM")</f>
        <v>October</v>
      </c>
      <c r="E2203" s="3">
        <v>44853</v>
      </c>
      <c r="F2203" s="3">
        <v>44853</v>
      </c>
      <c r="G2203" s="2">
        <v>22027687</v>
      </c>
      <c r="H2203" s="2">
        <v>2236431</v>
      </c>
      <c r="I2203" s="2">
        <v>1000928664</v>
      </c>
      <c r="J2203" s="2" t="s">
        <v>1374</v>
      </c>
      <c r="K2203" s="10">
        <v>226443</v>
      </c>
      <c r="L2203" s="10">
        <v>135</v>
      </c>
      <c r="M2203" s="10">
        <v>226308</v>
      </c>
      <c r="N2203" s="10">
        <v>1500</v>
      </c>
      <c r="O2203" s="10">
        <f>Table1[[#This Row],[NET Amount]]-Table1[[#This Row],[Paid Amount]]</f>
        <v>224808</v>
      </c>
      <c r="P2203" s="2" t="s">
        <v>23</v>
      </c>
      <c r="Q2203" s="2" t="s">
        <v>47</v>
      </c>
      <c r="R2203" s="16">
        <f>(Table1[[#This Row],[NET Amount]]-Table1[[#This Row],[Total Outstanding Amount]])/Table1[[#This Row],[NET Amount]]</f>
        <v>6.6281351079060394E-3</v>
      </c>
      <c r="S2203" s="2" t="s">
        <v>39</v>
      </c>
    </row>
    <row r="2204" spans="1:19" x14ac:dyDescent="0.3">
      <c r="A2204" s="4">
        <v>2202</v>
      </c>
      <c r="B2204" s="2" t="s">
        <v>25</v>
      </c>
      <c r="C2204" s="3">
        <v>44853</v>
      </c>
      <c r="D2204" s="3" t="str">
        <f>TEXT(Table1[[#This Row],[Admission Date]],"MMMM")</f>
        <v>October</v>
      </c>
      <c r="E2204" s="3">
        <v>44853</v>
      </c>
      <c r="F2204" s="3">
        <v>44853</v>
      </c>
      <c r="G2204" s="2">
        <v>22027738</v>
      </c>
      <c r="H2204" s="2">
        <v>2236572</v>
      </c>
      <c r="I2204" s="2">
        <v>10013488602</v>
      </c>
      <c r="J2204" s="2" t="s">
        <v>1419</v>
      </c>
      <c r="K2204" s="10">
        <v>23013</v>
      </c>
      <c r="L2204" s="10">
        <v>2077</v>
      </c>
      <c r="M2204" s="10">
        <v>20936</v>
      </c>
      <c r="N2204" s="10">
        <v>20936</v>
      </c>
      <c r="O2204" s="10">
        <f>Table1[[#This Row],[NET Amount]]-Table1[[#This Row],[Paid Amount]]</f>
        <v>0</v>
      </c>
      <c r="P2204" s="2" t="s">
        <v>18</v>
      </c>
      <c r="Q2204" s="2" t="s">
        <v>54</v>
      </c>
      <c r="R2204" s="16">
        <f>(Table1[[#This Row],[NET Amount]]-Table1[[#This Row],[Total Outstanding Amount]])/Table1[[#This Row],[NET Amount]]</f>
        <v>1</v>
      </c>
      <c r="S2204" s="2" t="s">
        <v>27</v>
      </c>
    </row>
    <row r="2205" spans="1:19" x14ac:dyDescent="0.3">
      <c r="A2205" s="4">
        <v>2203</v>
      </c>
      <c r="B2205" s="2" t="s">
        <v>126</v>
      </c>
      <c r="C2205" s="3">
        <v>44850</v>
      </c>
      <c r="D2205" s="3" t="str">
        <f>TEXT(Table1[[#This Row],[Admission Date]],"MMMM")</f>
        <v>October</v>
      </c>
      <c r="E2205" s="3">
        <v>44853</v>
      </c>
      <c r="F2205" s="3">
        <v>44853</v>
      </c>
      <c r="G2205" s="2">
        <v>22027698</v>
      </c>
      <c r="H2205" s="2">
        <v>2236225</v>
      </c>
      <c r="I2205" s="2">
        <v>10013543241</v>
      </c>
      <c r="J2205" s="2" t="s">
        <v>1420</v>
      </c>
      <c r="K2205" s="10">
        <v>58460</v>
      </c>
      <c r="L2205" s="10">
        <v>8275</v>
      </c>
      <c r="M2205" s="10">
        <v>50185</v>
      </c>
      <c r="N2205" s="10">
        <v>3673</v>
      </c>
      <c r="O2205" s="10">
        <f>Table1[[#This Row],[NET Amount]]-Table1[[#This Row],[Paid Amount]]</f>
        <v>46512</v>
      </c>
      <c r="P2205" s="2" t="s">
        <v>23</v>
      </c>
      <c r="Q2205" s="2" t="s">
        <v>30</v>
      </c>
      <c r="R2205" s="16">
        <f>(Table1[[#This Row],[NET Amount]]-Table1[[#This Row],[Total Outstanding Amount]])/Table1[[#This Row],[NET Amount]]</f>
        <v>7.3189199960147458E-2</v>
      </c>
      <c r="S2205" s="2" t="s">
        <v>20</v>
      </c>
    </row>
    <row r="2206" spans="1:19" x14ac:dyDescent="0.3">
      <c r="A2206" s="4">
        <v>2204</v>
      </c>
      <c r="B2206" s="2" t="s">
        <v>122</v>
      </c>
      <c r="C2206" s="3">
        <v>44865</v>
      </c>
      <c r="D2206" s="3" t="str">
        <f>TEXT(Table1[[#This Row],[Admission Date]],"MMMM")</f>
        <v>October</v>
      </c>
      <c r="E2206" s="3">
        <v>44865</v>
      </c>
      <c r="F2206" s="3">
        <v>44865</v>
      </c>
      <c r="G2206" s="2">
        <v>22029392</v>
      </c>
      <c r="H2206" s="2">
        <v>2238256</v>
      </c>
      <c r="I2206" s="2">
        <v>1001087967</v>
      </c>
      <c r="J2206" s="2" t="s">
        <v>123</v>
      </c>
      <c r="K2206" s="10">
        <v>3519</v>
      </c>
      <c r="L2206" s="10">
        <v>3519</v>
      </c>
      <c r="M2206" s="10">
        <v>0</v>
      </c>
      <c r="N2206" s="10">
        <v>0</v>
      </c>
      <c r="O2206" s="10">
        <f>Table1[[#This Row],[NET Amount]]-Table1[[#This Row],[Paid Amount]]</f>
        <v>0</v>
      </c>
      <c r="P2206" s="2" t="s">
        <v>18</v>
      </c>
      <c r="Q2206" s="2" t="s">
        <v>54</v>
      </c>
      <c r="R2206" s="16" t="e">
        <f>(Table1[[#This Row],[NET Amount]]-Table1[[#This Row],[Total Outstanding Amount]])/Table1[[#This Row],[NET Amount]]</f>
        <v>#DIV/0!</v>
      </c>
      <c r="S2206" s="2" t="s">
        <v>97</v>
      </c>
    </row>
    <row r="2207" spans="1:19" x14ac:dyDescent="0.3">
      <c r="A2207" s="4">
        <v>2205</v>
      </c>
      <c r="B2207" s="2" t="s">
        <v>25</v>
      </c>
      <c r="C2207" s="3">
        <v>44840</v>
      </c>
      <c r="D2207" s="3" t="str">
        <f>TEXT(Table1[[#This Row],[Admission Date]],"MMMM")</f>
        <v>October</v>
      </c>
      <c r="E2207" s="3">
        <v>44840</v>
      </c>
      <c r="F2207" s="3">
        <v>44840</v>
      </c>
      <c r="G2207" s="2">
        <v>22025805</v>
      </c>
      <c r="H2207" s="2">
        <v>2234838</v>
      </c>
      <c r="I2207" s="2">
        <v>1001542684</v>
      </c>
      <c r="J2207" s="2" t="s">
        <v>176</v>
      </c>
      <c r="K2207" s="10">
        <v>4990</v>
      </c>
      <c r="L2207" s="10">
        <v>433</v>
      </c>
      <c r="M2207" s="10">
        <v>4557</v>
      </c>
      <c r="N2207" s="10">
        <v>4557</v>
      </c>
      <c r="O2207" s="10">
        <f>Table1[[#This Row],[NET Amount]]-Table1[[#This Row],[Paid Amount]]</f>
        <v>0</v>
      </c>
      <c r="P2207" s="2" t="s">
        <v>18</v>
      </c>
      <c r="Q2207" s="2" t="s">
        <v>54</v>
      </c>
      <c r="R2207" s="16">
        <f>(Table1[[#This Row],[NET Amount]]-Table1[[#This Row],[Total Outstanding Amount]])/Table1[[#This Row],[NET Amount]]</f>
        <v>1</v>
      </c>
      <c r="S2207" s="2" t="s">
        <v>97</v>
      </c>
    </row>
    <row r="2208" spans="1:19" x14ac:dyDescent="0.3">
      <c r="A2208" s="4">
        <v>2206</v>
      </c>
      <c r="B2208" s="2" t="s">
        <v>25</v>
      </c>
      <c r="C2208" s="3">
        <v>44842</v>
      </c>
      <c r="D2208" s="3" t="str">
        <f>TEXT(Table1[[#This Row],[Admission Date]],"MMMM")</f>
        <v>October</v>
      </c>
      <c r="E2208" s="3">
        <v>44845</v>
      </c>
      <c r="F2208" s="3">
        <v>44845</v>
      </c>
      <c r="G2208" s="2">
        <v>22026609</v>
      </c>
      <c r="H2208" s="2">
        <v>2235193</v>
      </c>
      <c r="I2208" s="2">
        <v>10013542101</v>
      </c>
      <c r="J2208" s="2" t="s">
        <v>1421</v>
      </c>
      <c r="K2208" s="10">
        <v>73685</v>
      </c>
      <c r="L2208" s="10">
        <v>8510</v>
      </c>
      <c r="M2208" s="10">
        <v>65175</v>
      </c>
      <c r="N2208" s="10">
        <v>65175</v>
      </c>
      <c r="O2208" s="10">
        <f>Table1[[#This Row],[NET Amount]]-Table1[[#This Row],[Paid Amount]]</f>
        <v>0</v>
      </c>
      <c r="P2208" s="2" t="s">
        <v>18</v>
      </c>
      <c r="Q2208" s="2" t="s">
        <v>24</v>
      </c>
      <c r="R2208" s="16">
        <f>(Table1[[#This Row],[NET Amount]]-Table1[[#This Row],[Total Outstanding Amount]])/Table1[[#This Row],[NET Amount]]</f>
        <v>1</v>
      </c>
      <c r="S2208" s="2" t="s">
        <v>27</v>
      </c>
    </row>
    <row r="2209" spans="1:19" x14ac:dyDescent="0.3">
      <c r="A2209" s="4">
        <v>2207</v>
      </c>
      <c r="B2209" s="2" t="s">
        <v>93</v>
      </c>
      <c r="C2209" s="3">
        <v>44839</v>
      </c>
      <c r="D2209" s="3" t="str">
        <f>TEXT(Table1[[#This Row],[Admission Date]],"MMMM")</f>
        <v>October</v>
      </c>
      <c r="E2209" s="3">
        <v>44842</v>
      </c>
      <c r="F2209" s="3">
        <v>44842</v>
      </c>
      <c r="G2209" s="2">
        <v>22026105</v>
      </c>
      <c r="H2209" s="2">
        <v>2234661</v>
      </c>
      <c r="I2209" s="2">
        <v>1001802508</v>
      </c>
      <c r="J2209" s="2" t="s">
        <v>1422</v>
      </c>
      <c r="K2209" s="10">
        <v>80186</v>
      </c>
      <c r="L2209" s="10">
        <v>0</v>
      </c>
      <c r="M2209" s="10">
        <v>80186</v>
      </c>
      <c r="N2209" s="10">
        <v>11926</v>
      </c>
      <c r="O2209" s="10">
        <f>Table1[[#This Row],[NET Amount]]-Table1[[#This Row],[Paid Amount]]</f>
        <v>68260</v>
      </c>
      <c r="P2209" s="2" t="s">
        <v>23</v>
      </c>
      <c r="Q2209" s="2" t="s">
        <v>42</v>
      </c>
      <c r="R2209" s="16">
        <f>(Table1[[#This Row],[NET Amount]]-Table1[[#This Row],[Total Outstanding Amount]])/Table1[[#This Row],[NET Amount]]</f>
        <v>0.14872920459930661</v>
      </c>
      <c r="S2209" s="2" t="s">
        <v>37</v>
      </c>
    </row>
    <row r="2210" spans="1:19" x14ac:dyDescent="0.3">
      <c r="A2210" s="4">
        <v>2208</v>
      </c>
      <c r="B2210" s="2" t="s">
        <v>168</v>
      </c>
      <c r="C2210" s="3">
        <v>44842</v>
      </c>
      <c r="D2210" s="3" t="str">
        <f>TEXT(Table1[[#This Row],[Admission Date]],"MMMM")</f>
        <v>October</v>
      </c>
      <c r="E2210" s="3">
        <v>44844</v>
      </c>
      <c r="F2210" s="3">
        <v>44844</v>
      </c>
      <c r="G2210" s="2">
        <v>22026369</v>
      </c>
      <c r="H2210" s="2">
        <v>2235115</v>
      </c>
      <c r="I2210" s="2">
        <v>10013542115</v>
      </c>
      <c r="J2210" s="2" t="s">
        <v>1423</v>
      </c>
      <c r="K2210" s="10">
        <v>315654</v>
      </c>
      <c r="L2210" s="10">
        <v>0</v>
      </c>
      <c r="M2210" s="10">
        <v>315654</v>
      </c>
      <c r="N2210" s="10">
        <v>35651</v>
      </c>
      <c r="O2210" s="10">
        <f>Table1[[#This Row],[NET Amount]]-Table1[[#This Row],[Paid Amount]]</f>
        <v>280003</v>
      </c>
      <c r="P2210" s="2" t="s">
        <v>23</v>
      </c>
      <c r="Q2210" s="2" t="s">
        <v>47</v>
      </c>
      <c r="R2210" s="16">
        <f>(Table1[[#This Row],[NET Amount]]-Table1[[#This Row],[Total Outstanding Amount]])/Table1[[#This Row],[NET Amount]]</f>
        <v>0.11294328600302864</v>
      </c>
      <c r="S2210" s="2" t="s">
        <v>39</v>
      </c>
    </row>
    <row r="2211" spans="1:19" x14ac:dyDescent="0.3">
      <c r="A2211" s="4">
        <v>2209</v>
      </c>
      <c r="B2211" s="2" t="s">
        <v>25</v>
      </c>
      <c r="C2211" s="3">
        <v>44841</v>
      </c>
      <c r="D2211" s="3" t="str">
        <f>TEXT(Table1[[#This Row],[Admission Date]],"MMMM")</f>
        <v>October</v>
      </c>
      <c r="E2211" s="3">
        <v>44846</v>
      </c>
      <c r="F2211" s="3">
        <v>44846</v>
      </c>
      <c r="G2211" s="2">
        <v>22026751</v>
      </c>
      <c r="H2211" s="2">
        <v>2235104</v>
      </c>
      <c r="I2211" s="2">
        <v>10013393748</v>
      </c>
      <c r="J2211" s="2" t="s">
        <v>1424</v>
      </c>
      <c r="K2211" s="10">
        <v>220830</v>
      </c>
      <c r="L2211" s="10">
        <v>38752</v>
      </c>
      <c r="M2211" s="10">
        <v>182078</v>
      </c>
      <c r="N2211" s="10">
        <v>182078</v>
      </c>
      <c r="O2211" s="10">
        <f>Table1[[#This Row],[NET Amount]]-Table1[[#This Row],[Paid Amount]]</f>
        <v>0</v>
      </c>
      <c r="P2211" s="2" t="s">
        <v>18</v>
      </c>
      <c r="Q2211" s="2" t="s">
        <v>24</v>
      </c>
      <c r="R2211" s="16">
        <f>(Table1[[#This Row],[NET Amount]]-Table1[[#This Row],[Total Outstanding Amount]])/Table1[[#This Row],[NET Amount]]</f>
        <v>1</v>
      </c>
      <c r="S2211" s="2" t="s">
        <v>20</v>
      </c>
    </row>
    <row r="2212" spans="1:19" x14ac:dyDescent="0.3">
      <c r="A2212" s="4">
        <v>2210</v>
      </c>
      <c r="B2212" s="2" t="s">
        <v>35</v>
      </c>
      <c r="C2212" s="3">
        <v>44862</v>
      </c>
      <c r="D2212" s="3" t="str">
        <f>TEXT(Table1[[#This Row],[Admission Date]],"MMMM")</f>
        <v>October</v>
      </c>
      <c r="E2212" s="3">
        <v>44865</v>
      </c>
      <c r="F2212" s="3">
        <v>44865</v>
      </c>
      <c r="G2212" s="2">
        <v>22029364</v>
      </c>
      <c r="H2212" s="2">
        <v>2237742</v>
      </c>
      <c r="I2212" s="2">
        <v>10013544851</v>
      </c>
      <c r="J2212" s="2" t="s">
        <v>1425</v>
      </c>
      <c r="K2212" s="10">
        <v>21815</v>
      </c>
      <c r="L2212" s="10">
        <v>0</v>
      </c>
      <c r="M2212" s="10">
        <v>21815</v>
      </c>
      <c r="N2212" s="10">
        <v>21815</v>
      </c>
      <c r="O2212" s="10">
        <f>Table1[[#This Row],[NET Amount]]-Table1[[#This Row],[Paid Amount]]</f>
        <v>0</v>
      </c>
      <c r="P2212" s="2" t="s">
        <v>18</v>
      </c>
      <c r="Q2212" s="2" t="s">
        <v>24</v>
      </c>
      <c r="R2212" s="16">
        <f>(Table1[[#This Row],[NET Amount]]-Table1[[#This Row],[Total Outstanding Amount]])/Table1[[#This Row],[NET Amount]]</f>
        <v>1</v>
      </c>
      <c r="S2212" s="2" t="s">
        <v>20</v>
      </c>
    </row>
    <row r="2213" spans="1:19" x14ac:dyDescent="0.3">
      <c r="A2213" s="4">
        <v>2211</v>
      </c>
      <c r="B2213" s="2" t="s">
        <v>559</v>
      </c>
      <c r="C2213" s="3">
        <v>44850</v>
      </c>
      <c r="D2213" s="3" t="str">
        <f>TEXT(Table1[[#This Row],[Admission Date]],"MMMM")</f>
        <v>October</v>
      </c>
      <c r="E2213" s="3">
        <v>44853</v>
      </c>
      <c r="F2213" s="3">
        <v>44853</v>
      </c>
      <c r="G2213" s="2">
        <v>22027695</v>
      </c>
      <c r="H2213" s="2">
        <v>2236239</v>
      </c>
      <c r="I2213" s="2">
        <v>10013543261</v>
      </c>
      <c r="J2213" s="2" t="s">
        <v>1426</v>
      </c>
      <c r="K2213" s="10">
        <v>55597</v>
      </c>
      <c r="L2213" s="10">
        <v>5106</v>
      </c>
      <c r="M2213" s="10">
        <v>50490</v>
      </c>
      <c r="N2213" s="10">
        <v>1276</v>
      </c>
      <c r="O2213" s="10">
        <f>Table1[[#This Row],[NET Amount]]-Table1[[#This Row],[Paid Amount]]</f>
        <v>49214</v>
      </c>
      <c r="P2213" s="2" t="s">
        <v>23</v>
      </c>
      <c r="Q2213" s="2" t="s">
        <v>30</v>
      </c>
      <c r="R2213" s="16">
        <f>(Table1[[#This Row],[NET Amount]]-Table1[[#This Row],[Total Outstanding Amount]])/Table1[[#This Row],[NET Amount]]</f>
        <v>2.5272331154684097E-2</v>
      </c>
      <c r="S2213" s="2" t="s">
        <v>20</v>
      </c>
    </row>
    <row r="2214" spans="1:19" x14ac:dyDescent="0.3">
      <c r="A2214" s="4">
        <v>2212</v>
      </c>
      <c r="B2214" s="2" t="s">
        <v>149</v>
      </c>
      <c r="C2214" s="3">
        <v>44849</v>
      </c>
      <c r="D2214" s="3" t="str">
        <f>TEXT(Table1[[#This Row],[Admission Date]],"MMMM")</f>
        <v>October</v>
      </c>
      <c r="E2214" s="3">
        <v>44853</v>
      </c>
      <c r="F2214" s="3">
        <v>44853</v>
      </c>
      <c r="G2214" s="2">
        <v>22027711</v>
      </c>
      <c r="H2214" s="2">
        <v>2236116</v>
      </c>
      <c r="I2214" s="2">
        <v>1001803998</v>
      </c>
      <c r="J2214" s="2" t="s">
        <v>1216</v>
      </c>
      <c r="K2214" s="10">
        <v>99665</v>
      </c>
      <c r="L2214" s="10">
        <v>8245</v>
      </c>
      <c r="M2214" s="10">
        <v>91420</v>
      </c>
      <c r="N2214" s="10">
        <v>1500</v>
      </c>
      <c r="O2214" s="10">
        <f>Table1[[#This Row],[NET Amount]]-Table1[[#This Row],[Paid Amount]]</f>
        <v>89920</v>
      </c>
      <c r="P2214" s="2" t="s">
        <v>23</v>
      </c>
      <c r="Q2214" s="2" t="s">
        <v>47</v>
      </c>
      <c r="R2214" s="16">
        <f>(Table1[[#This Row],[NET Amount]]-Table1[[#This Row],[Total Outstanding Amount]])/Table1[[#This Row],[NET Amount]]</f>
        <v>1.6407788230146575E-2</v>
      </c>
      <c r="S2214" s="2" t="s">
        <v>39</v>
      </c>
    </row>
    <row r="2215" spans="1:19" x14ac:dyDescent="0.3">
      <c r="A2215" s="4">
        <v>2213</v>
      </c>
      <c r="B2215" s="2" t="s">
        <v>25</v>
      </c>
      <c r="C2215" s="3">
        <v>44834</v>
      </c>
      <c r="D2215" s="3" t="str">
        <f>TEXT(Table1[[#This Row],[Admission Date]],"MMMM")</f>
        <v>September</v>
      </c>
      <c r="E2215" s="3">
        <v>44837</v>
      </c>
      <c r="F2215" s="3">
        <v>44837</v>
      </c>
      <c r="G2215" s="2">
        <v>22025385</v>
      </c>
      <c r="H2215" s="2">
        <v>2234065</v>
      </c>
      <c r="I2215" s="2">
        <v>10013540880</v>
      </c>
      <c r="J2215" s="2" t="s">
        <v>632</v>
      </c>
      <c r="K2215" s="10">
        <v>82138</v>
      </c>
      <c r="L2215" s="10">
        <v>82138</v>
      </c>
      <c r="M2215" s="10">
        <v>0</v>
      </c>
      <c r="N2215" s="10">
        <v>0</v>
      </c>
      <c r="O2215" s="10">
        <f>Table1[[#This Row],[NET Amount]]-Table1[[#This Row],[Paid Amount]]</f>
        <v>0</v>
      </c>
      <c r="P2215" s="2" t="s">
        <v>18</v>
      </c>
      <c r="Q2215" s="2" t="s">
        <v>90</v>
      </c>
      <c r="R2215" s="16" t="e">
        <f>(Table1[[#This Row],[NET Amount]]-Table1[[#This Row],[Total Outstanding Amount]])/Table1[[#This Row],[NET Amount]]</f>
        <v>#DIV/0!</v>
      </c>
      <c r="S2215" s="2" t="s">
        <v>138</v>
      </c>
    </row>
    <row r="2216" spans="1:19" x14ac:dyDescent="0.3">
      <c r="A2216" s="4">
        <v>2214</v>
      </c>
      <c r="B2216" s="2" t="s">
        <v>522</v>
      </c>
      <c r="C2216" s="3">
        <v>44833</v>
      </c>
      <c r="D2216" s="3" t="str">
        <f>TEXT(Table1[[#This Row],[Admission Date]],"MMMM")</f>
        <v>September</v>
      </c>
      <c r="E2216" s="3">
        <v>44837</v>
      </c>
      <c r="F2216" s="3">
        <v>44837</v>
      </c>
      <c r="G2216" s="2">
        <v>22025405</v>
      </c>
      <c r="H2216" s="2">
        <v>2233972</v>
      </c>
      <c r="I2216" s="2">
        <v>1000854199</v>
      </c>
      <c r="J2216" s="2" t="s">
        <v>523</v>
      </c>
      <c r="K2216" s="10">
        <v>54775</v>
      </c>
      <c r="L2216" s="10">
        <v>0</v>
      </c>
      <c r="M2216" s="10">
        <v>54775</v>
      </c>
      <c r="N2216" s="10">
        <v>6557</v>
      </c>
      <c r="O2216" s="10">
        <f>Table1[[#This Row],[NET Amount]]-Table1[[#This Row],[Paid Amount]]</f>
        <v>48218</v>
      </c>
      <c r="P2216" s="2" t="s">
        <v>23</v>
      </c>
      <c r="Q2216" s="2" t="s">
        <v>19</v>
      </c>
      <c r="R2216" s="16">
        <f>(Table1[[#This Row],[NET Amount]]-Table1[[#This Row],[Total Outstanding Amount]])/Table1[[#This Row],[NET Amount]]</f>
        <v>0.11970789593792788</v>
      </c>
      <c r="S2216" s="2" t="s">
        <v>95</v>
      </c>
    </row>
    <row r="2217" spans="1:19" x14ac:dyDescent="0.3">
      <c r="A2217" s="4">
        <v>2215</v>
      </c>
      <c r="B2217" s="2" t="s">
        <v>28</v>
      </c>
      <c r="C2217" s="3">
        <v>44844</v>
      </c>
      <c r="D2217" s="3" t="str">
        <f>TEXT(Table1[[#This Row],[Admission Date]],"MMMM")</f>
        <v>October</v>
      </c>
      <c r="E2217" s="3">
        <v>44845</v>
      </c>
      <c r="F2217" s="3">
        <v>44845</v>
      </c>
      <c r="G2217" s="2">
        <v>22026599</v>
      </c>
      <c r="H2217" s="2">
        <v>2235463</v>
      </c>
      <c r="I2217" s="2">
        <v>10013542470</v>
      </c>
      <c r="J2217" s="2" t="s">
        <v>1427</v>
      </c>
      <c r="K2217" s="10">
        <v>31751</v>
      </c>
      <c r="L2217" s="10">
        <v>0</v>
      </c>
      <c r="M2217" s="10">
        <v>31751</v>
      </c>
      <c r="N2217" s="10">
        <v>31751</v>
      </c>
      <c r="O2217" s="10">
        <f>Table1[[#This Row],[NET Amount]]-Table1[[#This Row],[Paid Amount]]</f>
        <v>0</v>
      </c>
      <c r="P2217" s="2" t="s">
        <v>18</v>
      </c>
      <c r="Q2217" s="2" t="s">
        <v>47</v>
      </c>
      <c r="R2217" s="16">
        <f>(Table1[[#This Row],[NET Amount]]-Table1[[#This Row],[Total Outstanding Amount]])/Table1[[#This Row],[NET Amount]]</f>
        <v>1</v>
      </c>
      <c r="S2217" s="2" t="s">
        <v>39</v>
      </c>
    </row>
    <row r="2218" spans="1:19" x14ac:dyDescent="0.3">
      <c r="A2218" s="4">
        <v>2216</v>
      </c>
      <c r="B2218" s="2" t="s">
        <v>35</v>
      </c>
      <c r="C2218" s="3">
        <v>44845</v>
      </c>
      <c r="D2218" s="3" t="str">
        <f>TEXT(Table1[[#This Row],[Admission Date]],"MMMM")</f>
        <v>October</v>
      </c>
      <c r="E2218" s="3">
        <v>44846</v>
      </c>
      <c r="F2218" s="3">
        <v>44846</v>
      </c>
      <c r="G2218" s="2">
        <v>22026717</v>
      </c>
      <c r="H2218" s="2">
        <v>2235485</v>
      </c>
      <c r="I2218" s="2">
        <v>10013433615</v>
      </c>
      <c r="J2218" s="2" t="s">
        <v>1428</v>
      </c>
      <c r="K2218" s="10">
        <v>23806</v>
      </c>
      <c r="L2218" s="10">
        <v>0</v>
      </c>
      <c r="M2218" s="10">
        <v>23806</v>
      </c>
      <c r="N2218" s="10">
        <v>23806</v>
      </c>
      <c r="O2218" s="10">
        <f>Table1[[#This Row],[NET Amount]]-Table1[[#This Row],[Paid Amount]]</f>
        <v>0</v>
      </c>
      <c r="P2218" s="2" t="s">
        <v>18</v>
      </c>
      <c r="Q2218" s="2" t="s">
        <v>24</v>
      </c>
      <c r="R2218" s="16">
        <f>(Table1[[#This Row],[NET Amount]]-Table1[[#This Row],[Total Outstanding Amount]])/Table1[[#This Row],[NET Amount]]</f>
        <v>1</v>
      </c>
      <c r="S2218" s="2" t="s">
        <v>138</v>
      </c>
    </row>
    <row r="2219" spans="1:19" x14ac:dyDescent="0.3">
      <c r="A2219" s="4">
        <v>2217</v>
      </c>
      <c r="B2219" s="2" t="s">
        <v>28</v>
      </c>
      <c r="C2219" s="3">
        <v>44847</v>
      </c>
      <c r="D2219" s="3" t="str">
        <f>TEXT(Table1[[#This Row],[Admission Date]],"MMMM")</f>
        <v>October</v>
      </c>
      <c r="E2219" s="3">
        <v>44853</v>
      </c>
      <c r="F2219" s="3">
        <v>44853</v>
      </c>
      <c r="G2219" s="2">
        <v>22027715</v>
      </c>
      <c r="H2219" s="2">
        <v>2235895</v>
      </c>
      <c r="I2219" s="2">
        <v>10013470784</v>
      </c>
      <c r="J2219" s="2" t="s">
        <v>1429</v>
      </c>
      <c r="K2219" s="10">
        <v>112247</v>
      </c>
      <c r="L2219" s="10">
        <v>0</v>
      </c>
      <c r="M2219" s="10">
        <v>112247</v>
      </c>
      <c r="N2219" s="10">
        <v>112247</v>
      </c>
      <c r="O2219" s="10">
        <f>Table1[[#This Row],[NET Amount]]-Table1[[#This Row],[Paid Amount]]</f>
        <v>0</v>
      </c>
      <c r="P2219" s="2" t="s">
        <v>18</v>
      </c>
      <c r="Q2219" s="2" t="s">
        <v>30</v>
      </c>
      <c r="R2219" s="16">
        <f>(Table1[[#This Row],[NET Amount]]-Table1[[#This Row],[Total Outstanding Amount]])/Table1[[#This Row],[NET Amount]]</f>
        <v>1</v>
      </c>
      <c r="S2219" s="2" t="s">
        <v>20</v>
      </c>
    </row>
    <row r="2220" spans="1:19" x14ac:dyDescent="0.3">
      <c r="A2220" s="4">
        <v>2218</v>
      </c>
      <c r="B2220" s="2" t="s">
        <v>25</v>
      </c>
      <c r="C2220" s="3">
        <v>44849</v>
      </c>
      <c r="D2220" s="3" t="str">
        <f>TEXT(Table1[[#This Row],[Admission Date]],"MMMM")</f>
        <v>October</v>
      </c>
      <c r="E2220" s="3">
        <v>44849</v>
      </c>
      <c r="F2220" s="3">
        <v>44849</v>
      </c>
      <c r="G2220" s="2">
        <v>22027121</v>
      </c>
      <c r="H2220" s="2">
        <v>2236077</v>
      </c>
      <c r="I2220" s="2">
        <v>1001575947</v>
      </c>
      <c r="J2220" s="2" t="s">
        <v>919</v>
      </c>
      <c r="K2220" s="10">
        <v>3729</v>
      </c>
      <c r="L2220" s="10">
        <v>290</v>
      </c>
      <c r="M2220" s="10">
        <v>3439</v>
      </c>
      <c r="N2220" s="10">
        <v>3439</v>
      </c>
      <c r="O2220" s="10">
        <f>Table1[[#This Row],[NET Amount]]-Table1[[#This Row],[Paid Amount]]</f>
        <v>0</v>
      </c>
      <c r="P2220" s="2" t="s">
        <v>18</v>
      </c>
      <c r="Q2220" s="2" t="s">
        <v>54</v>
      </c>
      <c r="R2220" s="16">
        <f>(Table1[[#This Row],[NET Amount]]-Table1[[#This Row],[Total Outstanding Amount]])/Table1[[#This Row],[NET Amount]]</f>
        <v>1</v>
      </c>
      <c r="S2220" s="2" t="s">
        <v>97</v>
      </c>
    </row>
    <row r="2221" spans="1:19" x14ac:dyDescent="0.3">
      <c r="A2221" s="4">
        <v>2219</v>
      </c>
      <c r="B2221" s="2" t="s">
        <v>25</v>
      </c>
      <c r="C2221" s="3">
        <v>44849</v>
      </c>
      <c r="D2221" s="3" t="str">
        <f>TEXT(Table1[[#This Row],[Admission Date]],"MMMM")</f>
        <v>October</v>
      </c>
      <c r="E2221" s="3">
        <v>44849</v>
      </c>
      <c r="F2221" s="3">
        <v>44849</v>
      </c>
      <c r="G2221" s="2">
        <v>22027124</v>
      </c>
      <c r="H2221" s="2">
        <v>2236082</v>
      </c>
      <c r="I2221" s="2">
        <v>10013407139</v>
      </c>
      <c r="J2221" s="2" t="s">
        <v>237</v>
      </c>
      <c r="K2221" s="10">
        <v>2844</v>
      </c>
      <c r="L2221" s="10">
        <v>308</v>
      </c>
      <c r="M2221" s="10">
        <v>2536</v>
      </c>
      <c r="N2221" s="10">
        <v>2536</v>
      </c>
      <c r="O2221" s="10">
        <f>Table1[[#This Row],[NET Amount]]-Table1[[#This Row],[Paid Amount]]</f>
        <v>0</v>
      </c>
      <c r="P2221" s="2" t="s">
        <v>18</v>
      </c>
      <c r="Q2221" s="2" t="s">
        <v>54</v>
      </c>
      <c r="R2221" s="16">
        <f>(Table1[[#This Row],[NET Amount]]-Table1[[#This Row],[Total Outstanding Amount]])/Table1[[#This Row],[NET Amount]]</f>
        <v>1</v>
      </c>
      <c r="S2221" s="2" t="s">
        <v>97</v>
      </c>
    </row>
    <row r="2222" spans="1:19" x14ac:dyDescent="0.3">
      <c r="A2222" s="4">
        <v>2220</v>
      </c>
      <c r="B2222" s="2" t="s">
        <v>50</v>
      </c>
      <c r="C2222" s="3">
        <v>44849</v>
      </c>
      <c r="D2222" s="3" t="str">
        <f>TEXT(Table1[[#This Row],[Admission Date]],"MMMM")</f>
        <v>October</v>
      </c>
      <c r="E2222" s="3">
        <v>44849</v>
      </c>
      <c r="F2222" s="3">
        <v>44849</v>
      </c>
      <c r="G2222" s="2">
        <v>22027137</v>
      </c>
      <c r="H2222" s="2">
        <v>2236102</v>
      </c>
      <c r="I2222" s="2">
        <v>1001105051</v>
      </c>
      <c r="J2222" s="2" t="s">
        <v>275</v>
      </c>
      <c r="K2222" s="10">
        <v>4840</v>
      </c>
      <c r="L2222" s="10">
        <v>0</v>
      </c>
      <c r="M2222" s="10">
        <v>4840</v>
      </c>
      <c r="N2222" s="10">
        <v>242</v>
      </c>
      <c r="O2222" s="10">
        <f>Table1[[#This Row],[NET Amount]]-Table1[[#This Row],[Paid Amount]]</f>
        <v>4598</v>
      </c>
      <c r="P2222" s="2" t="s">
        <v>23</v>
      </c>
      <c r="Q2222" s="2" t="s">
        <v>147</v>
      </c>
      <c r="R2222" s="16">
        <f>(Table1[[#This Row],[NET Amount]]-Table1[[#This Row],[Total Outstanding Amount]])/Table1[[#This Row],[NET Amount]]</f>
        <v>0.05</v>
      </c>
      <c r="S2222" s="2" t="s">
        <v>97</v>
      </c>
    </row>
    <row r="2223" spans="1:19" x14ac:dyDescent="0.3">
      <c r="A2223" s="4">
        <v>2221</v>
      </c>
      <c r="B2223" s="2" t="s">
        <v>25</v>
      </c>
      <c r="C2223" s="3">
        <v>44846</v>
      </c>
      <c r="D2223" s="3" t="str">
        <f>TEXT(Table1[[#This Row],[Admission Date]],"MMMM")</f>
        <v>October</v>
      </c>
      <c r="E2223" s="3">
        <v>44846</v>
      </c>
      <c r="F2223" s="3">
        <v>44846</v>
      </c>
      <c r="G2223" s="2">
        <v>22026750</v>
      </c>
      <c r="H2223" s="2">
        <v>2235643</v>
      </c>
      <c r="I2223" s="2">
        <v>10013541512</v>
      </c>
      <c r="J2223" s="2" t="s">
        <v>589</v>
      </c>
      <c r="K2223" s="10">
        <v>18940</v>
      </c>
      <c r="L2223" s="10">
        <v>2395</v>
      </c>
      <c r="M2223" s="10">
        <v>16544</v>
      </c>
      <c r="N2223" s="10">
        <v>16544</v>
      </c>
      <c r="O2223" s="10">
        <f>Table1[[#This Row],[NET Amount]]-Table1[[#This Row],[Paid Amount]]</f>
        <v>0</v>
      </c>
      <c r="P2223" s="2" t="s">
        <v>18</v>
      </c>
      <c r="Q2223" s="2" t="s">
        <v>54</v>
      </c>
      <c r="R2223" s="16">
        <f>(Table1[[#This Row],[NET Amount]]-Table1[[#This Row],[Total Outstanding Amount]])/Table1[[#This Row],[NET Amount]]</f>
        <v>1</v>
      </c>
      <c r="S2223" s="2" t="s">
        <v>27</v>
      </c>
    </row>
    <row r="2224" spans="1:19" x14ac:dyDescent="0.3">
      <c r="A2224" s="4">
        <v>2222</v>
      </c>
      <c r="B2224" s="2" t="s">
        <v>25</v>
      </c>
      <c r="C2224" s="3">
        <v>44851</v>
      </c>
      <c r="D2224" s="3" t="str">
        <f>TEXT(Table1[[#This Row],[Admission Date]],"MMMM")</f>
        <v>October</v>
      </c>
      <c r="E2224" s="3">
        <v>44854</v>
      </c>
      <c r="F2224" s="3">
        <v>44854</v>
      </c>
      <c r="G2224" s="2">
        <v>22027871</v>
      </c>
      <c r="H2224" s="2">
        <v>2236316</v>
      </c>
      <c r="I2224" s="2">
        <v>10013543363</v>
      </c>
      <c r="J2224" s="2" t="s">
        <v>1430</v>
      </c>
      <c r="K2224" s="10">
        <v>75943</v>
      </c>
      <c r="L2224" s="10">
        <v>9247</v>
      </c>
      <c r="M2224" s="10">
        <v>66696</v>
      </c>
      <c r="N2224" s="10">
        <v>66696</v>
      </c>
      <c r="O2224" s="10">
        <f>Table1[[#This Row],[NET Amount]]-Table1[[#This Row],[Paid Amount]]</f>
        <v>0</v>
      </c>
      <c r="P2224" s="2" t="s">
        <v>18</v>
      </c>
      <c r="Q2224" s="2" t="s">
        <v>24</v>
      </c>
      <c r="R2224" s="16">
        <f>(Table1[[#This Row],[NET Amount]]-Table1[[#This Row],[Total Outstanding Amount]])/Table1[[#This Row],[NET Amount]]</f>
        <v>1</v>
      </c>
      <c r="S2224" s="2" t="s">
        <v>20</v>
      </c>
    </row>
    <row r="2225" spans="1:19" x14ac:dyDescent="0.3">
      <c r="A2225" s="4">
        <v>2223</v>
      </c>
      <c r="B2225" s="2" t="s">
        <v>25</v>
      </c>
      <c r="C2225" s="3">
        <v>44840</v>
      </c>
      <c r="D2225" s="3" t="str">
        <f>TEXT(Table1[[#This Row],[Admission Date]],"MMMM")</f>
        <v>October</v>
      </c>
      <c r="E2225" s="3">
        <v>44845</v>
      </c>
      <c r="F2225" s="3">
        <v>44845</v>
      </c>
      <c r="G2225" s="2">
        <v>22026574</v>
      </c>
      <c r="H2225" s="2">
        <v>2234908</v>
      </c>
      <c r="I2225" s="2">
        <v>10013541856</v>
      </c>
      <c r="J2225" s="2" t="s">
        <v>1431</v>
      </c>
      <c r="K2225" s="10">
        <v>240472</v>
      </c>
      <c r="L2225" s="10">
        <v>22553</v>
      </c>
      <c r="M2225" s="10">
        <v>217918</v>
      </c>
      <c r="N2225" s="10">
        <v>217918</v>
      </c>
      <c r="O2225" s="10">
        <f>Table1[[#This Row],[NET Amount]]-Table1[[#This Row],[Paid Amount]]</f>
        <v>0</v>
      </c>
      <c r="P2225" s="2" t="s">
        <v>18</v>
      </c>
      <c r="Q2225" s="2" t="s">
        <v>24</v>
      </c>
      <c r="R2225" s="16">
        <f>(Table1[[#This Row],[NET Amount]]-Table1[[#This Row],[Total Outstanding Amount]])/Table1[[#This Row],[NET Amount]]</f>
        <v>1</v>
      </c>
      <c r="S2225" s="2" t="s">
        <v>39</v>
      </c>
    </row>
    <row r="2226" spans="1:19" x14ac:dyDescent="0.3">
      <c r="A2226" s="4">
        <v>2224</v>
      </c>
      <c r="B2226" s="2" t="s">
        <v>25</v>
      </c>
      <c r="C2226" s="3">
        <v>44848</v>
      </c>
      <c r="D2226" s="3" t="str">
        <f>TEXT(Table1[[#This Row],[Admission Date]],"MMMM")</f>
        <v>October</v>
      </c>
      <c r="E2226" s="3">
        <v>44848</v>
      </c>
      <c r="F2226" s="3">
        <v>44848</v>
      </c>
      <c r="G2226" s="2">
        <v>22027030</v>
      </c>
      <c r="H2226" s="2">
        <v>2235967</v>
      </c>
      <c r="I2226" s="2">
        <v>10013372212</v>
      </c>
      <c r="J2226" s="2" t="s">
        <v>338</v>
      </c>
      <c r="K2226" s="10">
        <v>4990</v>
      </c>
      <c r="L2226" s="10">
        <v>413</v>
      </c>
      <c r="M2226" s="10">
        <v>4577</v>
      </c>
      <c r="N2226" s="10">
        <v>4577</v>
      </c>
      <c r="O2226" s="10">
        <f>Table1[[#This Row],[NET Amount]]-Table1[[#This Row],[Paid Amount]]</f>
        <v>0</v>
      </c>
      <c r="P2226" s="2" t="s">
        <v>18</v>
      </c>
      <c r="Q2226" s="2" t="s">
        <v>54</v>
      </c>
      <c r="R2226" s="16">
        <f>(Table1[[#This Row],[NET Amount]]-Table1[[#This Row],[Total Outstanding Amount]])/Table1[[#This Row],[NET Amount]]</f>
        <v>1</v>
      </c>
      <c r="S2226" s="2" t="s">
        <v>97</v>
      </c>
    </row>
    <row r="2227" spans="1:19" x14ac:dyDescent="0.3">
      <c r="A2227" s="4">
        <v>2225</v>
      </c>
      <c r="B2227" s="2" t="s">
        <v>126</v>
      </c>
      <c r="C2227" s="3">
        <v>44848</v>
      </c>
      <c r="D2227" s="3" t="str">
        <f>TEXT(Table1[[#This Row],[Admission Date]],"MMMM")</f>
        <v>October</v>
      </c>
      <c r="E2227" s="3">
        <v>44854</v>
      </c>
      <c r="F2227" s="3">
        <v>44854</v>
      </c>
      <c r="G2227" s="2">
        <v>22027894</v>
      </c>
      <c r="H2227" s="2">
        <v>2236000</v>
      </c>
      <c r="I2227" s="2">
        <v>10013543044</v>
      </c>
      <c r="J2227" s="2" t="s">
        <v>1432</v>
      </c>
      <c r="K2227" s="10">
        <v>161968</v>
      </c>
      <c r="L2227" s="10">
        <v>14890</v>
      </c>
      <c r="M2227" s="10">
        <v>147078</v>
      </c>
      <c r="N2227" s="10">
        <v>61912</v>
      </c>
      <c r="O2227" s="10">
        <f>Table1[[#This Row],[NET Amount]]-Table1[[#This Row],[Paid Amount]]</f>
        <v>85166</v>
      </c>
      <c r="P2227" s="2" t="s">
        <v>23</v>
      </c>
      <c r="Q2227" s="2" t="s">
        <v>24</v>
      </c>
      <c r="R2227" s="16">
        <f>(Table1[[#This Row],[NET Amount]]-Table1[[#This Row],[Total Outstanding Amount]])/Table1[[#This Row],[NET Amount]]</f>
        <v>0.42094670854920518</v>
      </c>
      <c r="S2227" s="2" t="s">
        <v>20</v>
      </c>
    </row>
    <row r="2228" spans="1:19" x14ac:dyDescent="0.3">
      <c r="A2228" s="4">
        <v>2226</v>
      </c>
      <c r="B2228" s="2" t="s">
        <v>117</v>
      </c>
      <c r="C2228" s="3">
        <v>44847</v>
      </c>
      <c r="D2228" s="3" t="str">
        <f>TEXT(Table1[[#This Row],[Admission Date]],"MMMM")</f>
        <v>October</v>
      </c>
      <c r="E2228" s="3">
        <v>44848</v>
      </c>
      <c r="F2228" s="3">
        <v>44848</v>
      </c>
      <c r="G2228" s="2">
        <v>22026993</v>
      </c>
      <c r="H2228" s="2">
        <v>2235841</v>
      </c>
      <c r="I2228" s="2">
        <v>1001804156</v>
      </c>
      <c r="J2228" s="2" t="s">
        <v>508</v>
      </c>
      <c r="K2228" s="10">
        <v>161615</v>
      </c>
      <c r="L2228" s="10">
        <v>0</v>
      </c>
      <c r="M2228" s="10">
        <v>161615</v>
      </c>
      <c r="N2228" s="10">
        <v>161615</v>
      </c>
      <c r="O2228" s="10">
        <f>Table1[[#This Row],[NET Amount]]-Table1[[#This Row],[Paid Amount]]</f>
        <v>0</v>
      </c>
      <c r="P2228" s="2" t="s">
        <v>18</v>
      </c>
      <c r="Q2228" s="2" t="s">
        <v>24</v>
      </c>
      <c r="R2228" s="16">
        <f>(Table1[[#This Row],[NET Amount]]-Table1[[#This Row],[Total Outstanding Amount]])/Table1[[#This Row],[NET Amount]]</f>
        <v>1</v>
      </c>
      <c r="S2228" s="2" t="s">
        <v>39</v>
      </c>
    </row>
    <row r="2229" spans="1:19" x14ac:dyDescent="0.3">
      <c r="A2229" s="4">
        <v>2227</v>
      </c>
      <c r="B2229" s="2" t="s">
        <v>25</v>
      </c>
      <c r="C2229" s="3">
        <v>44842</v>
      </c>
      <c r="D2229" s="3" t="str">
        <f>TEXT(Table1[[#This Row],[Admission Date]],"MMMM")</f>
        <v>October</v>
      </c>
      <c r="E2229" s="3">
        <v>44849</v>
      </c>
      <c r="F2229" s="3">
        <v>44849</v>
      </c>
      <c r="G2229" s="2">
        <v>22027279</v>
      </c>
      <c r="H2229" s="2">
        <v>2235232</v>
      </c>
      <c r="I2229" s="2">
        <v>10013538841</v>
      </c>
      <c r="J2229" s="2" t="s">
        <v>1433</v>
      </c>
      <c r="K2229" s="10">
        <v>340762</v>
      </c>
      <c r="L2229" s="10">
        <v>340762</v>
      </c>
      <c r="M2229" s="10">
        <v>0</v>
      </c>
      <c r="N2229" s="10">
        <v>0</v>
      </c>
      <c r="O2229" s="10">
        <f>Table1[[#This Row],[NET Amount]]-Table1[[#This Row],[Paid Amount]]</f>
        <v>0</v>
      </c>
      <c r="P2229" s="2" t="s">
        <v>18</v>
      </c>
      <c r="Q2229" s="2" t="s">
        <v>90</v>
      </c>
      <c r="R2229" s="16" t="e">
        <f>(Table1[[#This Row],[NET Amount]]-Table1[[#This Row],[Total Outstanding Amount]])/Table1[[#This Row],[NET Amount]]</f>
        <v>#DIV/0!</v>
      </c>
      <c r="S2229" s="2" t="s">
        <v>95</v>
      </c>
    </row>
    <row r="2230" spans="1:19" x14ac:dyDescent="0.3">
      <c r="A2230" s="4">
        <v>2228</v>
      </c>
      <c r="B2230" s="2" t="s">
        <v>72</v>
      </c>
      <c r="C2230" s="3">
        <v>44847</v>
      </c>
      <c r="D2230" s="3" t="str">
        <f>TEXT(Table1[[#This Row],[Admission Date]],"MMMM")</f>
        <v>October</v>
      </c>
      <c r="E2230" s="3">
        <v>44848</v>
      </c>
      <c r="F2230" s="3">
        <v>44848</v>
      </c>
      <c r="G2230" s="2">
        <v>22027001</v>
      </c>
      <c r="H2230" s="2">
        <v>2235828</v>
      </c>
      <c r="I2230" s="2">
        <v>10013541863</v>
      </c>
      <c r="J2230" s="2" t="s">
        <v>2283</v>
      </c>
      <c r="K2230" s="10">
        <v>50162</v>
      </c>
      <c r="L2230" s="10">
        <v>3133</v>
      </c>
      <c r="M2230" s="10">
        <v>47029</v>
      </c>
      <c r="N2230" s="10">
        <v>23588</v>
      </c>
      <c r="O2230" s="10">
        <f>Table1[[#This Row],[NET Amount]]-Table1[[#This Row],[Paid Amount]]</f>
        <v>23441</v>
      </c>
      <c r="P2230" s="2" t="s">
        <v>23</v>
      </c>
      <c r="Q2230" s="2" t="s">
        <v>42</v>
      </c>
      <c r="R2230" s="16">
        <f>(Table1[[#This Row],[NET Amount]]-Table1[[#This Row],[Total Outstanding Amount]])/Table1[[#This Row],[NET Amount]]</f>
        <v>0.50156286546598905</v>
      </c>
      <c r="S2230" s="2" t="s">
        <v>43</v>
      </c>
    </row>
    <row r="2231" spans="1:19" x14ac:dyDescent="0.3">
      <c r="A2231" s="4">
        <v>2229</v>
      </c>
      <c r="B2231" s="2" t="s">
        <v>149</v>
      </c>
      <c r="C2231" s="3">
        <v>44858</v>
      </c>
      <c r="D2231" s="3" t="str">
        <f>TEXT(Table1[[#This Row],[Admission Date]],"MMMM")</f>
        <v>October</v>
      </c>
      <c r="E2231" s="3">
        <v>44863</v>
      </c>
      <c r="F2231" s="3">
        <v>44863</v>
      </c>
      <c r="G2231" s="2">
        <v>22029106</v>
      </c>
      <c r="H2231" s="2">
        <v>2237227</v>
      </c>
      <c r="I2231" s="2">
        <v>10013544296</v>
      </c>
      <c r="J2231" s="2" t="s">
        <v>1434</v>
      </c>
      <c r="K2231" s="10">
        <v>87493</v>
      </c>
      <c r="L2231" s="10">
        <v>0</v>
      </c>
      <c r="M2231" s="10">
        <v>87493</v>
      </c>
      <c r="N2231" s="10">
        <v>2802</v>
      </c>
      <c r="O2231" s="10">
        <f>Table1[[#This Row],[NET Amount]]-Table1[[#This Row],[Paid Amount]]</f>
        <v>84691</v>
      </c>
      <c r="P2231" s="2" t="s">
        <v>23</v>
      </c>
      <c r="Q2231" s="2" t="s">
        <v>24</v>
      </c>
      <c r="R2231" s="16">
        <f>(Table1[[#This Row],[NET Amount]]-Table1[[#This Row],[Total Outstanding Amount]])/Table1[[#This Row],[NET Amount]]</f>
        <v>3.2025419176391255E-2</v>
      </c>
      <c r="S2231" s="2" t="s">
        <v>20</v>
      </c>
    </row>
    <row r="2232" spans="1:19" x14ac:dyDescent="0.3">
      <c r="A2232" s="4">
        <v>2230</v>
      </c>
      <c r="B2232" s="2" t="s">
        <v>753</v>
      </c>
      <c r="C2232" s="3">
        <v>44842</v>
      </c>
      <c r="D2232" s="3" t="str">
        <f>TEXT(Table1[[#This Row],[Admission Date]],"MMMM")</f>
        <v>October</v>
      </c>
      <c r="E2232" s="3">
        <v>44845</v>
      </c>
      <c r="F2232" s="3">
        <v>44845</v>
      </c>
      <c r="G2232" s="2">
        <v>22026536</v>
      </c>
      <c r="H2232" s="2">
        <v>2235251</v>
      </c>
      <c r="I2232" s="2">
        <v>1001803359</v>
      </c>
      <c r="J2232" s="2" t="s">
        <v>1435</v>
      </c>
      <c r="K2232" s="10">
        <v>70925</v>
      </c>
      <c r="L2232" s="10">
        <v>0</v>
      </c>
      <c r="M2232" s="10">
        <v>70925</v>
      </c>
      <c r="N2232" s="10">
        <v>1939</v>
      </c>
      <c r="O2232" s="10">
        <f>Table1[[#This Row],[NET Amount]]-Table1[[#This Row],[Paid Amount]]</f>
        <v>68986</v>
      </c>
      <c r="P2232" s="2" t="s">
        <v>23</v>
      </c>
      <c r="Q2232" s="2" t="s">
        <v>30</v>
      </c>
      <c r="R2232" s="16">
        <f>(Table1[[#This Row],[NET Amount]]-Table1[[#This Row],[Total Outstanding Amount]])/Table1[[#This Row],[NET Amount]]</f>
        <v>2.7338738103630595E-2</v>
      </c>
      <c r="S2232" s="2" t="s">
        <v>27</v>
      </c>
    </row>
    <row r="2233" spans="1:19" x14ac:dyDescent="0.3">
      <c r="A2233" s="4">
        <v>2231</v>
      </c>
      <c r="B2233" s="2" t="s">
        <v>117</v>
      </c>
      <c r="C2233" s="3">
        <v>44841</v>
      </c>
      <c r="D2233" s="3" t="str">
        <f>TEXT(Table1[[#This Row],[Admission Date]],"MMMM")</f>
        <v>October</v>
      </c>
      <c r="E2233" s="3">
        <v>44841</v>
      </c>
      <c r="F2233" s="3">
        <v>44841</v>
      </c>
      <c r="G2233" s="2">
        <v>22026047</v>
      </c>
      <c r="H2233" s="2">
        <v>2234994</v>
      </c>
      <c r="I2233" s="2">
        <v>1001773920</v>
      </c>
      <c r="J2233" s="2" t="s">
        <v>1436</v>
      </c>
      <c r="K2233" s="10">
        <v>9220</v>
      </c>
      <c r="L2233" s="10">
        <v>0</v>
      </c>
      <c r="M2233" s="10">
        <v>9220</v>
      </c>
      <c r="N2233" s="10">
        <v>9220</v>
      </c>
      <c r="O2233" s="10">
        <f>Table1[[#This Row],[NET Amount]]-Table1[[#This Row],[Paid Amount]]</f>
        <v>0</v>
      </c>
      <c r="P2233" s="2" t="s">
        <v>18</v>
      </c>
      <c r="Q2233" s="2" t="s">
        <v>24</v>
      </c>
      <c r="R2233" s="16">
        <f>(Table1[[#This Row],[NET Amount]]-Table1[[#This Row],[Total Outstanding Amount]])/Table1[[#This Row],[NET Amount]]</f>
        <v>1</v>
      </c>
      <c r="S2233" s="2" t="s">
        <v>43</v>
      </c>
    </row>
    <row r="2234" spans="1:19" x14ac:dyDescent="0.3">
      <c r="A2234" s="4">
        <v>2232</v>
      </c>
      <c r="B2234" s="2" t="s">
        <v>25</v>
      </c>
      <c r="C2234" s="3">
        <v>44828</v>
      </c>
      <c r="D2234" s="3" t="str">
        <f>TEXT(Table1[[#This Row],[Admission Date]],"MMMM")</f>
        <v>September</v>
      </c>
      <c r="E2234" s="3">
        <v>44835</v>
      </c>
      <c r="F2234" s="3">
        <v>44835</v>
      </c>
      <c r="G2234" s="2">
        <v>22025197</v>
      </c>
      <c r="H2234" s="2">
        <v>2233382</v>
      </c>
      <c r="I2234" s="2">
        <v>10013540253</v>
      </c>
      <c r="J2234" s="2" t="s">
        <v>1437</v>
      </c>
      <c r="K2234" s="10">
        <v>251004</v>
      </c>
      <c r="L2234" s="10">
        <v>25303</v>
      </c>
      <c r="M2234" s="10">
        <v>225701</v>
      </c>
      <c r="N2234" s="10">
        <v>225701</v>
      </c>
      <c r="O2234" s="10">
        <f>Table1[[#This Row],[NET Amount]]-Table1[[#This Row],[Paid Amount]]</f>
        <v>0</v>
      </c>
      <c r="P2234" s="2" t="s">
        <v>18</v>
      </c>
      <c r="Q2234" s="2" t="s">
        <v>24</v>
      </c>
      <c r="R2234" s="16">
        <f>(Table1[[#This Row],[NET Amount]]-Table1[[#This Row],[Total Outstanding Amount]])/Table1[[#This Row],[NET Amount]]</f>
        <v>1</v>
      </c>
      <c r="S2234" s="2" t="s">
        <v>20</v>
      </c>
    </row>
    <row r="2235" spans="1:19" x14ac:dyDescent="0.3">
      <c r="A2235" s="4">
        <v>2233</v>
      </c>
      <c r="B2235" s="2" t="s">
        <v>25</v>
      </c>
      <c r="C2235" s="3">
        <v>44845</v>
      </c>
      <c r="D2235" s="3" t="str">
        <f>TEXT(Table1[[#This Row],[Admission Date]],"MMMM")</f>
        <v>October</v>
      </c>
      <c r="E2235" s="3">
        <v>44845</v>
      </c>
      <c r="F2235" s="3">
        <v>44845</v>
      </c>
      <c r="G2235" s="2">
        <v>22026642</v>
      </c>
      <c r="H2235" s="2">
        <v>2235611</v>
      </c>
      <c r="I2235" s="2">
        <v>1001074324</v>
      </c>
      <c r="J2235" s="2" t="s">
        <v>255</v>
      </c>
      <c r="K2235" s="10">
        <v>2844</v>
      </c>
      <c r="L2235" s="10">
        <v>308</v>
      </c>
      <c r="M2235" s="10">
        <v>2536</v>
      </c>
      <c r="N2235" s="10">
        <v>2536</v>
      </c>
      <c r="O2235" s="10">
        <f>Table1[[#This Row],[NET Amount]]-Table1[[#This Row],[Paid Amount]]</f>
        <v>0</v>
      </c>
      <c r="P2235" s="2" t="s">
        <v>18</v>
      </c>
      <c r="Q2235" s="2" t="s">
        <v>54</v>
      </c>
      <c r="R2235" s="16">
        <f>(Table1[[#This Row],[NET Amount]]-Table1[[#This Row],[Total Outstanding Amount]])/Table1[[#This Row],[NET Amount]]</f>
        <v>1</v>
      </c>
      <c r="S2235" s="2" t="s">
        <v>97</v>
      </c>
    </row>
    <row r="2236" spans="1:19" x14ac:dyDescent="0.3">
      <c r="A2236" s="4">
        <v>2234</v>
      </c>
      <c r="B2236" s="2" t="s">
        <v>2244</v>
      </c>
      <c r="C2236" s="3">
        <v>44849</v>
      </c>
      <c r="D2236" s="3" t="str">
        <f>TEXT(Table1[[#This Row],[Admission Date]],"MMMM")</f>
        <v>October</v>
      </c>
      <c r="E2236" s="3">
        <v>44849</v>
      </c>
      <c r="F2236" s="3">
        <v>44849</v>
      </c>
      <c r="G2236" s="2">
        <v>22027127</v>
      </c>
      <c r="H2236" s="2">
        <v>2236088</v>
      </c>
      <c r="I2236" s="2">
        <v>1001755099</v>
      </c>
      <c r="J2236" s="2" t="s">
        <v>750</v>
      </c>
      <c r="K2236" s="10">
        <v>1610</v>
      </c>
      <c r="L2236" s="10">
        <v>0</v>
      </c>
      <c r="M2236" s="10">
        <v>1610</v>
      </c>
      <c r="N2236" s="10">
        <v>1610</v>
      </c>
      <c r="O2236" s="10">
        <f>Table1[[#This Row],[NET Amount]]-Table1[[#This Row],[Paid Amount]]</f>
        <v>0</v>
      </c>
      <c r="P2236" s="2" t="s">
        <v>18</v>
      </c>
      <c r="Q2236" s="2" t="s">
        <v>54</v>
      </c>
      <c r="R2236" s="16">
        <f>(Table1[[#This Row],[NET Amount]]-Table1[[#This Row],[Total Outstanding Amount]])/Table1[[#This Row],[NET Amount]]</f>
        <v>1</v>
      </c>
      <c r="S2236" s="2" t="s">
        <v>97</v>
      </c>
    </row>
    <row r="2237" spans="1:19" x14ac:dyDescent="0.3">
      <c r="A2237" s="4">
        <v>2235</v>
      </c>
      <c r="B2237" s="2" t="s">
        <v>117</v>
      </c>
      <c r="C2237" s="3">
        <v>44846</v>
      </c>
      <c r="D2237" s="3" t="str">
        <f>TEXT(Table1[[#This Row],[Admission Date]],"MMMM")</f>
        <v>October</v>
      </c>
      <c r="E2237" s="3">
        <v>44846</v>
      </c>
      <c r="F2237" s="3">
        <v>44846</v>
      </c>
      <c r="G2237" s="2">
        <v>22026811</v>
      </c>
      <c r="H2237" s="2">
        <v>2235767</v>
      </c>
      <c r="I2237" s="2">
        <v>1001439428</v>
      </c>
      <c r="J2237" s="2" t="s">
        <v>189</v>
      </c>
      <c r="K2237" s="10">
        <v>2758</v>
      </c>
      <c r="L2237" s="10">
        <v>0</v>
      </c>
      <c r="M2237" s="10">
        <v>2758</v>
      </c>
      <c r="N2237" s="10">
        <v>2758</v>
      </c>
      <c r="O2237" s="10">
        <f>Table1[[#This Row],[NET Amount]]-Table1[[#This Row],[Paid Amount]]</f>
        <v>0</v>
      </c>
      <c r="P2237" s="2" t="s">
        <v>18</v>
      </c>
      <c r="Q2237" s="2" t="s">
        <v>54</v>
      </c>
      <c r="R2237" s="16">
        <f>(Table1[[#This Row],[NET Amount]]-Table1[[#This Row],[Total Outstanding Amount]])/Table1[[#This Row],[NET Amount]]</f>
        <v>1</v>
      </c>
      <c r="S2237" s="2" t="s">
        <v>97</v>
      </c>
    </row>
    <row r="2238" spans="1:19" x14ac:dyDescent="0.3">
      <c r="A2238" s="4">
        <v>2236</v>
      </c>
      <c r="B2238" s="2" t="s">
        <v>126</v>
      </c>
      <c r="C2238" s="3">
        <v>44841</v>
      </c>
      <c r="D2238" s="3" t="str">
        <f>TEXT(Table1[[#This Row],[Admission Date]],"MMMM")</f>
        <v>October</v>
      </c>
      <c r="E2238" s="3">
        <v>44841</v>
      </c>
      <c r="F2238" s="3">
        <v>44841</v>
      </c>
      <c r="G2238" s="2">
        <v>22026029</v>
      </c>
      <c r="H2238" s="2">
        <v>2234973</v>
      </c>
      <c r="I2238" s="2">
        <v>1001802932</v>
      </c>
      <c r="J2238" s="2" t="s">
        <v>1438</v>
      </c>
      <c r="K2238" s="10">
        <v>29500</v>
      </c>
      <c r="L2238" s="10">
        <v>0</v>
      </c>
      <c r="M2238" s="10">
        <v>29500</v>
      </c>
      <c r="N2238" s="10">
        <v>1500</v>
      </c>
      <c r="O2238" s="10">
        <f>Table1[[#This Row],[NET Amount]]-Table1[[#This Row],[Paid Amount]]</f>
        <v>28000</v>
      </c>
      <c r="P2238" s="2" t="s">
        <v>23</v>
      </c>
      <c r="Q2238" s="2" t="s">
        <v>54</v>
      </c>
      <c r="R2238" s="16">
        <f>(Table1[[#This Row],[NET Amount]]-Table1[[#This Row],[Total Outstanding Amount]])/Table1[[#This Row],[NET Amount]]</f>
        <v>5.0847457627118647E-2</v>
      </c>
      <c r="S2238" s="2" t="s">
        <v>27</v>
      </c>
    </row>
    <row r="2239" spans="1:19" x14ac:dyDescent="0.3">
      <c r="A2239" s="4">
        <v>2237</v>
      </c>
      <c r="B2239" s="2" t="s">
        <v>126</v>
      </c>
      <c r="C2239" s="3">
        <v>44841</v>
      </c>
      <c r="D2239" s="3" t="str">
        <f>TEXT(Table1[[#This Row],[Admission Date]],"MMMM")</f>
        <v>October</v>
      </c>
      <c r="E2239" s="3">
        <v>44841</v>
      </c>
      <c r="F2239" s="3">
        <v>44841</v>
      </c>
      <c r="G2239" s="2">
        <v>22026030</v>
      </c>
      <c r="H2239" s="2">
        <v>2234983</v>
      </c>
      <c r="I2239" s="2">
        <v>1001473400</v>
      </c>
      <c r="J2239" s="2" t="s">
        <v>1439</v>
      </c>
      <c r="K2239" s="10">
        <v>29500</v>
      </c>
      <c r="L2239" s="10">
        <v>0</v>
      </c>
      <c r="M2239" s="10">
        <v>29500</v>
      </c>
      <c r="N2239" s="10">
        <v>1500</v>
      </c>
      <c r="O2239" s="10">
        <f>Table1[[#This Row],[NET Amount]]-Table1[[#This Row],[Paid Amount]]</f>
        <v>28000</v>
      </c>
      <c r="P2239" s="2" t="s">
        <v>23</v>
      </c>
      <c r="Q2239" s="2" t="s">
        <v>54</v>
      </c>
      <c r="R2239" s="16">
        <f>(Table1[[#This Row],[NET Amount]]-Table1[[#This Row],[Total Outstanding Amount]])/Table1[[#This Row],[NET Amount]]</f>
        <v>5.0847457627118647E-2</v>
      </c>
      <c r="S2239" s="2" t="s">
        <v>27</v>
      </c>
    </row>
    <row r="2240" spans="1:19" x14ac:dyDescent="0.3">
      <c r="A2240" s="4">
        <v>2238</v>
      </c>
      <c r="B2240" s="2" t="s">
        <v>25</v>
      </c>
      <c r="C2240" s="3">
        <v>44852</v>
      </c>
      <c r="D2240" s="3" t="str">
        <f>TEXT(Table1[[#This Row],[Admission Date]],"MMMM")</f>
        <v>October</v>
      </c>
      <c r="E2240" s="3">
        <v>44852</v>
      </c>
      <c r="F2240" s="3">
        <v>44852</v>
      </c>
      <c r="G2240" s="2">
        <v>22027600</v>
      </c>
      <c r="H2240" s="2">
        <v>2236507</v>
      </c>
      <c r="I2240" s="2">
        <v>10013372212</v>
      </c>
      <c r="J2240" s="2" t="s">
        <v>338</v>
      </c>
      <c r="K2240" s="10">
        <v>4990</v>
      </c>
      <c r="L2240" s="10">
        <v>413</v>
      </c>
      <c r="M2240" s="10">
        <v>4577</v>
      </c>
      <c r="N2240" s="10">
        <v>4577</v>
      </c>
      <c r="O2240" s="10">
        <f>Table1[[#This Row],[NET Amount]]-Table1[[#This Row],[Paid Amount]]</f>
        <v>0</v>
      </c>
      <c r="P2240" s="2" t="s">
        <v>18</v>
      </c>
      <c r="Q2240" s="2" t="s">
        <v>54</v>
      </c>
      <c r="R2240" s="16">
        <f>(Table1[[#This Row],[NET Amount]]-Table1[[#This Row],[Total Outstanding Amount]])/Table1[[#This Row],[NET Amount]]</f>
        <v>1</v>
      </c>
      <c r="S2240" s="2" t="s">
        <v>97</v>
      </c>
    </row>
    <row r="2241" spans="1:19" x14ac:dyDescent="0.3">
      <c r="A2241" s="4">
        <v>2239</v>
      </c>
      <c r="B2241" s="2" t="s">
        <v>898</v>
      </c>
      <c r="C2241" s="3">
        <v>44861</v>
      </c>
      <c r="D2241" s="3" t="str">
        <f>TEXT(Table1[[#This Row],[Admission Date]],"MMMM")</f>
        <v>October</v>
      </c>
      <c r="E2241" s="3">
        <v>44863</v>
      </c>
      <c r="F2241" s="3">
        <v>44863</v>
      </c>
      <c r="G2241" s="2">
        <v>22029108</v>
      </c>
      <c r="H2241" s="2">
        <v>2237653</v>
      </c>
      <c r="I2241" s="2">
        <v>1001806565</v>
      </c>
      <c r="J2241" s="2" t="s">
        <v>1440</v>
      </c>
      <c r="K2241" s="10">
        <v>7579</v>
      </c>
      <c r="L2241" s="10">
        <v>0</v>
      </c>
      <c r="M2241" s="10">
        <v>7579</v>
      </c>
      <c r="N2241" s="10">
        <v>7579</v>
      </c>
      <c r="O2241" s="10">
        <f>Table1[[#This Row],[NET Amount]]-Table1[[#This Row],[Paid Amount]]</f>
        <v>0</v>
      </c>
      <c r="P2241" s="2" t="s">
        <v>18</v>
      </c>
      <c r="Q2241" s="2" t="s">
        <v>30</v>
      </c>
      <c r="R2241" s="16">
        <f>(Table1[[#This Row],[NET Amount]]-Table1[[#This Row],[Total Outstanding Amount]])/Table1[[#This Row],[NET Amount]]</f>
        <v>1</v>
      </c>
      <c r="S2241" s="2" t="s">
        <v>37</v>
      </c>
    </row>
    <row r="2242" spans="1:19" x14ac:dyDescent="0.3">
      <c r="A2242" s="4">
        <v>2240</v>
      </c>
      <c r="B2242" s="2" t="s">
        <v>1220</v>
      </c>
      <c r="C2242" s="3">
        <v>44832</v>
      </c>
      <c r="D2242" s="3" t="str">
        <f>TEXT(Table1[[#This Row],[Admission Date]],"MMMM")</f>
        <v>September</v>
      </c>
      <c r="E2242" s="3">
        <v>44837</v>
      </c>
      <c r="F2242" s="3">
        <v>44837</v>
      </c>
      <c r="G2242" s="2">
        <v>22025448</v>
      </c>
      <c r="H2242" s="2">
        <v>2233708</v>
      </c>
      <c r="I2242" s="2">
        <v>10013540577</v>
      </c>
      <c r="J2242" s="2" t="s">
        <v>1441</v>
      </c>
      <c r="K2242" s="10">
        <v>158827</v>
      </c>
      <c r="L2242" s="10">
        <v>0</v>
      </c>
      <c r="M2242" s="10">
        <v>158827</v>
      </c>
      <c r="N2242" s="10">
        <v>2125</v>
      </c>
      <c r="O2242" s="10">
        <f>Table1[[#This Row],[NET Amount]]-Table1[[#This Row],[Paid Amount]]</f>
        <v>156702</v>
      </c>
      <c r="P2242" s="2" t="s">
        <v>23</v>
      </c>
      <c r="Q2242" s="2" t="s">
        <v>19</v>
      </c>
      <c r="R2242" s="16">
        <f>(Table1[[#This Row],[NET Amount]]-Table1[[#This Row],[Total Outstanding Amount]])/Table1[[#This Row],[NET Amount]]</f>
        <v>1.3379337266333809E-2</v>
      </c>
      <c r="S2242" s="2" t="s">
        <v>20</v>
      </c>
    </row>
    <row r="2243" spans="1:19" x14ac:dyDescent="0.3">
      <c r="A2243" s="4">
        <v>2241</v>
      </c>
      <c r="B2243" s="2" t="s">
        <v>149</v>
      </c>
      <c r="C2243" s="3">
        <v>44849</v>
      </c>
      <c r="D2243" s="3" t="str">
        <f>TEXT(Table1[[#This Row],[Admission Date]],"MMMM")</f>
        <v>October</v>
      </c>
      <c r="E2243" s="3">
        <v>44849</v>
      </c>
      <c r="F2243" s="3">
        <v>44849</v>
      </c>
      <c r="G2243" s="2">
        <v>22027214</v>
      </c>
      <c r="H2243" s="2">
        <v>2236154</v>
      </c>
      <c r="I2243" s="2">
        <v>10013543178</v>
      </c>
      <c r="J2243" s="2" t="s">
        <v>555</v>
      </c>
      <c r="K2243" s="10">
        <v>0</v>
      </c>
      <c r="L2243" s="10">
        <v>0</v>
      </c>
      <c r="M2243" s="10">
        <v>0</v>
      </c>
      <c r="N2243" s="10">
        <v>0</v>
      </c>
      <c r="O2243" s="10">
        <f>Table1[[#This Row],[NET Amount]]-Table1[[#This Row],[Paid Amount]]</f>
        <v>0</v>
      </c>
      <c r="P2243" s="2" t="s">
        <v>18</v>
      </c>
      <c r="Q2243" s="2" t="s">
        <v>24</v>
      </c>
      <c r="R2243" s="16" t="e">
        <f>(Table1[[#This Row],[NET Amount]]-Table1[[#This Row],[Total Outstanding Amount]])/Table1[[#This Row],[NET Amount]]</f>
        <v>#DIV/0!</v>
      </c>
      <c r="S2243" s="2" t="s">
        <v>32</v>
      </c>
    </row>
    <row r="2244" spans="1:19" x14ac:dyDescent="0.3">
      <c r="A2244" s="4">
        <v>2242</v>
      </c>
      <c r="B2244" s="2" t="s">
        <v>149</v>
      </c>
      <c r="C2244" s="3">
        <v>44855</v>
      </c>
      <c r="D2244" s="3" t="str">
        <f>TEXT(Table1[[#This Row],[Admission Date]],"MMMM")</f>
        <v>October</v>
      </c>
      <c r="E2244" s="3">
        <v>44861</v>
      </c>
      <c r="F2244" s="3">
        <v>44861</v>
      </c>
      <c r="G2244" s="2">
        <v>22028816</v>
      </c>
      <c r="H2244" s="2">
        <v>2236940</v>
      </c>
      <c r="I2244" s="2">
        <v>10013544058</v>
      </c>
      <c r="J2244" s="2" t="s">
        <v>1442</v>
      </c>
      <c r="K2244" s="10">
        <v>81262</v>
      </c>
      <c r="L2244" s="10">
        <v>0</v>
      </c>
      <c r="M2244" s="10">
        <v>81262</v>
      </c>
      <c r="N2244" s="10">
        <v>0</v>
      </c>
      <c r="O2244" s="10">
        <f>Table1[[#This Row],[NET Amount]]-Table1[[#This Row],[Paid Amount]]</f>
        <v>81262</v>
      </c>
      <c r="P2244" s="2" t="s">
        <v>23</v>
      </c>
      <c r="Q2244" s="2" t="s">
        <v>24</v>
      </c>
      <c r="R2244" s="16">
        <f>(Table1[[#This Row],[NET Amount]]-Table1[[#This Row],[Total Outstanding Amount]])/Table1[[#This Row],[NET Amount]]</f>
        <v>0</v>
      </c>
      <c r="S2244" s="2" t="s">
        <v>20</v>
      </c>
    </row>
    <row r="2245" spans="1:19" x14ac:dyDescent="0.3">
      <c r="A2245" s="4">
        <v>2243</v>
      </c>
      <c r="B2245" s="2" t="s">
        <v>25</v>
      </c>
      <c r="C2245" s="3">
        <v>44856</v>
      </c>
      <c r="D2245" s="3" t="str">
        <f>TEXT(Table1[[#This Row],[Admission Date]],"MMMM")</f>
        <v>October</v>
      </c>
      <c r="E2245" s="3">
        <v>44856</v>
      </c>
      <c r="F2245" s="3">
        <v>44856</v>
      </c>
      <c r="G2245" s="2">
        <v>22028148</v>
      </c>
      <c r="H2245" s="2">
        <v>2237020</v>
      </c>
      <c r="I2245" s="2">
        <v>10013541160</v>
      </c>
      <c r="J2245" s="2" t="s">
        <v>336</v>
      </c>
      <c r="K2245" s="10">
        <v>4990</v>
      </c>
      <c r="L2245" s="10">
        <v>538</v>
      </c>
      <c r="M2245" s="10">
        <v>4452</v>
      </c>
      <c r="N2245" s="10">
        <v>4452</v>
      </c>
      <c r="O2245" s="10">
        <f>Table1[[#This Row],[NET Amount]]-Table1[[#This Row],[Paid Amount]]</f>
        <v>0</v>
      </c>
      <c r="P2245" s="2" t="s">
        <v>18</v>
      </c>
      <c r="Q2245" s="2" t="s">
        <v>54</v>
      </c>
      <c r="R2245" s="16">
        <f>(Table1[[#This Row],[NET Amount]]-Table1[[#This Row],[Total Outstanding Amount]])/Table1[[#This Row],[NET Amount]]</f>
        <v>1</v>
      </c>
      <c r="S2245" s="2" t="s">
        <v>97</v>
      </c>
    </row>
    <row r="2246" spans="1:19" x14ac:dyDescent="0.3">
      <c r="A2246" s="4">
        <v>2244</v>
      </c>
      <c r="B2246" s="2" t="s">
        <v>168</v>
      </c>
      <c r="C2246" s="3">
        <v>44845</v>
      </c>
      <c r="D2246" s="3" t="str">
        <f>TEXT(Table1[[#This Row],[Admission Date]],"MMMM")</f>
        <v>October</v>
      </c>
      <c r="E2246" s="3">
        <v>44849</v>
      </c>
      <c r="F2246" s="3">
        <v>44849</v>
      </c>
      <c r="G2246" s="2">
        <v>22027211</v>
      </c>
      <c r="H2246" s="2">
        <v>2235519</v>
      </c>
      <c r="I2246" s="2">
        <v>10013542509</v>
      </c>
      <c r="J2246" s="2" t="s">
        <v>1443</v>
      </c>
      <c r="K2246" s="10">
        <v>44770</v>
      </c>
      <c r="L2246" s="10">
        <v>5668</v>
      </c>
      <c r="M2246" s="10">
        <v>39102</v>
      </c>
      <c r="N2246" s="10">
        <v>2125</v>
      </c>
      <c r="O2246" s="10">
        <f>Table1[[#This Row],[NET Amount]]-Table1[[#This Row],[Paid Amount]]</f>
        <v>36977</v>
      </c>
      <c r="P2246" s="2" t="s">
        <v>23</v>
      </c>
      <c r="Q2246" s="2" t="s">
        <v>42</v>
      </c>
      <c r="R2246" s="16">
        <f>(Table1[[#This Row],[NET Amount]]-Table1[[#This Row],[Total Outstanding Amount]])/Table1[[#This Row],[NET Amount]]</f>
        <v>5.4345046289192366E-2</v>
      </c>
      <c r="S2246" s="2" t="s">
        <v>37</v>
      </c>
    </row>
    <row r="2247" spans="1:19" x14ac:dyDescent="0.3">
      <c r="A2247" s="4">
        <v>2245</v>
      </c>
      <c r="B2247" s="2" t="s">
        <v>91</v>
      </c>
      <c r="C2247" s="3">
        <v>44835</v>
      </c>
      <c r="D2247" s="3" t="str">
        <f>TEXT(Table1[[#This Row],[Admission Date]],"MMMM")</f>
        <v>October</v>
      </c>
      <c r="E2247" s="3">
        <v>44835</v>
      </c>
      <c r="F2247" s="3">
        <v>44835</v>
      </c>
      <c r="G2247" s="2">
        <v>22025104</v>
      </c>
      <c r="H2247" s="2">
        <v>2234165</v>
      </c>
      <c r="I2247" s="2">
        <v>1001801813</v>
      </c>
      <c r="J2247" s="2" t="s">
        <v>92</v>
      </c>
      <c r="K2247" s="10">
        <v>0</v>
      </c>
      <c r="L2247" s="10">
        <v>0</v>
      </c>
      <c r="M2247" s="10">
        <v>0</v>
      </c>
      <c r="N2247" s="10">
        <v>0</v>
      </c>
      <c r="O2247" s="10">
        <f>Table1[[#This Row],[NET Amount]]-Table1[[#This Row],[Paid Amount]]</f>
        <v>0</v>
      </c>
      <c r="P2247" s="2" t="s">
        <v>18</v>
      </c>
      <c r="Q2247" s="2" t="s">
        <v>54</v>
      </c>
      <c r="R2247" s="16" t="e">
        <f>(Table1[[#This Row],[NET Amount]]-Table1[[#This Row],[Total Outstanding Amount]])/Table1[[#This Row],[NET Amount]]</f>
        <v>#DIV/0!</v>
      </c>
      <c r="S2247" s="2" t="s">
        <v>27</v>
      </c>
    </row>
    <row r="2248" spans="1:19" x14ac:dyDescent="0.3">
      <c r="A2248" s="4">
        <v>2246</v>
      </c>
      <c r="B2248" s="2" t="s">
        <v>25</v>
      </c>
      <c r="C2248" s="3">
        <v>44849</v>
      </c>
      <c r="D2248" s="3" t="str">
        <f>TEXT(Table1[[#This Row],[Admission Date]],"MMMM")</f>
        <v>October</v>
      </c>
      <c r="E2248" s="3">
        <v>44850</v>
      </c>
      <c r="F2248" s="3">
        <v>44850</v>
      </c>
      <c r="G2248" s="2">
        <v>22027345</v>
      </c>
      <c r="H2248" s="2">
        <v>2236070</v>
      </c>
      <c r="I2248" s="2">
        <v>1001804440</v>
      </c>
      <c r="J2248" s="2" t="s">
        <v>1444</v>
      </c>
      <c r="K2248" s="10">
        <v>58859</v>
      </c>
      <c r="L2248" s="10">
        <v>0</v>
      </c>
      <c r="M2248" s="10">
        <v>58859</v>
      </c>
      <c r="N2248" s="10">
        <v>58859</v>
      </c>
      <c r="O2248" s="10">
        <f>Table1[[#This Row],[NET Amount]]-Table1[[#This Row],[Paid Amount]]</f>
        <v>0</v>
      </c>
      <c r="P2248" s="2" t="s">
        <v>18</v>
      </c>
      <c r="Q2248" s="2" t="s">
        <v>24</v>
      </c>
      <c r="R2248" s="16">
        <f>(Table1[[#This Row],[NET Amount]]-Table1[[#This Row],[Total Outstanding Amount]])/Table1[[#This Row],[NET Amount]]</f>
        <v>1</v>
      </c>
      <c r="S2248" s="2" t="s">
        <v>138</v>
      </c>
    </row>
    <row r="2249" spans="1:19" x14ac:dyDescent="0.3">
      <c r="A2249" s="4">
        <v>2247</v>
      </c>
      <c r="B2249" s="2" t="s">
        <v>50</v>
      </c>
      <c r="C2249" s="3">
        <v>44840</v>
      </c>
      <c r="D2249" s="3" t="str">
        <f>TEXT(Table1[[#This Row],[Admission Date]],"MMMM")</f>
        <v>October</v>
      </c>
      <c r="E2249" s="3">
        <v>44843</v>
      </c>
      <c r="F2249" s="3">
        <v>44843</v>
      </c>
      <c r="G2249" s="2">
        <v>22026261</v>
      </c>
      <c r="H2249" s="2">
        <v>2234843</v>
      </c>
      <c r="I2249" s="2">
        <v>10013515236</v>
      </c>
      <c r="J2249" s="2" t="s">
        <v>128</v>
      </c>
      <c r="K2249" s="10">
        <v>70925</v>
      </c>
      <c r="L2249" s="10">
        <v>0</v>
      </c>
      <c r="M2249" s="10">
        <v>70925</v>
      </c>
      <c r="N2249" s="10">
        <v>3364</v>
      </c>
      <c r="O2249" s="10">
        <f>Table1[[#This Row],[NET Amount]]-Table1[[#This Row],[Paid Amount]]</f>
        <v>67561</v>
      </c>
      <c r="P2249" s="2" t="s">
        <v>23</v>
      </c>
      <c r="Q2249" s="2" t="s">
        <v>30</v>
      </c>
      <c r="R2249" s="16">
        <f>(Table1[[#This Row],[NET Amount]]-Table1[[#This Row],[Total Outstanding Amount]])/Table1[[#This Row],[NET Amount]]</f>
        <v>4.7430384208671128E-2</v>
      </c>
      <c r="S2249" s="2" t="s">
        <v>27</v>
      </c>
    </row>
    <row r="2250" spans="1:19" x14ac:dyDescent="0.3">
      <c r="A2250" s="4">
        <v>2248</v>
      </c>
      <c r="B2250" s="2" t="s">
        <v>25</v>
      </c>
      <c r="C2250" s="3">
        <v>44838</v>
      </c>
      <c r="D2250" s="3" t="str">
        <f>TEXT(Table1[[#This Row],[Admission Date]],"MMMM")</f>
        <v>October</v>
      </c>
      <c r="E2250" s="3">
        <v>44840</v>
      </c>
      <c r="F2250" s="3">
        <v>44840</v>
      </c>
      <c r="G2250" s="2">
        <v>22025856</v>
      </c>
      <c r="H2250" s="2">
        <v>2234596</v>
      </c>
      <c r="I2250" s="2">
        <v>10013398486</v>
      </c>
      <c r="J2250" s="2" t="s">
        <v>1445</v>
      </c>
      <c r="K2250" s="10">
        <v>27710</v>
      </c>
      <c r="L2250" s="10">
        <v>7710</v>
      </c>
      <c r="M2250" s="10">
        <v>20000</v>
      </c>
      <c r="N2250" s="10">
        <v>20000</v>
      </c>
      <c r="O2250" s="10">
        <f>Table1[[#This Row],[NET Amount]]-Table1[[#This Row],[Paid Amount]]</f>
        <v>0</v>
      </c>
      <c r="P2250" s="2" t="s">
        <v>18</v>
      </c>
      <c r="Q2250" s="2" t="s">
        <v>69</v>
      </c>
      <c r="R2250" s="16">
        <f>(Table1[[#This Row],[NET Amount]]-Table1[[#This Row],[Total Outstanding Amount]])/Table1[[#This Row],[NET Amount]]</f>
        <v>1</v>
      </c>
      <c r="S2250" s="2" t="s">
        <v>65</v>
      </c>
    </row>
    <row r="2251" spans="1:19" x14ac:dyDescent="0.3">
      <c r="A2251" s="4">
        <v>2249</v>
      </c>
      <c r="B2251" s="2" t="s">
        <v>25</v>
      </c>
      <c r="C2251" s="3">
        <v>44835</v>
      </c>
      <c r="D2251" s="3" t="str">
        <f>TEXT(Table1[[#This Row],[Admission Date]],"MMMM")</f>
        <v>October</v>
      </c>
      <c r="E2251" s="3">
        <v>44842</v>
      </c>
      <c r="F2251" s="3">
        <v>44842</v>
      </c>
      <c r="G2251" s="2">
        <v>22026168</v>
      </c>
      <c r="H2251" s="2">
        <v>2234232</v>
      </c>
      <c r="I2251" s="2">
        <v>1001791695</v>
      </c>
      <c r="J2251" s="2" t="s">
        <v>1446</v>
      </c>
      <c r="K2251" s="10">
        <v>261383</v>
      </c>
      <c r="L2251" s="10">
        <v>43768</v>
      </c>
      <c r="M2251" s="10">
        <v>217615</v>
      </c>
      <c r="N2251" s="10">
        <v>217615</v>
      </c>
      <c r="O2251" s="10">
        <f>Table1[[#This Row],[NET Amount]]-Table1[[#This Row],[Paid Amount]]</f>
        <v>0</v>
      </c>
      <c r="P2251" s="2" t="s">
        <v>18</v>
      </c>
      <c r="Q2251" s="2" t="s">
        <v>30</v>
      </c>
      <c r="R2251" s="16">
        <f>(Table1[[#This Row],[NET Amount]]-Table1[[#This Row],[Total Outstanding Amount]])/Table1[[#This Row],[NET Amount]]</f>
        <v>1</v>
      </c>
      <c r="S2251" s="2" t="s">
        <v>20</v>
      </c>
    </row>
    <row r="2252" spans="1:19" x14ac:dyDescent="0.3">
      <c r="A2252" s="4">
        <v>2250</v>
      </c>
      <c r="B2252" s="2" t="s">
        <v>25</v>
      </c>
      <c r="C2252" s="3">
        <v>44827</v>
      </c>
      <c r="D2252" s="3" t="str">
        <f>TEXT(Table1[[#This Row],[Admission Date]],"MMMM")</f>
        <v>September</v>
      </c>
      <c r="E2252" s="3">
        <v>44843</v>
      </c>
      <c r="F2252" s="3">
        <v>44843</v>
      </c>
      <c r="G2252" s="2">
        <v>22026318</v>
      </c>
      <c r="H2252" s="2">
        <v>2233193</v>
      </c>
      <c r="I2252" s="2">
        <v>10013539018</v>
      </c>
      <c r="J2252" s="2" t="s">
        <v>1447</v>
      </c>
      <c r="K2252" s="10">
        <v>396683</v>
      </c>
      <c r="L2252" s="10">
        <v>62397</v>
      </c>
      <c r="M2252" s="10">
        <v>334286</v>
      </c>
      <c r="N2252" s="10">
        <v>334286</v>
      </c>
      <c r="O2252" s="10">
        <f>Table1[[#This Row],[NET Amount]]-Table1[[#This Row],[Paid Amount]]</f>
        <v>0</v>
      </c>
      <c r="P2252" s="2" t="s">
        <v>18</v>
      </c>
      <c r="Q2252" s="2" t="s">
        <v>24</v>
      </c>
      <c r="R2252" s="16">
        <f>(Table1[[#This Row],[NET Amount]]-Table1[[#This Row],[Total Outstanding Amount]])/Table1[[#This Row],[NET Amount]]</f>
        <v>1</v>
      </c>
      <c r="S2252" s="2" t="s">
        <v>20</v>
      </c>
    </row>
    <row r="2253" spans="1:19" x14ac:dyDescent="0.3">
      <c r="A2253" s="4">
        <v>2251</v>
      </c>
      <c r="B2253" s="2" t="s">
        <v>2246</v>
      </c>
      <c r="C2253" s="3">
        <v>44853</v>
      </c>
      <c r="D2253" s="3" t="str">
        <f>TEXT(Table1[[#This Row],[Admission Date]],"MMMM")</f>
        <v>October</v>
      </c>
      <c r="E2253" s="3">
        <v>44853</v>
      </c>
      <c r="F2253" s="3">
        <v>44853</v>
      </c>
      <c r="G2253" s="2">
        <v>22027653</v>
      </c>
      <c r="H2253" s="2">
        <v>2236580</v>
      </c>
      <c r="I2253" s="2">
        <v>1001788579</v>
      </c>
      <c r="J2253" s="2" t="s">
        <v>107</v>
      </c>
      <c r="K2253" s="10">
        <v>2172</v>
      </c>
      <c r="L2253" s="10">
        <v>0</v>
      </c>
      <c r="M2253" s="10">
        <v>2172</v>
      </c>
      <c r="N2253" s="10">
        <v>2172</v>
      </c>
      <c r="O2253" s="10">
        <f>Table1[[#This Row],[NET Amount]]-Table1[[#This Row],[Paid Amount]]</f>
        <v>0</v>
      </c>
      <c r="P2253" s="2" t="s">
        <v>18</v>
      </c>
      <c r="Q2253" s="2" t="s">
        <v>54</v>
      </c>
      <c r="R2253" s="16">
        <f>(Table1[[#This Row],[NET Amount]]-Table1[[#This Row],[Total Outstanding Amount]])/Table1[[#This Row],[NET Amount]]</f>
        <v>1</v>
      </c>
      <c r="S2253" s="2" t="s">
        <v>97</v>
      </c>
    </row>
    <row r="2254" spans="1:19" x14ac:dyDescent="0.3">
      <c r="A2254" s="4">
        <v>2252</v>
      </c>
      <c r="B2254" s="2" t="s">
        <v>168</v>
      </c>
      <c r="C2254" s="3">
        <v>44853</v>
      </c>
      <c r="D2254" s="3" t="str">
        <f>TEXT(Table1[[#This Row],[Admission Date]],"MMMM")</f>
        <v>October</v>
      </c>
      <c r="E2254" s="3">
        <v>44861</v>
      </c>
      <c r="F2254" s="3">
        <v>44861</v>
      </c>
      <c r="G2254" s="2">
        <v>22028770</v>
      </c>
      <c r="H2254" s="2">
        <v>2236683</v>
      </c>
      <c r="I2254" s="2">
        <v>10013252808</v>
      </c>
      <c r="J2254" s="2" t="s">
        <v>1448</v>
      </c>
      <c r="K2254" s="10">
        <v>287596</v>
      </c>
      <c r="L2254" s="10">
        <v>19581</v>
      </c>
      <c r="M2254" s="10">
        <v>268016</v>
      </c>
      <c r="N2254" s="10">
        <v>20000</v>
      </c>
      <c r="O2254" s="10">
        <f>Table1[[#This Row],[NET Amount]]-Table1[[#This Row],[Paid Amount]]</f>
        <v>248016</v>
      </c>
      <c r="P2254" s="2" t="s">
        <v>23</v>
      </c>
      <c r="Q2254" s="2" t="s">
        <v>52</v>
      </c>
      <c r="R2254" s="16">
        <f>(Table1[[#This Row],[NET Amount]]-Table1[[#This Row],[Total Outstanding Amount]])/Table1[[#This Row],[NET Amount]]</f>
        <v>7.4622410602352099E-2</v>
      </c>
      <c r="S2254" s="2" t="s">
        <v>20</v>
      </c>
    </row>
    <row r="2255" spans="1:19" x14ac:dyDescent="0.3">
      <c r="A2255" s="4">
        <v>2253</v>
      </c>
      <c r="B2255" s="2" t="s">
        <v>152</v>
      </c>
      <c r="C2255" s="3">
        <v>44853</v>
      </c>
      <c r="D2255" s="3" t="str">
        <f>TEXT(Table1[[#This Row],[Admission Date]],"MMMM")</f>
        <v>October</v>
      </c>
      <c r="E2255" s="3">
        <v>44857</v>
      </c>
      <c r="F2255" s="3">
        <v>44857</v>
      </c>
      <c r="G2255" s="2">
        <v>22028364</v>
      </c>
      <c r="H2255" s="2">
        <v>2236687</v>
      </c>
      <c r="I2255" s="2">
        <v>10013341294</v>
      </c>
      <c r="J2255" s="2" t="s">
        <v>1344</v>
      </c>
      <c r="K2255" s="10">
        <v>38290</v>
      </c>
      <c r="L2255" s="10">
        <v>0</v>
      </c>
      <c r="M2255" s="10">
        <v>38290</v>
      </c>
      <c r="N2255" s="10">
        <v>38290</v>
      </c>
      <c r="O2255" s="10">
        <f>Table1[[#This Row],[NET Amount]]-Table1[[#This Row],[Paid Amount]]</f>
        <v>0</v>
      </c>
      <c r="P2255" s="2" t="s">
        <v>18</v>
      </c>
      <c r="Q2255" s="2" t="s">
        <v>24</v>
      </c>
      <c r="R2255" s="16">
        <f>(Table1[[#This Row],[NET Amount]]-Table1[[#This Row],[Total Outstanding Amount]])/Table1[[#This Row],[NET Amount]]</f>
        <v>1</v>
      </c>
      <c r="S2255" s="2" t="s">
        <v>20</v>
      </c>
    </row>
    <row r="2256" spans="1:19" x14ac:dyDescent="0.3">
      <c r="A2256" s="4">
        <v>2254</v>
      </c>
      <c r="B2256" s="2" t="s">
        <v>25</v>
      </c>
      <c r="C2256" s="3">
        <v>44837</v>
      </c>
      <c r="D2256" s="3" t="str">
        <f>TEXT(Table1[[#This Row],[Admission Date]],"MMMM")</f>
        <v>October</v>
      </c>
      <c r="E2256" s="3">
        <v>44837</v>
      </c>
      <c r="F2256" s="3">
        <v>44837</v>
      </c>
      <c r="G2256" s="2">
        <v>22025388</v>
      </c>
      <c r="H2256" s="2">
        <v>2234396</v>
      </c>
      <c r="I2256" s="2">
        <v>1001725585</v>
      </c>
      <c r="J2256" s="2" t="s">
        <v>1449</v>
      </c>
      <c r="K2256" s="10">
        <v>14000</v>
      </c>
      <c r="L2256" s="10">
        <v>0</v>
      </c>
      <c r="M2256" s="10">
        <v>14000</v>
      </c>
      <c r="N2256" s="10">
        <v>14000</v>
      </c>
      <c r="O2256" s="10">
        <f>Table1[[#This Row],[NET Amount]]-Table1[[#This Row],[Paid Amount]]</f>
        <v>0</v>
      </c>
      <c r="P2256" s="2" t="s">
        <v>18</v>
      </c>
      <c r="Q2256" s="2" t="s">
        <v>54</v>
      </c>
      <c r="R2256" s="16">
        <f>(Table1[[#This Row],[NET Amount]]-Table1[[#This Row],[Total Outstanding Amount]])/Table1[[#This Row],[NET Amount]]</f>
        <v>1</v>
      </c>
      <c r="S2256" s="2" t="s">
        <v>39</v>
      </c>
    </row>
    <row r="2257" spans="1:19" x14ac:dyDescent="0.3">
      <c r="A2257" s="4">
        <v>2255</v>
      </c>
      <c r="B2257" s="2" t="s">
        <v>2284</v>
      </c>
      <c r="C2257" s="3">
        <v>44842</v>
      </c>
      <c r="D2257" s="3" t="str">
        <f>TEXT(Table1[[#This Row],[Admission Date]],"MMMM")</f>
        <v>October</v>
      </c>
      <c r="E2257" s="3">
        <v>44845</v>
      </c>
      <c r="F2257" s="3">
        <v>44845</v>
      </c>
      <c r="G2257" s="2">
        <v>22026544</v>
      </c>
      <c r="H2257" s="2">
        <v>2235177</v>
      </c>
      <c r="I2257" s="2">
        <v>1001800617</v>
      </c>
      <c r="J2257" s="2" t="s">
        <v>514</v>
      </c>
      <c r="K2257" s="10">
        <v>28378</v>
      </c>
      <c r="L2257" s="10">
        <v>3690</v>
      </c>
      <c r="M2257" s="10">
        <v>24688</v>
      </c>
      <c r="N2257" s="10">
        <v>500</v>
      </c>
      <c r="O2257" s="10">
        <f>Table1[[#This Row],[NET Amount]]-Table1[[#This Row],[Paid Amount]]</f>
        <v>24188</v>
      </c>
      <c r="P2257" s="2" t="s">
        <v>23</v>
      </c>
      <c r="Q2257" s="2" t="s">
        <v>24</v>
      </c>
      <c r="R2257" s="16">
        <f>(Table1[[#This Row],[NET Amount]]-Table1[[#This Row],[Total Outstanding Amount]])/Table1[[#This Row],[NET Amount]]</f>
        <v>2.0252754374594947E-2</v>
      </c>
      <c r="S2257" s="2" t="s">
        <v>77</v>
      </c>
    </row>
    <row r="2258" spans="1:19" x14ac:dyDescent="0.3">
      <c r="A2258" s="4">
        <v>2256</v>
      </c>
      <c r="B2258" s="2" t="s">
        <v>75</v>
      </c>
      <c r="C2258" s="3">
        <v>44843</v>
      </c>
      <c r="D2258" s="3" t="str">
        <f>TEXT(Table1[[#This Row],[Admission Date]],"MMMM")</f>
        <v>October</v>
      </c>
      <c r="E2258" s="3">
        <v>44845</v>
      </c>
      <c r="F2258" s="3">
        <v>44845</v>
      </c>
      <c r="G2258" s="2">
        <v>22026563</v>
      </c>
      <c r="H2258" s="2">
        <v>2235306</v>
      </c>
      <c r="I2258" s="2">
        <v>10013506091</v>
      </c>
      <c r="J2258" s="2" t="s">
        <v>990</v>
      </c>
      <c r="K2258" s="10">
        <v>30152</v>
      </c>
      <c r="L2258" s="10">
        <v>0</v>
      </c>
      <c r="M2258" s="10">
        <v>30152</v>
      </c>
      <c r="N2258" s="10">
        <v>226</v>
      </c>
      <c r="O2258" s="10">
        <f>Table1[[#This Row],[NET Amount]]-Table1[[#This Row],[Paid Amount]]</f>
        <v>29926</v>
      </c>
      <c r="P2258" s="2" t="s">
        <v>23</v>
      </c>
      <c r="Q2258" s="2" t="s">
        <v>19</v>
      </c>
      <c r="R2258" s="16">
        <f>(Table1[[#This Row],[NET Amount]]-Table1[[#This Row],[Total Outstanding Amount]])/Table1[[#This Row],[NET Amount]]</f>
        <v>7.4953568585831784E-3</v>
      </c>
      <c r="S2258" s="2" t="s">
        <v>20</v>
      </c>
    </row>
    <row r="2259" spans="1:19" x14ac:dyDescent="0.3">
      <c r="A2259" s="4">
        <v>2257</v>
      </c>
      <c r="B2259" s="2" t="s">
        <v>259</v>
      </c>
      <c r="C2259" s="3">
        <v>44844</v>
      </c>
      <c r="D2259" s="3" t="str">
        <f>TEXT(Table1[[#This Row],[Admission Date]],"MMMM")</f>
        <v>October</v>
      </c>
      <c r="E2259" s="3">
        <v>44845</v>
      </c>
      <c r="F2259" s="3">
        <v>44845</v>
      </c>
      <c r="G2259" s="2">
        <v>22026587</v>
      </c>
      <c r="H2259" s="2">
        <v>2235318</v>
      </c>
      <c r="I2259" s="2">
        <v>10013542343</v>
      </c>
      <c r="J2259" s="2" t="s">
        <v>1450</v>
      </c>
      <c r="K2259" s="10">
        <v>36781</v>
      </c>
      <c r="L2259" s="10">
        <v>0</v>
      </c>
      <c r="M2259" s="10">
        <v>36781</v>
      </c>
      <c r="N2259" s="10">
        <v>3375</v>
      </c>
      <c r="O2259" s="10">
        <f>Table1[[#This Row],[NET Amount]]-Table1[[#This Row],[Paid Amount]]</f>
        <v>33406</v>
      </c>
      <c r="P2259" s="2" t="s">
        <v>23</v>
      </c>
      <c r="Q2259" s="2" t="s">
        <v>30</v>
      </c>
      <c r="R2259" s="16">
        <f>(Table1[[#This Row],[NET Amount]]-Table1[[#This Row],[Total Outstanding Amount]])/Table1[[#This Row],[NET Amount]]</f>
        <v>9.1759332263940618E-2</v>
      </c>
      <c r="S2259" s="2" t="s">
        <v>37</v>
      </c>
    </row>
    <row r="2260" spans="1:19" x14ac:dyDescent="0.3">
      <c r="A2260" s="4">
        <v>2258</v>
      </c>
      <c r="B2260" s="2" t="s">
        <v>25</v>
      </c>
      <c r="C2260" s="3">
        <v>44840</v>
      </c>
      <c r="D2260" s="3" t="str">
        <f>TEXT(Table1[[#This Row],[Admission Date]],"MMMM")</f>
        <v>October</v>
      </c>
      <c r="E2260" s="3">
        <v>44840</v>
      </c>
      <c r="F2260" s="3">
        <v>44840</v>
      </c>
      <c r="G2260" s="2">
        <v>22025848</v>
      </c>
      <c r="H2260" s="2">
        <v>2234855</v>
      </c>
      <c r="I2260" s="2">
        <v>1000919979</v>
      </c>
      <c r="J2260" s="2" t="s">
        <v>319</v>
      </c>
      <c r="K2260" s="10">
        <v>2844</v>
      </c>
      <c r="L2260" s="10">
        <v>268</v>
      </c>
      <c r="M2260" s="10">
        <v>2576</v>
      </c>
      <c r="N2260" s="10">
        <v>2576</v>
      </c>
      <c r="O2260" s="10">
        <f>Table1[[#This Row],[NET Amount]]-Table1[[#This Row],[Paid Amount]]</f>
        <v>0</v>
      </c>
      <c r="P2260" s="2" t="s">
        <v>18</v>
      </c>
      <c r="Q2260" s="2" t="s">
        <v>54</v>
      </c>
      <c r="R2260" s="16">
        <f>(Table1[[#This Row],[NET Amount]]-Table1[[#This Row],[Total Outstanding Amount]])/Table1[[#This Row],[NET Amount]]</f>
        <v>1</v>
      </c>
      <c r="S2260" s="2" t="s">
        <v>97</v>
      </c>
    </row>
    <row r="2261" spans="1:19" x14ac:dyDescent="0.3">
      <c r="A2261" s="4">
        <v>2259</v>
      </c>
      <c r="B2261" s="2" t="s">
        <v>50</v>
      </c>
      <c r="C2261" s="3">
        <v>44840</v>
      </c>
      <c r="D2261" s="3" t="str">
        <f>TEXT(Table1[[#This Row],[Admission Date]],"MMMM")</f>
        <v>October</v>
      </c>
      <c r="E2261" s="3">
        <v>44840</v>
      </c>
      <c r="F2261" s="3">
        <v>44840</v>
      </c>
      <c r="G2261" s="2">
        <v>22025860</v>
      </c>
      <c r="H2261" s="2">
        <v>2234861</v>
      </c>
      <c r="I2261" s="2">
        <v>1000983811</v>
      </c>
      <c r="J2261" s="2" t="s">
        <v>564</v>
      </c>
      <c r="K2261" s="10">
        <v>2200</v>
      </c>
      <c r="L2261" s="10">
        <v>0</v>
      </c>
      <c r="M2261" s="10">
        <v>2200</v>
      </c>
      <c r="N2261" s="10">
        <v>440</v>
      </c>
      <c r="O2261" s="10">
        <f>Table1[[#This Row],[NET Amount]]-Table1[[#This Row],[Paid Amount]]</f>
        <v>1760</v>
      </c>
      <c r="P2261" s="2" t="s">
        <v>23</v>
      </c>
      <c r="Q2261" s="2" t="s">
        <v>147</v>
      </c>
      <c r="R2261" s="16">
        <f>(Table1[[#This Row],[NET Amount]]-Table1[[#This Row],[Total Outstanding Amount]])/Table1[[#This Row],[NET Amount]]</f>
        <v>0.2</v>
      </c>
      <c r="S2261" s="2" t="s">
        <v>97</v>
      </c>
    </row>
    <row r="2262" spans="1:19" x14ac:dyDescent="0.3">
      <c r="A2262" s="4">
        <v>2260</v>
      </c>
      <c r="B2262" s="2" t="s">
        <v>25</v>
      </c>
      <c r="C2262" s="3">
        <v>44840</v>
      </c>
      <c r="D2262" s="3" t="str">
        <f>TEXT(Table1[[#This Row],[Admission Date]],"MMMM")</f>
        <v>October</v>
      </c>
      <c r="E2262" s="3">
        <v>44840</v>
      </c>
      <c r="F2262" s="3">
        <v>44840</v>
      </c>
      <c r="G2262" s="2">
        <v>22025902</v>
      </c>
      <c r="H2262" s="2">
        <v>2234915</v>
      </c>
      <c r="I2262" s="2">
        <v>10013533934</v>
      </c>
      <c r="J2262" s="2" t="s">
        <v>498</v>
      </c>
      <c r="K2262" s="10">
        <v>4990</v>
      </c>
      <c r="L2262" s="10">
        <v>464</v>
      </c>
      <c r="M2262" s="10">
        <v>4526</v>
      </c>
      <c r="N2262" s="10">
        <v>4526</v>
      </c>
      <c r="O2262" s="10">
        <f>Table1[[#This Row],[NET Amount]]-Table1[[#This Row],[Paid Amount]]</f>
        <v>0</v>
      </c>
      <c r="P2262" s="2" t="s">
        <v>18</v>
      </c>
      <c r="Q2262" s="2" t="s">
        <v>54</v>
      </c>
      <c r="R2262" s="16">
        <f>(Table1[[#This Row],[NET Amount]]-Table1[[#This Row],[Total Outstanding Amount]])/Table1[[#This Row],[NET Amount]]</f>
        <v>1</v>
      </c>
      <c r="S2262" s="2" t="s">
        <v>97</v>
      </c>
    </row>
    <row r="2263" spans="1:19" x14ac:dyDescent="0.3">
      <c r="A2263" s="4">
        <v>2261</v>
      </c>
      <c r="B2263" s="2" t="s">
        <v>25</v>
      </c>
      <c r="C2263" s="3">
        <v>44861</v>
      </c>
      <c r="D2263" s="3" t="str">
        <f>TEXT(Table1[[#This Row],[Admission Date]],"MMMM")</f>
        <v>October</v>
      </c>
      <c r="E2263" s="3">
        <v>44861</v>
      </c>
      <c r="F2263" s="3">
        <v>44861</v>
      </c>
      <c r="G2263" s="2">
        <v>22028730</v>
      </c>
      <c r="H2263" s="2">
        <v>2237619</v>
      </c>
      <c r="I2263" s="2">
        <v>1001314823</v>
      </c>
      <c r="J2263" s="2" t="s">
        <v>129</v>
      </c>
      <c r="K2263" s="10">
        <v>3630</v>
      </c>
      <c r="L2263" s="10">
        <v>290</v>
      </c>
      <c r="M2263" s="10">
        <v>3340</v>
      </c>
      <c r="N2263" s="10">
        <v>3340</v>
      </c>
      <c r="O2263" s="10">
        <f>Table1[[#This Row],[NET Amount]]-Table1[[#This Row],[Paid Amount]]</f>
        <v>0</v>
      </c>
      <c r="P2263" s="2" t="s">
        <v>18</v>
      </c>
      <c r="Q2263" s="2" t="s">
        <v>54</v>
      </c>
      <c r="R2263" s="16">
        <f>(Table1[[#This Row],[NET Amount]]-Table1[[#This Row],[Total Outstanding Amount]])/Table1[[#This Row],[NET Amount]]</f>
        <v>1</v>
      </c>
      <c r="S2263" s="2" t="s">
        <v>97</v>
      </c>
    </row>
    <row r="2264" spans="1:19" x14ac:dyDescent="0.3">
      <c r="A2264" s="4">
        <v>2262</v>
      </c>
      <c r="B2264" s="2" t="s">
        <v>2254</v>
      </c>
      <c r="C2264" s="3">
        <v>44861</v>
      </c>
      <c r="D2264" s="3" t="str">
        <f>TEXT(Table1[[#This Row],[Admission Date]],"MMMM")</f>
        <v>October</v>
      </c>
      <c r="E2264" s="3">
        <v>44861</v>
      </c>
      <c r="F2264" s="3">
        <v>44861</v>
      </c>
      <c r="G2264" s="2">
        <v>22028808</v>
      </c>
      <c r="H2264" s="2">
        <v>2237644</v>
      </c>
      <c r="I2264" s="2">
        <v>1001806538</v>
      </c>
      <c r="J2264" s="2" t="s">
        <v>1451</v>
      </c>
      <c r="K2264" s="10">
        <v>9909</v>
      </c>
      <c r="L2264" s="10">
        <v>0</v>
      </c>
      <c r="M2264" s="10">
        <v>9909</v>
      </c>
      <c r="N2264" s="10">
        <v>9909</v>
      </c>
      <c r="O2264" s="10">
        <f>Table1[[#This Row],[NET Amount]]-Table1[[#This Row],[Paid Amount]]</f>
        <v>0</v>
      </c>
      <c r="P2264" s="2" t="s">
        <v>18</v>
      </c>
      <c r="Q2264" s="2" t="s">
        <v>24</v>
      </c>
      <c r="R2264" s="16">
        <f>(Table1[[#This Row],[NET Amount]]-Table1[[#This Row],[Total Outstanding Amount]])/Table1[[#This Row],[NET Amount]]</f>
        <v>1</v>
      </c>
      <c r="S2264" s="2" t="s">
        <v>20</v>
      </c>
    </row>
    <row r="2265" spans="1:19" x14ac:dyDescent="0.3">
      <c r="A2265" s="4">
        <v>2263</v>
      </c>
      <c r="B2265" s="2" t="s">
        <v>2291</v>
      </c>
      <c r="C2265" s="3">
        <v>44835</v>
      </c>
      <c r="D2265" s="3" t="str">
        <f>TEXT(Table1[[#This Row],[Admission Date]],"MMMM")</f>
        <v>October</v>
      </c>
      <c r="E2265" s="3">
        <v>44841</v>
      </c>
      <c r="F2265" s="3">
        <v>44841</v>
      </c>
      <c r="G2265" s="2">
        <v>22025987</v>
      </c>
      <c r="H2265" s="2">
        <v>2234295</v>
      </c>
      <c r="I2265" s="2">
        <v>10013469513</v>
      </c>
      <c r="J2265" s="2" t="s">
        <v>1452</v>
      </c>
      <c r="K2265" s="10">
        <v>71365</v>
      </c>
      <c r="L2265" s="10">
        <v>71365</v>
      </c>
      <c r="M2265" s="10">
        <v>0</v>
      </c>
      <c r="N2265" s="10">
        <v>0</v>
      </c>
      <c r="O2265" s="10">
        <f>Table1[[#This Row],[NET Amount]]-Table1[[#This Row],[Paid Amount]]</f>
        <v>0</v>
      </c>
      <c r="P2265" s="2" t="s">
        <v>18</v>
      </c>
      <c r="Q2265" s="2" t="s">
        <v>24</v>
      </c>
      <c r="R2265" s="16" t="e">
        <f>(Table1[[#This Row],[NET Amount]]-Table1[[#This Row],[Total Outstanding Amount]])/Table1[[#This Row],[NET Amount]]</f>
        <v>#DIV/0!</v>
      </c>
      <c r="S2265" s="2" t="s">
        <v>20</v>
      </c>
    </row>
    <row r="2266" spans="1:19" x14ac:dyDescent="0.3">
      <c r="A2266" s="4">
        <v>2264</v>
      </c>
      <c r="B2266" s="2" t="s">
        <v>168</v>
      </c>
      <c r="C2266" s="3">
        <v>44848</v>
      </c>
      <c r="D2266" s="3" t="str">
        <f>TEXT(Table1[[#This Row],[Admission Date]],"MMMM")</f>
        <v>October</v>
      </c>
      <c r="E2266" s="3">
        <v>44849</v>
      </c>
      <c r="F2266" s="3">
        <v>44849</v>
      </c>
      <c r="G2266" s="2">
        <v>22027172</v>
      </c>
      <c r="H2266" s="2">
        <v>2235947</v>
      </c>
      <c r="I2266" s="2">
        <v>10013542954</v>
      </c>
      <c r="J2266" s="2" t="s">
        <v>1453</v>
      </c>
      <c r="K2266" s="10">
        <v>238169</v>
      </c>
      <c r="L2266" s="10">
        <v>0</v>
      </c>
      <c r="M2266" s="10">
        <v>238169</v>
      </c>
      <c r="N2266" s="10">
        <v>44456</v>
      </c>
      <c r="O2266" s="10">
        <f>Table1[[#This Row],[NET Amount]]-Table1[[#This Row],[Paid Amount]]</f>
        <v>193713</v>
      </c>
      <c r="P2266" s="2" t="s">
        <v>23</v>
      </c>
      <c r="Q2266" s="2" t="s">
        <v>47</v>
      </c>
      <c r="R2266" s="16">
        <f>(Table1[[#This Row],[NET Amount]]-Table1[[#This Row],[Total Outstanding Amount]])/Table1[[#This Row],[NET Amount]]</f>
        <v>0.18665737354567555</v>
      </c>
      <c r="S2266" s="2" t="s">
        <v>39</v>
      </c>
    </row>
    <row r="2267" spans="1:19" x14ac:dyDescent="0.3">
      <c r="A2267" s="4">
        <v>2265</v>
      </c>
      <c r="B2267" s="2" t="s">
        <v>25</v>
      </c>
      <c r="C2267" s="3">
        <v>44848</v>
      </c>
      <c r="D2267" s="3" t="str">
        <f>TEXT(Table1[[#This Row],[Admission Date]],"MMMM")</f>
        <v>October</v>
      </c>
      <c r="E2267" s="3">
        <v>44850</v>
      </c>
      <c r="F2267" s="3">
        <v>44850</v>
      </c>
      <c r="G2267" s="2">
        <v>22027303</v>
      </c>
      <c r="H2267" s="2">
        <v>2235964</v>
      </c>
      <c r="I2267" s="2">
        <v>10013542990</v>
      </c>
      <c r="J2267" s="2" t="s">
        <v>1454</v>
      </c>
      <c r="K2267" s="10">
        <v>132814</v>
      </c>
      <c r="L2267" s="10">
        <v>22291</v>
      </c>
      <c r="M2267" s="10">
        <v>110523</v>
      </c>
      <c r="N2267" s="10">
        <v>110523</v>
      </c>
      <c r="O2267" s="10">
        <f>Table1[[#This Row],[NET Amount]]-Table1[[#This Row],[Paid Amount]]</f>
        <v>0</v>
      </c>
      <c r="P2267" s="2" t="s">
        <v>18</v>
      </c>
      <c r="Q2267" s="2" t="s">
        <v>24</v>
      </c>
      <c r="R2267" s="16">
        <f>(Table1[[#This Row],[NET Amount]]-Table1[[#This Row],[Total Outstanding Amount]])/Table1[[#This Row],[NET Amount]]</f>
        <v>1</v>
      </c>
      <c r="S2267" s="2" t="s">
        <v>55</v>
      </c>
    </row>
    <row r="2268" spans="1:19" x14ac:dyDescent="0.3">
      <c r="A2268" s="4">
        <v>2266</v>
      </c>
      <c r="B2268" s="2" t="s">
        <v>126</v>
      </c>
      <c r="C2268" s="3">
        <v>44855</v>
      </c>
      <c r="D2268" s="3" t="str">
        <f>TEXT(Table1[[#This Row],[Admission Date]],"MMMM")</f>
        <v>October</v>
      </c>
      <c r="E2268" s="3">
        <v>44858</v>
      </c>
      <c r="F2268" s="3">
        <v>44858</v>
      </c>
      <c r="G2268" s="2">
        <v>22028447</v>
      </c>
      <c r="H2268" s="2">
        <v>2236857</v>
      </c>
      <c r="I2268" s="2">
        <v>10013543976</v>
      </c>
      <c r="J2268" s="2" t="s">
        <v>1455</v>
      </c>
      <c r="K2268" s="10">
        <v>113811</v>
      </c>
      <c r="L2268" s="10">
        <v>15641</v>
      </c>
      <c r="M2268" s="10">
        <v>98170</v>
      </c>
      <c r="N2268" s="10">
        <v>9311</v>
      </c>
      <c r="O2268" s="10">
        <f>Table1[[#This Row],[NET Amount]]-Table1[[#This Row],[Paid Amount]]</f>
        <v>88859</v>
      </c>
      <c r="P2268" s="2" t="s">
        <v>23</v>
      </c>
      <c r="Q2268" s="2" t="s">
        <v>24</v>
      </c>
      <c r="R2268" s="16">
        <f>(Table1[[#This Row],[NET Amount]]-Table1[[#This Row],[Total Outstanding Amount]])/Table1[[#This Row],[NET Amount]]</f>
        <v>9.4845675868391571E-2</v>
      </c>
      <c r="S2268" s="2" t="s">
        <v>37</v>
      </c>
    </row>
    <row r="2269" spans="1:19" x14ac:dyDescent="0.3">
      <c r="A2269" s="4">
        <v>2267</v>
      </c>
      <c r="B2269" s="2" t="s">
        <v>163</v>
      </c>
      <c r="C2269" s="3">
        <v>44855</v>
      </c>
      <c r="D2269" s="3" t="str">
        <f>TEXT(Table1[[#This Row],[Admission Date]],"MMMM")</f>
        <v>October</v>
      </c>
      <c r="E2269" s="3">
        <v>44858</v>
      </c>
      <c r="F2269" s="3">
        <v>44858</v>
      </c>
      <c r="G2269" s="2">
        <v>22028428</v>
      </c>
      <c r="H2269" s="2">
        <v>2236892</v>
      </c>
      <c r="I2269" s="2">
        <v>1001805600</v>
      </c>
      <c r="J2269" s="2" t="s">
        <v>1456</v>
      </c>
      <c r="K2269" s="10">
        <v>97531</v>
      </c>
      <c r="L2269" s="10">
        <v>0</v>
      </c>
      <c r="M2269" s="10">
        <v>97531</v>
      </c>
      <c r="N2269" s="10">
        <v>5635</v>
      </c>
      <c r="O2269" s="10">
        <f>Table1[[#This Row],[NET Amount]]-Table1[[#This Row],[Paid Amount]]</f>
        <v>91896</v>
      </c>
      <c r="P2269" s="2" t="s">
        <v>23</v>
      </c>
      <c r="Q2269" s="2" t="s">
        <v>24</v>
      </c>
      <c r="R2269" s="16">
        <f>(Table1[[#This Row],[NET Amount]]-Table1[[#This Row],[Total Outstanding Amount]])/Table1[[#This Row],[NET Amount]]</f>
        <v>5.7776501830187323E-2</v>
      </c>
      <c r="S2269" s="2" t="s">
        <v>20</v>
      </c>
    </row>
    <row r="2270" spans="1:19" x14ac:dyDescent="0.3">
      <c r="A2270" s="4">
        <v>2268</v>
      </c>
      <c r="B2270" s="2" t="s">
        <v>2245</v>
      </c>
      <c r="C2270" s="3">
        <v>44840</v>
      </c>
      <c r="D2270" s="3" t="str">
        <f>TEXT(Table1[[#This Row],[Admission Date]],"MMMM")</f>
        <v>October</v>
      </c>
      <c r="E2270" s="3">
        <v>44845</v>
      </c>
      <c r="F2270" s="3">
        <v>44845</v>
      </c>
      <c r="G2270" s="2">
        <v>22026555</v>
      </c>
      <c r="H2270" s="2">
        <v>2234868</v>
      </c>
      <c r="I2270" s="2">
        <v>1001802727</v>
      </c>
      <c r="J2270" s="2" t="s">
        <v>1457</v>
      </c>
      <c r="K2270" s="10">
        <v>18268</v>
      </c>
      <c r="L2270" s="10">
        <v>0</v>
      </c>
      <c r="M2270" s="10">
        <v>18268</v>
      </c>
      <c r="N2270" s="10">
        <v>1423</v>
      </c>
      <c r="O2270" s="10">
        <f>Table1[[#This Row],[NET Amount]]-Table1[[#This Row],[Paid Amount]]</f>
        <v>16845</v>
      </c>
      <c r="P2270" s="2" t="s">
        <v>23</v>
      </c>
      <c r="Q2270" s="2" t="s">
        <v>24</v>
      </c>
      <c r="R2270" s="16">
        <f>(Table1[[#This Row],[NET Amount]]-Table1[[#This Row],[Total Outstanding Amount]])/Table1[[#This Row],[NET Amount]]</f>
        <v>7.7895774031092616E-2</v>
      </c>
      <c r="S2270" s="2" t="s">
        <v>20</v>
      </c>
    </row>
    <row r="2271" spans="1:19" x14ac:dyDescent="0.3">
      <c r="A2271" s="4">
        <v>2269</v>
      </c>
      <c r="B2271" s="2" t="s">
        <v>25</v>
      </c>
      <c r="C2271" s="3">
        <v>44846</v>
      </c>
      <c r="D2271" s="3" t="str">
        <f>TEXT(Table1[[#This Row],[Admission Date]],"MMMM")</f>
        <v>October</v>
      </c>
      <c r="E2271" s="3">
        <v>44850</v>
      </c>
      <c r="F2271" s="3">
        <v>44850</v>
      </c>
      <c r="G2271" s="2">
        <v>22027336</v>
      </c>
      <c r="H2271" s="2">
        <v>2235773</v>
      </c>
      <c r="I2271" s="2">
        <v>1001804022</v>
      </c>
      <c r="J2271" s="2" t="s">
        <v>1458</v>
      </c>
      <c r="K2271" s="10">
        <v>108842</v>
      </c>
      <c r="L2271" s="10">
        <v>13936</v>
      </c>
      <c r="M2271" s="10">
        <v>94905</v>
      </c>
      <c r="N2271" s="10">
        <v>94905</v>
      </c>
      <c r="O2271" s="10">
        <f>Table1[[#This Row],[NET Amount]]-Table1[[#This Row],[Paid Amount]]</f>
        <v>0</v>
      </c>
      <c r="P2271" s="2" t="s">
        <v>18</v>
      </c>
      <c r="Q2271" s="2" t="s">
        <v>19</v>
      </c>
      <c r="R2271" s="16">
        <f>(Table1[[#This Row],[NET Amount]]-Table1[[#This Row],[Total Outstanding Amount]])/Table1[[#This Row],[NET Amount]]</f>
        <v>1</v>
      </c>
      <c r="S2271" s="2" t="s">
        <v>27</v>
      </c>
    </row>
    <row r="2272" spans="1:19" x14ac:dyDescent="0.3">
      <c r="A2272" s="4">
        <v>2270</v>
      </c>
      <c r="B2272" s="2" t="s">
        <v>126</v>
      </c>
      <c r="C2272" s="3">
        <v>44831</v>
      </c>
      <c r="D2272" s="3" t="str">
        <f>TEXT(Table1[[#This Row],[Admission Date]],"MMMM")</f>
        <v>September</v>
      </c>
      <c r="E2272" s="3">
        <v>44837</v>
      </c>
      <c r="F2272" s="3">
        <v>44837</v>
      </c>
      <c r="G2272" s="2">
        <v>22025364</v>
      </c>
      <c r="H2272" s="2">
        <v>2233644</v>
      </c>
      <c r="I2272" s="2">
        <v>10013540524</v>
      </c>
      <c r="J2272" s="2" t="s">
        <v>1459</v>
      </c>
      <c r="K2272" s="10">
        <v>155869</v>
      </c>
      <c r="L2272" s="10">
        <v>21358</v>
      </c>
      <c r="M2272" s="10">
        <v>134511</v>
      </c>
      <c r="N2272" s="10">
        <v>134511</v>
      </c>
      <c r="O2272" s="10">
        <f>Table1[[#This Row],[NET Amount]]-Table1[[#This Row],[Paid Amount]]</f>
        <v>0</v>
      </c>
      <c r="P2272" s="2" t="s">
        <v>18</v>
      </c>
      <c r="Q2272" s="2" t="s">
        <v>24</v>
      </c>
      <c r="R2272" s="16">
        <f>(Table1[[#This Row],[NET Amount]]-Table1[[#This Row],[Total Outstanding Amount]])/Table1[[#This Row],[NET Amount]]</f>
        <v>1</v>
      </c>
      <c r="S2272" s="2" t="s">
        <v>32</v>
      </c>
    </row>
    <row r="2273" spans="1:19" x14ac:dyDescent="0.3">
      <c r="A2273" s="4">
        <v>2271</v>
      </c>
      <c r="B2273" s="2" t="s">
        <v>25</v>
      </c>
      <c r="C2273" s="3">
        <v>44840</v>
      </c>
      <c r="D2273" s="3" t="str">
        <f>TEXT(Table1[[#This Row],[Admission Date]],"MMMM")</f>
        <v>October</v>
      </c>
      <c r="E2273" s="3">
        <v>44842</v>
      </c>
      <c r="F2273" s="3">
        <v>44842</v>
      </c>
      <c r="G2273" s="2">
        <v>22026178</v>
      </c>
      <c r="H2273" s="2">
        <v>2234927</v>
      </c>
      <c r="I2273" s="2">
        <v>1001802880</v>
      </c>
      <c r="J2273" s="2" t="s">
        <v>1460</v>
      </c>
      <c r="K2273" s="10">
        <v>15366</v>
      </c>
      <c r="L2273" s="10">
        <v>1739</v>
      </c>
      <c r="M2273" s="10">
        <v>13627</v>
      </c>
      <c r="N2273" s="10">
        <v>13627</v>
      </c>
      <c r="O2273" s="10">
        <f>Table1[[#This Row],[NET Amount]]-Table1[[#This Row],[Paid Amount]]</f>
        <v>0</v>
      </c>
      <c r="P2273" s="2" t="s">
        <v>18</v>
      </c>
      <c r="Q2273" s="2" t="s">
        <v>19</v>
      </c>
      <c r="R2273" s="16">
        <f>(Table1[[#This Row],[NET Amount]]-Table1[[#This Row],[Total Outstanding Amount]])/Table1[[#This Row],[NET Amount]]</f>
        <v>1</v>
      </c>
      <c r="S2273" s="2" t="s">
        <v>37</v>
      </c>
    </row>
    <row r="2274" spans="1:19" x14ac:dyDescent="0.3">
      <c r="A2274" s="4">
        <v>2272</v>
      </c>
      <c r="B2274" s="2" t="s">
        <v>35</v>
      </c>
      <c r="C2274" s="3">
        <v>44863</v>
      </c>
      <c r="D2274" s="3" t="str">
        <f>TEXT(Table1[[#This Row],[Admission Date]],"MMMM")</f>
        <v>October</v>
      </c>
      <c r="E2274" s="3">
        <v>44863</v>
      </c>
      <c r="F2274" s="3">
        <v>44863</v>
      </c>
      <c r="G2274" s="2">
        <v>22028998</v>
      </c>
      <c r="H2274" s="2">
        <v>2237913</v>
      </c>
      <c r="I2274" s="2">
        <v>10013540183</v>
      </c>
      <c r="J2274" s="2" t="s">
        <v>99</v>
      </c>
      <c r="K2274" s="10">
        <v>1610</v>
      </c>
      <c r="L2274" s="10">
        <v>0</v>
      </c>
      <c r="M2274" s="10">
        <v>1610</v>
      </c>
      <c r="N2274" s="10">
        <v>1610</v>
      </c>
      <c r="O2274" s="10">
        <f>Table1[[#This Row],[NET Amount]]-Table1[[#This Row],[Paid Amount]]</f>
        <v>0</v>
      </c>
      <c r="P2274" s="2" t="s">
        <v>18</v>
      </c>
      <c r="Q2274" s="2" t="s">
        <v>54</v>
      </c>
      <c r="R2274" s="16">
        <f>(Table1[[#This Row],[NET Amount]]-Table1[[#This Row],[Total Outstanding Amount]])/Table1[[#This Row],[NET Amount]]</f>
        <v>1</v>
      </c>
      <c r="S2274" s="2" t="s">
        <v>97</v>
      </c>
    </row>
    <row r="2275" spans="1:19" x14ac:dyDescent="0.3">
      <c r="A2275" s="4">
        <v>2273</v>
      </c>
      <c r="B2275" s="2" t="s">
        <v>2248</v>
      </c>
      <c r="C2275" s="3">
        <v>44862</v>
      </c>
      <c r="D2275" s="3" t="str">
        <f>TEXT(Table1[[#This Row],[Admission Date]],"MMMM")</f>
        <v>October</v>
      </c>
      <c r="E2275" s="3">
        <v>44863</v>
      </c>
      <c r="F2275" s="3">
        <v>44863</v>
      </c>
      <c r="G2275" s="2">
        <v>22029073</v>
      </c>
      <c r="H2275" s="2">
        <v>2237871</v>
      </c>
      <c r="I2275" s="2">
        <v>1001806730</v>
      </c>
      <c r="J2275" s="2" t="s">
        <v>1461</v>
      </c>
      <c r="K2275" s="10">
        <v>7829</v>
      </c>
      <c r="L2275" s="10">
        <v>0</v>
      </c>
      <c r="M2275" s="10">
        <v>7828</v>
      </c>
      <c r="N2275" s="10">
        <v>7828</v>
      </c>
      <c r="O2275" s="10">
        <f>Table1[[#This Row],[NET Amount]]-Table1[[#This Row],[Paid Amount]]</f>
        <v>0</v>
      </c>
      <c r="P2275" s="2" t="s">
        <v>18</v>
      </c>
      <c r="Q2275" s="2" t="s">
        <v>24</v>
      </c>
      <c r="R2275" s="16">
        <f>(Table1[[#This Row],[NET Amount]]-Table1[[#This Row],[Total Outstanding Amount]])/Table1[[#This Row],[NET Amount]]</f>
        <v>1</v>
      </c>
      <c r="S2275" s="2" t="s">
        <v>37</v>
      </c>
    </row>
    <row r="2276" spans="1:19" x14ac:dyDescent="0.3">
      <c r="A2276" s="4">
        <v>2274</v>
      </c>
      <c r="B2276" s="2" t="s">
        <v>2251</v>
      </c>
      <c r="C2276" s="3">
        <v>44862</v>
      </c>
      <c r="D2276" s="3" t="str">
        <f>TEXT(Table1[[#This Row],[Admission Date]],"MMMM")</f>
        <v>October</v>
      </c>
      <c r="E2276" s="3">
        <v>44865</v>
      </c>
      <c r="F2276" s="3">
        <v>44865</v>
      </c>
      <c r="G2276" s="2">
        <v>22029360</v>
      </c>
      <c r="H2276" s="2">
        <v>2237789</v>
      </c>
      <c r="I2276" s="2">
        <v>1001724627</v>
      </c>
      <c r="J2276" s="2" t="s">
        <v>1462</v>
      </c>
      <c r="K2276" s="10">
        <v>49111</v>
      </c>
      <c r="L2276" s="10">
        <v>6549</v>
      </c>
      <c r="M2276" s="10">
        <v>42562</v>
      </c>
      <c r="N2276" s="10">
        <v>3895</v>
      </c>
      <c r="O2276" s="10">
        <f>Table1[[#This Row],[NET Amount]]-Table1[[#This Row],[Paid Amount]]</f>
        <v>38667</v>
      </c>
      <c r="P2276" s="2" t="s">
        <v>23</v>
      </c>
      <c r="Q2276" s="2" t="s">
        <v>30</v>
      </c>
      <c r="R2276" s="16">
        <f>(Table1[[#This Row],[NET Amount]]-Table1[[#This Row],[Total Outstanding Amount]])/Table1[[#This Row],[NET Amount]]</f>
        <v>9.1513556693764389E-2</v>
      </c>
      <c r="S2276" s="2" t="s">
        <v>20</v>
      </c>
    </row>
    <row r="2277" spans="1:19" x14ac:dyDescent="0.3">
      <c r="A2277" s="4">
        <v>2275</v>
      </c>
      <c r="B2277" s="2" t="s">
        <v>25</v>
      </c>
      <c r="C2277" s="3">
        <v>44834</v>
      </c>
      <c r="D2277" s="3" t="str">
        <f>TEXT(Table1[[#This Row],[Admission Date]],"MMMM")</f>
        <v>September</v>
      </c>
      <c r="E2277" s="3">
        <v>44838</v>
      </c>
      <c r="F2277" s="3">
        <v>44838</v>
      </c>
      <c r="G2277" s="2">
        <v>22025496</v>
      </c>
      <c r="H2277" s="2">
        <v>2234092</v>
      </c>
      <c r="I2277" s="2">
        <v>10013512490</v>
      </c>
      <c r="J2277" s="2" t="s">
        <v>1463</v>
      </c>
      <c r="K2277" s="10">
        <v>177844</v>
      </c>
      <c r="L2277" s="10">
        <v>41857</v>
      </c>
      <c r="M2277" s="10">
        <v>135987</v>
      </c>
      <c r="N2277" s="10">
        <v>135987</v>
      </c>
      <c r="O2277" s="10">
        <f>Table1[[#This Row],[NET Amount]]-Table1[[#This Row],[Paid Amount]]</f>
        <v>0</v>
      </c>
      <c r="P2277" s="2" t="s">
        <v>18</v>
      </c>
      <c r="Q2277" s="2" t="s">
        <v>88</v>
      </c>
      <c r="R2277" s="16">
        <f>(Table1[[#This Row],[NET Amount]]-Table1[[#This Row],[Total Outstanding Amount]])/Table1[[#This Row],[NET Amount]]</f>
        <v>1</v>
      </c>
      <c r="S2277" s="2" t="s">
        <v>95</v>
      </c>
    </row>
    <row r="2278" spans="1:19" x14ac:dyDescent="0.3">
      <c r="A2278" s="4">
        <v>2276</v>
      </c>
      <c r="B2278" s="2" t="s">
        <v>25</v>
      </c>
      <c r="C2278" s="3">
        <v>44834</v>
      </c>
      <c r="D2278" s="3" t="str">
        <f>TEXT(Table1[[#This Row],[Admission Date]],"MMMM")</f>
        <v>September</v>
      </c>
      <c r="E2278" s="3">
        <v>44842</v>
      </c>
      <c r="F2278" s="3">
        <v>44842</v>
      </c>
      <c r="G2278" s="2">
        <v>22026226</v>
      </c>
      <c r="H2278" s="2">
        <v>2234104</v>
      </c>
      <c r="I2278" s="2">
        <v>10013538841</v>
      </c>
      <c r="J2278" s="2" t="s">
        <v>1464</v>
      </c>
      <c r="K2278" s="10">
        <v>519695</v>
      </c>
      <c r="L2278" s="10">
        <v>172456</v>
      </c>
      <c r="M2278" s="10">
        <v>347240</v>
      </c>
      <c r="N2278" s="10">
        <v>347240</v>
      </c>
      <c r="O2278" s="10">
        <f>Table1[[#This Row],[NET Amount]]-Table1[[#This Row],[Paid Amount]]</f>
        <v>0</v>
      </c>
      <c r="P2278" s="2" t="s">
        <v>18</v>
      </c>
      <c r="Q2278" s="2" t="s">
        <v>225</v>
      </c>
      <c r="R2278" s="16">
        <f>(Table1[[#This Row],[NET Amount]]-Table1[[#This Row],[Total Outstanding Amount]])/Table1[[#This Row],[NET Amount]]</f>
        <v>1</v>
      </c>
      <c r="S2278" s="2" t="s">
        <v>95</v>
      </c>
    </row>
    <row r="2279" spans="1:19" x14ac:dyDescent="0.3">
      <c r="A2279" s="4">
        <v>2277</v>
      </c>
      <c r="B2279" s="2" t="s">
        <v>75</v>
      </c>
      <c r="C2279" s="3">
        <v>44853</v>
      </c>
      <c r="D2279" s="3" t="str">
        <f>TEXT(Table1[[#This Row],[Admission Date]],"MMMM")</f>
        <v>October</v>
      </c>
      <c r="E2279" s="3">
        <v>44856</v>
      </c>
      <c r="F2279" s="3">
        <v>44856</v>
      </c>
      <c r="G2279" s="2">
        <v>22028227</v>
      </c>
      <c r="H2279" s="2">
        <v>2236634</v>
      </c>
      <c r="I2279" s="2">
        <v>10013395106</v>
      </c>
      <c r="J2279" s="2" t="s">
        <v>1465</v>
      </c>
      <c r="K2279" s="10">
        <v>42672</v>
      </c>
      <c r="L2279" s="10">
        <v>0</v>
      </c>
      <c r="M2279" s="10">
        <v>42672</v>
      </c>
      <c r="N2279" s="10">
        <v>1370</v>
      </c>
      <c r="O2279" s="10">
        <f>Table1[[#This Row],[NET Amount]]-Table1[[#This Row],[Paid Amount]]</f>
        <v>41302</v>
      </c>
      <c r="P2279" s="2" t="s">
        <v>23</v>
      </c>
      <c r="Q2279" s="2" t="s">
        <v>19</v>
      </c>
      <c r="R2279" s="16">
        <f>(Table1[[#This Row],[NET Amount]]-Table1[[#This Row],[Total Outstanding Amount]])/Table1[[#This Row],[NET Amount]]</f>
        <v>3.2105361829771278E-2</v>
      </c>
      <c r="S2279" s="2" t="s">
        <v>20</v>
      </c>
    </row>
    <row r="2280" spans="1:19" x14ac:dyDescent="0.3">
      <c r="A2280" s="4">
        <v>2278</v>
      </c>
      <c r="B2280" s="2" t="s">
        <v>113</v>
      </c>
      <c r="C2280" s="3">
        <v>44857</v>
      </c>
      <c r="D2280" s="3" t="str">
        <f>TEXT(Table1[[#This Row],[Admission Date]],"MMMM")</f>
        <v>October</v>
      </c>
      <c r="E2280" s="3">
        <v>44857</v>
      </c>
      <c r="F2280" s="3">
        <v>44857</v>
      </c>
      <c r="G2280" s="2">
        <v>22028316</v>
      </c>
      <c r="H2280" s="2">
        <v>2237128</v>
      </c>
      <c r="I2280" s="2">
        <v>10013524248</v>
      </c>
      <c r="J2280" s="2" t="s">
        <v>211</v>
      </c>
      <c r="K2280" s="10">
        <v>1610</v>
      </c>
      <c r="L2280" s="10">
        <v>0</v>
      </c>
      <c r="M2280" s="10">
        <v>1610</v>
      </c>
      <c r="N2280" s="10">
        <v>1610</v>
      </c>
      <c r="O2280" s="10">
        <f>Table1[[#This Row],[NET Amount]]-Table1[[#This Row],[Paid Amount]]</f>
        <v>0</v>
      </c>
      <c r="P2280" s="2" t="s">
        <v>18</v>
      </c>
      <c r="Q2280" s="2" t="s">
        <v>54</v>
      </c>
      <c r="R2280" s="16">
        <f>(Table1[[#This Row],[NET Amount]]-Table1[[#This Row],[Total Outstanding Amount]])/Table1[[#This Row],[NET Amount]]</f>
        <v>1</v>
      </c>
      <c r="S2280" s="2" t="s">
        <v>97</v>
      </c>
    </row>
    <row r="2281" spans="1:19" x14ac:dyDescent="0.3">
      <c r="A2281" s="4">
        <v>2279</v>
      </c>
      <c r="B2281" s="2" t="s">
        <v>25</v>
      </c>
      <c r="C2281" s="3">
        <v>44846</v>
      </c>
      <c r="D2281" s="3" t="str">
        <f>TEXT(Table1[[#This Row],[Admission Date]],"MMMM")</f>
        <v>October</v>
      </c>
      <c r="E2281" s="3">
        <v>44847</v>
      </c>
      <c r="F2281" s="3">
        <v>44847</v>
      </c>
      <c r="G2281" s="2">
        <v>22026856</v>
      </c>
      <c r="H2281" s="2">
        <v>2235703</v>
      </c>
      <c r="I2281" s="2">
        <v>10013241969</v>
      </c>
      <c r="J2281" s="2" t="s">
        <v>121</v>
      </c>
      <c r="K2281" s="10">
        <v>237100</v>
      </c>
      <c r="L2281" s="10">
        <v>237100</v>
      </c>
      <c r="M2281" s="10">
        <v>0</v>
      </c>
      <c r="N2281" s="10">
        <v>0</v>
      </c>
      <c r="O2281" s="10">
        <f>Table1[[#This Row],[NET Amount]]-Table1[[#This Row],[Paid Amount]]</f>
        <v>0</v>
      </c>
      <c r="P2281" s="2" t="s">
        <v>18</v>
      </c>
      <c r="Q2281" s="2" t="s">
        <v>90</v>
      </c>
      <c r="R2281" s="16" t="e">
        <f>(Table1[[#This Row],[NET Amount]]-Table1[[#This Row],[Total Outstanding Amount]])/Table1[[#This Row],[NET Amount]]</f>
        <v>#DIV/0!</v>
      </c>
      <c r="S2281" s="2" t="s">
        <v>39</v>
      </c>
    </row>
    <row r="2282" spans="1:19" x14ac:dyDescent="0.3">
      <c r="A2282" s="4">
        <v>2280</v>
      </c>
      <c r="B2282" s="2" t="s">
        <v>2247</v>
      </c>
      <c r="C2282" s="3">
        <v>44846</v>
      </c>
      <c r="D2282" s="3" t="str">
        <f>TEXT(Table1[[#This Row],[Admission Date]],"MMMM")</f>
        <v>October</v>
      </c>
      <c r="E2282" s="3">
        <v>44848</v>
      </c>
      <c r="F2282" s="3">
        <v>44848</v>
      </c>
      <c r="G2282" s="2">
        <v>22026992</v>
      </c>
      <c r="H2282" s="2">
        <v>2235629</v>
      </c>
      <c r="I2282" s="2">
        <v>1001803769</v>
      </c>
      <c r="J2282" s="2" t="s">
        <v>1466</v>
      </c>
      <c r="K2282" s="10">
        <v>38600</v>
      </c>
      <c r="L2282" s="10">
        <v>0</v>
      </c>
      <c r="M2282" s="10">
        <v>38600</v>
      </c>
      <c r="N2282" s="10">
        <v>2352</v>
      </c>
      <c r="O2282" s="10">
        <f>Table1[[#This Row],[NET Amount]]-Table1[[#This Row],[Paid Amount]]</f>
        <v>36248</v>
      </c>
      <c r="P2282" s="2" t="s">
        <v>23</v>
      </c>
      <c r="Q2282" s="2" t="s">
        <v>19</v>
      </c>
      <c r="R2282" s="16">
        <f>(Table1[[#This Row],[NET Amount]]-Table1[[#This Row],[Total Outstanding Amount]])/Table1[[#This Row],[NET Amount]]</f>
        <v>6.0932642487046634E-2</v>
      </c>
      <c r="S2282" s="2" t="s">
        <v>27</v>
      </c>
    </row>
    <row r="2283" spans="1:19" x14ac:dyDescent="0.3">
      <c r="A2283" s="4">
        <v>2281</v>
      </c>
      <c r="B2283" s="2" t="s">
        <v>2253</v>
      </c>
      <c r="C2283" s="3">
        <v>44848</v>
      </c>
      <c r="D2283" s="3" t="str">
        <f>TEXT(Table1[[#This Row],[Admission Date]],"MMMM")</f>
        <v>October</v>
      </c>
      <c r="E2283" s="3">
        <v>44860</v>
      </c>
      <c r="F2283" s="3">
        <v>44860</v>
      </c>
      <c r="G2283" s="2">
        <v>22028631</v>
      </c>
      <c r="H2283" s="2">
        <v>2236024</v>
      </c>
      <c r="I2283" s="2">
        <v>1001713154</v>
      </c>
      <c r="J2283" s="2" t="s">
        <v>1214</v>
      </c>
      <c r="K2283" s="10">
        <v>69605</v>
      </c>
      <c r="L2283" s="10">
        <v>0</v>
      </c>
      <c r="M2283" s="10">
        <v>69605</v>
      </c>
      <c r="N2283" s="10">
        <v>1545</v>
      </c>
      <c r="O2283" s="10">
        <f>Table1[[#This Row],[NET Amount]]-Table1[[#This Row],[Paid Amount]]</f>
        <v>68060</v>
      </c>
      <c r="P2283" s="2" t="s">
        <v>23</v>
      </c>
      <c r="Q2283" s="2" t="s">
        <v>24</v>
      </c>
      <c r="R2283" s="16">
        <f>(Table1[[#This Row],[NET Amount]]-Table1[[#This Row],[Total Outstanding Amount]])/Table1[[#This Row],[NET Amount]]</f>
        <v>2.2196681272897062E-2</v>
      </c>
      <c r="S2283" s="2" t="s">
        <v>20</v>
      </c>
    </row>
    <row r="2284" spans="1:19" x14ac:dyDescent="0.3">
      <c r="A2284" s="4">
        <v>2282</v>
      </c>
      <c r="B2284" s="2" t="s">
        <v>75</v>
      </c>
      <c r="C2284" s="3">
        <v>44841</v>
      </c>
      <c r="D2284" s="3" t="str">
        <f>TEXT(Table1[[#This Row],[Admission Date]],"MMMM")</f>
        <v>October</v>
      </c>
      <c r="E2284" s="3">
        <v>44849</v>
      </c>
      <c r="F2284" s="3">
        <v>44849</v>
      </c>
      <c r="G2284" s="2">
        <v>22027195</v>
      </c>
      <c r="H2284" s="2">
        <v>2235021</v>
      </c>
      <c r="I2284" s="2">
        <v>1001530765</v>
      </c>
      <c r="J2284" s="2" t="s">
        <v>1467</v>
      </c>
      <c r="K2284" s="10">
        <v>157945</v>
      </c>
      <c r="L2284" s="10">
        <v>0</v>
      </c>
      <c r="M2284" s="10">
        <v>157945</v>
      </c>
      <c r="N2284" s="10">
        <v>1664</v>
      </c>
      <c r="O2284" s="10">
        <f>Table1[[#This Row],[NET Amount]]-Table1[[#This Row],[Paid Amount]]</f>
        <v>156281</v>
      </c>
      <c r="P2284" s="2" t="s">
        <v>23</v>
      </c>
      <c r="Q2284" s="2" t="s">
        <v>19</v>
      </c>
      <c r="R2284" s="16">
        <f>(Table1[[#This Row],[NET Amount]]-Table1[[#This Row],[Total Outstanding Amount]])/Table1[[#This Row],[NET Amount]]</f>
        <v>1.0535312925385419E-2</v>
      </c>
      <c r="S2284" s="2" t="s">
        <v>20</v>
      </c>
    </row>
    <row r="2285" spans="1:19" x14ac:dyDescent="0.3">
      <c r="A2285" s="4">
        <v>2283</v>
      </c>
      <c r="B2285" s="2" t="s">
        <v>25</v>
      </c>
      <c r="C2285" s="3">
        <v>44857</v>
      </c>
      <c r="D2285" s="3" t="str">
        <f>TEXT(Table1[[#This Row],[Admission Date]],"MMMM")</f>
        <v>October</v>
      </c>
      <c r="E2285" s="3">
        <v>44860</v>
      </c>
      <c r="F2285" s="3">
        <v>44860</v>
      </c>
      <c r="G2285" s="2">
        <v>22028599</v>
      </c>
      <c r="H2285" s="2">
        <v>2237189</v>
      </c>
      <c r="I2285" s="2">
        <v>1001805905</v>
      </c>
      <c r="J2285" s="2" t="s">
        <v>1468</v>
      </c>
      <c r="K2285" s="10">
        <v>18324</v>
      </c>
      <c r="L2285" s="10">
        <v>18324</v>
      </c>
      <c r="M2285" s="10">
        <v>0</v>
      </c>
      <c r="N2285" s="10">
        <v>0</v>
      </c>
      <c r="O2285" s="10">
        <f>Table1[[#This Row],[NET Amount]]-Table1[[#This Row],[Paid Amount]]</f>
        <v>0</v>
      </c>
      <c r="P2285" s="2" t="s">
        <v>18</v>
      </c>
      <c r="Q2285" s="2" t="s">
        <v>90</v>
      </c>
      <c r="R2285" s="16" t="e">
        <f>(Table1[[#This Row],[NET Amount]]-Table1[[#This Row],[Total Outstanding Amount]])/Table1[[#This Row],[NET Amount]]</f>
        <v>#DIV/0!</v>
      </c>
      <c r="S2285" s="2" t="s">
        <v>37</v>
      </c>
    </row>
    <row r="2286" spans="1:19" x14ac:dyDescent="0.3">
      <c r="A2286" s="4">
        <v>2284</v>
      </c>
      <c r="B2286" s="2" t="s">
        <v>126</v>
      </c>
      <c r="C2286" s="3">
        <v>44849</v>
      </c>
      <c r="D2286" s="3" t="str">
        <f>TEXT(Table1[[#This Row],[Admission Date]],"MMMM")</f>
        <v>October</v>
      </c>
      <c r="E2286" s="3">
        <v>44849</v>
      </c>
      <c r="F2286" s="3">
        <v>44849</v>
      </c>
      <c r="G2286" s="2">
        <v>22027258</v>
      </c>
      <c r="H2286" s="2">
        <v>2236174</v>
      </c>
      <c r="I2286" s="2">
        <v>10013481278</v>
      </c>
      <c r="J2286" s="2" t="s">
        <v>264</v>
      </c>
      <c r="K2286" s="10">
        <v>2500</v>
      </c>
      <c r="L2286" s="10">
        <v>0</v>
      </c>
      <c r="M2286" s="10">
        <v>2500</v>
      </c>
      <c r="N2286" s="10">
        <v>2500</v>
      </c>
      <c r="O2286" s="10">
        <f>Table1[[#This Row],[NET Amount]]-Table1[[#This Row],[Paid Amount]]</f>
        <v>0</v>
      </c>
      <c r="P2286" s="2" t="s">
        <v>18</v>
      </c>
      <c r="Q2286" s="2" t="s">
        <v>54</v>
      </c>
      <c r="R2286" s="16">
        <f>(Table1[[#This Row],[NET Amount]]-Table1[[#This Row],[Total Outstanding Amount]])/Table1[[#This Row],[NET Amount]]</f>
        <v>1</v>
      </c>
      <c r="S2286" s="2" t="s">
        <v>97</v>
      </c>
    </row>
    <row r="2287" spans="1:19" x14ac:dyDescent="0.3">
      <c r="A2287" s="4">
        <v>2285</v>
      </c>
      <c r="B2287" s="2" t="s">
        <v>50</v>
      </c>
      <c r="C2287" s="3">
        <v>44849</v>
      </c>
      <c r="D2287" s="3" t="str">
        <f>TEXT(Table1[[#This Row],[Admission Date]],"MMMM")</f>
        <v>October</v>
      </c>
      <c r="E2287" s="3">
        <v>44849</v>
      </c>
      <c r="F2287" s="3">
        <v>44849</v>
      </c>
      <c r="G2287" s="2">
        <v>22027262</v>
      </c>
      <c r="H2287" s="2">
        <v>2236172</v>
      </c>
      <c r="I2287" s="2">
        <v>10013538474</v>
      </c>
      <c r="J2287" s="2" t="s">
        <v>324</v>
      </c>
      <c r="K2287" s="10">
        <v>2200</v>
      </c>
      <c r="L2287" s="10">
        <v>0</v>
      </c>
      <c r="M2287" s="10">
        <v>2200</v>
      </c>
      <c r="N2287" s="10">
        <v>440</v>
      </c>
      <c r="O2287" s="10">
        <f>Table1[[#This Row],[NET Amount]]-Table1[[#This Row],[Paid Amount]]</f>
        <v>1760</v>
      </c>
      <c r="P2287" s="2" t="s">
        <v>23</v>
      </c>
      <c r="Q2287" s="2" t="s">
        <v>147</v>
      </c>
      <c r="R2287" s="16">
        <f>(Table1[[#This Row],[NET Amount]]-Table1[[#This Row],[Total Outstanding Amount]])/Table1[[#This Row],[NET Amount]]</f>
        <v>0.2</v>
      </c>
      <c r="S2287" s="2" t="s">
        <v>97</v>
      </c>
    </row>
    <row r="2288" spans="1:19" x14ac:dyDescent="0.3">
      <c r="A2288" s="4">
        <v>2286</v>
      </c>
      <c r="B2288" s="2" t="s">
        <v>25</v>
      </c>
      <c r="C2288" s="3">
        <v>44852</v>
      </c>
      <c r="D2288" s="3" t="str">
        <f>TEXT(Table1[[#This Row],[Admission Date]],"MMMM")</f>
        <v>October</v>
      </c>
      <c r="E2288" s="3">
        <v>44852</v>
      </c>
      <c r="F2288" s="3">
        <v>44852</v>
      </c>
      <c r="G2288" s="2">
        <v>22027607</v>
      </c>
      <c r="H2288" s="2">
        <v>2236514</v>
      </c>
      <c r="I2288" s="2">
        <v>1000890994</v>
      </c>
      <c r="J2288" s="2" t="s">
        <v>271</v>
      </c>
      <c r="K2288" s="10">
        <v>3488</v>
      </c>
      <c r="L2288" s="10">
        <v>286</v>
      </c>
      <c r="M2288" s="10">
        <v>3202</v>
      </c>
      <c r="N2288" s="10">
        <v>3202</v>
      </c>
      <c r="O2288" s="10">
        <f>Table1[[#This Row],[NET Amount]]-Table1[[#This Row],[Paid Amount]]</f>
        <v>0</v>
      </c>
      <c r="P2288" s="2" t="s">
        <v>18</v>
      </c>
      <c r="Q2288" s="2" t="s">
        <v>54</v>
      </c>
      <c r="R2288" s="16">
        <f>(Table1[[#This Row],[NET Amount]]-Table1[[#This Row],[Total Outstanding Amount]])/Table1[[#This Row],[NET Amount]]</f>
        <v>1</v>
      </c>
      <c r="S2288" s="2" t="s">
        <v>97</v>
      </c>
    </row>
    <row r="2289" spans="1:19" x14ac:dyDescent="0.3">
      <c r="A2289" s="4">
        <v>2287</v>
      </c>
      <c r="B2289" s="2" t="s">
        <v>93</v>
      </c>
      <c r="C2289" s="3">
        <v>44839</v>
      </c>
      <c r="D2289" s="3" t="str">
        <f>TEXT(Table1[[#This Row],[Admission Date]],"MMMM")</f>
        <v>October</v>
      </c>
      <c r="E2289" s="3">
        <v>44846</v>
      </c>
      <c r="F2289" s="3">
        <v>44846</v>
      </c>
      <c r="G2289" s="2">
        <v>22026715</v>
      </c>
      <c r="H2289" s="2">
        <v>2234732</v>
      </c>
      <c r="I2289" s="2">
        <v>10013541634</v>
      </c>
      <c r="J2289" s="2" t="s">
        <v>1469</v>
      </c>
      <c r="K2289" s="10">
        <v>248956</v>
      </c>
      <c r="L2289" s="10">
        <v>0</v>
      </c>
      <c r="M2289" s="10">
        <v>248956</v>
      </c>
      <c r="N2289" s="10">
        <v>3636</v>
      </c>
      <c r="O2289" s="10">
        <f>Table1[[#This Row],[NET Amount]]-Table1[[#This Row],[Paid Amount]]</f>
        <v>245320</v>
      </c>
      <c r="P2289" s="2" t="s">
        <v>23</v>
      </c>
      <c r="Q2289" s="2" t="s">
        <v>30</v>
      </c>
      <c r="R2289" s="16">
        <f>(Table1[[#This Row],[NET Amount]]-Table1[[#This Row],[Total Outstanding Amount]])/Table1[[#This Row],[NET Amount]]</f>
        <v>1.4604990440077764E-2</v>
      </c>
      <c r="S2289" s="2" t="s">
        <v>20</v>
      </c>
    </row>
    <row r="2290" spans="1:19" x14ac:dyDescent="0.3">
      <c r="A2290" s="4">
        <v>2288</v>
      </c>
      <c r="B2290" s="2" t="s">
        <v>25</v>
      </c>
      <c r="C2290" s="3">
        <v>44860</v>
      </c>
      <c r="D2290" s="3" t="str">
        <f>TEXT(Table1[[#This Row],[Admission Date]],"MMMM")</f>
        <v>October</v>
      </c>
      <c r="E2290" s="3">
        <v>44862</v>
      </c>
      <c r="F2290" s="3">
        <v>44862</v>
      </c>
      <c r="G2290" s="2">
        <v>22028908</v>
      </c>
      <c r="H2290" s="2">
        <v>2237526</v>
      </c>
      <c r="I2290" s="2">
        <v>10013536473</v>
      </c>
      <c r="J2290" s="2" t="s">
        <v>1470</v>
      </c>
      <c r="K2290" s="10">
        <v>39616</v>
      </c>
      <c r="L2290" s="10">
        <v>4799</v>
      </c>
      <c r="M2290" s="10">
        <v>34817</v>
      </c>
      <c r="N2290" s="10">
        <v>34817</v>
      </c>
      <c r="O2290" s="10">
        <f>Table1[[#This Row],[NET Amount]]-Table1[[#This Row],[Paid Amount]]</f>
        <v>0</v>
      </c>
      <c r="P2290" s="2" t="s">
        <v>18</v>
      </c>
      <c r="Q2290" s="2" t="s">
        <v>24</v>
      </c>
      <c r="R2290" s="16">
        <f>(Table1[[#This Row],[NET Amount]]-Table1[[#This Row],[Total Outstanding Amount]])/Table1[[#This Row],[NET Amount]]</f>
        <v>1</v>
      </c>
      <c r="S2290" s="2" t="s">
        <v>27</v>
      </c>
    </row>
    <row r="2291" spans="1:19" x14ac:dyDescent="0.3">
      <c r="A2291" s="4">
        <v>2289</v>
      </c>
      <c r="B2291" s="2" t="s">
        <v>25</v>
      </c>
      <c r="C2291" s="3">
        <v>44853</v>
      </c>
      <c r="D2291" s="3" t="str">
        <f>TEXT(Table1[[#This Row],[Admission Date]],"MMMM")</f>
        <v>October</v>
      </c>
      <c r="E2291" s="3">
        <v>44854</v>
      </c>
      <c r="F2291" s="3">
        <v>44854</v>
      </c>
      <c r="G2291" s="2">
        <v>22027835</v>
      </c>
      <c r="H2291" s="2">
        <v>2236605</v>
      </c>
      <c r="I2291" s="2">
        <v>10013543599</v>
      </c>
      <c r="J2291" s="2" t="s">
        <v>1471</v>
      </c>
      <c r="K2291" s="10">
        <v>205989</v>
      </c>
      <c r="L2291" s="10">
        <v>8900</v>
      </c>
      <c r="M2291" s="10">
        <v>197089</v>
      </c>
      <c r="N2291" s="10">
        <v>197089</v>
      </c>
      <c r="O2291" s="10">
        <f>Table1[[#This Row],[NET Amount]]-Table1[[#This Row],[Paid Amount]]</f>
        <v>0</v>
      </c>
      <c r="P2291" s="2" t="s">
        <v>18</v>
      </c>
      <c r="Q2291" s="2" t="s">
        <v>24</v>
      </c>
      <c r="R2291" s="16">
        <f>(Table1[[#This Row],[NET Amount]]-Table1[[#This Row],[Total Outstanding Amount]])/Table1[[#This Row],[NET Amount]]</f>
        <v>1</v>
      </c>
      <c r="S2291" s="2" t="s">
        <v>39</v>
      </c>
    </row>
    <row r="2292" spans="1:19" x14ac:dyDescent="0.3">
      <c r="A2292" s="4">
        <v>2290</v>
      </c>
      <c r="B2292" s="2" t="s">
        <v>2244</v>
      </c>
      <c r="C2292" s="3">
        <v>44830</v>
      </c>
      <c r="D2292" s="3" t="str">
        <f>TEXT(Table1[[#This Row],[Admission Date]],"MMMM")</f>
        <v>September</v>
      </c>
      <c r="E2292" s="3">
        <v>44835</v>
      </c>
      <c r="F2292" s="3">
        <v>44835</v>
      </c>
      <c r="G2292" s="2">
        <v>22025127</v>
      </c>
      <c r="H2292" s="2">
        <v>2233501</v>
      </c>
      <c r="I2292" s="2">
        <v>1001800826</v>
      </c>
      <c r="J2292" s="2" t="s">
        <v>1472</v>
      </c>
      <c r="K2292" s="10">
        <v>34977</v>
      </c>
      <c r="L2292" s="10">
        <v>0</v>
      </c>
      <c r="M2292" s="10">
        <v>34977</v>
      </c>
      <c r="N2292" s="10">
        <v>34977</v>
      </c>
      <c r="O2292" s="10">
        <f>Table1[[#This Row],[NET Amount]]-Table1[[#This Row],[Paid Amount]]</f>
        <v>0</v>
      </c>
      <c r="P2292" s="2" t="s">
        <v>18</v>
      </c>
      <c r="Q2292" s="2" t="s">
        <v>30</v>
      </c>
      <c r="R2292" s="16">
        <f>(Table1[[#This Row],[NET Amount]]-Table1[[#This Row],[Total Outstanding Amount]])/Table1[[#This Row],[NET Amount]]</f>
        <v>1</v>
      </c>
      <c r="S2292" s="2" t="s">
        <v>20</v>
      </c>
    </row>
    <row r="2293" spans="1:19" x14ac:dyDescent="0.3">
      <c r="A2293" s="4">
        <v>2291</v>
      </c>
      <c r="B2293" s="2" t="s">
        <v>2244</v>
      </c>
      <c r="C2293" s="3">
        <v>44856</v>
      </c>
      <c r="D2293" s="3" t="str">
        <f>TEXT(Table1[[#This Row],[Admission Date]],"MMMM")</f>
        <v>October</v>
      </c>
      <c r="E2293" s="3">
        <v>44856</v>
      </c>
      <c r="F2293" s="3">
        <v>44856</v>
      </c>
      <c r="G2293" s="2">
        <v>22028210</v>
      </c>
      <c r="H2293" s="2">
        <v>2237048</v>
      </c>
      <c r="I2293" s="2">
        <v>1001735831</v>
      </c>
      <c r="J2293" s="2" t="s">
        <v>693</v>
      </c>
      <c r="K2293" s="10">
        <v>2560</v>
      </c>
      <c r="L2293" s="10">
        <v>0</v>
      </c>
      <c r="M2293" s="10">
        <v>2560</v>
      </c>
      <c r="N2293" s="10">
        <v>2560</v>
      </c>
      <c r="O2293" s="10">
        <f>Table1[[#This Row],[NET Amount]]-Table1[[#This Row],[Paid Amount]]</f>
        <v>0</v>
      </c>
      <c r="P2293" s="2" t="s">
        <v>18</v>
      </c>
      <c r="Q2293" s="2" t="s">
        <v>54</v>
      </c>
      <c r="R2293" s="16">
        <f>(Table1[[#This Row],[NET Amount]]-Table1[[#This Row],[Total Outstanding Amount]])/Table1[[#This Row],[NET Amount]]</f>
        <v>1</v>
      </c>
      <c r="S2293" s="2" t="s">
        <v>97</v>
      </c>
    </row>
    <row r="2294" spans="1:19" x14ac:dyDescent="0.3">
      <c r="A2294" s="4">
        <v>2292</v>
      </c>
      <c r="B2294" s="2" t="s">
        <v>50</v>
      </c>
      <c r="C2294" s="3">
        <v>44856</v>
      </c>
      <c r="D2294" s="3" t="str">
        <f>TEXT(Table1[[#This Row],[Admission Date]],"MMMM")</f>
        <v>October</v>
      </c>
      <c r="E2294" s="3">
        <v>44856</v>
      </c>
      <c r="F2294" s="3">
        <v>44856</v>
      </c>
      <c r="G2294" s="2">
        <v>22028263</v>
      </c>
      <c r="H2294" s="2">
        <v>2237071</v>
      </c>
      <c r="I2294" s="2">
        <v>10013538474</v>
      </c>
      <c r="J2294" s="2" t="s">
        <v>324</v>
      </c>
      <c r="K2294" s="10">
        <v>2200</v>
      </c>
      <c r="L2294" s="10">
        <v>0</v>
      </c>
      <c r="M2294" s="10">
        <v>2200</v>
      </c>
      <c r="N2294" s="10">
        <v>440</v>
      </c>
      <c r="O2294" s="10">
        <f>Table1[[#This Row],[NET Amount]]-Table1[[#This Row],[Paid Amount]]</f>
        <v>1760</v>
      </c>
      <c r="P2294" s="2" t="s">
        <v>23</v>
      </c>
      <c r="Q2294" s="2" t="s">
        <v>147</v>
      </c>
      <c r="R2294" s="16">
        <f>(Table1[[#This Row],[NET Amount]]-Table1[[#This Row],[Total Outstanding Amount]])/Table1[[#This Row],[NET Amount]]</f>
        <v>0.2</v>
      </c>
      <c r="S2294" s="2" t="s">
        <v>97</v>
      </c>
    </row>
    <row r="2295" spans="1:19" x14ac:dyDescent="0.3">
      <c r="A2295" s="4">
        <v>2293</v>
      </c>
      <c r="B2295" s="2" t="s">
        <v>2260</v>
      </c>
      <c r="C2295" s="3">
        <v>44847</v>
      </c>
      <c r="D2295" s="3" t="str">
        <f>TEXT(Table1[[#This Row],[Admission Date]],"MMMM")</f>
        <v>October</v>
      </c>
      <c r="E2295" s="3">
        <v>44857</v>
      </c>
      <c r="F2295" s="3">
        <v>44857</v>
      </c>
      <c r="G2295" s="2">
        <v>22028386</v>
      </c>
      <c r="H2295" s="2">
        <v>2235875</v>
      </c>
      <c r="I2295" s="2">
        <v>1001804189</v>
      </c>
      <c r="J2295" s="2" t="s">
        <v>1051</v>
      </c>
      <c r="K2295" s="10">
        <v>68486</v>
      </c>
      <c r="L2295" s="10">
        <v>0</v>
      </c>
      <c r="M2295" s="10">
        <v>68486</v>
      </c>
      <c r="N2295" s="10">
        <v>1046</v>
      </c>
      <c r="O2295" s="10">
        <f>Table1[[#This Row],[NET Amount]]-Table1[[#This Row],[Paid Amount]]</f>
        <v>67440</v>
      </c>
      <c r="P2295" s="2" t="s">
        <v>23</v>
      </c>
      <c r="Q2295" s="2" t="s">
        <v>30</v>
      </c>
      <c r="R2295" s="16">
        <f>(Table1[[#This Row],[NET Amount]]-Table1[[#This Row],[Total Outstanding Amount]])/Table1[[#This Row],[NET Amount]]</f>
        <v>1.5273194521508045E-2</v>
      </c>
      <c r="S2295" s="2" t="s">
        <v>20</v>
      </c>
    </row>
    <row r="2296" spans="1:19" x14ac:dyDescent="0.3">
      <c r="A2296" s="4">
        <v>2294</v>
      </c>
      <c r="B2296" s="2" t="s">
        <v>25</v>
      </c>
      <c r="C2296" s="3">
        <v>44840</v>
      </c>
      <c r="D2296" s="3" t="str">
        <f>TEXT(Table1[[#This Row],[Admission Date]],"MMMM")</f>
        <v>October</v>
      </c>
      <c r="E2296" s="3">
        <v>44843</v>
      </c>
      <c r="F2296" s="3">
        <v>44843</v>
      </c>
      <c r="G2296" s="2">
        <v>22026295</v>
      </c>
      <c r="H2296" s="2">
        <v>2234956</v>
      </c>
      <c r="I2296" s="2">
        <v>1001802905</v>
      </c>
      <c r="J2296" s="2" t="s">
        <v>1473</v>
      </c>
      <c r="K2296" s="10">
        <v>73731</v>
      </c>
      <c r="L2296" s="10">
        <v>12198</v>
      </c>
      <c r="M2296" s="10">
        <v>61533</v>
      </c>
      <c r="N2296" s="10">
        <v>61533</v>
      </c>
      <c r="O2296" s="10">
        <f>Table1[[#This Row],[NET Amount]]-Table1[[#This Row],[Paid Amount]]</f>
        <v>0</v>
      </c>
      <c r="P2296" s="2" t="s">
        <v>18</v>
      </c>
      <c r="Q2296" s="2" t="s">
        <v>24</v>
      </c>
      <c r="R2296" s="16">
        <f>(Table1[[#This Row],[NET Amount]]-Table1[[#This Row],[Total Outstanding Amount]])/Table1[[#This Row],[NET Amount]]</f>
        <v>1</v>
      </c>
      <c r="S2296" s="2" t="s">
        <v>27</v>
      </c>
    </row>
    <row r="2297" spans="1:19" x14ac:dyDescent="0.3">
      <c r="A2297" s="4">
        <v>2295</v>
      </c>
      <c r="B2297" s="2" t="s">
        <v>75</v>
      </c>
      <c r="C2297" s="3">
        <v>44849</v>
      </c>
      <c r="D2297" s="3" t="str">
        <f>TEXT(Table1[[#This Row],[Admission Date]],"MMMM")</f>
        <v>October</v>
      </c>
      <c r="E2297" s="3">
        <v>44851</v>
      </c>
      <c r="F2297" s="3">
        <v>44851</v>
      </c>
      <c r="G2297" s="2">
        <v>22027422</v>
      </c>
      <c r="H2297" s="2">
        <v>2236063</v>
      </c>
      <c r="I2297" s="2">
        <v>10013543083</v>
      </c>
      <c r="J2297" s="2" t="s">
        <v>1474</v>
      </c>
      <c r="K2297" s="10">
        <v>98866</v>
      </c>
      <c r="L2297" s="10">
        <v>0</v>
      </c>
      <c r="M2297" s="10">
        <v>98866</v>
      </c>
      <c r="N2297" s="10">
        <v>9492</v>
      </c>
      <c r="O2297" s="10">
        <f>Table1[[#This Row],[NET Amount]]-Table1[[#This Row],[Paid Amount]]</f>
        <v>89374</v>
      </c>
      <c r="P2297" s="2" t="s">
        <v>23</v>
      </c>
      <c r="Q2297" s="2" t="s">
        <v>24</v>
      </c>
      <c r="R2297" s="16">
        <f>(Table1[[#This Row],[NET Amount]]-Table1[[#This Row],[Total Outstanding Amount]])/Table1[[#This Row],[NET Amount]]</f>
        <v>9.6008739101409987E-2</v>
      </c>
      <c r="S2297" s="2" t="s">
        <v>20</v>
      </c>
    </row>
    <row r="2298" spans="1:19" x14ac:dyDescent="0.3">
      <c r="A2298" s="4">
        <v>2296</v>
      </c>
      <c r="B2298" s="2" t="s">
        <v>126</v>
      </c>
      <c r="C2298" s="3">
        <v>44835</v>
      </c>
      <c r="D2298" s="3" t="str">
        <f>TEXT(Table1[[#This Row],[Admission Date]],"MMMM")</f>
        <v>October</v>
      </c>
      <c r="E2298" s="3">
        <v>44835</v>
      </c>
      <c r="F2298" s="3">
        <v>44835</v>
      </c>
      <c r="G2298" s="2">
        <v>22025228</v>
      </c>
      <c r="H2298" s="2">
        <v>2234242</v>
      </c>
      <c r="I2298" s="2">
        <v>10013481278</v>
      </c>
      <c r="J2298" s="2" t="s">
        <v>264</v>
      </c>
      <c r="K2298" s="10">
        <v>2500</v>
      </c>
      <c r="L2298" s="10">
        <v>0</v>
      </c>
      <c r="M2298" s="10">
        <v>2500</v>
      </c>
      <c r="N2298" s="10">
        <v>2500</v>
      </c>
      <c r="O2298" s="10">
        <f>Table1[[#This Row],[NET Amount]]-Table1[[#This Row],[Paid Amount]]</f>
        <v>0</v>
      </c>
      <c r="P2298" s="2" t="s">
        <v>18</v>
      </c>
      <c r="Q2298" s="2" t="s">
        <v>54</v>
      </c>
      <c r="R2298" s="16">
        <f>(Table1[[#This Row],[NET Amount]]-Table1[[#This Row],[Total Outstanding Amount]])/Table1[[#This Row],[NET Amount]]</f>
        <v>1</v>
      </c>
      <c r="S2298" s="2" t="s">
        <v>97</v>
      </c>
    </row>
    <row r="2299" spans="1:19" x14ac:dyDescent="0.3">
      <c r="A2299" s="4">
        <v>2297</v>
      </c>
      <c r="B2299" s="2" t="s">
        <v>2269</v>
      </c>
      <c r="C2299" s="3">
        <v>44833</v>
      </c>
      <c r="D2299" s="3" t="str">
        <f>TEXT(Table1[[#This Row],[Admission Date]],"MMMM")</f>
        <v>September</v>
      </c>
      <c r="E2299" s="3">
        <v>44837</v>
      </c>
      <c r="F2299" s="3">
        <v>44837</v>
      </c>
      <c r="G2299" s="2">
        <v>22025363</v>
      </c>
      <c r="H2299" s="2">
        <v>2233906</v>
      </c>
      <c r="I2299" s="2">
        <v>1001796829</v>
      </c>
      <c r="J2299" s="2" t="s">
        <v>1475</v>
      </c>
      <c r="K2299" s="10">
        <v>23763</v>
      </c>
      <c r="L2299" s="10">
        <v>0</v>
      </c>
      <c r="M2299" s="10">
        <v>23762</v>
      </c>
      <c r="N2299" s="10">
        <v>23762</v>
      </c>
      <c r="O2299" s="10">
        <f>Table1[[#This Row],[NET Amount]]-Table1[[#This Row],[Paid Amount]]</f>
        <v>0</v>
      </c>
      <c r="P2299" s="2" t="s">
        <v>18</v>
      </c>
      <c r="Q2299" s="2" t="s">
        <v>19</v>
      </c>
      <c r="R2299" s="16">
        <f>(Table1[[#This Row],[NET Amount]]-Table1[[#This Row],[Total Outstanding Amount]])/Table1[[#This Row],[NET Amount]]</f>
        <v>1</v>
      </c>
      <c r="S2299" s="2" t="s">
        <v>37</v>
      </c>
    </row>
    <row r="2300" spans="1:19" x14ac:dyDescent="0.3">
      <c r="A2300" s="4">
        <v>2298</v>
      </c>
      <c r="B2300" s="2" t="s">
        <v>126</v>
      </c>
      <c r="C2300" s="3">
        <v>44857</v>
      </c>
      <c r="D2300" s="3" t="str">
        <f>TEXT(Table1[[#This Row],[Admission Date]],"MMMM")</f>
        <v>October</v>
      </c>
      <c r="E2300" s="3">
        <v>44861</v>
      </c>
      <c r="F2300" s="3">
        <v>44861</v>
      </c>
      <c r="G2300" s="2">
        <v>22028741</v>
      </c>
      <c r="H2300" s="2">
        <v>2237202</v>
      </c>
      <c r="I2300" s="2">
        <v>10013544254</v>
      </c>
      <c r="J2300" s="2" t="s">
        <v>1476</v>
      </c>
      <c r="K2300" s="10">
        <v>143123</v>
      </c>
      <c r="L2300" s="10">
        <v>9971</v>
      </c>
      <c r="M2300" s="10">
        <v>133151</v>
      </c>
      <c r="N2300" s="10">
        <v>4009</v>
      </c>
      <c r="O2300" s="10">
        <f>Table1[[#This Row],[NET Amount]]-Table1[[#This Row],[Paid Amount]]</f>
        <v>129142</v>
      </c>
      <c r="P2300" s="2" t="s">
        <v>23</v>
      </c>
      <c r="Q2300" s="2" t="s">
        <v>24</v>
      </c>
      <c r="R2300" s="16">
        <f>(Table1[[#This Row],[NET Amount]]-Table1[[#This Row],[Total Outstanding Amount]])/Table1[[#This Row],[NET Amount]]</f>
        <v>3.0108673611163265E-2</v>
      </c>
      <c r="S2300" s="2" t="s">
        <v>43</v>
      </c>
    </row>
    <row r="2301" spans="1:19" x14ac:dyDescent="0.3">
      <c r="A2301" s="4">
        <v>2299</v>
      </c>
      <c r="B2301" s="2" t="s">
        <v>25</v>
      </c>
      <c r="C2301" s="3">
        <v>44863</v>
      </c>
      <c r="D2301" s="3" t="str">
        <f>TEXT(Table1[[#This Row],[Admission Date]],"MMMM")</f>
        <v>October</v>
      </c>
      <c r="E2301" s="3">
        <v>44863</v>
      </c>
      <c r="F2301" s="3">
        <v>44863</v>
      </c>
      <c r="G2301" s="2">
        <v>22029127</v>
      </c>
      <c r="H2301" s="2">
        <v>2237975</v>
      </c>
      <c r="I2301" s="2">
        <v>10013542866</v>
      </c>
      <c r="J2301" s="2" t="s">
        <v>673</v>
      </c>
      <c r="K2301" s="10">
        <v>4990</v>
      </c>
      <c r="L2301" s="10">
        <v>433</v>
      </c>
      <c r="M2301" s="10">
        <v>4557</v>
      </c>
      <c r="N2301" s="10">
        <v>4557</v>
      </c>
      <c r="O2301" s="10">
        <f>Table1[[#This Row],[NET Amount]]-Table1[[#This Row],[Paid Amount]]</f>
        <v>0</v>
      </c>
      <c r="P2301" s="2" t="s">
        <v>18</v>
      </c>
      <c r="Q2301" s="2" t="s">
        <v>54</v>
      </c>
      <c r="R2301" s="16">
        <f>(Table1[[#This Row],[NET Amount]]-Table1[[#This Row],[Total Outstanding Amount]])/Table1[[#This Row],[NET Amount]]</f>
        <v>1</v>
      </c>
      <c r="S2301" s="2" t="s">
        <v>97</v>
      </c>
    </row>
    <row r="2302" spans="1:19" x14ac:dyDescent="0.3">
      <c r="A2302" s="4">
        <v>2300</v>
      </c>
      <c r="B2302" s="2" t="s">
        <v>520</v>
      </c>
      <c r="C2302" s="3">
        <v>44863</v>
      </c>
      <c r="D2302" s="3" t="str">
        <f>TEXT(Table1[[#This Row],[Admission Date]],"MMMM")</f>
        <v>October</v>
      </c>
      <c r="E2302" s="3">
        <v>44863</v>
      </c>
      <c r="F2302" s="3">
        <v>44863</v>
      </c>
      <c r="G2302" s="2">
        <v>22029144</v>
      </c>
      <c r="H2302" s="2">
        <v>2238006</v>
      </c>
      <c r="I2302" s="2">
        <v>10013540903</v>
      </c>
      <c r="J2302" s="2" t="s">
        <v>521</v>
      </c>
      <c r="K2302" s="10">
        <v>1610</v>
      </c>
      <c r="L2302" s="10">
        <v>0</v>
      </c>
      <c r="M2302" s="10">
        <v>1610</v>
      </c>
      <c r="N2302" s="10">
        <v>1610</v>
      </c>
      <c r="O2302" s="10">
        <f>Table1[[#This Row],[NET Amount]]-Table1[[#This Row],[Paid Amount]]</f>
        <v>0</v>
      </c>
      <c r="P2302" s="2" t="s">
        <v>18</v>
      </c>
      <c r="Q2302" s="2" t="s">
        <v>54</v>
      </c>
      <c r="R2302" s="16">
        <f>(Table1[[#This Row],[NET Amount]]-Table1[[#This Row],[Total Outstanding Amount]])/Table1[[#This Row],[NET Amount]]</f>
        <v>1</v>
      </c>
      <c r="S2302" s="2" t="s">
        <v>97</v>
      </c>
    </row>
    <row r="2303" spans="1:19" x14ac:dyDescent="0.3">
      <c r="A2303" s="4">
        <v>2301</v>
      </c>
      <c r="B2303" s="2" t="s">
        <v>25</v>
      </c>
      <c r="C2303" s="3">
        <v>44859</v>
      </c>
      <c r="D2303" s="3" t="str">
        <f>TEXT(Table1[[#This Row],[Admission Date]],"MMMM")</f>
        <v>October</v>
      </c>
      <c r="E2303" s="3">
        <v>44859</v>
      </c>
      <c r="F2303" s="3">
        <v>44859</v>
      </c>
      <c r="G2303" s="2">
        <v>22028528</v>
      </c>
      <c r="H2303" s="2">
        <v>2237306</v>
      </c>
      <c r="I2303" s="2">
        <v>10013232020</v>
      </c>
      <c r="J2303" s="2" t="s">
        <v>1477</v>
      </c>
      <c r="K2303" s="10">
        <v>14000</v>
      </c>
      <c r="L2303" s="10">
        <v>0</v>
      </c>
      <c r="M2303" s="10">
        <v>14000</v>
      </c>
      <c r="N2303" s="10">
        <v>14000</v>
      </c>
      <c r="O2303" s="10">
        <f>Table1[[#This Row],[NET Amount]]-Table1[[#This Row],[Paid Amount]]</f>
        <v>0</v>
      </c>
      <c r="P2303" s="2" t="s">
        <v>18</v>
      </c>
      <c r="Q2303" s="2" t="s">
        <v>54</v>
      </c>
      <c r="R2303" s="16">
        <f>(Table1[[#This Row],[NET Amount]]-Table1[[#This Row],[Total Outstanding Amount]])/Table1[[#This Row],[NET Amount]]</f>
        <v>1</v>
      </c>
      <c r="S2303" s="2" t="s">
        <v>39</v>
      </c>
    </row>
    <row r="2304" spans="1:19" x14ac:dyDescent="0.3">
      <c r="A2304" s="4">
        <v>2302</v>
      </c>
      <c r="B2304" s="2" t="s">
        <v>126</v>
      </c>
      <c r="C2304" s="3">
        <v>44838</v>
      </c>
      <c r="D2304" s="3" t="str">
        <f>TEXT(Table1[[#This Row],[Admission Date]],"MMMM")</f>
        <v>October</v>
      </c>
      <c r="E2304" s="3">
        <v>44847</v>
      </c>
      <c r="F2304" s="3">
        <v>44847</v>
      </c>
      <c r="G2304" s="2">
        <v>22026883</v>
      </c>
      <c r="H2304" s="2">
        <v>2234606</v>
      </c>
      <c r="I2304" s="2">
        <v>10013541574</v>
      </c>
      <c r="J2304" s="2" t="s">
        <v>188</v>
      </c>
      <c r="K2304" s="10">
        <v>539781</v>
      </c>
      <c r="L2304" s="10">
        <v>59206</v>
      </c>
      <c r="M2304" s="10">
        <v>480575</v>
      </c>
      <c r="N2304" s="10">
        <v>20533</v>
      </c>
      <c r="O2304" s="10">
        <f>Table1[[#This Row],[NET Amount]]-Table1[[#This Row],[Paid Amount]]</f>
        <v>460042</v>
      </c>
      <c r="P2304" s="2" t="s">
        <v>23</v>
      </c>
      <c r="Q2304" s="2" t="s">
        <v>30</v>
      </c>
      <c r="R2304" s="16">
        <f>(Table1[[#This Row],[NET Amount]]-Table1[[#This Row],[Total Outstanding Amount]])/Table1[[#This Row],[NET Amount]]</f>
        <v>4.2725901264110702E-2</v>
      </c>
      <c r="S2304" s="2" t="s">
        <v>20</v>
      </c>
    </row>
    <row r="2305" spans="1:19" x14ac:dyDescent="0.3">
      <c r="A2305" s="4">
        <v>2303</v>
      </c>
      <c r="B2305" s="2" t="s">
        <v>25</v>
      </c>
      <c r="C2305" s="3">
        <v>44857</v>
      </c>
      <c r="D2305" s="3" t="str">
        <f>TEXT(Table1[[#This Row],[Admission Date]],"MMMM")</f>
        <v>October</v>
      </c>
      <c r="E2305" s="3">
        <v>44860</v>
      </c>
      <c r="F2305" s="3">
        <v>44860</v>
      </c>
      <c r="G2305" s="2">
        <v>22028607</v>
      </c>
      <c r="H2305" s="2">
        <v>2237162</v>
      </c>
      <c r="I2305" s="2">
        <v>1001805883</v>
      </c>
      <c r="J2305" s="2" t="s">
        <v>1478</v>
      </c>
      <c r="K2305" s="10">
        <v>45331</v>
      </c>
      <c r="L2305" s="10">
        <v>7135</v>
      </c>
      <c r="M2305" s="10">
        <v>38196</v>
      </c>
      <c r="N2305" s="10">
        <v>38196</v>
      </c>
      <c r="O2305" s="10">
        <f>Table1[[#This Row],[NET Amount]]-Table1[[#This Row],[Paid Amount]]</f>
        <v>0</v>
      </c>
      <c r="P2305" s="2" t="s">
        <v>18</v>
      </c>
      <c r="Q2305" s="2" t="s">
        <v>69</v>
      </c>
      <c r="R2305" s="16">
        <f>(Table1[[#This Row],[NET Amount]]-Table1[[#This Row],[Total Outstanding Amount]])/Table1[[#This Row],[NET Amount]]</f>
        <v>1</v>
      </c>
      <c r="S2305" s="2" t="s">
        <v>37</v>
      </c>
    </row>
    <row r="2306" spans="1:19" x14ac:dyDescent="0.3">
      <c r="A2306" s="4">
        <v>2304</v>
      </c>
      <c r="B2306" s="2" t="s">
        <v>25</v>
      </c>
      <c r="C2306" s="3">
        <v>44839</v>
      </c>
      <c r="D2306" s="3" t="str">
        <f>TEXT(Table1[[#This Row],[Admission Date]],"MMMM")</f>
        <v>October</v>
      </c>
      <c r="E2306" s="3">
        <v>44843</v>
      </c>
      <c r="F2306" s="3">
        <v>44843</v>
      </c>
      <c r="G2306" s="2">
        <v>22026277</v>
      </c>
      <c r="H2306" s="2">
        <v>2234748</v>
      </c>
      <c r="I2306" s="2">
        <v>10013541637</v>
      </c>
      <c r="J2306" s="2" t="s">
        <v>1479</v>
      </c>
      <c r="K2306" s="10">
        <v>54117</v>
      </c>
      <c r="L2306" s="10">
        <v>7538</v>
      </c>
      <c r="M2306" s="10">
        <v>46578</v>
      </c>
      <c r="N2306" s="10">
        <v>46578</v>
      </c>
      <c r="O2306" s="10">
        <f>Table1[[#This Row],[NET Amount]]-Table1[[#This Row],[Paid Amount]]</f>
        <v>0</v>
      </c>
      <c r="P2306" s="2" t="s">
        <v>18</v>
      </c>
      <c r="Q2306" s="2" t="s">
        <v>24</v>
      </c>
      <c r="R2306" s="16">
        <f>(Table1[[#This Row],[NET Amount]]-Table1[[#This Row],[Total Outstanding Amount]])/Table1[[#This Row],[NET Amount]]</f>
        <v>1</v>
      </c>
      <c r="S2306" s="2" t="s">
        <v>20</v>
      </c>
    </row>
    <row r="2307" spans="1:19" x14ac:dyDescent="0.3">
      <c r="A2307" s="4">
        <v>2305</v>
      </c>
      <c r="B2307" s="2" t="s">
        <v>126</v>
      </c>
      <c r="C2307" s="3">
        <v>44835</v>
      </c>
      <c r="D2307" s="3" t="str">
        <f>TEXT(Table1[[#This Row],[Admission Date]],"MMMM")</f>
        <v>October</v>
      </c>
      <c r="E2307" s="3">
        <v>44837</v>
      </c>
      <c r="F2307" s="3">
        <v>44837</v>
      </c>
      <c r="G2307" s="2">
        <v>22025357</v>
      </c>
      <c r="H2307" s="2">
        <v>2234188</v>
      </c>
      <c r="I2307" s="2">
        <v>10013541099</v>
      </c>
      <c r="J2307" s="2" t="s">
        <v>1480</v>
      </c>
      <c r="K2307" s="10">
        <v>29415</v>
      </c>
      <c r="L2307" s="10">
        <v>4096</v>
      </c>
      <c r="M2307" s="10">
        <v>25319</v>
      </c>
      <c r="N2307" s="10">
        <v>4835</v>
      </c>
      <c r="O2307" s="10">
        <f>Table1[[#This Row],[NET Amount]]-Table1[[#This Row],[Paid Amount]]</f>
        <v>20484</v>
      </c>
      <c r="P2307" s="2" t="s">
        <v>23</v>
      </c>
      <c r="Q2307" s="2" t="s">
        <v>24</v>
      </c>
      <c r="R2307" s="16">
        <f>(Table1[[#This Row],[NET Amount]]-Table1[[#This Row],[Total Outstanding Amount]])/Table1[[#This Row],[NET Amount]]</f>
        <v>0.19096330818752716</v>
      </c>
      <c r="S2307" s="2" t="s">
        <v>37</v>
      </c>
    </row>
    <row r="2308" spans="1:19" x14ac:dyDescent="0.3">
      <c r="A2308" s="4">
        <v>2306</v>
      </c>
      <c r="B2308" s="2" t="s">
        <v>2251</v>
      </c>
      <c r="C2308" s="3">
        <v>44835</v>
      </c>
      <c r="D2308" s="3" t="str">
        <f>TEXT(Table1[[#This Row],[Admission Date]],"MMMM")</f>
        <v>October</v>
      </c>
      <c r="E2308" s="3">
        <v>44841</v>
      </c>
      <c r="F2308" s="3">
        <v>44841</v>
      </c>
      <c r="G2308" s="2">
        <v>22025940</v>
      </c>
      <c r="H2308" s="2">
        <v>2234216</v>
      </c>
      <c r="I2308" s="2">
        <v>1001801890</v>
      </c>
      <c r="J2308" s="2" t="s">
        <v>1481</v>
      </c>
      <c r="K2308" s="10">
        <v>89661</v>
      </c>
      <c r="L2308" s="10">
        <v>8595</v>
      </c>
      <c r="M2308" s="10">
        <v>81066</v>
      </c>
      <c r="N2308" s="10">
        <v>3330</v>
      </c>
      <c r="O2308" s="10">
        <f>Table1[[#This Row],[NET Amount]]-Table1[[#This Row],[Paid Amount]]</f>
        <v>77736</v>
      </c>
      <c r="P2308" s="2" t="s">
        <v>23</v>
      </c>
      <c r="Q2308" s="2" t="s">
        <v>42</v>
      </c>
      <c r="R2308" s="16">
        <f>(Table1[[#This Row],[NET Amount]]-Table1[[#This Row],[Total Outstanding Amount]])/Table1[[#This Row],[NET Amount]]</f>
        <v>4.1077640441122047E-2</v>
      </c>
      <c r="S2308" s="2" t="s">
        <v>20</v>
      </c>
    </row>
    <row r="2309" spans="1:19" x14ac:dyDescent="0.3">
      <c r="A2309" s="4">
        <v>2307</v>
      </c>
      <c r="B2309" s="2" t="s">
        <v>45</v>
      </c>
      <c r="C2309" s="3">
        <v>44835</v>
      </c>
      <c r="D2309" s="3" t="str">
        <f>TEXT(Table1[[#This Row],[Admission Date]],"MMMM")</f>
        <v>October</v>
      </c>
      <c r="E2309" s="3">
        <v>44838</v>
      </c>
      <c r="F2309" s="3">
        <v>44838</v>
      </c>
      <c r="G2309" s="2">
        <v>22025547</v>
      </c>
      <c r="H2309" s="2">
        <v>2234218</v>
      </c>
      <c r="I2309" s="2">
        <v>10013541136</v>
      </c>
      <c r="J2309" s="2" t="s">
        <v>1482</v>
      </c>
      <c r="K2309" s="10">
        <v>48681</v>
      </c>
      <c r="L2309" s="10">
        <v>5906</v>
      </c>
      <c r="M2309" s="10">
        <v>42775</v>
      </c>
      <c r="N2309" s="10">
        <v>2635</v>
      </c>
      <c r="O2309" s="10">
        <f>Table1[[#This Row],[NET Amount]]-Table1[[#This Row],[Paid Amount]]</f>
        <v>40140</v>
      </c>
      <c r="P2309" s="2" t="s">
        <v>23</v>
      </c>
      <c r="Q2309" s="2" t="s">
        <v>52</v>
      </c>
      <c r="R2309" s="16">
        <f>(Table1[[#This Row],[NET Amount]]-Table1[[#This Row],[Total Outstanding Amount]])/Table1[[#This Row],[NET Amount]]</f>
        <v>6.1601402688486268E-2</v>
      </c>
      <c r="S2309" s="2" t="s">
        <v>20</v>
      </c>
    </row>
    <row r="2310" spans="1:19" x14ac:dyDescent="0.3">
      <c r="A2310" s="4">
        <v>2308</v>
      </c>
      <c r="B2310" s="2" t="s">
        <v>117</v>
      </c>
      <c r="C2310" s="3">
        <v>44837</v>
      </c>
      <c r="D2310" s="3" t="str">
        <f>TEXT(Table1[[#This Row],[Admission Date]],"MMMM")</f>
        <v>October</v>
      </c>
      <c r="E2310" s="3">
        <v>44838</v>
      </c>
      <c r="F2310" s="3">
        <v>44838</v>
      </c>
      <c r="G2310" s="2">
        <v>22025471</v>
      </c>
      <c r="H2310" s="2">
        <v>2234376</v>
      </c>
      <c r="I2310" s="2">
        <v>1001802120</v>
      </c>
      <c r="J2310" s="2" t="s">
        <v>1483</v>
      </c>
      <c r="K2310" s="10">
        <v>184368</v>
      </c>
      <c r="L2310" s="10">
        <v>0</v>
      </c>
      <c r="M2310" s="10">
        <v>184368</v>
      </c>
      <c r="N2310" s="10">
        <v>184368</v>
      </c>
      <c r="O2310" s="10">
        <f>Table1[[#This Row],[NET Amount]]-Table1[[#This Row],[Paid Amount]]</f>
        <v>0</v>
      </c>
      <c r="P2310" s="2" t="s">
        <v>18</v>
      </c>
      <c r="Q2310" s="2" t="s">
        <v>19</v>
      </c>
      <c r="R2310" s="16">
        <f>(Table1[[#This Row],[NET Amount]]-Table1[[#This Row],[Total Outstanding Amount]])/Table1[[#This Row],[NET Amount]]</f>
        <v>1</v>
      </c>
      <c r="S2310" s="2" t="s">
        <v>39</v>
      </c>
    </row>
    <row r="2311" spans="1:19" x14ac:dyDescent="0.3">
      <c r="A2311" s="4">
        <v>2309</v>
      </c>
      <c r="B2311" s="2" t="s">
        <v>25</v>
      </c>
      <c r="C2311" s="3">
        <v>44837</v>
      </c>
      <c r="D2311" s="3" t="str">
        <f>TEXT(Table1[[#This Row],[Admission Date]],"MMMM")</f>
        <v>October</v>
      </c>
      <c r="E2311" s="3">
        <v>44837</v>
      </c>
      <c r="F2311" s="3">
        <v>44837</v>
      </c>
      <c r="G2311" s="2">
        <v>22025394</v>
      </c>
      <c r="H2311" s="2">
        <v>2234390</v>
      </c>
      <c r="I2311" s="2">
        <v>10013513064</v>
      </c>
      <c r="J2311" s="2" t="s">
        <v>563</v>
      </c>
      <c r="K2311" s="10">
        <v>2844</v>
      </c>
      <c r="L2311" s="10">
        <v>311</v>
      </c>
      <c r="M2311" s="10">
        <v>2533</v>
      </c>
      <c r="N2311" s="10">
        <v>2533</v>
      </c>
      <c r="O2311" s="10">
        <f>Table1[[#This Row],[NET Amount]]-Table1[[#This Row],[Paid Amount]]</f>
        <v>0</v>
      </c>
      <c r="P2311" s="2" t="s">
        <v>18</v>
      </c>
      <c r="Q2311" s="2" t="s">
        <v>54</v>
      </c>
      <c r="R2311" s="16">
        <f>(Table1[[#This Row],[NET Amount]]-Table1[[#This Row],[Total Outstanding Amount]])/Table1[[#This Row],[NET Amount]]</f>
        <v>1</v>
      </c>
      <c r="S2311" s="2" t="s">
        <v>97</v>
      </c>
    </row>
    <row r="2312" spans="1:19" x14ac:dyDescent="0.3">
      <c r="A2312" s="4">
        <v>2310</v>
      </c>
      <c r="B2312" s="2" t="s">
        <v>117</v>
      </c>
      <c r="C2312" s="3">
        <v>44859</v>
      </c>
      <c r="D2312" s="3" t="str">
        <f>TEXT(Table1[[#This Row],[Admission Date]],"MMMM")</f>
        <v>October</v>
      </c>
      <c r="E2312" s="3">
        <v>44860</v>
      </c>
      <c r="F2312" s="3">
        <v>44860</v>
      </c>
      <c r="G2312" s="2">
        <v>22028615</v>
      </c>
      <c r="H2312" s="2">
        <v>2237293</v>
      </c>
      <c r="I2312" s="2">
        <v>1000960901</v>
      </c>
      <c r="J2312" s="2" t="s">
        <v>1484</v>
      </c>
      <c r="K2312" s="10">
        <v>222449</v>
      </c>
      <c r="L2312" s="10">
        <v>0</v>
      </c>
      <c r="M2312" s="10">
        <v>222449</v>
      </c>
      <c r="N2312" s="10">
        <v>222449</v>
      </c>
      <c r="O2312" s="10">
        <f>Table1[[#This Row],[NET Amount]]-Table1[[#This Row],[Paid Amount]]</f>
        <v>0</v>
      </c>
      <c r="P2312" s="2" t="s">
        <v>18</v>
      </c>
      <c r="Q2312" s="2" t="s">
        <v>24</v>
      </c>
      <c r="R2312" s="16">
        <f>(Table1[[#This Row],[NET Amount]]-Table1[[#This Row],[Total Outstanding Amount]])/Table1[[#This Row],[NET Amount]]</f>
        <v>1</v>
      </c>
      <c r="S2312" s="2" t="s">
        <v>39</v>
      </c>
    </row>
    <row r="2313" spans="1:19" x14ac:dyDescent="0.3">
      <c r="A2313" s="4">
        <v>2311</v>
      </c>
      <c r="B2313" s="2" t="s">
        <v>2253</v>
      </c>
      <c r="C2313" s="3">
        <v>44846</v>
      </c>
      <c r="D2313" s="3" t="str">
        <f>TEXT(Table1[[#This Row],[Admission Date]],"MMMM")</f>
        <v>October</v>
      </c>
      <c r="E2313" s="3">
        <v>44852</v>
      </c>
      <c r="F2313" s="3">
        <v>44852</v>
      </c>
      <c r="G2313" s="2">
        <v>22027560</v>
      </c>
      <c r="H2313" s="2">
        <v>2235757</v>
      </c>
      <c r="I2313" s="2">
        <v>1001801458</v>
      </c>
      <c r="J2313" s="2" t="s">
        <v>1485</v>
      </c>
      <c r="K2313" s="10">
        <v>39347</v>
      </c>
      <c r="L2313" s="10">
        <v>0</v>
      </c>
      <c r="M2313" s="10">
        <v>39347</v>
      </c>
      <c r="N2313" s="10">
        <v>964</v>
      </c>
      <c r="O2313" s="10">
        <f>Table1[[#This Row],[NET Amount]]-Table1[[#This Row],[Paid Amount]]</f>
        <v>38383</v>
      </c>
      <c r="P2313" s="2" t="s">
        <v>23</v>
      </c>
      <c r="Q2313" s="2" t="s">
        <v>24</v>
      </c>
      <c r="R2313" s="16">
        <f>(Table1[[#This Row],[NET Amount]]-Table1[[#This Row],[Total Outstanding Amount]])/Table1[[#This Row],[NET Amount]]</f>
        <v>2.449996187765268E-2</v>
      </c>
      <c r="S2313" s="2" t="s">
        <v>20</v>
      </c>
    </row>
    <row r="2314" spans="1:19" x14ac:dyDescent="0.3">
      <c r="A2314" s="4">
        <v>2312</v>
      </c>
      <c r="B2314" s="2" t="s">
        <v>25</v>
      </c>
      <c r="C2314" s="3">
        <v>44854</v>
      </c>
      <c r="D2314" s="3" t="str">
        <f>TEXT(Table1[[#This Row],[Admission Date]],"MMMM")</f>
        <v>October</v>
      </c>
      <c r="E2314" s="3">
        <v>44854</v>
      </c>
      <c r="F2314" s="3">
        <v>44854</v>
      </c>
      <c r="G2314" s="2">
        <v>22027899</v>
      </c>
      <c r="H2314" s="2">
        <v>2236778</v>
      </c>
      <c r="I2314" s="2">
        <v>10013539422</v>
      </c>
      <c r="J2314" s="2" t="s">
        <v>552</v>
      </c>
      <c r="K2314" s="10">
        <v>2844</v>
      </c>
      <c r="L2314" s="10">
        <v>291</v>
      </c>
      <c r="M2314" s="10">
        <v>2553</v>
      </c>
      <c r="N2314" s="10">
        <v>2553</v>
      </c>
      <c r="O2314" s="10">
        <f>Table1[[#This Row],[NET Amount]]-Table1[[#This Row],[Paid Amount]]</f>
        <v>0</v>
      </c>
      <c r="P2314" s="2" t="s">
        <v>18</v>
      </c>
      <c r="Q2314" s="2" t="s">
        <v>54</v>
      </c>
      <c r="R2314" s="16">
        <f>(Table1[[#This Row],[NET Amount]]-Table1[[#This Row],[Total Outstanding Amount]])/Table1[[#This Row],[NET Amount]]</f>
        <v>1</v>
      </c>
      <c r="S2314" s="2" t="s">
        <v>97</v>
      </c>
    </row>
    <row r="2315" spans="1:19" x14ac:dyDescent="0.3">
      <c r="A2315" s="4">
        <v>2313</v>
      </c>
      <c r="B2315" s="2" t="s">
        <v>25</v>
      </c>
      <c r="C2315" s="3">
        <v>44839</v>
      </c>
      <c r="D2315" s="3" t="str">
        <f>TEXT(Table1[[#This Row],[Admission Date]],"MMMM")</f>
        <v>October</v>
      </c>
      <c r="E2315" s="3">
        <v>44839</v>
      </c>
      <c r="F2315" s="3">
        <v>44839</v>
      </c>
      <c r="G2315" s="2">
        <v>22025780</v>
      </c>
      <c r="H2315" s="2">
        <v>2234791</v>
      </c>
      <c r="I2315" s="2">
        <v>10013499172</v>
      </c>
      <c r="J2315" s="2" t="s">
        <v>369</v>
      </c>
      <c r="K2315" s="10">
        <v>2794</v>
      </c>
      <c r="L2315" s="10">
        <v>2794</v>
      </c>
      <c r="M2315" s="10">
        <v>0</v>
      </c>
      <c r="N2315" s="10">
        <v>0</v>
      </c>
      <c r="O2315" s="10">
        <f>Table1[[#This Row],[NET Amount]]-Table1[[#This Row],[Paid Amount]]</f>
        <v>0</v>
      </c>
      <c r="P2315" s="2" t="s">
        <v>18</v>
      </c>
      <c r="Q2315" s="2" t="s">
        <v>90</v>
      </c>
      <c r="R2315" s="16" t="e">
        <f>(Table1[[#This Row],[NET Amount]]-Table1[[#This Row],[Total Outstanding Amount]])/Table1[[#This Row],[NET Amount]]</f>
        <v>#DIV/0!</v>
      </c>
      <c r="S2315" s="2" t="s">
        <v>97</v>
      </c>
    </row>
    <row r="2316" spans="1:19" x14ac:dyDescent="0.3">
      <c r="A2316" s="4">
        <v>2314</v>
      </c>
      <c r="B2316" s="2" t="s">
        <v>35</v>
      </c>
      <c r="C2316" s="3">
        <v>44835</v>
      </c>
      <c r="D2316" s="3" t="str">
        <f>TEXT(Table1[[#This Row],[Admission Date]],"MMMM")</f>
        <v>October</v>
      </c>
      <c r="E2316" s="3">
        <v>44836</v>
      </c>
      <c r="F2316" s="3">
        <v>44836</v>
      </c>
      <c r="G2316" s="2">
        <v>22025317</v>
      </c>
      <c r="H2316" s="2">
        <v>2234166</v>
      </c>
      <c r="I2316" s="2">
        <v>1001010072</v>
      </c>
      <c r="J2316" s="2" t="s">
        <v>127</v>
      </c>
      <c r="K2316" s="10">
        <v>22870</v>
      </c>
      <c r="L2316" s="10">
        <v>0</v>
      </c>
      <c r="M2316" s="10">
        <v>22870</v>
      </c>
      <c r="N2316" s="10">
        <v>22870</v>
      </c>
      <c r="O2316" s="10">
        <f>Table1[[#This Row],[NET Amount]]-Table1[[#This Row],[Paid Amount]]</f>
        <v>0</v>
      </c>
      <c r="P2316" s="2" t="s">
        <v>18</v>
      </c>
      <c r="Q2316" s="2" t="s">
        <v>24</v>
      </c>
      <c r="R2316" s="16">
        <f>(Table1[[#This Row],[NET Amount]]-Table1[[#This Row],[Total Outstanding Amount]])/Table1[[#This Row],[NET Amount]]</f>
        <v>1</v>
      </c>
      <c r="S2316" s="2" t="s">
        <v>32</v>
      </c>
    </row>
    <row r="2317" spans="1:19" x14ac:dyDescent="0.3">
      <c r="A2317" s="4">
        <v>2315</v>
      </c>
      <c r="B2317" s="2" t="s">
        <v>545</v>
      </c>
      <c r="C2317" s="3">
        <v>44842</v>
      </c>
      <c r="D2317" s="3" t="str">
        <f>TEXT(Table1[[#This Row],[Admission Date]],"MMMM")</f>
        <v>October</v>
      </c>
      <c r="E2317" s="3">
        <v>44843</v>
      </c>
      <c r="F2317" s="3">
        <v>44843</v>
      </c>
      <c r="G2317" s="2">
        <v>22026268</v>
      </c>
      <c r="H2317" s="2">
        <v>2235156</v>
      </c>
      <c r="I2317" s="2">
        <v>1001803248</v>
      </c>
      <c r="J2317" s="2" t="s">
        <v>1486</v>
      </c>
      <c r="K2317" s="10">
        <v>273724</v>
      </c>
      <c r="L2317" s="10">
        <v>0</v>
      </c>
      <c r="M2317" s="10">
        <v>273724</v>
      </c>
      <c r="N2317" s="10">
        <v>1500</v>
      </c>
      <c r="O2317" s="10">
        <f>Table1[[#This Row],[NET Amount]]-Table1[[#This Row],[Paid Amount]]</f>
        <v>272224</v>
      </c>
      <c r="P2317" s="2" t="s">
        <v>23</v>
      </c>
      <c r="Q2317" s="2" t="s">
        <v>47</v>
      </c>
      <c r="R2317" s="16">
        <f>(Table1[[#This Row],[NET Amount]]-Table1[[#This Row],[Total Outstanding Amount]])/Table1[[#This Row],[NET Amount]]</f>
        <v>5.4799725270710644E-3</v>
      </c>
      <c r="S2317" s="2" t="s">
        <v>39</v>
      </c>
    </row>
    <row r="2318" spans="1:19" x14ac:dyDescent="0.3">
      <c r="A2318" s="4">
        <v>2316</v>
      </c>
      <c r="B2318" s="2" t="s">
        <v>25</v>
      </c>
      <c r="C2318" s="3">
        <v>44861</v>
      </c>
      <c r="D2318" s="3" t="str">
        <f>TEXT(Table1[[#This Row],[Admission Date]],"MMMM")</f>
        <v>October</v>
      </c>
      <c r="E2318" s="3">
        <v>44861</v>
      </c>
      <c r="F2318" s="3">
        <v>44861</v>
      </c>
      <c r="G2318" s="2">
        <v>22028824</v>
      </c>
      <c r="H2318" s="2">
        <v>2237692</v>
      </c>
      <c r="I2318" s="2">
        <v>10013541901</v>
      </c>
      <c r="J2318" s="2" t="s">
        <v>556</v>
      </c>
      <c r="K2318" s="10">
        <v>2844</v>
      </c>
      <c r="L2318" s="10">
        <v>279</v>
      </c>
      <c r="M2318" s="10">
        <v>2565</v>
      </c>
      <c r="N2318" s="10">
        <v>2565</v>
      </c>
      <c r="O2318" s="10">
        <f>Table1[[#This Row],[NET Amount]]-Table1[[#This Row],[Paid Amount]]</f>
        <v>0</v>
      </c>
      <c r="P2318" s="2" t="s">
        <v>18</v>
      </c>
      <c r="Q2318" s="2" t="s">
        <v>54</v>
      </c>
      <c r="R2318" s="16">
        <f>(Table1[[#This Row],[NET Amount]]-Table1[[#This Row],[Total Outstanding Amount]])/Table1[[#This Row],[NET Amount]]</f>
        <v>1</v>
      </c>
      <c r="S2318" s="2" t="s">
        <v>97</v>
      </c>
    </row>
    <row r="2319" spans="1:19" x14ac:dyDescent="0.3">
      <c r="A2319" s="4">
        <v>2317</v>
      </c>
      <c r="B2319" s="2" t="s">
        <v>25</v>
      </c>
      <c r="C2319" s="3">
        <v>44840</v>
      </c>
      <c r="D2319" s="3" t="str">
        <f>TEXT(Table1[[#This Row],[Admission Date]],"MMMM")</f>
        <v>October</v>
      </c>
      <c r="E2319" s="3">
        <v>44841</v>
      </c>
      <c r="F2319" s="3">
        <v>44841</v>
      </c>
      <c r="G2319" s="2">
        <v>22025959</v>
      </c>
      <c r="H2319" s="2">
        <v>2234891</v>
      </c>
      <c r="I2319" s="2">
        <v>1001802841</v>
      </c>
      <c r="J2319" s="2" t="s">
        <v>1487</v>
      </c>
      <c r="K2319" s="10">
        <v>230989</v>
      </c>
      <c r="L2319" s="10">
        <v>40081</v>
      </c>
      <c r="M2319" s="10">
        <v>190908</v>
      </c>
      <c r="N2319" s="10">
        <v>190908</v>
      </c>
      <c r="O2319" s="10">
        <f>Table1[[#This Row],[NET Amount]]-Table1[[#This Row],[Paid Amount]]</f>
        <v>0</v>
      </c>
      <c r="P2319" s="2" t="s">
        <v>18</v>
      </c>
      <c r="Q2319" s="2" t="s">
        <v>69</v>
      </c>
      <c r="R2319" s="16">
        <f>(Table1[[#This Row],[NET Amount]]-Table1[[#This Row],[Total Outstanding Amount]])/Table1[[#This Row],[NET Amount]]</f>
        <v>1</v>
      </c>
      <c r="S2319" s="2" t="s">
        <v>39</v>
      </c>
    </row>
    <row r="2320" spans="1:19" x14ac:dyDescent="0.3">
      <c r="A2320" s="4">
        <v>2318</v>
      </c>
      <c r="B2320" s="2" t="s">
        <v>35</v>
      </c>
      <c r="C2320" s="3">
        <v>44846</v>
      </c>
      <c r="D2320" s="3" t="str">
        <f>TEXT(Table1[[#This Row],[Admission Date]],"MMMM")</f>
        <v>October</v>
      </c>
      <c r="E2320" s="3">
        <v>44846</v>
      </c>
      <c r="F2320" s="3">
        <v>44846</v>
      </c>
      <c r="G2320" s="2">
        <v>22026652</v>
      </c>
      <c r="H2320" s="2">
        <v>2235637</v>
      </c>
      <c r="I2320" s="2">
        <v>10013514103</v>
      </c>
      <c r="J2320" s="2" t="s">
        <v>173</v>
      </c>
      <c r="K2320" s="10">
        <v>1610</v>
      </c>
      <c r="L2320" s="10">
        <v>0</v>
      </c>
      <c r="M2320" s="10">
        <v>1610</v>
      </c>
      <c r="N2320" s="10">
        <v>1610</v>
      </c>
      <c r="O2320" s="10">
        <f>Table1[[#This Row],[NET Amount]]-Table1[[#This Row],[Paid Amount]]</f>
        <v>0</v>
      </c>
      <c r="P2320" s="2" t="s">
        <v>18</v>
      </c>
      <c r="Q2320" s="2" t="s">
        <v>54</v>
      </c>
      <c r="R2320" s="16">
        <f>(Table1[[#This Row],[NET Amount]]-Table1[[#This Row],[Total Outstanding Amount]])/Table1[[#This Row],[NET Amount]]</f>
        <v>1</v>
      </c>
      <c r="S2320" s="2" t="s">
        <v>97</v>
      </c>
    </row>
    <row r="2321" spans="1:19" x14ac:dyDescent="0.3">
      <c r="A2321" s="4">
        <v>2319</v>
      </c>
      <c r="B2321" s="2" t="s">
        <v>35</v>
      </c>
      <c r="C2321" s="3">
        <v>44846</v>
      </c>
      <c r="D2321" s="3" t="str">
        <f>TEXT(Table1[[#This Row],[Admission Date]],"MMMM")</f>
        <v>October</v>
      </c>
      <c r="E2321" s="3">
        <v>44846</v>
      </c>
      <c r="F2321" s="3">
        <v>44846</v>
      </c>
      <c r="G2321" s="2">
        <v>22026651</v>
      </c>
      <c r="H2321" s="2">
        <v>2235631</v>
      </c>
      <c r="I2321" s="2">
        <v>10013540183</v>
      </c>
      <c r="J2321" s="2" t="s">
        <v>99</v>
      </c>
      <c r="K2321" s="10">
        <v>1610</v>
      </c>
      <c r="L2321" s="10">
        <v>0</v>
      </c>
      <c r="M2321" s="10">
        <v>1610</v>
      </c>
      <c r="N2321" s="10">
        <v>1610</v>
      </c>
      <c r="O2321" s="10">
        <f>Table1[[#This Row],[NET Amount]]-Table1[[#This Row],[Paid Amount]]</f>
        <v>0</v>
      </c>
      <c r="P2321" s="2" t="s">
        <v>18</v>
      </c>
      <c r="Q2321" s="2" t="s">
        <v>54</v>
      </c>
      <c r="R2321" s="16">
        <f>(Table1[[#This Row],[NET Amount]]-Table1[[#This Row],[Total Outstanding Amount]])/Table1[[#This Row],[NET Amount]]</f>
        <v>1</v>
      </c>
      <c r="S2321" s="2" t="s">
        <v>97</v>
      </c>
    </row>
    <row r="2322" spans="1:19" x14ac:dyDescent="0.3">
      <c r="A2322" s="4">
        <v>2320</v>
      </c>
      <c r="B2322" s="2" t="s">
        <v>25</v>
      </c>
      <c r="C2322" s="3">
        <v>44846</v>
      </c>
      <c r="D2322" s="3" t="str">
        <f>TEXT(Table1[[#This Row],[Admission Date]],"MMMM")</f>
        <v>October</v>
      </c>
      <c r="E2322" s="3">
        <v>44846</v>
      </c>
      <c r="F2322" s="3">
        <v>44846</v>
      </c>
      <c r="G2322" s="2">
        <v>22026672</v>
      </c>
      <c r="H2322" s="2">
        <v>2235651</v>
      </c>
      <c r="I2322" s="2">
        <v>1000891450</v>
      </c>
      <c r="J2322" s="2" t="s">
        <v>337</v>
      </c>
      <c r="K2322" s="10">
        <v>3519</v>
      </c>
      <c r="L2322" s="10">
        <v>1641</v>
      </c>
      <c r="M2322" s="10">
        <v>1878</v>
      </c>
      <c r="N2322" s="10">
        <v>1878</v>
      </c>
      <c r="O2322" s="10">
        <f>Table1[[#This Row],[NET Amount]]-Table1[[#This Row],[Paid Amount]]</f>
        <v>0</v>
      </c>
      <c r="P2322" s="2" t="s">
        <v>18</v>
      </c>
      <c r="Q2322" s="2" t="s">
        <v>54</v>
      </c>
      <c r="R2322" s="16">
        <f>(Table1[[#This Row],[NET Amount]]-Table1[[#This Row],[Total Outstanding Amount]])/Table1[[#This Row],[NET Amount]]</f>
        <v>1</v>
      </c>
      <c r="S2322" s="2" t="s">
        <v>97</v>
      </c>
    </row>
    <row r="2323" spans="1:19" x14ac:dyDescent="0.3">
      <c r="A2323" s="4">
        <v>2321</v>
      </c>
      <c r="B2323" s="2" t="s">
        <v>50</v>
      </c>
      <c r="C2323" s="3">
        <v>44846</v>
      </c>
      <c r="D2323" s="3" t="str">
        <f>TEXT(Table1[[#This Row],[Admission Date]],"MMMM")</f>
        <v>October</v>
      </c>
      <c r="E2323" s="3">
        <v>44846</v>
      </c>
      <c r="F2323" s="3">
        <v>44846</v>
      </c>
      <c r="G2323" s="2">
        <v>22026669</v>
      </c>
      <c r="H2323" s="2">
        <v>2235655</v>
      </c>
      <c r="I2323" s="2">
        <v>1001105051</v>
      </c>
      <c r="J2323" s="2" t="s">
        <v>275</v>
      </c>
      <c r="K2323" s="10">
        <v>4840</v>
      </c>
      <c r="L2323" s="10">
        <v>0</v>
      </c>
      <c r="M2323" s="10">
        <v>4840</v>
      </c>
      <c r="N2323" s="10">
        <v>242</v>
      </c>
      <c r="O2323" s="10">
        <f>Table1[[#This Row],[NET Amount]]-Table1[[#This Row],[Paid Amount]]</f>
        <v>4598</v>
      </c>
      <c r="P2323" s="2" t="s">
        <v>23</v>
      </c>
      <c r="Q2323" s="2" t="s">
        <v>147</v>
      </c>
      <c r="R2323" s="16">
        <f>(Table1[[#This Row],[NET Amount]]-Table1[[#This Row],[Total Outstanding Amount]])/Table1[[#This Row],[NET Amount]]</f>
        <v>0.05</v>
      </c>
      <c r="S2323" s="2" t="s">
        <v>97</v>
      </c>
    </row>
    <row r="2324" spans="1:19" x14ac:dyDescent="0.3">
      <c r="A2324" s="4">
        <v>2322</v>
      </c>
      <c r="B2324" s="2" t="s">
        <v>25</v>
      </c>
      <c r="C2324" s="3">
        <v>44834</v>
      </c>
      <c r="D2324" s="3" t="str">
        <f>TEXT(Table1[[#This Row],[Admission Date]],"MMMM")</f>
        <v>September</v>
      </c>
      <c r="E2324" s="3">
        <v>44836</v>
      </c>
      <c r="F2324" s="3">
        <v>44836</v>
      </c>
      <c r="G2324" s="2">
        <v>22025276</v>
      </c>
      <c r="H2324" s="2">
        <v>2234037</v>
      </c>
      <c r="I2324" s="2">
        <v>1000858861</v>
      </c>
      <c r="J2324" s="2" t="s">
        <v>1488</v>
      </c>
      <c r="K2324" s="10">
        <v>66947</v>
      </c>
      <c r="L2324" s="10">
        <v>7676</v>
      </c>
      <c r="M2324" s="10">
        <v>59270</v>
      </c>
      <c r="N2324" s="10">
        <v>59270</v>
      </c>
      <c r="O2324" s="10">
        <f>Table1[[#This Row],[NET Amount]]-Table1[[#This Row],[Paid Amount]]</f>
        <v>0</v>
      </c>
      <c r="P2324" s="2" t="s">
        <v>18</v>
      </c>
      <c r="Q2324" s="2" t="s">
        <v>24</v>
      </c>
      <c r="R2324" s="16">
        <f>(Table1[[#This Row],[NET Amount]]-Table1[[#This Row],[Total Outstanding Amount]])/Table1[[#This Row],[NET Amount]]</f>
        <v>1</v>
      </c>
      <c r="S2324" s="2" t="s">
        <v>27</v>
      </c>
    </row>
    <row r="2325" spans="1:19" x14ac:dyDescent="0.3">
      <c r="A2325" s="4">
        <v>2323</v>
      </c>
      <c r="B2325" s="2" t="s">
        <v>25</v>
      </c>
      <c r="C2325" s="3">
        <v>44856</v>
      </c>
      <c r="D2325" s="3" t="str">
        <f>TEXT(Table1[[#This Row],[Admission Date]],"MMMM")</f>
        <v>October</v>
      </c>
      <c r="E2325" s="3">
        <v>44857</v>
      </c>
      <c r="F2325" s="3">
        <v>44857</v>
      </c>
      <c r="G2325" s="2">
        <v>22028305</v>
      </c>
      <c r="H2325" s="2">
        <v>2237109</v>
      </c>
      <c r="I2325" s="2">
        <v>10013544194</v>
      </c>
      <c r="J2325" s="2" t="s">
        <v>1489</v>
      </c>
      <c r="K2325" s="10">
        <v>21218</v>
      </c>
      <c r="L2325" s="10">
        <v>4707</v>
      </c>
      <c r="M2325" s="10">
        <v>16511</v>
      </c>
      <c r="N2325" s="10">
        <v>16511</v>
      </c>
      <c r="O2325" s="10">
        <f>Table1[[#This Row],[NET Amount]]-Table1[[#This Row],[Paid Amount]]</f>
        <v>0</v>
      </c>
      <c r="P2325" s="2" t="s">
        <v>18</v>
      </c>
      <c r="Q2325" s="2" t="s">
        <v>24</v>
      </c>
      <c r="R2325" s="16">
        <f>(Table1[[#This Row],[NET Amount]]-Table1[[#This Row],[Total Outstanding Amount]])/Table1[[#This Row],[NET Amount]]</f>
        <v>1</v>
      </c>
      <c r="S2325" s="2" t="s">
        <v>39</v>
      </c>
    </row>
    <row r="2326" spans="1:19" x14ac:dyDescent="0.3">
      <c r="A2326" s="4">
        <v>2324</v>
      </c>
      <c r="B2326" s="2" t="s">
        <v>25</v>
      </c>
      <c r="C2326" s="3">
        <v>44839</v>
      </c>
      <c r="D2326" s="3" t="str">
        <f>TEXT(Table1[[#This Row],[Admission Date]],"MMMM")</f>
        <v>October</v>
      </c>
      <c r="E2326" s="3">
        <v>44840</v>
      </c>
      <c r="F2326" s="3">
        <v>44840</v>
      </c>
      <c r="G2326" s="2">
        <v>22025796</v>
      </c>
      <c r="H2326" s="2">
        <v>2234704</v>
      </c>
      <c r="I2326" s="2">
        <v>1001802541</v>
      </c>
      <c r="J2326" s="2" t="s">
        <v>1490</v>
      </c>
      <c r="K2326" s="10">
        <v>8969</v>
      </c>
      <c r="L2326" s="10">
        <v>1345</v>
      </c>
      <c r="M2326" s="10">
        <v>7624</v>
      </c>
      <c r="N2326" s="10">
        <v>7624</v>
      </c>
      <c r="O2326" s="10">
        <f>Table1[[#This Row],[NET Amount]]-Table1[[#This Row],[Paid Amount]]</f>
        <v>0</v>
      </c>
      <c r="P2326" s="2" t="s">
        <v>18</v>
      </c>
      <c r="Q2326" s="2" t="s">
        <v>30</v>
      </c>
      <c r="R2326" s="16">
        <f>(Table1[[#This Row],[NET Amount]]-Table1[[#This Row],[Total Outstanding Amount]])/Table1[[#This Row],[NET Amount]]</f>
        <v>1</v>
      </c>
      <c r="S2326" s="2" t="s">
        <v>37</v>
      </c>
    </row>
    <row r="2327" spans="1:19" x14ac:dyDescent="0.3">
      <c r="A2327" s="4">
        <v>2325</v>
      </c>
      <c r="B2327" s="2" t="s">
        <v>113</v>
      </c>
      <c r="C2327" s="3">
        <v>44839</v>
      </c>
      <c r="D2327" s="3" t="str">
        <f>TEXT(Table1[[#This Row],[Admission Date]],"MMMM")</f>
        <v>October</v>
      </c>
      <c r="E2327" s="3">
        <v>44846</v>
      </c>
      <c r="F2327" s="3">
        <v>44846</v>
      </c>
      <c r="G2327" s="2">
        <v>22026693</v>
      </c>
      <c r="H2327" s="2">
        <v>2234717</v>
      </c>
      <c r="I2327" s="2">
        <v>10013541630</v>
      </c>
      <c r="J2327" s="2" t="s">
        <v>1491</v>
      </c>
      <c r="K2327" s="10">
        <v>71504</v>
      </c>
      <c r="L2327" s="10">
        <v>0</v>
      </c>
      <c r="M2327" s="10">
        <v>71504</v>
      </c>
      <c r="N2327" s="10">
        <v>71504</v>
      </c>
      <c r="O2327" s="10">
        <f>Table1[[#This Row],[NET Amount]]-Table1[[#This Row],[Paid Amount]]</f>
        <v>0</v>
      </c>
      <c r="P2327" s="2" t="s">
        <v>18</v>
      </c>
      <c r="Q2327" s="2" t="s">
        <v>30</v>
      </c>
      <c r="R2327" s="16">
        <f>(Table1[[#This Row],[NET Amount]]-Table1[[#This Row],[Total Outstanding Amount]])/Table1[[#This Row],[NET Amount]]</f>
        <v>1</v>
      </c>
      <c r="S2327" s="2" t="s">
        <v>20</v>
      </c>
    </row>
    <row r="2328" spans="1:19" x14ac:dyDescent="0.3">
      <c r="A2328" s="4">
        <v>2326</v>
      </c>
      <c r="B2328" s="2" t="s">
        <v>25</v>
      </c>
      <c r="C2328" s="3">
        <v>44837</v>
      </c>
      <c r="D2328" s="3" t="str">
        <f>TEXT(Table1[[#This Row],[Admission Date]],"MMMM")</f>
        <v>October</v>
      </c>
      <c r="E2328" s="3">
        <v>44837</v>
      </c>
      <c r="F2328" s="3">
        <v>44837</v>
      </c>
      <c r="G2328" s="2">
        <v>22025435</v>
      </c>
      <c r="H2328" s="2">
        <v>2234438</v>
      </c>
      <c r="I2328" s="2">
        <v>10013533934</v>
      </c>
      <c r="J2328" s="2" t="s">
        <v>498</v>
      </c>
      <c r="K2328" s="10">
        <v>4990</v>
      </c>
      <c r="L2328" s="10">
        <v>433</v>
      </c>
      <c r="M2328" s="10">
        <v>4557</v>
      </c>
      <c r="N2328" s="10">
        <v>4557</v>
      </c>
      <c r="O2328" s="10">
        <f>Table1[[#This Row],[NET Amount]]-Table1[[#This Row],[Paid Amount]]</f>
        <v>0</v>
      </c>
      <c r="P2328" s="2" t="s">
        <v>18</v>
      </c>
      <c r="Q2328" s="2" t="s">
        <v>54</v>
      </c>
      <c r="R2328" s="16">
        <f>(Table1[[#This Row],[NET Amount]]-Table1[[#This Row],[Total Outstanding Amount]])/Table1[[#This Row],[NET Amount]]</f>
        <v>1</v>
      </c>
      <c r="S2328" s="2" t="s">
        <v>97</v>
      </c>
    </row>
    <row r="2329" spans="1:19" x14ac:dyDescent="0.3">
      <c r="A2329" s="4">
        <v>2327</v>
      </c>
      <c r="B2329" s="2" t="s">
        <v>25</v>
      </c>
      <c r="C2329" s="3">
        <v>44837</v>
      </c>
      <c r="D2329" s="3" t="str">
        <f>TEXT(Table1[[#This Row],[Admission Date]],"MMMM")</f>
        <v>October</v>
      </c>
      <c r="E2329" s="3">
        <v>44837</v>
      </c>
      <c r="F2329" s="3">
        <v>44837</v>
      </c>
      <c r="G2329" s="2">
        <v>22025437</v>
      </c>
      <c r="H2329" s="2">
        <v>2234447</v>
      </c>
      <c r="I2329" s="2">
        <v>10013507561</v>
      </c>
      <c r="J2329" s="2" t="s">
        <v>240</v>
      </c>
      <c r="K2329" s="10">
        <v>2844</v>
      </c>
      <c r="L2329" s="10">
        <v>293</v>
      </c>
      <c r="M2329" s="10">
        <v>2551</v>
      </c>
      <c r="N2329" s="10">
        <v>2551</v>
      </c>
      <c r="O2329" s="10">
        <f>Table1[[#This Row],[NET Amount]]-Table1[[#This Row],[Paid Amount]]</f>
        <v>0</v>
      </c>
      <c r="P2329" s="2" t="s">
        <v>18</v>
      </c>
      <c r="Q2329" s="2" t="s">
        <v>54</v>
      </c>
      <c r="R2329" s="16">
        <f>(Table1[[#This Row],[NET Amount]]-Table1[[#This Row],[Total Outstanding Amount]])/Table1[[#This Row],[NET Amount]]</f>
        <v>1</v>
      </c>
      <c r="S2329" s="2" t="s">
        <v>97</v>
      </c>
    </row>
    <row r="2330" spans="1:19" x14ac:dyDescent="0.3">
      <c r="A2330" s="4">
        <v>2328</v>
      </c>
      <c r="B2330" s="2" t="s">
        <v>35</v>
      </c>
      <c r="C2330" s="3">
        <v>44837</v>
      </c>
      <c r="D2330" s="3" t="str">
        <f>TEXT(Table1[[#This Row],[Admission Date]],"MMMM")</f>
        <v>October</v>
      </c>
      <c r="E2330" s="3">
        <v>44837</v>
      </c>
      <c r="F2330" s="3">
        <v>44837</v>
      </c>
      <c r="G2330" s="2">
        <v>22025330</v>
      </c>
      <c r="H2330" s="2">
        <v>2234355</v>
      </c>
      <c r="I2330" s="2">
        <v>10013480632</v>
      </c>
      <c r="J2330" s="2" t="s">
        <v>210</v>
      </c>
      <c r="K2330" s="10">
        <v>1610</v>
      </c>
      <c r="L2330" s="10">
        <v>0</v>
      </c>
      <c r="M2330" s="10">
        <v>1610</v>
      </c>
      <c r="N2330" s="10">
        <v>1610</v>
      </c>
      <c r="O2330" s="10">
        <f>Table1[[#This Row],[NET Amount]]-Table1[[#This Row],[Paid Amount]]</f>
        <v>0</v>
      </c>
      <c r="P2330" s="2" t="s">
        <v>18</v>
      </c>
      <c r="Q2330" s="2" t="s">
        <v>54</v>
      </c>
      <c r="R2330" s="16">
        <f>(Table1[[#This Row],[NET Amount]]-Table1[[#This Row],[Total Outstanding Amount]])/Table1[[#This Row],[NET Amount]]</f>
        <v>1</v>
      </c>
      <c r="S2330" s="2" t="s">
        <v>97</v>
      </c>
    </row>
    <row r="2331" spans="1:19" x14ac:dyDescent="0.3">
      <c r="A2331" s="4">
        <v>2329</v>
      </c>
      <c r="B2331" s="2" t="s">
        <v>155</v>
      </c>
      <c r="C2331" s="3">
        <v>44837</v>
      </c>
      <c r="D2331" s="3" t="str">
        <f>TEXT(Table1[[#This Row],[Admission Date]],"MMMM")</f>
        <v>October</v>
      </c>
      <c r="E2331" s="3">
        <v>44837</v>
      </c>
      <c r="F2331" s="3">
        <v>44837</v>
      </c>
      <c r="G2331" s="2">
        <v>22025344</v>
      </c>
      <c r="H2331" s="2">
        <v>2234351</v>
      </c>
      <c r="I2331" s="2">
        <v>10013537888</v>
      </c>
      <c r="J2331" s="2" t="s">
        <v>358</v>
      </c>
      <c r="K2331" s="10">
        <v>1610</v>
      </c>
      <c r="L2331" s="10">
        <v>0</v>
      </c>
      <c r="M2331" s="10">
        <v>1610</v>
      </c>
      <c r="N2331" s="10">
        <v>1610</v>
      </c>
      <c r="O2331" s="10">
        <f>Table1[[#This Row],[NET Amount]]-Table1[[#This Row],[Paid Amount]]</f>
        <v>0</v>
      </c>
      <c r="P2331" s="2" t="s">
        <v>18</v>
      </c>
      <c r="Q2331" s="2" t="s">
        <v>54</v>
      </c>
      <c r="R2331" s="16">
        <f>(Table1[[#This Row],[NET Amount]]-Table1[[#This Row],[Total Outstanding Amount]])/Table1[[#This Row],[NET Amount]]</f>
        <v>1</v>
      </c>
      <c r="S2331" s="2" t="s">
        <v>97</v>
      </c>
    </row>
    <row r="2332" spans="1:19" x14ac:dyDescent="0.3">
      <c r="A2332" s="4">
        <v>2330</v>
      </c>
      <c r="B2332" s="2" t="s">
        <v>113</v>
      </c>
      <c r="C2332" s="3">
        <v>44837</v>
      </c>
      <c r="D2332" s="3" t="str">
        <f>TEXT(Table1[[#This Row],[Admission Date]],"MMMM")</f>
        <v>October</v>
      </c>
      <c r="E2332" s="3">
        <v>44837</v>
      </c>
      <c r="F2332" s="3">
        <v>44837</v>
      </c>
      <c r="G2332" s="2">
        <v>22025333</v>
      </c>
      <c r="H2332" s="2">
        <v>2234353</v>
      </c>
      <c r="I2332" s="2">
        <v>10013524248</v>
      </c>
      <c r="J2332" s="2" t="s">
        <v>211</v>
      </c>
      <c r="K2332" s="10">
        <v>1610</v>
      </c>
      <c r="L2332" s="10">
        <v>0</v>
      </c>
      <c r="M2332" s="10">
        <v>1610</v>
      </c>
      <c r="N2332" s="10">
        <v>1610</v>
      </c>
      <c r="O2332" s="10">
        <f>Table1[[#This Row],[NET Amount]]-Table1[[#This Row],[Paid Amount]]</f>
        <v>0</v>
      </c>
      <c r="P2332" s="2" t="s">
        <v>18</v>
      </c>
      <c r="Q2332" s="2" t="s">
        <v>54</v>
      </c>
      <c r="R2332" s="16">
        <f>(Table1[[#This Row],[NET Amount]]-Table1[[#This Row],[Total Outstanding Amount]])/Table1[[#This Row],[NET Amount]]</f>
        <v>1</v>
      </c>
      <c r="S2332" s="2" t="s">
        <v>97</v>
      </c>
    </row>
    <row r="2333" spans="1:19" x14ac:dyDescent="0.3">
      <c r="A2333" s="4">
        <v>2331</v>
      </c>
      <c r="B2333" s="2" t="s">
        <v>25</v>
      </c>
      <c r="C2333" s="3">
        <v>44838</v>
      </c>
      <c r="D2333" s="3" t="str">
        <f>TEXT(Table1[[#This Row],[Admission Date]],"MMMM")</f>
        <v>October</v>
      </c>
      <c r="E2333" s="3">
        <v>44840</v>
      </c>
      <c r="F2333" s="3">
        <v>44840</v>
      </c>
      <c r="G2333" s="2">
        <v>22025844</v>
      </c>
      <c r="H2333" s="2">
        <v>2234658</v>
      </c>
      <c r="I2333" s="2">
        <v>1001802488</v>
      </c>
      <c r="J2333" s="2" t="s">
        <v>1492</v>
      </c>
      <c r="K2333" s="10">
        <v>18118</v>
      </c>
      <c r="L2333" s="10">
        <v>4638</v>
      </c>
      <c r="M2333" s="10">
        <v>13481</v>
      </c>
      <c r="N2333" s="10">
        <v>13481</v>
      </c>
      <c r="O2333" s="10">
        <f>Table1[[#This Row],[NET Amount]]-Table1[[#This Row],[Paid Amount]]</f>
        <v>0</v>
      </c>
      <c r="P2333" s="2" t="s">
        <v>18</v>
      </c>
      <c r="Q2333" s="2" t="s">
        <v>24</v>
      </c>
      <c r="R2333" s="16">
        <f>(Table1[[#This Row],[NET Amount]]-Table1[[#This Row],[Total Outstanding Amount]])/Table1[[#This Row],[NET Amount]]</f>
        <v>1</v>
      </c>
      <c r="S2333" s="2" t="s">
        <v>37</v>
      </c>
    </row>
    <row r="2334" spans="1:19" x14ac:dyDescent="0.3">
      <c r="A2334" s="4">
        <v>2332</v>
      </c>
      <c r="B2334" s="2" t="s">
        <v>149</v>
      </c>
      <c r="C2334" s="3">
        <v>44834</v>
      </c>
      <c r="D2334" s="3" t="str">
        <f>TEXT(Table1[[#This Row],[Admission Date]],"MMMM")</f>
        <v>September</v>
      </c>
      <c r="E2334" s="3">
        <v>44839</v>
      </c>
      <c r="F2334" s="3">
        <v>44839</v>
      </c>
      <c r="G2334" s="2">
        <v>22025742</v>
      </c>
      <c r="H2334" s="2">
        <v>2234062</v>
      </c>
      <c r="I2334" s="2">
        <v>10013231848</v>
      </c>
      <c r="J2334" s="2" t="s">
        <v>1493</v>
      </c>
      <c r="K2334" s="10">
        <v>290467</v>
      </c>
      <c r="L2334" s="10">
        <v>0</v>
      </c>
      <c r="M2334" s="10">
        <v>290467</v>
      </c>
      <c r="N2334" s="10">
        <v>290467</v>
      </c>
      <c r="O2334" s="10">
        <f>Table1[[#This Row],[NET Amount]]-Table1[[#This Row],[Paid Amount]]</f>
        <v>0</v>
      </c>
      <c r="P2334" s="2" t="s">
        <v>18</v>
      </c>
      <c r="Q2334" s="2" t="s">
        <v>19</v>
      </c>
      <c r="R2334" s="16">
        <f>(Table1[[#This Row],[NET Amount]]-Table1[[#This Row],[Total Outstanding Amount]])/Table1[[#This Row],[NET Amount]]</f>
        <v>1</v>
      </c>
      <c r="S2334" s="2" t="s">
        <v>32</v>
      </c>
    </row>
    <row r="2335" spans="1:19" x14ac:dyDescent="0.3">
      <c r="A2335" s="4">
        <v>2333</v>
      </c>
      <c r="B2335" s="2" t="s">
        <v>75</v>
      </c>
      <c r="C2335" s="3">
        <v>44798</v>
      </c>
      <c r="D2335" s="3" t="str">
        <f>TEXT(Table1[[#This Row],[Admission Date]],"MMMM")</f>
        <v>August</v>
      </c>
      <c r="E2335" s="3">
        <v>44837</v>
      </c>
      <c r="F2335" s="3">
        <v>44837</v>
      </c>
      <c r="G2335" s="2">
        <v>22025327</v>
      </c>
      <c r="H2335" s="2">
        <v>2229249</v>
      </c>
      <c r="I2335" s="2">
        <v>10013531563</v>
      </c>
      <c r="J2335" s="2" t="s">
        <v>1494</v>
      </c>
      <c r="K2335" s="10">
        <v>720298</v>
      </c>
      <c r="L2335" s="10">
        <v>0</v>
      </c>
      <c r="M2335" s="10">
        <v>720298</v>
      </c>
      <c r="N2335" s="10">
        <v>32166</v>
      </c>
      <c r="O2335" s="10">
        <f>Table1[[#This Row],[NET Amount]]-Table1[[#This Row],[Paid Amount]]</f>
        <v>688132</v>
      </c>
      <c r="P2335" s="2" t="s">
        <v>23</v>
      </c>
      <c r="Q2335" s="2" t="s">
        <v>19</v>
      </c>
      <c r="R2335" s="16">
        <f>(Table1[[#This Row],[NET Amount]]-Table1[[#This Row],[Total Outstanding Amount]])/Table1[[#This Row],[NET Amount]]</f>
        <v>4.4656517163729453E-2</v>
      </c>
      <c r="S2335" s="2" t="s">
        <v>20</v>
      </c>
    </row>
    <row r="2336" spans="1:19" x14ac:dyDescent="0.3">
      <c r="A2336" s="4">
        <v>2334</v>
      </c>
      <c r="B2336" s="2" t="s">
        <v>25</v>
      </c>
      <c r="C2336" s="3">
        <v>44853</v>
      </c>
      <c r="D2336" s="3" t="str">
        <f>TEXT(Table1[[#This Row],[Admission Date]],"MMMM")</f>
        <v>October</v>
      </c>
      <c r="E2336" s="3">
        <v>44853</v>
      </c>
      <c r="F2336" s="3">
        <v>44853</v>
      </c>
      <c r="G2336" s="2">
        <v>22027660</v>
      </c>
      <c r="H2336" s="2">
        <v>2236574</v>
      </c>
      <c r="I2336" s="2">
        <v>1001575947</v>
      </c>
      <c r="J2336" s="2" t="s">
        <v>919</v>
      </c>
      <c r="K2336" s="10">
        <v>2844</v>
      </c>
      <c r="L2336" s="10">
        <v>286</v>
      </c>
      <c r="M2336" s="10">
        <v>2558</v>
      </c>
      <c r="N2336" s="10">
        <v>2558</v>
      </c>
      <c r="O2336" s="10">
        <f>Table1[[#This Row],[NET Amount]]-Table1[[#This Row],[Paid Amount]]</f>
        <v>0</v>
      </c>
      <c r="P2336" s="2" t="s">
        <v>18</v>
      </c>
      <c r="Q2336" s="2" t="s">
        <v>54</v>
      </c>
      <c r="R2336" s="16">
        <f>(Table1[[#This Row],[NET Amount]]-Table1[[#This Row],[Total Outstanding Amount]])/Table1[[#This Row],[NET Amount]]</f>
        <v>1</v>
      </c>
      <c r="S2336" s="2" t="s">
        <v>97</v>
      </c>
    </row>
    <row r="2337" spans="1:19" x14ac:dyDescent="0.3">
      <c r="A2337" s="4">
        <v>2335</v>
      </c>
      <c r="B2337" s="2" t="s">
        <v>25</v>
      </c>
      <c r="C2337" s="3">
        <v>44854</v>
      </c>
      <c r="D2337" s="3" t="str">
        <f>TEXT(Table1[[#This Row],[Admission Date]],"MMMM")</f>
        <v>October</v>
      </c>
      <c r="E2337" s="3">
        <v>44855</v>
      </c>
      <c r="F2337" s="3">
        <v>44855</v>
      </c>
      <c r="G2337" s="2">
        <v>22028003</v>
      </c>
      <c r="H2337" s="2">
        <v>2236806</v>
      </c>
      <c r="I2337" s="2">
        <v>1001805490</v>
      </c>
      <c r="J2337" s="2" t="s">
        <v>1495</v>
      </c>
      <c r="K2337" s="10">
        <v>8190</v>
      </c>
      <c r="L2337" s="10">
        <v>959</v>
      </c>
      <c r="M2337" s="10">
        <v>7231</v>
      </c>
      <c r="N2337" s="10">
        <v>7231</v>
      </c>
      <c r="O2337" s="10">
        <f>Table1[[#This Row],[NET Amount]]-Table1[[#This Row],[Paid Amount]]</f>
        <v>0</v>
      </c>
      <c r="P2337" s="2" t="s">
        <v>18</v>
      </c>
      <c r="Q2337" s="2" t="s">
        <v>24</v>
      </c>
      <c r="R2337" s="16">
        <f>(Table1[[#This Row],[NET Amount]]-Table1[[#This Row],[Total Outstanding Amount]])/Table1[[#This Row],[NET Amount]]</f>
        <v>1</v>
      </c>
      <c r="S2337" s="2" t="s">
        <v>37</v>
      </c>
    </row>
    <row r="2338" spans="1:19" x14ac:dyDescent="0.3">
      <c r="A2338" s="4">
        <v>2336</v>
      </c>
      <c r="B2338" s="2" t="s">
        <v>2251</v>
      </c>
      <c r="C2338" s="3">
        <v>44837</v>
      </c>
      <c r="D2338" s="3" t="str">
        <f>TEXT(Table1[[#This Row],[Admission Date]],"MMMM")</f>
        <v>October</v>
      </c>
      <c r="E2338" s="3">
        <v>44838</v>
      </c>
      <c r="F2338" s="3">
        <v>44838</v>
      </c>
      <c r="G2338" s="2">
        <v>22025539</v>
      </c>
      <c r="H2338" s="2">
        <v>2234373</v>
      </c>
      <c r="I2338" s="2">
        <v>1001802074</v>
      </c>
      <c r="J2338" s="2" t="s">
        <v>1496</v>
      </c>
      <c r="K2338" s="10">
        <v>68650</v>
      </c>
      <c r="L2338" s="10">
        <v>0</v>
      </c>
      <c r="M2338" s="10">
        <v>68650</v>
      </c>
      <c r="N2338" s="10">
        <v>1000</v>
      </c>
      <c r="O2338" s="10">
        <f>Table1[[#This Row],[NET Amount]]-Table1[[#This Row],[Paid Amount]]</f>
        <v>67650</v>
      </c>
      <c r="P2338" s="2" t="s">
        <v>23</v>
      </c>
      <c r="Q2338" s="2" t="s">
        <v>42</v>
      </c>
      <c r="R2338" s="16">
        <f>(Table1[[#This Row],[NET Amount]]-Table1[[#This Row],[Total Outstanding Amount]])/Table1[[#This Row],[NET Amount]]</f>
        <v>1.4566642388929352E-2</v>
      </c>
      <c r="S2338" s="2" t="s">
        <v>77</v>
      </c>
    </row>
    <row r="2339" spans="1:19" x14ac:dyDescent="0.3">
      <c r="A2339" s="4">
        <v>2337</v>
      </c>
      <c r="B2339" s="2" t="s">
        <v>149</v>
      </c>
      <c r="C2339" s="3">
        <v>44845</v>
      </c>
      <c r="D2339" s="3" t="str">
        <f>TEXT(Table1[[#This Row],[Admission Date]],"MMMM")</f>
        <v>October</v>
      </c>
      <c r="E2339" s="3">
        <v>44850</v>
      </c>
      <c r="F2339" s="3">
        <v>44850</v>
      </c>
      <c r="G2339" s="2">
        <v>22027293</v>
      </c>
      <c r="H2339" s="2">
        <v>2235527</v>
      </c>
      <c r="I2339" s="2">
        <v>1000890784</v>
      </c>
      <c r="J2339" s="2" t="s">
        <v>1497</v>
      </c>
      <c r="K2339" s="10">
        <v>66591</v>
      </c>
      <c r="L2339" s="10">
        <v>0</v>
      </c>
      <c r="M2339" s="10">
        <v>66591</v>
      </c>
      <c r="N2339" s="10">
        <v>0</v>
      </c>
      <c r="O2339" s="10">
        <f>Table1[[#This Row],[NET Amount]]-Table1[[#This Row],[Paid Amount]]</f>
        <v>66591</v>
      </c>
      <c r="P2339" s="2" t="s">
        <v>23</v>
      </c>
      <c r="Q2339" s="2" t="s">
        <v>24</v>
      </c>
      <c r="R2339" s="16">
        <f>(Table1[[#This Row],[NET Amount]]-Table1[[#This Row],[Total Outstanding Amount]])/Table1[[#This Row],[NET Amount]]</f>
        <v>0</v>
      </c>
      <c r="S2339" s="2" t="s">
        <v>20</v>
      </c>
    </row>
    <row r="2340" spans="1:19" x14ac:dyDescent="0.3">
      <c r="A2340" s="4">
        <v>2338</v>
      </c>
      <c r="B2340" s="2" t="s">
        <v>2256</v>
      </c>
      <c r="C2340" s="3">
        <v>44835</v>
      </c>
      <c r="D2340" s="3" t="str">
        <f>TEXT(Table1[[#This Row],[Admission Date]],"MMMM")</f>
        <v>October</v>
      </c>
      <c r="E2340" s="3">
        <v>44838</v>
      </c>
      <c r="F2340" s="3">
        <v>44838</v>
      </c>
      <c r="G2340" s="2">
        <v>22025595</v>
      </c>
      <c r="H2340" s="2">
        <v>2234240</v>
      </c>
      <c r="I2340" s="2">
        <v>1001801876</v>
      </c>
      <c r="J2340" s="2" t="s">
        <v>1498</v>
      </c>
      <c r="K2340" s="10">
        <v>77788</v>
      </c>
      <c r="L2340" s="10">
        <v>10335</v>
      </c>
      <c r="M2340" s="10">
        <v>67453</v>
      </c>
      <c r="N2340" s="10">
        <v>5896</v>
      </c>
      <c r="O2340" s="10">
        <f>Table1[[#This Row],[NET Amount]]-Table1[[#This Row],[Paid Amount]]</f>
        <v>61557</v>
      </c>
      <c r="P2340" s="2" t="s">
        <v>23</v>
      </c>
      <c r="Q2340" s="2" t="s">
        <v>42</v>
      </c>
      <c r="R2340" s="16">
        <f>(Table1[[#This Row],[NET Amount]]-Table1[[#This Row],[Total Outstanding Amount]])/Table1[[#This Row],[NET Amount]]</f>
        <v>8.7409010718574418E-2</v>
      </c>
      <c r="S2340" s="2" t="s">
        <v>138</v>
      </c>
    </row>
    <row r="2341" spans="1:19" x14ac:dyDescent="0.3">
      <c r="A2341" s="4">
        <v>2339</v>
      </c>
      <c r="B2341" s="2" t="s">
        <v>25</v>
      </c>
      <c r="C2341" s="3">
        <v>44835</v>
      </c>
      <c r="D2341" s="3" t="str">
        <f>TEXT(Table1[[#This Row],[Admission Date]],"MMMM")</f>
        <v>October</v>
      </c>
      <c r="E2341" s="3">
        <v>44842</v>
      </c>
      <c r="F2341" s="3">
        <v>44842</v>
      </c>
      <c r="G2341" s="2">
        <v>22026161</v>
      </c>
      <c r="H2341" s="2">
        <v>2234292</v>
      </c>
      <c r="I2341" s="2">
        <v>1001801954</v>
      </c>
      <c r="J2341" s="2" t="s">
        <v>1499</v>
      </c>
      <c r="K2341" s="10">
        <v>266580</v>
      </c>
      <c r="L2341" s="10">
        <v>266580</v>
      </c>
      <c r="M2341" s="10">
        <v>0</v>
      </c>
      <c r="N2341" s="10">
        <v>0</v>
      </c>
      <c r="O2341" s="10">
        <f>Table1[[#This Row],[NET Amount]]-Table1[[#This Row],[Paid Amount]]</f>
        <v>0</v>
      </c>
      <c r="P2341" s="2" t="s">
        <v>18</v>
      </c>
      <c r="Q2341" s="2" t="s">
        <v>90</v>
      </c>
      <c r="R2341" s="16" t="e">
        <f>(Table1[[#This Row],[NET Amount]]-Table1[[#This Row],[Total Outstanding Amount]])/Table1[[#This Row],[NET Amount]]</f>
        <v>#DIV/0!</v>
      </c>
      <c r="S2341" s="2" t="s">
        <v>20</v>
      </c>
    </row>
    <row r="2342" spans="1:19" x14ac:dyDescent="0.3">
      <c r="A2342" s="4">
        <v>2340</v>
      </c>
      <c r="B2342" s="2" t="s">
        <v>139</v>
      </c>
      <c r="C2342" s="3">
        <v>44857</v>
      </c>
      <c r="D2342" s="3" t="str">
        <f>TEXT(Table1[[#This Row],[Admission Date]],"MMMM")</f>
        <v>October</v>
      </c>
      <c r="E2342" s="3">
        <v>44859</v>
      </c>
      <c r="F2342" s="3">
        <v>44859</v>
      </c>
      <c r="G2342" s="2">
        <v>22028489</v>
      </c>
      <c r="H2342" s="2">
        <v>2237182</v>
      </c>
      <c r="I2342" s="2">
        <v>1000970579</v>
      </c>
      <c r="J2342" s="2" t="s">
        <v>1500</v>
      </c>
      <c r="K2342" s="10">
        <v>238169</v>
      </c>
      <c r="L2342" s="10">
        <v>0</v>
      </c>
      <c r="M2342" s="10">
        <v>238169</v>
      </c>
      <c r="N2342" s="10">
        <v>42750</v>
      </c>
      <c r="O2342" s="10">
        <f>Table1[[#This Row],[NET Amount]]-Table1[[#This Row],[Paid Amount]]</f>
        <v>195419</v>
      </c>
      <c r="P2342" s="2" t="s">
        <v>23</v>
      </c>
      <c r="Q2342" s="2" t="s">
        <v>47</v>
      </c>
      <c r="R2342" s="16">
        <f>(Table1[[#This Row],[NET Amount]]-Table1[[#This Row],[Total Outstanding Amount]])/Table1[[#This Row],[NET Amount]]</f>
        <v>0.17949439263716102</v>
      </c>
      <c r="S2342" s="2" t="s">
        <v>39</v>
      </c>
    </row>
    <row r="2343" spans="1:19" x14ac:dyDescent="0.3">
      <c r="A2343" s="4">
        <v>2341</v>
      </c>
      <c r="B2343" s="2" t="s">
        <v>152</v>
      </c>
      <c r="C2343" s="3">
        <v>44845</v>
      </c>
      <c r="D2343" s="3" t="str">
        <f>TEXT(Table1[[#This Row],[Admission Date]],"MMMM")</f>
        <v>October</v>
      </c>
      <c r="E2343" s="3">
        <v>44848</v>
      </c>
      <c r="F2343" s="3">
        <v>44848</v>
      </c>
      <c r="G2343" s="2">
        <v>22026985</v>
      </c>
      <c r="H2343" s="2">
        <v>2235512</v>
      </c>
      <c r="I2343" s="2">
        <v>1001616135</v>
      </c>
      <c r="J2343" s="2" t="s">
        <v>1501</v>
      </c>
      <c r="K2343" s="10">
        <v>19292</v>
      </c>
      <c r="L2343" s="10">
        <v>0</v>
      </c>
      <c r="M2343" s="10">
        <v>19292</v>
      </c>
      <c r="N2343" s="10">
        <v>19292</v>
      </c>
      <c r="O2343" s="10">
        <f>Table1[[#This Row],[NET Amount]]-Table1[[#This Row],[Paid Amount]]</f>
        <v>0</v>
      </c>
      <c r="P2343" s="2" t="s">
        <v>18</v>
      </c>
      <c r="Q2343" s="2" t="s">
        <v>24</v>
      </c>
      <c r="R2343" s="16">
        <f>(Table1[[#This Row],[NET Amount]]-Table1[[#This Row],[Total Outstanding Amount]])/Table1[[#This Row],[NET Amount]]</f>
        <v>1</v>
      </c>
      <c r="S2343" s="2" t="s">
        <v>27</v>
      </c>
    </row>
    <row r="2344" spans="1:19" x14ac:dyDescent="0.3">
      <c r="A2344" s="4">
        <v>2342</v>
      </c>
      <c r="B2344" s="2" t="s">
        <v>25</v>
      </c>
      <c r="C2344" s="3">
        <v>44841</v>
      </c>
      <c r="D2344" s="3" t="str">
        <f>TEXT(Table1[[#This Row],[Admission Date]],"MMMM")</f>
        <v>October</v>
      </c>
      <c r="E2344" s="3">
        <v>44841</v>
      </c>
      <c r="F2344" s="3">
        <v>44841</v>
      </c>
      <c r="G2344" s="2">
        <v>22025926</v>
      </c>
      <c r="H2344" s="2">
        <v>2234978</v>
      </c>
      <c r="I2344" s="2">
        <v>1000891305</v>
      </c>
      <c r="J2344" s="2" t="s">
        <v>725</v>
      </c>
      <c r="K2344" s="10">
        <v>3590</v>
      </c>
      <c r="L2344" s="10">
        <v>286</v>
      </c>
      <c r="M2344" s="10">
        <v>3304</v>
      </c>
      <c r="N2344" s="10">
        <v>3304</v>
      </c>
      <c r="O2344" s="10">
        <f>Table1[[#This Row],[NET Amount]]-Table1[[#This Row],[Paid Amount]]</f>
        <v>0</v>
      </c>
      <c r="P2344" s="2" t="s">
        <v>18</v>
      </c>
      <c r="Q2344" s="2" t="s">
        <v>54</v>
      </c>
      <c r="R2344" s="16">
        <f>(Table1[[#This Row],[NET Amount]]-Table1[[#This Row],[Total Outstanding Amount]])/Table1[[#This Row],[NET Amount]]</f>
        <v>1</v>
      </c>
      <c r="S2344" s="2" t="s">
        <v>97</v>
      </c>
    </row>
    <row r="2345" spans="1:19" x14ac:dyDescent="0.3">
      <c r="A2345" s="4">
        <v>2343</v>
      </c>
      <c r="B2345" s="2" t="s">
        <v>25</v>
      </c>
      <c r="C2345" s="3">
        <v>44845</v>
      </c>
      <c r="D2345" s="3" t="str">
        <f>TEXT(Table1[[#This Row],[Admission Date]],"MMMM")</f>
        <v>October</v>
      </c>
      <c r="E2345" s="3">
        <v>44847</v>
      </c>
      <c r="F2345" s="3">
        <v>44847</v>
      </c>
      <c r="G2345" s="2">
        <v>22026887</v>
      </c>
      <c r="H2345" s="2">
        <v>2235556</v>
      </c>
      <c r="I2345" s="2">
        <v>1001803775</v>
      </c>
      <c r="J2345" s="2" t="s">
        <v>1502</v>
      </c>
      <c r="K2345" s="10">
        <v>11269</v>
      </c>
      <c r="L2345" s="10">
        <v>11269</v>
      </c>
      <c r="M2345" s="10">
        <v>0</v>
      </c>
      <c r="N2345" s="10">
        <v>0</v>
      </c>
      <c r="O2345" s="10">
        <f>Table1[[#This Row],[NET Amount]]-Table1[[#This Row],[Paid Amount]]</f>
        <v>0</v>
      </c>
      <c r="P2345" s="2" t="s">
        <v>18</v>
      </c>
      <c r="Q2345" s="2" t="s">
        <v>90</v>
      </c>
      <c r="R2345" s="16" t="e">
        <f>(Table1[[#This Row],[NET Amount]]-Table1[[#This Row],[Total Outstanding Amount]])/Table1[[#This Row],[NET Amount]]</f>
        <v>#DIV/0!</v>
      </c>
      <c r="S2345" s="2" t="s">
        <v>37</v>
      </c>
    </row>
    <row r="2346" spans="1:19" x14ac:dyDescent="0.3">
      <c r="A2346" s="4">
        <v>2344</v>
      </c>
      <c r="B2346" s="2" t="s">
        <v>141</v>
      </c>
      <c r="C2346" s="3">
        <v>44836</v>
      </c>
      <c r="D2346" s="3" t="str">
        <f>TEXT(Table1[[#This Row],[Admission Date]],"MMMM")</f>
        <v>October</v>
      </c>
      <c r="E2346" s="3">
        <v>44837</v>
      </c>
      <c r="F2346" s="3">
        <v>44837</v>
      </c>
      <c r="G2346" s="2">
        <v>22025370</v>
      </c>
      <c r="H2346" s="2">
        <v>2234303</v>
      </c>
      <c r="I2346" s="2">
        <v>1001801992</v>
      </c>
      <c r="J2346" s="2" t="s">
        <v>1503</v>
      </c>
      <c r="K2346" s="10">
        <v>238169</v>
      </c>
      <c r="L2346" s="10">
        <v>0</v>
      </c>
      <c r="M2346" s="10">
        <v>238169</v>
      </c>
      <c r="N2346" s="10">
        <v>3292</v>
      </c>
      <c r="O2346" s="10">
        <f>Table1[[#This Row],[NET Amount]]-Table1[[#This Row],[Paid Amount]]</f>
        <v>234877</v>
      </c>
      <c r="P2346" s="2" t="s">
        <v>23</v>
      </c>
      <c r="Q2346" s="2" t="s">
        <v>47</v>
      </c>
      <c r="R2346" s="16">
        <f>(Table1[[#This Row],[NET Amount]]-Table1[[#This Row],[Total Outstanding Amount]])/Table1[[#This Row],[NET Amount]]</f>
        <v>1.382211790787214E-2</v>
      </c>
      <c r="S2346" s="2" t="s">
        <v>39</v>
      </c>
    </row>
    <row r="2347" spans="1:19" x14ac:dyDescent="0.3">
      <c r="A2347" s="4">
        <v>2345</v>
      </c>
      <c r="B2347" s="2" t="s">
        <v>25</v>
      </c>
      <c r="C2347" s="3">
        <v>44841</v>
      </c>
      <c r="D2347" s="3" t="str">
        <f>TEXT(Table1[[#This Row],[Admission Date]],"MMMM")</f>
        <v>October</v>
      </c>
      <c r="E2347" s="3">
        <v>44841</v>
      </c>
      <c r="F2347" s="3">
        <v>44841</v>
      </c>
      <c r="G2347" s="2">
        <v>22026067</v>
      </c>
      <c r="H2347" s="2">
        <v>2235101</v>
      </c>
      <c r="I2347" s="2">
        <v>10013513064</v>
      </c>
      <c r="J2347" s="2" t="s">
        <v>563</v>
      </c>
      <c r="K2347" s="10">
        <v>2844</v>
      </c>
      <c r="L2347" s="10">
        <v>277</v>
      </c>
      <c r="M2347" s="10">
        <v>2567</v>
      </c>
      <c r="N2347" s="10">
        <v>2567</v>
      </c>
      <c r="O2347" s="10">
        <f>Table1[[#This Row],[NET Amount]]-Table1[[#This Row],[Paid Amount]]</f>
        <v>0</v>
      </c>
      <c r="P2347" s="2" t="s">
        <v>18</v>
      </c>
      <c r="Q2347" s="2" t="s">
        <v>54</v>
      </c>
      <c r="R2347" s="16">
        <f>(Table1[[#This Row],[NET Amount]]-Table1[[#This Row],[Total Outstanding Amount]])/Table1[[#This Row],[NET Amount]]</f>
        <v>1</v>
      </c>
      <c r="S2347" s="2" t="s">
        <v>97</v>
      </c>
    </row>
    <row r="2348" spans="1:19" x14ac:dyDescent="0.3">
      <c r="A2348" s="4">
        <v>2346</v>
      </c>
      <c r="B2348" s="2" t="s">
        <v>25</v>
      </c>
      <c r="C2348" s="3">
        <v>44859</v>
      </c>
      <c r="D2348" s="3" t="str">
        <f>TEXT(Table1[[#This Row],[Admission Date]],"MMMM")</f>
        <v>October</v>
      </c>
      <c r="E2348" s="3">
        <v>44859</v>
      </c>
      <c r="F2348" s="3">
        <v>44859</v>
      </c>
      <c r="G2348" s="2">
        <v>22028529</v>
      </c>
      <c r="H2348" s="2">
        <v>2237342</v>
      </c>
      <c r="I2348" s="2">
        <v>1000890994</v>
      </c>
      <c r="J2348" s="2" t="s">
        <v>271</v>
      </c>
      <c r="K2348" s="10">
        <v>3488</v>
      </c>
      <c r="L2348" s="10">
        <v>287</v>
      </c>
      <c r="M2348" s="10">
        <v>3201</v>
      </c>
      <c r="N2348" s="10">
        <v>3201</v>
      </c>
      <c r="O2348" s="10">
        <f>Table1[[#This Row],[NET Amount]]-Table1[[#This Row],[Paid Amount]]</f>
        <v>0</v>
      </c>
      <c r="P2348" s="2" t="s">
        <v>18</v>
      </c>
      <c r="Q2348" s="2" t="s">
        <v>54</v>
      </c>
      <c r="R2348" s="16">
        <f>(Table1[[#This Row],[NET Amount]]-Table1[[#This Row],[Total Outstanding Amount]])/Table1[[#This Row],[NET Amount]]</f>
        <v>1</v>
      </c>
      <c r="S2348" s="2" t="s">
        <v>97</v>
      </c>
    </row>
    <row r="2349" spans="1:19" x14ac:dyDescent="0.3">
      <c r="A2349" s="4">
        <v>2347</v>
      </c>
      <c r="B2349" s="2" t="s">
        <v>25</v>
      </c>
      <c r="C2349" s="3">
        <v>44859</v>
      </c>
      <c r="D2349" s="3" t="str">
        <f>TEXT(Table1[[#This Row],[Admission Date]],"MMMM")</f>
        <v>October</v>
      </c>
      <c r="E2349" s="3">
        <v>44859</v>
      </c>
      <c r="F2349" s="3">
        <v>44859</v>
      </c>
      <c r="G2349" s="2">
        <v>22028556</v>
      </c>
      <c r="H2349" s="2">
        <v>2237375</v>
      </c>
      <c r="I2349" s="2">
        <v>10013352607</v>
      </c>
      <c r="J2349" s="2" t="s">
        <v>305</v>
      </c>
      <c r="K2349" s="10">
        <v>2844</v>
      </c>
      <c r="L2349" s="10">
        <v>310</v>
      </c>
      <c r="M2349" s="10">
        <v>2534</v>
      </c>
      <c r="N2349" s="10">
        <v>2534</v>
      </c>
      <c r="O2349" s="10">
        <f>Table1[[#This Row],[NET Amount]]-Table1[[#This Row],[Paid Amount]]</f>
        <v>0</v>
      </c>
      <c r="P2349" s="2" t="s">
        <v>18</v>
      </c>
      <c r="Q2349" s="2" t="s">
        <v>54</v>
      </c>
      <c r="R2349" s="16">
        <f>(Table1[[#This Row],[NET Amount]]-Table1[[#This Row],[Total Outstanding Amount]])/Table1[[#This Row],[NET Amount]]</f>
        <v>1</v>
      </c>
      <c r="S2349" s="2" t="s">
        <v>97</v>
      </c>
    </row>
    <row r="2350" spans="1:19" x14ac:dyDescent="0.3">
      <c r="A2350" s="4">
        <v>2348</v>
      </c>
      <c r="B2350" s="2" t="s">
        <v>155</v>
      </c>
      <c r="C2350" s="3">
        <v>44835</v>
      </c>
      <c r="D2350" s="3" t="str">
        <f>TEXT(Table1[[#This Row],[Admission Date]],"MMMM")</f>
        <v>October</v>
      </c>
      <c r="E2350" s="3">
        <v>44835</v>
      </c>
      <c r="F2350" s="3">
        <v>44835</v>
      </c>
      <c r="G2350" s="2">
        <v>22025261</v>
      </c>
      <c r="H2350" s="2">
        <v>2234285</v>
      </c>
      <c r="I2350" s="2">
        <v>1000915662</v>
      </c>
      <c r="J2350" s="2" t="s">
        <v>188</v>
      </c>
      <c r="K2350" s="10">
        <v>1610</v>
      </c>
      <c r="L2350" s="10">
        <v>0</v>
      </c>
      <c r="M2350" s="10">
        <v>1610</v>
      </c>
      <c r="N2350" s="10">
        <v>1610</v>
      </c>
      <c r="O2350" s="10">
        <f>Table1[[#This Row],[NET Amount]]-Table1[[#This Row],[Paid Amount]]</f>
        <v>0</v>
      </c>
      <c r="P2350" s="2" t="s">
        <v>18</v>
      </c>
      <c r="Q2350" s="2" t="s">
        <v>54</v>
      </c>
      <c r="R2350" s="16">
        <f>(Table1[[#This Row],[NET Amount]]-Table1[[#This Row],[Total Outstanding Amount]])/Table1[[#This Row],[NET Amount]]</f>
        <v>1</v>
      </c>
      <c r="S2350" s="2" t="s">
        <v>97</v>
      </c>
    </row>
    <row r="2351" spans="1:19" x14ac:dyDescent="0.3">
      <c r="A2351" s="4">
        <v>2349</v>
      </c>
      <c r="B2351" s="2" t="s">
        <v>25</v>
      </c>
      <c r="C2351" s="3">
        <v>44835</v>
      </c>
      <c r="D2351" s="3" t="str">
        <f>TEXT(Table1[[#This Row],[Admission Date]],"MMMM")</f>
        <v>October</v>
      </c>
      <c r="E2351" s="3">
        <v>44835</v>
      </c>
      <c r="F2351" s="3">
        <v>44835</v>
      </c>
      <c r="G2351" s="2">
        <v>22025264</v>
      </c>
      <c r="H2351" s="2">
        <v>2234284</v>
      </c>
      <c r="I2351" s="2">
        <v>10013499172</v>
      </c>
      <c r="J2351" s="2" t="s">
        <v>369</v>
      </c>
      <c r="K2351" s="10">
        <v>3288</v>
      </c>
      <c r="L2351" s="10">
        <v>3288</v>
      </c>
      <c r="M2351" s="10">
        <v>0</v>
      </c>
      <c r="N2351" s="10">
        <v>0</v>
      </c>
      <c r="O2351" s="10">
        <f>Table1[[#This Row],[NET Amount]]-Table1[[#This Row],[Paid Amount]]</f>
        <v>0</v>
      </c>
      <c r="P2351" s="2" t="s">
        <v>18</v>
      </c>
      <c r="Q2351" s="2" t="s">
        <v>90</v>
      </c>
      <c r="R2351" s="16" t="e">
        <f>(Table1[[#This Row],[NET Amount]]-Table1[[#This Row],[Total Outstanding Amount]])/Table1[[#This Row],[NET Amount]]</f>
        <v>#DIV/0!</v>
      </c>
      <c r="S2351" s="2" t="s">
        <v>97</v>
      </c>
    </row>
    <row r="2352" spans="1:19" x14ac:dyDescent="0.3">
      <c r="A2352" s="4">
        <v>2350</v>
      </c>
      <c r="B2352" s="2" t="s">
        <v>25</v>
      </c>
      <c r="C2352" s="3">
        <v>44846</v>
      </c>
      <c r="D2352" s="3" t="str">
        <f>TEXT(Table1[[#This Row],[Admission Date]],"MMMM")</f>
        <v>October</v>
      </c>
      <c r="E2352" s="3">
        <v>44848</v>
      </c>
      <c r="F2352" s="3">
        <v>44848</v>
      </c>
      <c r="G2352" s="2">
        <v>22026996</v>
      </c>
      <c r="H2352" s="2">
        <v>2235622</v>
      </c>
      <c r="I2352" s="2">
        <v>10013542604</v>
      </c>
      <c r="J2352" s="2" t="s">
        <v>1504</v>
      </c>
      <c r="K2352" s="10">
        <v>114283</v>
      </c>
      <c r="L2352" s="10">
        <v>14343</v>
      </c>
      <c r="M2352" s="10">
        <v>99940</v>
      </c>
      <c r="N2352" s="10">
        <v>99940</v>
      </c>
      <c r="O2352" s="10">
        <f>Table1[[#This Row],[NET Amount]]-Table1[[#This Row],[Paid Amount]]</f>
        <v>0</v>
      </c>
      <c r="P2352" s="2" t="s">
        <v>18</v>
      </c>
      <c r="Q2352" s="2" t="s">
        <v>30</v>
      </c>
      <c r="R2352" s="16">
        <f>(Table1[[#This Row],[NET Amount]]-Table1[[#This Row],[Total Outstanding Amount]])/Table1[[#This Row],[NET Amount]]</f>
        <v>1</v>
      </c>
      <c r="S2352" s="2" t="s">
        <v>27</v>
      </c>
    </row>
    <row r="2353" spans="1:19" x14ac:dyDescent="0.3">
      <c r="A2353" s="4">
        <v>2351</v>
      </c>
      <c r="B2353" s="2" t="s">
        <v>25</v>
      </c>
      <c r="C2353" s="3">
        <v>44842</v>
      </c>
      <c r="D2353" s="3" t="str">
        <f>TEXT(Table1[[#This Row],[Admission Date]],"MMMM")</f>
        <v>October</v>
      </c>
      <c r="E2353" s="3">
        <v>44848</v>
      </c>
      <c r="F2353" s="3">
        <v>44848</v>
      </c>
      <c r="G2353" s="2">
        <v>22027051</v>
      </c>
      <c r="H2353" s="2">
        <v>2235246</v>
      </c>
      <c r="I2353" s="2">
        <v>10013542244</v>
      </c>
      <c r="J2353" s="2" t="s">
        <v>1505</v>
      </c>
      <c r="K2353" s="10">
        <v>71099</v>
      </c>
      <c r="L2353" s="10">
        <v>26529</v>
      </c>
      <c r="M2353" s="10">
        <v>44570</v>
      </c>
      <c r="N2353" s="10">
        <v>44570</v>
      </c>
      <c r="O2353" s="10">
        <f>Table1[[#This Row],[NET Amount]]-Table1[[#This Row],[Paid Amount]]</f>
        <v>0</v>
      </c>
      <c r="P2353" s="2" t="s">
        <v>18</v>
      </c>
      <c r="Q2353" s="2" t="s">
        <v>24</v>
      </c>
      <c r="R2353" s="16">
        <f>(Table1[[#This Row],[NET Amount]]-Table1[[#This Row],[Total Outstanding Amount]])/Table1[[#This Row],[NET Amount]]</f>
        <v>1</v>
      </c>
      <c r="S2353" s="2" t="s">
        <v>32</v>
      </c>
    </row>
    <row r="2354" spans="1:19" x14ac:dyDescent="0.3">
      <c r="A2354" s="4">
        <v>2352</v>
      </c>
      <c r="B2354" s="2" t="s">
        <v>25</v>
      </c>
      <c r="C2354" s="3">
        <v>44842</v>
      </c>
      <c r="D2354" s="3" t="str">
        <f>TEXT(Table1[[#This Row],[Admission Date]],"MMMM")</f>
        <v>October</v>
      </c>
      <c r="E2354" s="3">
        <v>44847</v>
      </c>
      <c r="F2354" s="3">
        <v>44847</v>
      </c>
      <c r="G2354" s="2">
        <v>22026855</v>
      </c>
      <c r="H2354" s="2">
        <v>2235248</v>
      </c>
      <c r="I2354" s="2">
        <v>10013542245</v>
      </c>
      <c r="J2354" s="2" t="s">
        <v>1506</v>
      </c>
      <c r="K2354" s="10">
        <v>56875</v>
      </c>
      <c r="L2354" s="10">
        <v>6956</v>
      </c>
      <c r="M2354" s="10">
        <v>49919</v>
      </c>
      <c r="N2354" s="10">
        <v>49919</v>
      </c>
      <c r="O2354" s="10">
        <f>Table1[[#This Row],[NET Amount]]-Table1[[#This Row],[Paid Amount]]</f>
        <v>0</v>
      </c>
      <c r="P2354" s="2" t="s">
        <v>18</v>
      </c>
      <c r="Q2354" s="2" t="s">
        <v>24</v>
      </c>
      <c r="R2354" s="16">
        <f>(Table1[[#This Row],[NET Amount]]-Table1[[#This Row],[Total Outstanding Amount]])/Table1[[#This Row],[NET Amount]]</f>
        <v>1</v>
      </c>
      <c r="S2354" s="2" t="s">
        <v>20</v>
      </c>
    </row>
    <row r="2355" spans="1:19" x14ac:dyDescent="0.3">
      <c r="A2355" s="4">
        <v>2353</v>
      </c>
      <c r="B2355" s="2" t="s">
        <v>520</v>
      </c>
      <c r="C2355" s="3">
        <v>44843</v>
      </c>
      <c r="D2355" s="3" t="str">
        <f>TEXT(Table1[[#This Row],[Admission Date]],"MMMM")</f>
        <v>October</v>
      </c>
      <c r="E2355" s="3">
        <v>44847</v>
      </c>
      <c r="F2355" s="3">
        <v>44847</v>
      </c>
      <c r="G2355" s="2">
        <v>22026918</v>
      </c>
      <c r="H2355" s="2">
        <v>2235297</v>
      </c>
      <c r="I2355" s="2">
        <v>1001327120</v>
      </c>
      <c r="J2355" s="2" t="s">
        <v>1507</v>
      </c>
      <c r="K2355" s="10">
        <v>36592</v>
      </c>
      <c r="L2355" s="10">
        <v>0</v>
      </c>
      <c r="M2355" s="10">
        <v>36592</v>
      </c>
      <c r="N2355" s="10">
        <v>36592</v>
      </c>
      <c r="O2355" s="10">
        <f>Table1[[#This Row],[NET Amount]]-Table1[[#This Row],[Paid Amount]]</f>
        <v>0</v>
      </c>
      <c r="P2355" s="2" t="s">
        <v>18</v>
      </c>
      <c r="Q2355" s="2" t="s">
        <v>30</v>
      </c>
      <c r="R2355" s="16">
        <f>(Table1[[#This Row],[NET Amount]]-Table1[[#This Row],[Total Outstanding Amount]])/Table1[[#This Row],[NET Amount]]</f>
        <v>1</v>
      </c>
      <c r="S2355" s="2" t="s">
        <v>20</v>
      </c>
    </row>
    <row r="2356" spans="1:19" x14ac:dyDescent="0.3">
      <c r="A2356" s="4">
        <v>2354</v>
      </c>
      <c r="B2356" s="2" t="s">
        <v>25</v>
      </c>
      <c r="C2356" s="3">
        <v>44849</v>
      </c>
      <c r="D2356" s="3" t="str">
        <f>TEXT(Table1[[#This Row],[Admission Date]],"MMMM")</f>
        <v>October</v>
      </c>
      <c r="E2356" s="3">
        <v>44851</v>
      </c>
      <c r="F2356" s="3">
        <v>44851</v>
      </c>
      <c r="G2356" s="2">
        <v>22027393</v>
      </c>
      <c r="H2356" s="2">
        <v>2236109</v>
      </c>
      <c r="I2356" s="2">
        <v>1001804496</v>
      </c>
      <c r="J2356" s="2" t="s">
        <v>1508</v>
      </c>
      <c r="K2356" s="10">
        <v>12699</v>
      </c>
      <c r="L2356" s="10">
        <v>1739</v>
      </c>
      <c r="M2356" s="10">
        <v>10960</v>
      </c>
      <c r="N2356" s="10">
        <v>10960</v>
      </c>
      <c r="O2356" s="10">
        <f>Table1[[#This Row],[NET Amount]]-Table1[[#This Row],[Paid Amount]]</f>
        <v>0</v>
      </c>
      <c r="P2356" s="2" t="s">
        <v>18</v>
      </c>
      <c r="Q2356" s="2" t="s">
        <v>19</v>
      </c>
      <c r="R2356" s="16">
        <f>(Table1[[#This Row],[NET Amount]]-Table1[[#This Row],[Total Outstanding Amount]])/Table1[[#This Row],[NET Amount]]</f>
        <v>1</v>
      </c>
      <c r="S2356" s="2" t="s">
        <v>37</v>
      </c>
    </row>
    <row r="2357" spans="1:19" x14ac:dyDescent="0.3">
      <c r="A2357" s="4">
        <v>2355</v>
      </c>
      <c r="B2357" s="2" t="s">
        <v>25</v>
      </c>
      <c r="C2357" s="3">
        <v>44848</v>
      </c>
      <c r="D2357" s="3" t="str">
        <f>TEXT(Table1[[#This Row],[Admission Date]],"MMMM")</f>
        <v>October</v>
      </c>
      <c r="E2357" s="3">
        <v>44851</v>
      </c>
      <c r="F2357" s="3">
        <v>44851</v>
      </c>
      <c r="G2357" s="2">
        <v>22027383</v>
      </c>
      <c r="H2357" s="2">
        <v>2236051</v>
      </c>
      <c r="I2357" s="2">
        <v>1001804415</v>
      </c>
      <c r="J2357" s="2" t="s">
        <v>1509</v>
      </c>
      <c r="K2357" s="10">
        <v>89412</v>
      </c>
      <c r="L2357" s="10">
        <v>11258</v>
      </c>
      <c r="M2357" s="10">
        <v>78154</v>
      </c>
      <c r="N2357" s="10">
        <v>78154</v>
      </c>
      <c r="O2357" s="10">
        <f>Table1[[#This Row],[NET Amount]]-Table1[[#This Row],[Paid Amount]]</f>
        <v>0</v>
      </c>
      <c r="P2357" s="2" t="s">
        <v>18</v>
      </c>
      <c r="Q2357" s="2" t="s">
        <v>19</v>
      </c>
      <c r="R2357" s="16">
        <f>(Table1[[#This Row],[NET Amount]]-Table1[[#This Row],[Total Outstanding Amount]])/Table1[[#This Row],[NET Amount]]</f>
        <v>1</v>
      </c>
      <c r="S2357" s="2" t="s">
        <v>27</v>
      </c>
    </row>
    <row r="2358" spans="1:19" x14ac:dyDescent="0.3">
      <c r="A2358" s="4">
        <v>2356</v>
      </c>
      <c r="B2358" s="2" t="s">
        <v>25</v>
      </c>
      <c r="C2358" s="3">
        <v>44850</v>
      </c>
      <c r="D2358" s="3" t="str">
        <f>TEXT(Table1[[#This Row],[Admission Date]],"MMMM")</f>
        <v>October</v>
      </c>
      <c r="E2358" s="3">
        <v>44852</v>
      </c>
      <c r="F2358" s="3">
        <v>44852</v>
      </c>
      <c r="G2358" s="2">
        <v>22027558</v>
      </c>
      <c r="H2358" s="2">
        <v>2236246</v>
      </c>
      <c r="I2358" s="2">
        <v>10013543272</v>
      </c>
      <c r="J2358" s="2" t="s">
        <v>1510</v>
      </c>
      <c r="K2358" s="10">
        <v>46326</v>
      </c>
      <c r="L2358" s="10">
        <v>5842</v>
      </c>
      <c r="M2358" s="10">
        <v>40484</v>
      </c>
      <c r="N2358" s="10">
        <v>40484</v>
      </c>
      <c r="O2358" s="10">
        <f>Table1[[#This Row],[NET Amount]]-Table1[[#This Row],[Paid Amount]]</f>
        <v>0</v>
      </c>
      <c r="P2358" s="2" t="s">
        <v>18</v>
      </c>
      <c r="Q2358" s="2" t="s">
        <v>24</v>
      </c>
      <c r="R2358" s="16">
        <f>(Table1[[#This Row],[NET Amount]]-Table1[[#This Row],[Total Outstanding Amount]])/Table1[[#This Row],[NET Amount]]</f>
        <v>1</v>
      </c>
      <c r="S2358" s="2" t="s">
        <v>20</v>
      </c>
    </row>
    <row r="2359" spans="1:19" x14ac:dyDescent="0.3">
      <c r="A2359" s="4">
        <v>2357</v>
      </c>
      <c r="B2359" s="2" t="s">
        <v>50</v>
      </c>
      <c r="C2359" s="3">
        <v>44844</v>
      </c>
      <c r="D2359" s="3" t="str">
        <f>TEXT(Table1[[#This Row],[Admission Date]],"MMMM")</f>
        <v>October</v>
      </c>
      <c r="E2359" s="3">
        <v>44844</v>
      </c>
      <c r="F2359" s="3">
        <v>44844</v>
      </c>
      <c r="G2359" s="2">
        <v>22026394</v>
      </c>
      <c r="H2359" s="2">
        <v>2235370</v>
      </c>
      <c r="I2359" s="2">
        <v>1001206152</v>
      </c>
      <c r="J2359" s="2" t="s">
        <v>375</v>
      </c>
      <c r="K2359" s="10">
        <v>2200</v>
      </c>
      <c r="L2359" s="10">
        <v>0</v>
      </c>
      <c r="M2359" s="10">
        <v>2200</v>
      </c>
      <c r="N2359" s="10">
        <v>440</v>
      </c>
      <c r="O2359" s="10">
        <f>Table1[[#This Row],[NET Amount]]-Table1[[#This Row],[Paid Amount]]</f>
        <v>1760</v>
      </c>
      <c r="P2359" s="2" t="s">
        <v>23</v>
      </c>
      <c r="Q2359" s="2" t="s">
        <v>147</v>
      </c>
      <c r="R2359" s="16">
        <f>(Table1[[#This Row],[NET Amount]]-Table1[[#This Row],[Total Outstanding Amount]])/Table1[[#This Row],[NET Amount]]</f>
        <v>0.2</v>
      </c>
      <c r="S2359" s="2" t="s">
        <v>97</v>
      </c>
    </row>
    <row r="2360" spans="1:19" x14ac:dyDescent="0.3">
      <c r="A2360" s="4">
        <v>2358</v>
      </c>
      <c r="B2360" s="2" t="s">
        <v>25</v>
      </c>
      <c r="C2360" s="3">
        <v>44844</v>
      </c>
      <c r="D2360" s="3" t="str">
        <f>TEXT(Table1[[#This Row],[Admission Date]],"MMMM")</f>
        <v>October</v>
      </c>
      <c r="E2360" s="3">
        <v>44844</v>
      </c>
      <c r="F2360" s="3">
        <v>44844</v>
      </c>
      <c r="G2360" s="2">
        <v>22026392</v>
      </c>
      <c r="H2360" s="2">
        <v>2235373</v>
      </c>
      <c r="I2360" s="2">
        <v>10013513064</v>
      </c>
      <c r="J2360" s="2" t="s">
        <v>563</v>
      </c>
      <c r="K2360" s="10">
        <v>2844</v>
      </c>
      <c r="L2360" s="10">
        <v>286</v>
      </c>
      <c r="M2360" s="10">
        <v>2558</v>
      </c>
      <c r="N2360" s="10">
        <v>2558</v>
      </c>
      <c r="O2360" s="10">
        <f>Table1[[#This Row],[NET Amount]]-Table1[[#This Row],[Paid Amount]]</f>
        <v>0</v>
      </c>
      <c r="P2360" s="2" t="s">
        <v>18</v>
      </c>
      <c r="Q2360" s="2" t="s">
        <v>54</v>
      </c>
      <c r="R2360" s="16">
        <f>(Table1[[#This Row],[NET Amount]]-Table1[[#This Row],[Total Outstanding Amount]])/Table1[[#This Row],[NET Amount]]</f>
        <v>1</v>
      </c>
      <c r="S2360" s="2" t="s">
        <v>97</v>
      </c>
    </row>
    <row r="2361" spans="1:19" x14ac:dyDescent="0.3">
      <c r="A2361" s="4">
        <v>2359</v>
      </c>
      <c r="B2361" s="2" t="s">
        <v>35</v>
      </c>
      <c r="C2361" s="3">
        <v>44853</v>
      </c>
      <c r="D2361" s="3" t="str">
        <f>TEXT(Table1[[#This Row],[Admission Date]],"MMMM")</f>
        <v>October</v>
      </c>
      <c r="E2361" s="3">
        <v>44853</v>
      </c>
      <c r="F2361" s="3">
        <v>44853</v>
      </c>
      <c r="G2361" s="2">
        <v>22027645</v>
      </c>
      <c r="H2361" s="2">
        <v>2236587</v>
      </c>
      <c r="I2361" s="2">
        <v>10013540183</v>
      </c>
      <c r="J2361" s="2" t="s">
        <v>99</v>
      </c>
      <c r="K2361" s="10">
        <v>1610</v>
      </c>
      <c r="L2361" s="10">
        <v>0</v>
      </c>
      <c r="M2361" s="10">
        <v>1610</v>
      </c>
      <c r="N2361" s="10">
        <v>1610</v>
      </c>
      <c r="O2361" s="10">
        <f>Table1[[#This Row],[NET Amount]]-Table1[[#This Row],[Paid Amount]]</f>
        <v>0</v>
      </c>
      <c r="P2361" s="2" t="s">
        <v>18</v>
      </c>
      <c r="Q2361" s="2" t="s">
        <v>54</v>
      </c>
      <c r="R2361" s="16">
        <f>(Table1[[#This Row],[NET Amount]]-Table1[[#This Row],[Total Outstanding Amount]])/Table1[[#This Row],[NET Amount]]</f>
        <v>1</v>
      </c>
      <c r="S2361" s="2" t="s">
        <v>97</v>
      </c>
    </row>
    <row r="2362" spans="1:19" x14ac:dyDescent="0.3">
      <c r="A2362" s="4">
        <v>2360</v>
      </c>
      <c r="B2362" s="2" t="s">
        <v>117</v>
      </c>
      <c r="C2362" s="3">
        <v>44844</v>
      </c>
      <c r="D2362" s="3" t="str">
        <f>TEXT(Table1[[#This Row],[Admission Date]],"MMMM")</f>
        <v>October</v>
      </c>
      <c r="E2362" s="3">
        <v>44845</v>
      </c>
      <c r="F2362" s="3">
        <v>44845</v>
      </c>
      <c r="G2362" s="2">
        <v>22026529</v>
      </c>
      <c r="H2362" s="2">
        <v>2235320</v>
      </c>
      <c r="I2362" s="2">
        <v>10013541109</v>
      </c>
      <c r="J2362" s="2" t="s">
        <v>1511</v>
      </c>
      <c r="K2362" s="10">
        <v>29108</v>
      </c>
      <c r="L2362" s="10">
        <v>0</v>
      </c>
      <c r="M2362" s="10">
        <v>29108</v>
      </c>
      <c r="N2362" s="10">
        <v>29108</v>
      </c>
      <c r="O2362" s="10">
        <f>Table1[[#This Row],[NET Amount]]-Table1[[#This Row],[Paid Amount]]</f>
        <v>0</v>
      </c>
      <c r="P2362" s="2" t="s">
        <v>18</v>
      </c>
      <c r="Q2362" s="2" t="s">
        <v>24</v>
      </c>
      <c r="R2362" s="16">
        <f>(Table1[[#This Row],[NET Amount]]-Table1[[#This Row],[Total Outstanding Amount]])/Table1[[#This Row],[NET Amount]]</f>
        <v>1</v>
      </c>
      <c r="S2362" s="2" t="s">
        <v>77</v>
      </c>
    </row>
    <row r="2363" spans="1:19" x14ac:dyDescent="0.3">
      <c r="A2363" s="4">
        <v>2361</v>
      </c>
      <c r="B2363" s="2" t="s">
        <v>117</v>
      </c>
      <c r="C2363" s="3">
        <v>44850</v>
      </c>
      <c r="D2363" s="3" t="str">
        <f>TEXT(Table1[[#This Row],[Admission Date]],"MMMM")</f>
        <v>October</v>
      </c>
      <c r="E2363" s="3">
        <v>44857</v>
      </c>
      <c r="F2363" s="3">
        <v>44857</v>
      </c>
      <c r="G2363" s="2">
        <v>22028356</v>
      </c>
      <c r="H2363" s="2">
        <v>2236236</v>
      </c>
      <c r="I2363" s="2">
        <v>10013517751</v>
      </c>
      <c r="J2363" s="2" t="s">
        <v>1512</v>
      </c>
      <c r="K2363" s="10">
        <v>116084</v>
      </c>
      <c r="L2363" s="10">
        <v>0</v>
      </c>
      <c r="M2363" s="10">
        <v>116084</v>
      </c>
      <c r="N2363" s="10">
        <v>116084</v>
      </c>
      <c r="O2363" s="10">
        <f>Table1[[#This Row],[NET Amount]]-Table1[[#This Row],[Paid Amount]]</f>
        <v>0</v>
      </c>
      <c r="P2363" s="2" t="s">
        <v>18</v>
      </c>
      <c r="Q2363" s="2" t="s">
        <v>30</v>
      </c>
      <c r="R2363" s="16">
        <f>(Table1[[#This Row],[NET Amount]]-Table1[[#This Row],[Total Outstanding Amount]])/Table1[[#This Row],[NET Amount]]</f>
        <v>1</v>
      </c>
      <c r="S2363" s="2" t="s">
        <v>20</v>
      </c>
    </row>
    <row r="2364" spans="1:19" x14ac:dyDescent="0.3">
      <c r="A2364" s="4">
        <v>2362</v>
      </c>
      <c r="B2364" s="2" t="s">
        <v>25</v>
      </c>
      <c r="C2364" s="3">
        <v>44837</v>
      </c>
      <c r="D2364" s="3" t="str">
        <f>TEXT(Table1[[#This Row],[Admission Date]],"MMMM")</f>
        <v>October</v>
      </c>
      <c r="E2364" s="3">
        <v>44837</v>
      </c>
      <c r="F2364" s="3">
        <v>44837</v>
      </c>
      <c r="G2364" s="2">
        <v>22025434</v>
      </c>
      <c r="H2364" s="2">
        <v>2234424</v>
      </c>
      <c r="I2364" s="2">
        <v>10013518452</v>
      </c>
      <c r="J2364" s="2" t="s">
        <v>648</v>
      </c>
      <c r="K2364" s="10">
        <v>4990</v>
      </c>
      <c r="L2364" s="10">
        <v>434</v>
      </c>
      <c r="M2364" s="10">
        <v>4556</v>
      </c>
      <c r="N2364" s="10">
        <v>4556</v>
      </c>
      <c r="O2364" s="10">
        <f>Table1[[#This Row],[NET Amount]]-Table1[[#This Row],[Paid Amount]]</f>
        <v>0</v>
      </c>
      <c r="P2364" s="2" t="s">
        <v>18</v>
      </c>
      <c r="Q2364" s="2" t="s">
        <v>54</v>
      </c>
      <c r="R2364" s="16">
        <f>(Table1[[#This Row],[NET Amount]]-Table1[[#This Row],[Total Outstanding Amount]])/Table1[[#This Row],[NET Amount]]</f>
        <v>1</v>
      </c>
      <c r="S2364" s="2" t="s">
        <v>97</v>
      </c>
    </row>
    <row r="2365" spans="1:19" x14ac:dyDescent="0.3">
      <c r="A2365" s="4">
        <v>2363</v>
      </c>
      <c r="B2365" s="2" t="s">
        <v>25</v>
      </c>
      <c r="C2365" s="3">
        <v>44852</v>
      </c>
      <c r="D2365" s="3" t="str">
        <f>TEXT(Table1[[#This Row],[Admission Date]],"MMMM")</f>
        <v>October</v>
      </c>
      <c r="E2365" s="3">
        <v>44855</v>
      </c>
      <c r="F2365" s="3">
        <v>44855</v>
      </c>
      <c r="G2365" s="2">
        <v>22028036</v>
      </c>
      <c r="H2365" s="2">
        <v>2236556</v>
      </c>
      <c r="I2365" s="2">
        <v>1001805136</v>
      </c>
      <c r="J2365" s="2" t="s">
        <v>1513</v>
      </c>
      <c r="K2365" s="10">
        <v>248230</v>
      </c>
      <c r="L2365" s="10">
        <v>41064</v>
      </c>
      <c r="M2365" s="10">
        <v>207166</v>
      </c>
      <c r="N2365" s="10">
        <v>207166</v>
      </c>
      <c r="O2365" s="10">
        <f>Table1[[#This Row],[NET Amount]]-Table1[[#This Row],[Paid Amount]]</f>
        <v>0</v>
      </c>
      <c r="P2365" s="2" t="s">
        <v>18</v>
      </c>
      <c r="Q2365" s="2" t="s">
        <v>69</v>
      </c>
      <c r="R2365" s="16">
        <f>(Table1[[#This Row],[NET Amount]]-Table1[[#This Row],[Total Outstanding Amount]])/Table1[[#This Row],[NET Amount]]</f>
        <v>1</v>
      </c>
      <c r="S2365" s="2" t="s">
        <v>39</v>
      </c>
    </row>
    <row r="2366" spans="1:19" x14ac:dyDescent="0.3">
      <c r="A2366" s="4">
        <v>2364</v>
      </c>
      <c r="B2366" s="2" t="s">
        <v>155</v>
      </c>
      <c r="C2366" s="3">
        <v>44844</v>
      </c>
      <c r="D2366" s="3" t="str">
        <f>TEXT(Table1[[#This Row],[Admission Date]],"MMMM")</f>
        <v>October</v>
      </c>
      <c r="E2366" s="3">
        <v>44844</v>
      </c>
      <c r="F2366" s="3">
        <v>44844</v>
      </c>
      <c r="G2366" s="2">
        <v>22026332</v>
      </c>
      <c r="H2366" s="2">
        <v>2235334</v>
      </c>
      <c r="I2366" s="2">
        <v>10013269857</v>
      </c>
      <c r="J2366" s="2" t="s">
        <v>175</v>
      </c>
      <c r="K2366" s="10">
        <v>1610</v>
      </c>
      <c r="L2366" s="10">
        <v>0</v>
      </c>
      <c r="M2366" s="10">
        <v>1610</v>
      </c>
      <c r="N2366" s="10">
        <v>1610</v>
      </c>
      <c r="O2366" s="10">
        <f>Table1[[#This Row],[NET Amount]]-Table1[[#This Row],[Paid Amount]]</f>
        <v>0</v>
      </c>
      <c r="P2366" s="2" t="s">
        <v>18</v>
      </c>
      <c r="Q2366" s="2" t="s">
        <v>54</v>
      </c>
      <c r="R2366" s="16">
        <f>(Table1[[#This Row],[NET Amount]]-Table1[[#This Row],[Total Outstanding Amount]])/Table1[[#This Row],[NET Amount]]</f>
        <v>1</v>
      </c>
      <c r="S2366" s="2" t="s">
        <v>97</v>
      </c>
    </row>
    <row r="2367" spans="1:19" x14ac:dyDescent="0.3">
      <c r="A2367" s="4">
        <v>2365</v>
      </c>
      <c r="B2367" s="2" t="s">
        <v>155</v>
      </c>
      <c r="C2367" s="3">
        <v>44844</v>
      </c>
      <c r="D2367" s="3" t="str">
        <f>TEXT(Table1[[#This Row],[Admission Date]],"MMMM")</f>
        <v>October</v>
      </c>
      <c r="E2367" s="3">
        <v>44844</v>
      </c>
      <c r="F2367" s="3">
        <v>44844</v>
      </c>
      <c r="G2367" s="2">
        <v>22026327</v>
      </c>
      <c r="H2367" s="2">
        <v>2235329</v>
      </c>
      <c r="I2367" s="2">
        <v>10013521425</v>
      </c>
      <c r="J2367" s="2" t="s">
        <v>156</v>
      </c>
      <c r="K2367" s="10">
        <v>1610</v>
      </c>
      <c r="L2367" s="10">
        <v>0</v>
      </c>
      <c r="M2367" s="10">
        <v>1610</v>
      </c>
      <c r="N2367" s="10">
        <v>1610</v>
      </c>
      <c r="O2367" s="10">
        <f>Table1[[#This Row],[NET Amount]]-Table1[[#This Row],[Paid Amount]]</f>
        <v>0</v>
      </c>
      <c r="P2367" s="2" t="s">
        <v>18</v>
      </c>
      <c r="Q2367" s="2" t="s">
        <v>54</v>
      </c>
      <c r="R2367" s="16">
        <f>(Table1[[#This Row],[NET Amount]]-Table1[[#This Row],[Total Outstanding Amount]])/Table1[[#This Row],[NET Amount]]</f>
        <v>1</v>
      </c>
      <c r="S2367" s="2" t="s">
        <v>97</v>
      </c>
    </row>
    <row r="2368" spans="1:19" x14ac:dyDescent="0.3">
      <c r="A2368" s="4">
        <v>2366</v>
      </c>
      <c r="B2368" s="2" t="s">
        <v>2274</v>
      </c>
      <c r="C2368" s="3">
        <v>44837</v>
      </c>
      <c r="D2368" s="3" t="str">
        <f>TEXT(Table1[[#This Row],[Admission Date]],"MMMM")</f>
        <v>October</v>
      </c>
      <c r="E2368" s="3">
        <v>44840</v>
      </c>
      <c r="F2368" s="3">
        <v>44840</v>
      </c>
      <c r="G2368" s="2">
        <v>22025877</v>
      </c>
      <c r="H2368" s="2">
        <v>2234434</v>
      </c>
      <c r="I2368" s="2">
        <v>1001802230</v>
      </c>
      <c r="J2368" s="2" t="s">
        <v>1514</v>
      </c>
      <c r="K2368" s="10">
        <v>45657</v>
      </c>
      <c r="L2368" s="10">
        <v>5782</v>
      </c>
      <c r="M2368" s="10">
        <v>39875</v>
      </c>
      <c r="N2368" s="10">
        <v>9431</v>
      </c>
      <c r="O2368" s="10">
        <f>Table1[[#This Row],[NET Amount]]-Table1[[#This Row],[Paid Amount]]</f>
        <v>30444</v>
      </c>
      <c r="P2368" s="2" t="s">
        <v>23</v>
      </c>
      <c r="Q2368" s="2" t="s">
        <v>24</v>
      </c>
      <c r="R2368" s="16">
        <f>(Table1[[#This Row],[NET Amount]]-Table1[[#This Row],[Total Outstanding Amount]])/Table1[[#This Row],[NET Amount]]</f>
        <v>0.23651410658307209</v>
      </c>
      <c r="S2368" s="2" t="s">
        <v>20</v>
      </c>
    </row>
    <row r="2369" spans="1:19" x14ac:dyDescent="0.3">
      <c r="A2369" s="4">
        <v>2367</v>
      </c>
      <c r="B2369" s="2" t="s">
        <v>2251</v>
      </c>
      <c r="C2369" s="3">
        <v>44846</v>
      </c>
      <c r="D2369" s="3" t="str">
        <f>TEXT(Table1[[#This Row],[Admission Date]],"MMMM")</f>
        <v>October</v>
      </c>
      <c r="E2369" s="3">
        <v>44854</v>
      </c>
      <c r="F2369" s="3">
        <v>44854</v>
      </c>
      <c r="G2369" s="2">
        <v>22027922</v>
      </c>
      <c r="H2369" s="2">
        <v>2235620</v>
      </c>
      <c r="I2369" s="2">
        <v>1001781827</v>
      </c>
      <c r="J2369" s="2" t="s">
        <v>1515</v>
      </c>
      <c r="K2369" s="10">
        <v>141731</v>
      </c>
      <c r="L2369" s="10">
        <v>16262</v>
      </c>
      <c r="M2369" s="10">
        <v>125469</v>
      </c>
      <c r="N2369" s="10">
        <v>3250</v>
      </c>
      <c r="O2369" s="10">
        <f>Table1[[#This Row],[NET Amount]]-Table1[[#This Row],[Paid Amount]]</f>
        <v>122219</v>
      </c>
      <c r="P2369" s="2" t="s">
        <v>23</v>
      </c>
      <c r="Q2369" s="2" t="s">
        <v>42</v>
      </c>
      <c r="R2369" s="16">
        <f>(Table1[[#This Row],[NET Amount]]-Table1[[#This Row],[Total Outstanding Amount]])/Table1[[#This Row],[NET Amount]]</f>
        <v>2.5902812646948648E-2</v>
      </c>
      <c r="S2369" s="2" t="s">
        <v>20</v>
      </c>
    </row>
    <row r="2370" spans="1:19" x14ac:dyDescent="0.3">
      <c r="A2370" s="4">
        <v>2368</v>
      </c>
      <c r="B2370" s="2" t="s">
        <v>117</v>
      </c>
      <c r="C2370" s="3">
        <v>44855</v>
      </c>
      <c r="D2370" s="3" t="str">
        <f>TEXT(Table1[[#This Row],[Admission Date]],"MMMM")</f>
        <v>October</v>
      </c>
      <c r="E2370" s="3">
        <v>44855</v>
      </c>
      <c r="F2370" s="3">
        <v>44855</v>
      </c>
      <c r="G2370" s="2">
        <v>22027963</v>
      </c>
      <c r="H2370" s="2">
        <v>2236863</v>
      </c>
      <c r="I2370" s="2">
        <v>10013461113</v>
      </c>
      <c r="J2370" s="2" t="s">
        <v>308</v>
      </c>
      <c r="K2370" s="10">
        <v>2064</v>
      </c>
      <c r="L2370" s="10">
        <v>0</v>
      </c>
      <c r="M2370" s="10">
        <v>2064</v>
      </c>
      <c r="N2370" s="10">
        <v>2064</v>
      </c>
      <c r="O2370" s="10">
        <f>Table1[[#This Row],[NET Amount]]-Table1[[#This Row],[Paid Amount]]</f>
        <v>0</v>
      </c>
      <c r="P2370" s="2" t="s">
        <v>18</v>
      </c>
      <c r="Q2370" s="2" t="s">
        <v>54</v>
      </c>
      <c r="R2370" s="16">
        <f>(Table1[[#This Row],[NET Amount]]-Table1[[#This Row],[Total Outstanding Amount]])/Table1[[#This Row],[NET Amount]]</f>
        <v>1</v>
      </c>
      <c r="S2370" s="2" t="s">
        <v>97</v>
      </c>
    </row>
    <row r="2371" spans="1:19" x14ac:dyDescent="0.3">
      <c r="A2371" s="4">
        <v>2369</v>
      </c>
      <c r="B2371" s="2" t="s">
        <v>50</v>
      </c>
      <c r="C2371" s="3">
        <v>44845</v>
      </c>
      <c r="D2371" s="3" t="str">
        <f>TEXT(Table1[[#This Row],[Admission Date]],"MMMM")</f>
        <v>October</v>
      </c>
      <c r="E2371" s="3">
        <v>44845</v>
      </c>
      <c r="F2371" s="3">
        <v>44845</v>
      </c>
      <c r="G2371" s="2">
        <v>22026575</v>
      </c>
      <c r="H2371" s="2">
        <v>2235500</v>
      </c>
      <c r="I2371" s="2">
        <v>1000891498</v>
      </c>
      <c r="J2371" s="2" t="s">
        <v>299</v>
      </c>
      <c r="K2371" s="10">
        <v>2200</v>
      </c>
      <c r="L2371" s="10">
        <v>0</v>
      </c>
      <c r="M2371" s="10">
        <v>2200</v>
      </c>
      <c r="N2371" s="10">
        <v>440</v>
      </c>
      <c r="O2371" s="10">
        <f>Table1[[#This Row],[NET Amount]]-Table1[[#This Row],[Paid Amount]]</f>
        <v>1760</v>
      </c>
      <c r="P2371" s="2" t="s">
        <v>23</v>
      </c>
      <c r="Q2371" s="2" t="s">
        <v>147</v>
      </c>
      <c r="R2371" s="16">
        <f>(Table1[[#This Row],[NET Amount]]-Table1[[#This Row],[Total Outstanding Amount]])/Table1[[#This Row],[NET Amount]]</f>
        <v>0.2</v>
      </c>
      <c r="S2371" s="2" t="s">
        <v>97</v>
      </c>
    </row>
    <row r="2372" spans="1:19" x14ac:dyDescent="0.3">
      <c r="A2372" s="4">
        <v>2370</v>
      </c>
      <c r="B2372" s="2" t="s">
        <v>40</v>
      </c>
      <c r="C2372" s="3">
        <v>44855</v>
      </c>
      <c r="D2372" s="3" t="str">
        <f>TEXT(Table1[[#This Row],[Admission Date]],"MMMM")</f>
        <v>October</v>
      </c>
      <c r="E2372" s="3">
        <v>44855</v>
      </c>
      <c r="F2372" s="3">
        <v>44855</v>
      </c>
      <c r="G2372" s="2">
        <v>22028027</v>
      </c>
      <c r="H2372" s="2">
        <v>2236903</v>
      </c>
      <c r="I2372" s="2">
        <v>1001300227</v>
      </c>
      <c r="J2372" s="2" t="s">
        <v>202</v>
      </c>
      <c r="K2372" s="10">
        <v>2200</v>
      </c>
      <c r="L2372" s="10">
        <v>0</v>
      </c>
      <c r="M2372" s="10">
        <v>2200</v>
      </c>
      <c r="N2372" s="10">
        <v>2200</v>
      </c>
      <c r="O2372" s="10">
        <f>Table1[[#This Row],[NET Amount]]-Table1[[#This Row],[Paid Amount]]</f>
        <v>0</v>
      </c>
      <c r="P2372" s="2" t="s">
        <v>18</v>
      </c>
      <c r="Q2372" s="2" t="s">
        <v>147</v>
      </c>
      <c r="R2372" s="16">
        <f>(Table1[[#This Row],[NET Amount]]-Table1[[#This Row],[Total Outstanding Amount]])/Table1[[#This Row],[NET Amount]]</f>
        <v>1</v>
      </c>
      <c r="S2372" s="2" t="s">
        <v>97</v>
      </c>
    </row>
    <row r="2373" spans="1:19" x14ac:dyDescent="0.3">
      <c r="A2373" s="4">
        <v>2371</v>
      </c>
      <c r="B2373" s="2" t="s">
        <v>75</v>
      </c>
      <c r="C2373" s="3">
        <v>44840</v>
      </c>
      <c r="D2373" s="3" t="str">
        <f>TEXT(Table1[[#This Row],[Admission Date]],"MMMM")</f>
        <v>October</v>
      </c>
      <c r="E2373" s="3">
        <v>44847</v>
      </c>
      <c r="F2373" s="3">
        <v>44847</v>
      </c>
      <c r="G2373" s="2">
        <v>22026908</v>
      </c>
      <c r="H2373" s="2">
        <v>2234854</v>
      </c>
      <c r="I2373" s="2">
        <v>10013326446</v>
      </c>
      <c r="J2373" s="2" t="s">
        <v>1516</v>
      </c>
      <c r="K2373" s="10">
        <v>87793</v>
      </c>
      <c r="L2373" s="10">
        <v>0</v>
      </c>
      <c r="M2373" s="10">
        <v>87793</v>
      </c>
      <c r="N2373" s="10">
        <v>2147</v>
      </c>
      <c r="O2373" s="10">
        <f>Table1[[#This Row],[NET Amount]]-Table1[[#This Row],[Paid Amount]]</f>
        <v>85646</v>
      </c>
      <c r="P2373" s="2" t="s">
        <v>23</v>
      </c>
      <c r="Q2373" s="2" t="s">
        <v>19</v>
      </c>
      <c r="R2373" s="16">
        <f>(Table1[[#This Row],[NET Amount]]-Table1[[#This Row],[Total Outstanding Amount]])/Table1[[#This Row],[NET Amount]]</f>
        <v>2.4455252696684245E-2</v>
      </c>
      <c r="S2373" s="2" t="s">
        <v>20</v>
      </c>
    </row>
    <row r="2374" spans="1:19" x14ac:dyDescent="0.3">
      <c r="A2374" s="4">
        <v>2372</v>
      </c>
      <c r="B2374" s="2" t="s">
        <v>25</v>
      </c>
      <c r="C2374" s="3">
        <v>44843</v>
      </c>
      <c r="D2374" s="3" t="str">
        <f>TEXT(Table1[[#This Row],[Admission Date]],"MMMM")</f>
        <v>October</v>
      </c>
      <c r="E2374" s="3">
        <v>44847</v>
      </c>
      <c r="F2374" s="3">
        <v>44847</v>
      </c>
      <c r="G2374" s="2">
        <v>22026885</v>
      </c>
      <c r="H2374" s="2">
        <v>2235286</v>
      </c>
      <c r="I2374" s="2">
        <v>10013483275</v>
      </c>
      <c r="J2374" s="2" t="s">
        <v>956</v>
      </c>
      <c r="K2374" s="10">
        <v>72303</v>
      </c>
      <c r="L2374" s="10">
        <v>72303</v>
      </c>
      <c r="M2374" s="10">
        <v>0</v>
      </c>
      <c r="N2374" s="10">
        <v>0</v>
      </c>
      <c r="O2374" s="10">
        <f>Table1[[#This Row],[NET Amount]]-Table1[[#This Row],[Paid Amount]]</f>
        <v>0</v>
      </c>
      <c r="P2374" s="2" t="s">
        <v>18</v>
      </c>
      <c r="Q2374" s="2" t="s">
        <v>90</v>
      </c>
      <c r="R2374" s="16" t="e">
        <f>(Table1[[#This Row],[NET Amount]]-Table1[[#This Row],[Total Outstanding Amount]])/Table1[[#This Row],[NET Amount]]</f>
        <v>#DIV/0!</v>
      </c>
      <c r="S2374" s="2" t="s">
        <v>27</v>
      </c>
    </row>
    <row r="2375" spans="1:19" x14ac:dyDescent="0.3">
      <c r="A2375" s="4">
        <v>2373</v>
      </c>
      <c r="B2375" s="2" t="s">
        <v>2246</v>
      </c>
      <c r="C2375" s="3">
        <v>44851</v>
      </c>
      <c r="D2375" s="3" t="str">
        <f>TEXT(Table1[[#This Row],[Admission Date]],"MMMM")</f>
        <v>October</v>
      </c>
      <c r="E2375" s="3">
        <v>44851</v>
      </c>
      <c r="F2375" s="3">
        <v>44851</v>
      </c>
      <c r="G2375" s="2">
        <v>22027381</v>
      </c>
      <c r="H2375" s="2">
        <v>2236290</v>
      </c>
      <c r="I2375" s="2">
        <v>1001788579</v>
      </c>
      <c r="J2375" s="2" t="s">
        <v>107</v>
      </c>
      <c r="K2375" s="10">
        <v>3072</v>
      </c>
      <c r="L2375" s="10">
        <v>0</v>
      </c>
      <c r="M2375" s="10">
        <v>3072</v>
      </c>
      <c r="N2375" s="10">
        <v>3072</v>
      </c>
      <c r="O2375" s="10">
        <f>Table1[[#This Row],[NET Amount]]-Table1[[#This Row],[Paid Amount]]</f>
        <v>0</v>
      </c>
      <c r="P2375" s="2" t="s">
        <v>18</v>
      </c>
      <c r="Q2375" s="2" t="s">
        <v>54</v>
      </c>
      <c r="R2375" s="16">
        <f>(Table1[[#This Row],[NET Amount]]-Table1[[#This Row],[Total Outstanding Amount]])/Table1[[#This Row],[NET Amount]]</f>
        <v>1</v>
      </c>
      <c r="S2375" s="2" t="s">
        <v>97</v>
      </c>
    </row>
    <row r="2376" spans="1:19" x14ac:dyDescent="0.3">
      <c r="A2376" s="4">
        <v>2374</v>
      </c>
      <c r="B2376" s="2" t="s">
        <v>75</v>
      </c>
      <c r="C2376" s="3">
        <v>44843</v>
      </c>
      <c r="D2376" s="3" t="str">
        <f>TEXT(Table1[[#This Row],[Admission Date]],"MMMM")</f>
        <v>October</v>
      </c>
      <c r="E2376" s="3">
        <v>44846</v>
      </c>
      <c r="F2376" s="3">
        <v>44853</v>
      </c>
      <c r="G2376" s="2">
        <v>22027791</v>
      </c>
      <c r="H2376" s="2">
        <v>2235278</v>
      </c>
      <c r="I2376" s="2">
        <v>1001129289</v>
      </c>
      <c r="J2376" s="2" t="s">
        <v>1517</v>
      </c>
      <c r="K2376" s="10">
        <v>177472</v>
      </c>
      <c r="L2376" s="10">
        <v>0</v>
      </c>
      <c r="M2376" s="10">
        <v>177472</v>
      </c>
      <c r="N2376" s="10">
        <v>24420</v>
      </c>
      <c r="O2376" s="10">
        <f>Table1[[#This Row],[NET Amount]]-Table1[[#This Row],[Paid Amount]]</f>
        <v>153052</v>
      </c>
      <c r="P2376" s="2" t="s">
        <v>23</v>
      </c>
      <c r="Q2376" s="2" t="s">
        <v>24</v>
      </c>
      <c r="R2376" s="16">
        <f>(Table1[[#This Row],[NET Amount]]-Table1[[#This Row],[Total Outstanding Amount]])/Table1[[#This Row],[NET Amount]]</f>
        <v>0.13759917057338622</v>
      </c>
      <c r="S2376" s="2" t="s">
        <v>39</v>
      </c>
    </row>
    <row r="2377" spans="1:19" x14ac:dyDescent="0.3">
      <c r="A2377" s="4">
        <v>2375</v>
      </c>
      <c r="B2377" s="2" t="s">
        <v>144</v>
      </c>
      <c r="C2377" s="3">
        <v>44832</v>
      </c>
      <c r="D2377" s="3" t="str">
        <f>TEXT(Table1[[#This Row],[Admission Date]],"MMMM")</f>
        <v>September</v>
      </c>
      <c r="E2377" s="3">
        <v>44845</v>
      </c>
      <c r="F2377" s="3">
        <v>44845</v>
      </c>
      <c r="G2377" s="2">
        <v>22026601</v>
      </c>
      <c r="H2377" s="2">
        <v>2233860</v>
      </c>
      <c r="I2377" s="2">
        <v>10013540721</v>
      </c>
      <c r="J2377" s="2" t="s">
        <v>1518</v>
      </c>
      <c r="K2377" s="10">
        <v>275932</v>
      </c>
      <c r="L2377" s="10">
        <v>0</v>
      </c>
      <c r="M2377" s="10">
        <v>275932</v>
      </c>
      <c r="N2377" s="10">
        <v>62934</v>
      </c>
      <c r="O2377" s="10">
        <f>Table1[[#This Row],[NET Amount]]-Table1[[#This Row],[Paid Amount]]</f>
        <v>212998</v>
      </c>
      <c r="P2377" s="2" t="s">
        <v>23</v>
      </c>
      <c r="Q2377" s="2" t="s">
        <v>42</v>
      </c>
      <c r="R2377" s="16">
        <f>(Table1[[#This Row],[NET Amount]]-Table1[[#This Row],[Total Outstanding Amount]])/Table1[[#This Row],[NET Amount]]</f>
        <v>0.22807793224417611</v>
      </c>
      <c r="S2377" s="2" t="s">
        <v>20</v>
      </c>
    </row>
    <row r="2378" spans="1:19" x14ac:dyDescent="0.3">
      <c r="A2378" s="4">
        <v>2376</v>
      </c>
      <c r="B2378" s="2" t="s">
        <v>117</v>
      </c>
      <c r="C2378" s="3">
        <v>44859</v>
      </c>
      <c r="D2378" s="3" t="str">
        <f>TEXT(Table1[[#This Row],[Admission Date]],"MMMM")</f>
        <v>October</v>
      </c>
      <c r="E2378" s="3">
        <v>44859</v>
      </c>
      <c r="F2378" s="3">
        <v>44859</v>
      </c>
      <c r="G2378" s="2">
        <v>22028462</v>
      </c>
      <c r="H2378" s="2">
        <v>2237264</v>
      </c>
      <c r="I2378" s="2">
        <v>10013461113</v>
      </c>
      <c r="J2378" s="2" t="s">
        <v>308</v>
      </c>
      <c r="K2378" s="10">
        <v>2064</v>
      </c>
      <c r="L2378" s="10">
        <v>0</v>
      </c>
      <c r="M2378" s="10">
        <v>2064</v>
      </c>
      <c r="N2378" s="10">
        <v>2064</v>
      </c>
      <c r="O2378" s="10">
        <f>Table1[[#This Row],[NET Amount]]-Table1[[#This Row],[Paid Amount]]</f>
        <v>0</v>
      </c>
      <c r="P2378" s="2" t="s">
        <v>18</v>
      </c>
      <c r="Q2378" s="2" t="s">
        <v>54</v>
      </c>
      <c r="R2378" s="16">
        <f>(Table1[[#This Row],[NET Amount]]-Table1[[#This Row],[Total Outstanding Amount]])/Table1[[#This Row],[NET Amount]]</f>
        <v>1</v>
      </c>
      <c r="S2378" s="2" t="s">
        <v>97</v>
      </c>
    </row>
    <row r="2379" spans="1:19" x14ac:dyDescent="0.3">
      <c r="A2379" s="4">
        <v>2377</v>
      </c>
      <c r="B2379" s="2" t="s">
        <v>25</v>
      </c>
      <c r="C2379" s="3">
        <v>44859</v>
      </c>
      <c r="D2379" s="3" t="str">
        <f>TEXT(Table1[[#This Row],[Admission Date]],"MMMM")</f>
        <v>October</v>
      </c>
      <c r="E2379" s="3">
        <v>44862</v>
      </c>
      <c r="F2379" s="3">
        <v>44862</v>
      </c>
      <c r="G2379" s="2">
        <v>22028873</v>
      </c>
      <c r="H2379" s="2">
        <v>2237359</v>
      </c>
      <c r="I2379" s="2">
        <v>10013544443</v>
      </c>
      <c r="J2379" s="2" t="s">
        <v>1519</v>
      </c>
      <c r="K2379" s="10">
        <v>54034</v>
      </c>
      <c r="L2379" s="10">
        <v>11872</v>
      </c>
      <c r="M2379" s="10">
        <v>42162</v>
      </c>
      <c r="N2379" s="10">
        <v>42162</v>
      </c>
      <c r="O2379" s="10">
        <f>Table1[[#This Row],[NET Amount]]-Table1[[#This Row],[Paid Amount]]</f>
        <v>0</v>
      </c>
      <c r="P2379" s="2" t="s">
        <v>18</v>
      </c>
      <c r="Q2379" s="2" t="s">
        <v>24</v>
      </c>
      <c r="R2379" s="16">
        <f>(Table1[[#This Row],[NET Amount]]-Table1[[#This Row],[Total Outstanding Amount]])/Table1[[#This Row],[NET Amount]]</f>
        <v>1</v>
      </c>
      <c r="S2379" s="2" t="s">
        <v>20</v>
      </c>
    </row>
    <row r="2380" spans="1:19" x14ac:dyDescent="0.3">
      <c r="A2380" s="4">
        <v>2378</v>
      </c>
      <c r="B2380" s="2" t="s">
        <v>50</v>
      </c>
      <c r="C2380" s="3">
        <v>44855</v>
      </c>
      <c r="D2380" s="3" t="str">
        <f>TEXT(Table1[[#This Row],[Admission Date]],"MMMM")</f>
        <v>October</v>
      </c>
      <c r="E2380" s="3">
        <v>44855</v>
      </c>
      <c r="F2380" s="3">
        <v>44855</v>
      </c>
      <c r="G2380" s="2">
        <v>22027964</v>
      </c>
      <c r="H2380" s="2">
        <v>2236870</v>
      </c>
      <c r="I2380" s="2">
        <v>1000891498</v>
      </c>
      <c r="J2380" s="2" t="s">
        <v>299</v>
      </c>
      <c r="K2380" s="10">
        <v>2200</v>
      </c>
      <c r="L2380" s="10">
        <v>0</v>
      </c>
      <c r="M2380" s="10">
        <v>2200</v>
      </c>
      <c r="N2380" s="10">
        <v>440</v>
      </c>
      <c r="O2380" s="10">
        <f>Table1[[#This Row],[NET Amount]]-Table1[[#This Row],[Paid Amount]]</f>
        <v>1760</v>
      </c>
      <c r="P2380" s="2" t="s">
        <v>23</v>
      </c>
      <c r="Q2380" s="2" t="s">
        <v>147</v>
      </c>
      <c r="R2380" s="16">
        <f>(Table1[[#This Row],[NET Amount]]-Table1[[#This Row],[Total Outstanding Amount]])/Table1[[#This Row],[NET Amount]]</f>
        <v>0.2</v>
      </c>
      <c r="S2380" s="2" t="s">
        <v>97</v>
      </c>
    </row>
    <row r="2381" spans="1:19" x14ac:dyDescent="0.3">
      <c r="A2381" s="4">
        <v>2379</v>
      </c>
      <c r="B2381" s="2" t="s">
        <v>139</v>
      </c>
      <c r="C2381" s="3">
        <v>44828</v>
      </c>
      <c r="D2381" s="3" t="str">
        <f>TEXT(Table1[[#This Row],[Admission Date]],"MMMM")</f>
        <v>September</v>
      </c>
      <c r="E2381" s="3">
        <v>44836</v>
      </c>
      <c r="F2381" s="3">
        <v>44836</v>
      </c>
      <c r="G2381" s="2">
        <v>22025306</v>
      </c>
      <c r="H2381" s="2">
        <v>2233333</v>
      </c>
      <c r="I2381" s="2">
        <v>10013540119</v>
      </c>
      <c r="J2381" s="2" t="s">
        <v>83</v>
      </c>
      <c r="K2381" s="10">
        <v>205942</v>
      </c>
      <c r="L2381" s="10">
        <v>19200</v>
      </c>
      <c r="M2381" s="10">
        <v>186742</v>
      </c>
      <c r="N2381" s="10">
        <v>1500</v>
      </c>
      <c r="O2381" s="10">
        <f>Table1[[#This Row],[NET Amount]]-Table1[[#This Row],[Paid Amount]]</f>
        <v>185242</v>
      </c>
      <c r="P2381" s="2" t="s">
        <v>23</v>
      </c>
      <c r="Q2381" s="2" t="s">
        <v>30</v>
      </c>
      <c r="R2381" s="16">
        <f>(Table1[[#This Row],[NET Amount]]-Table1[[#This Row],[Total Outstanding Amount]])/Table1[[#This Row],[NET Amount]]</f>
        <v>8.0324726092684019E-3</v>
      </c>
      <c r="S2381" s="2" t="s">
        <v>20</v>
      </c>
    </row>
    <row r="2382" spans="1:19" x14ac:dyDescent="0.3">
      <c r="A2382" s="4">
        <v>2380</v>
      </c>
      <c r="B2382" s="2" t="s">
        <v>139</v>
      </c>
      <c r="C2382" s="3">
        <v>44834</v>
      </c>
      <c r="D2382" s="3" t="str">
        <f>TEXT(Table1[[#This Row],[Admission Date]],"MMMM")</f>
        <v>September</v>
      </c>
      <c r="E2382" s="3">
        <v>44840</v>
      </c>
      <c r="F2382" s="3">
        <v>44840</v>
      </c>
      <c r="G2382" s="2">
        <v>22025795</v>
      </c>
      <c r="H2382" s="2">
        <v>2234129</v>
      </c>
      <c r="I2382" s="2">
        <v>10013541045</v>
      </c>
      <c r="J2382" s="2" t="s">
        <v>1520</v>
      </c>
      <c r="K2382" s="10">
        <v>337836</v>
      </c>
      <c r="L2382" s="10">
        <v>25000</v>
      </c>
      <c r="M2382" s="10">
        <v>312836</v>
      </c>
      <c r="N2382" s="10">
        <v>134644</v>
      </c>
      <c r="O2382" s="10">
        <f>Table1[[#This Row],[NET Amount]]-Table1[[#This Row],[Paid Amount]]</f>
        <v>178192</v>
      </c>
      <c r="P2382" s="2" t="s">
        <v>23</v>
      </c>
      <c r="Q2382" s="2" t="s">
        <v>42</v>
      </c>
      <c r="R2382" s="16">
        <f>(Table1[[#This Row],[NET Amount]]-Table1[[#This Row],[Total Outstanding Amount]])/Table1[[#This Row],[NET Amount]]</f>
        <v>0.43039803603165877</v>
      </c>
      <c r="S2382" s="2" t="s">
        <v>20</v>
      </c>
    </row>
    <row r="2383" spans="1:19" x14ac:dyDescent="0.3">
      <c r="A2383" s="4">
        <v>2381</v>
      </c>
      <c r="B2383" s="2" t="s">
        <v>168</v>
      </c>
      <c r="C2383" s="3">
        <v>44861</v>
      </c>
      <c r="D2383" s="3" t="str">
        <f>TEXT(Table1[[#This Row],[Admission Date]],"MMMM")</f>
        <v>October</v>
      </c>
      <c r="E2383" s="3">
        <v>44862</v>
      </c>
      <c r="F2383" s="3">
        <v>44862</v>
      </c>
      <c r="G2383" s="2">
        <v>22028917</v>
      </c>
      <c r="H2383" s="2">
        <v>2237668</v>
      </c>
      <c r="I2383" s="2">
        <v>10013461583</v>
      </c>
      <c r="J2383" s="2" t="s">
        <v>1521</v>
      </c>
      <c r="K2383" s="10">
        <v>202335</v>
      </c>
      <c r="L2383" s="10">
        <v>0</v>
      </c>
      <c r="M2383" s="10">
        <v>202335</v>
      </c>
      <c r="N2383" s="10">
        <v>42751</v>
      </c>
      <c r="O2383" s="10">
        <f>Table1[[#This Row],[NET Amount]]-Table1[[#This Row],[Paid Amount]]</f>
        <v>159584</v>
      </c>
      <c r="P2383" s="2" t="s">
        <v>23</v>
      </c>
      <c r="Q2383" s="2" t="s">
        <v>47</v>
      </c>
      <c r="R2383" s="16">
        <f>(Table1[[#This Row],[NET Amount]]-Table1[[#This Row],[Total Outstanding Amount]])/Table1[[#This Row],[NET Amount]]</f>
        <v>0.21128821014653915</v>
      </c>
      <c r="S2383" s="2" t="s">
        <v>39</v>
      </c>
    </row>
    <row r="2384" spans="1:19" x14ac:dyDescent="0.3">
      <c r="A2384" s="4">
        <v>2382</v>
      </c>
      <c r="B2384" s="2" t="s">
        <v>75</v>
      </c>
      <c r="C2384" s="3">
        <v>44839</v>
      </c>
      <c r="D2384" s="3" t="str">
        <f>TEXT(Table1[[#This Row],[Admission Date]],"MMMM")</f>
        <v>October</v>
      </c>
      <c r="E2384" s="3">
        <v>44855</v>
      </c>
      <c r="F2384" s="3">
        <v>44855</v>
      </c>
      <c r="G2384" s="2">
        <v>22028088</v>
      </c>
      <c r="H2384" s="2">
        <v>2234753</v>
      </c>
      <c r="I2384" s="2">
        <v>10013541641</v>
      </c>
      <c r="J2384" s="2" t="s">
        <v>1522</v>
      </c>
      <c r="K2384" s="10">
        <v>277634</v>
      </c>
      <c r="L2384" s="10">
        <v>0</v>
      </c>
      <c r="M2384" s="10">
        <v>277634</v>
      </c>
      <c r="N2384" s="10">
        <v>8132</v>
      </c>
      <c r="O2384" s="10">
        <f>Table1[[#This Row],[NET Amount]]-Table1[[#This Row],[Paid Amount]]</f>
        <v>269502</v>
      </c>
      <c r="P2384" s="2" t="s">
        <v>23</v>
      </c>
      <c r="Q2384" s="2" t="s">
        <v>24</v>
      </c>
      <c r="R2384" s="16">
        <f>(Table1[[#This Row],[NET Amount]]-Table1[[#This Row],[Total Outstanding Amount]])/Table1[[#This Row],[NET Amount]]</f>
        <v>2.9290360690693504E-2</v>
      </c>
      <c r="S2384" s="2" t="s">
        <v>20</v>
      </c>
    </row>
    <row r="2385" spans="1:19" x14ac:dyDescent="0.3">
      <c r="A2385" s="4">
        <v>2383</v>
      </c>
      <c r="B2385" s="2" t="s">
        <v>25</v>
      </c>
      <c r="C2385" s="3">
        <v>44835</v>
      </c>
      <c r="D2385" s="3" t="str">
        <f>TEXT(Table1[[#This Row],[Admission Date]],"MMMM")</f>
        <v>October</v>
      </c>
      <c r="E2385" s="3">
        <v>44836</v>
      </c>
      <c r="F2385" s="3">
        <v>44836</v>
      </c>
      <c r="G2385" s="2">
        <v>22025273</v>
      </c>
      <c r="H2385" s="2">
        <v>2234141</v>
      </c>
      <c r="I2385" s="2">
        <v>10013541058</v>
      </c>
      <c r="J2385" s="2" t="s">
        <v>1516</v>
      </c>
      <c r="K2385" s="10">
        <v>68315</v>
      </c>
      <c r="L2385" s="10">
        <v>14302</v>
      </c>
      <c r="M2385" s="10">
        <v>54012</v>
      </c>
      <c r="N2385" s="10">
        <v>54012</v>
      </c>
      <c r="O2385" s="10">
        <f>Table1[[#This Row],[NET Amount]]-Table1[[#This Row],[Paid Amount]]</f>
        <v>0</v>
      </c>
      <c r="P2385" s="2" t="s">
        <v>18</v>
      </c>
      <c r="Q2385" s="2" t="s">
        <v>24</v>
      </c>
      <c r="R2385" s="16">
        <f>(Table1[[#This Row],[NET Amount]]-Table1[[#This Row],[Total Outstanding Amount]])/Table1[[#This Row],[NET Amount]]</f>
        <v>1</v>
      </c>
      <c r="S2385" s="2" t="s">
        <v>39</v>
      </c>
    </row>
    <row r="2386" spans="1:19" x14ac:dyDescent="0.3">
      <c r="A2386" s="4">
        <v>2384</v>
      </c>
      <c r="B2386" s="2" t="s">
        <v>25</v>
      </c>
      <c r="C2386" s="3">
        <v>44860</v>
      </c>
      <c r="D2386" s="3" t="str">
        <f>TEXT(Table1[[#This Row],[Admission Date]],"MMMM")</f>
        <v>October</v>
      </c>
      <c r="E2386" s="3">
        <v>44863</v>
      </c>
      <c r="F2386" s="3">
        <v>44863</v>
      </c>
      <c r="G2386" s="2">
        <v>22029119</v>
      </c>
      <c r="H2386" s="2">
        <v>2237527</v>
      </c>
      <c r="I2386" s="2">
        <v>1001184451</v>
      </c>
      <c r="J2386" s="2" t="s">
        <v>1523</v>
      </c>
      <c r="K2386" s="10">
        <v>88919</v>
      </c>
      <c r="L2386" s="10">
        <v>88919</v>
      </c>
      <c r="M2386" s="10">
        <v>0</v>
      </c>
      <c r="N2386" s="10">
        <v>0</v>
      </c>
      <c r="O2386" s="10">
        <f>Table1[[#This Row],[NET Amount]]-Table1[[#This Row],[Paid Amount]]</f>
        <v>0</v>
      </c>
      <c r="P2386" s="2" t="s">
        <v>18</v>
      </c>
      <c r="Q2386" s="2" t="s">
        <v>90</v>
      </c>
      <c r="R2386" s="16" t="e">
        <f>(Table1[[#This Row],[NET Amount]]-Table1[[#This Row],[Total Outstanding Amount]])/Table1[[#This Row],[NET Amount]]</f>
        <v>#DIV/0!</v>
      </c>
      <c r="S2386" s="2" t="s">
        <v>1524</v>
      </c>
    </row>
    <row r="2387" spans="1:19" x14ac:dyDescent="0.3">
      <c r="A2387" s="4">
        <v>2385</v>
      </c>
      <c r="B2387" s="2" t="s">
        <v>75</v>
      </c>
      <c r="C2387" s="3">
        <v>44843</v>
      </c>
      <c r="D2387" s="3" t="str">
        <f>TEXT(Table1[[#This Row],[Admission Date]],"MMMM")</f>
        <v>October</v>
      </c>
      <c r="E2387" s="3">
        <v>44850</v>
      </c>
      <c r="F2387" s="3">
        <v>44850</v>
      </c>
      <c r="G2387" s="2">
        <v>22027282</v>
      </c>
      <c r="H2387" s="2">
        <v>2235311</v>
      </c>
      <c r="I2387" s="2">
        <v>1001211427</v>
      </c>
      <c r="J2387" s="2" t="s">
        <v>1525</v>
      </c>
      <c r="K2387" s="10">
        <v>102187</v>
      </c>
      <c r="L2387" s="10">
        <v>0</v>
      </c>
      <c r="M2387" s="10">
        <v>102187</v>
      </c>
      <c r="N2387" s="10">
        <v>2660</v>
      </c>
      <c r="O2387" s="10">
        <f>Table1[[#This Row],[NET Amount]]-Table1[[#This Row],[Paid Amount]]</f>
        <v>99527</v>
      </c>
      <c r="P2387" s="2" t="s">
        <v>23</v>
      </c>
      <c r="Q2387" s="2" t="s">
        <v>24</v>
      </c>
      <c r="R2387" s="16">
        <f>(Table1[[#This Row],[NET Amount]]-Table1[[#This Row],[Total Outstanding Amount]])/Table1[[#This Row],[NET Amount]]</f>
        <v>2.6030708407135936E-2</v>
      </c>
      <c r="S2387" s="2" t="s">
        <v>20</v>
      </c>
    </row>
    <row r="2388" spans="1:19" x14ac:dyDescent="0.3">
      <c r="A2388" s="4">
        <v>2386</v>
      </c>
      <c r="B2388" s="2" t="s">
        <v>25</v>
      </c>
      <c r="C2388" s="3">
        <v>44849</v>
      </c>
      <c r="D2388" s="3" t="str">
        <f>TEXT(Table1[[#This Row],[Admission Date]],"MMMM")</f>
        <v>October</v>
      </c>
      <c r="E2388" s="3">
        <v>44850</v>
      </c>
      <c r="F2388" s="3">
        <v>44850</v>
      </c>
      <c r="G2388" s="2">
        <v>22027322</v>
      </c>
      <c r="H2388" s="2">
        <v>2236163</v>
      </c>
      <c r="I2388" s="2">
        <v>1001804584</v>
      </c>
      <c r="J2388" s="2" t="s">
        <v>1526</v>
      </c>
      <c r="K2388" s="10">
        <v>7468</v>
      </c>
      <c r="L2388" s="10">
        <v>1103</v>
      </c>
      <c r="M2388" s="10">
        <v>6365</v>
      </c>
      <c r="N2388" s="10">
        <v>6365</v>
      </c>
      <c r="O2388" s="10">
        <f>Table1[[#This Row],[NET Amount]]-Table1[[#This Row],[Paid Amount]]</f>
        <v>0</v>
      </c>
      <c r="P2388" s="2" t="s">
        <v>18</v>
      </c>
      <c r="Q2388" s="2" t="s">
        <v>19</v>
      </c>
      <c r="R2388" s="16">
        <f>(Table1[[#This Row],[NET Amount]]-Table1[[#This Row],[Total Outstanding Amount]])/Table1[[#This Row],[NET Amount]]</f>
        <v>1</v>
      </c>
      <c r="S2388" s="2" t="s">
        <v>37</v>
      </c>
    </row>
    <row r="2389" spans="1:19" x14ac:dyDescent="0.3">
      <c r="A2389" s="4">
        <v>2387</v>
      </c>
      <c r="B2389" s="2" t="s">
        <v>25</v>
      </c>
      <c r="C2389" s="3">
        <v>44848</v>
      </c>
      <c r="D2389" s="3" t="str">
        <f>TEXT(Table1[[#This Row],[Admission Date]],"MMMM")</f>
        <v>October</v>
      </c>
      <c r="E2389" s="3">
        <v>44850</v>
      </c>
      <c r="F2389" s="3">
        <v>44850</v>
      </c>
      <c r="G2389" s="2">
        <v>22027325</v>
      </c>
      <c r="H2389" s="2">
        <v>2235993</v>
      </c>
      <c r="I2389" s="2">
        <v>1001804385</v>
      </c>
      <c r="J2389" s="2" t="s">
        <v>1341</v>
      </c>
      <c r="K2389" s="10">
        <v>21062</v>
      </c>
      <c r="L2389" s="10">
        <v>2659</v>
      </c>
      <c r="M2389" s="10">
        <v>18403</v>
      </c>
      <c r="N2389" s="10">
        <v>18403</v>
      </c>
      <c r="O2389" s="10">
        <f>Table1[[#This Row],[NET Amount]]-Table1[[#This Row],[Paid Amount]]</f>
        <v>0</v>
      </c>
      <c r="P2389" s="2" t="s">
        <v>18</v>
      </c>
      <c r="Q2389" s="2" t="s">
        <v>19</v>
      </c>
      <c r="R2389" s="16">
        <f>(Table1[[#This Row],[NET Amount]]-Table1[[#This Row],[Total Outstanding Amount]])/Table1[[#This Row],[NET Amount]]</f>
        <v>1</v>
      </c>
      <c r="S2389" s="2" t="s">
        <v>37</v>
      </c>
    </row>
    <row r="2390" spans="1:19" x14ac:dyDescent="0.3">
      <c r="A2390" s="4">
        <v>2388</v>
      </c>
      <c r="B2390" s="2" t="s">
        <v>75</v>
      </c>
      <c r="C2390" s="3">
        <v>44846</v>
      </c>
      <c r="D2390" s="3" t="str">
        <f>TEXT(Table1[[#This Row],[Admission Date]],"MMMM")</f>
        <v>October</v>
      </c>
      <c r="E2390" s="3">
        <v>44850</v>
      </c>
      <c r="F2390" s="3">
        <v>44850</v>
      </c>
      <c r="G2390" s="2">
        <v>22027340</v>
      </c>
      <c r="H2390" s="2">
        <v>2235666</v>
      </c>
      <c r="I2390" s="2">
        <v>1001206009</v>
      </c>
      <c r="J2390" s="2" t="s">
        <v>1527</v>
      </c>
      <c r="K2390" s="10">
        <v>75555</v>
      </c>
      <c r="L2390" s="10">
        <v>0</v>
      </c>
      <c r="M2390" s="10">
        <v>75555</v>
      </c>
      <c r="N2390" s="10">
        <v>2393</v>
      </c>
      <c r="O2390" s="10">
        <f>Table1[[#This Row],[NET Amount]]-Table1[[#This Row],[Paid Amount]]</f>
        <v>73162</v>
      </c>
      <c r="P2390" s="2" t="s">
        <v>23</v>
      </c>
      <c r="Q2390" s="2" t="s">
        <v>24</v>
      </c>
      <c r="R2390" s="16">
        <f>(Table1[[#This Row],[NET Amount]]-Table1[[#This Row],[Total Outstanding Amount]])/Table1[[#This Row],[NET Amount]]</f>
        <v>3.1672291708027267E-2</v>
      </c>
      <c r="S2390" s="2" t="s">
        <v>20</v>
      </c>
    </row>
    <row r="2391" spans="1:19" x14ac:dyDescent="0.3">
      <c r="A2391" s="4">
        <v>2389</v>
      </c>
      <c r="B2391" s="2" t="s">
        <v>75</v>
      </c>
      <c r="C2391" s="3">
        <v>44841</v>
      </c>
      <c r="D2391" s="3" t="str">
        <f>TEXT(Table1[[#This Row],[Admission Date]],"MMMM")</f>
        <v>October</v>
      </c>
      <c r="E2391" s="3">
        <v>44846</v>
      </c>
      <c r="F2391" s="3">
        <v>44846</v>
      </c>
      <c r="G2391" s="2">
        <v>22026741</v>
      </c>
      <c r="H2391" s="2">
        <v>2235053</v>
      </c>
      <c r="I2391" s="2">
        <v>10013367083</v>
      </c>
      <c r="J2391" s="2" t="s">
        <v>1528</v>
      </c>
      <c r="K2391" s="10">
        <v>32297</v>
      </c>
      <c r="L2391" s="10">
        <v>0</v>
      </c>
      <c r="M2391" s="10">
        <v>32297</v>
      </c>
      <c r="N2391" s="10">
        <v>1389</v>
      </c>
      <c r="O2391" s="10">
        <f>Table1[[#This Row],[NET Amount]]-Table1[[#This Row],[Paid Amount]]</f>
        <v>30908</v>
      </c>
      <c r="P2391" s="2" t="s">
        <v>23</v>
      </c>
      <c r="Q2391" s="2" t="s">
        <v>24</v>
      </c>
      <c r="R2391" s="16">
        <f>(Table1[[#This Row],[NET Amount]]-Table1[[#This Row],[Total Outstanding Amount]])/Table1[[#This Row],[NET Amount]]</f>
        <v>4.3007090441836704E-2</v>
      </c>
      <c r="S2391" s="2" t="s">
        <v>162</v>
      </c>
    </row>
    <row r="2392" spans="1:19" x14ac:dyDescent="0.3">
      <c r="A2392" s="4">
        <v>2390</v>
      </c>
      <c r="B2392" s="2" t="s">
        <v>35</v>
      </c>
      <c r="C2392" s="3">
        <v>44850</v>
      </c>
      <c r="D2392" s="3" t="str">
        <f>TEXT(Table1[[#This Row],[Admission Date]],"MMMM")</f>
        <v>October</v>
      </c>
      <c r="E2392" s="3">
        <v>44853</v>
      </c>
      <c r="F2392" s="3">
        <v>44853</v>
      </c>
      <c r="G2392" s="2">
        <v>22027688</v>
      </c>
      <c r="H2392" s="2">
        <v>2236252</v>
      </c>
      <c r="I2392" s="2">
        <v>10013526184</v>
      </c>
      <c r="J2392" s="2" t="s">
        <v>1309</v>
      </c>
      <c r="K2392" s="10">
        <v>14542</v>
      </c>
      <c r="L2392" s="10">
        <v>0</v>
      </c>
      <c r="M2392" s="10">
        <v>14542</v>
      </c>
      <c r="N2392" s="10">
        <v>14542</v>
      </c>
      <c r="O2392" s="10">
        <f>Table1[[#This Row],[NET Amount]]-Table1[[#This Row],[Paid Amount]]</f>
        <v>0</v>
      </c>
      <c r="P2392" s="2" t="s">
        <v>18</v>
      </c>
      <c r="Q2392" s="2" t="s">
        <v>24</v>
      </c>
      <c r="R2392" s="16">
        <f>(Table1[[#This Row],[NET Amount]]-Table1[[#This Row],[Total Outstanding Amount]])/Table1[[#This Row],[NET Amount]]</f>
        <v>1</v>
      </c>
      <c r="S2392" s="2" t="s">
        <v>27</v>
      </c>
    </row>
    <row r="2393" spans="1:19" x14ac:dyDescent="0.3">
      <c r="A2393" s="4">
        <v>2391</v>
      </c>
      <c r="B2393" s="2" t="s">
        <v>45</v>
      </c>
      <c r="C2393" s="3">
        <v>44850</v>
      </c>
      <c r="D2393" s="3" t="str">
        <f>TEXT(Table1[[#This Row],[Admission Date]],"MMMM")</f>
        <v>October</v>
      </c>
      <c r="E2393" s="3">
        <v>44853</v>
      </c>
      <c r="F2393" s="3">
        <v>44853</v>
      </c>
      <c r="G2393" s="2">
        <v>22027673</v>
      </c>
      <c r="H2393" s="2">
        <v>2236259</v>
      </c>
      <c r="I2393" s="2">
        <v>10013543294</v>
      </c>
      <c r="J2393" s="2" t="s">
        <v>1529</v>
      </c>
      <c r="K2393" s="10">
        <v>85995</v>
      </c>
      <c r="L2393" s="10">
        <v>11060</v>
      </c>
      <c r="M2393" s="10">
        <v>74935</v>
      </c>
      <c r="N2393" s="10">
        <v>17899</v>
      </c>
      <c r="O2393" s="10">
        <f>Table1[[#This Row],[NET Amount]]-Table1[[#This Row],[Paid Amount]]</f>
        <v>57036</v>
      </c>
      <c r="P2393" s="2" t="s">
        <v>23</v>
      </c>
      <c r="Q2393" s="2" t="s">
        <v>47</v>
      </c>
      <c r="R2393" s="16">
        <f>(Table1[[#This Row],[NET Amount]]-Table1[[#This Row],[Total Outstanding Amount]])/Table1[[#This Row],[NET Amount]]</f>
        <v>0.23886034563288183</v>
      </c>
      <c r="S2393" s="2" t="s">
        <v>39</v>
      </c>
    </row>
    <row r="2394" spans="1:19" x14ac:dyDescent="0.3">
      <c r="A2394" s="4">
        <v>2392</v>
      </c>
      <c r="B2394" s="2" t="s">
        <v>25</v>
      </c>
      <c r="C2394" s="3">
        <v>44852</v>
      </c>
      <c r="D2394" s="3" t="str">
        <f>TEXT(Table1[[#This Row],[Admission Date]],"MMMM")</f>
        <v>October</v>
      </c>
      <c r="E2394" s="3">
        <v>44852</v>
      </c>
      <c r="F2394" s="3">
        <v>44852</v>
      </c>
      <c r="G2394" s="2">
        <v>22027527</v>
      </c>
      <c r="H2394" s="2">
        <v>2236445</v>
      </c>
      <c r="I2394" s="2">
        <v>1001427466</v>
      </c>
      <c r="J2394" s="2" t="s">
        <v>294</v>
      </c>
      <c r="K2394" s="10">
        <v>2680</v>
      </c>
      <c r="L2394" s="10">
        <v>2680</v>
      </c>
      <c r="M2394" s="10">
        <v>0</v>
      </c>
      <c r="N2394" s="10">
        <v>0</v>
      </c>
      <c r="O2394" s="10">
        <f>Table1[[#This Row],[NET Amount]]-Table1[[#This Row],[Paid Amount]]</f>
        <v>0</v>
      </c>
      <c r="P2394" s="2" t="s">
        <v>18</v>
      </c>
      <c r="Q2394" s="2" t="s">
        <v>90</v>
      </c>
      <c r="R2394" s="16" t="e">
        <f>(Table1[[#This Row],[NET Amount]]-Table1[[#This Row],[Total Outstanding Amount]])/Table1[[#This Row],[NET Amount]]</f>
        <v>#DIV/0!</v>
      </c>
      <c r="S2394" s="2" t="s">
        <v>97</v>
      </c>
    </row>
    <row r="2395" spans="1:19" x14ac:dyDescent="0.3">
      <c r="A2395" s="4">
        <v>2393</v>
      </c>
      <c r="B2395" s="2" t="s">
        <v>25</v>
      </c>
      <c r="C2395" s="3">
        <v>44846</v>
      </c>
      <c r="D2395" s="3" t="str">
        <f>TEXT(Table1[[#This Row],[Admission Date]],"MMMM")</f>
        <v>October</v>
      </c>
      <c r="E2395" s="3">
        <v>44855</v>
      </c>
      <c r="F2395" s="3">
        <v>44855</v>
      </c>
      <c r="G2395" s="2">
        <v>22028030</v>
      </c>
      <c r="H2395" s="2">
        <v>2235755</v>
      </c>
      <c r="I2395" s="2">
        <v>10013542754</v>
      </c>
      <c r="J2395" s="2" t="s">
        <v>1530</v>
      </c>
      <c r="K2395" s="10">
        <v>130953</v>
      </c>
      <c r="L2395" s="10">
        <v>130953</v>
      </c>
      <c r="M2395" s="10">
        <v>0</v>
      </c>
      <c r="N2395" s="10">
        <v>0</v>
      </c>
      <c r="O2395" s="10">
        <f>Table1[[#This Row],[NET Amount]]-Table1[[#This Row],[Paid Amount]]</f>
        <v>0</v>
      </c>
      <c r="P2395" s="2" t="s">
        <v>18</v>
      </c>
      <c r="Q2395" s="2" t="s">
        <v>90</v>
      </c>
      <c r="R2395" s="16" t="e">
        <f>(Table1[[#This Row],[NET Amount]]-Table1[[#This Row],[Total Outstanding Amount]])/Table1[[#This Row],[NET Amount]]</f>
        <v>#DIV/0!</v>
      </c>
      <c r="S2395" s="2" t="s">
        <v>20</v>
      </c>
    </row>
    <row r="2396" spans="1:19" x14ac:dyDescent="0.3">
      <c r="A2396" s="4">
        <v>2394</v>
      </c>
      <c r="B2396" s="2" t="s">
        <v>50</v>
      </c>
      <c r="C2396" s="3">
        <v>44840</v>
      </c>
      <c r="D2396" s="3" t="str">
        <f>TEXT(Table1[[#This Row],[Admission Date]],"MMMM")</f>
        <v>October</v>
      </c>
      <c r="E2396" s="3">
        <v>44843</v>
      </c>
      <c r="F2396" s="3">
        <v>44843</v>
      </c>
      <c r="G2396" s="2">
        <v>22026262</v>
      </c>
      <c r="H2396" s="2">
        <v>2234888</v>
      </c>
      <c r="I2396" s="2">
        <v>1001802839</v>
      </c>
      <c r="J2396" s="2" t="s">
        <v>1531</v>
      </c>
      <c r="K2396" s="10">
        <v>15043</v>
      </c>
      <c r="L2396" s="10">
        <v>0</v>
      </c>
      <c r="M2396" s="10">
        <v>15043</v>
      </c>
      <c r="N2396" s="10">
        <v>15043</v>
      </c>
      <c r="O2396" s="10">
        <f>Table1[[#This Row],[NET Amount]]-Table1[[#This Row],[Paid Amount]]</f>
        <v>0</v>
      </c>
      <c r="P2396" s="2" t="s">
        <v>18</v>
      </c>
      <c r="Q2396" s="2" t="s">
        <v>30</v>
      </c>
      <c r="R2396" s="16">
        <f>(Table1[[#This Row],[NET Amount]]-Table1[[#This Row],[Total Outstanding Amount]])/Table1[[#This Row],[NET Amount]]</f>
        <v>1</v>
      </c>
      <c r="S2396" s="2" t="s">
        <v>37</v>
      </c>
    </row>
    <row r="2397" spans="1:19" x14ac:dyDescent="0.3">
      <c r="A2397" s="4">
        <v>2395</v>
      </c>
      <c r="B2397" s="2" t="s">
        <v>25</v>
      </c>
      <c r="C2397" s="3">
        <v>44840</v>
      </c>
      <c r="D2397" s="3" t="str">
        <f>TEXT(Table1[[#This Row],[Admission Date]],"MMMM")</f>
        <v>October</v>
      </c>
      <c r="E2397" s="3">
        <v>44843</v>
      </c>
      <c r="F2397" s="3">
        <v>44843</v>
      </c>
      <c r="G2397" s="2">
        <v>22026292</v>
      </c>
      <c r="H2397" s="2">
        <v>2234813</v>
      </c>
      <c r="I2397" s="2">
        <v>1001392417</v>
      </c>
      <c r="J2397" s="2" t="s">
        <v>1532</v>
      </c>
      <c r="K2397" s="10">
        <v>153418</v>
      </c>
      <c r="L2397" s="10">
        <v>52098</v>
      </c>
      <c r="M2397" s="10">
        <v>101320</v>
      </c>
      <c r="N2397" s="10">
        <v>101320</v>
      </c>
      <c r="O2397" s="10">
        <f>Table1[[#This Row],[NET Amount]]-Table1[[#This Row],[Paid Amount]]</f>
        <v>0</v>
      </c>
      <c r="P2397" s="2" t="s">
        <v>18</v>
      </c>
      <c r="Q2397" s="2" t="s">
        <v>69</v>
      </c>
      <c r="R2397" s="16">
        <f>(Table1[[#This Row],[NET Amount]]-Table1[[#This Row],[Total Outstanding Amount]])/Table1[[#This Row],[NET Amount]]</f>
        <v>1</v>
      </c>
      <c r="S2397" s="2" t="s">
        <v>43</v>
      </c>
    </row>
    <row r="2398" spans="1:19" x14ac:dyDescent="0.3">
      <c r="A2398" s="4">
        <v>2396</v>
      </c>
      <c r="B2398" s="2" t="s">
        <v>2291</v>
      </c>
      <c r="C2398" s="3">
        <v>44838</v>
      </c>
      <c r="D2398" s="3" t="str">
        <f>TEXT(Table1[[#This Row],[Admission Date]],"MMMM")</f>
        <v>October</v>
      </c>
      <c r="E2398" s="3">
        <v>44843</v>
      </c>
      <c r="F2398" s="3">
        <v>44843</v>
      </c>
      <c r="G2398" s="2">
        <v>22026283</v>
      </c>
      <c r="H2398" s="2">
        <v>2234646</v>
      </c>
      <c r="I2398" s="2">
        <v>10013502362</v>
      </c>
      <c r="J2398" s="2" t="s">
        <v>1533</v>
      </c>
      <c r="K2398" s="10">
        <v>69095</v>
      </c>
      <c r="L2398" s="10">
        <v>69095</v>
      </c>
      <c r="M2398" s="10">
        <v>0</v>
      </c>
      <c r="N2398" s="10">
        <v>0</v>
      </c>
      <c r="O2398" s="10">
        <f>Table1[[#This Row],[NET Amount]]-Table1[[#This Row],[Paid Amount]]</f>
        <v>0</v>
      </c>
      <c r="P2398" s="2" t="s">
        <v>18</v>
      </c>
      <c r="Q2398" s="2" t="s">
        <v>90</v>
      </c>
      <c r="R2398" s="16" t="e">
        <f>(Table1[[#This Row],[NET Amount]]-Table1[[#This Row],[Total Outstanding Amount]])/Table1[[#This Row],[NET Amount]]</f>
        <v>#DIV/0!</v>
      </c>
      <c r="S2398" s="2" t="s">
        <v>20</v>
      </c>
    </row>
    <row r="2399" spans="1:19" x14ac:dyDescent="0.3">
      <c r="A2399" s="4">
        <v>2397</v>
      </c>
      <c r="B2399" s="2" t="s">
        <v>75</v>
      </c>
      <c r="C2399" s="3">
        <v>44833</v>
      </c>
      <c r="D2399" s="3" t="str">
        <f>TEXT(Table1[[#This Row],[Admission Date]],"MMMM")</f>
        <v>September</v>
      </c>
      <c r="E2399" s="3">
        <v>44843</v>
      </c>
      <c r="F2399" s="3">
        <v>44843</v>
      </c>
      <c r="G2399" s="2">
        <v>22026293</v>
      </c>
      <c r="H2399" s="2">
        <v>2233931</v>
      </c>
      <c r="I2399" s="2">
        <v>10013532559</v>
      </c>
      <c r="J2399" s="2" t="s">
        <v>1534</v>
      </c>
      <c r="K2399" s="10">
        <v>123323</v>
      </c>
      <c r="L2399" s="10">
        <v>0</v>
      </c>
      <c r="M2399" s="10">
        <v>123323</v>
      </c>
      <c r="N2399" s="10">
        <v>3275</v>
      </c>
      <c r="O2399" s="10">
        <f>Table1[[#This Row],[NET Amount]]-Table1[[#This Row],[Paid Amount]]</f>
        <v>120048</v>
      </c>
      <c r="P2399" s="2" t="s">
        <v>23</v>
      </c>
      <c r="Q2399" s="2" t="s">
        <v>24</v>
      </c>
      <c r="R2399" s="16">
        <f>(Table1[[#This Row],[NET Amount]]-Table1[[#This Row],[Total Outstanding Amount]])/Table1[[#This Row],[NET Amount]]</f>
        <v>2.6556279039595208E-2</v>
      </c>
      <c r="S2399" s="2" t="s">
        <v>20</v>
      </c>
    </row>
    <row r="2400" spans="1:19" x14ac:dyDescent="0.3">
      <c r="A2400" s="4">
        <v>2398</v>
      </c>
      <c r="B2400" s="2" t="s">
        <v>35</v>
      </c>
      <c r="C2400" s="3">
        <v>44839</v>
      </c>
      <c r="D2400" s="3" t="str">
        <f>TEXT(Table1[[#This Row],[Admission Date]],"MMMM")</f>
        <v>October</v>
      </c>
      <c r="E2400" s="3">
        <v>44839</v>
      </c>
      <c r="F2400" s="3">
        <v>44839</v>
      </c>
      <c r="G2400" s="2">
        <v>22025644</v>
      </c>
      <c r="H2400" s="2">
        <v>2234688</v>
      </c>
      <c r="I2400" s="2">
        <v>10013540183</v>
      </c>
      <c r="J2400" s="2" t="s">
        <v>99</v>
      </c>
      <c r="K2400" s="10">
        <v>1610</v>
      </c>
      <c r="L2400" s="10">
        <v>0</v>
      </c>
      <c r="M2400" s="10">
        <v>1610</v>
      </c>
      <c r="N2400" s="10">
        <v>1610</v>
      </c>
      <c r="O2400" s="10">
        <f>Table1[[#This Row],[NET Amount]]-Table1[[#This Row],[Paid Amount]]</f>
        <v>0</v>
      </c>
      <c r="P2400" s="2" t="s">
        <v>18</v>
      </c>
      <c r="Q2400" s="2" t="s">
        <v>54</v>
      </c>
      <c r="R2400" s="16">
        <f>(Table1[[#This Row],[NET Amount]]-Table1[[#This Row],[Total Outstanding Amount]])/Table1[[#This Row],[NET Amount]]</f>
        <v>1</v>
      </c>
      <c r="S2400" s="2" t="s">
        <v>97</v>
      </c>
    </row>
    <row r="2401" spans="1:19" x14ac:dyDescent="0.3">
      <c r="A2401" s="4">
        <v>2399</v>
      </c>
      <c r="B2401" s="2" t="s">
        <v>25</v>
      </c>
      <c r="C2401" s="3">
        <v>44839</v>
      </c>
      <c r="D2401" s="3" t="str">
        <f>TEXT(Table1[[#This Row],[Admission Date]],"MMMM")</f>
        <v>October</v>
      </c>
      <c r="E2401" s="3">
        <v>44839</v>
      </c>
      <c r="F2401" s="3">
        <v>44839</v>
      </c>
      <c r="G2401" s="2">
        <v>22025637</v>
      </c>
      <c r="H2401" s="2">
        <v>2234673</v>
      </c>
      <c r="I2401" s="2">
        <v>10013407139</v>
      </c>
      <c r="J2401" s="2" t="s">
        <v>237</v>
      </c>
      <c r="K2401" s="10">
        <v>2844</v>
      </c>
      <c r="L2401" s="10">
        <v>310</v>
      </c>
      <c r="M2401" s="10">
        <v>2534</v>
      </c>
      <c r="N2401" s="10">
        <v>2534</v>
      </c>
      <c r="O2401" s="10">
        <f>Table1[[#This Row],[NET Amount]]-Table1[[#This Row],[Paid Amount]]</f>
        <v>0</v>
      </c>
      <c r="P2401" s="2" t="s">
        <v>18</v>
      </c>
      <c r="Q2401" s="2" t="s">
        <v>54</v>
      </c>
      <c r="R2401" s="16">
        <f>(Table1[[#This Row],[NET Amount]]-Table1[[#This Row],[Total Outstanding Amount]])/Table1[[#This Row],[NET Amount]]</f>
        <v>1</v>
      </c>
      <c r="S2401" s="2" t="s">
        <v>97</v>
      </c>
    </row>
    <row r="2402" spans="1:19" x14ac:dyDescent="0.3">
      <c r="A2402" s="4">
        <v>2400</v>
      </c>
      <c r="B2402" s="2" t="s">
        <v>45</v>
      </c>
      <c r="C2402" s="3">
        <v>44839</v>
      </c>
      <c r="D2402" s="3" t="str">
        <f>TEXT(Table1[[#This Row],[Admission Date]],"MMMM")</f>
        <v>October</v>
      </c>
      <c r="E2402" s="3">
        <v>44839</v>
      </c>
      <c r="F2402" s="3">
        <v>44839</v>
      </c>
      <c r="G2402" s="2">
        <v>22025651</v>
      </c>
      <c r="H2402" s="2">
        <v>2234683</v>
      </c>
      <c r="I2402" s="2">
        <v>10013464572</v>
      </c>
      <c r="J2402" s="2" t="s">
        <v>278</v>
      </c>
      <c r="K2402" s="10">
        <v>4840</v>
      </c>
      <c r="L2402" s="10">
        <v>867</v>
      </c>
      <c r="M2402" s="10">
        <v>3973</v>
      </c>
      <c r="N2402" s="10">
        <v>1773</v>
      </c>
      <c r="O2402" s="10">
        <f>Table1[[#This Row],[NET Amount]]-Table1[[#This Row],[Paid Amount]]</f>
        <v>2200</v>
      </c>
      <c r="P2402" s="2" t="s">
        <v>23</v>
      </c>
      <c r="Q2402" s="2" t="s">
        <v>147</v>
      </c>
      <c r="R2402" s="16">
        <f>(Table1[[#This Row],[NET Amount]]-Table1[[#This Row],[Total Outstanding Amount]])/Table1[[#This Row],[NET Amount]]</f>
        <v>0.44626227032469168</v>
      </c>
      <c r="S2402" s="2" t="s">
        <v>97</v>
      </c>
    </row>
    <row r="2403" spans="1:19" x14ac:dyDescent="0.3">
      <c r="A2403" s="4">
        <v>2401</v>
      </c>
      <c r="B2403" s="2" t="s">
        <v>25</v>
      </c>
      <c r="C2403" s="3">
        <v>44839</v>
      </c>
      <c r="D2403" s="3" t="str">
        <f>TEXT(Table1[[#This Row],[Admission Date]],"MMMM")</f>
        <v>October</v>
      </c>
      <c r="E2403" s="3">
        <v>44839</v>
      </c>
      <c r="F2403" s="3">
        <v>44839</v>
      </c>
      <c r="G2403" s="2">
        <v>22025792</v>
      </c>
      <c r="H2403" s="2">
        <v>2234733</v>
      </c>
      <c r="I2403" s="2">
        <v>10013426616</v>
      </c>
      <c r="J2403" s="2" t="s">
        <v>459</v>
      </c>
      <c r="K2403" s="10">
        <v>124541</v>
      </c>
      <c r="L2403" s="10">
        <v>18955</v>
      </c>
      <c r="M2403" s="10">
        <v>105586</v>
      </c>
      <c r="N2403" s="10">
        <v>105586</v>
      </c>
      <c r="O2403" s="10">
        <f>Table1[[#This Row],[NET Amount]]-Table1[[#This Row],[Paid Amount]]</f>
        <v>0</v>
      </c>
      <c r="P2403" s="2" t="s">
        <v>18</v>
      </c>
      <c r="Q2403" s="2" t="s">
        <v>1263</v>
      </c>
      <c r="R2403" s="16">
        <f>(Table1[[#This Row],[NET Amount]]-Table1[[#This Row],[Total Outstanding Amount]])/Table1[[#This Row],[NET Amount]]</f>
        <v>1</v>
      </c>
      <c r="S2403" s="2" t="s">
        <v>20</v>
      </c>
    </row>
    <row r="2404" spans="1:19" x14ac:dyDescent="0.3">
      <c r="A2404" s="4">
        <v>2402</v>
      </c>
      <c r="B2404" s="2" t="s">
        <v>2291</v>
      </c>
      <c r="C2404" s="3">
        <v>44846</v>
      </c>
      <c r="D2404" s="3" t="str">
        <f>TEXT(Table1[[#This Row],[Admission Date]],"MMMM")</f>
        <v>October</v>
      </c>
      <c r="E2404" s="3">
        <v>44851</v>
      </c>
      <c r="F2404" s="3">
        <v>44851</v>
      </c>
      <c r="G2404" s="2">
        <v>22027425</v>
      </c>
      <c r="H2404" s="2">
        <v>2235756</v>
      </c>
      <c r="I2404" s="2">
        <v>10013509374</v>
      </c>
      <c r="J2404" s="2" t="s">
        <v>1535</v>
      </c>
      <c r="K2404" s="10">
        <v>60059</v>
      </c>
      <c r="L2404" s="10">
        <v>60059</v>
      </c>
      <c r="M2404" s="10">
        <v>0</v>
      </c>
      <c r="N2404" s="10">
        <v>0</v>
      </c>
      <c r="O2404" s="10">
        <f>Table1[[#This Row],[NET Amount]]-Table1[[#This Row],[Paid Amount]]</f>
        <v>0</v>
      </c>
      <c r="P2404" s="2" t="s">
        <v>18</v>
      </c>
      <c r="Q2404" s="2" t="s">
        <v>90</v>
      </c>
      <c r="R2404" s="16" t="e">
        <f>(Table1[[#This Row],[NET Amount]]-Table1[[#This Row],[Total Outstanding Amount]])/Table1[[#This Row],[NET Amount]]</f>
        <v>#DIV/0!</v>
      </c>
      <c r="S2404" s="2" t="s">
        <v>20</v>
      </c>
    </row>
    <row r="2405" spans="1:19" x14ac:dyDescent="0.3">
      <c r="A2405" s="4">
        <v>2403</v>
      </c>
      <c r="B2405" s="2" t="s">
        <v>25</v>
      </c>
      <c r="C2405" s="3">
        <v>44860</v>
      </c>
      <c r="D2405" s="3" t="str">
        <f>TEXT(Table1[[#This Row],[Admission Date]],"MMMM")</f>
        <v>October</v>
      </c>
      <c r="E2405" s="3">
        <v>44860</v>
      </c>
      <c r="F2405" s="3">
        <v>44860</v>
      </c>
      <c r="G2405" s="2">
        <v>22028693</v>
      </c>
      <c r="H2405" s="2">
        <v>2237574</v>
      </c>
      <c r="I2405" s="2">
        <v>1001130529</v>
      </c>
      <c r="J2405" s="2" t="s">
        <v>302</v>
      </c>
      <c r="K2405" s="10">
        <v>2794</v>
      </c>
      <c r="L2405" s="10">
        <v>2794</v>
      </c>
      <c r="M2405" s="10">
        <v>0</v>
      </c>
      <c r="N2405" s="10">
        <v>0</v>
      </c>
      <c r="O2405" s="10">
        <f>Table1[[#This Row],[NET Amount]]-Table1[[#This Row],[Paid Amount]]</f>
        <v>0</v>
      </c>
      <c r="P2405" s="2" t="s">
        <v>18</v>
      </c>
      <c r="Q2405" s="2" t="s">
        <v>90</v>
      </c>
      <c r="R2405" s="16" t="e">
        <f>(Table1[[#This Row],[NET Amount]]-Table1[[#This Row],[Total Outstanding Amount]])/Table1[[#This Row],[NET Amount]]</f>
        <v>#DIV/0!</v>
      </c>
      <c r="S2405" s="2" t="s">
        <v>97</v>
      </c>
    </row>
    <row r="2406" spans="1:19" x14ac:dyDescent="0.3">
      <c r="A2406" s="4">
        <v>2404</v>
      </c>
      <c r="B2406" s="2" t="s">
        <v>365</v>
      </c>
      <c r="C2406" s="3">
        <v>44828</v>
      </c>
      <c r="D2406" s="3" t="str">
        <f>TEXT(Table1[[#This Row],[Admission Date]],"MMMM")</f>
        <v>September</v>
      </c>
      <c r="E2406" s="3">
        <v>44838</v>
      </c>
      <c r="F2406" s="3">
        <v>44838</v>
      </c>
      <c r="G2406" s="2">
        <v>22025529</v>
      </c>
      <c r="H2406" s="2">
        <v>2233365</v>
      </c>
      <c r="I2406" s="2">
        <v>10013485503</v>
      </c>
      <c r="J2406" s="2" t="s">
        <v>1536</v>
      </c>
      <c r="K2406" s="10">
        <v>335497</v>
      </c>
      <c r="L2406" s="10">
        <v>23949</v>
      </c>
      <c r="M2406" s="10">
        <v>311549</v>
      </c>
      <c r="N2406" s="10">
        <v>2799</v>
      </c>
      <c r="O2406" s="10">
        <f>Table1[[#This Row],[NET Amount]]-Table1[[#This Row],[Paid Amount]]</f>
        <v>308750</v>
      </c>
      <c r="P2406" s="2" t="s">
        <v>23</v>
      </c>
      <c r="Q2406" s="2" t="s">
        <v>30</v>
      </c>
      <c r="R2406" s="16">
        <f>(Table1[[#This Row],[NET Amount]]-Table1[[#This Row],[Total Outstanding Amount]])/Table1[[#This Row],[NET Amount]]</f>
        <v>8.9841405364806184E-3</v>
      </c>
      <c r="S2406" s="2" t="s">
        <v>20</v>
      </c>
    </row>
    <row r="2407" spans="1:19" x14ac:dyDescent="0.3">
      <c r="A2407" s="4">
        <v>2405</v>
      </c>
      <c r="B2407" s="2" t="s">
        <v>117</v>
      </c>
      <c r="C2407" s="3">
        <v>44860</v>
      </c>
      <c r="D2407" s="3" t="str">
        <f>TEXT(Table1[[#This Row],[Admission Date]],"MMMM")</f>
        <v>October</v>
      </c>
      <c r="E2407" s="3">
        <v>44860</v>
      </c>
      <c r="F2407" s="3">
        <v>44860</v>
      </c>
      <c r="G2407" s="2">
        <v>22028585</v>
      </c>
      <c r="H2407" s="2">
        <v>2237437</v>
      </c>
      <c r="I2407" s="2">
        <v>1000891454</v>
      </c>
      <c r="J2407" s="2" t="s">
        <v>232</v>
      </c>
      <c r="K2407" s="10">
        <v>2064</v>
      </c>
      <c r="L2407" s="10">
        <v>0</v>
      </c>
      <c r="M2407" s="10">
        <v>2064</v>
      </c>
      <c r="N2407" s="10">
        <v>2064</v>
      </c>
      <c r="O2407" s="10">
        <f>Table1[[#This Row],[NET Amount]]-Table1[[#This Row],[Paid Amount]]</f>
        <v>0</v>
      </c>
      <c r="P2407" s="2" t="s">
        <v>18</v>
      </c>
      <c r="Q2407" s="2" t="s">
        <v>54</v>
      </c>
      <c r="R2407" s="16">
        <f>(Table1[[#This Row],[NET Amount]]-Table1[[#This Row],[Total Outstanding Amount]])/Table1[[#This Row],[NET Amount]]</f>
        <v>1</v>
      </c>
      <c r="S2407" s="2" t="s">
        <v>97</v>
      </c>
    </row>
    <row r="2408" spans="1:19" x14ac:dyDescent="0.3">
      <c r="A2408" s="4">
        <v>2406</v>
      </c>
      <c r="B2408" s="2" t="s">
        <v>25</v>
      </c>
      <c r="C2408" s="3">
        <v>44860</v>
      </c>
      <c r="D2408" s="3" t="str">
        <f>TEXT(Table1[[#This Row],[Admission Date]],"MMMM")</f>
        <v>October</v>
      </c>
      <c r="E2408" s="3">
        <v>44860</v>
      </c>
      <c r="F2408" s="3">
        <v>44860</v>
      </c>
      <c r="G2408" s="2">
        <v>22028589</v>
      </c>
      <c r="H2408" s="2">
        <v>2237438</v>
      </c>
      <c r="I2408" s="2">
        <v>10013533576</v>
      </c>
      <c r="J2408" s="2" t="s">
        <v>143</v>
      </c>
      <c r="K2408" s="10">
        <v>2844</v>
      </c>
      <c r="L2408" s="10">
        <v>281</v>
      </c>
      <c r="M2408" s="10">
        <v>2563</v>
      </c>
      <c r="N2408" s="10">
        <v>2563</v>
      </c>
      <c r="O2408" s="10">
        <f>Table1[[#This Row],[NET Amount]]-Table1[[#This Row],[Paid Amount]]</f>
        <v>0</v>
      </c>
      <c r="P2408" s="2" t="s">
        <v>18</v>
      </c>
      <c r="Q2408" s="2" t="s">
        <v>54</v>
      </c>
      <c r="R2408" s="16">
        <f>(Table1[[#This Row],[NET Amount]]-Table1[[#This Row],[Total Outstanding Amount]])/Table1[[#This Row],[NET Amount]]</f>
        <v>1</v>
      </c>
      <c r="S2408" s="2" t="s">
        <v>97</v>
      </c>
    </row>
    <row r="2409" spans="1:19" x14ac:dyDescent="0.3">
      <c r="A2409" s="4">
        <v>2407</v>
      </c>
      <c r="B2409" s="2" t="s">
        <v>152</v>
      </c>
      <c r="C2409" s="3">
        <v>44857</v>
      </c>
      <c r="D2409" s="3" t="str">
        <f>TEXT(Table1[[#This Row],[Admission Date]],"MMMM")</f>
        <v>October</v>
      </c>
      <c r="E2409" s="3">
        <v>44861</v>
      </c>
      <c r="F2409" s="3">
        <v>44861</v>
      </c>
      <c r="G2409" s="2">
        <v>22028812</v>
      </c>
      <c r="H2409" s="2">
        <v>2237171</v>
      </c>
      <c r="I2409" s="2">
        <v>10013442613</v>
      </c>
      <c r="J2409" s="2" t="s">
        <v>1537</v>
      </c>
      <c r="K2409" s="10">
        <v>67370</v>
      </c>
      <c r="L2409" s="10">
        <v>0</v>
      </c>
      <c r="M2409" s="10">
        <v>67370</v>
      </c>
      <c r="N2409" s="10">
        <v>520</v>
      </c>
      <c r="O2409" s="10">
        <f>Table1[[#This Row],[NET Amount]]-Table1[[#This Row],[Paid Amount]]</f>
        <v>66850</v>
      </c>
      <c r="P2409" s="2" t="s">
        <v>23</v>
      </c>
      <c r="Q2409" s="2" t="s">
        <v>19</v>
      </c>
      <c r="R2409" s="16">
        <f>(Table1[[#This Row],[NET Amount]]-Table1[[#This Row],[Total Outstanding Amount]])/Table1[[#This Row],[NET Amount]]</f>
        <v>7.718569096036812E-3</v>
      </c>
      <c r="S2409" s="2" t="s">
        <v>20</v>
      </c>
    </row>
    <row r="2410" spans="1:19" x14ac:dyDescent="0.3">
      <c r="A2410" s="4">
        <v>2408</v>
      </c>
      <c r="B2410" s="2" t="s">
        <v>25</v>
      </c>
      <c r="C2410" s="3">
        <v>44852</v>
      </c>
      <c r="D2410" s="3" t="str">
        <f>TEXT(Table1[[#This Row],[Admission Date]],"MMMM")</f>
        <v>October</v>
      </c>
      <c r="E2410" s="3">
        <v>44852</v>
      </c>
      <c r="F2410" s="3">
        <v>44852</v>
      </c>
      <c r="G2410" s="2">
        <v>22027520</v>
      </c>
      <c r="H2410" s="2">
        <v>2236435</v>
      </c>
      <c r="I2410" s="2">
        <v>1000891305</v>
      </c>
      <c r="J2410" s="2" t="s">
        <v>725</v>
      </c>
      <c r="K2410" s="10">
        <v>2844</v>
      </c>
      <c r="L2410" s="10">
        <v>285</v>
      </c>
      <c r="M2410" s="10">
        <v>2559</v>
      </c>
      <c r="N2410" s="10">
        <v>2559</v>
      </c>
      <c r="O2410" s="10">
        <f>Table1[[#This Row],[NET Amount]]-Table1[[#This Row],[Paid Amount]]</f>
        <v>0</v>
      </c>
      <c r="P2410" s="2" t="s">
        <v>18</v>
      </c>
      <c r="Q2410" s="2" t="s">
        <v>54</v>
      </c>
      <c r="R2410" s="16">
        <f>(Table1[[#This Row],[NET Amount]]-Table1[[#This Row],[Total Outstanding Amount]])/Table1[[#This Row],[NET Amount]]</f>
        <v>1</v>
      </c>
      <c r="S2410" s="2" t="s">
        <v>97</v>
      </c>
    </row>
    <row r="2411" spans="1:19" x14ac:dyDescent="0.3">
      <c r="A2411" s="4">
        <v>2409</v>
      </c>
      <c r="B2411" s="2" t="s">
        <v>25</v>
      </c>
      <c r="C2411" s="3">
        <v>44852</v>
      </c>
      <c r="D2411" s="3" t="str">
        <f>TEXT(Table1[[#This Row],[Admission Date]],"MMMM")</f>
        <v>October</v>
      </c>
      <c r="E2411" s="3">
        <v>44852</v>
      </c>
      <c r="F2411" s="3">
        <v>44852</v>
      </c>
      <c r="G2411" s="2">
        <v>22027538</v>
      </c>
      <c r="H2411" s="2">
        <v>2236450</v>
      </c>
      <c r="I2411" s="2">
        <v>10013541160</v>
      </c>
      <c r="J2411" s="2" t="s">
        <v>336</v>
      </c>
      <c r="K2411" s="10">
        <v>4990</v>
      </c>
      <c r="L2411" s="10">
        <v>536</v>
      </c>
      <c r="M2411" s="10">
        <v>4454</v>
      </c>
      <c r="N2411" s="10">
        <v>4454</v>
      </c>
      <c r="O2411" s="10">
        <f>Table1[[#This Row],[NET Amount]]-Table1[[#This Row],[Paid Amount]]</f>
        <v>0</v>
      </c>
      <c r="P2411" s="2" t="s">
        <v>18</v>
      </c>
      <c r="Q2411" s="2" t="s">
        <v>54</v>
      </c>
      <c r="R2411" s="16">
        <f>(Table1[[#This Row],[NET Amount]]-Table1[[#This Row],[Total Outstanding Amount]])/Table1[[#This Row],[NET Amount]]</f>
        <v>1</v>
      </c>
      <c r="S2411" s="2" t="s">
        <v>97</v>
      </c>
    </row>
    <row r="2412" spans="1:19" x14ac:dyDescent="0.3">
      <c r="A2412" s="4">
        <v>2410</v>
      </c>
      <c r="B2412" s="2" t="s">
        <v>2257</v>
      </c>
      <c r="C2412" s="3">
        <v>44852</v>
      </c>
      <c r="D2412" s="3" t="str">
        <f>TEXT(Table1[[#This Row],[Admission Date]],"MMMM")</f>
        <v>October</v>
      </c>
      <c r="E2412" s="3">
        <v>44852</v>
      </c>
      <c r="F2412" s="3">
        <v>44852</v>
      </c>
      <c r="G2412" s="2">
        <v>22027581</v>
      </c>
      <c r="H2412" s="2">
        <v>2236500</v>
      </c>
      <c r="I2412" s="2">
        <v>1001689981</v>
      </c>
      <c r="J2412" s="2" t="s">
        <v>253</v>
      </c>
      <c r="K2412" s="10">
        <v>2000</v>
      </c>
      <c r="L2412" s="10">
        <v>0</v>
      </c>
      <c r="M2412" s="10">
        <v>2000</v>
      </c>
      <c r="N2412" s="10">
        <v>24</v>
      </c>
      <c r="O2412" s="10">
        <f>Table1[[#This Row],[NET Amount]]-Table1[[#This Row],[Paid Amount]]</f>
        <v>1976</v>
      </c>
      <c r="P2412" s="2" t="s">
        <v>23</v>
      </c>
      <c r="Q2412" s="2" t="s">
        <v>54</v>
      </c>
      <c r="R2412" s="16">
        <f>(Table1[[#This Row],[NET Amount]]-Table1[[#This Row],[Total Outstanding Amount]])/Table1[[#This Row],[NET Amount]]</f>
        <v>1.2E-2</v>
      </c>
      <c r="S2412" s="2" t="s">
        <v>97</v>
      </c>
    </row>
    <row r="2413" spans="1:19" x14ac:dyDescent="0.3">
      <c r="A2413" s="4">
        <v>2411</v>
      </c>
      <c r="B2413" s="2" t="s">
        <v>2256</v>
      </c>
      <c r="C2413" s="3">
        <v>44852</v>
      </c>
      <c r="D2413" s="3" t="str">
        <f>TEXT(Table1[[#This Row],[Admission Date]],"MMMM")</f>
        <v>October</v>
      </c>
      <c r="E2413" s="3">
        <v>44852</v>
      </c>
      <c r="F2413" s="3">
        <v>44852</v>
      </c>
      <c r="G2413" s="2">
        <v>22027621</v>
      </c>
      <c r="H2413" s="2">
        <v>2236523</v>
      </c>
      <c r="I2413" s="2">
        <v>1001658205</v>
      </c>
      <c r="J2413" s="2" t="s">
        <v>238</v>
      </c>
      <c r="K2413" s="10">
        <v>2950</v>
      </c>
      <c r="L2413" s="10">
        <v>0</v>
      </c>
      <c r="M2413" s="10">
        <v>2950</v>
      </c>
      <c r="N2413" s="10">
        <v>295</v>
      </c>
      <c r="O2413" s="10">
        <f>Table1[[#This Row],[NET Amount]]-Table1[[#This Row],[Paid Amount]]</f>
        <v>2655</v>
      </c>
      <c r="P2413" s="2" t="s">
        <v>23</v>
      </c>
      <c r="Q2413" s="2" t="s">
        <v>54</v>
      </c>
      <c r="R2413" s="16">
        <f>(Table1[[#This Row],[NET Amount]]-Table1[[#This Row],[Total Outstanding Amount]])/Table1[[#This Row],[NET Amount]]</f>
        <v>0.1</v>
      </c>
      <c r="S2413" s="2" t="s">
        <v>97</v>
      </c>
    </row>
    <row r="2414" spans="1:19" x14ac:dyDescent="0.3">
      <c r="A2414" s="4">
        <v>2412</v>
      </c>
      <c r="B2414" s="2" t="s">
        <v>2279</v>
      </c>
      <c r="C2414" s="3">
        <v>44862</v>
      </c>
      <c r="D2414" s="3" t="str">
        <f>TEXT(Table1[[#This Row],[Admission Date]],"MMMM")</f>
        <v>October</v>
      </c>
      <c r="E2414" s="3">
        <v>44865</v>
      </c>
      <c r="F2414" s="3">
        <v>44865</v>
      </c>
      <c r="G2414" s="2">
        <v>22029263</v>
      </c>
      <c r="H2414" s="2">
        <v>2237850</v>
      </c>
      <c r="I2414" s="2">
        <v>1001806795</v>
      </c>
      <c r="J2414" s="2" t="s">
        <v>1538</v>
      </c>
      <c r="K2414" s="10">
        <v>2611</v>
      </c>
      <c r="L2414" s="10">
        <v>0</v>
      </c>
      <c r="M2414" s="10">
        <v>2610</v>
      </c>
      <c r="N2414" s="10">
        <v>2610</v>
      </c>
      <c r="O2414" s="10">
        <f>Table1[[#This Row],[NET Amount]]-Table1[[#This Row],[Paid Amount]]</f>
        <v>0</v>
      </c>
      <c r="P2414" s="2" t="s">
        <v>18</v>
      </c>
      <c r="Q2414" s="2" t="s">
        <v>30</v>
      </c>
      <c r="R2414" s="16">
        <f>(Table1[[#This Row],[NET Amount]]-Table1[[#This Row],[Total Outstanding Amount]])/Table1[[#This Row],[NET Amount]]</f>
        <v>1</v>
      </c>
      <c r="S2414" s="2" t="s">
        <v>37</v>
      </c>
    </row>
    <row r="2415" spans="1:19" x14ac:dyDescent="0.3">
      <c r="A2415" s="4">
        <v>2413</v>
      </c>
      <c r="B2415" s="2" t="s">
        <v>25</v>
      </c>
      <c r="C2415" s="3">
        <v>44853</v>
      </c>
      <c r="D2415" s="3" t="str">
        <f>TEXT(Table1[[#This Row],[Admission Date]],"MMMM")</f>
        <v>October</v>
      </c>
      <c r="E2415" s="3">
        <v>44853</v>
      </c>
      <c r="F2415" s="3">
        <v>44853</v>
      </c>
      <c r="G2415" s="2">
        <v>22027710</v>
      </c>
      <c r="H2415" s="2">
        <v>2236608</v>
      </c>
      <c r="I2415" s="2">
        <v>10013533576</v>
      </c>
      <c r="J2415" s="2" t="s">
        <v>143</v>
      </c>
      <c r="K2415" s="10">
        <v>2844</v>
      </c>
      <c r="L2415" s="10">
        <v>285</v>
      </c>
      <c r="M2415" s="10">
        <v>2559</v>
      </c>
      <c r="N2415" s="10">
        <v>2559</v>
      </c>
      <c r="O2415" s="10">
        <f>Table1[[#This Row],[NET Amount]]-Table1[[#This Row],[Paid Amount]]</f>
        <v>0</v>
      </c>
      <c r="P2415" s="2" t="s">
        <v>18</v>
      </c>
      <c r="Q2415" s="2" t="s">
        <v>54</v>
      </c>
      <c r="R2415" s="16">
        <f>(Table1[[#This Row],[NET Amount]]-Table1[[#This Row],[Total Outstanding Amount]])/Table1[[#This Row],[NET Amount]]</f>
        <v>1</v>
      </c>
      <c r="S2415" s="2" t="s">
        <v>97</v>
      </c>
    </row>
    <row r="2416" spans="1:19" x14ac:dyDescent="0.3">
      <c r="A2416" s="4">
        <v>2414</v>
      </c>
      <c r="B2416" s="2" t="s">
        <v>155</v>
      </c>
      <c r="C2416" s="3">
        <v>44853</v>
      </c>
      <c r="D2416" s="3" t="str">
        <f>TEXT(Table1[[#This Row],[Admission Date]],"MMMM")</f>
        <v>October</v>
      </c>
      <c r="E2416" s="3">
        <v>44853</v>
      </c>
      <c r="F2416" s="3">
        <v>44853</v>
      </c>
      <c r="G2416" s="2">
        <v>22027702</v>
      </c>
      <c r="H2416" s="2">
        <v>2236612</v>
      </c>
      <c r="I2416" s="2">
        <v>10013362937</v>
      </c>
      <c r="J2416" s="2" t="s">
        <v>963</v>
      </c>
      <c r="K2416" s="10">
        <v>1610</v>
      </c>
      <c r="L2416" s="10">
        <v>0</v>
      </c>
      <c r="M2416" s="10">
        <v>1610</v>
      </c>
      <c r="N2416" s="10">
        <v>1610</v>
      </c>
      <c r="O2416" s="10">
        <f>Table1[[#This Row],[NET Amount]]-Table1[[#This Row],[Paid Amount]]</f>
        <v>0</v>
      </c>
      <c r="P2416" s="2" t="s">
        <v>18</v>
      </c>
      <c r="Q2416" s="2" t="s">
        <v>54</v>
      </c>
      <c r="R2416" s="16">
        <f>(Table1[[#This Row],[NET Amount]]-Table1[[#This Row],[Total Outstanding Amount]])/Table1[[#This Row],[NET Amount]]</f>
        <v>1</v>
      </c>
      <c r="S2416" s="2" t="s">
        <v>97</v>
      </c>
    </row>
    <row r="2417" spans="1:19" x14ac:dyDescent="0.3">
      <c r="A2417" s="4">
        <v>2415</v>
      </c>
      <c r="B2417" s="2" t="s">
        <v>35</v>
      </c>
      <c r="C2417" s="3">
        <v>44862</v>
      </c>
      <c r="D2417" s="3" t="str">
        <f>TEXT(Table1[[#This Row],[Admission Date]],"MMMM")</f>
        <v>October</v>
      </c>
      <c r="E2417" s="3">
        <v>44862</v>
      </c>
      <c r="F2417" s="3">
        <v>44862</v>
      </c>
      <c r="G2417" s="2">
        <v>22028922</v>
      </c>
      <c r="H2417" s="2">
        <v>2237807</v>
      </c>
      <c r="I2417" s="2">
        <v>10013519440</v>
      </c>
      <c r="J2417" s="2" t="s">
        <v>339</v>
      </c>
      <c r="K2417" s="10">
        <v>1610</v>
      </c>
      <c r="L2417" s="10">
        <v>0</v>
      </c>
      <c r="M2417" s="10">
        <v>1610</v>
      </c>
      <c r="N2417" s="10">
        <v>1610</v>
      </c>
      <c r="O2417" s="10">
        <f>Table1[[#This Row],[NET Amount]]-Table1[[#This Row],[Paid Amount]]</f>
        <v>0</v>
      </c>
      <c r="P2417" s="2" t="s">
        <v>18</v>
      </c>
      <c r="Q2417" s="2" t="s">
        <v>54</v>
      </c>
      <c r="R2417" s="16">
        <f>(Table1[[#This Row],[NET Amount]]-Table1[[#This Row],[Total Outstanding Amount]])/Table1[[#This Row],[NET Amount]]</f>
        <v>1</v>
      </c>
      <c r="S2417" s="2" t="s">
        <v>97</v>
      </c>
    </row>
    <row r="2418" spans="1:19" x14ac:dyDescent="0.3">
      <c r="A2418" s="4">
        <v>2416</v>
      </c>
      <c r="B2418" s="2" t="s">
        <v>40</v>
      </c>
      <c r="C2418" s="3">
        <v>44862</v>
      </c>
      <c r="D2418" s="3" t="str">
        <f>TEXT(Table1[[#This Row],[Admission Date]],"MMMM")</f>
        <v>October</v>
      </c>
      <c r="E2418" s="3">
        <v>44862</v>
      </c>
      <c r="F2418" s="3">
        <v>44862</v>
      </c>
      <c r="G2418" s="2">
        <v>22028930</v>
      </c>
      <c r="H2418" s="2">
        <v>2237787</v>
      </c>
      <c r="I2418" s="2">
        <v>1001300227</v>
      </c>
      <c r="J2418" s="2" t="s">
        <v>202</v>
      </c>
      <c r="K2418" s="10">
        <v>2200</v>
      </c>
      <c r="L2418" s="10">
        <v>0</v>
      </c>
      <c r="M2418" s="10">
        <v>2200</v>
      </c>
      <c r="N2418" s="10">
        <v>2200</v>
      </c>
      <c r="O2418" s="10">
        <f>Table1[[#This Row],[NET Amount]]-Table1[[#This Row],[Paid Amount]]</f>
        <v>0</v>
      </c>
      <c r="P2418" s="2" t="s">
        <v>18</v>
      </c>
      <c r="Q2418" s="2" t="s">
        <v>147</v>
      </c>
      <c r="R2418" s="16">
        <f>(Table1[[#This Row],[NET Amount]]-Table1[[#This Row],[Total Outstanding Amount]])/Table1[[#This Row],[NET Amount]]</f>
        <v>1</v>
      </c>
      <c r="S2418" s="2" t="s">
        <v>97</v>
      </c>
    </row>
    <row r="2419" spans="1:19" x14ac:dyDescent="0.3">
      <c r="A2419" s="4">
        <v>2417</v>
      </c>
      <c r="B2419" s="2" t="s">
        <v>25</v>
      </c>
      <c r="C2419" s="3">
        <v>44862</v>
      </c>
      <c r="D2419" s="3" t="str">
        <f>TEXT(Table1[[#This Row],[Admission Date]],"MMMM")</f>
        <v>October</v>
      </c>
      <c r="E2419" s="3">
        <v>44862</v>
      </c>
      <c r="F2419" s="3">
        <v>44862</v>
      </c>
      <c r="G2419" s="2">
        <v>22028934</v>
      </c>
      <c r="H2419" s="2">
        <v>2237821</v>
      </c>
      <c r="I2419" s="2">
        <v>10013527702</v>
      </c>
      <c r="J2419" s="2" t="s">
        <v>553</v>
      </c>
      <c r="K2419" s="10">
        <v>4990</v>
      </c>
      <c r="L2419" s="10">
        <v>433</v>
      </c>
      <c r="M2419" s="10">
        <v>4557</v>
      </c>
      <c r="N2419" s="10">
        <v>4557</v>
      </c>
      <c r="O2419" s="10">
        <f>Table1[[#This Row],[NET Amount]]-Table1[[#This Row],[Paid Amount]]</f>
        <v>0</v>
      </c>
      <c r="P2419" s="2" t="s">
        <v>18</v>
      </c>
      <c r="Q2419" s="2" t="s">
        <v>54</v>
      </c>
      <c r="R2419" s="16">
        <f>(Table1[[#This Row],[NET Amount]]-Table1[[#This Row],[Total Outstanding Amount]])/Table1[[#This Row],[NET Amount]]</f>
        <v>1</v>
      </c>
      <c r="S2419" s="2" t="s">
        <v>97</v>
      </c>
    </row>
    <row r="2420" spans="1:19" x14ac:dyDescent="0.3">
      <c r="A2420" s="4">
        <v>2418</v>
      </c>
      <c r="B2420" s="2" t="s">
        <v>25</v>
      </c>
      <c r="C2420" s="3">
        <v>44838</v>
      </c>
      <c r="D2420" s="3" t="str">
        <f>TEXT(Table1[[#This Row],[Admission Date]],"MMMM")</f>
        <v>October</v>
      </c>
      <c r="E2420" s="3">
        <v>44840</v>
      </c>
      <c r="F2420" s="3">
        <v>44840</v>
      </c>
      <c r="G2420" s="2">
        <v>22025794</v>
      </c>
      <c r="H2420" s="2">
        <v>2234589</v>
      </c>
      <c r="I2420" s="2">
        <v>10013541561</v>
      </c>
      <c r="J2420" s="2" t="s">
        <v>1539</v>
      </c>
      <c r="K2420" s="10">
        <v>119678</v>
      </c>
      <c r="L2420" s="10">
        <v>14121</v>
      </c>
      <c r="M2420" s="10">
        <v>105556</v>
      </c>
      <c r="N2420" s="10">
        <v>105556</v>
      </c>
      <c r="O2420" s="10">
        <f>Table1[[#This Row],[NET Amount]]-Table1[[#This Row],[Paid Amount]]</f>
        <v>0</v>
      </c>
      <c r="P2420" s="2" t="s">
        <v>18</v>
      </c>
      <c r="Q2420" s="2" t="s">
        <v>24</v>
      </c>
      <c r="R2420" s="16">
        <f>(Table1[[#This Row],[NET Amount]]-Table1[[#This Row],[Total Outstanding Amount]])/Table1[[#This Row],[NET Amount]]</f>
        <v>1</v>
      </c>
      <c r="S2420" s="2" t="s">
        <v>39</v>
      </c>
    </row>
    <row r="2421" spans="1:19" x14ac:dyDescent="0.3">
      <c r="A2421" s="4">
        <v>2419</v>
      </c>
      <c r="B2421" s="2" t="s">
        <v>25</v>
      </c>
      <c r="C2421" s="3">
        <v>44836</v>
      </c>
      <c r="D2421" s="3" t="str">
        <f>TEXT(Table1[[#This Row],[Admission Date]],"MMMM")</f>
        <v>October</v>
      </c>
      <c r="E2421" s="3">
        <v>44837</v>
      </c>
      <c r="F2421" s="3">
        <v>44837</v>
      </c>
      <c r="G2421" s="2">
        <v>22025331</v>
      </c>
      <c r="H2421" s="2">
        <v>2234301</v>
      </c>
      <c r="I2421" s="2">
        <v>10013541176</v>
      </c>
      <c r="J2421" s="2" t="s">
        <v>1540</v>
      </c>
      <c r="K2421" s="10">
        <v>46692</v>
      </c>
      <c r="L2421" s="10">
        <v>5995</v>
      </c>
      <c r="M2421" s="10">
        <v>40697</v>
      </c>
      <c r="N2421" s="10">
        <v>40697</v>
      </c>
      <c r="O2421" s="10">
        <f>Table1[[#This Row],[NET Amount]]-Table1[[#This Row],[Paid Amount]]</f>
        <v>0</v>
      </c>
      <c r="P2421" s="2" t="s">
        <v>18</v>
      </c>
      <c r="Q2421" s="2" t="s">
        <v>30</v>
      </c>
      <c r="R2421" s="16">
        <f>(Table1[[#This Row],[NET Amount]]-Table1[[#This Row],[Total Outstanding Amount]])/Table1[[#This Row],[NET Amount]]</f>
        <v>1</v>
      </c>
      <c r="S2421" s="2" t="s">
        <v>27</v>
      </c>
    </row>
    <row r="2422" spans="1:19" x14ac:dyDescent="0.3">
      <c r="A2422" s="4">
        <v>2420</v>
      </c>
      <c r="B2422" s="2" t="s">
        <v>50</v>
      </c>
      <c r="C2422" s="3">
        <v>44842</v>
      </c>
      <c r="D2422" s="3" t="str">
        <f>TEXT(Table1[[#This Row],[Admission Date]],"MMMM")</f>
        <v>October</v>
      </c>
      <c r="E2422" s="3">
        <v>44842</v>
      </c>
      <c r="F2422" s="3">
        <v>44842</v>
      </c>
      <c r="G2422" s="2">
        <v>22026222</v>
      </c>
      <c r="H2422" s="2">
        <v>2235217</v>
      </c>
      <c r="I2422" s="2">
        <v>10013538474</v>
      </c>
      <c r="J2422" s="2" t="s">
        <v>324</v>
      </c>
      <c r="K2422" s="10">
        <v>2200</v>
      </c>
      <c r="L2422" s="10">
        <v>0</v>
      </c>
      <c r="M2422" s="10">
        <v>2200</v>
      </c>
      <c r="N2422" s="10">
        <v>440</v>
      </c>
      <c r="O2422" s="10">
        <f>Table1[[#This Row],[NET Amount]]-Table1[[#This Row],[Paid Amount]]</f>
        <v>1760</v>
      </c>
      <c r="P2422" s="2" t="s">
        <v>23</v>
      </c>
      <c r="Q2422" s="2" t="s">
        <v>147</v>
      </c>
      <c r="R2422" s="16">
        <f>(Table1[[#This Row],[NET Amount]]-Table1[[#This Row],[Total Outstanding Amount]])/Table1[[#This Row],[NET Amount]]</f>
        <v>0.2</v>
      </c>
      <c r="S2422" s="2" t="s">
        <v>97</v>
      </c>
    </row>
    <row r="2423" spans="1:19" x14ac:dyDescent="0.3">
      <c r="A2423" s="4">
        <v>2421</v>
      </c>
      <c r="B2423" s="2" t="s">
        <v>117</v>
      </c>
      <c r="C2423" s="3">
        <v>44842</v>
      </c>
      <c r="D2423" s="3" t="str">
        <f>TEXT(Table1[[#This Row],[Admission Date]],"MMMM")</f>
        <v>October</v>
      </c>
      <c r="E2423" s="3">
        <v>44842</v>
      </c>
      <c r="F2423" s="3">
        <v>44842</v>
      </c>
      <c r="G2423" s="2">
        <v>22026240</v>
      </c>
      <c r="H2423" s="2">
        <v>2235243</v>
      </c>
      <c r="I2423" s="2">
        <v>1001439428</v>
      </c>
      <c r="J2423" s="2" t="s">
        <v>189</v>
      </c>
      <c r="K2423" s="10">
        <v>2758</v>
      </c>
      <c r="L2423" s="10">
        <v>0</v>
      </c>
      <c r="M2423" s="10">
        <v>2758</v>
      </c>
      <c r="N2423" s="10">
        <v>2758</v>
      </c>
      <c r="O2423" s="10">
        <f>Table1[[#This Row],[NET Amount]]-Table1[[#This Row],[Paid Amount]]</f>
        <v>0</v>
      </c>
      <c r="P2423" s="2" t="s">
        <v>18</v>
      </c>
      <c r="Q2423" s="2" t="s">
        <v>54</v>
      </c>
      <c r="R2423" s="16">
        <f>(Table1[[#This Row],[NET Amount]]-Table1[[#This Row],[Total Outstanding Amount]])/Table1[[#This Row],[NET Amount]]</f>
        <v>1</v>
      </c>
      <c r="S2423" s="2" t="s">
        <v>97</v>
      </c>
    </row>
    <row r="2424" spans="1:19" x14ac:dyDescent="0.3">
      <c r="A2424" s="4">
        <v>2422</v>
      </c>
      <c r="B2424" s="2" t="s">
        <v>126</v>
      </c>
      <c r="C2424" s="3">
        <v>44855</v>
      </c>
      <c r="D2424" s="3" t="str">
        <f>TEXT(Table1[[#This Row],[Admission Date]],"MMMM")</f>
        <v>October</v>
      </c>
      <c r="E2424" s="3">
        <v>44857</v>
      </c>
      <c r="F2424" s="3">
        <v>44857</v>
      </c>
      <c r="G2424" s="2">
        <v>22028348</v>
      </c>
      <c r="H2424" s="2">
        <v>2236879</v>
      </c>
      <c r="I2424" s="2">
        <v>10013369779</v>
      </c>
      <c r="J2424" s="2" t="s">
        <v>1541</v>
      </c>
      <c r="K2424" s="10">
        <v>74348</v>
      </c>
      <c r="L2424" s="10">
        <v>0</v>
      </c>
      <c r="M2424" s="10">
        <v>74348</v>
      </c>
      <c r="N2424" s="10">
        <v>2188</v>
      </c>
      <c r="O2424" s="10">
        <f>Table1[[#This Row],[NET Amount]]-Table1[[#This Row],[Paid Amount]]</f>
        <v>72160</v>
      </c>
      <c r="P2424" s="2" t="s">
        <v>23</v>
      </c>
      <c r="Q2424" s="2" t="s">
        <v>19</v>
      </c>
      <c r="R2424" s="16">
        <f>(Table1[[#This Row],[NET Amount]]-Table1[[#This Row],[Total Outstanding Amount]])/Table1[[#This Row],[NET Amount]]</f>
        <v>2.9429170925915963E-2</v>
      </c>
      <c r="S2424" s="2" t="s">
        <v>77</v>
      </c>
    </row>
    <row r="2425" spans="1:19" x14ac:dyDescent="0.3">
      <c r="A2425" s="4">
        <v>2423</v>
      </c>
      <c r="B2425" s="2" t="s">
        <v>35</v>
      </c>
      <c r="C2425" s="3">
        <v>44859</v>
      </c>
      <c r="D2425" s="3" t="str">
        <f>TEXT(Table1[[#This Row],[Admission Date]],"MMMM")</f>
        <v>October</v>
      </c>
      <c r="E2425" s="3">
        <v>44859</v>
      </c>
      <c r="F2425" s="3">
        <v>44859</v>
      </c>
      <c r="G2425" s="2">
        <v>22028530</v>
      </c>
      <c r="H2425" s="2">
        <v>2237287</v>
      </c>
      <c r="I2425" s="2">
        <v>10013487696</v>
      </c>
      <c r="J2425" s="2" t="s">
        <v>359</v>
      </c>
      <c r="K2425" s="10">
        <v>1610</v>
      </c>
      <c r="L2425" s="10">
        <v>0</v>
      </c>
      <c r="M2425" s="10">
        <v>1610</v>
      </c>
      <c r="N2425" s="10">
        <v>1610</v>
      </c>
      <c r="O2425" s="10">
        <f>Table1[[#This Row],[NET Amount]]-Table1[[#This Row],[Paid Amount]]</f>
        <v>0</v>
      </c>
      <c r="P2425" s="2" t="s">
        <v>18</v>
      </c>
      <c r="Q2425" s="2" t="s">
        <v>54</v>
      </c>
      <c r="R2425" s="16">
        <f>(Table1[[#This Row],[NET Amount]]-Table1[[#This Row],[Total Outstanding Amount]])/Table1[[#This Row],[NET Amount]]</f>
        <v>1</v>
      </c>
      <c r="S2425" s="2" t="s">
        <v>97</v>
      </c>
    </row>
    <row r="2426" spans="1:19" x14ac:dyDescent="0.3">
      <c r="A2426" s="4">
        <v>2424</v>
      </c>
      <c r="B2426" s="2" t="s">
        <v>2253</v>
      </c>
      <c r="C2426" s="3">
        <v>44853</v>
      </c>
      <c r="D2426" s="3" t="str">
        <f>TEXT(Table1[[#This Row],[Admission Date]],"MMMM")</f>
        <v>October</v>
      </c>
      <c r="E2426" s="3">
        <v>44864</v>
      </c>
      <c r="F2426" s="3">
        <v>44864</v>
      </c>
      <c r="G2426" s="2">
        <v>22029210</v>
      </c>
      <c r="H2426" s="2">
        <v>2236629</v>
      </c>
      <c r="I2426" s="2">
        <v>1001440396</v>
      </c>
      <c r="J2426" s="2" t="s">
        <v>1542</v>
      </c>
      <c r="K2426" s="10">
        <v>116133</v>
      </c>
      <c r="L2426" s="10">
        <v>0</v>
      </c>
      <c r="M2426" s="10">
        <v>116133</v>
      </c>
      <c r="N2426" s="10">
        <v>4015</v>
      </c>
      <c r="O2426" s="10">
        <f>Table1[[#This Row],[NET Amount]]-Table1[[#This Row],[Paid Amount]]</f>
        <v>112118</v>
      </c>
      <c r="P2426" s="2" t="s">
        <v>23</v>
      </c>
      <c r="Q2426" s="2" t="s">
        <v>24</v>
      </c>
      <c r="R2426" s="16">
        <f>(Table1[[#This Row],[NET Amount]]-Table1[[#This Row],[Total Outstanding Amount]])/Table1[[#This Row],[NET Amount]]</f>
        <v>3.4572429886423325E-2</v>
      </c>
      <c r="S2426" s="2" t="s">
        <v>20</v>
      </c>
    </row>
    <row r="2427" spans="1:19" x14ac:dyDescent="0.3">
      <c r="A2427" s="4">
        <v>2425</v>
      </c>
      <c r="B2427" s="2" t="s">
        <v>25</v>
      </c>
      <c r="C2427" s="3">
        <v>44865</v>
      </c>
      <c r="D2427" s="3" t="str">
        <f>TEXT(Table1[[#This Row],[Admission Date]],"MMMM")</f>
        <v>October</v>
      </c>
      <c r="E2427" s="3">
        <v>44865</v>
      </c>
      <c r="F2427" s="3">
        <v>44865</v>
      </c>
      <c r="G2427" s="2">
        <v>22029249</v>
      </c>
      <c r="H2427" s="2">
        <v>2238150</v>
      </c>
      <c r="I2427" s="2">
        <v>1001542684</v>
      </c>
      <c r="J2427" s="2" t="s">
        <v>176</v>
      </c>
      <c r="K2427" s="10">
        <v>4990</v>
      </c>
      <c r="L2427" s="10">
        <v>414</v>
      </c>
      <c r="M2427" s="10">
        <v>4576</v>
      </c>
      <c r="N2427" s="10">
        <v>4576</v>
      </c>
      <c r="O2427" s="10">
        <f>Table1[[#This Row],[NET Amount]]-Table1[[#This Row],[Paid Amount]]</f>
        <v>0</v>
      </c>
      <c r="P2427" s="2" t="s">
        <v>18</v>
      </c>
      <c r="Q2427" s="2" t="s">
        <v>54</v>
      </c>
      <c r="R2427" s="16">
        <f>(Table1[[#This Row],[NET Amount]]-Table1[[#This Row],[Total Outstanding Amount]])/Table1[[#This Row],[NET Amount]]</f>
        <v>1</v>
      </c>
      <c r="S2427" s="2" t="s">
        <v>97</v>
      </c>
    </row>
    <row r="2428" spans="1:19" x14ac:dyDescent="0.3">
      <c r="A2428" s="4">
        <v>2426</v>
      </c>
      <c r="B2428" s="2" t="s">
        <v>155</v>
      </c>
      <c r="C2428" s="3">
        <v>44865</v>
      </c>
      <c r="D2428" s="3" t="str">
        <f>TEXT(Table1[[#This Row],[Admission Date]],"MMMM")</f>
        <v>October</v>
      </c>
      <c r="E2428" s="3">
        <v>44865</v>
      </c>
      <c r="F2428" s="3">
        <v>44865</v>
      </c>
      <c r="G2428" s="2">
        <v>22029259</v>
      </c>
      <c r="H2428" s="2">
        <v>2238145</v>
      </c>
      <c r="I2428" s="2">
        <v>10013269857</v>
      </c>
      <c r="J2428" s="2" t="s">
        <v>175</v>
      </c>
      <c r="K2428" s="10">
        <v>1610</v>
      </c>
      <c r="L2428" s="10">
        <v>0</v>
      </c>
      <c r="M2428" s="10">
        <v>1610</v>
      </c>
      <c r="N2428" s="10">
        <v>1610</v>
      </c>
      <c r="O2428" s="10">
        <f>Table1[[#This Row],[NET Amount]]-Table1[[#This Row],[Paid Amount]]</f>
        <v>0</v>
      </c>
      <c r="P2428" s="2" t="s">
        <v>18</v>
      </c>
      <c r="Q2428" s="2" t="s">
        <v>54</v>
      </c>
      <c r="R2428" s="16">
        <f>(Table1[[#This Row],[NET Amount]]-Table1[[#This Row],[Total Outstanding Amount]])/Table1[[#This Row],[NET Amount]]</f>
        <v>1</v>
      </c>
      <c r="S2428" s="2" t="s">
        <v>97</v>
      </c>
    </row>
    <row r="2429" spans="1:19" x14ac:dyDescent="0.3">
      <c r="A2429" s="4">
        <v>2427</v>
      </c>
      <c r="B2429" s="2" t="s">
        <v>25</v>
      </c>
      <c r="C2429" s="3">
        <v>44856</v>
      </c>
      <c r="D2429" s="3" t="str">
        <f>TEXT(Table1[[#This Row],[Admission Date]],"MMMM")</f>
        <v>October</v>
      </c>
      <c r="E2429" s="3">
        <v>44856</v>
      </c>
      <c r="F2429" s="3">
        <v>44856</v>
      </c>
      <c r="G2429" s="2">
        <v>22028300</v>
      </c>
      <c r="H2429" s="2">
        <v>2237101</v>
      </c>
      <c r="I2429" s="2">
        <v>1001130529</v>
      </c>
      <c r="J2429" s="2" t="s">
        <v>302</v>
      </c>
      <c r="K2429" s="10">
        <v>2794</v>
      </c>
      <c r="L2429" s="10">
        <v>2794</v>
      </c>
      <c r="M2429" s="10">
        <v>0</v>
      </c>
      <c r="N2429" s="10">
        <v>0</v>
      </c>
      <c r="O2429" s="10">
        <f>Table1[[#This Row],[NET Amount]]-Table1[[#This Row],[Paid Amount]]</f>
        <v>0</v>
      </c>
      <c r="P2429" s="2" t="s">
        <v>18</v>
      </c>
      <c r="Q2429" s="2" t="s">
        <v>90</v>
      </c>
      <c r="R2429" s="16" t="e">
        <f>(Table1[[#This Row],[NET Amount]]-Table1[[#This Row],[Total Outstanding Amount]])/Table1[[#This Row],[NET Amount]]</f>
        <v>#DIV/0!</v>
      </c>
      <c r="S2429" s="2" t="s">
        <v>97</v>
      </c>
    </row>
    <row r="2430" spans="1:19" x14ac:dyDescent="0.3">
      <c r="A2430" s="4">
        <v>2428</v>
      </c>
      <c r="B2430" s="2" t="s">
        <v>50</v>
      </c>
      <c r="C2430" s="3">
        <v>44853</v>
      </c>
      <c r="D2430" s="3" t="str">
        <f>TEXT(Table1[[#This Row],[Admission Date]],"MMMM")</f>
        <v>October</v>
      </c>
      <c r="E2430" s="3">
        <v>44853</v>
      </c>
      <c r="F2430" s="3">
        <v>44853</v>
      </c>
      <c r="G2430" s="2">
        <v>22027787</v>
      </c>
      <c r="H2430" s="2">
        <v>2236677</v>
      </c>
      <c r="I2430" s="2">
        <v>10013538474</v>
      </c>
      <c r="J2430" s="2" t="s">
        <v>324</v>
      </c>
      <c r="K2430" s="10">
        <v>2200</v>
      </c>
      <c r="L2430" s="10">
        <v>0</v>
      </c>
      <c r="M2430" s="10">
        <v>2200</v>
      </c>
      <c r="N2430" s="10">
        <v>440</v>
      </c>
      <c r="O2430" s="10">
        <f>Table1[[#This Row],[NET Amount]]-Table1[[#This Row],[Paid Amount]]</f>
        <v>1760</v>
      </c>
      <c r="P2430" s="2" t="s">
        <v>23</v>
      </c>
      <c r="Q2430" s="2" t="s">
        <v>147</v>
      </c>
      <c r="R2430" s="16">
        <f>(Table1[[#This Row],[NET Amount]]-Table1[[#This Row],[Total Outstanding Amount]])/Table1[[#This Row],[NET Amount]]</f>
        <v>0.2</v>
      </c>
      <c r="S2430" s="2" t="s">
        <v>97</v>
      </c>
    </row>
    <row r="2431" spans="1:19" x14ac:dyDescent="0.3">
      <c r="A2431" s="4">
        <v>2429</v>
      </c>
      <c r="B2431" s="2" t="s">
        <v>25</v>
      </c>
      <c r="C2431" s="3">
        <v>44854</v>
      </c>
      <c r="D2431" s="3" t="str">
        <f>TEXT(Table1[[#This Row],[Admission Date]],"MMMM")</f>
        <v>October</v>
      </c>
      <c r="E2431" s="3">
        <v>44854</v>
      </c>
      <c r="F2431" s="3">
        <v>44854</v>
      </c>
      <c r="G2431" s="2">
        <v>22027936</v>
      </c>
      <c r="H2431" s="2">
        <v>2236818</v>
      </c>
      <c r="I2431" s="2">
        <v>10013533934</v>
      </c>
      <c r="J2431" s="2" t="s">
        <v>498</v>
      </c>
      <c r="K2431" s="10">
        <v>4990</v>
      </c>
      <c r="L2431" s="10">
        <v>415</v>
      </c>
      <c r="M2431" s="10">
        <v>4575</v>
      </c>
      <c r="N2431" s="10">
        <v>4575</v>
      </c>
      <c r="O2431" s="10">
        <f>Table1[[#This Row],[NET Amount]]-Table1[[#This Row],[Paid Amount]]</f>
        <v>0</v>
      </c>
      <c r="P2431" s="2" t="s">
        <v>18</v>
      </c>
      <c r="Q2431" s="2" t="s">
        <v>54</v>
      </c>
      <c r="R2431" s="16">
        <f>(Table1[[#This Row],[NET Amount]]-Table1[[#This Row],[Total Outstanding Amount]])/Table1[[#This Row],[NET Amount]]</f>
        <v>1</v>
      </c>
      <c r="S2431" s="2" t="s">
        <v>97</v>
      </c>
    </row>
    <row r="2432" spans="1:19" x14ac:dyDescent="0.3">
      <c r="A2432" s="4">
        <v>2430</v>
      </c>
      <c r="B2432" s="2" t="s">
        <v>139</v>
      </c>
      <c r="C2432" s="3">
        <v>44854</v>
      </c>
      <c r="D2432" s="3" t="str">
        <f>TEXT(Table1[[#This Row],[Admission Date]],"MMMM")</f>
        <v>October</v>
      </c>
      <c r="E2432" s="3">
        <v>44854</v>
      </c>
      <c r="F2432" s="3">
        <v>44854</v>
      </c>
      <c r="G2432" s="2">
        <v>22027944</v>
      </c>
      <c r="H2432" s="2">
        <v>2236811</v>
      </c>
      <c r="I2432" s="2">
        <v>10013353354</v>
      </c>
      <c r="J2432" s="2" t="s">
        <v>374</v>
      </c>
      <c r="K2432" s="10">
        <v>2200</v>
      </c>
      <c r="L2432" s="10">
        <v>0</v>
      </c>
      <c r="M2432" s="10">
        <v>2200</v>
      </c>
      <c r="N2432" s="10">
        <v>220</v>
      </c>
      <c r="O2432" s="10">
        <f>Table1[[#This Row],[NET Amount]]-Table1[[#This Row],[Paid Amount]]</f>
        <v>1980</v>
      </c>
      <c r="P2432" s="2" t="s">
        <v>23</v>
      </c>
      <c r="Q2432" s="2" t="s">
        <v>147</v>
      </c>
      <c r="R2432" s="16">
        <f>(Table1[[#This Row],[NET Amount]]-Table1[[#This Row],[Total Outstanding Amount]])/Table1[[#This Row],[NET Amount]]</f>
        <v>0.1</v>
      </c>
      <c r="S2432" s="2" t="s">
        <v>97</v>
      </c>
    </row>
    <row r="2433" spans="1:19" x14ac:dyDescent="0.3">
      <c r="A2433" s="4">
        <v>2431</v>
      </c>
      <c r="B2433" s="2" t="s">
        <v>25</v>
      </c>
      <c r="C2433" s="3">
        <v>44862</v>
      </c>
      <c r="D2433" s="3" t="str">
        <f>TEXT(Table1[[#This Row],[Admission Date]],"MMMM")</f>
        <v>October</v>
      </c>
      <c r="E2433" s="3">
        <v>44862</v>
      </c>
      <c r="F2433" s="3">
        <v>44862</v>
      </c>
      <c r="G2433" s="2">
        <v>22028862</v>
      </c>
      <c r="H2433" s="2">
        <v>2237757</v>
      </c>
      <c r="I2433" s="2">
        <v>1001427466</v>
      </c>
      <c r="J2433" s="2" t="s">
        <v>294</v>
      </c>
      <c r="K2433" s="10">
        <v>2680</v>
      </c>
      <c r="L2433" s="10">
        <v>2680</v>
      </c>
      <c r="M2433" s="10">
        <v>0</v>
      </c>
      <c r="N2433" s="10">
        <v>0</v>
      </c>
      <c r="O2433" s="10">
        <f>Table1[[#This Row],[NET Amount]]-Table1[[#This Row],[Paid Amount]]</f>
        <v>0</v>
      </c>
      <c r="P2433" s="2" t="s">
        <v>18</v>
      </c>
      <c r="Q2433" s="2" t="s">
        <v>90</v>
      </c>
      <c r="R2433" s="16" t="e">
        <f>(Table1[[#This Row],[NET Amount]]-Table1[[#This Row],[Total Outstanding Amount]])/Table1[[#This Row],[NET Amount]]</f>
        <v>#DIV/0!</v>
      </c>
      <c r="S2433" s="2" t="s">
        <v>97</v>
      </c>
    </row>
    <row r="2434" spans="1:19" x14ac:dyDescent="0.3">
      <c r="A2434" s="4">
        <v>2432</v>
      </c>
      <c r="B2434" s="2" t="s">
        <v>25</v>
      </c>
      <c r="C2434" s="3">
        <v>44851</v>
      </c>
      <c r="D2434" s="3" t="str">
        <f>TEXT(Table1[[#This Row],[Admission Date]],"MMMM")</f>
        <v>October</v>
      </c>
      <c r="E2434" s="3">
        <v>44851</v>
      </c>
      <c r="F2434" s="3">
        <v>44851</v>
      </c>
      <c r="G2434" s="2">
        <v>22027438</v>
      </c>
      <c r="H2434" s="2">
        <v>2236351</v>
      </c>
      <c r="I2434" s="2">
        <v>10013526375</v>
      </c>
      <c r="J2434" s="2" t="s">
        <v>241</v>
      </c>
      <c r="K2434" s="10">
        <v>4990</v>
      </c>
      <c r="L2434" s="10">
        <v>415</v>
      </c>
      <c r="M2434" s="10">
        <v>4575</v>
      </c>
      <c r="N2434" s="10">
        <v>4575</v>
      </c>
      <c r="O2434" s="10">
        <f>Table1[[#This Row],[NET Amount]]-Table1[[#This Row],[Paid Amount]]</f>
        <v>0</v>
      </c>
      <c r="P2434" s="2" t="s">
        <v>18</v>
      </c>
      <c r="Q2434" s="2" t="s">
        <v>54</v>
      </c>
      <c r="R2434" s="16">
        <f>(Table1[[#This Row],[NET Amount]]-Table1[[#This Row],[Total Outstanding Amount]])/Table1[[#This Row],[NET Amount]]</f>
        <v>1</v>
      </c>
      <c r="S2434" s="2" t="s">
        <v>97</v>
      </c>
    </row>
    <row r="2435" spans="1:19" x14ac:dyDescent="0.3">
      <c r="A2435" s="4">
        <v>2433</v>
      </c>
      <c r="B2435" s="2" t="s">
        <v>25</v>
      </c>
      <c r="C2435" s="3">
        <v>44863</v>
      </c>
      <c r="D2435" s="3" t="str">
        <f>TEXT(Table1[[#This Row],[Admission Date]],"MMMM")</f>
        <v>October</v>
      </c>
      <c r="E2435" s="3">
        <v>44863</v>
      </c>
      <c r="F2435" s="3">
        <v>44863</v>
      </c>
      <c r="G2435" s="2">
        <v>22028994</v>
      </c>
      <c r="H2435" s="2">
        <v>2237901</v>
      </c>
      <c r="I2435" s="2">
        <v>1000949243</v>
      </c>
      <c r="J2435" s="2" t="s">
        <v>956</v>
      </c>
      <c r="K2435" s="10">
        <v>0</v>
      </c>
      <c r="L2435" s="10">
        <v>0</v>
      </c>
      <c r="M2435" s="10">
        <v>0</v>
      </c>
      <c r="N2435" s="10">
        <v>0</v>
      </c>
      <c r="O2435" s="10">
        <f>Table1[[#This Row],[NET Amount]]-Table1[[#This Row],[Paid Amount]]</f>
        <v>0</v>
      </c>
      <c r="P2435" s="2" t="s">
        <v>18</v>
      </c>
      <c r="Q2435" s="2" t="s">
        <v>24</v>
      </c>
      <c r="R2435" s="16" t="e">
        <f>(Table1[[#This Row],[NET Amount]]-Table1[[#This Row],[Total Outstanding Amount]])/Table1[[#This Row],[NET Amount]]</f>
        <v>#DIV/0!</v>
      </c>
      <c r="S2435" s="2" t="s">
        <v>20</v>
      </c>
    </row>
    <row r="2436" spans="1:19" x14ac:dyDescent="0.3">
      <c r="A2436" s="4">
        <v>2434</v>
      </c>
      <c r="B2436" s="2" t="s">
        <v>2254</v>
      </c>
      <c r="C2436" s="3">
        <v>44853</v>
      </c>
      <c r="D2436" s="3" t="str">
        <f>TEXT(Table1[[#This Row],[Admission Date]],"MMMM")</f>
        <v>October</v>
      </c>
      <c r="E2436" s="3">
        <v>44853</v>
      </c>
      <c r="F2436" s="3">
        <v>44853</v>
      </c>
      <c r="G2436" s="2">
        <v>22027766</v>
      </c>
      <c r="H2436" s="2">
        <v>2236615</v>
      </c>
      <c r="I2436" s="2">
        <v>1001805198</v>
      </c>
      <c r="J2436" s="2" t="s">
        <v>807</v>
      </c>
      <c r="K2436" s="10">
        <v>0</v>
      </c>
      <c r="L2436" s="10">
        <v>0</v>
      </c>
      <c r="M2436" s="10">
        <v>0</v>
      </c>
      <c r="N2436" s="10">
        <v>0</v>
      </c>
      <c r="O2436" s="10">
        <f>Table1[[#This Row],[NET Amount]]-Table1[[#This Row],[Paid Amount]]</f>
        <v>0</v>
      </c>
      <c r="P2436" s="2" t="s">
        <v>18</v>
      </c>
      <c r="Q2436" s="2" t="s">
        <v>24</v>
      </c>
      <c r="R2436" s="16" t="e">
        <f>(Table1[[#This Row],[NET Amount]]-Table1[[#This Row],[Total Outstanding Amount]])/Table1[[#This Row],[NET Amount]]</f>
        <v>#DIV/0!</v>
      </c>
      <c r="S2436" s="2" t="s">
        <v>20</v>
      </c>
    </row>
    <row r="2437" spans="1:19" x14ac:dyDescent="0.3">
      <c r="A2437" s="4">
        <v>2435</v>
      </c>
      <c r="B2437" s="2" t="s">
        <v>126</v>
      </c>
      <c r="C2437" s="3">
        <v>44860</v>
      </c>
      <c r="D2437" s="3" t="str">
        <f>TEXT(Table1[[#This Row],[Admission Date]],"MMMM")</f>
        <v>October</v>
      </c>
      <c r="E2437" s="3">
        <v>44862</v>
      </c>
      <c r="F2437" s="3">
        <v>44862</v>
      </c>
      <c r="G2437" s="2">
        <v>22028950</v>
      </c>
      <c r="H2437" s="2">
        <v>2237580</v>
      </c>
      <c r="I2437" s="2">
        <v>10013544647</v>
      </c>
      <c r="J2437" s="2" t="s">
        <v>1543</v>
      </c>
      <c r="K2437" s="10">
        <v>61334</v>
      </c>
      <c r="L2437" s="10">
        <v>7654</v>
      </c>
      <c r="M2437" s="10">
        <v>53680</v>
      </c>
      <c r="N2437" s="10">
        <v>25000</v>
      </c>
      <c r="O2437" s="10">
        <f>Table1[[#This Row],[NET Amount]]-Table1[[#This Row],[Paid Amount]]</f>
        <v>28680</v>
      </c>
      <c r="P2437" s="2" t="s">
        <v>23</v>
      </c>
      <c r="Q2437" s="2" t="s">
        <v>30</v>
      </c>
      <c r="R2437" s="16">
        <f>(Table1[[#This Row],[NET Amount]]-Table1[[#This Row],[Total Outstanding Amount]])/Table1[[#This Row],[NET Amount]]</f>
        <v>0.46572280178837555</v>
      </c>
      <c r="S2437" s="2" t="s">
        <v>20</v>
      </c>
    </row>
    <row r="2438" spans="1:19" x14ac:dyDescent="0.3">
      <c r="A2438" s="4">
        <v>2436</v>
      </c>
      <c r="B2438" s="2" t="s">
        <v>25</v>
      </c>
      <c r="C2438" s="3">
        <v>44851</v>
      </c>
      <c r="D2438" s="3" t="str">
        <f>TEXT(Table1[[#This Row],[Admission Date]],"MMMM")</f>
        <v>October</v>
      </c>
      <c r="E2438" s="3">
        <v>44851</v>
      </c>
      <c r="F2438" s="3">
        <v>44851</v>
      </c>
      <c r="G2438" s="2">
        <v>22027443</v>
      </c>
      <c r="H2438" s="2">
        <v>2236308</v>
      </c>
      <c r="I2438" s="2">
        <v>1001168447</v>
      </c>
      <c r="J2438" s="2" t="s">
        <v>1544</v>
      </c>
      <c r="K2438" s="10">
        <v>41064</v>
      </c>
      <c r="L2438" s="10">
        <v>41064</v>
      </c>
      <c r="M2438" s="10">
        <v>0</v>
      </c>
      <c r="N2438" s="10">
        <v>0</v>
      </c>
      <c r="O2438" s="10">
        <f>Table1[[#This Row],[NET Amount]]-Table1[[#This Row],[Paid Amount]]</f>
        <v>0</v>
      </c>
      <c r="P2438" s="2" t="s">
        <v>18</v>
      </c>
      <c r="Q2438" s="2" t="s">
        <v>90</v>
      </c>
      <c r="R2438" s="16" t="e">
        <f>(Table1[[#This Row],[NET Amount]]-Table1[[#This Row],[Total Outstanding Amount]])/Table1[[#This Row],[NET Amount]]</f>
        <v>#DIV/0!</v>
      </c>
      <c r="S2438" s="2" t="s">
        <v>27</v>
      </c>
    </row>
    <row r="2439" spans="1:19" x14ac:dyDescent="0.3">
      <c r="A2439" s="4">
        <v>2437</v>
      </c>
      <c r="B2439" s="2" t="s">
        <v>2253</v>
      </c>
      <c r="C2439" s="3">
        <v>44839</v>
      </c>
      <c r="D2439" s="3" t="str">
        <f>TEXT(Table1[[#This Row],[Admission Date]],"MMMM")</f>
        <v>October</v>
      </c>
      <c r="E2439" s="3">
        <v>44839</v>
      </c>
      <c r="F2439" s="3">
        <v>44839</v>
      </c>
      <c r="G2439" s="2">
        <v>22025731</v>
      </c>
      <c r="H2439" s="2">
        <v>2234723</v>
      </c>
      <c r="I2439" s="2">
        <v>1001736024</v>
      </c>
      <c r="J2439" s="2" t="s">
        <v>442</v>
      </c>
      <c r="K2439" s="10">
        <v>1610</v>
      </c>
      <c r="L2439" s="10">
        <v>0</v>
      </c>
      <c r="M2439" s="10">
        <v>1610</v>
      </c>
      <c r="N2439" s="10">
        <v>0</v>
      </c>
      <c r="O2439" s="10">
        <f>Table1[[#This Row],[NET Amount]]-Table1[[#This Row],[Paid Amount]]</f>
        <v>1610</v>
      </c>
      <c r="P2439" s="2" t="s">
        <v>23</v>
      </c>
      <c r="Q2439" s="2" t="s">
        <v>54</v>
      </c>
      <c r="R2439" s="16">
        <f>(Table1[[#This Row],[NET Amount]]-Table1[[#This Row],[Total Outstanding Amount]])/Table1[[#This Row],[NET Amount]]</f>
        <v>0</v>
      </c>
      <c r="S2439" s="2" t="s">
        <v>97</v>
      </c>
    </row>
    <row r="2440" spans="1:19" x14ac:dyDescent="0.3">
      <c r="A2440" s="4">
        <v>2438</v>
      </c>
      <c r="B2440" s="2" t="s">
        <v>380</v>
      </c>
      <c r="C2440" s="3">
        <v>44844</v>
      </c>
      <c r="D2440" s="3" t="str">
        <f>TEXT(Table1[[#This Row],[Admission Date]],"MMMM")</f>
        <v>October</v>
      </c>
      <c r="E2440" s="3">
        <v>44844</v>
      </c>
      <c r="F2440" s="3">
        <v>44844</v>
      </c>
      <c r="G2440" s="2">
        <v>22026468</v>
      </c>
      <c r="H2440" s="2">
        <v>2235422</v>
      </c>
      <c r="I2440" s="2">
        <v>1001208331</v>
      </c>
      <c r="J2440" s="2" t="s">
        <v>430</v>
      </c>
      <c r="K2440" s="10">
        <v>1274</v>
      </c>
      <c r="L2440" s="10">
        <v>0</v>
      </c>
      <c r="M2440" s="10">
        <v>1274</v>
      </c>
      <c r="N2440" s="10">
        <v>0</v>
      </c>
      <c r="O2440" s="10">
        <f>Table1[[#This Row],[NET Amount]]-Table1[[#This Row],[Paid Amount]]</f>
        <v>1274</v>
      </c>
      <c r="P2440" s="2" t="s">
        <v>23</v>
      </c>
      <c r="Q2440" s="2" t="s">
        <v>54</v>
      </c>
      <c r="R2440" s="16">
        <f>(Table1[[#This Row],[NET Amount]]-Table1[[#This Row],[Total Outstanding Amount]])/Table1[[#This Row],[NET Amount]]</f>
        <v>0</v>
      </c>
      <c r="S2440" s="2" t="s">
        <v>97</v>
      </c>
    </row>
    <row r="2441" spans="1:19" x14ac:dyDescent="0.3">
      <c r="A2441" s="4">
        <v>2439</v>
      </c>
      <c r="B2441" s="2" t="s">
        <v>45</v>
      </c>
      <c r="C2441" s="3">
        <v>44855</v>
      </c>
      <c r="D2441" s="3" t="str">
        <f>TEXT(Table1[[#This Row],[Admission Date]],"MMMM")</f>
        <v>October</v>
      </c>
      <c r="E2441" s="3">
        <v>44855</v>
      </c>
      <c r="F2441" s="3">
        <v>44855</v>
      </c>
      <c r="G2441" s="2">
        <v>22027966</v>
      </c>
      <c r="H2441" s="2">
        <v>2236865</v>
      </c>
      <c r="I2441" s="2">
        <v>1000992104</v>
      </c>
      <c r="J2441" s="2" t="s">
        <v>1062</v>
      </c>
      <c r="K2441" s="10">
        <v>2200</v>
      </c>
      <c r="L2441" s="10">
        <v>0</v>
      </c>
      <c r="M2441" s="10">
        <v>2200</v>
      </c>
      <c r="N2441" s="10">
        <v>0</v>
      </c>
      <c r="O2441" s="10">
        <f>Table1[[#This Row],[NET Amount]]-Table1[[#This Row],[Paid Amount]]</f>
        <v>2200</v>
      </c>
      <c r="P2441" s="2" t="s">
        <v>23</v>
      </c>
      <c r="Q2441" s="2" t="s">
        <v>147</v>
      </c>
      <c r="R2441" s="16">
        <f>(Table1[[#This Row],[NET Amount]]-Table1[[#This Row],[Total Outstanding Amount]])/Table1[[#This Row],[NET Amount]]</f>
        <v>0</v>
      </c>
      <c r="S2441" s="2" t="s">
        <v>97</v>
      </c>
    </row>
    <row r="2442" spans="1:19" x14ac:dyDescent="0.3">
      <c r="A2442" s="4">
        <v>2440</v>
      </c>
      <c r="B2442" s="2" t="s">
        <v>61</v>
      </c>
      <c r="C2442" s="3">
        <v>44847</v>
      </c>
      <c r="D2442" s="3" t="str">
        <f>TEXT(Table1[[#This Row],[Admission Date]],"MMMM")</f>
        <v>October</v>
      </c>
      <c r="E2442" s="3">
        <v>44847</v>
      </c>
      <c r="F2442" s="3">
        <v>44847</v>
      </c>
      <c r="G2442" s="2">
        <v>22026828</v>
      </c>
      <c r="H2442" s="2">
        <v>2235806</v>
      </c>
      <c r="I2442" s="2">
        <v>10013497993</v>
      </c>
      <c r="J2442" s="2" t="s">
        <v>1077</v>
      </c>
      <c r="K2442" s="10">
        <v>2200</v>
      </c>
      <c r="L2442" s="10">
        <v>0</v>
      </c>
      <c r="M2442" s="10">
        <v>2200</v>
      </c>
      <c r="N2442" s="10">
        <v>0</v>
      </c>
      <c r="O2442" s="10">
        <f>Table1[[#This Row],[NET Amount]]-Table1[[#This Row],[Paid Amount]]</f>
        <v>2200</v>
      </c>
      <c r="P2442" s="2" t="s">
        <v>23</v>
      </c>
      <c r="Q2442" s="2" t="s">
        <v>147</v>
      </c>
      <c r="R2442" s="16">
        <f>(Table1[[#This Row],[NET Amount]]-Table1[[#This Row],[Total Outstanding Amount]])/Table1[[#This Row],[NET Amount]]</f>
        <v>0</v>
      </c>
      <c r="S2442" s="2" t="s">
        <v>97</v>
      </c>
    </row>
    <row r="2443" spans="1:19" x14ac:dyDescent="0.3">
      <c r="A2443" s="4">
        <v>2441</v>
      </c>
      <c r="B2443" s="2" t="s">
        <v>380</v>
      </c>
      <c r="C2443" s="3">
        <v>44839</v>
      </c>
      <c r="D2443" s="3" t="str">
        <f>TEXT(Table1[[#This Row],[Admission Date]],"MMMM")</f>
        <v>October</v>
      </c>
      <c r="E2443" s="3">
        <v>44839</v>
      </c>
      <c r="F2443" s="3">
        <v>44839</v>
      </c>
      <c r="G2443" s="2">
        <v>22025782</v>
      </c>
      <c r="H2443" s="2">
        <v>2234789</v>
      </c>
      <c r="I2443" s="2">
        <v>10013370253</v>
      </c>
      <c r="J2443" s="2" t="s">
        <v>488</v>
      </c>
      <c r="K2443" s="10">
        <v>1274</v>
      </c>
      <c r="L2443" s="10">
        <v>0</v>
      </c>
      <c r="M2443" s="10">
        <v>1274</v>
      </c>
      <c r="N2443" s="10">
        <v>0</v>
      </c>
      <c r="O2443" s="10">
        <f>Table1[[#This Row],[NET Amount]]-Table1[[#This Row],[Paid Amount]]</f>
        <v>1274</v>
      </c>
      <c r="P2443" s="2" t="s">
        <v>23</v>
      </c>
      <c r="Q2443" s="2" t="s">
        <v>54</v>
      </c>
      <c r="R2443" s="16">
        <f>(Table1[[#This Row],[NET Amount]]-Table1[[#This Row],[Total Outstanding Amount]])/Table1[[#This Row],[NET Amount]]</f>
        <v>0</v>
      </c>
      <c r="S2443" s="2" t="s">
        <v>97</v>
      </c>
    </row>
    <row r="2444" spans="1:19" x14ac:dyDescent="0.3">
      <c r="A2444" s="4">
        <v>2442</v>
      </c>
      <c r="B2444" s="2" t="s">
        <v>380</v>
      </c>
      <c r="C2444" s="3">
        <v>44856</v>
      </c>
      <c r="D2444" s="3" t="str">
        <f>TEXT(Table1[[#This Row],[Admission Date]],"MMMM")</f>
        <v>October</v>
      </c>
      <c r="E2444" s="3">
        <v>44856</v>
      </c>
      <c r="F2444" s="3">
        <v>44856</v>
      </c>
      <c r="G2444" s="2">
        <v>22028293</v>
      </c>
      <c r="H2444" s="2">
        <v>2237091</v>
      </c>
      <c r="I2444" s="2">
        <v>10013451090</v>
      </c>
      <c r="J2444" s="2" t="s">
        <v>808</v>
      </c>
      <c r="K2444" s="10">
        <v>1274</v>
      </c>
      <c r="L2444" s="10">
        <v>0</v>
      </c>
      <c r="M2444" s="10">
        <v>1274</v>
      </c>
      <c r="N2444" s="10">
        <v>0</v>
      </c>
      <c r="O2444" s="10">
        <f>Table1[[#This Row],[NET Amount]]-Table1[[#This Row],[Paid Amount]]</f>
        <v>1274</v>
      </c>
      <c r="P2444" s="2" t="s">
        <v>23</v>
      </c>
      <c r="Q2444" s="2" t="s">
        <v>54</v>
      </c>
      <c r="R2444" s="16">
        <f>(Table1[[#This Row],[NET Amount]]-Table1[[#This Row],[Total Outstanding Amount]])/Table1[[#This Row],[NET Amount]]</f>
        <v>0</v>
      </c>
      <c r="S2444" s="2" t="s">
        <v>97</v>
      </c>
    </row>
    <row r="2445" spans="1:19" x14ac:dyDescent="0.3">
      <c r="A2445" s="4">
        <v>2443</v>
      </c>
      <c r="B2445" s="2" t="s">
        <v>155</v>
      </c>
      <c r="C2445" s="3">
        <v>44839</v>
      </c>
      <c r="D2445" s="3" t="str">
        <f>TEXT(Table1[[#This Row],[Admission Date]],"MMMM")</f>
        <v>October</v>
      </c>
      <c r="E2445" s="3">
        <v>44839</v>
      </c>
      <c r="F2445" s="3">
        <v>44839</v>
      </c>
      <c r="G2445" s="2">
        <v>22025711</v>
      </c>
      <c r="H2445" s="2">
        <v>2234709</v>
      </c>
      <c r="I2445" s="2">
        <v>10013502614</v>
      </c>
      <c r="J2445" s="2" t="s">
        <v>484</v>
      </c>
      <c r="K2445" s="10">
        <v>1610</v>
      </c>
      <c r="L2445" s="10">
        <v>0</v>
      </c>
      <c r="M2445" s="10">
        <v>1610</v>
      </c>
      <c r="N2445" s="10">
        <v>0</v>
      </c>
      <c r="O2445" s="10">
        <f>Table1[[#This Row],[NET Amount]]-Table1[[#This Row],[Paid Amount]]</f>
        <v>1610</v>
      </c>
      <c r="P2445" s="2" t="s">
        <v>23</v>
      </c>
      <c r="Q2445" s="2" t="s">
        <v>54</v>
      </c>
      <c r="R2445" s="16">
        <f>(Table1[[#This Row],[NET Amount]]-Table1[[#This Row],[Total Outstanding Amount]])/Table1[[#This Row],[NET Amount]]</f>
        <v>0</v>
      </c>
      <c r="S2445" s="2" t="s">
        <v>97</v>
      </c>
    </row>
    <row r="2446" spans="1:19" x14ac:dyDescent="0.3">
      <c r="A2446" s="4">
        <v>2444</v>
      </c>
      <c r="B2446" s="2" t="s">
        <v>2263</v>
      </c>
      <c r="C2446" s="3">
        <v>44851</v>
      </c>
      <c r="D2446" s="3" t="str">
        <f>TEXT(Table1[[#This Row],[Admission Date]],"MMMM")</f>
        <v>October</v>
      </c>
      <c r="E2446" s="3">
        <v>44851</v>
      </c>
      <c r="F2446" s="3">
        <v>44851</v>
      </c>
      <c r="G2446" s="2">
        <v>22027485</v>
      </c>
      <c r="H2446" s="2">
        <v>2236389</v>
      </c>
      <c r="I2446" s="2">
        <v>1001647517</v>
      </c>
      <c r="J2446" s="2" t="s">
        <v>802</v>
      </c>
      <c r="K2446" s="10">
        <v>1274</v>
      </c>
      <c r="L2446" s="10">
        <v>0</v>
      </c>
      <c r="M2446" s="10">
        <v>1274</v>
      </c>
      <c r="N2446" s="10">
        <v>0</v>
      </c>
      <c r="O2446" s="10">
        <f>Table1[[#This Row],[NET Amount]]-Table1[[#This Row],[Paid Amount]]</f>
        <v>1274</v>
      </c>
      <c r="P2446" s="2" t="s">
        <v>23</v>
      </c>
      <c r="Q2446" s="2" t="s">
        <v>54</v>
      </c>
      <c r="R2446" s="16">
        <f>(Table1[[#This Row],[NET Amount]]-Table1[[#This Row],[Total Outstanding Amount]])/Table1[[#This Row],[NET Amount]]</f>
        <v>0</v>
      </c>
      <c r="S2446" s="2" t="s">
        <v>97</v>
      </c>
    </row>
    <row r="2447" spans="1:19" x14ac:dyDescent="0.3">
      <c r="A2447" s="4">
        <v>2445</v>
      </c>
      <c r="B2447" s="2" t="s">
        <v>152</v>
      </c>
      <c r="C2447" s="3">
        <v>44848</v>
      </c>
      <c r="D2447" s="3" t="str">
        <f>TEXT(Table1[[#This Row],[Admission Date]],"MMMM")</f>
        <v>October</v>
      </c>
      <c r="E2447" s="3">
        <v>44849</v>
      </c>
      <c r="F2447" s="3">
        <v>44849</v>
      </c>
      <c r="G2447" s="2">
        <v>22027265</v>
      </c>
      <c r="H2447" s="2">
        <v>2235978</v>
      </c>
      <c r="I2447" s="2">
        <v>10013543012</v>
      </c>
      <c r="J2447" s="2" t="s">
        <v>46</v>
      </c>
      <c r="K2447" s="10">
        <v>7951</v>
      </c>
      <c r="L2447" s="10">
        <v>0</v>
      </c>
      <c r="M2447" s="10">
        <v>7951</v>
      </c>
      <c r="N2447" s="10">
        <v>0</v>
      </c>
      <c r="O2447" s="10">
        <f>Table1[[#This Row],[NET Amount]]-Table1[[#This Row],[Paid Amount]]</f>
        <v>7951</v>
      </c>
      <c r="P2447" s="2" t="s">
        <v>23</v>
      </c>
      <c r="Q2447" s="2" t="s">
        <v>30</v>
      </c>
      <c r="R2447" s="16">
        <f>(Table1[[#This Row],[NET Amount]]-Table1[[#This Row],[Total Outstanding Amount]])/Table1[[#This Row],[NET Amount]]</f>
        <v>0</v>
      </c>
      <c r="S2447" s="2" t="s">
        <v>32</v>
      </c>
    </row>
    <row r="2448" spans="1:19" x14ac:dyDescent="0.3">
      <c r="A2448" s="4">
        <v>2446</v>
      </c>
      <c r="B2448" s="2" t="s">
        <v>380</v>
      </c>
      <c r="C2448" s="3">
        <v>44853</v>
      </c>
      <c r="D2448" s="3" t="str">
        <f>TEXT(Table1[[#This Row],[Admission Date]],"MMMM")</f>
        <v>October</v>
      </c>
      <c r="E2448" s="3">
        <v>44853</v>
      </c>
      <c r="F2448" s="3">
        <v>44853</v>
      </c>
      <c r="G2448" s="2">
        <v>22027783</v>
      </c>
      <c r="H2448" s="2">
        <v>2236666</v>
      </c>
      <c r="I2448" s="2">
        <v>10013276269</v>
      </c>
      <c r="J2448" s="2" t="s">
        <v>403</v>
      </c>
      <c r="K2448" s="10">
        <v>1274</v>
      </c>
      <c r="L2448" s="10">
        <v>0</v>
      </c>
      <c r="M2448" s="10">
        <v>1274</v>
      </c>
      <c r="N2448" s="10">
        <v>0</v>
      </c>
      <c r="O2448" s="10">
        <f>Table1[[#This Row],[NET Amount]]-Table1[[#This Row],[Paid Amount]]</f>
        <v>1274</v>
      </c>
      <c r="P2448" s="2" t="s">
        <v>23</v>
      </c>
      <c r="Q2448" s="2" t="s">
        <v>54</v>
      </c>
      <c r="R2448" s="16">
        <f>(Table1[[#This Row],[NET Amount]]-Table1[[#This Row],[Total Outstanding Amount]])/Table1[[#This Row],[NET Amount]]</f>
        <v>0</v>
      </c>
      <c r="S2448" s="2" t="s">
        <v>97</v>
      </c>
    </row>
    <row r="2449" spans="1:19" x14ac:dyDescent="0.3">
      <c r="A2449" s="4">
        <v>2447</v>
      </c>
      <c r="B2449" s="2" t="s">
        <v>149</v>
      </c>
      <c r="C2449" s="3">
        <v>44848</v>
      </c>
      <c r="D2449" s="3" t="str">
        <f>TEXT(Table1[[#This Row],[Admission Date]],"MMMM")</f>
        <v>October</v>
      </c>
      <c r="E2449" s="3">
        <v>44848</v>
      </c>
      <c r="F2449" s="3">
        <v>44848</v>
      </c>
      <c r="G2449" s="2">
        <v>22026965</v>
      </c>
      <c r="H2449" s="2">
        <v>2235915</v>
      </c>
      <c r="I2449" s="2">
        <v>10013477952</v>
      </c>
      <c r="J2449" s="2" t="s">
        <v>781</v>
      </c>
      <c r="K2449" s="10">
        <v>2240</v>
      </c>
      <c r="L2449" s="10">
        <v>0</v>
      </c>
      <c r="M2449" s="10">
        <v>2240</v>
      </c>
      <c r="N2449" s="10">
        <v>0</v>
      </c>
      <c r="O2449" s="10">
        <f>Table1[[#This Row],[NET Amount]]-Table1[[#This Row],[Paid Amount]]</f>
        <v>2240</v>
      </c>
      <c r="P2449" s="2" t="s">
        <v>23</v>
      </c>
      <c r="Q2449" s="2" t="s">
        <v>54</v>
      </c>
      <c r="R2449" s="16">
        <f>(Table1[[#This Row],[NET Amount]]-Table1[[#This Row],[Total Outstanding Amount]])/Table1[[#This Row],[NET Amount]]</f>
        <v>0</v>
      </c>
      <c r="S2449" s="2" t="s">
        <v>97</v>
      </c>
    </row>
    <row r="2450" spans="1:19" x14ac:dyDescent="0.3">
      <c r="A2450" s="4">
        <v>2448</v>
      </c>
      <c r="B2450" s="2" t="s">
        <v>380</v>
      </c>
      <c r="C2450" s="3">
        <v>44837</v>
      </c>
      <c r="D2450" s="3" t="str">
        <f>TEXT(Table1[[#This Row],[Admission Date]],"MMMM")</f>
        <v>October</v>
      </c>
      <c r="E2450" s="3">
        <v>44837</v>
      </c>
      <c r="F2450" s="3">
        <v>44837</v>
      </c>
      <c r="G2450" s="2">
        <v>22025460</v>
      </c>
      <c r="H2450" s="2">
        <v>2234478</v>
      </c>
      <c r="I2450" s="2">
        <v>1001092597</v>
      </c>
      <c r="J2450" s="2" t="s">
        <v>384</v>
      </c>
      <c r="K2450" s="10">
        <v>1274</v>
      </c>
      <c r="L2450" s="10">
        <v>0</v>
      </c>
      <c r="M2450" s="10">
        <v>1274</v>
      </c>
      <c r="N2450" s="10">
        <v>0</v>
      </c>
      <c r="O2450" s="10">
        <f>Table1[[#This Row],[NET Amount]]-Table1[[#This Row],[Paid Amount]]</f>
        <v>1274</v>
      </c>
      <c r="P2450" s="2" t="s">
        <v>23</v>
      </c>
      <c r="Q2450" s="2" t="s">
        <v>54</v>
      </c>
      <c r="R2450" s="16">
        <f>(Table1[[#This Row],[NET Amount]]-Table1[[#This Row],[Total Outstanding Amount]])/Table1[[#This Row],[NET Amount]]</f>
        <v>0</v>
      </c>
      <c r="S2450" s="2" t="s">
        <v>97</v>
      </c>
    </row>
    <row r="2451" spans="1:19" x14ac:dyDescent="0.3">
      <c r="A2451" s="4">
        <v>2449</v>
      </c>
      <c r="B2451" s="2" t="s">
        <v>75</v>
      </c>
      <c r="C2451" s="3">
        <v>44857</v>
      </c>
      <c r="D2451" s="3" t="str">
        <f>TEXT(Table1[[#This Row],[Admission Date]],"MMMM")</f>
        <v>October</v>
      </c>
      <c r="E2451" s="3">
        <v>44857</v>
      </c>
      <c r="F2451" s="3">
        <v>44857</v>
      </c>
      <c r="G2451" s="2">
        <v>22028398</v>
      </c>
      <c r="H2451" s="2">
        <v>2237184</v>
      </c>
      <c r="I2451" s="2">
        <v>10013442733</v>
      </c>
      <c r="J2451" s="2" t="s">
        <v>109</v>
      </c>
      <c r="K2451" s="10">
        <v>1610</v>
      </c>
      <c r="L2451" s="10">
        <v>0</v>
      </c>
      <c r="M2451" s="10">
        <v>1610</v>
      </c>
      <c r="N2451" s="10">
        <v>0</v>
      </c>
      <c r="O2451" s="10">
        <f>Table1[[#This Row],[NET Amount]]-Table1[[#This Row],[Paid Amount]]</f>
        <v>1610</v>
      </c>
      <c r="P2451" s="2" t="s">
        <v>23</v>
      </c>
      <c r="Q2451" s="2" t="s">
        <v>54</v>
      </c>
      <c r="R2451" s="16">
        <f>(Table1[[#This Row],[NET Amount]]-Table1[[#This Row],[Total Outstanding Amount]])/Table1[[#This Row],[NET Amount]]</f>
        <v>0</v>
      </c>
      <c r="S2451" s="2" t="s">
        <v>97</v>
      </c>
    </row>
    <row r="2452" spans="1:19" x14ac:dyDescent="0.3">
      <c r="A2452" s="4">
        <v>2450</v>
      </c>
      <c r="B2452" s="2" t="s">
        <v>75</v>
      </c>
      <c r="C2452" s="3">
        <v>44854</v>
      </c>
      <c r="D2452" s="3" t="str">
        <f>TEXT(Table1[[#This Row],[Admission Date]],"MMMM")</f>
        <v>October</v>
      </c>
      <c r="E2452" s="3">
        <v>44854</v>
      </c>
      <c r="F2452" s="3">
        <v>44854</v>
      </c>
      <c r="G2452" s="2">
        <v>22027838</v>
      </c>
      <c r="H2452" s="2">
        <v>2236750</v>
      </c>
      <c r="I2452" s="2">
        <v>1001531709</v>
      </c>
      <c r="J2452" s="2" t="s">
        <v>1080</v>
      </c>
      <c r="K2452" s="10">
        <v>1610</v>
      </c>
      <c r="L2452" s="10">
        <v>0</v>
      </c>
      <c r="M2452" s="10">
        <v>1610</v>
      </c>
      <c r="N2452" s="10">
        <v>0</v>
      </c>
      <c r="O2452" s="10">
        <f>Table1[[#This Row],[NET Amount]]-Table1[[#This Row],[Paid Amount]]</f>
        <v>1610</v>
      </c>
      <c r="P2452" s="2" t="s">
        <v>23</v>
      </c>
      <c r="Q2452" s="2" t="s">
        <v>54</v>
      </c>
      <c r="R2452" s="16">
        <f>(Table1[[#This Row],[NET Amount]]-Table1[[#This Row],[Total Outstanding Amount]])/Table1[[#This Row],[NET Amount]]</f>
        <v>0</v>
      </c>
      <c r="S2452" s="2" t="s">
        <v>97</v>
      </c>
    </row>
    <row r="2453" spans="1:19" x14ac:dyDescent="0.3">
      <c r="A2453" s="4">
        <v>2451</v>
      </c>
      <c r="B2453" s="2" t="s">
        <v>2263</v>
      </c>
      <c r="C2453" s="3">
        <v>44837</v>
      </c>
      <c r="D2453" s="3" t="str">
        <f>TEXT(Table1[[#This Row],[Admission Date]],"MMMM")</f>
        <v>October</v>
      </c>
      <c r="E2453" s="3">
        <v>44837</v>
      </c>
      <c r="F2453" s="3">
        <v>44837</v>
      </c>
      <c r="G2453" s="2">
        <v>22025338</v>
      </c>
      <c r="H2453" s="2">
        <v>2234363</v>
      </c>
      <c r="I2453" s="2">
        <v>1001678600</v>
      </c>
      <c r="J2453" s="2" t="s">
        <v>413</v>
      </c>
      <c r="K2453" s="10">
        <v>1274</v>
      </c>
      <c r="L2453" s="10">
        <v>0</v>
      </c>
      <c r="M2453" s="10">
        <v>1274</v>
      </c>
      <c r="N2453" s="10">
        <v>0</v>
      </c>
      <c r="O2453" s="10">
        <f>Table1[[#This Row],[NET Amount]]-Table1[[#This Row],[Paid Amount]]</f>
        <v>1274</v>
      </c>
      <c r="P2453" s="2" t="s">
        <v>23</v>
      </c>
      <c r="Q2453" s="2" t="s">
        <v>54</v>
      </c>
      <c r="R2453" s="16">
        <f>(Table1[[#This Row],[NET Amount]]-Table1[[#This Row],[Total Outstanding Amount]])/Table1[[#This Row],[NET Amount]]</f>
        <v>0</v>
      </c>
      <c r="S2453" s="2" t="s">
        <v>97</v>
      </c>
    </row>
    <row r="2454" spans="1:19" x14ac:dyDescent="0.3">
      <c r="A2454" s="4">
        <v>2452</v>
      </c>
      <c r="B2454" s="2" t="s">
        <v>149</v>
      </c>
      <c r="C2454" s="3">
        <v>44841</v>
      </c>
      <c r="D2454" s="3" t="str">
        <f>TEXT(Table1[[#This Row],[Admission Date]],"MMMM")</f>
        <v>October</v>
      </c>
      <c r="E2454" s="3">
        <v>44841</v>
      </c>
      <c r="F2454" s="3">
        <v>44841</v>
      </c>
      <c r="G2454" s="2">
        <v>22025927</v>
      </c>
      <c r="H2454" s="2">
        <v>2234993</v>
      </c>
      <c r="I2454" s="2">
        <v>10013477952</v>
      </c>
      <c r="J2454" s="2" t="s">
        <v>781</v>
      </c>
      <c r="K2454" s="10">
        <v>2240</v>
      </c>
      <c r="L2454" s="10">
        <v>0</v>
      </c>
      <c r="M2454" s="10">
        <v>2240</v>
      </c>
      <c r="N2454" s="10">
        <v>0</v>
      </c>
      <c r="O2454" s="10">
        <f>Table1[[#This Row],[NET Amount]]-Table1[[#This Row],[Paid Amount]]</f>
        <v>2240</v>
      </c>
      <c r="P2454" s="2" t="s">
        <v>23</v>
      </c>
      <c r="Q2454" s="2" t="s">
        <v>54</v>
      </c>
      <c r="R2454" s="16">
        <f>(Table1[[#This Row],[NET Amount]]-Table1[[#This Row],[Total Outstanding Amount]])/Table1[[#This Row],[NET Amount]]</f>
        <v>0</v>
      </c>
      <c r="S2454" s="2" t="s">
        <v>97</v>
      </c>
    </row>
    <row r="2455" spans="1:19" x14ac:dyDescent="0.3">
      <c r="A2455" s="4">
        <v>2453</v>
      </c>
      <c r="B2455" s="2" t="s">
        <v>2253</v>
      </c>
      <c r="C2455" s="3">
        <v>44855</v>
      </c>
      <c r="D2455" s="3" t="str">
        <f>TEXT(Table1[[#This Row],[Admission Date]],"MMMM")</f>
        <v>October</v>
      </c>
      <c r="E2455" s="3">
        <v>44855</v>
      </c>
      <c r="F2455" s="3">
        <v>44855</v>
      </c>
      <c r="G2455" s="2">
        <v>22028102</v>
      </c>
      <c r="H2455" s="2">
        <v>2236951</v>
      </c>
      <c r="I2455" s="2">
        <v>1001803044</v>
      </c>
      <c r="J2455" s="2" t="s">
        <v>426</v>
      </c>
      <c r="K2455" s="10">
        <v>1610</v>
      </c>
      <c r="L2455" s="10">
        <v>0</v>
      </c>
      <c r="M2455" s="10">
        <v>1610</v>
      </c>
      <c r="N2455" s="10">
        <v>0</v>
      </c>
      <c r="O2455" s="10">
        <f>Table1[[#This Row],[NET Amount]]-Table1[[#This Row],[Paid Amount]]</f>
        <v>1610</v>
      </c>
      <c r="P2455" s="2" t="s">
        <v>23</v>
      </c>
      <c r="Q2455" s="2" t="s">
        <v>54</v>
      </c>
      <c r="R2455" s="16">
        <f>(Table1[[#This Row],[NET Amount]]-Table1[[#This Row],[Total Outstanding Amount]])/Table1[[#This Row],[NET Amount]]</f>
        <v>0</v>
      </c>
      <c r="S2455" s="2" t="s">
        <v>97</v>
      </c>
    </row>
    <row r="2456" spans="1:19" x14ac:dyDescent="0.3">
      <c r="A2456" s="4">
        <v>2454</v>
      </c>
      <c r="B2456" s="2" t="s">
        <v>380</v>
      </c>
      <c r="C2456" s="3">
        <v>44856</v>
      </c>
      <c r="D2456" s="3" t="str">
        <f>TEXT(Table1[[#This Row],[Admission Date]],"MMMM")</f>
        <v>October</v>
      </c>
      <c r="E2456" s="3">
        <v>44856</v>
      </c>
      <c r="F2456" s="3">
        <v>44856</v>
      </c>
      <c r="G2456" s="2">
        <v>22028291</v>
      </c>
      <c r="H2456" s="2">
        <v>2237088</v>
      </c>
      <c r="I2456" s="2">
        <v>10013370253</v>
      </c>
      <c r="J2456" s="2" t="s">
        <v>488</v>
      </c>
      <c r="K2456" s="10">
        <v>1274</v>
      </c>
      <c r="L2456" s="10">
        <v>0</v>
      </c>
      <c r="M2456" s="10">
        <v>1274</v>
      </c>
      <c r="N2456" s="10">
        <v>0</v>
      </c>
      <c r="O2456" s="10">
        <f>Table1[[#This Row],[NET Amount]]-Table1[[#This Row],[Paid Amount]]</f>
        <v>1274</v>
      </c>
      <c r="P2456" s="2" t="s">
        <v>23</v>
      </c>
      <c r="Q2456" s="2" t="s">
        <v>54</v>
      </c>
      <c r="R2456" s="16">
        <f>(Table1[[#This Row],[NET Amount]]-Table1[[#This Row],[Total Outstanding Amount]])/Table1[[#This Row],[NET Amount]]</f>
        <v>0</v>
      </c>
      <c r="S2456" s="2" t="s">
        <v>97</v>
      </c>
    </row>
    <row r="2457" spans="1:19" x14ac:dyDescent="0.3">
      <c r="A2457" s="4">
        <v>2455</v>
      </c>
      <c r="B2457" s="2" t="s">
        <v>380</v>
      </c>
      <c r="C2457" s="3">
        <v>44862</v>
      </c>
      <c r="D2457" s="3" t="str">
        <f>TEXT(Table1[[#This Row],[Admission Date]],"MMMM")</f>
        <v>October</v>
      </c>
      <c r="E2457" s="3">
        <v>44862</v>
      </c>
      <c r="F2457" s="3">
        <v>44862</v>
      </c>
      <c r="G2457" s="2">
        <v>22028974</v>
      </c>
      <c r="H2457" s="2">
        <v>2237864</v>
      </c>
      <c r="I2457" s="2">
        <v>1001397167</v>
      </c>
      <c r="J2457" s="2" t="s">
        <v>443</v>
      </c>
      <c r="K2457" s="10">
        <v>1274</v>
      </c>
      <c r="L2457" s="10">
        <v>0</v>
      </c>
      <c r="M2457" s="10">
        <v>1274</v>
      </c>
      <c r="N2457" s="10">
        <v>0</v>
      </c>
      <c r="O2457" s="10">
        <f>Table1[[#This Row],[NET Amount]]-Table1[[#This Row],[Paid Amount]]</f>
        <v>1274</v>
      </c>
      <c r="P2457" s="2" t="s">
        <v>23</v>
      </c>
      <c r="Q2457" s="2" t="s">
        <v>54</v>
      </c>
      <c r="R2457" s="16">
        <f>(Table1[[#This Row],[NET Amount]]-Table1[[#This Row],[Total Outstanding Amount]])/Table1[[#This Row],[NET Amount]]</f>
        <v>0</v>
      </c>
      <c r="S2457" s="2" t="s">
        <v>97</v>
      </c>
    </row>
    <row r="2458" spans="1:19" x14ac:dyDescent="0.3">
      <c r="A2458" s="4">
        <v>2456</v>
      </c>
      <c r="B2458" s="2" t="s">
        <v>139</v>
      </c>
      <c r="C2458" s="3">
        <v>44855</v>
      </c>
      <c r="D2458" s="3" t="str">
        <f>TEXT(Table1[[#This Row],[Admission Date]],"MMMM")</f>
        <v>October</v>
      </c>
      <c r="E2458" s="3">
        <v>44855</v>
      </c>
      <c r="F2458" s="3">
        <v>44855</v>
      </c>
      <c r="G2458" s="2">
        <v>22028047</v>
      </c>
      <c r="H2458" s="2">
        <v>2236917</v>
      </c>
      <c r="I2458" s="2">
        <v>1000947591</v>
      </c>
      <c r="J2458" s="2" t="s">
        <v>146</v>
      </c>
      <c r="K2458" s="10">
        <v>2200</v>
      </c>
      <c r="L2458" s="10">
        <v>0</v>
      </c>
      <c r="M2458" s="10">
        <v>2200</v>
      </c>
      <c r="N2458" s="10">
        <v>0</v>
      </c>
      <c r="O2458" s="10">
        <f>Table1[[#This Row],[NET Amount]]-Table1[[#This Row],[Paid Amount]]</f>
        <v>2200</v>
      </c>
      <c r="P2458" s="2" t="s">
        <v>23</v>
      </c>
      <c r="Q2458" s="2" t="s">
        <v>147</v>
      </c>
      <c r="R2458" s="16">
        <f>(Table1[[#This Row],[NET Amount]]-Table1[[#This Row],[Total Outstanding Amount]])/Table1[[#This Row],[NET Amount]]</f>
        <v>0</v>
      </c>
      <c r="S2458" s="2" t="s">
        <v>97</v>
      </c>
    </row>
    <row r="2459" spans="1:19" x14ac:dyDescent="0.3">
      <c r="A2459" s="4">
        <v>2457</v>
      </c>
      <c r="B2459" s="2" t="s">
        <v>152</v>
      </c>
      <c r="C2459" s="3">
        <v>44861</v>
      </c>
      <c r="D2459" s="3" t="str">
        <f>TEXT(Table1[[#This Row],[Admission Date]],"MMMM")</f>
        <v>October</v>
      </c>
      <c r="E2459" s="3">
        <v>44863</v>
      </c>
      <c r="F2459" s="3">
        <v>44863</v>
      </c>
      <c r="G2459" s="2">
        <v>22029076</v>
      </c>
      <c r="H2459" s="2">
        <v>2237649</v>
      </c>
      <c r="I2459" s="2">
        <v>1001281827</v>
      </c>
      <c r="J2459" s="2" t="s">
        <v>1545</v>
      </c>
      <c r="K2459" s="10">
        <v>22393</v>
      </c>
      <c r="L2459" s="10">
        <v>0</v>
      </c>
      <c r="M2459" s="10">
        <v>22393</v>
      </c>
      <c r="N2459" s="10">
        <v>0</v>
      </c>
      <c r="O2459" s="10">
        <f>Table1[[#This Row],[NET Amount]]-Table1[[#This Row],[Paid Amount]]</f>
        <v>22393</v>
      </c>
      <c r="P2459" s="2" t="s">
        <v>23</v>
      </c>
      <c r="Q2459" s="2" t="s">
        <v>24</v>
      </c>
      <c r="R2459" s="16">
        <f>(Table1[[#This Row],[NET Amount]]-Table1[[#This Row],[Total Outstanding Amount]])/Table1[[#This Row],[NET Amount]]</f>
        <v>0</v>
      </c>
      <c r="S2459" s="2" t="s">
        <v>20</v>
      </c>
    </row>
    <row r="2460" spans="1:19" x14ac:dyDescent="0.3">
      <c r="A2460" s="4">
        <v>2458</v>
      </c>
      <c r="B2460" s="2" t="s">
        <v>2263</v>
      </c>
      <c r="C2460" s="3">
        <v>44845</v>
      </c>
      <c r="D2460" s="3" t="str">
        <f>TEXT(Table1[[#This Row],[Admission Date]],"MMMM")</f>
        <v>October</v>
      </c>
      <c r="E2460" s="3">
        <v>44845</v>
      </c>
      <c r="F2460" s="3">
        <v>44845</v>
      </c>
      <c r="G2460" s="2">
        <v>22026500</v>
      </c>
      <c r="H2460" s="2">
        <v>2235487</v>
      </c>
      <c r="I2460" s="2">
        <v>1001751950</v>
      </c>
      <c r="J2460" s="2" t="s">
        <v>786</v>
      </c>
      <c r="K2460" s="10">
        <v>1274</v>
      </c>
      <c r="L2460" s="10">
        <v>0</v>
      </c>
      <c r="M2460" s="10">
        <v>1274</v>
      </c>
      <c r="N2460" s="10">
        <v>0</v>
      </c>
      <c r="O2460" s="10">
        <f>Table1[[#This Row],[NET Amount]]-Table1[[#This Row],[Paid Amount]]</f>
        <v>1274</v>
      </c>
      <c r="P2460" s="2" t="s">
        <v>23</v>
      </c>
      <c r="Q2460" s="2" t="s">
        <v>54</v>
      </c>
      <c r="R2460" s="16">
        <f>(Table1[[#This Row],[NET Amount]]-Table1[[#This Row],[Total Outstanding Amount]])/Table1[[#This Row],[NET Amount]]</f>
        <v>0</v>
      </c>
      <c r="S2460" s="2" t="s">
        <v>97</v>
      </c>
    </row>
    <row r="2461" spans="1:19" x14ac:dyDescent="0.3">
      <c r="A2461" s="4">
        <v>2459</v>
      </c>
      <c r="B2461" s="2" t="s">
        <v>61</v>
      </c>
      <c r="C2461" s="3">
        <v>44854</v>
      </c>
      <c r="D2461" s="3" t="str">
        <f>TEXT(Table1[[#This Row],[Admission Date]],"MMMM")</f>
        <v>October</v>
      </c>
      <c r="E2461" s="3">
        <v>44854</v>
      </c>
      <c r="F2461" s="3">
        <v>44854</v>
      </c>
      <c r="G2461" s="2">
        <v>22027833</v>
      </c>
      <c r="H2461" s="2">
        <v>2236749</v>
      </c>
      <c r="I2461" s="2">
        <v>10013497993</v>
      </c>
      <c r="J2461" s="2" t="s">
        <v>1077</v>
      </c>
      <c r="K2461" s="10">
        <v>2200</v>
      </c>
      <c r="L2461" s="10">
        <v>0</v>
      </c>
      <c r="M2461" s="10">
        <v>2200</v>
      </c>
      <c r="N2461" s="10">
        <v>0</v>
      </c>
      <c r="O2461" s="10">
        <f>Table1[[#This Row],[NET Amount]]-Table1[[#This Row],[Paid Amount]]</f>
        <v>2200</v>
      </c>
      <c r="P2461" s="2" t="s">
        <v>23</v>
      </c>
      <c r="Q2461" s="2" t="s">
        <v>147</v>
      </c>
      <c r="R2461" s="16">
        <f>(Table1[[#This Row],[NET Amount]]-Table1[[#This Row],[Total Outstanding Amount]])/Table1[[#This Row],[NET Amount]]</f>
        <v>0</v>
      </c>
      <c r="S2461" s="2" t="s">
        <v>97</v>
      </c>
    </row>
    <row r="2462" spans="1:19" x14ac:dyDescent="0.3">
      <c r="A2462" s="4">
        <v>2460</v>
      </c>
      <c r="B2462" s="2" t="s">
        <v>407</v>
      </c>
      <c r="C2462" s="3">
        <v>44849</v>
      </c>
      <c r="D2462" s="3" t="str">
        <f>TEXT(Table1[[#This Row],[Admission Date]],"MMMM")</f>
        <v>October</v>
      </c>
      <c r="E2462" s="3">
        <v>44854</v>
      </c>
      <c r="F2462" s="3">
        <v>44854</v>
      </c>
      <c r="G2462" s="2">
        <v>22027870</v>
      </c>
      <c r="H2462" s="2">
        <v>2236204</v>
      </c>
      <c r="I2462" s="2">
        <v>1000903089</v>
      </c>
      <c r="J2462" s="2" t="s">
        <v>1546</v>
      </c>
      <c r="K2462" s="10">
        <v>52157</v>
      </c>
      <c r="L2462" s="10">
        <v>0</v>
      </c>
      <c r="M2462" s="10">
        <v>52157</v>
      </c>
      <c r="N2462" s="10">
        <v>0</v>
      </c>
      <c r="O2462" s="10">
        <f>Table1[[#This Row],[NET Amount]]-Table1[[#This Row],[Paid Amount]]</f>
        <v>52157</v>
      </c>
      <c r="P2462" s="2" t="s">
        <v>23</v>
      </c>
      <c r="Q2462" s="2" t="s">
        <v>24</v>
      </c>
      <c r="R2462" s="16">
        <f>(Table1[[#This Row],[NET Amount]]-Table1[[#This Row],[Total Outstanding Amount]])/Table1[[#This Row],[NET Amount]]</f>
        <v>0</v>
      </c>
      <c r="S2462" s="2" t="s">
        <v>95</v>
      </c>
    </row>
    <row r="2463" spans="1:19" x14ac:dyDescent="0.3">
      <c r="A2463" s="4">
        <v>2461</v>
      </c>
      <c r="B2463" s="2" t="s">
        <v>380</v>
      </c>
      <c r="C2463" s="3">
        <v>44837</v>
      </c>
      <c r="D2463" s="3" t="str">
        <f>TEXT(Table1[[#This Row],[Admission Date]],"MMMM")</f>
        <v>October</v>
      </c>
      <c r="E2463" s="3">
        <v>44839</v>
      </c>
      <c r="F2463" s="3">
        <v>44839</v>
      </c>
      <c r="G2463" s="2">
        <v>22025715</v>
      </c>
      <c r="H2463" s="2">
        <v>2234464</v>
      </c>
      <c r="I2463" s="2">
        <v>10013541345</v>
      </c>
      <c r="J2463" s="2" t="s">
        <v>622</v>
      </c>
      <c r="K2463" s="10">
        <v>130994</v>
      </c>
      <c r="L2463" s="10">
        <v>0</v>
      </c>
      <c r="M2463" s="10">
        <v>130994</v>
      </c>
      <c r="N2463" s="10">
        <v>0</v>
      </c>
      <c r="O2463" s="10">
        <f>Table1[[#This Row],[NET Amount]]-Table1[[#This Row],[Paid Amount]]</f>
        <v>130994</v>
      </c>
      <c r="P2463" s="2" t="s">
        <v>23</v>
      </c>
      <c r="Q2463" s="2" t="s">
        <v>24</v>
      </c>
      <c r="R2463" s="16">
        <f>(Table1[[#This Row],[NET Amount]]-Table1[[#This Row],[Total Outstanding Amount]])/Table1[[#This Row],[NET Amount]]</f>
        <v>0</v>
      </c>
      <c r="S2463" s="2" t="s">
        <v>39</v>
      </c>
    </row>
    <row r="2464" spans="1:19" x14ac:dyDescent="0.3">
      <c r="A2464" s="4">
        <v>2462</v>
      </c>
      <c r="B2464" s="2" t="s">
        <v>380</v>
      </c>
      <c r="C2464" s="3">
        <v>44837</v>
      </c>
      <c r="D2464" s="3" t="str">
        <f>TEXT(Table1[[#This Row],[Admission Date]],"MMMM")</f>
        <v>October</v>
      </c>
      <c r="E2464" s="3">
        <v>44837</v>
      </c>
      <c r="F2464" s="3">
        <v>44837</v>
      </c>
      <c r="G2464" s="2">
        <v>22025453</v>
      </c>
      <c r="H2464" s="2">
        <v>2234455</v>
      </c>
      <c r="I2464" s="2">
        <v>1000891592</v>
      </c>
      <c r="J2464" s="2" t="s">
        <v>815</v>
      </c>
      <c r="K2464" s="10">
        <v>1274</v>
      </c>
      <c r="L2464" s="10">
        <v>0</v>
      </c>
      <c r="M2464" s="10">
        <v>1274</v>
      </c>
      <c r="N2464" s="10">
        <v>0</v>
      </c>
      <c r="O2464" s="10">
        <f>Table1[[#This Row],[NET Amount]]-Table1[[#This Row],[Paid Amount]]</f>
        <v>1274</v>
      </c>
      <c r="P2464" s="2" t="s">
        <v>23</v>
      </c>
      <c r="Q2464" s="2" t="s">
        <v>54</v>
      </c>
      <c r="R2464" s="16">
        <f>(Table1[[#This Row],[NET Amount]]-Table1[[#This Row],[Total Outstanding Amount]])/Table1[[#This Row],[NET Amount]]</f>
        <v>0</v>
      </c>
      <c r="S2464" s="2" t="s">
        <v>97</v>
      </c>
    </row>
    <row r="2465" spans="1:19" x14ac:dyDescent="0.3">
      <c r="A2465" s="4">
        <v>2463</v>
      </c>
      <c r="B2465" s="2" t="s">
        <v>380</v>
      </c>
      <c r="C2465" s="3">
        <v>44851</v>
      </c>
      <c r="D2465" s="3" t="str">
        <f>TEXT(Table1[[#This Row],[Admission Date]],"MMMM")</f>
        <v>October</v>
      </c>
      <c r="E2465" s="3">
        <v>44851</v>
      </c>
      <c r="F2465" s="3">
        <v>44851</v>
      </c>
      <c r="G2465" s="2">
        <v>22027502</v>
      </c>
      <c r="H2465" s="2">
        <v>2236390</v>
      </c>
      <c r="I2465" s="2">
        <v>10013299539</v>
      </c>
      <c r="J2465" s="2" t="s">
        <v>487</v>
      </c>
      <c r="K2465" s="10">
        <v>1274</v>
      </c>
      <c r="L2465" s="10">
        <v>0</v>
      </c>
      <c r="M2465" s="10">
        <v>1274</v>
      </c>
      <c r="N2465" s="10">
        <v>0</v>
      </c>
      <c r="O2465" s="10">
        <f>Table1[[#This Row],[NET Amount]]-Table1[[#This Row],[Paid Amount]]</f>
        <v>1274</v>
      </c>
      <c r="P2465" s="2" t="s">
        <v>23</v>
      </c>
      <c r="Q2465" s="2" t="s">
        <v>54</v>
      </c>
      <c r="R2465" s="16">
        <f>(Table1[[#This Row],[NET Amount]]-Table1[[#This Row],[Total Outstanding Amount]])/Table1[[#This Row],[NET Amount]]</f>
        <v>0</v>
      </c>
      <c r="S2465" s="2" t="s">
        <v>97</v>
      </c>
    </row>
    <row r="2466" spans="1:19" x14ac:dyDescent="0.3">
      <c r="A2466" s="4">
        <v>2464</v>
      </c>
      <c r="B2466" s="2" t="s">
        <v>152</v>
      </c>
      <c r="C2466" s="3">
        <v>44840</v>
      </c>
      <c r="D2466" s="3" t="str">
        <f>TEXT(Table1[[#This Row],[Admission Date]],"MMMM")</f>
        <v>October</v>
      </c>
      <c r="E2466" s="3">
        <v>44844</v>
      </c>
      <c r="F2466" s="3">
        <v>44844</v>
      </c>
      <c r="G2466" s="2">
        <v>22026373</v>
      </c>
      <c r="H2466" s="2">
        <v>2234929</v>
      </c>
      <c r="I2466" s="2">
        <v>10013484911</v>
      </c>
      <c r="J2466" s="2" t="s">
        <v>1547</v>
      </c>
      <c r="K2466" s="10">
        <v>14281</v>
      </c>
      <c r="L2466" s="10">
        <v>0</v>
      </c>
      <c r="M2466" s="10">
        <v>14281</v>
      </c>
      <c r="N2466" s="10">
        <v>0</v>
      </c>
      <c r="O2466" s="10">
        <f>Table1[[#This Row],[NET Amount]]-Table1[[#This Row],[Paid Amount]]</f>
        <v>14281</v>
      </c>
      <c r="P2466" s="2" t="s">
        <v>23</v>
      </c>
      <c r="Q2466" s="2" t="s">
        <v>24</v>
      </c>
      <c r="R2466" s="16">
        <f>(Table1[[#This Row],[NET Amount]]-Table1[[#This Row],[Total Outstanding Amount]])/Table1[[#This Row],[NET Amount]]</f>
        <v>0</v>
      </c>
      <c r="S2466" s="2" t="s">
        <v>65</v>
      </c>
    </row>
    <row r="2467" spans="1:19" x14ac:dyDescent="0.3">
      <c r="A2467" s="4">
        <v>2465</v>
      </c>
      <c r="B2467" s="2" t="s">
        <v>380</v>
      </c>
      <c r="C2467" s="3">
        <v>44865</v>
      </c>
      <c r="D2467" s="3" t="str">
        <f>TEXT(Table1[[#This Row],[Admission Date]],"MMMM")</f>
        <v>October</v>
      </c>
      <c r="E2467" s="3">
        <v>44865</v>
      </c>
      <c r="F2467" s="3">
        <v>44865</v>
      </c>
      <c r="G2467" s="2">
        <v>22029381</v>
      </c>
      <c r="H2467" s="2">
        <v>2238257</v>
      </c>
      <c r="I2467" s="2">
        <v>10013513950</v>
      </c>
      <c r="J2467" s="2" t="s">
        <v>491</v>
      </c>
      <c r="K2467" s="10">
        <v>1274</v>
      </c>
      <c r="L2467" s="10">
        <v>0</v>
      </c>
      <c r="M2467" s="10">
        <v>1274</v>
      </c>
      <c r="N2467" s="10">
        <v>0</v>
      </c>
      <c r="O2467" s="10">
        <f>Table1[[#This Row],[NET Amount]]-Table1[[#This Row],[Paid Amount]]</f>
        <v>1274</v>
      </c>
      <c r="P2467" s="2" t="s">
        <v>23</v>
      </c>
      <c r="Q2467" s="2" t="s">
        <v>54</v>
      </c>
      <c r="R2467" s="16">
        <f>(Table1[[#This Row],[NET Amount]]-Table1[[#This Row],[Total Outstanding Amount]])/Table1[[#This Row],[NET Amount]]</f>
        <v>0</v>
      </c>
      <c r="S2467" s="2" t="s">
        <v>97</v>
      </c>
    </row>
    <row r="2468" spans="1:19" x14ac:dyDescent="0.3">
      <c r="A2468" s="4">
        <v>2466</v>
      </c>
      <c r="B2468" s="2" t="s">
        <v>2253</v>
      </c>
      <c r="C2468" s="3">
        <v>44837</v>
      </c>
      <c r="D2468" s="3" t="str">
        <f>TEXT(Table1[[#This Row],[Admission Date]],"MMMM")</f>
        <v>October</v>
      </c>
      <c r="E2468" s="3">
        <v>44837</v>
      </c>
      <c r="F2468" s="3">
        <v>44837</v>
      </c>
      <c r="G2468" s="2">
        <v>22025423</v>
      </c>
      <c r="H2468" s="2">
        <v>2234427</v>
      </c>
      <c r="I2468" s="2">
        <v>1001692673</v>
      </c>
      <c r="J2468" s="2" t="s">
        <v>383</v>
      </c>
      <c r="K2468" s="10">
        <v>1610</v>
      </c>
      <c r="L2468" s="10">
        <v>0</v>
      </c>
      <c r="M2468" s="10">
        <v>1610</v>
      </c>
      <c r="N2468" s="10">
        <v>0</v>
      </c>
      <c r="O2468" s="10">
        <f>Table1[[#This Row],[NET Amount]]-Table1[[#This Row],[Paid Amount]]</f>
        <v>1610</v>
      </c>
      <c r="P2468" s="2" t="s">
        <v>23</v>
      </c>
      <c r="Q2468" s="2" t="s">
        <v>54</v>
      </c>
      <c r="R2468" s="16">
        <f>(Table1[[#This Row],[NET Amount]]-Table1[[#This Row],[Total Outstanding Amount]])/Table1[[#This Row],[NET Amount]]</f>
        <v>0</v>
      </c>
      <c r="S2468" s="2" t="s">
        <v>97</v>
      </c>
    </row>
    <row r="2469" spans="1:19" x14ac:dyDescent="0.3">
      <c r="A2469" s="4">
        <v>2467</v>
      </c>
      <c r="B2469" s="2" t="s">
        <v>2260</v>
      </c>
      <c r="C2469" s="3">
        <v>44859</v>
      </c>
      <c r="D2469" s="3" t="str">
        <f>TEXT(Table1[[#This Row],[Admission Date]],"MMMM")</f>
        <v>October</v>
      </c>
      <c r="E2469" s="3">
        <v>44859</v>
      </c>
      <c r="F2469" s="3">
        <v>44859</v>
      </c>
      <c r="G2469" s="2">
        <v>22028519</v>
      </c>
      <c r="H2469" s="2">
        <v>2237321</v>
      </c>
      <c r="I2469" s="2">
        <v>1001756832</v>
      </c>
      <c r="J2469" s="2" t="s">
        <v>326</v>
      </c>
      <c r="K2469" s="10">
        <v>1610</v>
      </c>
      <c r="L2469" s="10">
        <v>0</v>
      </c>
      <c r="M2469" s="10">
        <v>1610</v>
      </c>
      <c r="N2469" s="10">
        <v>0</v>
      </c>
      <c r="O2469" s="10">
        <f>Table1[[#This Row],[NET Amount]]-Table1[[#This Row],[Paid Amount]]</f>
        <v>1610</v>
      </c>
      <c r="P2469" s="2" t="s">
        <v>23</v>
      </c>
      <c r="Q2469" s="2" t="s">
        <v>54</v>
      </c>
      <c r="R2469" s="16">
        <f>(Table1[[#This Row],[NET Amount]]-Table1[[#This Row],[Total Outstanding Amount]])/Table1[[#This Row],[NET Amount]]</f>
        <v>0</v>
      </c>
      <c r="S2469" s="2" t="s">
        <v>97</v>
      </c>
    </row>
    <row r="2470" spans="1:19" x14ac:dyDescent="0.3">
      <c r="A2470" s="4">
        <v>2468</v>
      </c>
      <c r="B2470" s="2" t="s">
        <v>380</v>
      </c>
      <c r="C2470" s="3">
        <v>44838</v>
      </c>
      <c r="D2470" s="3" t="str">
        <f>TEXT(Table1[[#This Row],[Admission Date]],"MMMM")</f>
        <v>October</v>
      </c>
      <c r="E2470" s="3">
        <v>44838</v>
      </c>
      <c r="F2470" s="3">
        <v>44838</v>
      </c>
      <c r="G2470" s="2">
        <v>22025629</v>
      </c>
      <c r="H2470" s="2">
        <v>2234635</v>
      </c>
      <c r="I2470" s="2">
        <v>1000891355</v>
      </c>
      <c r="J2470" s="2" t="s">
        <v>792</v>
      </c>
      <c r="K2470" s="10">
        <v>1274</v>
      </c>
      <c r="L2470" s="10">
        <v>0</v>
      </c>
      <c r="M2470" s="10">
        <v>1274</v>
      </c>
      <c r="N2470" s="10">
        <v>0</v>
      </c>
      <c r="O2470" s="10">
        <f>Table1[[#This Row],[NET Amount]]-Table1[[#This Row],[Paid Amount]]</f>
        <v>1274</v>
      </c>
      <c r="P2470" s="2" t="s">
        <v>23</v>
      </c>
      <c r="Q2470" s="2" t="s">
        <v>54</v>
      </c>
      <c r="R2470" s="16">
        <f>(Table1[[#This Row],[NET Amount]]-Table1[[#This Row],[Total Outstanding Amount]])/Table1[[#This Row],[NET Amount]]</f>
        <v>0</v>
      </c>
      <c r="S2470" s="2" t="s">
        <v>97</v>
      </c>
    </row>
    <row r="2471" spans="1:19" x14ac:dyDescent="0.3">
      <c r="A2471" s="4">
        <v>2469</v>
      </c>
      <c r="B2471" s="2" t="s">
        <v>45</v>
      </c>
      <c r="C2471" s="3">
        <v>44845</v>
      </c>
      <c r="D2471" s="3" t="str">
        <f>TEXT(Table1[[#This Row],[Admission Date]],"MMMM")</f>
        <v>October</v>
      </c>
      <c r="E2471" s="3">
        <v>44845</v>
      </c>
      <c r="F2471" s="3">
        <v>44845</v>
      </c>
      <c r="G2471" s="2">
        <v>22026565</v>
      </c>
      <c r="H2471" s="2">
        <v>2235494</v>
      </c>
      <c r="I2471" s="2">
        <v>1000992104</v>
      </c>
      <c r="J2471" s="2" t="s">
        <v>1062</v>
      </c>
      <c r="K2471" s="10">
        <v>2200</v>
      </c>
      <c r="L2471" s="10">
        <v>0</v>
      </c>
      <c r="M2471" s="10">
        <v>2200</v>
      </c>
      <c r="N2471" s="10">
        <v>0</v>
      </c>
      <c r="O2471" s="10">
        <f>Table1[[#This Row],[NET Amount]]-Table1[[#This Row],[Paid Amount]]</f>
        <v>2200</v>
      </c>
      <c r="P2471" s="2" t="s">
        <v>23</v>
      </c>
      <c r="Q2471" s="2" t="s">
        <v>147</v>
      </c>
      <c r="R2471" s="16">
        <f>(Table1[[#This Row],[NET Amount]]-Table1[[#This Row],[Total Outstanding Amount]])/Table1[[#This Row],[NET Amount]]</f>
        <v>0</v>
      </c>
      <c r="S2471" s="2" t="s">
        <v>97</v>
      </c>
    </row>
    <row r="2472" spans="1:19" x14ac:dyDescent="0.3">
      <c r="A2472" s="4">
        <v>2470</v>
      </c>
      <c r="B2472" s="2" t="s">
        <v>2260</v>
      </c>
      <c r="C2472" s="3">
        <v>44840</v>
      </c>
      <c r="D2472" s="3" t="str">
        <f>TEXT(Table1[[#This Row],[Admission Date]],"MMMM")</f>
        <v>October</v>
      </c>
      <c r="E2472" s="3">
        <v>44840</v>
      </c>
      <c r="F2472" s="3">
        <v>44840</v>
      </c>
      <c r="G2472" s="2">
        <v>22025812</v>
      </c>
      <c r="H2472" s="2">
        <v>2234823</v>
      </c>
      <c r="I2472" s="2">
        <v>1001778288</v>
      </c>
      <c r="J2472" s="2" t="s">
        <v>1070</v>
      </c>
      <c r="K2472" s="10">
        <v>1610</v>
      </c>
      <c r="L2472" s="10">
        <v>0</v>
      </c>
      <c r="M2472" s="10">
        <v>1610</v>
      </c>
      <c r="N2472" s="10">
        <v>0</v>
      </c>
      <c r="O2472" s="10">
        <f>Table1[[#This Row],[NET Amount]]-Table1[[#This Row],[Paid Amount]]</f>
        <v>1610</v>
      </c>
      <c r="P2472" s="2" t="s">
        <v>23</v>
      </c>
      <c r="Q2472" s="2" t="s">
        <v>54</v>
      </c>
      <c r="R2472" s="16">
        <f>(Table1[[#This Row],[NET Amount]]-Table1[[#This Row],[Total Outstanding Amount]])/Table1[[#This Row],[NET Amount]]</f>
        <v>0</v>
      </c>
      <c r="S2472" s="2" t="s">
        <v>97</v>
      </c>
    </row>
    <row r="2473" spans="1:19" x14ac:dyDescent="0.3">
      <c r="A2473" s="4">
        <v>2471</v>
      </c>
      <c r="B2473" s="2" t="s">
        <v>380</v>
      </c>
      <c r="C2473" s="3">
        <v>44863</v>
      </c>
      <c r="D2473" s="3" t="str">
        <f>TEXT(Table1[[#This Row],[Admission Date]],"MMMM")</f>
        <v>October</v>
      </c>
      <c r="E2473" s="3">
        <v>44863</v>
      </c>
      <c r="F2473" s="3">
        <v>44863</v>
      </c>
      <c r="G2473" s="2">
        <v>22029161</v>
      </c>
      <c r="H2473" s="2">
        <v>2238019</v>
      </c>
      <c r="I2473" s="2">
        <v>10013387247</v>
      </c>
      <c r="J2473" s="2" t="s">
        <v>1330</v>
      </c>
      <c r="K2473" s="10">
        <v>1274</v>
      </c>
      <c r="L2473" s="10">
        <v>0</v>
      </c>
      <c r="M2473" s="10">
        <v>1274</v>
      </c>
      <c r="N2473" s="10">
        <v>0</v>
      </c>
      <c r="O2473" s="10">
        <f>Table1[[#This Row],[NET Amount]]-Table1[[#This Row],[Paid Amount]]</f>
        <v>1274</v>
      </c>
      <c r="P2473" s="2" t="s">
        <v>23</v>
      </c>
      <c r="Q2473" s="2" t="s">
        <v>54</v>
      </c>
      <c r="R2473" s="16">
        <f>(Table1[[#This Row],[NET Amount]]-Table1[[#This Row],[Total Outstanding Amount]])/Table1[[#This Row],[NET Amount]]</f>
        <v>0</v>
      </c>
      <c r="S2473" s="2" t="s">
        <v>97</v>
      </c>
    </row>
    <row r="2474" spans="1:19" x14ac:dyDescent="0.3">
      <c r="A2474" s="4">
        <v>2472</v>
      </c>
      <c r="B2474" s="2" t="s">
        <v>380</v>
      </c>
      <c r="C2474" s="3">
        <v>44865</v>
      </c>
      <c r="D2474" s="3" t="str">
        <f>TEXT(Table1[[#This Row],[Admission Date]],"MMMM")</f>
        <v>October</v>
      </c>
      <c r="E2474" s="3">
        <v>44865</v>
      </c>
      <c r="F2474" s="3">
        <v>44865</v>
      </c>
      <c r="G2474" s="2">
        <v>22029400</v>
      </c>
      <c r="H2474" s="2">
        <v>2238265</v>
      </c>
      <c r="I2474" s="2">
        <v>1001092597</v>
      </c>
      <c r="J2474" s="2" t="s">
        <v>384</v>
      </c>
      <c r="K2474" s="10">
        <v>1274</v>
      </c>
      <c r="L2474" s="10">
        <v>0</v>
      </c>
      <c r="M2474" s="10">
        <v>1274</v>
      </c>
      <c r="N2474" s="10">
        <v>0</v>
      </c>
      <c r="O2474" s="10">
        <f>Table1[[#This Row],[NET Amount]]-Table1[[#This Row],[Paid Amount]]</f>
        <v>1274</v>
      </c>
      <c r="P2474" s="2" t="s">
        <v>23</v>
      </c>
      <c r="Q2474" s="2" t="s">
        <v>54</v>
      </c>
      <c r="R2474" s="16">
        <f>(Table1[[#This Row],[NET Amount]]-Table1[[#This Row],[Total Outstanding Amount]])/Table1[[#This Row],[NET Amount]]</f>
        <v>0</v>
      </c>
      <c r="S2474" s="2" t="s">
        <v>97</v>
      </c>
    </row>
    <row r="2475" spans="1:19" x14ac:dyDescent="0.3">
      <c r="A2475" s="4">
        <v>2473</v>
      </c>
      <c r="B2475" s="2" t="s">
        <v>2271</v>
      </c>
      <c r="C2475" s="3">
        <v>44851</v>
      </c>
      <c r="D2475" s="3" t="str">
        <f>TEXT(Table1[[#This Row],[Admission Date]],"MMMM")</f>
        <v>October</v>
      </c>
      <c r="E2475" s="3">
        <v>44851</v>
      </c>
      <c r="F2475" s="3">
        <v>44851</v>
      </c>
      <c r="G2475" s="2">
        <v>22027456</v>
      </c>
      <c r="H2475" s="2">
        <v>2236340</v>
      </c>
      <c r="I2475" s="2">
        <v>1001729640</v>
      </c>
      <c r="J2475" s="2" t="s">
        <v>470</v>
      </c>
      <c r="K2475" s="10">
        <v>1610</v>
      </c>
      <c r="L2475" s="10">
        <v>0</v>
      </c>
      <c r="M2475" s="10">
        <v>1610</v>
      </c>
      <c r="N2475" s="10">
        <v>0</v>
      </c>
      <c r="O2475" s="10">
        <f>Table1[[#This Row],[NET Amount]]-Table1[[#This Row],[Paid Amount]]</f>
        <v>1610</v>
      </c>
      <c r="P2475" s="2" t="s">
        <v>23</v>
      </c>
      <c r="Q2475" s="2" t="s">
        <v>54</v>
      </c>
      <c r="R2475" s="16">
        <f>(Table1[[#This Row],[NET Amount]]-Table1[[#This Row],[Total Outstanding Amount]])/Table1[[#This Row],[NET Amount]]</f>
        <v>0</v>
      </c>
      <c r="S2475" s="2" t="s">
        <v>97</v>
      </c>
    </row>
    <row r="2476" spans="1:19" x14ac:dyDescent="0.3">
      <c r="A2476" s="4">
        <v>2474</v>
      </c>
      <c r="B2476" s="2" t="s">
        <v>2263</v>
      </c>
      <c r="C2476" s="3">
        <v>44862</v>
      </c>
      <c r="D2476" s="3" t="str">
        <f>TEXT(Table1[[#This Row],[Admission Date]],"MMMM")</f>
        <v>October</v>
      </c>
      <c r="E2476" s="3">
        <v>44862</v>
      </c>
      <c r="F2476" s="3">
        <v>44862</v>
      </c>
      <c r="G2476" s="2">
        <v>22028861</v>
      </c>
      <c r="H2476" s="2">
        <v>2237747</v>
      </c>
      <c r="I2476" s="2">
        <v>1001751950</v>
      </c>
      <c r="J2476" s="2" t="s">
        <v>786</v>
      </c>
      <c r="K2476" s="10">
        <v>1274</v>
      </c>
      <c r="L2476" s="10">
        <v>0</v>
      </c>
      <c r="M2476" s="10">
        <v>1274</v>
      </c>
      <c r="N2476" s="10">
        <v>0</v>
      </c>
      <c r="O2476" s="10">
        <f>Table1[[#This Row],[NET Amount]]-Table1[[#This Row],[Paid Amount]]</f>
        <v>1274</v>
      </c>
      <c r="P2476" s="2" t="s">
        <v>23</v>
      </c>
      <c r="Q2476" s="2" t="s">
        <v>54</v>
      </c>
      <c r="R2476" s="16">
        <f>(Table1[[#This Row],[NET Amount]]-Table1[[#This Row],[Total Outstanding Amount]])/Table1[[#This Row],[NET Amount]]</f>
        <v>0</v>
      </c>
      <c r="S2476" s="2" t="s">
        <v>97</v>
      </c>
    </row>
    <row r="2477" spans="1:19" x14ac:dyDescent="0.3">
      <c r="A2477" s="4">
        <v>2475</v>
      </c>
      <c r="B2477" s="2" t="s">
        <v>2253</v>
      </c>
      <c r="C2477" s="3">
        <v>44847</v>
      </c>
      <c r="D2477" s="3" t="str">
        <f>TEXT(Table1[[#This Row],[Admission Date]],"MMMM")</f>
        <v>October</v>
      </c>
      <c r="E2477" s="3">
        <v>44847</v>
      </c>
      <c r="F2477" s="3">
        <v>44847</v>
      </c>
      <c r="G2477" s="2">
        <v>22026928</v>
      </c>
      <c r="H2477" s="2">
        <v>2235850</v>
      </c>
      <c r="I2477" s="2">
        <v>1001772963</v>
      </c>
      <c r="J2477" s="2" t="s">
        <v>569</v>
      </c>
      <c r="K2477" s="10">
        <v>1610</v>
      </c>
      <c r="L2477" s="10">
        <v>0</v>
      </c>
      <c r="M2477" s="10">
        <v>1610</v>
      </c>
      <c r="N2477" s="10">
        <v>0</v>
      </c>
      <c r="O2477" s="10">
        <f>Table1[[#This Row],[NET Amount]]-Table1[[#This Row],[Paid Amount]]</f>
        <v>1610</v>
      </c>
      <c r="P2477" s="2" t="s">
        <v>23</v>
      </c>
      <c r="Q2477" s="2" t="s">
        <v>54</v>
      </c>
      <c r="R2477" s="16">
        <f>(Table1[[#This Row],[NET Amount]]-Table1[[#This Row],[Total Outstanding Amount]])/Table1[[#This Row],[NET Amount]]</f>
        <v>0</v>
      </c>
      <c r="S2477" s="2" t="s">
        <v>97</v>
      </c>
    </row>
    <row r="2478" spans="1:19" x14ac:dyDescent="0.3">
      <c r="A2478" s="4">
        <v>2476</v>
      </c>
      <c r="B2478" s="2" t="s">
        <v>2263</v>
      </c>
      <c r="C2478" s="3">
        <v>44854</v>
      </c>
      <c r="D2478" s="3" t="str">
        <f>TEXT(Table1[[#This Row],[Admission Date]],"MMMM")</f>
        <v>October</v>
      </c>
      <c r="E2478" s="3">
        <v>44854</v>
      </c>
      <c r="F2478" s="3">
        <v>44854</v>
      </c>
      <c r="G2478" s="2">
        <v>22027933</v>
      </c>
      <c r="H2478" s="2">
        <v>2236768</v>
      </c>
      <c r="I2478" s="2">
        <v>1001657236</v>
      </c>
      <c r="J2478" s="2" t="s">
        <v>798</v>
      </c>
      <c r="K2478" s="10">
        <v>1274</v>
      </c>
      <c r="L2478" s="10">
        <v>0</v>
      </c>
      <c r="M2478" s="10">
        <v>1274</v>
      </c>
      <c r="N2478" s="10">
        <v>0</v>
      </c>
      <c r="O2478" s="10">
        <f>Table1[[#This Row],[NET Amount]]-Table1[[#This Row],[Paid Amount]]</f>
        <v>1274</v>
      </c>
      <c r="P2478" s="2" t="s">
        <v>23</v>
      </c>
      <c r="Q2478" s="2" t="s">
        <v>54</v>
      </c>
      <c r="R2478" s="16">
        <f>(Table1[[#This Row],[NET Amount]]-Table1[[#This Row],[Total Outstanding Amount]])/Table1[[#This Row],[NET Amount]]</f>
        <v>0</v>
      </c>
      <c r="S2478" s="2" t="s">
        <v>97</v>
      </c>
    </row>
    <row r="2479" spans="1:19" x14ac:dyDescent="0.3">
      <c r="A2479" s="4">
        <v>2477</v>
      </c>
      <c r="B2479" s="2" t="s">
        <v>380</v>
      </c>
      <c r="C2479" s="3">
        <v>44863</v>
      </c>
      <c r="D2479" s="3" t="str">
        <f>TEXT(Table1[[#This Row],[Admission Date]],"MMMM")</f>
        <v>October</v>
      </c>
      <c r="E2479" s="3">
        <v>44863</v>
      </c>
      <c r="F2479" s="3">
        <v>44863</v>
      </c>
      <c r="G2479" s="2">
        <v>22029020</v>
      </c>
      <c r="H2479" s="2">
        <v>2237926</v>
      </c>
      <c r="I2479" s="2">
        <v>10013436995</v>
      </c>
      <c r="J2479" s="2" t="s">
        <v>794</v>
      </c>
      <c r="K2479" s="10">
        <v>1274</v>
      </c>
      <c r="L2479" s="10">
        <v>0</v>
      </c>
      <c r="M2479" s="10">
        <v>1274</v>
      </c>
      <c r="N2479" s="10">
        <v>0</v>
      </c>
      <c r="O2479" s="10">
        <f>Table1[[#This Row],[NET Amount]]-Table1[[#This Row],[Paid Amount]]</f>
        <v>1274</v>
      </c>
      <c r="P2479" s="2" t="s">
        <v>23</v>
      </c>
      <c r="Q2479" s="2" t="s">
        <v>54</v>
      </c>
      <c r="R2479" s="16">
        <f>(Table1[[#This Row],[NET Amount]]-Table1[[#This Row],[Total Outstanding Amount]])/Table1[[#This Row],[NET Amount]]</f>
        <v>0</v>
      </c>
      <c r="S2479" s="2" t="s">
        <v>97</v>
      </c>
    </row>
    <row r="2480" spans="1:19" x14ac:dyDescent="0.3">
      <c r="A2480" s="4">
        <v>2478</v>
      </c>
      <c r="B2480" s="2" t="s">
        <v>2253</v>
      </c>
      <c r="C2480" s="3">
        <v>44848</v>
      </c>
      <c r="D2480" s="3" t="str">
        <f>TEXT(Table1[[#This Row],[Admission Date]],"MMMM")</f>
        <v>October</v>
      </c>
      <c r="E2480" s="3">
        <v>44848</v>
      </c>
      <c r="F2480" s="3">
        <v>44848</v>
      </c>
      <c r="G2480" s="2">
        <v>22026978</v>
      </c>
      <c r="H2480" s="2">
        <v>2235917</v>
      </c>
      <c r="I2480" s="2">
        <v>10013503569</v>
      </c>
      <c r="J2480" s="2" t="s">
        <v>440</v>
      </c>
      <c r="K2480" s="10">
        <v>1610</v>
      </c>
      <c r="L2480" s="10">
        <v>0</v>
      </c>
      <c r="M2480" s="10">
        <v>1610</v>
      </c>
      <c r="N2480" s="10">
        <v>0</v>
      </c>
      <c r="O2480" s="10">
        <f>Table1[[#This Row],[NET Amount]]-Table1[[#This Row],[Paid Amount]]</f>
        <v>1610</v>
      </c>
      <c r="P2480" s="2" t="s">
        <v>23</v>
      </c>
      <c r="Q2480" s="2" t="s">
        <v>54</v>
      </c>
      <c r="R2480" s="16">
        <f>(Table1[[#This Row],[NET Amount]]-Table1[[#This Row],[Total Outstanding Amount]])/Table1[[#This Row],[NET Amount]]</f>
        <v>0</v>
      </c>
      <c r="S2480" s="2" t="s">
        <v>97</v>
      </c>
    </row>
    <row r="2481" spans="1:19" x14ac:dyDescent="0.3">
      <c r="A2481" s="4">
        <v>2479</v>
      </c>
      <c r="B2481" s="2" t="s">
        <v>380</v>
      </c>
      <c r="C2481" s="3">
        <v>44852</v>
      </c>
      <c r="D2481" s="3" t="str">
        <f>TEXT(Table1[[#This Row],[Admission Date]],"MMMM")</f>
        <v>October</v>
      </c>
      <c r="E2481" s="3">
        <v>44852</v>
      </c>
      <c r="F2481" s="3">
        <v>44852</v>
      </c>
      <c r="G2481" s="2">
        <v>22027632</v>
      </c>
      <c r="H2481" s="2">
        <v>2236530</v>
      </c>
      <c r="I2481" s="2">
        <v>1001074266</v>
      </c>
      <c r="J2481" s="2" t="s">
        <v>776</v>
      </c>
      <c r="K2481" s="10">
        <v>1274</v>
      </c>
      <c r="L2481" s="10">
        <v>0</v>
      </c>
      <c r="M2481" s="10">
        <v>1274</v>
      </c>
      <c r="N2481" s="10">
        <v>0</v>
      </c>
      <c r="O2481" s="10">
        <f>Table1[[#This Row],[NET Amount]]-Table1[[#This Row],[Paid Amount]]</f>
        <v>1274</v>
      </c>
      <c r="P2481" s="2" t="s">
        <v>23</v>
      </c>
      <c r="Q2481" s="2" t="s">
        <v>54</v>
      </c>
      <c r="R2481" s="16">
        <f>(Table1[[#This Row],[NET Amount]]-Table1[[#This Row],[Total Outstanding Amount]])/Table1[[#This Row],[NET Amount]]</f>
        <v>0</v>
      </c>
      <c r="S2481" s="2" t="s">
        <v>97</v>
      </c>
    </row>
    <row r="2482" spans="1:19" x14ac:dyDescent="0.3">
      <c r="A2482" s="4">
        <v>2480</v>
      </c>
      <c r="B2482" s="2" t="s">
        <v>139</v>
      </c>
      <c r="C2482" s="3">
        <v>44846</v>
      </c>
      <c r="D2482" s="3" t="str">
        <f>TEXT(Table1[[#This Row],[Admission Date]],"MMMM")</f>
        <v>October</v>
      </c>
      <c r="E2482" s="3">
        <v>44846</v>
      </c>
      <c r="F2482" s="3">
        <v>44846</v>
      </c>
      <c r="G2482" s="2">
        <v>22026782</v>
      </c>
      <c r="H2482" s="2">
        <v>2235736</v>
      </c>
      <c r="I2482" s="2">
        <v>1001590721</v>
      </c>
      <c r="J2482" s="2" t="s">
        <v>461</v>
      </c>
      <c r="K2482" s="10">
        <v>2200</v>
      </c>
      <c r="L2482" s="10">
        <v>0</v>
      </c>
      <c r="M2482" s="10">
        <v>2200</v>
      </c>
      <c r="N2482" s="10">
        <v>0</v>
      </c>
      <c r="O2482" s="10">
        <f>Table1[[#This Row],[NET Amount]]-Table1[[#This Row],[Paid Amount]]</f>
        <v>2200</v>
      </c>
      <c r="P2482" s="2" t="s">
        <v>23</v>
      </c>
      <c r="Q2482" s="2" t="s">
        <v>147</v>
      </c>
      <c r="R2482" s="16">
        <f>(Table1[[#This Row],[NET Amount]]-Table1[[#This Row],[Total Outstanding Amount]])/Table1[[#This Row],[NET Amount]]</f>
        <v>0</v>
      </c>
      <c r="S2482" s="2" t="s">
        <v>97</v>
      </c>
    </row>
    <row r="2483" spans="1:19" x14ac:dyDescent="0.3">
      <c r="A2483" s="4">
        <v>2481</v>
      </c>
      <c r="B2483" s="2" t="s">
        <v>2263</v>
      </c>
      <c r="C2483" s="3">
        <v>44839</v>
      </c>
      <c r="D2483" s="3" t="str">
        <f>TEXT(Table1[[#This Row],[Admission Date]],"MMMM")</f>
        <v>October</v>
      </c>
      <c r="E2483" s="3">
        <v>44839</v>
      </c>
      <c r="F2483" s="3">
        <v>44839</v>
      </c>
      <c r="G2483" s="2">
        <v>22025659</v>
      </c>
      <c r="H2483" s="2">
        <v>2234700</v>
      </c>
      <c r="I2483" s="2">
        <v>1001680001</v>
      </c>
      <c r="J2483" s="2" t="s">
        <v>394</v>
      </c>
      <c r="K2483" s="10">
        <v>1274</v>
      </c>
      <c r="L2483" s="10">
        <v>0</v>
      </c>
      <c r="M2483" s="10">
        <v>1274</v>
      </c>
      <c r="N2483" s="10">
        <v>0</v>
      </c>
      <c r="O2483" s="10">
        <f>Table1[[#This Row],[NET Amount]]-Table1[[#This Row],[Paid Amount]]</f>
        <v>1274</v>
      </c>
      <c r="P2483" s="2" t="s">
        <v>23</v>
      </c>
      <c r="Q2483" s="2" t="s">
        <v>54</v>
      </c>
      <c r="R2483" s="16">
        <f>(Table1[[#This Row],[NET Amount]]-Table1[[#This Row],[Total Outstanding Amount]])/Table1[[#This Row],[NET Amount]]</f>
        <v>0</v>
      </c>
      <c r="S2483" s="2" t="s">
        <v>97</v>
      </c>
    </row>
    <row r="2484" spans="1:19" x14ac:dyDescent="0.3">
      <c r="A2484" s="4">
        <v>2482</v>
      </c>
      <c r="B2484" s="2" t="s">
        <v>380</v>
      </c>
      <c r="C2484" s="3">
        <v>44848</v>
      </c>
      <c r="D2484" s="3" t="str">
        <f>TEXT(Table1[[#This Row],[Admission Date]],"MMMM")</f>
        <v>October</v>
      </c>
      <c r="E2484" s="3">
        <v>44848</v>
      </c>
      <c r="F2484" s="3">
        <v>44848</v>
      </c>
      <c r="G2484" s="2">
        <v>22027113</v>
      </c>
      <c r="H2484" s="2">
        <v>2236033</v>
      </c>
      <c r="I2484" s="2">
        <v>1000891355</v>
      </c>
      <c r="J2484" s="2" t="s">
        <v>792</v>
      </c>
      <c r="K2484" s="10">
        <v>1274</v>
      </c>
      <c r="L2484" s="10">
        <v>0</v>
      </c>
      <c r="M2484" s="10">
        <v>1274</v>
      </c>
      <c r="N2484" s="10">
        <v>0</v>
      </c>
      <c r="O2484" s="10">
        <f>Table1[[#This Row],[NET Amount]]-Table1[[#This Row],[Paid Amount]]</f>
        <v>1274</v>
      </c>
      <c r="P2484" s="2" t="s">
        <v>23</v>
      </c>
      <c r="Q2484" s="2" t="s">
        <v>54</v>
      </c>
      <c r="R2484" s="16">
        <f>(Table1[[#This Row],[NET Amount]]-Table1[[#This Row],[Total Outstanding Amount]])/Table1[[#This Row],[NET Amount]]</f>
        <v>0</v>
      </c>
      <c r="S2484" s="2" t="s">
        <v>97</v>
      </c>
    </row>
    <row r="2485" spans="1:19" x14ac:dyDescent="0.3">
      <c r="A2485" s="4">
        <v>2483</v>
      </c>
      <c r="B2485" s="2" t="s">
        <v>75</v>
      </c>
      <c r="C2485" s="3">
        <v>44835</v>
      </c>
      <c r="D2485" s="3" t="str">
        <f>TEXT(Table1[[#This Row],[Admission Date]],"MMMM")</f>
        <v>October</v>
      </c>
      <c r="E2485" s="3">
        <v>44835</v>
      </c>
      <c r="F2485" s="3">
        <v>44835</v>
      </c>
      <c r="G2485" s="2">
        <v>22025102</v>
      </c>
      <c r="H2485" s="2">
        <v>2234163</v>
      </c>
      <c r="I2485" s="2">
        <v>10013401847</v>
      </c>
      <c r="J2485" s="2" t="s">
        <v>449</v>
      </c>
      <c r="K2485" s="10">
        <v>1610</v>
      </c>
      <c r="L2485" s="10">
        <v>0</v>
      </c>
      <c r="M2485" s="10">
        <v>1610</v>
      </c>
      <c r="N2485" s="10">
        <v>0</v>
      </c>
      <c r="O2485" s="10">
        <f>Table1[[#This Row],[NET Amount]]-Table1[[#This Row],[Paid Amount]]</f>
        <v>1610</v>
      </c>
      <c r="P2485" s="2" t="s">
        <v>23</v>
      </c>
      <c r="Q2485" s="2" t="s">
        <v>54</v>
      </c>
      <c r="R2485" s="16">
        <f>(Table1[[#This Row],[NET Amount]]-Table1[[#This Row],[Total Outstanding Amount]])/Table1[[#This Row],[NET Amount]]</f>
        <v>0</v>
      </c>
      <c r="S2485" s="2" t="s">
        <v>97</v>
      </c>
    </row>
    <row r="2486" spans="1:19" x14ac:dyDescent="0.3">
      <c r="A2486" s="4">
        <v>2484</v>
      </c>
      <c r="B2486" s="2" t="s">
        <v>2277</v>
      </c>
      <c r="C2486" s="3">
        <v>44861</v>
      </c>
      <c r="D2486" s="3" t="str">
        <f>TEXT(Table1[[#This Row],[Admission Date]],"MMMM")</f>
        <v>October</v>
      </c>
      <c r="E2486" s="3">
        <v>44863</v>
      </c>
      <c r="F2486" s="3">
        <v>44863</v>
      </c>
      <c r="G2486" s="2">
        <v>22029089</v>
      </c>
      <c r="H2486" s="2">
        <v>2237728</v>
      </c>
      <c r="I2486" s="2">
        <v>1001806663</v>
      </c>
      <c r="J2486" s="2" t="s">
        <v>444</v>
      </c>
      <c r="K2486" s="10">
        <v>10247</v>
      </c>
      <c r="L2486" s="10">
        <v>0</v>
      </c>
      <c r="M2486" s="10">
        <v>10247</v>
      </c>
      <c r="N2486" s="10">
        <v>0</v>
      </c>
      <c r="O2486" s="10">
        <f>Table1[[#This Row],[NET Amount]]-Table1[[#This Row],[Paid Amount]]</f>
        <v>10247</v>
      </c>
      <c r="P2486" s="2" t="s">
        <v>23</v>
      </c>
      <c r="Q2486" s="2" t="s">
        <v>24</v>
      </c>
      <c r="R2486" s="16">
        <f>(Table1[[#This Row],[NET Amount]]-Table1[[#This Row],[Total Outstanding Amount]])/Table1[[#This Row],[NET Amount]]</f>
        <v>0</v>
      </c>
      <c r="S2486" s="2" t="s">
        <v>32</v>
      </c>
    </row>
    <row r="2487" spans="1:19" x14ac:dyDescent="0.3">
      <c r="A2487" s="4">
        <v>2485</v>
      </c>
      <c r="B2487" s="2" t="s">
        <v>115</v>
      </c>
      <c r="C2487" s="3">
        <v>44835</v>
      </c>
      <c r="D2487" s="3" t="str">
        <f>TEXT(Table1[[#This Row],[Admission Date]],"MMMM")</f>
        <v>October</v>
      </c>
      <c r="E2487" s="3">
        <v>44835</v>
      </c>
      <c r="F2487" s="3">
        <v>44835</v>
      </c>
      <c r="G2487" s="2">
        <v>22025263</v>
      </c>
      <c r="H2487" s="2">
        <v>2234273</v>
      </c>
      <c r="I2487" s="2">
        <v>1001456152</v>
      </c>
      <c r="J2487" s="2" t="s">
        <v>404</v>
      </c>
      <c r="K2487" s="10">
        <v>2200</v>
      </c>
      <c r="L2487" s="10">
        <v>0</v>
      </c>
      <c r="M2487" s="10">
        <v>2200</v>
      </c>
      <c r="N2487" s="10">
        <v>0</v>
      </c>
      <c r="O2487" s="10">
        <f>Table1[[#This Row],[NET Amount]]-Table1[[#This Row],[Paid Amount]]</f>
        <v>2200</v>
      </c>
      <c r="P2487" s="2" t="s">
        <v>23</v>
      </c>
      <c r="Q2487" s="2" t="s">
        <v>147</v>
      </c>
      <c r="R2487" s="16">
        <f>(Table1[[#This Row],[NET Amount]]-Table1[[#This Row],[Total Outstanding Amount]])/Table1[[#This Row],[NET Amount]]</f>
        <v>0</v>
      </c>
      <c r="S2487" s="2" t="s">
        <v>97</v>
      </c>
    </row>
    <row r="2488" spans="1:19" x14ac:dyDescent="0.3">
      <c r="A2488" s="4">
        <v>2486</v>
      </c>
      <c r="B2488" s="2" t="s">
        <v>28</v>
      </c>
      <c r="C2488" s="3">
        <v>44849</v>
      </c>
      <c r="D2488" s="3" t="str">
        <f>TEXT(Table1[[#This Row],[Admission Date]],"MMMM")</f>
        <v>October</v>
      </c>
      <c r="E2488" s="3">
        <v>44849</v>
      </c>
      <c r="F2488" s="3">
        <v>44849</v>
      </c>
      <c r="G2488" s="2">
        <v>22027149</v>
      </c>
      <c r="H2488" s="2">
        <v>2236092</v>
      </c>
      <c r="I2488" s="2">
        <v>10013484190</v>
      </c>
      <c r="J2488" s="2" t="s">
        <v>427</v>
      </c>
      <c r="K2488" s="10">
        <v>2240</v>
      </c>
      <c r="L2488" s="10">
        <v>0</v>
      </c>
      <c r="M2488" s="10">
        <v>2240</v>
      </c>
      <c r="N2488" s="10">
        <v>0</v>
      </c>
      <c r="O2488" s="10">
        <f>Table1[[#This Row],[NET Amount]]-Table1[[#This Row],[Paid Amount]]</f>
        <v>2240</v>
      </c>
      <c r="P2488" s="2" t="s">
        <v>23</v>
      </c>
      <c r="Q2488" s="2" t="s">
        <v>54</v>
      </c>
      <c r="R2488" s="16">
        <f>(Table1[[#This Row],[NET Amount]]-Table1[[#This Row],[Total Outstanding Amount]])/Table1[[#This Row],[NET Amount]]</f>
        <v>0</v>
      </c>
      <c r="S2488" s="2" t="s">
        <v>97</v>
      </c>
    </row>
    <row r="2489" spans="1:19" x14ac:dyDescent="0.3">
      <c r="A2489" s="4">
        <v>2487</v>
      </c>
      <c r="B2489" s="2" t="s">
        <v>2258</v>
      </c>
      <c r="C2489" s="3">
        <v>44847</v>
      </c>
      <c r="D2489" s="3" t="str">
        <f>TEXT(Table1[[#This Row],[Admission Date]],"MMMM")</f>
        <v>October</v>
      </c>
      <c r="E2489" s="3">
        <v>44847</v>
      </c>
      <c r="F2489" s="3">
        <v>44847</v>
      </c>
      <c r="G2489" s="2">
        <v>22026830</v>
      </c>
      <c r="H2489" s="2">
        <v>2235813</v>
      </c>
      <c r="I2489" s="2">
        <v>1001781083</v>
      </c>
      <c r="J2489" s="2" t="s">
        <v>777</v>
      </c>
      <c r="K2489" s="10">
        <v>1610</v>
      </c>
      <c r="L2489" s="10">
        <v>0</v>
      </c>
      <c r="M2489" s="10">
        <v>1610</v>
      </c>
      <c r="N2489" s="10">
        <v>0</v>
      </c>
      <c r="O2489" s="10">
        <f>Table1[[#This Row],[NET Amount]]-Table1[[#This Row],[Paid Amount]]</f>
        <v>1610</v>
      </c>
      <c r="P2489" s="2" t="s">
        <v>23</v>
      </c>
      <c r="Q2489" s="2" t="s">
        <v>54</v>
      </c>
      <c r="R2489" s="16">
        <f>(Table1[[#This Row],[NET Amount]]-Table1[[#This Row],[Total Outstanding Amount]])/Table1[[#This Row],[NET Amount]]</f>
        <v>0</v>
      </c>
      <c r="S2489" s="2" t="s">
        <v>97</v>
      </c>
    </row>
    <row r="2490" spans="1:19" x14ac:dyDescent="0.3">
      <c r="A2490" s="4">
        <v>2488</v>
      </c>
      <c r="B2490" s="2" t="s">
        <v>380</v>
      </c>
      <c r="C2490" s="3">
        <v>44849</v>
      </c>
      <c r="D2490" s="3" t="str">
        <f>TEXT(Table1[[#This Row],[Admission Date]],"MMMM")</f>
        <v>October</v>
      </c>
      <c r="E2490" s="3">
        <v>44849</v>
      </c>
      <c r="F2490" s="3">
        <v>44849</v>
      </c>
      <c r="G2490" s="2">
        <v>22027267</v>
      </c>
      <c r="H2490" s="2">
        <v>2236194</v>
      </c>
      <c r="I2490" s="2">
        <v>1000857532</v>
      </c>
      <c r="J2490" s="2" t="s">
        <v>416</v>
      </c>
      <c r="K2490" s="10">
        <v>1274</v>
      </c>
      <c r="L2490" s="10">
        <v>0</v>
      </c>
      <c r="M2490" s="10">
        <v>1274</v>
      </c>
      <c r="N2490" s="10">
        <v>0</v>
      </c>
      <c r="O2490" s="10">
        <f>Table1[[#This Row],[NET Amount]]-Table1[[#This Row],[Paid Amount]]</f>
        <v>1274</v>
      </c>
      <c r="P2490" s="2" t="s">
        <v>23</v>
      </c>
      <c r="Q2490" s="2" t="s">
        <v>54</v>
      </c>
      <c r="R2490" s="16">
        <f>(Table1[[#This Row],[NET Amount]]-Table1[[#This Row],[Total Outstanding Amount]])/Table1[[#This Row],[NET Amount]]</f>
        <v>0</v>
      </c>
      <c r="S2490" s="2" t="s">
        <v>97</v>
      </c>
    </row>
    <row r="2491" spans="1:19" x14ac:dyDescent="0.3">
      <c r="A2491" s="4">
        <v>2489</v>
      </c>
      <c r="B2491" s="2" t="s">
        <v>75</v>
      </c>
      <c r="C2491" s="3">
        <v>44856</v>
      </c>
      <c r="D2491" s="3" t="str">
        <f>TEXT(Table1[[#This Row],[Admission Date]],"MMMM")</f>
        <v>October</v>
      </c>
      <c r="E2491" s="3">
        <v>44856</v>
      </c>
      <c r="F2491" s="3">
        <v>44856</v>
      </c>
      <c r="G2491" s="2">
        <v>22028178</v>
      </c>
      <c r="H2491" s="2">
        <v>2237011</v>
      </c>
      <c r="I2491" s="2">
        <v>10013373132</v>
      </c>
      <c r="J2491" s="2" t="s">
        <v>402</v>
      </c>
      <c r="K2491" s="10">
        <v>1610</v>
      </c>
      <c r="L2491" s="10">
        <v>0</v>
      </c>
      <c r="M2491" s="10">
        <v>1610</v>
      </c>
      <c r="N2491" s="10">
        <v>0</v>
      </c>
      <c r="O2491" s="10">
        <f>Table1[[#This Row],[NET Amount]]-Table1[[#This Row],[Paid Amount]]</f>
        <v>1610</v>
      </c>
      <c r="P2491" s="2" t="s">
        <v>23</v>
      </c>
      <c r="Q2491" s="2" t="s">
        <v>54</v>
      </c>
      <c r="R2491" s="16">
        <f>(Table1[[#This Row],[NET Amount]]-Table1[[#This Row],[Total Outstanding Amount]])/Table1[[#This Row],[NET Amount]]</f>
        <v>0</v>
      </c>
      <c r="S2491" s="2" t="s">
        <v>97</v>
      </c>
    </row>
    <row r="2492" spans="1:19" x14ac:dyDescent="0.3">
      <c r="A2492" s="4">
        <v>2490</v>
      </c>
      <c r="B2492" s="2" t="s">
        <v>380</v>
      </c>
      <c r="C2492" s="3">
        <v>44862</v>
      </c>
      <c r="D2492" s="3" t="str">
        <f>TEXT(Table1[[#This Row],[Admission Date]],"MMMM")</f>
        <v>October</v>
      </c>
      <c r="E2492" s="3">
        <v>44862</v>
      </c>
      <c r="F2492" s="3">
        <v>44862</v>
      </c>
      <c r="G2492" s="2">
        <v>22028989</v>
      </c>
      <c r="H2492" s="2">
        <v>2237875</v>
      </c>
      <c r="I2492" s="2">
        <v>1001581259</v>
      </c>
      <c r="J2492" s="2" t="s">
        <v>381</v>
      </c>
      <c r="K2492" s="10">
        <v>1274</v>
      </c>
      <c r="L2492" s="10">
        <v>0</v>
      </c>
      <c r="M2492" s="10">
        <v>1274</v>
      </c>
      <c r="N2492" s="10">
        <v>0</v>
      </c>
      <c r="O2492" s="10">
        <f>Table1[[#This Row],[NET Amount]]-Table1[[#This Row],[Paid Amount]]</f>
        <v>1274</v>
      </c>
      <c r="P2492" s="2" t="s">
        <v>23</v>
      </c>
      <c r="Q2492" s="2" t="s">
        <v>54</v>
      </c>
      <c r="R2492" s="16">
        <f>(Table1[[#This Row],[NET Amount]]-Table1[[#This Row],[Total Outstanding Amount]])/Table1[[#This Row],[NET Amount]]</f>
        <v>0</v>
      </c>
      <c r="S2492" s="2" t="s">
        <v>97</v>
      </c>
    </row>
    <row r="2493" spans="1:19" x14ac:dyDescent="0.3">
      <c r="A2493" s="4">
        <v>2491</v>
      </c>
      <c r="B2493" s="2" t="s">
        <v>28</v>
      </c>
      <c r="C2493" s="3">
        <v>44846</v>
      </c>
      <c r="D2493" s="3" t="str">
        <f>TEXT(Table1[[#This Row],[Admission Date]],"MMMM")</f>
        <v>October</v>
      </c>
      <c r="E2493" s="3">
        <v>44846</v>
      </c>
      <c r="F2493" s="3">
        <v>44846</v>
      </c>
      <c r="G2493" s="2">
        <v>22026660</v>
      </c>
      <c r="H2493" s="2">
        <v>2235645</v>
      </c>
      <c r="I2493" s="2">
        <v>10013484190</v>
      </c>
      <c r="J2493" s="2" t="s">
        <v>427</v>
      </c>
      <c r="K2493" s="10">
        <v>2240</v>
      </c>
      <c r="L2493" s="10">
        <v>0</v>
      </c>
      <c r="M2493" s="10">
        <v>2240</v>
      </c>
      <c r="N2493" s="10">
        <v>0</v>
      </c>
      <c r="O2493" s="10">
        <f>Table1[[#This Row],[NET Amount]]-Table1[[#This Row],[Paid Amount]]</f>
        <v>2240</v>
      </c>
      <c r="P2493" s="2" t="s">
        <v>23</v>
      </c>
      <c r="Q2493" s="2" t="s">
        <v>54</v>
      </c>
      <c r="R2493" s="16">
        <f>(Table1[[#This Row],[NET Amount]]-Table1[[#This Row],[Total Outstanding Amount]])/Table1[[#This Row],[NET Amount]]</f>
        <v>0</v>
      </c>
      <c r="S2493" s="2" t="s">
        <v>97</v>
      </c>
    </row>
    <row r="2494" spans="1:19" x14ac:dyDescent="0.3">
      <c r="A2494" s="4">
        <v>2492</v>
      </c>
      <c r="B2494" s="2" t="s">
        <v>380</v>
      </c>
      <c r="C2494" s="3">
        <v>44835</v>
      </c>
      <c r="D2494" s="3" t="str">
        <f>TEXT(Table1[[#This Row],[Admission Date]],"MMMM")</f>
        <v>October</v>
      </c>
      <c r="E2494" s="3">
        <v>44835</v>
      </c>
      <c r="F2494" s="3">
        <v>44835</v>
      </c>
      <c r="G2494" s="2">
        <v>22025248</v>
      </c>
      <c r="H2494" s="2">
        <v>2234258</v>
      </c>
      <c r="I2494" s="2">
        <v>10013422914</v>
      </c>
      <c r="J2494" s="2" t="s">
        <v>816</v>
      </c>
      <c r="K2494" s="10">
        <v>1274</v>
      </c>
      <c r="L2494" s="10">
        <v>0</v>
      </c>
      <c r="M2494" s="10">
        <v>1274</v>
      </c>
      <c r="N2494" s="10">
        <v>0</v>
      </c>
      <c r="O2494" s="10">
        <f>Table1[[#This Row],[NET Amount]]-Table1[[#This Row],[Paid Amount]]</f>
        <v>1274</v>
      </c>
      <c r="P2494" s="2" t="s">
        <v>23</v>
      </c>
      <c r="Q2494" s="2" t="s">
        <v>54</v>
      </c>
      <c r="R2494" s="16">
        <f>(Table1[[#This Row],[NET Amount]]-Table1[[#This Row],[Total Outstanding Amount]])/Table1[[#This Row],[NET Amount]]</f>
        <v>0</v>
      </c>
      <c r="S2494" s="2" t="s">
        <v>97</v>
      </c>
    </row>
    <row r="2495" spans="1:19" x14ac:dyDescent="0.3">
      <c r="A2495" s="4">
        <v>2493</v>
      </c>
      <c r="B2495" s="2" t="s">
        <v>144</v>
      </c>
      <c r="C2495" s="3">
        <v>44852</v>
      </c>
      <c r="D2495" s="3" t="str">
        <f>TEXT(Table1[[#This Row],[Admission Date]],"MMMM")</f>
        <v>October</v>
      </c>
      <c r="E2495" s="3">
        <v>44852</v>
      </c>
      <c r="F2495" s="3">
        <v>44852</v>
      </c>
      <c r="G2495" s="2">
        <v>22027525</v>
      </c>
      <c r="H2495" s="2">
        <v>2236439</v>
      </c>
      <c r="I2495" s="2">
        <v>1001183341</v>
      </c>
      <c r="J2495" s="2" t="s">
        <v>485</v>
      </c>
      <c r="K2495" s="10">
        <v>2200</v>
      </c>
      <c r="L2495" s="10">
        <v>0</v>
      </c>
      <c r="M2495" s="10">
        <v>2200</v>
      </c>
      <c r="N2495" s="10">
        <v>0</v>
      </c>
      <c r="O2495" s="10">
        <f>Table1[[#This Row],[NET Amount]]-Table1[[#This Row],[Paid Amount]]</f>
        <v>2200</v>
      </c>
      <c r="P2495" s="2" t="s">
        <v>23</v>
      </c>
      <c r="Q2495" s="2" t="s">
        <v>147</v>
      </c>
      <c r="R2495" s="16">
        <f>(Table1[[#This Row],[NET Amount]]-Table1[[#This Row],[Total Outstanding Amount]])/Table1[[#This Row],[NET Amount]]</f>
        <v>0</v>
      </c>
      <c r="S2495" s="2" t="s">
        <v>97</v>
      </c>
    </row>
    <row r="2496" spans="1:19" x14ac:dyDescent="0.3">
      <c r="A2496" s="4">
        <v>2494</v>
      </c>
      <c r="B2496" s="2" t="s">
        <v>2263</v>
      </c>
      <c r="C2496" s="3">
        <v>44856</v>
      </c>
      <c r="D2496" s="3" t="str">
        <f>TEXT(Table1[[#This Row],[Admission Date]],"MMMM")</f>
        <v>October</v>
      </c>
      <c r="E2496" s="3">
        <v>44856</v>
      </c>
      <c r="F2496" s="3">
        <v>44856</v>
      </c>
      <c r="G2496" s="2">
        <v>22028143</v>
      </c>
      <c r="H2496" s="2">
        <v>2237006</v>
      </c>
      <c r="I2496" s="2">
        <v>1001680001</v>
      </c>
      <c r="J2496" s="2" t="s">
        <v>394</v>
      </c>
      <c r="K2496" s="10">
        <v>1274</v>
      </c>
      <c r="L2496" s="10">
        <v>0</v>
      </c>
      <c r="M2496" s="10">
        <v>1274</v>
      </c>
      <c r="N2496" s="10">
        <v>0</v>
      </c>
      <c r="O2496" s="10">
        <f>Table1[[#This Row],[NET Amount]]-Table1[[#This Row],[Paid Amount]]</f>
        <v>1274</v>
      </c>
      <c r="P2496" s="2" t="s">
        <v>23</v>
      </c>
      <c r="Q2496" s="2" t="s">
        <v>54</v>
      </c>
      <c r="R2496" s="16">
        <f>(Table1[[#This Row],[NET Amount]]-Table1[[#This Row],[Total Outstanding Amount]])/Table1[[#This Row],[NET Amount]]</f>
        <v>0</v>
      </c>
      <c r="S2496" s="2" t="s">
        <v>97</v>
      </c>
    </row>
    <row r="2497" spans="1:19" x14ac:dyDescent="0.3">
      <c r="A2497" s="4">
        <v>2495</v>
      </c>
      <c r="B2497" s="2" t="s">
        <v>380</v>
      </c>
      <c r="C2497" s="3">
        <v>44862</v>
      </c>
      <c r="D2497" s="3" t="str">
        <f>TEXT(Table1[[#This Row],[Admission Date]],"MMMM")</f>
        <v>October</v>
      </c>
      <c r="E2497" s="3">
        <v>44862</v>
      </c>
      <c r="F2497" s="3">
        <v>44862</v>
      </c>
      <c r="G2497" s="2">
        <v>22028972</v>
      </c>
      <c r="H2497" s="2">
        <v>2237856</v>
      </c>
      <c r="I2497" s="2">
        <v>1001082290</v>
      </c>
      <c r="J2497" s="2" t="s">
        <v>436</v>
      </c>
      <c r="K2497" s="10">
        <v>1274</v>
      </c>
      <c r="L2497" s="10">
        <v>0</v>
      </c>
      <c r="M2497" s="10">
        <v>1274</v>
      </c>
      <c r="N2497" s="10">
        <v>0</v>
      </c>
      <c r="O2497" s="10">
        <f>Table1[[#This Row],[NET Amount]]-Table1[[#This Row],[Paid Amount]]</f>
        <v>1274</v>
      </c>
      <c r="P2497" s="2" t="s">
        <v>23</v>
      </c>
      <c r="Q2497" s="2" t="s">
        <v>54</v>
      </c>
      <c r="R2497" s="16">
        <f>(Table1[[#This Row],[NET Amount]]-Table1[[#This Row],[Total Outstanding Amount]])/Table1[[#This Row],[NET Amount]]</f>
        <v>0</v>
      </c>
      <c r="S2497" s="2" t="s">
        <v>97</v>
      </c>
    </row>
    <row r="2498" spans="1:19" x14ac:dyDescent="0.3">
      <c r="A2498" s="4">
        <v>2496</v>
      </c>
      <c r="B2498" s="2" t="s">
        <v>282</v>
      </c>
      <c r="C2498" s="3">
        <v>44834</v>
      </c>
      <c r="D2498" s="3" t="str">
        <f>TEXT(Table1[[#This Row],[Admission Date]],"MMMM")</f>
        <v>September</v>
      </c>
      <c r="E2498" s="3">
        <v>44838</v>
      </c>
      <c r="F2498" s="3">
        <v>44838</v>
      </c>
      <c r="G2498" s="2">
        <v>22025534</v>
      </c>
      <c r="H2498" s="2">
        <v>2234084</v>
      </c>
      <c r="I2498" s="2">
        <v>10013503050</v>
      </c>
      <c r="J2498" s="2" t="s">
        <v>283</v>
      </c>
      <c r="K2498" s="10">
        <v>80789</v>
      </c>
      <c r="L2498" s="10">
        <v>19501</v>
      </c>
      <c r="M2498" s="10">
        <v>61288</v>
      </c>
      <c r="N2498" s="10">
        <v>0</v>
      </c>
      <c r="O2498" s="10">
        <f>Table1[[#This Row],[NET Amount]]-Table1[[#This Row],[Paid Amount]]</f>
        <v>61288</v>
      </c>
      <c r="P2498" s="2" t="s">
        <v>23</v>
      </c>
      <c r="Q2498" s="2" t="s">
        <v>24</v>
      </c>
      <c r="R2498" s="16">
        <f>(Table1[[#This Row],[NET Amount]]-Table1[[#This Row],[Total Outstanding Amount]])/Table1[[#This Row],[NET Amount]]</f>
        <v>0</v>
      </c>
      <c r="S2498" s="2" t="s">
        <v>55</v>
      </c>
    </row>
    <row r="2499" spans="1:19" x14ac:dyDescent="0.3">
      <c r="A2499" s="4">
        <v>2497</v>
      </c>
      <c r="B2499" s="2" t="s">
        <v>380</v>
      </c>
      <c r="C2499" s="3">
        <v>44860</v>
      </c>
      <c r="D2499" s="3" t="str">
        <f>TEXT(Table1[[#This Row],[Admission Date]],"MMMM")</f>
        <v>October</v>
      </c>
      <c r="E2499" s="3">
        <v>44860</v>
      </c>
      <c r="F2499" s="3">
        <v>44860</v>
      </c>
      <c r="G2499" s="2">
        <v>22028664</v>
      </c>
      <c r="H2499" s="2">
        <v>2237506</v>
      </c>
      <c r="I2499" s="2">
        <v>1000933464</v>
      </c>
      <c r="J2499" s="2" t="s">
        <v>437</v>
      </c>
      <c r="K2499" s="10">
        <v>1274</v>
      </c>
      <c r="L2499" s="10">
        <v>0</v>
      </c>
      <c r="M2499" s="10">
        <v>1274</v>
      </c>
      <c r="N2499" s="10">
        <v>0</v>
      </c>
      <c r="O2499" s="10">
        <f>Table1[[#This Row],[NET Amount]]-Table1[[#This Row],[Paid Amount]]</f>
        <v>1274</v>
      </c>
      <c r="P2499" s="2" t="s">
        <v>23</v>
      </c>
      <c r="Q2499" s="2" t="s">
        <v>54</v>
      </c>
      <c r="R2499" s="16">
        <f>(Table1[[#This Row],[NET Amount]]-Table1[[#This Row],[Total Outstanding Amount]])/Table1[[#This Row],[NET Amount]]</f>
        <v>0</v>
      </c>
      <c r="S2499" s="2" t="s">
        <v>97</v>
      </c>
    </row>
    <row r="2500" spans="1:19" x14ac:dyDescent="0.3">
      <c r="A2500" s="4">
        <v>2498</v>
      </c>
      <c r="B2500" s="2" t="s">
        <v>2253</v>
      </c>
      <c r="C2500" s="3">
        <v>44847</v>
      </c>
      <c r="D2500" s="3" t="str">
        <f>TEXT(Table1[[#This Row],[Admission Date]],"MMMM")</f>
        <v>October</v>
      </c>
      <c r="E2500" s="3">
        <v>44847</v>
      </c>
      <c r="F2500" s="3">
        <v>44847</v>
      </c>
      <c r="G2500" s="2">
        <v>22026925</v>
      </c>
      <c r="H2500" s="2">
        <v>2235848</v>
      </c>
      <c r="I2500" s="2">
        <v>1001802852</v>
      </c>
      <c r="J2500" s="2" t="s">
        <v>1548</v>
      </c>
      <c r="K2500" s="10">
        <v>1610</v>
      </c>
      <c r="L2500" s="10">
        <v>0</v>
      </c>
      <c r="M2500" s="10">
        <v>1610</v>
      </c>
      <c r="N2500" s="10">
        <v>0</v>
      </c>
      <c r="O2500" s="10">
        <f>Table1[[#This Row],[NET Amount]]-Table1[[#This Row],[Paid Amount]]</f>
        <v>1610</v>
      </c>
      <c r="P2500" s="2" t="s">
        <v>23</v>
      </c>
      <c r="Q2500" s="2" t="s">
        <v>54</v>
      </c>
      <c r="R2500" s="16">
        <f>(Table1[[#This Row],[NET Amount]]-Table1[[#This Row],[Total Outstanding Amount]])/Table1[[#This Row],[NET Amount]]</f>
        <v>0</v>
      </c>
      <c r="S2500" s="2" t="s">
        <v>97</v>
      </c>
    </row>
    <row r="2501" spans="1:19" x14ac:dyDescent="0.3">
      <c r="A2501" s="4">
        <v>2499</v>
      </c>
      <c r="B2501" s="2" t="s">
        <v>115</v>
      </c>
      <c r="C2501" s="3">
        <v>44860</v>
      </c>
      <c r="D2501" s="3" t="str">
        <f>TEXT(Table1[[#This Row],[Admission Date]],"MMMM")</f>
        <v>October</v>
      </c>
      <c r="E2501" s="3">
        <v>44860</v>
      </c>
      <c r="F2501" s="3">
        <v>44860</v>
      </c>
      <c r="G2501" s="2">
        <v>22028705</v>
      </c>
      <c r="H2501" s="2">
        <v>2237577</v>
      </c>
      <c r="I2501" s="2">
        <v>1001456152</v>
      </c>
      <c r="J2501" s="2" t="s">
        <v>404</v>
      </c>
      <c r="K2501" s="10">
        <v>2200</v>
      </c>
      <c r="L2501" s="10">
        <v>0</v>
      </c>
      <c r="M2501" s="10">
        <v>2200</v>
      </c>
      <c r="N2501" s="10">
        <v>0</v>
      </c>
      <c r="O2501" s="10">
        <f>Table1[[#This Row],[NET Amount]]-Table1[[#This Row],[Paid Amount]]</f>
        <v>2200</v>
      </c>
      <c r="P2501" s="2" t="s">
        <v>23</v>
      </c>
      <c r="Q2501" s="2" t="s">
        <v>147</v>
      </c>
      <c r="R2501" s="16">
        <f>(Table1[[#This Row],[NET Amount]]-Table1[[#This Row],[Total Outstanding Amount]])/Table1[[#This Row],[NET Amount]]</f>
        <v>0</v>
      </c>
      <c r="S2501" s="2" t="s">
        <v>97</v>
      </c>
    </row>
    <row r="2502" spans="1:19" x14ac:dyDescent="0.3">
      <c r="A2502" s="4">
        <v>2500</v>
      </c>
      <c r="B2502" s="2" t="s">
        <v>380</v>
      </c>
      <c r="C2502" s="3">
        <v>44861</v>
      </c>
      <c r="D2502" s="3" t="str">
        <f>TEXT(Table1[[#This Row],[Admission Date]],"MMMM")</f>
        <v>October</v>
      </c>
      <c r="E2502" s="3">
        <v>44861</v>
      </c>
      <c r="F2502" s="3">
        <v>44861</v>
      </c>
      <c r="G2502" s="2">
        <v>22028831</v>
      </c>
      <c r="H2502" s="2">
        <v>2237701</v>
      </c>
      <c r="I2502" s="2">
        <v>10013513950</v>
      </c>
      <c r="J2502" s="2" t="s">
        <v>491</v>
      </c>
      <c r="K2502" s="10">
        <v>1274</v>
      </c>
      <c r="L2502" s="10">
        <v>0</v>
      </c>
      <c r="M2502" s="10">
        <v>1274</v>
      </c>
      <c r="N2502" s="10">
        <v>0</v>
      </c>
      <c r="O2502" s="10">
        <f>Table1[[#This Row],[NET Amount]]-Table1[[#This Row],[Paid Amount]]</f>
        <v>1274</v>
      </c>
      <c r="P2502" s="2" t="s">
        <v>23</v>
      </c>
      <c r="Q2502" s="2" t="s">
        <v>54</v>
      </c>
      <c r="R2502" s="16">
        <f>(Table1[[#This Row],[NET Amount]]-Table1[[#This Row],[Total Outstanding Amount]])/Table1[[#This Row],[NET Amount]]</f>
        <v>0</v>
      </c>
      <c r="S2502" s="2" t="s">
        <v>97</v>
      </c>
    </row>
    <row r="2503" spans="1:19" x14ac:dyDescent="0.3">
      <c r="A2503" s="4">
        <v>2501</v>
      </c>
      <c r="B2503" s="2" t="s">
        <v>380</v>
      </c>
      <c r="C2503" s="3">
        <v>44837</v>
      </c>
      <c r="D2503" s="3" t="str">
        <f>TEXT(Table1[[#This Row],[Admission Date]],"MMMM")</f>
        <v>October</v>
      </c>
      <c r="E2503" s="3">
        <v>44837</v>
      </c>
      <c r="F2503" s="3">
        <v>44837</v>
      </c>
      <c r="G2503" s="2">
        <v>22025439</v>
      </c>
      <c r="H2503" s="2">
        <v>2234449</v>
      </c>
      <c r="I2503" s="2">
        <v>10013513950</v>
      </c>
      <c r="J2503" s="2" t="s">
        <v>491</v>
      </c>
      <c r="K2503" s="10">
        <v>1274</v>
      </c>
      <c r="L2503" s="10">
        <v>0</v>
      </c>
      <c r="M2503" s="10">
        <v>1274</v>
      </c>
      <c r="N2503" s="10">
        <v>0</v>
      </c>
      <c r="O2503" s="10">
        <f>Table1[[#This Row],[NET Amount]]-Table1[[#This Row],[Paid Amount]]</f>
        <v>1274</v>
      </c>
      <c r="P2503" s="2" t="s">
        <v>23</v>
      </c>
      <c r="Q2503" s="2" t="s">
        <v>54</v>
      </c>
      <c r="R2503" s="16">
        <f>(Table1[[#This Row],[NET Amount]]-Table1[[#This Row],[Total Outstanding Amount]])/Table1[[#This Row],[NET Amount]]</f>
        <v>0</v>
      </c>
      <c r="S2503" s="2" t="s">
        <v>97</v>
      </c>
    </row>
    <row r="2504" spans="1:19" x14ac:dyDescent="0.3">
      <c r="A2504" s="4">
        <v>2502</v>
      </c>
      <c r="B2504" s="2" t="s">
        <v>2263</v>
      </c>
      <c r="C2504" s="3">
        <v>44858</v>
      </c>
      <c r="D2504" s="3" t="str">
        <f>TEXT(Table1[[#This Row],[Admission Date]],"MMMM")</f>
        <v>October</v>
      </c>
      <c r="E2504" s="3">
        <v>44858</v>
      </c>
      <c r="F2504" s="3">
        <v>44858</v>
      </c>
      <c r="G2504" s="2">
        <v>22028444</v>
      </c>
      <c r="H2504" s="2">
        <v>2237232</v>
      </c>
      <c r="I2504" s="2">
        <v>1001678600</v>
      </c>
      <c r="J2504" s="2" t="s">
        <v>413</v>
      </c>
      <c r="K2504" s="10">
        <v>1274</v>
      </c>
      <c r="L2504" s="10">
        <v>0</v>
      </c>
      <c r="M2504" s="10">
        <v>1274</v>
      </c>
      <c r="N2504" s="10">
        <v>0</v>
      </c>
      <c r="O2504" s="10">
        <f>Table1[[#This Row],[NET Amount]]-Table1[[#This Row],[Paid Amount]]</f>
        <v>1274</v>
      </c>
      <c r="P2504" s="2" t="s">
        <v>23</v>
      </c>
      <c r="Q2504" s="2" t="s">
        <v>54</v>
      </c>
      <c r="R2504" s="16">
        <f>(Table1[[#This Row],[NET Amount]]-Table1[[#This Row],[Total Outstanding Amount]])/Table1[[#This Row],[NET Amount]]</f>
        <v>0</v>
      </c>
      <c r="S2504" s="2" t="s">
        <v>97</v>
      </c>
    </row>
    <row r="2505" spans="1:19" x14ac:dyDescent="0.3">
      <c r="A2505" s="4">
        <v>2503</v>
      </c>
      <c r="B2505" s="2" t="s">
        <v>2253</v>
      </c>
      <c r="C2505" s="3">
        <v>44849</v>
      </c>
      <c r="D2505" s="3" t="str">
        <f>TEXT(Table1[[#This Row],[Admission Date]],"MMMM")</f>
        <v>October</v>
      </c>
      <c r="E2505" s="3">
        <v>44849</v>
      </c>
      <c r="F2505" s="3">
        <v>44849</v>
      </c>
      <c r="G2505" s="2">
        <v>22027125</v>
      </c>
      <c r="H2505" s="2">
        <v>2236083</v>
      </c>
      <c r="I2505" s="2">
        <v>1001749543</v>
      </c>
      <c r="J2505" s="2" t="s">
        <v>810</v>
      </c>
      <c r="K2505" s="10">
        <v>1610</v>
      </c>
      <c r="L2505" s="10">
        <v>0</v>
      </c>
      <c r="M2505" s="10">
        <v>1610</v>
      </c>
      <c r="N2505" s="10">
        <v>0</v>
      </c>
      <c r="O2505" s="10">
        <f>Table1[[#This Row],[NET Amount]]-Table1[[#This Row],[Paid Amount]]</f>
        <v>1610</v>
      </c>
      <c r="P2505" s="2" t="s">
        <v>23</v>
      </c>
      <c r="Q2505" s="2" t="s">
        <v>54</v>
      </c>
      <c r="R2505" s="16">
        <f>(Table1[[#This Row],[NET Amount]]-Table1[[#This Row],[Total Outstanding Amount]])/Table1[[#This Row],[NET Amount]]</f>
        <v>0</v>
      </c>
      <c r="S2505" s="2" t="s">
        <v>97</v>
      </c>
    </row>
    <row r="2506" spans="1:19" x14ac:dyDescent="0.3">
      <c r="A2506" s="4">
        <v>2504</v>
      </c>
      <c r="B2506" s="2" t="s">
        <v>149</v>
      </c>
      <c r="C2506" s="3">
        <v>44859</v>
      </c>
      <c r="D2506" s="3" t="str">
        <f>TEXT(Table1[[#This Row],[Admission Date]],"MMMM")</f>
        <v>October</v>
      </c>
      <c r="E2506" s="3">
        <v>44861</v>
      </c>
      <c r="F2506" s="3">
        <v>44861</v>
      </c>
      <c r="G2506" s="2">
        <v>22028738</v>
      </c>
      <c r="H2506" s="2">
        <v>2237302</v>
      </c>
      <c r="I2506" s="2">
        <v>10013542182</v>
      </c>
      <c r="J2506" s="2" t="s">
        <v>1549</v>
      </c>
      <c r="K2506" s="10">
        <v>51540</v>
      </c>
      <c r="L2506" s="10">
        <v>3133</v>
      </c>
      <c r="M2506" s="10">
        <v>48407</v>
      </c>
      <c r="N2506" s="10">
        <v>0</v>
      </c>
      <c r="O2506" s="10">
        <f>Table1[[#This Row],[NET Amount]]-Table1[[#This Row],[Paid Amount]]</f>
        <v>48407</v>
      </c>
      <c r="P2506" s="2" t="s">
        <v>23</v>
      </c>
      <c r="Q2506" s="2" t="s">
        <v>30</v>
      </c>
      <c r="R2506" s="16">
        <f>(Table1[[#This Row],[NET Amount]]-Table1[[#This Row],[Total Outstanding Amount]])/Table1[[#This Row],[NET Amount]]</f>
        <v>0</v>
      </c>
      <c r="S2506" s="2" t="s">
        <v>20</v>
      </c>
    </row>
    <row r="2507" spans="1:19" x14ac:dyDescent="0.3">
      <c r="A2507" s="4">
        <v>2505</v>
      </c>
      <c r="B2507" s="2" t="s">
        <v>407</v>
      </c>
      <c r="C2507" s="3">
        <v>44850</v>
      </c>
      <c r="D2507" s="3" t="str">
        <f>TEXT(Table1[[#This Row],[Admission Date]],"MMMM")</f>
        <v>October</v>
      </c>
      <c r="E2507" s="3">
        <v>44851</v>
      </c>
      <c r="F2507" s="3">
        <v>44851</v>
      </c>
      <c r="G2507" s="2">
        <v>22027479</v>
      </c>
      <c r="H2507" s="2">
        <v>2236217</v>
      </c>
      <c r="I2507" s="2">
        <v>10013315963</v>
      </c>
      <c r="J2507" s="2" t="s">
        <v>1550</v>
      </c>
      <c r="K2507" s="10">
        <v>14338</v>
      </c>
      <c r="L2507" s="10">
        <v>0</v>
      </c>
      <c r="M2507" s="10">
        <v>14338</v>
      </c>
      <c r="N2507" s="10">
        <v>0</v>
      </c>
      <c r="O2507" s="10">
        <f>Table1[[#This Row],[NET Amount]]-Table1[[#This Row],[Paid Amount]]</f>
        <v>14338</v>
      </c>
      <c r="P2507" s="2" t="s">
        <v>23</v>
      </c>
      <c r="Q2507" s="2" t="s">
        <v>24</v>
      </c>
      <c r="R2507" s="16">
        <f>(Table1[[#This Row],[NET Amount]]-Table1[[#This Row],[Total Outstanding Amount]])/Table1[[#This Row],[NET Amount]]</f>
        <v>0</v>
      </c>
      <c r="S2507" s="2" t="s">
        <v>32</v>
      </c>
    </row>
    <row r="2508" spans="1:19" x14ac:dyDescent="0.3">
      <c r="A2508" s="4">
        <v>2506</v>
      </c>
      <c r="B2508" s="2" t="s">
        <v>380</v>
      </c>
      <c r="C2508" s="3">
        <v>44861</v>
      </c>
      <c r="D2508" s="3" t="str">
        <f>TEXT(Table1[[#This Row],[Admission Date]],"MMMM")</f>
        <v>October</v>
      </c>
      <c r="E2508" s="3">
        <v>44861</v>
      </c>
      <c r="F2508" s="3">
        <v>44861</v>
      </c>
      <c r="G2508" s="2">
        <v>22028827</v>
      </c>
      <c r="H2508" s="2">
        <v>2237696</v>
      </c>
      <c r="I2508" s="2">
        <v>1001208331</v>
      </c>
      <c r="J2508" s="2" t="s">
        <v>430</v>
      </c>
      <c r="K2508" s="10">
        <v>1274</v>
      </c>
      <c r="L2508" s="10">
        <v>0</v>
      </c>
      <c r="M2508" s="10">
        <v>1274</v>
      </c>
      <c r="N2508" s="10">
        <v>0</v>
      </c>
      <c r="O2508" s="10">
        <f>Table1[[#This Row],[NET Amount]]-Table1[[#This Row],[Paid Amount]]</f>
        <v>1274</v>
      </c>
      <c r="P2508" s="2" t="s">
        <v>23</v>
      </c>
      <c r="Q2508" s="2" t="s">
        <v>54</v>
      </c>
      <c r="R2508" s="16">
        <f>(Table1[[#This Row],[NET Amount]]-Table1[[#This Row],[Total Outstanding Amount]])/Table1[[#This Row],[NET Amount]]</f>
        <v>0</v>
      </c>
      <c r="S2508" s="2" t="s">
        <v>97</v>
      </c>
    </row>
    <row r="2509" spans="1:19" x14ac:dyDescent="0.3">
      <c r="A2509" s="4">
        <v>2507</v>
      </c>
      <c r="B2509" s="2" t="s">
        <v>380</v>
      </c>
      <c r="C2509" s="3">
        <v>44839</v>
      </c>
      <c r="D2509" s="3" t="str">
        <f>TEXT(Table1[[#This Row],[Admission Date]],"MMMM")</f>
        <v>October</v>
      </c>
      <c r="E2509" s="3">
        <v>44839</v>
      </c>
      <c r="F2509" s="3">
        <v>44839</v>
      </c>
      <c r="G2509" s="2">
        <v>22025776</v>
      </c>
      <c r="H2509" s="2">
        <v>2234760</v>
      </c>
      <c r="I2509" s="2">
        <v>1001761745</v>
      </c>
      <c r="J2509" s="2" t="s">
        <v>455</v>
      </c>
      <c r="K2509" s="10">
        <v>1274</v>
      </c>
      <c r="L2509" s="10">
        <v>0</v>
      </c>
      <c r="M2509" s="10">
        <v>1274</v>
      </c>
      <c r="N2509" s="10">
        <v>0</v>
      </c>
      <c r="O2509" s="10">
        <f>Table1[[#This Row],[NET Amount]]-Table1[[#This Row],[Paid Amount]]</f>
        <v>1274</v>
      </c>
      <c r="P2509" s="2" t="s">
        <v>23</v>
      </c>
      <c r="Q2509" s="2" t="s">
        <v>54</v>
      </c>
      <c r="R2509" s="16">
        <f>(Table1[[#This Row],[NET Amount]]-Table1[[#This Row],[Total Outstanding Amount]])/Table1[[#This Row],[NET Amount]]</f>
        <v>0</v>
      </c>
      <c r="S2509" s="2" t="s">
        <v>97</v>
      </c>
    </row>
    <row r="2510" spans="1:19" x14ac:dyDescent="0.3">
      <c r="A2510" s="4">
        <v>2508</v>
      </c>
      <c r="B2510" s="2" t="s">
        <v>2253</v>
      </c>
      <c r="C2510" s="3">
        <v>44848</v>
      </c>
      <c r="D2510" s="3" t="str">
        <f>TEXT(Table1[[#This Row],[Admission Date]],"MMMM")</f>
        <v>October</v>
      </c>
      <c r="E2510" s="3">
        <v>44848</v>
      </c>
      <c r="F2510" s="3">
        <v>44848</v>
      </c>
      <c r="G2510" s="2">
        <v>22026976</v>
      </c>
      <c r="H2510" s="2">
        <v>2235925</v>
      </c>
      <c r="I2510" s="2">
        <v>1001801530</v>
      </c>
      <c r="J2510" s="2" t="s">
        <v>392</v>
      </c>
      <c r="K2510" s="10">
        <v>1610</v>
      </c>
      <c r="L2510" s="10">
        <v>0</v>
      </c>
      <c r="M2510" s="10">
        <v>1610</v>
      </c>
      <c r="N2510" s="10">
        <v>0</v>
      </c>
      <c r="O2510" s="10">
        <f>Table1[[#This Row],[NET Amount]]-Table1[[#This Row],[Paid Amount]]</f>
        <v>1610</v>
      </c>
      <c r="P2510" s="2" t="s">
        <v>23</v>
      </c>
      <c r="Q2510" s="2" t="s">
        <v>54</v>
      </c>
      <c r="R2510" s="16">
        <f>(Table1[[#This Row],[NET Amount]]-Table1[[#This Row],[Total Outstanding Amount]])/Table1[[#This Row],[NET Amount]]</f>
        <v>0</v>
      </c>
      <c r="S2510" s="2" t="s">
        <v>97</v>
      </c>
    </row>
    <row r="2511" spans="1:19" x14ac:dyDescent="0.3">
      <c r="A2511" s="4">
        <v>2509</v>
      </c>
      <c r="B2511" s="2" t="s">
        <v>72</v>
      </c>
      <c r="C2511" s="3">
        <v>44855</v>
      </c>
      <c r="D2511" s="3" t="str">
        <f>TEXT(Table1[[#This Row],[Admission Date]],"MMMM")</f>
        <v>October</v>
      </c>
      <c r="E2511" s="3">
        <v>44857</v>
      </c>
      <c r="F2511" s="3">
        <v>44857</v>
      </c>
      <c r="G2511" s="2">
        <v>22028319</v>
      </c>
      <c r="H2511" s="2">
        <v>2236935</v>
      </c>
      <c r="I2511" s="2">
        <v>10013544053</v>
      </c>
      <c r="J2511" s="2" t="s">
        <v>1551</v>
      </c>
      <c r="K2511" s="10">
        <v>51612</v>
      </c>
      <c r="L2511" s="10">
        <v>7280</v>
      </c>
      <c r="M2511" s="10">
        <v>44332</v>
      </c>
      <c r="N2511" s="10">
        <v>0</v>
      </c>
      <c r="O2511" s="10">
        <f>Table1[[#This Row],[NET Amount]]-Table1[[#This Row],[Paid Amount]]</f>
        <v>44332</v>
      </c>
      <c r="P2511" s="2" t="s">
        <v>23</v>
      </c>
      <c r="Q2511" s="2" t="s">
        <v>30</v>
      </c>
      <c r="R2511" s="16">
        <f>(Table1[[#This Row],[NET Amount]]-Table1[[#This Row],[Total Outstanding Amount]])/Table1[[#This Row],[NET Amount]]</f>
        <v>0</v>
      </c>
      <c r="S2511" s="2" t="s">
        <v>20</v>
      </c>
    </row>
    <row r="2512" spans="1:19" x14ac:dyDescent="0.3">
      <c r="A2512" s="4">
        <v>2510</v>
      </c>
      <c r="B2512" s="2" t="s">
        <v>380</v>
      </c>
      <c r="C2512" s="3">
        <v>44854</v>
      </c>
      <c r="D2512" s="3" t="str">
        <f>TEXT(Table1[[#This Row],[Admission Date]],"MMMM")</f>
        <v>October</v>
      </c>
      <c r="E2512" s="3">
        <v>44854</v>
      </c>
      <c r="F2512" s="3">
        <v>44854</v>
      </c>
      <c r="G2512" s="2">
        <v>22027951</v>
      </c>
      <c r="H2512" s="2">
        <v>2236837</v>
      </c>
      <c r="I2512" s="2">
        <v>1001004027</v>
      </c>
      <c r="J2512" s="2" t="s">
        <v>454</v>
      </c>
      <c r="K2512" s="10">
        <v>1274</v>
      </c>
      <c r="L2512" s="10">
        <v>0</v>
      </c>
      <c r="M2512" s="10">
        <v>1274</v>
      </c>
      <c r="N2512" s="10">
        <v>0</v>
      </c>
      <c r="O2512" s="10">
        <f>Table1[[#This Row],[NET Amount]]-Table1[[#This Row],[Paid Amount]]</f>
        <v>1274</v>
      </c>
      <c r="P2512" s="2" t="s">
        <v>23</v>
      </c>
      <c r="Q2512" s="2" t="s">
        <v>54</v>
      </c>
      <c r="R2512" s="16">
        <f>(Table1[[#This Row],[NET Amount]]-Table1[[#This Row],[Total Outstanding Amount]])/Table1[[#This Row],[NET Amount]]</f>
        <v>0</v>
      </c>
      <c r="S2512" s="2" t="s">
        <v>97</v>
      </c>
    </row>
    <row r="2513" spans="1:19" x14ac:dyDescent="0.3">
      <c r="A2513" s="4">
        <v>2511</v>
      </c>
      <c r="B2513" s="2" t="s">
        <v>380</v>
      </c>
      <c r="C2513" s="3">
        <v>44849</v>
      </c>
      <c r="D2513" s="3" t="str">
        <f>TEXT(Table1[[#This Row],[Admission Date]],"MMMM")</f>
        <v>October</v>
      </c>
      <c r="E2513" s="3">
        <v>44849</v>
      </c>
      <c r="F2513" s="3">
        <v>44849</v>
      </c>
      <c r="G2513" s="2">
        <v>22027275</v>
      </c>
      <c r="H2513" s="2">
        <v>2236197</v>
      </c>
      <c r="I2513" s="2">
        <v>1001188488</v>
      </c>
      <c r="J2513" s="2" t="s">
        <v>297</v>
      </c>
      <c r="K2513" s="10">
        <v>1274</v>
      </c>
      <c r="L2513" s="10">
        <v>0</v>
      </c>
      <c r="M2513" s="10">
        <v>1274</v>
      </c>
      <c r="N2513" s="10">
        <v>0</v>
      </c>
      <c r="O2513" s="10">
        <f>Table1[[#This Row],[NET Amount]]-Table1[[#This Row],[Paid Amount]]</f>
        <v>1274</v>
      </c>
      <c r="P2513" s="2" t="s">
        <v>23</v>
      </c>
      <c r="Q2513" s="2" t="s">
        <v>54</v>
      </c>
      <c r="R2513" s="16">
        <f>(Table1[[#This Row],[NET Amount]]-Table1[[#This Row],[Total Outstanding Amount]])/Table1[[#This Row],[NET Amount]]</f>
        <v>0</v>
      </c>
      <c r="S2513" s="2" t="s">
        <v>97</v>
      </c>
    </row>
    <row r="2514" spans="1:19" x14ac:dyDescent="0.3">
      <c r="A2514" s="4">
        <v>2512</v>
      </c>
      <c r="B2514" s="2" t="s">
        <v>2257</v>
      </c>
      <c r="C2514" s="3">
        <v>44859</v>
      </c>
      <c r="D2514" s="3" t="str">
        <f>TEXT(Table1[[#This Row],[Admission Date]],"MMMM")</f>
        <v>October</v>
      </c>
      <c r="E2514" s="3">
        <v>44859</v>
      </c>
      <c r="F2514" s="3">
        <v>44859</v>
      </c>
      <c r="G2514" s="2">
        <v>22028510</v>
      </c>
      <c r="H2514" s="2">
        <v>2237333</v>
      </c>
      <c r="I2514" s="2">
        <v>1001689981</v>
      </c>
      <c r="J2514" s="2" t="s">
        <v>253</v>
      </c>
      <c r="K2514" s="10">
        <v>2950</v>
      </c>
      <c r="L2514" s="10">
        <v>0</v>
      </c>
      <c r="M2514" s="10">
        <v>2950</v>
      </c>
      <c r="N2514" s="10">
        <v>0</v>
      </c>
      <c r="O2514" s="10">
        <f>Table1[[#This Row],[NET Amount]]-Table1[[#This Row],[Paid Amount]]</f>
        <v>2950</v>
      </c>
      <c r="P2514" s="2" t="s">
        <v>23</v>
      </c>
      <c r="Q2514" s="2" t="s">
        <v>54</v>
      </c>
      <c r="R2514" s="16">
        <f>(Table1[[#This Row],[NET Amount]]-Table1[[#This Row],[Total Outstanding Amount]])/Table1[[#This Row],[NET Amount]]</f>
        <v>0</v>
      </c>
      <c r="S2514" s="2" t="s">
        <v>97</v>
      </c>
    </row>
    <row r="2515" spans="1:19" x14ac:dyDescent="0.3">
      <c r="A2515" s="4">
        <v>2513</v>
      </c>
      <c r="B2515" s="2" t="s">
        <v>75</v>
      </c>
      <c r="C2515" s="3">
        <v>44862</v>
      </c>
      <c r="D2515" s="3" t="str">
        <f>TEXT(Table1[[#This Row],[Admission Date]],"MMMM")</f>
        <v>October</v>
      </c>
      <c r="E2515" s="3">
        <v>44862</v>
      </c>
      <c r="F2515" s="3">
        <v>44862</v>
      </c>
      <c r="G2515" s="2">
        <v>22028853</v>
      </c>
      <c r="H2515" s="2">
        <v>2237758</v>
      </c>
      <c r="I2515" s="2">
        <v>10013401847</v>
      </c>
      <c r="J2515" s="2" t="s">
        <v>449</v>
      </c>
      <c r="K2515" s="10">
        <v>1610</v>
      </c>
      <c r="L2515" s="10">
        <v>0</v>
      </c>
      <c r="M2515" s="10">
        <v>1610</v>
      </c>
      <c r="N2515" s="10">
        <v>0</v>
      </c>
      <c r="O2515" s="10">
        <f>Table1[[#This Row],[NET Amount]]-Table1[[#This Row],[Paid Amount]]</f>
        <v>1610</v>
      </c>
      <c r="P2515" s="2" t="s">
        <v>23</v>
      </c>
      <c r="Q2515" s="2" t="s">
        <v>54</v>
      </c>
      <c r="R2515" s="16">
        <f>(Table1[[#This Row],[NET Amount]]-Table1[[#This Row],[Total Outstanding Amount]])/Table1[[#This Row],[NET Amount]]</f>
        <v>0</v>
      </c>
      <c r="S2515" s="2" t="s">
        <v>97</v>
      </c>
    </row>
    <row r="2516" spans="1:19" x14ac:dyDescent="0.3">
      <c r="A2516" s="4">
        <v>2514</v>
      </c>
      <c r="B2516" s="2" t="s">
        <v>380</v>
      </c>
      <c r="C2516" s="3">
        <v>44853</v>
      </c>
      <c r="D2516" s="3" t="str">
        <f>TEXT(Table1[[#This Row],[Admission Date]],"MMMM")</f>
        <v>October</v>
      </c>
      <c r="E2516" s="3">
        <v>44853</v>
      </c>
      <c r="F2516" s="3">
        <v>44853</v>
      </c>
      <c r="G2516" s="2">
        <v>22027671</v>
      </c>
      <c r="H2516" s="2">
        <v>2236597</v>
      </c>
      <c r="I2516" s="2">
        <v>10013475917</v>
      </c>
      <c r="J2516" s="2" t="s">
        <v>429</v>
      </c>
      <c r="K2516" s="10">
        <v>1274</v>
      </c>
      <c r="L2516" s="10">
        <v>0</v>
      </c>
      <c r="M2516" s="10">
        <v>1274</v>
      </c>
      <c r="N2516" s="10">
        <v>0</v>
      </c>
      <c r="O2516" s="10">
        <f>Table1[[#This Row],[NET Amount]]-Table1[[#This Row],[Paid Amount]]</f>
        <v>1274</v>
      </c>
      <c r="P2516" s="2" t="s">
        <v>23</v>
      </c>
      <c r="Q2516" s="2" t="s">
        <v>54</v>
      </c>
      <c r="R2516" s="16">
        <f>(Table1[[#This Row],[NET Amount]]-Table1[[#This Row],[Total Outstanding Amount]])/Table1[[#This Row],[NET Amount]]</f>
        <v>0</v>
      </c>
      <c r="S2516" s="2" t="s">
        <v>97</v>
      </c>
    </row>
    <row r="2517" spans="1:19" x14ac:dyDescent="0.3">
      <c r="A2517" s="4">
        <v>2515</v>
      </c>
      <c r="B2517" s="2" t="s">
        <v>45</v>
      </c>
      <c r="C2517" s="3">
        <v>44852</v>
      </c>
      <c r="D2517" s="3" t="str">
        <f>TEXT(Table1[[#This Row],[Admission Date]],"MMMM")</f>
        <v>October</v>
      </c>
      <c r="E2517" s="3">
        <v>44852</v>
      </c>
      <c r="F2517" s="3">
        <v>44852</v>
      </c>
      <c r="G2517" s="2">
        <v>22027537</v>
      </c>
      <c r="H2517" s="2">
        <v>2236452</v>
      </c>
      <c r="I2517" s="2">
        <v>1001020879</v>
      </c>
      <c r="J2517" s="2" t="s">
        <v>462</v>
      </c>
      <c r="K2517" s="10">
        <v>2200</v>
      </c>
      <c r="L2517" s="10">
        <v>0</v>
      </c>
      <c r="M2517" s="10">
        <v>2200</v>
      </c>
      <c r="N2517" s="10">
        <v>0</v>
      </c>
      <c r="O2517" s="10">
        <f>Table1[[#This Row],[NET Amount]]-Table1[[#This Row],[Paid Amount]]</f>
        <v>2200</v>
      </c>
      <c r="P2517" s="2" t="s">
        <v>23</v>
      </c>
      <c r="Q2517" s="2" t="s">
        <v>147</v>
      </c>
      <c r="R2517" s="16">
        <f>(Table1[[#This Row],[NET Amount]]-Table1[[#This Row],[Total Outstanding Amount]])/Table1[[#This Row],[NET Amount]]</f>
        <v>0</v>
      </c>
      <c r="S2517" s="2" t="s">
        <v>97</v>
      </c>
    </row>
    <row r="2518" spans="1:19" x14ac:dyDescent="0.3">
      <c r="A2518" s="4">
        <v>2516</v>
      </c>
      <c r="B2518" s="2" t="s">
        <v>75</v>
      </c>
      <c r="C2518" s="3">
        <v>44842</v>
      </c>
      <c r="D2518" s="3" t="str">
        <f>TEXT(Table1[[#This Row],[Admission Date]],"MMMM")</f>
        <v>October</v>
      </c>
      <c r="E2518" s="3">
        <v>44842</v>
      </c>
      <c r="F2518" s="3">
        <v>44842</v>
      </c>
      <c r="G2518" s="2">
        <v>22026223</v>
      </c>
      <c r="H2518" s="2">
        <v>2235201</v>
      </c>
      <c r="I2518" s="2">
        <v>1001300172</v>
      </c>
      <c r="J2518" s="2" t="s">
        <v>400</v>
      </c>
      <c r="K2518" s="10">
        <v>1610</v>
      </c>
      <c r="L2518" s="10">
        <v>0</v>
      </c>
      <c r="M2518" s="10">
        <v>1610</v>
      </c>
      <c r="N2518" s="10">
        <v>0</v>
      </c>
      <c r="O2518" s="10">
        <f>Table1[[#This Row],[NET Amount]]-Table1[[#This Row],[Paid Amount]]</f>
        <v>1610</v>
      </c>
      <c r="P2518" s="2" t="s">
        <v>23</v>
      </c>
      <c r="Q2518" s="2" t="s">
        <v>54</v>
      </c>
      <c r="R2518" s="16">
        <f>(Table1[[#This Row],[NET Amount]]-Table1[[#This Row],[Total Outstanding Amount]])/Table1[[#This Row],[NET Amount]]</f>
        <v>0</v>
      </c>
      <c r="S2518" s="2" t="s">
        <v>97</v>
      </c>
    </row>
    <row r="2519" spans="1:19" x14ac:dyDescent="0.3">
      <c r="A2519" s="4">
        <v>2517</v>
      </c>
      <c r="B2519" s="2" t="s">
        <v>380</v>
      </c>
      <c r="C2519" s="3">
        <v>44851</v>
      </c>
      <c r="D2519" s="3" t="str">
        <f>TEXT(Table1[[#This Row],[Admission Date]],"MMMM")</f>
        <v>October</v>
      </c>
      <c r="E2519" s="3">
        <v>44851</v>
      </c>
      <c r="F2519" s="3">
        <v>44851</v>
      </c>
      <c r="G2519" s="2">
        <v>22027513</v>
      </c>
      <c r="H2519" s="2">
        <v>2236419</v>
      </c>
      <c r="I2519" s="2">
        <v>10013413542</v>
      </c>
      <c r="J2519" s="2" t="s">
        <v>389</v>
      </c>
      <c r="K2519" s="10">
        <v>1274</v>
      </c>
      <c r="L2519" s="10">
        <v>0</v>
      </c>
      <c r="M2519" s="10">
        <v>1274</v>
      </c>
      <c r="N2519" s="10">
        <v>0</v>
      </c>
      <c r="O2519" s="10">
        <f>Table1[[#This Row],[NET Amount]]-Table1[[#This Row],[Paid Amount]]</f>
        <v>1274</v>
      </c>
      <c r="P2519" s="2" t="s">
        <v>23</v>
      </c>
      <c r="Q2519" s="2" t="s">
        <v>54</v>
      </c>
      <c r="R2519" s="16">
        <f>(Table1[[#This Row],[NET Amount]]-Table1[[#This Row],[Total Outstanding Amount]])/Table1[[#This Row],[NET Amount]]</f>
        <v>0</v>
      </c>
      <c r="S2519" s="2" t="s">
        <v>97</v>
      </c>
    </row>
    <row r="2520" spans="1:19" x14ac:dyDescent="0.3">
      <c r="A2520" s="4">
        <v>2518</v>
      </c>
      <c r="B2520" s="2" t="s">
        <v>2253</v>
      </c>
      <c r="C2520" s="3">
        <v>44858</v>
      </c>
      <c r="D2520" s="3" t="str">
        <f>TEXT(Table1[[#This Row],[Admission Date]],"MMMM")</f>
        <v>October</v>
      </c>
      <c r="E2520" s="3">
        <v>44858</v>
      </c>
      <c r="F2520" s="3">
        <v>44858</v>
      </c>
      <c r="G2520" s="2">
        <v>22028449</v>
      </c>
      <c r="H2520" s="2">
        <v>2237226</v>
      </c>
      <c r="I2520" s="2">
        <v>1001803044</v>
      </c>
      <c r="J2520" s="2" t="s">
        <v>426</v>
      </c>
      <c r="K2520" s="10">
        <v>1610</v>
      </c>
      <c r="L2520" s="10">
        <v>0</v>
      </c>
      <c r="M2520" s="10">
        <v>1610</v>
      </c>
      <c r="N2520" s="10">
        <v>0</v>
      </c>
      <c r="O2520" s="10">
        <f>Table1[[#This Row],[NET Amount]]-Table1[[#This Row],[Paid Amount]]</f>
        <v>1610</v>
      </c>
      <c r="P2520" s="2" t="s">
        <v>23</v>
      </c>
      <c r="Q2520" s="2" t="s">
        <v>54</v>
      </c>
      <c r="R2520" s="16">
        <f>(Table1[[#This Row],[NET Amount]]-Table1[[#This Row],[Total Outstanding Amount]])/Table1[[#This Row],[NET Amount]]</f>
        <v>0</v>
      </c>
      <c r="S2520" s="2" t="s">
        <v>97</v>
      </c>
    </row>
    <row r="2521" spans="1:19" x14ac:dyDescent="0.3">
      <c r="A2521" s="4">
        <v>2519</v>
      </c>
      <c r="B2521" s="2" t="s">
        <v>407</v>
      </c>
      <c r="C2521" s="3">
        <v>44839</v>
      </c>
      <c r="D2521" s="3" t="str">
        <f>TEXT(Table1[[#This Row],[Admission Date]],"MMMM")</f>
        <v>October</v>
      </c>
      <c r="E2521" s="3">
        <v>44844</v>
      </c>
      <c r="F2521" s="3">
        <v>44844</v>
      </c>
      <c r="G2521" s="2">
        <v>22026440</v>
      </c>
      <c r="H2521" s="2">
        <v>2234778</v>
      </c>
      <c r="I2521" s="2">
        <v>10013541663</v>
      </c>
      <c r="J2521" s="2" t="s">
        <v>1552</v>
      </c>
      <c r="K2521" s="10">
        <v>66439</v>
      </c>
      <c r="L2521" s="10">
        <v>0</v>
      </c>
      <c r="M2521" s="10">
        <v>66439</v>
      </c>
      <c r="N2521" s="10">
        <v>0</v>
      </c>
      <c r="O2521" s="10">
        <f>Table1[[#This Row],[NET Amount]]-Table1[[#This Row],[Paid Amount]]</f>
        <v>66439</v>
      </c>
      <c r="P2521" s="2" t="s">
        <v>23</v>
      </c>
      <c r="Q2521" s="2" t="s">
        <v>24</v>
      </c>
      <c r="R2521" s="16">
        <f>(Table1[[#This Row],[NET Amount]]-Table1[[#This Row],[Total Outstanding Amount]])/Table1[[#This Row],[NET Amount]]</f>
        <v>0</v>
      </c>
      <c r="S2521" s="2" t="s">
        <v>43</v>
      </c>
    </row>
    <row r="2522" spans="1:19" x14ac:dyDescent="0.3">
      <c r="A2522" s="4">
        <v>2520</v>
      </c>
      <c r="B2522" s="2" t="s">
        <v>380</v>
      </c>
      <c r="C2522" s="3">
        <v>44841</v>
      </c>
      <c r="D2522" s="3" t="str">
        <f>TEXT(Table1[[#This Row],[Admission Date]],"MMMM")</f>
        <v>October</v>
      </c>
      <c r="E2522" s="3">
        <v>44841</v>
      </c>
      <c r="F2522" s="3">
        <v>44841</v>
      </c>
      <c r="G2522" s="2">
        <v>22026062</v>
      </c>
      <c r="H2522" s="2">
        <v>2235093</v>
      </c>
      <c r="I2522" s="2">
        <v>10013316109</v>
      </c>
      <c r="J2522" s="2" t="s">
        <v>793</v>
      </c>
      <c r="K2522" s="10">
        <v>1274</v>
      </c>
      <c r="L2522" s="10">
        <v>0</v>
      </c>
      <c r="M2522" s="10">
        <v>1274</v>
      </c>
      <c r="N2522" s="10">
        <v>0</v>
      </c>
      <c r="O2522" s="10">
        <f>Table1[[#This Row],[NET Amount]]-Table1[[#This Row],[Paid Amount]]</f>
        <v>1274</v>
      </c>
      <c r="P2522" s="2" t="s">
        <v>23</v>
      </c>
      <c r="Q2522" s="2" t="s">
        <v>54</v>
      </c>
      <c r="R2522" s="16">
        <f>(Table1[[#This Row],[NET Amount]]-Table1[[#This Row],[Total Outstanding Amount]])/Table1[[#This Row],[NET Amount]]</f>
        <v>0</v>
      </c>
      <c r="S2522" s="2" t="s">
        <v>97</v>
      </c>
    </row>
    <row r="2523" spans="1:19" x14ac:dyDescent="0.3">
      <c r="A2523" s="4">
        <v>2521</v>
      </c>
      <c r="B2523" s="2" t="s">
        <v>380</v>
      </c>
      <c r="C2523" s="3">
        <v>44863</v>
      </c>
      <c r="D2523" s="3" t="str">
        <f>TEXT(Table1[[#This Row],[Admission Date]],"MMMM")</f>
        <v>October</v>
      </c>
      <c r="E2523" s="3">
        <v>44863</v>
      </c>
      <c r="F2523" s="3">
        <v>44863</v>
      </c>
      <c r="G2523" s="2">
        <v>22029162</v>
      </c>
      <c r="H2523" s="2">
        <v>2238020</v>
      </c>
      <c r="I2523" s="2">
        <v>10013299539</v>
      </c>
      <c r="J2523" s="2" t="s">
        <v>487</v>
      </c>
      <c r="K2523" s="10">
        <v>1274</v>
      </c>
      <c r="L2523" s="10">
        <v>0</v>
      </c>
      <c r="M2523" s="10">
        <v>1274</v>
      </c>
      <c r="N2523" s="10">
        <v>0</v>
      </c>
      <c r="O2523" s="10">
        <f>Table1[[#This Row],[NET Amount]]-Table1[[#This Row],[Paid Amount]]</f>
        <v>1274</v>
      </c>
      <c r="P2523" s="2" t="s">
        <v>23</v>
      </c>
      <c r="Q2523" s="2" t="s">
        <v>54</v>
      </c>
      <c r="R2523" s="16">
        <f>(Table1[[#This Row],[NET Amount]]-Table1[[#This Row],[Total Outstanding Amount]])/Table1[[#This Row],[NET Amount]]</f>
        <v>0</v>
      </c>
      <c r="S2523" s="2" t="s">
        <v>97</v>
      </c>
    </row>
    <row r="2524" spans="1:19" x14ac:dyDescent="0.3">
      <c r="A2524" s="4">
        <v>2522</v>
      </c>
      <c r="B2524" s="2" t="s">
        <v>2263</v>
      </c>
      <c r="C2524" s="3">
        <v>44861</v>
      </c>
      <c r="D2524" s="3" t="str">
        <f>TEXT(Table1[[#This Row],[Admission Date]],"MMMM")</f>
        <v>October</v>
      </c>
      <c r="E2524" s="3">
        <v>44861</v>
      </c>
      <c r="F2524" s="3">
        <v>44861</v>
      </c>
      <c r="G2524" s="2">
        <v>22028726</v>
      </c>
      <c r="H2524" s="2">
        <v>2237617</v>
      </c>
      <c r="I2524" s="2">
        <v>1001680001</v>
      </c>
      <c r="J2524" s="2" t="s">
        <v>394</v>
      </c>
      <c r="K2524" s="10">
        <v>1274</v>
      </c>
      <c r="L2524" s="10">
        <v>0</v>
      </c>
      <c r="M2524" s="10">
        <v>1274</v>
      </c>
      <c r="N2524" s="10">
        <v>0</v>
      </c>
      <c r="O2524" s="10">
        <f>Table1[[#This Row],[NET Amount]]-Table1[[#This Row],[Paid Amount]]</f>
        <v>1274</v>
      </c>
      <c r="P2524" s="2" t="s">
        <v>23</v>
      </c>
      <c r="Q2524" s="2" t="s">
        <v>54</v>
      </c>
      <c r="R2524" s="16">
        <f>(Table1[[#This Row],[NET Amount]]-Table1[[#This Row],[Total Outstanding Amount]])/Table1[[#This Row],[NET Amount]]</f>
        <v>0</v>
      </c>
      <c r="S2524" s="2" t="s">
        <v>97</v>
      </c>
    </row>
    <row r="2525" spans="1:19" x14ac:dyDescent="0.3">
      <c r="A2525" s="4">
        <v>2523</v>
      </c>
      <c r="B2525" s="2" t="s">
        <v>75</v>
      </c>
      <c r="C2525" s="3">
        <v>44844</v>
      </c>
      <c r="D2525" s="3" t="str">
        <f>TEXT(Table1[[#This Row],[Admission Date]],"MMMM")</f>
        <v>October</v>
      </c>
      <c r="E2525" s="3">
        <v>44844</v>
      </c>
      <c r="F2525" s="3">
        <v>44844</v>
      </c>
      <c r="G2525" s="2">
        <v>22026336</v>
      </c>
      <c r="H2525" s="2">
        <v>2235339</v>
      </c>
      <c r="I2525" s="2">
        <v>1001531709</v>
      </c>
      <c r="J2525" s="2" t="s">
        <v>1080</v>
      </c>
      <c r="K2525" s="10">
        <v>1610</v>
      </c>
      <c r="L2525" s="10">
        <v>0</v>
      </c>
      <c r="M2525" s="10">
        <v>1610</v>
      </c>
      <c r="N2525" s="10">
        <v>0</v>
      </c>
      <c r="O2525" s="10">
        <f>Table1[[#This Row],[NET Amount]]-Table1[[#This Row],[Paid Amount]]</f>
        <v>1610</v>
      </c>
      <c r="P2525" s="2" t="s">
        <v>23</v>
      </c>
      <c r="Q2525" s="2" t="s">
        <v>54</v>
      </c>
      <c r="R2525" s="16">
        <f>(Table1[[#This Row],[NET Amount]]-Table1[[#This Row],[Total Outstanding Amount]])/Table1[[#This Row],[NET Amount]]</f>
        <v>0</v>
      </c>
      <c r="S2525" s="2" t="s">
        <v>97</v>
      </c>
    </row>
    <row r="2526" spans="1:19" x14ac:dyDescent="0.3">
      <c r="A2526" s="4">
        <v>2524</v>
      </c>
      <c r="B2526" s="2" t="s">
        <v>380</v>
      </c>
      <c r="C2526" s="3">
        <v>44846</v>
      </c>
      <c r="D2526" s="3" t="str">
        <f>TEXT(Table1[[#This Row],[Admission Date]],"MMMM")</f>
        <v>October</v>
      </c>
      <c r="E2526" s="3">
        <v>44846</v>
      </c>
      <c r="F2526" s="3">
        <v>44846</v>
      </c>
      <c r="G2526" s="2">
        <v>22026803</v>
      </c>
      <c r="H2526" s="2">
        <v>2235762</v>
      </c>
      <c r="I2526" s="2">
        <v>10013370253</v>
      </c>
      <c r="J2526" s="2" t="s">
        <v>488</v>
      </c>
      <c r="K2526" s="10">
        <v>1274</v>
      </c>
      <c r="L2526" s="10">
        <v>0</v>
      </c>
      <c r="M2526" s="10">
        <v>1274</v>
      </c>
      <c r="N2526" s="10">
        <v>0</v>
      </c>
      <c r="O2526" s="10">
        <f>Table1[[#This Row],[NET Amount]]-Table1[[#This Row],[Paid Amount]]</f>
        <v>1274</v>
      </c>
      <c r="P2526" s="2" t="s">
        <v>23</v>
      </c>
      <c r="Q2526" s="2" t="s">
        <v>54</v>
      </c>
      <c r="R2526" s="16">
        <f>(Table1[[#This Row],[NET Amount]]-Table1[[#This Row],[Total Outstanding Amount]])/Table1[[#This Row],[NET Amount]]</f>
        <v>0</v>
      </c>
      <c r="S2526" s="2" t="s">
        <v>97</v>
      </c>
    </row>
    <row r="2527" spans="1:19" x14ac:dyDescent="0.3">
      <c r="A2527" s="4">
        <v>2525</v>
      </c>
      <c r="B2527" s="2" t="s">
        <v>380</v>
      </c>
      <c r="C2527" s="3">
        <v>44859</v>
      </c>
      <c r="D2527" s="3" t="str">
        <f>TEXT(Table1[[#This Row],[Admission Date]],"MMMM")</f>
        <v>October</v>
      </c>
      <c r="E2527" s="3">
        <v>44859</v>
      </c>
      <c r="F2527" s="3">
        <v>44859</v>
      </c>
      <c r="G2527" s="2">
        <v>22028552</v>
      </c>
      <c r="H2527" s="2">
        <v>2237366</v>
      </c>
      <c r="I2527" s="2">
        <v>1001039513</v>
      </c>
      <c r="J2527" s="2" t="s">
        <v>444</v>
      </c>
      <c r="K2527" s="10">
        <v>1274</v>
      </c>
      <c r="L2527" s="10">
        <v>0</v>
      </c>
      <c r="M2527" s="10">
        <v>1274</v>
      </c>
      <c r="N2527" s="10">
        <v>0</v>
      </c>
      <c r="O2527" s="10">
        <f>Table1[[#This Row],[NET Amount]]-Table1[[#This Row],[Paid Amount]]</f>
        <v>1274</v>
      </c>
      <c r="P2527" s="2" t="s">
        <v>23</v>
      </c>
      <c r="Q2527" s="2" t="s">
        <v>54</v>
      </c>
      <c r="R2527" s="16">
        <f>(Table1[[#This Row],[NET Amount]]-Table1[[#This Row],[Total Outstanding Amount]])/Table1[[#This Row],[NET Amount]]</f>
        <v>0</v>
      </c>
      <c r="S2527" s="2" t="s">
        <v>97</v>
      </c>
    </row>
    <row r="2528" spans="1:19" x14ac:dyDescent="0.3">
      <c r="A2528" s="4">
        <v>2526</v>
      </c>
      <c r="B2528" s="2" t="s">
        <v>2263</v>
      </c>
      <c r="C2528" s="3">
        <v>44847</v>
      </c>
      <c r="D2528" s="3" t="str">
        <f>TEXT(Table1[[#This Row],[Admission Date]],"MMMM")</f>
        <v>October</v>
      </c>
      <c r="E2528" s="3">
        <v>44847</v>
      </c>
      <c r="F2528" s="3">
        <v>44847</v>
      </c>
      <c r="G2528" s="2">
        <v>22026840</v>
      </c>
      <c r="H2528" s="2">
        <v>2235824</v>
      </c>
      <c r="I2528" s="2">
        <v>1001686545</v>
      </c>
      <c r="J2528" s="2" t="s">
        <v>425</v>
      </c>
      <c r="K2528" s="10">
        <v>1274</v>
      </c>
      <c r="L2528" s="10">
        <v>0</v>
      </c>
      <c r="M2528" s="10">
        <v>1274</v>
      </c>
      <c r="N2528" s="10">
        <v>0</v>
      </c>
      <c r="O2528" s="10">
        <f>Table1[[#This Row],[NET Amount]]-Table1[[#This Row],[Paid Amount]]</f>
        <v>1274</v>
      </c>
      <c r="P2528" s="2" t="s">
        <v>23</v>
      </c>
      <c r="Q2528" s="2" t="s">
        <v>54</v>
      </c>
      <c r="R2528" s="16">
        <f>(Table1[[#This Row],[NET Amount]]-Table1[[#This Row],[Total Outstanding Amount]])/Table1[[#This Row],[NET Amount]]</f>
        <v>0</v>
      </c>
      <c r="S2528" s="2" t="s">
        <v>97</v>
      </c>
    </row>
    <row r="2529" spans="1:19" x14ac:dyDescent="0.3">
      <c r="A2529" s="4">
        <v>2527</v>
      </c>
      <c r="B2529" s="2" t="s">
        <v>2253</v>
      </c>
      <c r="C2529" s="3">
        <v>44846</v>
      </c>
      <c r="D2529" s="3" t="str">
        <f>TEXT(Table1[[#This Row],[Admission Date]],"MMMM")</f>
        <v>October</v>
      </c>
      <c r="E2529" s="3">
        <v>44846</v>
      </c>
      <c r="F2529" s="3">
        <v>44846</v>
      </c>
      <c r="G2529" s="2">
        <v>22026666</v>
      </c>
      <c r="H2529" s="2">
        <v>2235644</v>
      </c>
      <c r="I2529" s="2">
        <v>1001801530</v>
      </c>
      <c r="J2529" s="2" t="s">
        <v>392</v>
      </c>
      <c r="K2529" s="10">
        <v>1610</v>
      </c>
      <c r="L2529" s="10">
        <v>0</v>
      </c>
      <c r="M2529" s="10">
        <v>1610</v>
      </c>
      <c r="N2529" s="10">
        <v>0</v>
      </c>
      <c r="O2529" s="10">
        <f>Table1[[#This Row],[NET Amount]]-Table1[[#This Row],[Paid Amount]]</f>
        <v>1610</v>
      </c>
      <c r="P2529" s="2" t="s">
        <v>23</v>
      </c>
      <c r="Q2529" s="2" t="s">
        <v>54</v>
      </c>
      <c r="R2529" s="16">
        <f>(Table1[[#This Row],[NET Amount]]-Table1[[#This Row],[Total Outstanding Amount]])/Table1[[#This Row],[NET Amount]]</f>
        <v>0</v>
      </c>
      <c r="S2529" s="2" t="s">
        <v>97</v>
      </c>
    </row>
    <row r="2530" spans="1:19" x14ac:dyDescent="0.3">
      <c r="A2530" s="4">
        <v>2528</v>
      </c>
      <c r="B2530" s="2" t="s">
        <v>2263</v>
      </c>
      <c r="C2530" s="3">
        <v>44856</v>
      </c>
      <c r="D2530" s="3" t="str">
        <f>TEXT(Table1[[#This Row],[Admission Date]],"MMMM")</f>
        <v>October</v>
      </c>
      <c r="E2530" s="3">
        <v>44856</v>
      </c>
      <c r="F2530" s="3">
        <v>44856</v>
      </c>
      <c r="G2530" s="2">
        <v>22028144</v>
      </c>
      <c r="H2530" s="2">
        <v>2237001</v>
      </c>
      <c r="I2530" s="2">
        <v>1001678600</v>
      </c>
      <c r="J2530" s="2" t="s">
        <v>413</v>
      </c>
      <c r="K2530" s="10">
        <v>1274</v>
      </c>
      <c r="L2530" s="10">
        <v>0</v>
      </c>
      <c r="M2530" s="10">
        <v>1274</v>
      </c>
      <c r="N2530" s="10">
        <v>0</v>
      </c>
      <c r="O2530" s="10">
        <f>Table1[[#This Row],[NET Amount]]-Table1[[#This Row],[Paid Amount]]</f>
        <v>1274</v>
      </c>
      <c r="P2530" s="2" t="s">
        <v>23</v>
      </c>
      <c r="Q2530" s="2" t="s">
        <v>54</v>
      </c>
      <c r="R2530" s="16">
        <f>(Table1[[#This Row],[NET Amount]]-Table1[[#This Row],[Total Outstanding Amount]])/Table1[[#This Row],[NET Amount]]</f>
        <v>0</v>
      </c>
      <c r="S2530" s="2" t="s">
        <v>97</v>
      </c>
    </row>
    <row r="2531" spans="1:19" x14ac:dyDescent="0.3">
      <c r="A2531" s="4">
        <v>2529</v>
      </c>
      <c r="B2531" s="2" t="s">
        <v>380</v>
      </c>
      <c r="C2531" s="3">
        <v>44846</v>
      </c>
      <c r="D2531" s="3" t="str">
        <f>TEXT(Table1[[#This Row],[Admission Date]],"MMMM")</f>
        <v>October</v>
      </c>
      <c r="E2531" s="3">
        <v>44846</v>
      </c>
      <c r="F2531" s="3">
        <v>44846</v>
      </c>
      <c r="G2531" s="2">
        <v>22026740</v>
      </c>
      <c r="H2531" s="2">
        <v>2235709</v>
      </c>
      <c r="I2531" s="2">
        <v>1000933464</v>
      </c>
      <c r="J2531" s="2" t="s">
        <v>437</v>
      </c>
      <c r="K2531" s="10">
        <v>1274</v>
      </c>
      <c r="L2531" s="10">
        <v>0</v>
      </c>
      <c r="M2531" s="10">
        <v>1274</v>
      </c>
      <c r="N2531" s="10">
        <v>0</v>
      </c>
      <c r="O2531" s="10">
        <f>Table1[[#This Row],[NET Amount]]-Table1[[#This Row],[Paid Amount]]</f>
        <v>1274</v>
      </c>
      <c r="P2531" s="2" t="s">
        <v>23</v>
      </c>
      <c r="Q2531" s="2" t="s">
        <v>54</v>
      </c>
      <c r="R2531" s="16">
        <f>(Table1[[#This Row],[NET Amount]]-Table1[[#This Row],[Total Outstanding Amount]])/Table1[[#This Row],[NET Amount]]</f>
        <v>0</v>
      </c>
      <c r="S2531" s="2" t="s">
        <v>97</v>
      </c>
    </row>
    <row r="2532" spans="1:19" x14ac:dyDescent="0.3">
      <c r="A2532" s="4">
        <v>2530</v>
      </c>
      <c r="B2532" s="2" t="s">
        <v>139</v>
      </c>
      <c r="C2532" s="3">
        <v>44859</v>
      </c>
      <c r="D2532" s="3" t="str">
        <f>TEXT(Table1[[#This Row],[Admission Date]],"MMMM")</f>
        <v>October</v>
      </c>
      <c r="E2532" s="3">
        <v>44859</v>
      </c>
      <c r="F2532" s="3">
        <v>44859</v>
      </c>
      <c r="G2532" s="2">
        <v>22028473</v>
      </c>
      <c r="H2532" s="2">
        <v>2237278</v>
      </c>
      <c r="I2532" s="2">
        <v>1001547355</v>
      </c>
      <c r="J2532" s="2" t="s">
        <v>451</v>
      </c>
      <c r="K2532" s="10">
        <v>2200</v>
      </c>
      <c r="L2532" s="10">
        <v>0</v>
      </c>
      <c r="M2532" s="10">
        <v>2200</v>
      </c>
      <c r="N2532" s="10">
        <v>0</v>
      </c>
      <c r="O2532" s="10">
        <f>Table1[[#This Row],[NET Amount]]-Table1[[#This Row],[Paid Amount]]</f>
        <v>2200</v>
      </c>
      <c r="P2532" s="2" t="s">
        <v>23</v>
      </c>
      <c r="Q2532" s="2" t="s">
        <v>147</v>
      </c>
      <c r="R2532" s="16">
        <f>(Table1[[#This Row],[NET Amount]]-Table1[[#This Row],[Total Outstanding Amount]])/Table1[[#This Row],[NET Amount]]</f>
        <v>0</v>
      </c>
      <c r="S2532" s="2" t="s">
        <v>97</v>
      </c>
    </row>
    <row r="2533" spans="1:19" x14ac:dyDescent="0.3">
      <c r="A2533" s="4">
        <v>2531</v>
      </c>
      <c r="B2533" s="2" t="s">
        <v>2271</v>
      </c>
      <c r="C2533" s="3">
        <v>44855</v>
      </c>
      <c r="D2533" s="3" t="str">
        <f>TEXT(Table1[[#This Row],[Admission Date]],"MMMM")</f>
        <v>October</v>
      </c>
      <c r="E2533" s="3">
        <v>44855</v>
      </c>
      <c r="F2533" s="3">
        <v>44855</v>
      </c>
      <c r="G2533" s="2">
        <v>22028064</v>
      </c>
      <c r="H2533" s="2">
        <v>2236922</v>
      </c>
      <c r="I2533" s="2">
        <v>1001729640</v>
      </c>
      <c r="J2533" s="2" t="s">
        <v>470</v>
      </c>
      <c r="K2533" s="10">
        <v>1610</v>
      </c>
      <c r="L2533" s="10">
        <v>0</v>
      </c>
      <c r="M2533" s="10">
        <v>1610</v>
      </c>
      <c r="N2533" s="10">
        <v>0</v>
      </c>
      <c r="O2533" s="10">
        <f>Table1[[#This Row],[NET Amount]]-Table1[[#This Row],[Paid Amount]]</f>
        <v>1610</v>
      </c>
      <c r="P2533" s="2" t="s">
        <v>23</v>
      </c>
      <c r="Q2533" s="2" t="s">
        <v>54</v>
      </c>
      <c r="R2533" s="16">
        <f>(Table1[[#This Row],[NET Amount]]-Table1[[#This Row],[Total Outstanding Amount]])/Table1[[#This Row],[NET Amount]]</f>
        <v>0</v>
      </c>
      <c r="S2533" s="2" t="s">
        <v>97</v>
      </c>
    </row>
    <row r="2534" spans="1:19" x14ac:dyDescent="0.3">
      <c r="A2534" s="4">
        <v>2532</v>
      </c>
      <c r="B2534" s="2" t="s">
        <v>40</v>
      </c>
      <c r="C2534" s="3">
        <v>44852</v>
      </c>
      <c r="D2534" s="3" t="str">
        <f>TEXT(Table1[[#This Row],[Admission Date]],"MMMM")</f>
        <v>October</v>
      </c>
      <c r="E2534" s="3">
        <v>44852</v>
      </c>
      <c r="F2534" s="3">
        <v>44852</v>
      </c>
      <c r="G2534" s="2">
        <v>22027592</v>
      </c>
      <c r="H2534" s="2">
        <v>2236482</v>
      </c>
      <c r="I2534" s="2">
        <v>10013436915</v>
      </c>
      <c r="J2534" s="2" t="s">
        <v>773</v>
      </c>
      <c r="K2534" s="10">
        <v>2200</v>
      </c>
      <c r="L2534" s="10">
        <v>0</v>
      </c>
      <c r="M2534" s="10">
        <v>2200</v>
      </c>
      <c r="N2534" s="10">
        <v>0</v>
      </c>
      <c r="O2534" s="10">
        <f>Table1[[#This Row],[NET Amount]]-Table1[[#This Row],[Paid Amount]]</f>
        <v>2200</v>
      </c>
      <c r="P2534" s="2" t="s">
        <v>23</v>
      </c>
      <c r="Q2534" s="2" t="s">
        <v>147</v>
      </c>
      <c r="R2534" s="16">
        <f>(Table1[[#This Row],[NET Amount]]-Table1[[#This Row],[Total Outstanding Amount]])/Table1[[#This Row],[NET Amount]]</f>
        <v>0</v>
      </c>
      <c r="S2534" s="2" t="s">
        <v>97</v>
      </c>
    </row>
    <row r="2535" spans="1:19" x14ac:dyDescent="0.3">
      <c r="A2535" s="4">
        <v>2533</v>
      </c>
      <c r="B2535" s="2" t="s">
        <v>139</v>
      </c>
      <c r="C2535" s="3">
        <v>44848</v>
      </c>
      <c r="D2535" s="3" t="str">
        <f>TEXT(Table1[[#This Row],[Admission Date]],"MMMM")</f>
        <v>October</v>
      </c>
      <c r="E2535" s="3">
        <v>44848</v>
      </c>
      <c r="F2535" s="3">
        <v>44848</v>
      </c>
      <c r="G2535" s="2">
        <v>22027035</v>
      </c>
      <c r="H2535" s="2">
        <v>2235959</v>
      </c>
      <c r="I2535" s="2">
        <v>1001199995</v>
      </c>
      <c r="J2535" s="2" t="s">
        <v>386</v>
      </c>
      <c r="K2535" s="10">
        <v>2200</v>
      </c>
      <c r="L2535" s="10">
        <v>0</v>
      </c>
      <c r="M2535" s="10">
        <v>2200</v>
      </c>
      <c r="N2535" s="10">
        <v>0</v>
      </c>
      <c r="O2535" s="10">
        <f>Table1[[#This Row],[NET Amount]]-Table1[[#This Row],[Paid Amount]]</f>
        <v>2200</v>
      </c>
      <c r="P2535" s="2" t="s">
        <v>23</v>
      </c>
      <c r="Q2535" s="2" t="s">
        <v>147</v>
      </c>
      <c r="R2535" s="16">
        <f>(Table1[[#This Row],[NET Amount]]-Table1[[#This Row],[Total Outstanding Amount]])/Table1[[#This Row],[NET Amount]]</f>
        <v>0</v>
      </c>
      <c r="S2535" s="2" t="s">
        <v>97</v>
      </c>
    </row>
    <row r="2536" spans="1:19" x14ac:dyDescent="0.3">
      <c r="A2536" s="4">
        <v>2534</v>
      </c>
      <c r="B2536" s="2" t="s">
        <v>380</v>
      </c>
      <c r="C2536" s="3">
        <v>44853</v>
      </c>
      <c r="D2536" s="3" t="str">
        <f>TEXT(Table1[[#This Row],[Admission Date]],"MMMM")</f>
        <v>October</v>
      </c>
      <c r="E2536" s="3">
        <v>44853</v>
      </c>
      <c r="F2536" s="3">
        <v>44853</v>
      </c>
      <c r="G2536" s="2">
        <v>22027797</v>
      </c>
      <c r="H2536" s="2">
        <v>2236696</v>
      </c>
      <c r="I2536" s="2">
        <v>10013371548</v>
      </c>
      <c r="J2536" s="2" t="s">
        <v>482</v>
      </c>
      <c r="K2536" s="10">
        <v>1274</v>
      </c>
      <c r="L2536" s="10">
        <v>0</v>
      </c>
      <c r="M2536" s="10">
        <v>1274</v>
      </c>
      <c r="N2536" s="10">
        <v>0</v>
      </c>
      <c r="O2536" s="10">
        <f>Table1[[#This Row],[NET Amount]]-Table1[[#This Row],[Paid Amount]]</f>
        <v>1274</v>
      </c>
      <c r="P2536" s="2" t="s">
        <v>23</v>
      </c>
      <c r="Q2536" s="2" t="s">
        <v>54</v>
      </c>
      <c r="R2536" s="16">
        <f>(Table1[[#This Row],[NET Amount]]-Table1[[#This Row],[Total Outstanding Amount]])/Table1[[#This Row],[NET Amount]]</f>
        <v>0</v>
      </c>
      <c r="S2536" s="2" t="s">
        <v>97</v>
      </c>
    </row>
    <row r="2537" spans="1:19" x14ac:dyDescent="0.3">
      <c r="A2537" s="4">
        <v>2535</v>
      </c>
      <c r="B2537" s="2" t="s">
        <v>2263</v>
      </c>
      <c r="C2537" s="3">
        <v>44835</v>
      </c>
      <c r="D2537" s="3" t="str">
        <f>TEXT(Table1[[#This Row],[Admission Date]],"MMMM")</f>
        <v>October</v>
      </c>
      <c r="E2537" s="3">
        <v>44835</v>
      </c>
      <c r="F2537" s="3">
        <v>44835</v>
      </c>
      <c r="G2537" s="2">
        <v>22025186</v>
      </c>
      <c r="H2537" s="2">
        <v>2234205</v>
      </c>
      <c r="I2537" s="2">
        <v>1001712791</v>
      </c>
      <c r="J2537" s="2" t="s">
        <v>450</v>
      </c>
      <c r="K2537" s="10">
        <v>1274</v>
      </c>
      <c r="L2537" s="10">
        <v>0</v>
      </c>
      <c r="M2537" s="10">
        <v>1274</v>
      </c>
      <c r="N2537" s="10">
        <v>0</v>
      </c>
      <c r="O2537" s="10">
        <f>Table1[[#This Row],[NET Amount]]-Table1[[#This Row],[Paid Amount]]</f>
        <v>1274</v>
      </c>
      <c r="P2537" s="2" t="s">
        <v>23</v>
      </c>
      <c r="Q2537" s="2" t="s">
        <v>54</v>
      </c>
      <c r="R2537" s="16">
        <f>(Table1[[#This Row],[NET Amount]]-Table1[[#This Row],[Total Outstanding Amount]])/Table1[[#This Row],[NET Amount]]</f>
        <v>0</v>
      </c>
      <c r="S2537" s="2" t="s">
        <v>97</v>
      </c>
    </row>
    <row r="2538" spans="1:19" x14ac:dyDescent="0.3">
      <c r="A2538" s="4">
        <v>2536</v>
      </c>
      <c r="B2538" s="2" t="s">
        <v>2263</v>
      </c>
      <c r="C2538" s="3">
        <v>44839</v>
      </c>
      <c r="D2538" s="3" t="str">
        <f>TEXT(Table1[[#This Row],[Admission Date]],"MMMM")</f>
        <v>October</v>
      </c>
      <c r="E2538" s="3">
        <v>44839</v>
      </c>
      <c r="F2538" s="3">
        <v>44839</v>
      </c>
      <c r="G2538" s="2">
        <v>22025666</v>
      </c>
      <c r="H2538" s="2">
        <v>2234694</v>
      </c>
      <c r="I2538" s="2">
        <v>1001767553</v>
      </c>
      <c r="J2538" s="2" t="s">
        <v>417</v>
      </c>
      <c r="K2538" s="10">
        <v>1274</v>
      </c>
      <c r="L2538" s="10">
        <v>0</v>
      </c>
      <c r="M2538" s="10">
        <v>1274</v>
      </c>
      <c r="N2538" s="10">
        <v>0</v>
      </c>
      <c r="O2538" s="10">
        <f>Table1[[#This Row],[NET Amount]]-Table1[[#This Row],[Paid Amount]]</f>
        <v>1274</v>
      </c>
      <c r="P2538" s="2" t="s">
        <v>23</v>
      </c>
      <c r="Q2538" s="2" t="s">
        <v>54</v>
      </c>
      <c r="R2538" s="16">
        <f>(Table1[[#This Row],[NET Amount]]-Table1[[#This Row],[Total Outstanding Amount]])/Table1[[#This Row],[NET Amount]]</f>
        <v>0</v>
      </c>
      <c r="S2538" s="2" t="s">
        <v>20</v>
      </c>
    </row>
    <row r="2539" spans="1:19" x14ac:dyDescent="0.3">
      <c r="A2539" s="4">
        <v>2537</v>
      </c>
      <c r="B2539" s="2" t="s">
        <v>380</v>
      </c>
      <c r="C2539" s="3">
        <v>44865</v>
      </c>
      <c r="D2539" s="3" t="str">
        <f>TEXT(Table1[[#This Row],[Admission Date]],"MMMM")</f>
        <v>October</v>
      </c>
      <c r="E2539" s="3">
        <v>44865</v>
      </c>
      <c r="F2539" s="3">
        <v>44865</v>
      </c>
      <c r="G2539" s="2">
        <v>22029399</v>
      </c>
      <c r="H2539" s="2">
        <v>2238267</v>
      </c>
      <c r="I2539" s="2">
        <v>10013223537</v>
      </c>
      <c r="J2539" s="2" t="s">
        <v>382</v>
      </c>
      <c r="K2539" s="10">
        <v>1274</v>
      </c>
      <c r="L2539" s="10">
        <v>0</v>
      </c>
      <c r="M2539" s="10">
        <v>1274</v>
      </c>
      <c r="N2539" s="10">
        <v>0</v>
      </c>
      <c r="O2539" s="10">
        <f>Table1[[#This Row],[NET Amount]]-Table1[[#This Row],[Paid Amount]]</f>
        <v>1274</v>
      </c>
      <c r="P2539" s="2" t="s">
        <v>23</v>
      </c>
      <c r="Q2539" s="2" t="s">
        <v>54</v>
      </c>
      <c r="R2539" s="16">
        <f>(Table1[[#This Row],[NET Amount]]-Table1[[#This Row],[Total Outstanding Amount]])/Table1[[#This Row],[NET Amount]]</f>
        <v>0</v>
      </c>
      <c r="S2539" s="2" t="s">
        <v>97</v>
      </c>
    </row>
    <row r="2540" spans="1:19" x14ac:dyDescent="0.3">
      <c r="A2540" s="4">
        <v>2538</v>
      </c>
      <c r="B2540" s="2" t="s">
        <v>380</v>
      </c>
      <c r="C2540" s="3">
        <v>44863</v>
      </c>
      <c r="D2540" s="3" t="str">
        <f>TEXT(Table1[[#This Row],[Admission Date]],"MMMM")</f>
        <v>October</v>
      </c>
      <c r="E2540" s="3">
        <v>44863</v>
      </c>
      <c r="F2540" s="3">
        <v>44863</v>
      </c>
      <c r="G2540" s="2">
        <v>22029156</v>
      </c>
      <c r="H2540" s="2">
        <v>2238012</v>
      </c>
      <c r="I2540" s="2">
        <v>1001188488</v>
      </c>
      <c r="J2540" s="2" t="s">
        <v>297</v>
      </c>
      <c r="K2540" s="10">
        <v>1274</v>
      </c>
      <c r="L2540" s="10">
        <v>0</v>
      </c>
      <c r="M2540" s="10">
        <v>1274</v>
      </c>
      <c r="N2540" s="10">
        <v>0</v>
      </c>
      <c r="O2540" s="10">
        <f>Table1[[#This Row],[NET Amount]]-Table1[[#This Row],[Paid Amount]]</f>
        <v>1274</v>
      </c>
      <c r="P2540" s="2" t="s">
        <v>23</v>
      </c>
      <c r="Q2540" s="2" t="s">
        <v>54</v>
      </c>
      <c r="R2540" s="16">
        <f>(Table1[[#This Row],[NET Amount]]-Table1[[#This Row],[Total Outstanding Amount]])/Table1[[#This Row],[NET Amount]]</f>
        <v>0</v>
      </c>
      <c r="S2540" s="2" t="s">
        <v>97</v>
      </c>
    </row>
    <row r="2541" spans="1:19" x14ac:dyDescent="0.3">
      <c r="A2541" s="4">
        <v>2539</v>
      </c>
      <c r="B2541" s="2" t="s">
        <v>45</v>
      </c>
      <c r="C2541" s="3">
        <v>44849</v>
      </c>
      <c r="D2541" s="3" t="str">
        <f>TEXT(Table1[[#This Row],[Admission Date]],"MMMM")</f>
        <v>October</v>
      </c>
      <c r="E2541" s="3">
        <v>44849</v>
      </c>
      <c r="F2541" s="3">
        <v>44849</v>
      </c>
      <c r="G2541" s="2">
        <v>22027207</v>
      </c>
      <c r="H2541" s="2">
        <v>2236133</v>
      </c>
      <c r="I2541" s="2">
        <v>1001684515</v>
      </c>
      <c r="J2541" s="2" t="s">
        <v>414</v>
      </c>
      <c r="K2541" s="10">
        <v>2200</v>
      </c>
      <c r="L2541" s="10">
        <v>0</v>
      </c>
      <c r="M2541" s="10">
        <v>2200</v>
      </c>
      <c r="N2541" s="10">
        <v>0</v>
      </c>
      <c r="O2541" s="10">
        <f>Table1[[#This Row],[NET Amount]]-Table1[[#This Row],[Paid Amount]]</f>
        <v>2200</v>
      </c>
      <c r="P2541" s="2" t="s">
        <v>23</v>
      </c>
      <c r="Q2541" s="2" t="s">
        <v>147</v>
      </c>
      <c r="R2541" s="16">
        <f>(Table1[[#This Row],[NET Amount]]-Table1[[#This Row],[Total Outstanding Amount]])/Table1[[#This Row],[NET Amount]]</f>
        <v>0</v>
      </c>
      <c r="S2541" s="2" t="s">
        <v>97</v>
      </c>
    </row>
    <row r="2542" spans="1:19" x14ac:dyDescent="0.3">
      <c r="A2542" s="4">
        <v>2540</v>
      </c>
      <c r="B2542" s="2" t="s">
        <v>168</v>
      </c>
      <c r="C2542" s="3">
        <v>44844</v>
      </c>
      <c r="D2542" s="3" t="str">
        <f>TEXT(Table1[[#This Row],[Admission Date]],"MMMM")</f>
        <v>October</v>
      </c>
      <c r="E2542" s="3">
        <v>44844</v>
      </c>
      <c r="F2542" s="3">
        <v>44844</v>
      </c>
      <c r="G2542" s="2">
        <v>22026398</v>
      </c>
      <c r="H2542" s="2">
        <v>2235375</v>
      </c>
      <c r="I2542" s="2">
        <v>10013359873</v>
      </c>
      <c r="J2542" s="2" t="s">
        <v>774</v>
      </c>
      <c r="K2542" s="10">
        <v>2200</v>
      </c>
      <c r="L2542" s="10">
        <v>0</v>
      </c>
      <c r="M2542" s="10">
        <v>2200</v>
      </c>
      <c r="N2542" s="10">
        <v>0</v>
      </c>
      <c r="O2542" s="10">
        <f>Table1[[#This Row],[NET Amount]]-Table1[[#This Row],[Paid Amount]]</f>
        <v>2200</v>
      </c>
      <c r="P2542" s="2" t="s">
        <v>23</v>
      </c>
      <c r="Q2542" s="2" t="s">
        <v>147</v>
      </c>
      <c r="R2542" s="16">
        <f>(Table1[[#This Row],[NET Amount]]-Table1[[#This Row],[Total Outstanding Amount]])/Table1[[#This Row],[NET Amount]]</f>
        <v>0</v>
      </c>
      <c r="S2542" s="2" t="s">
        <v>97</v>
      </c>
    </row>
    <row r="2543" spans="1:19" x14ac:dyDescent="0.3">
      <c r="A2543" s="4">
        <v>2541</v>
      </c>
      <c r="B2543" s="2" t="s">
        <v>380</v>
      </c>
      <c r="C2543" s="3">
        <v>44835</v>
      </c>
      <c r="D2543" s="3" t="str">
        <f>TEXT(Table1[[#This Row],[Admission Date]],"MMMM")</f>
        <v>October</v>
      </c>
      <c r="E2543" s="3">
        <v>44835</v>
      </c>
      <c r="F2543" s="3">
        <v>44835</v>
      </c>
      <c r="G2543" s="2">
        <v>22025245</v>
      </c>
      <c r="H2543" s="2">
        <v>2234260</v>
      </c>
      <c r="I2543" s="2">
        <v>1001590721</v>
      </c>
      <c r="J2543" s="2" t="s">
        <v>461</v>
      </c>
      <c r="K2543" s="10">
        <v>1274</v>
      </c>
      <c r="L2543" s="10">
        <v>0</v>
      </c>
      <c r="M2543" s="10">
        <v>1274</v>
      </c>
      <c r="N2543" s="10">
        <v>0</v>
      </c>
      <c r="O2543" s="10">
        <f>Table1[[#This Row],[NET Amount]]-Table1[[#This Row],[Paid Amount]]</f>
        <v>1274</v>
      </c>
      <c r="P2543" s="2" t="s">
        <v>23</v>
      </c>
      <c r="Q2543" s="2" t="s">
        <v>54</v>
      </c>
      <c r="R2543" s="16">
        <f>(Table1[[#This Row],[NET Amount]]-Table1[[#This Row],[Total Outstanding Amount]])/Table1[[#This Row],[NET Amount]]</f>
        <v>0</v>
      </c>
      <c r="S2543" s="2" t="s">
        <v>97</v>
      </c>
    </row>
    <row r="2544" spans="1:19" x14ac:dyDescent="0.3">
      <c r="A2544" s="4">
        <v>2542</v>
      </c>
      <c r="B2544" s="2" t="s">
        <v>380</v>
      </c>
      <c r="C2544" s="3">
        <v>44840</v>
      </c>
      <c r="D2544" s="3" t="str">
        <f>TEXT(Table1[[#This Row],[Admission Date]],"MMMM")</f>
        <v>October</v>
      </c>
      <c r="E2544" s="3">
        <v>44840</v>
      </c>
      <c r="F2544" s="3">
        <v>44840</v>
      </c>
      <c r="G2544" s="2">
        <v>22025816</v>
      </c>
      <c r="H2544" s="2">
        <v>2234832</v>
      </c>
      <c r="I2544" s="2">
        <v>1000899251</v>
      </c>
      <c r="J2544" s="2" t="s">
        <v>789</v>
      </c>
      <c r="K2544" s="10">
        <v>1274</v>
      </c>
      <c r="L2544" s="10">
        <v>0</v>
      </c>
      <c r="M2544" s="10">
        <v>1274</v>
      </c>
      <c r="N2544" s="10">
        <v>0</v>
      </c>
      <c r="O2544" s="10">
        <f>Table1[[#This Row],[NET Amount]]-Table1[[#This Row],[Paid Amount]]</f>
        <v>1274</v>
      </c>
      <c r="P2544" s="2" t="s">
        <v>23</v>
      </c>
      <c r="Q2544" s="2" t="s">
        <v>54</v>
      </c>
      <c r="R2544" s="16">
        <f>(Table1[[#This Row],[NET Amount]]-Table1[[#This Row],[Total Outstanding Amount]])/Table1[[#This Row],[NET Amount]]</f>
        <v>0</v>
      </c>
      <c r="S2544" s="2" t="s">
        <v>97</v>
      </c>
    </row>
    <row r="2545" spans="1:19" x14ac:dyDescent="0.3">
      <c r="A2545" s="4">
        <v>2543</v>
      </c>
      <c r="B2545" s="2" t="s">
        <v>380</v>
      </c>
      <c r="C2545" s="3">
        <v>44860</v>
      </c>
      <c r="D2545" s="3" t="str">
        <f>TEXT(Table1[[#This Row],[Admission Date]],"MMMM")</f>
        <v>October</v>
      </c>
      <c r="E2545" s="3">
        <v>44860</v>
      </c>
      <c r="F2545" s="3">
        <v>44860</v>
      </c>
      <c r="G2545" s="2">
        <v>22028697</v>
      </c>
      <c r="H2545" s="2">
        <v>2237570</v>
      </c>
      <c r="I2545" s="2">
        <v>10013451090</v>
      </c>
      <c r="J2545" s="2" t="s">
        <v>808</v>
      </c>
      <c r="K2545" s="10">
        <v>1274</v>
      </c>
      <c r="L2545" s="10">
        <v>0</v>
      </c>
      <c r="M2545" s="10">
        <v>1274</v>
      </c>
      <c r="N2545" s="10">
        <v>0</v>
      </c>
      <c r="O2545" s="10">
        <f>Table1[[#This Row],[NET Amount]]-Table1[[#This Row],[Paid Amount]]</f>
        <v>1274</v>
      </c>
      <c r="P2545" s="2" t="s">
        <v>23</v>
      </c>
      <c r="Q2545" s="2" t="s">
        <v>54</v>
      </c>
      <c r="R2545" s="16">
        <f>(Table1[[#This Row],[NET Amount]]-Table1[[#This Row],[Total Outstanding Amount]])/Table1[[#This Row],[NET Amount]]</f>
        <v>0</v>
      </c>
      <c r="S2545" s="2" t="s">
        <v>97</v>
      </c>
    </row>
    <row r="2546" spans="1:19" x14ac:dyDescent="0.3">
      <c r="A2546" s="4">
        <v>2544</v>
      </c>
      <c r="B2546" s="2" t="s">
        <v>380</v>
      </c>
      <c r="C2546" s="3">
        <v>44853</v>
      </c>
      <c r="D2546" s="3" t="str">
        <f>TEXT(Table1[[#This Row],[Admission Date]],"MMMM")</f>
        <v>October</v>
      </c>
      <c r="E2546" s="3">
        <v>44853</v>
      </c>
      <c r="F2546" s="3">
        <v>44853</v>
      </c>
      <c r="G2546" s="2">
        <v>22027672</v>
      </c>
      <c r="H2546" s="2">
        <v>2236596</v>
      </c>
      <c r="I2546" s="2">
        <v>10013436995</v>
      </c>
      <c r="J2546" s="2" t="s">
        <v>794</v>
      </c>
      <c r="K2546" s="10">
        <v>1274</v>
      </c>
      <c r="L2546" s="10">
        <v>0</v>
      </c>
      <c r="M2546" s="10">
        <v>1274</v>
      </c>
      <c r="N2546" s="10">
        <v>0</v>
      </c>
      <c r="O2546" s="10">
        <f>Table1[[#This Row],[NET Amount]]-Table1[[#This Row],[Paid Amount]]</f>
        <v>1274</v>
      </c>
      <c r="P2546" s="2" t="s">
        <v>23</v>
      </c>
      <c r="Q2546" s="2" t="s">
        <v>54</v>
      </c>
      <c r="R2546" s="16">
        <f>(Table1[[#This Row],[NET Amount]]-Table1[[#This Row],[Total Outstanding Amount]])/Table1[[#This Row],[NET Amount]]</f>
        <v>0</v>
      </c>
      <c r="S2546" s="2" t="s">
        <v>97</v>
      </c>
    </row>
    <row r="2547" spans="1:19" x14ac:dyDescent="0.3">
      <c r="A2547" s="4">
        <v>2545</v>
      </c>
      <c r="B2547" s="2" t="s">
        <v>2263</v>
      </c>
      <c r="C2547" s="3">
        <v>44859</v>
      </c>
      <c r="D2547" s="3" t="str">
        <f>TEXT(Table1[[#This Row],[Admission Date]],"MMMM")</f>
        <v>October</v>
      </c>
      <c r="E2547" s="3">
        <v>44859</v>
      </c>
      <c r="F2547" s="3">
        <v>44859</v>
      </c>
      <c r="G2547" s="2">
        <v>22028477</v>
      </c>
      <c r="H2547" s="2">
        <v>2237282</v>
      </c>
      <c r="I2547" s="2">
        <v>1001751950</v>
      </c>
      <c r="J2547" s="2" t="s">
        <v>786</v>
      </c>
      <c r="K2547" s="10">
        <v>1274</v>
      </c>
      <c r="L2547" s="10">
        <v>0</v>
      </c>
      <c r="M2547" s="10">
        <v>1274</v>
      </c>
      <c r="N2547" s="10">
        <v>0</v>
      </c>
      <c r="O2547" s="10">
        <f>Table1[[#This Row],[NET Amount]]-Table1[[#This Row],[Paid Amount]]</f>
        <v>1274</v>
      </c>
      <c r="P2547" s="2" t="s">
        <v>23</v>
      </c>
      <c r="Q2547" s="2" t="s">
        <v>54</v>
      </c>
      <c r="R2547" s="16">
        <f>(Table1[[#This Row],[NET Amount]]-Table1[[#This Row],[Total Outstanding Amount]])/Table1[[#This Row],[NET Amount]]</f>
        <v>0</v>
      </c>
      <c r="S2547" s="2" t="s">
        <v>97</v>
      </c>
    </row>
    <row r="2548" spans="1:19" x14ac:dyDescent="0.3">
      <c r="A2548" s="4">
        <v>2546</v>
      </c>
      <c r="B2548" s="2" t="s">
        <v>380</v>
      </c>
      <c r="C2548" s="3">
        <v>44846</v>
      </c>
      <c r="D2548" s="3" t="str">
        <f>TEXT(Table1[[#This Row],[Admission Date]],"MMMM")</f>
        <v>October</v>
      </c>
      <c r="E2548" s="3">
        <v>44846</v>
      </c>
      <c r="F2548" s="3">
        <v>44846</v>
      </c>
      <c r="G2548" s="2">
        <v>22026808</v>
      </c>
      <c r="H2548" s="2">
        <v>2235765</v>
      </c>
      <c r="I2548" s="2">
        <v>1001188488</v>
      </c>
      <c r="J2548" s="2" t="s">
        <v>297</v>
      </c>
      <c r="K2548" s="10">
        <v>1274</v>
      </c>
      <c r="L2548" s="10">
        <v>0</v>
      </c>
      <c r="M2548" s="10">
        <v>1274</v>
      </c>
      <c r="N2548" s="10">
        <v>0</v>
      </c>
      <c r="O2548" s="10">
        <f>Table1[[#This Row],[NET Amount]]-Table1[[#This Row],[Paid Amount]]</f>
        <v>1274</v>
      </c>
      <c r="P2548" s="2" t="s">
        <v>23</v>
      </c>
      <c r="Q2548" s="2" t="s">
        <v>54</v>
      </c>
      <c r="R2548" s="16">
        <f>(Table1[[#This Row],[NET Amount]]-Table1[[#This Row],[Total Outstanding Amount]])/Table1[[#This Row],[NET Amount]]</f>
        <v>0</v>
      </c>
      <c r="S2548" s="2" t="s">
        <v>97</v>
      </c>
    </row>
    <row r="2549" spans="1:19" x14ac:dyDescent="0.3">
      <c r="A2549" s="4">
        <v>2547</v>
      </c>
      <c r="B2549" s="2" t="s">
        <v>380</v>
      </c>
      <c r="C2549" s="3">
        <v>44856</v>
      </c>
      <c r="D2549" s="3" t="str">
        <f>TEXT(Table1[[#This Row],[Admission Date]],"MMMM")</f>
        <v>October</v>
      </c>
      <c r="E2549" s="3">
        <v>44856</v>
      </c>
      <c r="F2549" s="3">
        <v>44856</v>
      </c>
      <c r="G2549" s="2">
        <v>22028267</v>
      </c>
      <c r="H2549" s="2">
        <v>2237069</v>
      </c>
      <c r="I2549" s="2">
        <v>1001542371</v>
      </c>
      <c r="J2549" s="2" t="s">
        <v>385</v>
      </c>
      <c r="K2549" s="10">
        <v>1274</v>
      </c>
      <c r="L2549" s="10">
        <v>0</v>
      </c>
      <c r="M2549" s="10">
        <v>1274</v>
      </c>
      <c r="N2549" s="10">
        <v>0</v>
      </c>
      <c r="O2549" s="10">
        <f>Table1[[#This Row],[NET Amount]]-Table1[[#This Row],[Paid Amount]]</f>
        <v>1274</v>
      </c>
      <c r="P2549" s="2" t="s">
        <v>23</v>
      </c>
      <c r="Q2549" s="2" t="s">
        <v>54</v>
      </c>
      <c r="R2549" s="16">
        <f>(Table1[[#This Row],[NET Amount]]-Table1[[#This Row],[Total Outstanding Amount]])/Table1[[#This Row],[NET Amount]]</f>
        <v>0</v>
      </c>
      <c r="S2549" s="2" t="s">
        <v>97</v>
      </c>
    </row>
    <row r="2550" spans="1:19" x14ac:dyDescent="0.3">
      <c r="A2550" s="4">
        <v>2548</v>
      </c>
      <c r="B2550" s="2" t="s">
        <v>139</v>
      </c>
      <c r="C2550" s="3">
        <v>44845</v>
      </c>
      <c r="D2550" s="3" t="str">
        <f>TEXT(Table1[[#This Row],[Admission Date]],"MMMM")</f>
        <v>October</v>
      </c>
      <c r="E2550" s="3">
        <v>44845</v>
      </c>
      <c r="F2550" s="3">
        <v>44845</v>
      </c>
      <c r="G2550" s="2">
        <v>22026619</v>
      </c>
      <c r="H2550" s="2">
        <v>2235590</v>
      </c>
      <c r="I2550" s="2">
        <v>1001547355</v>
      </c>
      <c r="J2550" s="2" t="s">
        <v>451</v>
      </c>
      <c r="K2550" s="10">
        <v>2200</v>
      </c>
      <c r="L2550" s="10">
        <v>0</v>
      </c>
      <c r="M2550" s="10">
        <v>2200</v>
      </c>
      <c r="N2550" s="10">
        <v>0</v>
      </c>
      <c r="O2550" s="10">
        <f>Table1[[#This Row],[NET Amount]]-Table1[[#This Row],[Paid Amount]]</f>
        <v>2200</v>
      </c>
      <c r="P2550" s="2" t="s">
        <v>23</v>
      </c>
      <c r="Q2550" s="2" t="s">
        <v>147</v>
      </c>
      <c r="R2550" s="16">
        <f>(Table1[[#This Row],[NET Amount]]-Table1[[#This Row],[Total Outstanding Amount]])/Table1[[#This Row],[NET Amount]]</f>
        <v>0</v>
      </c>
      <c r="S2550" s="2" t="s">
        <v>97</v>
      </c>
    </row>
    <row r="2551" spans="1:19" x14ac:dyDescent="0.3">
      <c r="A2551" s="4">
        <v>2549</v>
      </c>
      <c r="B2551" s="2" t="s">
        <v>91</v>
      </c>
      <c r="C2551" s="3">
        <v>44846</v>
      </c>
      <c r="D2551" s="3" t="str">
        <f>TEXT(Table1[[#This Row],[Admission Date]],"MMMM")</f>
        <v>October</v>
      </c>
      <c r="E2551" s="3">
        <v>44851</v>
      </c>
      <c r="F2551" s="3">
        <v>44851</v>
      </c>
      <c r="G2551" s="2">
        <v>22027401</v>
      </c>
      <c r="H2551" s="2">
        <v>2235779</v>
      </c>
      <c r="I2551" s="2">
        <v>10013392958</v>
      </c>
      <c r="J2551" s="2" t="s">
        <v>1553</v>
      </c>
      <c r="K2551" s="10">
        <v>114469</v>
      </c>
      <c r="L2551" s="10">
        <v>0</v>
      </c>
      <c r="M2551" s="10">
        <v>114469</v>
      </c>
      <c r="N2551" s="10">
        <v>0</v>
      </c>
      <c r="O2551" s="10">
        <f>Table1[[#This Row],[NET Amount]]-Table1[[#This Row],[Paid Amount]]</f>
        <v>114469</v>
      </c>
      <c r="P2551" s="2" t="s">
        <v>23</v>
      </c>
      <c r="Q2551" s="2" t="s">
        <v>104</v>
      </c>
      <c r="R2551" s="16">
        <f>(Table1[[#This Row],[NET Amount]]-Table1[[#This Row],[Total Outstanding Amount]])/Table1[[#This Row],[NET Amount]]</f>
        <v>0</v>
      </c>
      <c r="S2551" s="2" t="s">
        <v>20</v>
      </c>
    </row>
    <row r="2552" spans="1:19" x14ac:dyDescent="0.3">
      <c r="A2552" s="4">
        <v>2550</v>
      </c>
      <c r="B2552" s="2" t="s">
        <v>2263</v>
      </c>
      <c r="C2552" s="3">
        <v>44839</v>
      </c>
      <c r="D2552" s="3" t="str">
        <f>TEXT(Table1[[#This Row],[Admission Date]],"MMMM")</f>
        <v>October</v>
      </c>
      <c r="E2552" s="3">
        <v>44839</v>
      </c>
      <c r="F2552" s="3">
        <v>44839</v>
      </c>
      <c r="G2552" s="2">
        <v>22025667</v>
      </c>
      <c r="H2552" s="2">
        <v>2234697</v>
      </c>
      <c r="I2552" s="2">
        <v>1001647517</v>
      </c>
      <c r="J2552" s="2" t="s">
        <v>802</v>
      </c>
      <c r="K2552" s="10">
        <v>1274</v>
      </c>
      <c r="L2552" s="10">
        <v>0</v>
      </c>
      <c r="M2552" s="10">
        <v>1274</v>
      </c>
      <c r="N2552" s="10">
        <v>0</v>
      </c>
      <c r="O2552" s="10">
        <f>Table1[[#This Row],[NET Amount]]-Table1[[#This Row],[Paid Amount]]</f>
        <v>1274</v>
      </c>
      <c r="P2552" s="2" t="s">
        <v>23</v>
      </c>
      <c r="Q2552" s="2" t="s">
        <v>54</v>
      </c>
      <c r="R2552" s="16">
        <f>(Table1[[#This Row],[NET Amount]]-Table1[[#This Row],[Total Outstanding Amount]])/Table1[[#This Row],[NET Amount]]</f>
        <v>0</v>
      </c>
      <c r="S2552" s="2" t="s">
        <v>97</v>
      </c>
    </row>
    <row r="2553" spans="1:19" x14ac:dyDescent="0.3">
      <c r="A2553" s="4">
        <v>2551</v>
      </c>
      <c r="B2553" s="2" t="s">
        <v>139</v>
      </c>
      <c r="C2553" s="3">
        <v>44852</v>
      </c>
      <c r="D2553" s="3" t="str">
        <f>TEXT(Table1[[#This Row],[Admission Date]],"MMMM")</f>
        <v>October</v>
      </c>
      <c r="E2553" s="3">
        <v>44852</v>
      </c>
      <c r="F2553" s="3">
        <v>44852</v>
      </c>
      <c r="G2553" s="2">
        <v>22027524</v>
      </c>
      <c r="H2553" s="2">
        <v>2236438</v>
      </c>
      <c r="I2553" s="2">
        <v>1001547355</v>
      </c>
      <c r="J2553" s="2" t="s">
        <v>451</v>
      </c>
      <c r="K2553" s="10">
        <v>2200</v>
      </c>
      <c r="L2553" s="10">
        <v>0</v>
      </c>
      <c r="M2553" s="10">
        <v>2200</v>
      </c>
      <c r="N2553" s="10">
        <v>0</v>
      </c>
      <c r="O2553" s="10">
        <f>Table1[[#This Row],[NET Amount]]-Table1[[#This Row],[Paid Amount]]</f>
        <v>2200</v>
      </c>
      <c r="P2553" s="2" t="s">
        <v>23</v>
      </c>
      <c r="Q2553" s="2" t="s">
        <v>147</v>
      </c>
      <c r="R2553" s="16">
        <f>(Table1[[#This Row],[NET Amount]]-Table1[[#This Row],[Total Outstanding Amount]])/Table1[[#This Row],[NET Amount]]</f>
        <v>0</v>
      </c>
      <c r="S2553" s="2" t="s">
        <v>97</v>
      </c>
    </row>
    <row r="2554" spans="1:19" x14ac:dyDescent="0.3">
      <c r="A2554" s="4">
        <v>2552</v>
      </c>
      <c r="B2554" s="2" t="s">
        <v>139</v>
      </c>
      <c r="C2554" s="3">
        <v>44857</v>
      </c>
      <c r="D2554" s="3" t="str">
        <f>TEXT(Table1[[#This Row],[Admission Date]],"MMMM")</f>
        <v>October</v>
      </c>
      <c r="E2554" s="3">
        <v>44857</v>
      </c>
      <c r="F2554" s="3">
        <v>44857</v>
      </c>
      <c r="G2554" s="2">
        <v>22028374</v>
      </c>
      <c r="H2554" s="2">
        <v>2237149</v>
      </c>
      <c r="I2554" s="2">
        <v>1000947591</v>
      </c>
      <c r="J2554" s="2" t="s">
        <v>146</v>
      </c>
      <c r="K2554" s="10">
        <v>2200</v>
      </c>
      <c r="L2554" s="10">
        <v>0</v>
      </c>
      <c r="M2554" s="10">
        <v>2200</v>
      </c>
      <c r="N2554" s="10">
        <v>0</v>
      </c>
      <c r="O2554" s="10">
        <f>Table1[[#This Row],[NET Amount]]-Table1[[#This Row],[Paid Amount]]</f>
        <v>2200</v>
      </c>
      <c r="P2554" s="2" t="s">
        <v>23</v>
      </c>
      <c r="Q2554" s="2" t="s">
        <v>147</v>
      </c>
      <c r="R2554" s="16">
        <f>(Table1[[#This Row],[NET Amount]]-Table1[[#This Row],[Total Outstanding Amount]])/Table1[[#This Row],[NET Amount]]</f>
        <v>0</v>
      </c>
      <c r="S2554" s="2" t="s">
        <v>97</v>
      </c>
    </row>
    <row r="2555" spans="1:19" x14ac:dyDescent="0.3">
      <c r="A2555" s="4">
        <v>2553</v>
      </c>
      <c r="B2555" s="2" t="s">
        <v>141</v>
      </c>
      <c r="C2555" s="3">
        <v>44860</v>
      </c>
      <c r="D2555" s="3" t="str">
        <f>TEXT(Table1[[#This Row],[Admission Date]],"MMMM")</f>
        <v>October</v>
      </c>
      <c r="E2555" s="3">
        <v>44863</v>
      </c>
      <c r="F2555" s="3">
        <v>44863</v>
      </c>
      <c r="G2555" s="2">
        <v>22029145</v>
      </c>
      <c r="H2555" s="2">
        <v>2237423</v>
      </c>
      <c r="I2555" s="2">
        <v>10013544489</v>
      </c>
      <c r="J2555" s="2" t="s">
        <v>1554</v>
      </c>
      <c r="K2555" s="10">
        <v>175658</v>
      </c>
      <c r="L2555" s="10">
        <v>21875</v>
      </c>
      <c r="M2555" s="10">
        <v>153783</v>
      </c>
      <c r="N2555" s="10">
        <v>0</v>
      </c>
      <c r="O2555" s="10">
        <f>Table1[[#This Row],[NET Amount]]-Table1[[#This Row],[Paid Amount]]</f>
        <v>153783</v>
      </c>
      <c r="P2555" s="2" t="s">
        <v>23</v>
      </c>
      <c r="Q2555" s="2" t="s">
        <v>47</v>
      </c>
      <c r="R2555" s="16">
        <f>(Table1[[#This Row],[NET Amount]]-Table1[[#This Row],[Total Outstanding Amount]])/Table1[[#This Row],[NET Amount]]</f>
        <v>0</v>
      </c>
      <c r="S2555" s="2" t="s">
        <v>39</v>
      </c>
    </row>
    <row r="2556" spans="1:19" x14ac:dyDescent="0.3">
      <c r="A2556" s="4">
        <v>2554</v>
      </c>
      <c r="B2556" s="2" t="s">
        <v>2277</v>
      </c>
      <c r="C2556" s="3">
        <v>44842</v>
      </c>
      <c r="D2556" s="3" t="str">
        <f>TEXT(Table1[[#This Row],[Admission Date]],"MMMM")</f>
        <v>October</v>
      </c>
      <c r="E2556" s="3">
        <v>44844</v>
      </c>
      <c r="F2556" s="3">
        <v>44846</v>
      </c>
      <c r="G2556" s="2">
        <v>22026764</v>
      </c>
      <c r="H2556" s="2">
        <v>2235158</v>
      </c>
      <c r="I2556" s="2">
        <v>1001801821</v>
      </c>
      <c r="J2556" s="2" t="s">
        <v>1555</v>
      </c>
      <c r="K2556" s="10">
        <v>43580</v>
      </c>
      <c r="L2556" s="10">
        <v>0</v>
      </c>
      <c r="M2556" s="10">
        <v>43580</v>
      </c>
      <c r="N2556" s="10">
        <v>0</v>
      </c>
      <c r="O2556" s="10">
        <f>Table1[[#This Row],[NET Amount]]-Table1[[#This Row],[Paid Amount]]</f>
        <v>43580</v>
      </c>
      <c r="P2556" s="2" t="s">
        <v>23</v>
      </c>
      <c r="Q2556" s="2" t="s">
        <v>24</v>
      </c>
      <c r="R2556" s="16">
        <f>(Table1[[#This Row],[NET Amount]]-Table1[[#This Row],[Total Outstanding Amount]])/Table1[[#This Row],[NET Amount]]</f>
        <v>0</v>
      </c>
      <c r="S2556" s="2" t="s">
        <v>138</v>
      </c>
    </row>
    <row r="2557" spans="1:19" x14ac:dyDescent="0.3">
      <c r="A2557" s="4">
        <v>2555</v>
      </c>
      <c r="B2557" s="2" t="s">
        <v>380</v>
      </c>
      <c r="C2557" s="3">
        <v>44839</v>
      </c>
      <c r="D2557" s="3" t="str">
        <f>TEXT(Table1[[#This Row],[Admission Date]],"MMMM")</f>
        <v>October</v>
      </c>
      <c r="E2557" s="3">
        <v>44839</v>
      </c>
      <c r="F2557" s="3">
        <v>44839</v>
      </c>
      <c r="G2557" s="2">
        <v>22025775</v>
      </c>
      <c r="H2557" s="2">
        <v>2234759</v>
      </c>
      <c r="I2557" s="2">
        <v>1001542371</v>
      </c>
      <c r="J2557" s="2" t="s">
        <v>385</v>
      </c>
      <c r="K2557" s="10">
        <v>1274</v>
      </c>
      <c r="L2557" s="10">
        <v>0</v>
      </c>
      <c r="M2557" s="10">
        <v>1274</v>
      </c>
      <c r="N2557" s="10">
        <v>0</v>
      </c>
      <c r="O2557" s="10">
        <f>Table1[[#This Row],[NET Amount]]-Table1[[#This Row],[Paid Amount]]</f>
        <v>1274</v>
      </c>
      <c r="P2557" s="2" t="s">
        <v>23</v>
      </c>
      <c r="Q2557" s="2" t="s">
        <v>54</v>
      </c>
      <c r="R2557" s="16">
        <f>(Table1[[#This Row],[NET Amount]]-Table1[[#This Row],[Total Outstanding Amount]])/Table1[[#This Row],[NET Amount]]</f>
        <v>0</v>
      </c>
      <c r="S2557" s="2" t="s">
        <v>97</v>
      </c>
    </row>
    <row r="2558" spans="1:19" x14ac:dyDescent="0.3">
      <c r="A2558" s="4">
        <v>2556</v>
      </c>
      <c r="B2558" s="2" t="s">
        <v>380</v>
      </c>
      <c r="C2558" s="3">
        <v>44844</v>
      </c>
      <c r="D2558" s="3" t="str">
        <f>TEXT(Table1[[#This Row],[Admission Date]],"MMMM")</f>
        <v>October</v>
      </c>
      <c r="E2558" s="3">
        <v>44844</v>
      </c>
      <c r="F2558" s="3">
        <v>44844</v>
      </c>
      <c r="G2558" s="2">
        <v>22026344</v>
      </c>
      <c r="H2558" s="2">
        <v>2235341</v>
      </c>
      <c r="I2558" s="2">
        <v>1000891036</v>
      </c>
      <c r="J2558" s="2" t="s">
        <v>399</v>
      </c>
      <c r="K2558" s="10">
        <v>1274</v>
      </c>
      <c r="L2558" s="10">
        <v>0</v>
      </c>
      <c r="M2558" s="10">
        <v>1274</v>
      </c>
      <c r="N2558" s="10">
        <v>0</v>
      </c>
      <c r="O2558" s="10">
        <f>Table1[[#This Row],[NET Amount]]-Table1[[#This Row],[Paid Amount]]</f>
        <v>1274</v>
      </c>
      <c r="P2558" s="2" t="s">
        <v>23</v>
      </c>
      <c r="Q2558" s="2" t="s">
        <v>54</v>
      </c>
      <c r="R2558" s="16">
        <f>(Table1[[#This Row],[NET Amount]]-Table1[[#This Row],[Total Outstanding Amount]])/Table1[[#This Row],[NET Amount]]</f>
        <v>0</v>
      </c>
      <c r="S2558" s="2" t="s">
        <v>97</v>
      </c>
    </row>
    <row r="2559" spans="1:19" x14ac:dyDescent="0.3">
      <c r="A2559" s="4">
        <v>2557</v>
      </c>
      <c r="B2559" s="2" t="s">
        <v>407</v>
      </c>
      <c r="C2559" s="3">
        <v>44838</v>
      </c>
      <c r="D2559" s="3" t="str">
        <f>TEXT(Table1[[#This Row],[Admission Date]],"MMMM")</f>
        <v>October</v>
      </c>
      <c r="E2559" s="3">
        <v>44842</v>
      </c>
      <c r="F2559" s="3">
        <v>44842</v>
      </c>
      <c r="G2559" s="2">
        <v>22026125</v>
      </c>
      <c r="H2559" s="2">
        <v>2234530</v>
      </c>
      <c r="I2559" s="2">
        <v>10013461554</v>
      </c>
      <c r="J2559" s="2" t="s">
        <v>1556</v>
      </c>
      <c r="K2559" s="10">
        <v>28401</v>
      </c>
      <c r="L2559" s="10">
        <v>0</v>
      </c>
      <c r="M2559" s="10">
        <v>28401</v>
      </c>
      <c r="N2559" s="10">
        <v>0</v>
      </c>
      <c r="O2559" s="10">
        <f>Table1[[#This Row],[NET Amount]]-Table1[[#This Row],[Paid Amount]]</f>
        <v>28401</v>
      </c>
      <c r="P2559" s="2" t="s">
        <v>23</v>
      </c>
      <c r="Q2559" s="2" t="s">
        <v>24</v>
      </c>
      <c r="R2559" s="16">
        <f>(Table1[[#This Row],[NET Amount]]-Table1[[#This Row],[Total Outstanding Amount]])/Table1[[#This Row],[NET Amount]]</f>
        <v>0</v>
      </c>
      <c r="S2559" s="2" t="s">
        <v>20</v>
      </c>
    </row>
    <row r="2560" spans="1:19" x14ac:dyDescent="0.3">
      <c r="A2560" s="4">
        <v>2558</v>
      </c>
      <c r="B2560" s="2" t="s">
        <v>178</v>
      </c>
      <c r="C2560" s="3">
        <v>44857</v>
      </c>
      <c r="D2560" s="3" t="str">
        <f>TEXT(Table1[[#This Row],[Admission Date]],"MMMM")</f>
        <v>October</v>
      </c>
      <c r="E2560" s="3">
        <v>44857</v>
      </c>
      <c r="F2560" s="3">
        <v>44857</v>
      </c>
      <c r="G2560" s="2">
        <v>22028399</v>
      </c>
      <c r="H2560" s="2">
        <v>2237183</v>
      </c>
      <c r="I2560" s="2">
        <v>10013332282</v>
      </c>
      <c r="J2560" s="2" t="s">
        <v>415</v>
      </c>
      <c r="K2560" s="10">
        <v>2200</v>
      </c>
      <c r="L2560" s="10">
        <v>0</v>
      </c>
      <c r="M2560" s="10">
        <v>2200</v>
      </c>
      <c r="N2560" s="10">
        <v>0</v>
      </c>
      <c r="O2560" s="10">
        <f>Table1[[#This Row],[NET Amount]]-Table1[[#This Row],[Paid Amount]]</f>
        <v>2200</v>
      </c>
      <c r="P2560" s="2" t="s">
        <v>23</v>
      </c>
      <c r="Q2560" s="2" t="s">
        <v>147</v>
      </c>
      <c r="R2560" s="16">
        <f>(Table1[[#This Row],[NET Amount]]-Table1[[#This Row],[Total Outstanding Amount]])/Table1[[#This Row],[NET Amount]]</f>
        <v>0</v>
      </c>
      <c r="S2560" s="2" t="s">
        <v>97</v>
      </c>
    </row>
    <row r="2561" spans="1:19" x14ac:dyDescent="0.3">
      <c r="A2561" s="4">
        <v>2559</v>
      </c>
      <c r="B2561" s="2" t="s">
        <v>149</v>
      </c>
      <c r="C2561" s="3">
        <v>44845</v>
      </c>
      <c r="D2561" s="3" t="str">
        <f>TEXT(Table1[[#This Row],[Admission Date]],"MMMM")</f>
        <v>October</v>
      </c>
      <c r="E2561" s="3">
        <v>44845</v>
      </c>
      <c r="F2561" s="3">
        <v>44845</v>
      </c>
      <c r="G2561" s="2">
        <v>22026567</v>
      </c>
      <c r="H2561" s="2">
        <v>2235495</v>
      </c>
      <c r="I2561" s="2">
        <v>10013477952</v>
      </c>
      <c r="J2561" s="2" t="s">
        <v>781</v>
      </c>
      <c r="K2561" s="10">
        <v>2240</v>
      </c>
      <c r="L2561" s="10">
        <v>0</v>
      </c>
      <c r="M2561" s="10">
        <v>2240</v>
      </c>
      <c r="N2561" s="10">
        <v>0</v>
      </c>
      <c r="O2561" s="10">
        <f>Table1[[#This Row],[NET Amount]]-Table1[[#This Row],[Paid Amount]]</f>
        <v>2240</v>
      </c>
      <c r="P2561" s="2" t="s">
        <v>23</v>
      </c>
      <c r="Q2561" s="2" t="s">
        <v>54</v>
      </c>
      <c r="R2561" s="16">
        <f>(Table1[[#This Row],[NET Amount]]-Table1[[#This Row],[Total Outstanding Amount]])/Table1[[#This Row],[NET Amount]]</f>
        <v>0</v>
      </c>
      <c r="S2561" s="2" t="s">
        <v>97</v>
      </c>
    </row>
    <row r="2562" spans="1:19" x14ac:dyDescent="0.3">
      <c r="A2562" s="4">
        <v>2560</v>
      </c>
      <c r="B2562" s="2" t="s">
        <v>2258</v>
      </c>
      <c r="C2562" s="3">
        <v>44847</v>
      </c>
      <c r="D2562" s="3" t="str">
        <f>TEXT(Table1[[#This Row],[Admission Date]],"MMMM")</f>
        <v>October</v>
      </c>
      <c r="E2562" s="3">
        <v>44847</v>
      </c>
      <c r="F2562" s="3">
        <v>44847</v>
      </c>
      <c r="G2562" s="2">
        <v>22026927</v>
      </c>
      <c r="H2562" s="2">
        <v>2235847</v>
      </c>
      <c r="I2562" s="2">
        <v>1001797077</v>
      </c>
      <c r="J2562" s="2" t="s">
        <v>468</v>
      </c>
      <c r="K2562" s="10">
        <v>1610</v>
      </c>
      <c r="L2562" s="10">
        <v>0</v>
      </c>
      <c r="M2562" s="10">
        <v>1610</v>
      </c>
      <c r="N2562" s="10">
        <v>0</v>
      </c>
      <c r="O2562" s="10">
        <f>Table1[[#This Row],[NET Amount]]-Table1[[#This Row],[Paid Amount]]</f>
        <v>1610</v>
      </c>
      <c r="P2562" s="2" t="s">
        <v>23</v>
      </c>
      <c r="Q2562" s="2" t="s">
        <v>54</v>
      </c>
      <c r="R2562" s="16">
        <f>(Table1[[#This Row],[NET Amount]]-Table1[[#This Row],[Total Outstanding Amount]])/Table1[[#This Row],[NET Amount]]</f>
        <v>0</v>
      </c>
      <c r="S2562" s="2" t="s">
        <v>97</v>
      </c>
    </row>
    <row r="2563" spans="1:19" x14ac:dyDescent="0.3">
      <c r="A2563" s="4">
        <v>2561</v>
      </c>
      <c r="B2563" s="2" t="s">
        <v>75</v>
      </c>
      <c r="C2563" s="3">
        <v>44846</v>
      </c>
      <c r="D2563" s="3" t="str">
        <f>TEXT(Table1[[#This Row],[Admission Date]],"MMMM")</f>
        <v>October</v>
      </c>
      <c r="E2563" s="3">
        <v>44846</v>
      </c>
      <c r="F2563" s="3">
        <v>44846</v>
      </c>
      <c r="G2563" s="2">
        <v>22026657</v>
      </c>
      <c r="H2563" s="2">
        <v>2235642</v>
      </c>
      <c r="I2563" s="2">
        <v>10013373132</v>
      </c>
      <c r="J2563" s="2" t="s">
        <v>402</v>
      </c>
      <c r="K2563" s="10">
        <v>1610</v>
      </c>
      <c r="L2563" s="10">
        <v>0</v>
      </c>
      <c r="M2563" s="10">
        <v>1610</v>
      </c>
      <c r="N2563" s="10">
        <v>0</v>
      </c>
      <c r="O2563" s="10">
        <f>Table1[[#This Row],[NET Amount]]-Table1[[#This Row],[Paid Amount]]</f>
        <v>1610</v>
      </c>
      <c r="P2563" s="2" t="s">
        <v>23</v>
      </c>
      <c r="Q2563" s="2" t="s">
        <v>54</v>
      </c>
      <c r="R2563" s="16">
        <f>(Table1[[#This Row],[NET Amount]]-Table1[[#This Row],[Total Outstanding Amount]])/Table1[[#This Row],[NET Amount]]</f>
        <v>0</v>
      </c>
      <c r="S2563" s="2" t="s">
        <v>97</v>
      </c>
    </row>
    <row r="2564" spans="1:19" x14ac:dyDescent="0.3">
      <c r="A2564" s="4">
        <v>2562</v>
      </c>
      <c r="B2564" s="2" t="s">
        <v>380</v>
      </c>
      <c r="C2564" s="3">
        <v>44849</v>
      </c>
      <c r="D2564" s="3" t="str">
        <f>TEXT(Table1[[#This Row],[Admission Date]],"MMMM")</f>
        <v>October</v>
      </c>
      <c r="E2564" s="3">
        <v>44849</v>
      </c>
      <c r="F2564" s="3">
        <v>44849</v>
      </c>
      <c r="G2564" s="2">
        <v>22027216</v>
      </c>
      <c r="H2564" s="2">
        <v>2236142</v>
      </c>
      <c r="I2564" s="2">
        <v>10013347178</v>
      </c>
      <c r="J2564" s="2" t="s">
        <v>371</v>
      </c>
      <c r="K2564" s="10">
        <v>1274</v>
      </c>
      <c r="L2564" s="10">
        <v>0</v>
      </c>
      <c r="M2564" s="10">
        <v>1274</v>
      </c>
      <c r="N2564" s="10">
        <v>0</v>
      </c>
      <c r="O2564" s="10">
        <f>Table1[[#This Row],[NET Amount]]-Table1[[#This Row],[Paid Amount]]</f>
        <v>1274</v>
      </c>
      <c r="P2564" s="2" t="s">
        <v>23</v>
      </c>
      <c r="Q2564" s="2" t="s">
        <v>54</v>
      </c>
      <c r="R2564" s="16">
        <f>(Table1[[#This Row],[NET Amount]]-Table1[[#This Row],[Total Outstanding Amount]])/Table1[[#This Row],[NET Amount]]</f>
        <v>0</v>
      </c>
      <c r="S2564" s="2" t="s">
        <v>97</v>
      </c>
    </row>
    <row r="2565" spans="1:19" x14ac:dyDescent="0.3">
      <c r="A2565" s="4">
        <v>2563</v>
      </c>
      <c r="B2565" s="2" t="s">
        <v>2263</v>
      </c>
      <c r="C2565" s="3">
        <v>44838</v>
      </c>
      <c r="D2565" s="3" t="str">
        <f>TEXT(Table1[[#This Row],[Admission Date]],"MMMM")</f>
        <v>October</v>
      </c>
      <c r="E2565" s="3">
        <v>44838</v>
      </c>
      <c r="F2565" s="3">
        <v>44838</v>
      </c>
      <c r="G2565" s="2">
        <v>22025493</v>
      </c>
      <c r="H2565" s="2">
        <v>2234505</v>
      </c>
      <c r="I2565" s="2">
        <v>1001449196</v>
      </c>
      <c r="J2565" s="2" t="s">
        <v>398</v>
      </c>
      <c r="K2565" s="10">
        <v>1274</v>
      </c>
      <c r="L2565" s="10">
        <v>0</v>
      </c>
      <c r="M2565" s="10">
        <v>1274</v>
      </c>
      <c r="N2565" s="10">
        <v>0</v>
      </c>
      <c r="O2565" s="10">
        <f>Table1[[#This Row],[NET Amount]]-Table1[[#This Row],[Paid Amount]]</f>
        <v>1274</v>
      </c>
      <c r="P2565" s="2" t="s">
        <v>23</v>
      </c>
      <c r="Q2565" s="2" t="s">
        <v>54</v>
      </c>
      <c r="R2565" s="16">
        <f>(Table1[[#This Row],[NET Amount]]-Table1[[#This Row],[Total Outstanding Amount]])/Table1[[#This Row],[NET Amount]]</f>
        <v>0</v>
      </c>
      <c r="S2565" s="2" t="s">
        <v>97</v>
      </c>
    </row>
    <row r="2566" spans="1:19" x14ac:dyDescent="0.3">
      <c r="A2566" s="4">
        <v>2564</v>
      </c>
      <c r="B2566" s="2" t="s">
        <v>380</v>
      </c>
      <c r="C2566" s="3">
        <v>44854</v>
      </c>
      <c r="D2566" s="3" t="str">
        <f>TEXT(Table1[[#This Row],[Admission Date]],"MMMM")</f>
        <v>October</v>
      </c>
      <c r="E2566" s="3">
        <v>44854</v>
      </c>
      <c r="F2566" s="3">
        <v>44854</v>
      </c>
      <c r="G2566" s="2">
        <v>22027866</v>
      </c>
      <c r="H2566" s="2">
        <v>2236751</v>
      </c>
      <c r="I2566" s="2">
        <v>1000891036</v>
      </c>
      <c r="J2566" s="2" t="s">
        <v>399</v>
      </c>
      <c r="K2566" s="10">
        <v>1274</v>
      </c>
      <c r="L2566" s="10">
        <v>0</v>
      </c>
      <c r="M2566" s="10">
        <v>1274</v>
      </c>
      <c r="N2566" s="10">
        <v>0</v>
      </c>
      <c r="O2566" s="10">
        <f>Table1[[#This Row],[NET Amount]]-Table1[[#This Row],[Paid Amount]]</f>
        <v>1274</v>
      </c>
      <c r="P2566" s="2" t="s">
        <v>23</v>
      </c>
      <c r="Q2566" s="2" t="s">
        <v>54</v>
      </c>
      <c r="R2566" s="16">
        <f>(Table1[[#This Row],[NET Amount]]-Table1[[#This Row],[Total Outstanding Amount]])/Table1[[#This Row],[NET Amount]]</f>
        <v>0</v>
      </c>
      <c r="S2566" s="2" t="s">
        <v>97</v>
      </c>
    </row>
    <row r="2567" spans="1:19" x14ac:dyDescent="0.3">
      <c r="A2567" s="4">
        <v>2565</v>
      </c>
      <c r="B2567" s="2" t="s">
        <v>380</v>
      </c>
      <c r="C2567" s="3">
        <v>44835</v>
      </c>
      <c r="D2567" s="3" t="str">
        <f>TEXT(Table1[[#This Row],[Admission Date]],"MMMM")</f>
        <v>October</v>
      </c>
      <c r="E2567" s="3">
        <v>44835</v>
      </c>
      <c r="F2567" s="3">
        <v>44835</v>
      </c>
      <c r="G2567" s="2">
        <v>22025259</v>
      </c>
      <c r="H2567" s="2">
        <v>2234283</v>
      </c>
      <c r="I2567" s="2">
        <v>1000857532</v>
      </c>
      <c r="J2567" s="2" t="s">
        <v>416</v>
      </c>
      <c r="K2567" s="10">
        <v>1274</v>
      </c>
      <c r="L2567" s="10">
        <v>0</v>
      </c>
      <c r="M2567" s="10">
        <v>1274</v>
      </c>
      <c r="N2567" s="10">
        <v>0</v>
      </c>
      <c r="O2567" s="10">
        <f>Table1[[#This Row],[NET Amount]]-Table1[[#This Row],[Paid Amount]]</f>
        <v>1274</v>
      </c>
      <c r="P2567" s="2" t="s">
        <v>23</v>
      </c>
      <c r="Q2567" s="2" t="s">
        <v>54</v>
      </c>
      <c r="R2567" s="16">
        <f>(Table1[[#This Row],[NET Amount]]-Table1[[#This Row],[Total Outstanding Amount]])/Table1[[#This Row],[NET Amount]]</f>
        <v>0</v>
      </c>
      <c r="S2567" s="2" t="s">
        <v>97</v>
      </c>
    </row>
    <row r="2568" spans="1:19" x14ac:dyDescent="0.3">
      <c r="A2568" s="4">
        <v>2566</v>
      </c>
      <c r="B2568" s="2" t="s">
        <v>2253</v>
      </c>
      <c r="C2568" s="3">
        <v>44862</v>
      </c>
      <c r="D2568" s="3" t="str">
        <f>TEXT(Table1[[#This Row],[Admission Date]],"MMMM")</f>
        <v>October</v>
      </c>
      <c r="E2568" s="3">
        <v>44863</v>
      </c>
      <c r="F2568" s="3">
        <v>44863</v>
      </c>
      <c r="G2568" s="2">
        <v>22029140</v>
      </c>
      <c r="H2568" s="2">
        <v>2237780</v>
      </c>
      <c r="I2568" s="2">
        <v>1001805715</v>
      </c>
      <c r="J2568" s="2" t="s">
        <v>1557</v>
      </c>
      <c r="K2568" s="10">
        <v>8055</v>
      </c>
      <c r="L2568" s="10">
        <v>0</v>
      </c>
      <c r="M2568" s="10">
        <v>8055</v>
      </c>
      <c r="N2568" s="10">
        <v>0</v>
      </c>
      <c r="O2568" s="10">
        <f>Table1[[#This Row],[NET Amount]]-Table1[[#This Row],[Paid Amount]]</f>
        <v>8055</v>
      </c>
      <c r="P2568" s="2" t="s">
        <v>23</v>
      </c>
      <c r="Q2568" s="2" t="s">
        <v>24</v>
      </c>
      <c r="R2568" s="16">
        <f>(Table1[[#This Row],[NET Amount]]-Table1[[#This Row],[Total Outstanding Amount]])/Table1[[#This Row],[NET Amount]]</f>
        <v>0</v>
      </c>
      <c r="S2568" s="2" t="s">
        <v>39</v>
      </c>
    </row>
    <row r="2569" spans="1:19" x14ac:dyDescent="0.3">
      <c r="A2569" s="4">
        <v>2567</v>
      </c>
      <c r="B2569" s="2" t="s">
        <v>380</v>
      </c>
      <c r="C2569" s="3">
        <v>44855</v>
      </c>
      <c r="D2569" s="3" t="str">
        <f>TEXT(Table1[[#This Row],[Admission Date]],"MMMM")</f>
        <v>October</v>
      </c>
      <c r="E2569" s="3">
        <v>44855</v>
      </c>
      <c r="F2569" s="3">
        <v>44855</v>
      </c>
      <c r="G2569" s="2">
        <v>22028115</v>
      </c>
      <c r="H2569" s="2">
        <v>2236963</v>
      </c>
      <c r="I2569" s="2">
        <v>10013516483</v>
      </c>
      <c r="J2569" s="2" t="s">
        <v>812</v>
      </c>
      <c r="K2569" s="10">
        <v>1274</v>
      </c>
      <c r="L2569" s="10">
        <v>0</v>
      </c>
      <c r="M2569" s="10">
        <v>1274</v>
      </c>
      <c r="N2569" s="10">
        <v>0</v>
      </c>
      <c r="O2569" s="10">
        <f>Table1[[#This Row],[NET Amount]]-Table1[[#This Row],[Paid Amount]]</f>
        <v>1274</v>
      </c>
      <c r="P2569" s="2" t="s">
        <v>23</v>
      </c>
      <c r="Q2569" s="2" t="s">
        <v>54</v>
      </c>
      <c r="R2569" s="16">
        <f>(Table1[[#This Row],[NET Amount]]-Table1[[#This Row],[Total Outstanding Amount]])/Table1[[#This Row],[NET Amount]]</f>
        <v>0</v>
      </c>
      <c r="S2569" s="2" t="s">
        <v>97</v>
      </c>
    </row>
    <row r="2570" spans="1:19" x14ac:dyDescent="0.3">
      <c r="A2570" s="4">
        <v>2568</v>
      </c>
      <c r="B2570" s="2" t="s">
        <v>380</v>
      </c>
      <c r="C2570" s="3">
        <v>44857</v>
      </c>
      <c r="D2570" s="3" t="str">
        <f>TEXT(Table1[[#This Row],[Admission Date]],"MMMM")</f>
        <v>October</v>
      </c>
      <c r="E2570" s="3">
        <v>44857</v>
      </c>
      <c r="F2570" s="3">
        <v>44857</v>
      </c>
      <c r="G2570" s="2">
        <v>22028397</v>
      </c>
      <c r="H2570" s="2">
        <v>2237176</v>
      </c>
      <c r="I2570" s="2">
        <v>10013299539</v>
      </c>
      <c r="J2570" s="2" t="s">
        <v>487</v>
      </c>
      <c r="K2570" s="10">
        <v>1274</v>
      </c>
      <c r="L2570" s="10">
        <v>0</v>
      </c>
      <c r="M2570" s="10">
        <v>1274</v>
      </c>
      <c r="N2570" s="10">
        <v>0</v>
      </c>
      <c r="O2570" s="10">
        <f>Table1[[#This Row],[NET Amount]]-Table1[[#This Row],[Paid Amount]]</f>
        <v>1274</v>
      </c>
      <c r="P2570" s="2" t="s">
        <v>23</v>
      </c>
      <c r="Q2570" s="2" t="s">
        <v>54</v>
      </c>
      <c r="R2570" s="16">
        <f>(Table1[[#This Row],[NET Amount]]-Table1[[#This Row],[Total Outstanding Amount]])/Table1[[#This Row],[NET Amount]]</f>
        <v>0</v>
      </c>
      <c r="S2570" s="2" t="s">
        <v>97</v>
      </c>
    </row>
    <row r="2571" spans="1:19" x14ac:dyDescent="0.3">
      <c r="A2571" s="4">
        <v>2569</v>
      </c>
      <c r="B2571" s="2" t="s">
        <v>380</v>
      </c>
      <c r="C2571" s="3">
        <v>44835</v>
      </c>
      <c r="D2571" s="3" t="str">
        <f>TEXT(Table1[[#This Row],[Admission Date]],"MMMM")</f>
        <v>October</v>
      </c>
      <c r="E2571" s="3">
        <v>44835</v>
      </c>
      <c r="F2571" s="3">
        <v>44835</v>
      </c>
      <c r="G2571" s="2">
        <v>22025253</v>
      </c>
      <c r="H2571" s="2">
        <v>2234277</v>
      </c>
      <c r="I2571" s="2">
        <v>10013451090</v>
      </c>
      <c r="J2571" s="2" t="s">
        <v>808</v>
      </c>
      <c r="K2571" s="10">
        <v>1274</v>
      </c>
      <c r="L2571" s="10">
        <v>0</v>
      </c>
      <c r="M2571" s="10">
        <v>1274</v>
      </c>
      <c r="N2571" s="10">
        <v>0</v>
      </c>
      <c r="O2571" s="10">
        <f>Table1[[#This Row],[NET Amount]]-Table1[[#This Row],[Paid Amount]]</f>
        <v>1274</v>
      </c>
      <c r="P2571" s="2" t="s">
        <v>23</v>
      </c>
      <c r="Q2571" s="2" t="s">
        <v>54</v>
      </c>
      <c r="R2571" s="16">
        <f>(Table1[[#This Row],[NET Amount]]-Table1[[#This Row],[Total Outstanding Amount]])/Table1[[#This Row],[NET Amount]]</f>
        <v>0</v>
      </c>
      <c r="S2571" s="2" t="s">
        <v>97</v>
      </c>
    </row>
    <row r="2572" spans="1:19" x14ac:dyDescent="0.3">
      <c r="A2572" s="4">
        <v>2570</v>
      </c>
      <c r="B2572" s="2" t="s">
        <v>2258</v>
      </c>
      <c r="C2572" s="3">
        <v>44852</v>
      </c>
      <c r="D2572" s="3" t="str">
        <f>TEXT(Table1[[#This Row],[Admission Date]],"MMMM")</f>
        <v>October</v>
      </c>
      <c r="E2572" s="3">
        <v>44852</v>
      </c>
      <c r="F2572" s="3">
        <v>44852</v>
      </c>
      <c r="G2572" s="2">
        <v>22027589</v>
      </c>
      <c r="H2572" s="2">
        <v>2236499</v>
      </c>
      <c r="I2572" s="2">
        <v>1001765693</v>
      </c>
      <c r="J2572" s="2" t="s">
        <v>401</v>
      </c>
      <c r="K2572" s="10">
        <v>1610</v>
      </c>
      <c r="L2572" s="10">
        <v>0</v>
      </c>
      <c r="M2572" s="10">
        <v>1610</v>
      </c>
      <c r="N2572" s="10">
        <v>0</v>
      </c>
      <c r="O2572" s="10">
        <f>Table1[[#This Row],[NET Amount]]-Table1[[#This Row],[Paid Amount]]</f>
        <v>1610</v>
      </c>
      <c r="P2572" s="2" t="s">
        <v>23</v>
      </c>
      <c r="Q2572" s="2" t="s">
        <v>54</v>
      </c>
      <c r="R2572" s="16">
        <f>(Table1[[#This Row],[NET Amount]]-Table1[[#This Row],[Total Outstanding Amount]])/Table1[[#This Row],[NET Amount]]</f>
        <v>0</v>
      </c>
      <c r="S2572" s="2" t="s">
        <v>97</v>
      </c>
    </row>
    <row r="2573" spans="1:19" x14ac:dyDescent="0.3">
      <c r="A2573" s="4">
        <v>2571</v>
      </c>
      <c r="B2573" s="2" t="s">
        <v>2253</v>
      </c>
      <c r="C2573" s="3">
        <v>44863</v>
      </c>
      <c r="D2573" s="3" t="str">
        <f>TEXT(Table1[[#This Row],[Admission Date]],"MMMM")</f>
        <v>October</v>
      </c>
      <c r="E2573" s="3">
        <v>44863</v>
      </c>
      <c r="F2573" s="3">
        <v>44863</v>
      </c>
      <c r="G2573" s="2">
        <v>22029147</v>
      </c>
      <c r="H2573" s="2">
        <v>2238004</v>
      </c>
      <c r="I2573" s="2">
        <v>1001806801</v>
      </c>
      <c r="J2573" s="2" t="s">
        <v>1073</v>
      </c>
      <c r="K2573" s="10">
        <v>1610</v>
      </c>
      <c r="L2573" s="10">
        <v>0</v>
      </c>
      <c r="M2573" s="10">
        <v>1610</v>
      </c>
      <c r="N2573" s="10">
        <v>0</v>
      </c>
      <c r="O2573" s="10">
        <f>Table1[[#This Row],[NET Amount]]-Table1[[#This Row],[Paid Amount]]</f>
        <v>1610</v>
      </c>
      <c r="P2573" s="2" t="s">
        <v>23</v>
      </c>
      <c r="Q2573" s="2" t="s">
        <v>54</v>
      </c>
      <c r="R2573" s="16">
        <f>(Table1[[#This Row],[NET Amount]]-Table1[[#This Row],[Total Outstanding Amount]])/Table1[[#This Row],[NET Amount]]</f>
        <v>0</v>
      </c>
      <c r="S2573" s="2" t="s">
        <v>97</v>
      </c>
    </row>
    <row r="2574" spans="1:19" x14ac:dyDescent="0.3">
      <c r="A2574" s="4">
        <v>2572</v>
      </c>
      <c r="B2574" s="2" t="s">
        <v>2253</v>
      </c>
      <c r="C2574" s="3">
        <v>44851</v>
      </c>
      <c r="D2574" s="3" t="str">
        <f>TEXT(Table1[[#This Row],[Admission Date]],"MMMM")</f>
        <v>October</v>
      </c>
      <c r="E2574" s="3">
        <v>44851</v>
      </c>
      <c r="F2574" s="3">
        <v>44851</v>
      </c>
      <c r="G2574" s="2">
        <v>22027452</v>
      </c>
      <c r="H2574" s="2">
        <v>2236342</v>
      </c>
      <c r="I2574" s="2">
        <v>1001736024</v>
      </c>
      <c r="J2574" s="2" t="s">
        <v>442</v>
      </c>
      <c r="K2574" s="10">
        <v>1610</v>
      </c>
      <c r="L2574" s="10">
        <v>0</v>
      </c>
      <c r="M2574" s="10">
        <v>1610</v>
      </c>
      <c r="N2574" s="10">
        <v>0</v>
      </c>
      <c r="O2574" s="10">
        <f>Table1[[#This Row],[NET Amount]]-Table1[[#This Row],[Paid Amount]]</f>
        <v>1610</v>
      </c>
      <c r="P2574" s="2" t="s">
        <v>23</v>
      </c>
      <c r="Q2574" s="2" t="s">
        <v>54</v>
      </c>
      <c r="R2574" s="16">
        <f>(Table1[[#This Row],[NET Amount]]-Table1[[#This Row],[Total Outstanding Amount]])/Table1[[#This Row],[NET Amount]]</f>
        <v>0</v>
      </c>
      <c r="S2574" s="2" t="s">
        <v>97</v>
      </c>
    </row>
    <row r="2575" spans="1:19" x14ac:dyDescent="0.3">
      <c r="A2575" s="4">
        <v>2573</v>
      </c>
      <c r="B2575" s="2" t="s">
        <v>380</v>
      </c>
      <c r="C2575" s="3">
        <v>44860</v>
      </c>
      <c r="D2575" s="3" t="str">
        <f>TEXT(Table1[[#This Row],[Admission Date]],"MMMM")</f>
        <v>October</v>
      </c>
      <c r="E2575" s="3">
        <v>44860</v>
      </c>
      <c r="F2575" s="3">
        <v>44860</v>
      </c>
      <c r="G2575" s="2">
        <v>22028692</v>
      </c>
      <c r="H2575" s="2">
        <v>2237544</v>
      </c>
      <c r="I2575" s="2">
        <v>1001188488</v>
      </c>
      <c r="J2575" s="2" t="s">
        <v>297</v>
      </c>
      <c r="K2575" s="10">
        <v>1274</v>
      </c>
      <c r="L2575" s="10">
        <v>0</v>
      </c>
      <c r="M2575" s="10">
        <v>1274</v>
      </c>
      <c r="N2575" s="10">
        <v>0</v>
      </c>
      <c r="O2575" s="10">
        <f>Table1[[#This Row],[NET Amount]]-Table1[[#This Row],[Paid Amount]]</f>
        <v>1274</v>
      </c>
      <c r="P2575" s="2" t="s">
        <v>23</v>
      </c>
      <c r="Q2575" s="2" t="s">
        <v>54</v>
      </c>
      <c r="R2575" s="16">
        <f>(Table1[[#This Row],[NET Amount]]-Table1[[#This Row],[Total Outstanding Amount]])/Table1[[#This Row],[NET Amount]]</f>
        <v>0</v>
      </c>
      <c r="S2575" s="2" t="s">
        <v>97</v>
      </c>
    </row>
    <row r="2576" spans="1:19" x14ac:dyDescent="0.3">
      <c r="A2576" s="4">
        <v>2574</v>
      </c>
      <c r="B2576" s="2" t="s">
        <v>2253</v>
      </c>
      <c r="C2576" s="3">
        <v>44856</v>
      </c>
      <c r="D2576" s="3" t="str">
        <f>TEXT(Table1[[#This Row],[Admission Date]],"MMMM")</f>
        <v>October</v>
      </c>
      <c r="E2576" s="3">
        <v>44856</v>
      </c>
      <c r="F2576" s="3">
        <v>44856</v>
      </c>
      <c r="G2576" s="2">
        <v>22028146</v>
      </c>
      <c r="H2576" s="2">
        <v>2236996</v>
      </c>
      <c r="I2576" s="2">
        <v>1001722362</v>
      </c>
      <c r="J2576" s="2" t="s">
        <v>418</v>
      </c>
      <c r="K2576" s="10">
        <v>1610</v>
      </c>
      <c r="L2576" s="10">
        <v>0</v>
      </c>
      <c r="M2576" s="10">
        <v>1610</v>
      </c>
      <c r="N2576" s="10">
        <v>0</v>
      </c>
      <c r="O2576" s="10">
        <f>Table1[[#This Row],[NET Amount]]-Table1[[#This Row],[Paid Amount]]</f>
        <v>1610</v>
      </c>
      <c r="P2576" s="2" t="s">
        <v>23</v>
      </c>
      <c r="Q2576" s="2" t="s">
        <v>54</v>
      </c>
      <c r="R2576" s="16">
        <f>(Table1[[#This Row],[NET Amount]]-Table1[[#This Row],[Total Outstanding Amount]])/Table1[[#This Row],[NET Amount]]</f>
        <v>0</v>
      </c>
      <c r="S2576" s="2" t="s">
        <v>97</v>
      </c>
    </row>
    <row r="2577" spans="1:19" x14ac:dyDescent="0.3">
      <c r="A2577" s="4">
        <v>2575</v>
      </c>
      <c r="B2577" s="2" t="s">
        <v>380</v>
      </c>
      <c r="C2577" s="3">
        <v>44865</v>
      </c>
      <c r="D2577" s="3" t="str">
        <f>TEXT(Table1[[#This Row],[Admission Date]],"MMMM")</f>
        <v>October</v>
      </c>
      <c r="E2577" s="3">
        <v>44865</v>
      </c>
      <c r="F2577" s="3">
        <v>44865</v>
      </c>
      <c r="G2577" s="2">
        <v>22029394</v>
      </c>
      <c r="H2577" s="2">
        <v>2238275</v>
      </c>
      <c r="I2577" s="2">
        <v>10013371548</v>
      </c>
      <c r="J2577" s="2" t="s">
        <v>482</v>
      </c>
      <c r="K2577" s="10">
        <v>1274</v>
      </c>
      <c r="L2577" s="10">
        <v>0</v>
      </c>
      <c r="M2577" s="10">
        <v>1274</v>
      </c>
      <c r="N2577" s="10">
        <v>0</v>
      </c>
      <c r="O2577" s="10">
        <f>Table1[[#This Row],[NET Amount]]-Table1[[#This Row],[Paid Amount]]</f>
        <v>1274</v>
      </c>
      <c r="P2577" s="2" t="s">
        <v>23</v>
      </c>
      <c r="Q2577" s="2" t="s">
        <v>54</v>
      </c>
      <c r="R2577" s="16">
        <f>(Table1[[#This Row],[NET Amount]]-Table1[[#This Row],[Total Outstanding Amount]])/Table1[[#This Row],[NET Amount]]</f>
        <v>0</v>
      </c>
      <c r="S2577" s="2" t="s">
        <v>97</v>
      </c>
    </row>
    <row r="2578" spans="1:19" x14ac:dyDescent="0.3">
      <c r="A2578" s="4">
        <v>2576</v>
      </c>
      <c r="B2578" s="2" t="s">
        <v>407</v>
      </c>
      <c r="C2578" s="3">
        <v>44843</v>
      </c>
      <c r="D2578" s="3" t="str">
        <f>TEXT(Table1[[#This Row],[Admission Date]],"MMMM")</f>
        <v>October</v>
      </c>
      <c r="E2578" s="3">
        <v>44844</v>
      </c>
      <c r="F2578" s="3">
        <v>44844</v>
      </c>
      <c r="G2578" s="2">
        <v>22026449</v>
      </c>
      <c r="H2578" s="2">
        <v>2235282</v>
      </c>
      <c r="I2578" s="2">
        <v>10013540469</v>
      </c>
      <c r="J2578" s="2" t="s">
        <v>1558</v>
      </c>
      <c r="K2578" s="10">
        <v>3838</v>
      </c>
      <c r="L2578" s="10">
        <v>0</v>
      </c>
      <c r="M2578" s="10">
        <v>3838</v>
      </c>
      <c r="N2578" s="10">
        <v>0</v>
      </c>
      <c r="O2578" s="10">
        <f>Table1[[#This Row],[NET Amount]]-Table1[[#This Row],[Paid Amount]]</f>
        <v>3838</v>
      </c>
      <c r="P2578" s="2" t="s">
        <v>23</v>
      </c>
      <c r="Q2578" s="2" t="s">
        <v>24</v>
      </c>
      <c r="R2578" s="16">
        <f>(Table1[[#This Row],[NET Amount]]-Table1[[#This Row],[Total Outstanding Amount]])/Table1[[#This Row],[NET Amount]]</f>
        <v>0</v>
      </c>
      <c r="S2578" s="2" t="s">
        <v>27</v>
      </c>
    </row>
    <row r="2579" spans="1:19" x14ac:dyDescent="0.3">
      <c r="A2579" s="4">
        <v>2577</v>
      </c>
      <c r="B2579" s="2" t="s">
        <v>2253</v>
      </c>
      <c r="C2579" s="3">
        <v>44844</v>
      </c>
      <c r="D2579" s="3" t="str">
        <f>TEXT(Table1[[#This Row],[Admission Date]],"MMMM")</f>
        <v>October</v>
      </c>
      <c r="E2579" s="3">
        <v>44844</v>
      </c>
      <c r="F2579" s="3">
        <v>44844</v>
      </c>
      <c r="G2579" s="2">
        <v>22026347</v>
      </c>
      <c r="H2579" s="2">
        <v>2235344</v>
      </c>
      <c r="I2579" s="2">
        <v>1001801530</v>
      </c>
      <c r="J2579" s="2" t="s">
        <v>392</v>
      </c>
      <c r="K2579" s="10">
        <v>1610</v>
      </c>
      <c r="L2579" s="10">
        <v>0</v>
      </c>
      <c r="M2579" s="10">
        <v>1610</v>
      </c>
      <c r="N2579" s="10">
        <v>0</v>
      </c>
      <c r="O2579" s="10">
        <f>Table1[[#This Row],[NET Amount]]-Table1[[#This Row],[Paid Amount]]</f>
        <v>1610</v>
      </c>
      <c r="P2579" s="2" t="s">
        <v>23</v>
      </c>
      <c r="Q2579" s="2" t="s">
        <v>54</v>
      </c>
      <c r="R2579" s="16">
        <f>(Table1[[#This Row],[NET Amount]]-Table1[[#This Row],[Total Outstanding Amount]])/Table1[[#This Row],[NET Amount]]</f>
        <v>0</v>
      </c>
      <c r="S2579" s="2" t="s">
        <v>97</v>
      </c>
    </row>
    <row r="2580" spans="1:19" x14ac:dyDescent="0.3">
      <c r="A2580" s="4">
        <v>2578</v>
      </c>
      <c r="B2580" s="2" t="s">
        <v>2263</v>
      </c>
      <c r="C2580" s="3">
        <v>44841</v>
      </c>
      <c r="D2580" s="3" t="str">
        <f>TEXT(Table1[[#This Row],[Admission Date]],"MMMM")</f>
        <v>October</v>
      </c>
      <c r="E2580" s="3">
        <v>44841</v>
      </c>
      <c r="F2580" s="3">
        <v>44841</v>
      </c>
      <c r="G2580" s="2">
        <v>22026053</v>
      </c>
      <c r="H2580" s="2">
        <v>2235085</v>
      </c>
      <c r="I2580" s="2">
        <v>1001684202</v>
      </c>
      <c r="J2580" s="2" t="s">
        <v>446</v>
      </c>
      <c r="K2580" s="10">
        <v>1274</v>
      </c>
      <c r="L2580" s="10">
        <v>0</v>
      </c>
      <c r="M2580" s="10">
        <v>1274</v>
      </c>
      <c r="N2580" s="10">
        <v>0</v>
      </c>
      <c r="O2580" s="10">
        <f>Table1[[#This Row],[NET Amount]]-Table1[[#This Row],[Paid Amount]]</f>
        <v>1274</v>
      </c>
      <c r="P2580" s="2" t="s">
        <v>23</v>
      </c>
      <c r="Q2580" s="2" t="s">
        <v>54</v>
      </c>
      <c r="R2580" s="16">
        <f>(Table1[[#This Row],[NET Amount]]-Table1[[#This Row],[Total Outstanding Amount]])/Table1[[#This Row],[NET Amount]]</f>
        <v>0</v>
      </c>
      <c r="S2580" s="2" t="s">
        <v>97</v>
      </c>
    </row>
    <row r="2581" spans="1:19" x14ac:dyDescent="0.3">
      <c r="A2581" s="4">
        <v>2579</v>
      </c>
      <c r="B2581" s="2" t="s">
        <v>380</v>
      </c>
      <c r="C2581" s="3">
        <v>44842</v>
      </c>
      <c r="D2581" s="3" t="str">
        <f>TEXT(Table1[[#This Row],[Admission Date]],"MMMM")</f>
        <v>October</v>
      </c>
      <c r="E2581" s="3">
        <v>44842</v>
      </c>
      <c r="F2581" s="3">
        <v>44842</v>
      </c>
      <c r="G2581" s="2">
        <v>22026130</v>
      </c>
      <c r="H2581" s="2">
        <v>2235144</v>
      </c>
      <c r="I2581" s="2">
        <v>10013436995</v>
      </c>
      <c r="J2581" s="2" t="s">
        <v>794</v>
      </c>
      <c r="K2581" s="10">
        <v>1274</v>
      </c>
      <c r="L2581" s="10">
        <v>0</v>
      </c>
      <c r="M2581" s="10">
        <v>1274</v>
      </c>
      <c r="N2581" s="10">
        <v>0</v>
      </c>
      <c r="O2581" s="10">
        <f>Table1[[#This Row],[NET Amount]]-Table1[[#This Row],[Paid Amount]]</f>
        <v>1274</v>
      </c>
      <c r="P2581" s="2" t="s">
        <v>23</v>
      </c>
      <c r="Q2581" s="2" t="s">
        <v>54</v>
      </c>
      <c r="R2581" s="16">
        <f>(Table1[[#This Row],[NET Amount]]-Table1[[#This Row],[Total Outstanding Amount]])/Table1[[#This Row],[NET Amount]]</f>
        <v>0</v>
      </c>
      <c r="S2581" s="2" t="s">
        <v>97</v>
      </c>
    </row>
    <row r="2582" spans="1:19" x14ac:dyDescent="0.3">
      <c r="A2582" s="4">
        <v>2580</v>
      </c>
      <c r="B2582" s="2" t="s">
        <v>178</v>
      </c>
      <c r="C2582" s="3">
        <v>44863</v>
      </c>
      <c r="D2582" s="3" t="str">
        <f>TEXT(Table1[[#This Row],[Admission Date]],"MMMM")</f>
        <v>October</v>
      </c>
      <c r="E2582" s="3">
        <v>44863</v>
      </c>
      <c r="F2582" s="3">
        <v>44863</v>
      </c>
      <c r="G2582" s="2">
        <v>22029078</v>
      </c>
      <c r="H2582" s="2">
        <v>2237959</v>
      </c>
      <c r="I2582" s="2">
        <v>10013469159</v>
      </c>
      <c r="J2582" s="2" t="s">
        <v>790</v>
      </c>
      <c r="K2582" s="10">
        <v>2200</v>
      </c>
      <c r="L2582" s="10">
        <v>0</v>
      </c>
      <c r="M2582" s="10">
        <v>2200</v>
      </c>
      <c r="N2582" s="10">
        <v>0</v>
      </c>
      <c r="O2582" s="10">
        <f>Table1[[#This Row],[NET Amount]]-Table1[[#This Row],[Paid Amount]]</f>
        <v>2200</v>
      </c>
      <c r="P2582" s="2" t="s">
        <v>23</v>
      </c>
      <c r="Q2582" s="2" t="s">
        <v>147</v>
      </c>
      <c r="R2582" s="16">
        <f>(Table1[[#This Row],[NET Amount]]-Table1[[#This Row],[Total Outstanding Amount]])/Table1[[#This Row],[NET Amount]]</f>
        <v>0</v>
      </c>
      <c r="S2582" s="2" t="s">
        <v>97</v>
      </c>
    </row>
    <row r="2583" spans="1:19" x14ac:dyDescent="0.3">
      <c r="A2583" s="4">
        <v>2581</v>
      </c>
      <c r="B2583" s="2" t="s">
        <v>2263</v>
      </c>
      <c r="C2583" s="3">
        <v>44839</v>
      </c>
      <c r="D2583" s="3" t="str">
        <f>TEXT(Table1[[#This Row],[Admission Date]],"MMMM")</f>
        <v>October</v>
      </c>
      <c r="E2583" s="3">
        <v>44839</v>
      </c>
      <c r="F2583" s="3">
        <v>44839</v>
      </c>
      <c r="G2583" s="2">
        <v>22025664</v>
      </c>
      <c r="H2583" s="2">
        <v>2234696</v>
      </c>
      <c r="I2583" s="2">
        <v>1001678600</v>
      </c>
      <c r="J2583" s="2" t="s">
        <v>413</v>
      </c>
      <c r="K2583" s="10">
        <v>1274</v>
      </c>
      <c r="L2583" s="10">
        <v>0</v>
      </c>
      <c r="M2583" s="10">
        <v>1274</v>
      </c>
      <c r="N2583" s="10">
        <v>0</v>
      </c>
      <c r="O2583" s="10">
        <f>Table1[[#This Row],[NET Amount]]-Table1[[#This Row],[Paid Amount]]</f>
        <v>1274</v>
      </c>
      <c r="P2583" s="2" t="s">
        <v>23</v>
      </c>
      <c r="Q2583" s="2" t="s">
        <v>54</v>
      </c>
      <c r="R2583" s="16">
        <f>(Table1[[#This Row],[NET Amount]]-Table1[[#This Row],[Total Outstanding Amount]])/Table1[[#This Row],[NET Amount]]</f>
        <v>0</v>
      </c>
      <c r="S2583" s="2" t="s">
        <v>97</v>
      </c>
    </row>
    <row r="2584" spans="1:19" x14ac:dyDescent="0.3">
      <c r="A2584" s="4">
        <v>2582</v>
      </c>
      <c r="B2584" s="2" t="s">
        <v>380</v>
      </c>
      <c r="C2584" s="3">
        <v>44863</v>
      </c>
      <c r="D2584" s="3" t="str">
        <f>TEXT(Table1[[#This Row],[Admission Date]],"MMMM")</f>
        <v>October</v>
      </c>
      <c r="E2584" s="3">
        <v>44863</v>
      </c>
      <c r="F2584" s="3">
        <v>44863</v>
      </c>
      <c r="G2584" s="2">
        <v>22029113</v>
      </c>
      <c r="H2584" s="2">
        <v>2237962</v>
      </c>
      <c r="I2584" s="2">
        <v>1000933464</v>
      </c>
      <c r="J2584" s="2" t="s">
        <v>437</v>
      </c>
      <c r="K2584" s="10">
        <v>1274</v>
      </c>
      <c r="L2584" s="10">
        <v>0</v>
      </c>
      <c r="M2584" s="10">
        <v>1274</v>
      </c>
      <c r="N2584" s="10">
        <v>0</v>
      </c>
      <c r="O2584" s="10">
        <f>Table1[[#This Row],[NET Amount]]-Table1[[#This Row],[Paid Amount]]</f>
        <v>1274</v>
      </c>
      <c r="P2584" s="2" t="s">
        <v>23</v>
      </c>
      <c r="Q2584" s="2" t="s">
        <v>54</v>
      </c>
      <c r="R2584" s="16">
        <f>(Table1[[#This Row],[NET Amount]]-Table1[[#This Row],[Total Outstanding Amount]])/Table1[[#This Row],[NET Amount]]</f>
        <v>0</v>
      </c>
      <c r="S2584" s="2" t="s">
        <v>97</v>
      </c>
    </row>
    <row r="2585" spans="1:19" x14ac:dyDescent="0.3">
      <c r="A2585" s="4">
        <v>2583</v>
      </c>
      <c r="B2585" s="2" t="s">
        <v>380</v>
      </c>
      <c r="C2585" s="3">
        <v>44857</v>
      </c>
      <c r="D2585" s="3" t="str">
        <f>TEXT(Table1[[#This Row],[Admission Date]],"MMMM")</f>
        <v>October</v>
      </c>
      <c r="E2585" s="3">
        <v>44857</v>
      </c>
      <c r="F2585" s="3">
        <v>44857</v>
      </c>
      <c r="G2585" s="2">
        <v>22028395</v>
      </c>
      <c r="H2585" s="2">
        <v>2237178</v>
      </c>
      <c r="I2585" s="2">
        <v>10013513950</v>
      </c>
      <c r="J2585" s="2" t="s">
        <v>491</v>
      </c>
      <c r="K2585" s="10">
        <v>1274</v>
      </c>
      <c r="L2585" s="10">
        <v>0</v>
      </c>
      <c r="M2585" s="10">
        <v>1274</v>
      </c>
      <c r="N2585" s="10">
        <v>0</v>
      </c>
      <c r="O2585" s="10">
        <f>Table1[[#This Row],[NET Amount]]-Table1[[#This Row],[Paid Amount]]</f>
        <v>1274</v>
      </c>
      <c r="P2585" s="2" t="s">
        <v>23</v>
      </c>
      <c r="Q2585" s="2" t="s">
        <v>54</v>
      </c>
      <c r="R2585" s="16">
        <f>(Table1[[#This Row],[NET Amount]]-Table1[[#This Row],[Total Outstanding Amount]])/Table1[[#This Row],[NET Amount]]</f>
        <v>0</v>
      </c>
      <c r="S2585" s="2" t="s">
        <v>97</v>
      </c>
    </row>
    <row r="2586" spans="1:19" x14ac:dyDescent="0.3">
      <c r="A2586" s="4">
        <v>2584</v>
      </c>
      <c r="B2586" s="2" t="s">
        <v>2285</v>
      </c>
      <c r="C2586" s="3">
        <v>44861</v>
      </c>
      <c r="D2586" s="3" t="str">
        <f>TEXT(Table1[[#This Row],[Admission Date]],"MMMM")</f>
        <v>October</v>
      </c>
      <c r="E2586" s="3">
        <v>44864</v>
      </c>
      <c r="F2586" s="3">
        <v>44864</v>
      </c>
      <c r="G2586" s="2">
        <v>22029223</v>
      </c>
      <c r="H2586" s="2">
        <v>2237724</v>
      </c>
      <c r="I2586" s="2">
        <v>1001806655</v>
      </c>
      <c r="J2586" s="2" t="s">
        <v>1559</v>
      </c>
      <c r="K2586" s="10">
        <v>37868</v>
      </c>
      <c r="L2586" s="10">
        <v>2363</v>
      </c>
      <c r="M2586" s="10">
        <v>35505</v>
      </c>
      <c r="N2586" s="10">
        <v>0</v>
      </c>
      <c r="O2586" s="10">
        <f>Table1[[#This Row],[NET Amount]]-Table1[[#This Row],[Paid Amount]]</f>
        <v>35505</v>
      </c>
      <c r="P2586" s="2" t="s">
        <v>23</v>
      </c>
      <c r="Q2586" s="2" t="s">
        <v>42</v>
      </c>
      <c r="R2586" s="16">
        <f>(Table1[[#This Row],[NET Amount]]-Table1[[#This Row],[Total Outstanding Amount]])/Table1[[#This Row],[NET Amount]]</f>
        <v>0</v>
      </c>
      <c r="S2586" s="2" t="s">
        <v>37</v>
      </c>
    </row>
    <row r="2587" spans="1:19" x14ac:dyDescent="0.3">
      <c r="A2587" s="4">
        <v>2585</v>
      </c>
      <c r="B2587" s="2" t="s">
        <v>380</v>
      </c>
      <c r="C2587" s="3">
        <v>44845</v>
      </c>
      <c r="D2587" s="3" t="str">
        <f>TEXT(Table1[[#This Row],[Admission Date]],"MMMM")</f>
        <v>October</v>
      </c>
      <c r="E2587" s="3">
        <v>44845</v>
      </c>
      <c r="F2587" s="3">
        <v>44845</v>
      </c>
      <c r="G2587" s="2">
        <v>22026639</v>
      </c>
      <c r="H2587" s="2">
        <v>2235614</v>
      </c>
      <c r="I2587" s="2">
        <v>1000891355</v>
      </c>
      <c r="J2587" s="2" t="s">
        <v>792</v>
      </c>
      <c r="K2587" s="10">
        <v>1274</v>
      </c>
      <c r="L2587" s="10">
        <v>0</v>
      </c>
      <c r="M2587" s="10">
        <v>1274</v>
      </c>
      <c r="N2587" s="10">
        <v>0</v>
      </c>
      <c r="O2587" s="10">
        <f>Table1[[#This Row],[NET Amount]]-Table1[[#This Row],[Paid Amount]]</f>
        <v>1274</v>
      </c>
      <c r="P2587" s="2" t="s">
        <v>23</v>
      </c>
      <c r="Q2587" s="2" t="s">
        <v>54</v>
      </c>
      <c r="R2587" s="16">
        <f>(Table1[[#This Row],[NET Amount]]-Table1[[#This Row],[Total Outstanding Amount]])/Table1[[#This Row],[NET Amount]]</f>
        <v>0</v>
      </c>
      <c r="S2587" s="2" t="s">
        <v>97</v>
      </c>
    </row>
    <row r="2588" spans="1:19" x14ac:dyDescent="0.3">
      <c r="A2588" s="4">
        <v>2586</v>
      </c>
      <c r="B2588" s="2" t="s">
        <v>380</v>
      </c>
      <c r="C2588" s="3">
        <v>44841</v>
      </c>
      <c r="D2588" s="3" t="str">
        <f>TEXT(Table1[[#This Row],[Admission Date]],"MMMM")</f>
        <v>October</v>
      </c>
      <c r="E2588" s="3">
        <v>44841</v>
      </c>
      <c r="F2588" s="3">
        <v>44841</v>
      </c>
      <c r="G2588" s="2">
        <v>22026034</v>
      </c>
      <c r="H2588" s="2">
        <v>2235056</v>
      </c>
      <c r="I2588" s="2">
        <v>10013299539</v>
      </c>
      <c r="J2588" s="2" t="s">
        <v>487</v>
      </c>
      <c r="K2588" s="10">
        <v>1274</v>
      </c>
      <c r="L2588" s="10">
        <v>0</v>
      </c>
      <c r="M2588" s="10">
        <v>1274</v>
      </c>
      <c r="N2588" s="10">
        <v>0</v>
      </c>
      <c r="O2588" s="10">
        <f>Table1[[#This Row],[NET Amount]]-Table1[[#This Row],[Paid Amount]]</f>
        <v>1274</v>
      </c>
      <c r="P2588" s="2" t="s">
        <v>23</v>
      </c>
      <c r="Q2588" s="2" t="s">
        <v>54</v>
      </c>
      <c r="R2588" s="16">
        <f>(Table1[[#This Row],[NET Amount]]-Table1[[#This Row],[Total Outstanding Amount]])/Table1[[#This Row],[NET Amount]]</f>
        <v>0</v>
      </c>
      <c r="S2588" s="2" t="s">
        <v>97</v>
      </c>
    </row>
    <row r="2589" spans="1:19" x14ac:dyDescent="0.3">
      <c r="A2589" s="4">
        <v>2587</v>
      </c>
      <c r="B2589" s="2" t="s">
        <v>45</v>
      </c>
      <c r="C2589" s="3">
        <v>44838</v>
      </c>
      <c r="D2589" s="3" t="str">
        <f>TEXT(Table1[[#This Row],[Admission Date]],"MMMM")</f>
        <v>October</v>
      </c>
      <c r="E2589" s="3">
        <v>44838</v>
      </c>
      <c r="F2589" s="3">
        <v>44838</v>
      </c>
      <c r="G2589" s="2">
        <v>22025478</v>
      </c>
      <c r="H2589" s="2">
        <v>2234515</v>
      </c>
      <c r="I2589" s="2">
        <v>1000992104</v>
      </c>
      <c r="J2589" s="2" t="s">
        <v>1062</v>
      </c>
      <c r="K2589" s="10">
        <v>2200</v>
      </c>
      <c r="L2589" s="10">
        <v>0</v>
      </c>
      <c r="M2589" s="10">
        <v>2200</v>
      </c>
      <c r="N2589" s="10">
        <v>0</v>
      </c>
      <c r="O2589" s="10">
        <f>Table1[[#This Row],[NET Amount]]-Table1[[#This Row],[Paid Amount]]</f>
        <v>2200</v>
      </c>
      <c r="P2589" s="2" t="s">
        <v>23</v>
      </c>
      <c r="Q2589" s="2" t="s">
        <v>147</v>
      </c>
      <c r="R2589" s="16">
        <f>(Table1[[#This Row],[NET Amount]]-Table1[[#This Row],[Total Outstanding Amount]])/Table1[[#This Row],[NET Amount]]</f>
        <v>0</v>
      </c>
      <c r="S2589" s="2" t="s">
        <v>97</v>
      </c>
    </row>
    <row r="2590" spans="1:19" x14ac:dyDescent="0.3">
      <c r="A2590" s="4">
        <v>2588</v>
      </c>
      <c r="B2590" s="2" t="s">
        <v>2258</v>
      </c>
      <c r="C2590" s="3">
        <v>44848</v>
      </c>
      <c r="D2590" s="3" t="str">
        <f>TEXT(Table1[[#This Row],[Admission Date]],"MMMM")</f>
        <v>October</v>
      </c>
      <c r="E2590" s="3">
        <v>44848</v>
      </c>
      <c r="F2590" s="3">
        <v>44848</v>
      </c>
      <c r="G2590" s="2">
        <v>22027059</v>
      </c>
      <c r="H2590" s="2">
        <v>2235974</v>
      </c>
      <c r="I2590" s="2">
        <v>1001765693</v>
      </c>
      <c r="J2590" s="2" t="s">
        <v>401</v>
      </c>
      <c r="K2590" s="10">
        <v>1610</v>
      </c>
      <c r="L2590" s="10">
        <v>0</v>
      </c>
      <c r="M2590" s="10">
        <v>1610</v>
      </c>
      <c r="N2590" s="10">
        <v>0</v>
      </c>
      <c r="O2590" s="10">
        <f>Table1[[#This Row],[NET Amount]]-Table1[[#This Row],[Paid Amount]]</f>
        <v>1610</v>
      </c>
      <c r="P2590" s="2" t="s">
        <v>23</v>
      </c>
      <c r="Q2590" s="2" t="s">
        <v>54</v>
      </c>
      <c r="R2590" s="16">
        <f>(Table1[[#This Row],[NET Amount]]-Table1[[#This Row],[Total Outstanding Amount]])/Table1[[#This Row],[NET Amount]]</f>
        <v>0</v>
      </c>
      <c r="S2590" s="2" t="s">
        <v>97</v>
      </c>
    </row>
    <row r="2591" spans="1:19" x14ac:dyDescent="0.3">
      <c r="A2591" s="4">
        <v>2589</v>
      </c>
      <c r="B2591" s="2" t="s">
        <v>380</v>
      </c>
      <c r="C2591" s="3">
        <v>44856</v>
      </c>
      <c r="D2591" s="3" t="str">
        <f>TEXT(Table1[[#This Row],[Admission Date]],"MMMM")</f>
        <v>October</v>
      </c>
      <c r="E2591" s="3">
        <v>44856</v>
      </c>
      <c r="F2591" s="3">
        <v>44856</v>
      </c>
      <c r="G2591" s="2">
        <v>22028270</v>
      </c>
      <c r="H2591" s="2">
        <v>2237073</v>
      </c>
      <c r="I2591" s="2">
        <v>10013506167</v>
      </c>
      <c r="J2591" s="2" t="s">
        <v>467</v>
      </c>
      <c r="K2591" s="10">
        <v>1274</v>
      </c>
      <c r="L2591" s="10">
        <v>0</v>
      </c>
      <c r="M2591" s="10">
        <v>1274</v>
      </c>
      <c r="N2591" s="10">
        <v>0</v>
      </c>
      <c r="O2591" s="10">
        <f>Table1[[#This Row],[NET Amount]]-Table1[[#This Row],[Paid Amount]]</f>
        <v>1274</v>
      </c>
      <c r="P2591" s="2" t="s">
        <v>23</v>
      </c>
      <c r="Q2591" s="2" t="s">
        <v>54</v>
      </c>
      <c r="R2591" s="16">
        <f>(Table1[[#This Row],[NET Amount]]-Table1[[#This Row],[Total Outstanding Amount]])/Table1[[#This Row],[NET Amount]]</f>
        <v>0</v>
      </c>
      <c r="S2591" s="2" t="s">
        <v>97</v>
      </c>
    </row>
    <row r="2592" spans="1:19" x14ac:dyDescent="0.3">
      <c r="A2592" s="4">
        <v>2590</v>
      </c>
      <c r="B2592" s="2" t="s">
        <v>380</v>
      </c>
      <c r="C2592" s="3">
        <v>44861</v>
      </c>
      <c r="D2592" s="3" t="str">
        <f>TEXT(Table1[[#This Row],[Admission Date]],"MMMM")</f>
        <v>October</v>
      </c>
      <c r="E2592" s="3">
        <v>44861</v>
      </c>
      <c r="F2592" s="3">
        <v>44861</v>
      </c>
      <c r="G2592" s="2">
        <v>22028719</v>
      </c>
      <c r="H2592" s="2">
        <v>2237612</v>
      </c>
      <c r="I2592" s="2">
        <v>1000891036</v>
      </c>
      <c r="J2592" s="2" t="s">
        <v>399</v>
      </c>
      <c r="K2592" s="10">
        <v>1274</v>
      </c>
      <c r="L2592" s="10">
        <v>0</v>
      </c>
      <c r="M2592" s="10">
        <v>1274</v>
      </c>
      <c r="N2592" s="10">
        <v>0</v>
      </c>
      <c r="O2592" s="10">
        <f>Table1[[#This Row],[NET Amount]]-Table1[[#This Row],[Paid Amount]]</f>
        <v>1274</v>
      </c>
      <c r="P2592" s="2" t="s">
        <v>23</v>
      </c>
      <c r="Q2592" s="2" t="s">
        <v>54</v>
      </c>
      <c r="R2592" s="16">
        <f>(Table1[[#This Row],[NET Amount]]-Table1[[#This Row],[Total Outstanding Amount]])/Table1[[#This Row],[NET Amount]]</f>
        <v>0</v>
      </c>
      <c r="S2592" s="2" t="s">
        <v>97</v>
      </c>
    </row>
    <row r="2593" spans="1:19" x14ac:dyDescent="0.3">
      <c r="A2593" s="4">
        <v>2591</v>
      </c>
      <c r="B2593" s="2" t="s">
        <v>2258</v>
      </c>
      <c r="C2593" s="3">
        <v>44833</v>
      </c>
      <c r="D2593" s="3" t="str">
        <f>TEXT(Table1[[#This Row],[Admission Date]],"MMMM")</f>
        <v>September</v>
      </c>
      <c r="E2593" s="3">
        <v>44835</v>
      </c>
      <c r="F2593" s="3">
        <v>44835</v>
      </c>
      <c r="G2593" s="2">
        <v>22025158</v>
      </c>
      <c r="H2593" s="2">
        <v>2233874</v>
      </c>
      <c r="I2593" s="2">
        <v>1001799770</v>
      </c>
      <c r="J2593" s="2" t="s">
        <v>1560</v>
      </c>
      <c r="K2593" s="10">
        <v>19639</v>
      </c>
      <c r="L2593" s="10">
        <v>0</v>
      </c>
      <c r="M2593" s="10">
        <v>19639</v>
      </c>
      <c r="N2593" s="10">
        <v>0</v>
      </c>
      <c r="O2593" s="10">
        <f>Table1[[#This Row],[NET Amount]]-Table1[[#This Row],[Paid Amount]]</f>
        <v>19639</v>
      </c>
      <c r="P2593" s="2" t="s">
        <v>23</v>
      </c>
      <c r="Q2593" s="2" t="s">
        <v>24</v>
      </c>
      <c r="R2593" s="16">
        <f>(Table1[[#This Row],[NET Amount]]-Table1[[#This Row],[Total Outstanding Amount]])/Table1[[#This Row],[NET Amount]]</f>
        <v>0</v>
      </c>
      <c r="S2593" s="2" t="s">
        <v>77</v>
      </c>
    </row>
    <row r="2594" spans="1:19" x14ac:dyDescent="0.3">
      <c r="A2594" s="4">
        <v>2592</v>
      </c>
      <c r="B2594" s="2" t="s">
        <v>75</v>
      </c>
      <c r="C2594" s="3">
        <v>44861</v>
      </c>
      <c r="D2594" s="3" t="str">
        <f>TEXT(Table1[[#This Row],[Admission Date]],"MMMM")</f>
        <v>October</v>
      </c>
      <c r="E2594" s="3">
        <v>44861</v>
      </c>
      <c r="F2594" s="3">
        <v>44861</v>
      </c>
      <c r="G2594" s="2">
        <v>22028717</v>
      </c>
      <c r="H2594" s="2">
        <v>2237609</v>
      </c>
      <c r="I2594" s="2">
        <v>1001531709</v>
      </c>
      <c r="J2594" s="2" t="s">
        <v>1080</v>
      </c>
      <c r="K2594" s="10">
        <v>1610</v>
      </c>
      <c r="L2594" s="10">
        <v>0</v>
      </c>
      <c r="M2594" s="10">
        <v>1610</v>
      </c>
      <c r="N2594" s="10">
        <v>0</v>
      </c>
      <c r="O2594" s="10">
        <f>Table1[[#This Row],[NET Amount]]-Table1[[#This Row],[Paid Amount]]</f>
        <v>1610</v>
      </c>
      <c r="P2594" s="2" t="s">
        <v>23</v>
      </c>
      <c r="Q2594" s="2" t="s">
        <v>54</v>
      </c>
      <c r="R2594" s="16">
        <f>(Table1[[#This Row],[NET Amount]]-Table1[[#This Row],[Total Outstanding Amount]])/Table1[[#This Row],[NET Amount]]</f>
        <v>0</v>
      </c>
      <c r="S2594" s="2" t="s">
        <v>97</v>
      </c>
    </row>
    <row r="2595" spans="1:19" x14ac:dyDescent="0.3">
      <c r="A2595" s="4">
        <v>2593</v>
      </c>
      <c r="B2595" s="2" t="s">
        <v>155</v>
      </c>
      <c r="C2595" s="3">
        <v>44846</v>
      </c>
      <c r="D2595" s="3" t="str">
        <f>TEXT(Table1[[#This Row],[Admission Date]],"MMMM")</f>
        <v>October</v>
      </c>
      <c r="E2595" s="3">
        <v>44846</v>
      </c>
      <c r="F2595" s="3">
        <v>44846</v>
      </c>
      <c r="G2595" s="2">
        <v>22026736</v>
      </c>
      <c r="H2595" s="2">
        <v>2235679</v>
      </c>
      <c r="I2595" s="2">
        <v>10013502614</v>
      </c>
      <c r="J2595" s="2" t="s">
        <v>484</v>
      </c>
      <c r="K2595" s="10">
        <v>1610</v>
      </c>
      <c r="L2595" s="10">
        <v>0</v>
      </c>
      <c r="M2595" s="10">
        <v>1610</v>
      </c>
      <c r="N2595" s="10">
        <v>0</v>
      </c>
      <c r="O2595" s="10">
        <f>Table1[[#This Row],[NET Amount]]-Table1[[#This Row],[Paid Amount]]</f>
        <v>1610</v>
      </c>
      <c r="P2595" s="2" t="s">
        <v>23</v>
      </c>
      <c r="Q2595" s="2" t="s">
        <v>54</v>
      </c>
      <c r="R2595" s="16">
        <f>(Table1[[#This Row],[NET Amount]]-Table1[[#This Row],[Total Outstanding Amount]])/Table1[[#This Row],[NET Amount]]</f>
        <v>0</v>
      </c>
      <c r="S2595" s="2" t="s">
        <v>97</v>
      </c>
    </row>
    <row r="2596" spans="1:19" x14ac:dyDescent="0.3">
      <c r="A2596" s="4">
        <v>2594</v>
      </c>
      <c r="B2596" s="2" t="s">
        <v>380</v>
      </c>
      <c r="C2596" s="3">
        <v>44849</v>
      </c>
      <c r="D2596" s="3" t="str">
        <f>TEXT(Table1[[#This Row],[Admission Date]],"MMMM")</f>
        <v>October</v>
      </c>
      <c r="E2596" s="3">
        <v>44849</v>
      </c>
      <c r="F2596" s="3">
        <v>44849</v>
      </c>
      <c r="G2596" s="2">
        <v>22027276</v>
      </c>
      <c r="H2596" s="2">
        <v>2236195</v>
      </c>
      <c r="I2596" s="2">
        <v>10013499172</v>
      </c>
      <c r="J2596" s="2" t="s">
        <v>369</v>
      </c>
      <c r="K2596" s="10">
        <v>1274</v>
      </c>
      <c r="L2596" s="10">
        <v>0</v>
      </c>
      <c r="M2596" s="10">
        <v>1274</v>
      </c>
      <c r="N2596" s="10">
        <v>0</v>
      </c>
      <c r="O2596" s="10">
        <f>Table1[[#This Row],[NET Amount]]-Table1[[#This Row],[Paid Amount]]</f>
        <v>1274</v>
      </c>
      <c r="P2596" s="2" t="s">
        <v>23</v>
      </c>
      <c r="Q2596" s="2" t="s">
        <v>54</v>
      </c>
      <c r="R2596" s="16">
        <f>(Table1[[#This Row],[NET Amount]]-Table1[[#This Row],[Total Outstanding Amount]])/Table1[[#This Row],[NET Amount]]</f>
        <v>0</v>
      </c>
      <c r="S2596" s="2" t="s">
        <v>97</v>
      </c>
    </row>
    <row r="2597" spans="1:19" x14ac:dyDescent="0.3">
      <c r="A2597" s="4">
        <v>2595</v>
      </c>
      <c r="B2597" s="2" t="s">
        <v>380</v>
      </c>
      <c r="C2597" s="3">
        <v>44848</v>
      </c>
      <c r="D2597" s="3" t="str">
        <f>TEXT(Table1[[#This Row],[Admission Date]],"MMMM")</f>
        <v>October</v>
      </c>
      <c r="E2597" s="3">
        <v>44848</v>
      </c>
      <c r="F2597" s="3">
        <v>44848</v>
      </c>
      <c r="G2597" s="2">
        <v>22026968</v>
      </c>
      <c r="H2597" s="2">
        <v>2235929</v>
      </c>
      <c r="I2597" s="2">
        <v>1001033406</v>
      </c>
      <c r="J2597" s="2" t="s">
        <v>388</v>
      </c>
      <c r="K2597" s="10">
        <v>1274</v>
      </c>
      <c r="L2597" s="10">
        <v>0</v>
      </c>
      <c r="M2597" s="10">
        <v>1274</v>
      </c>
      <c r="N2597" s="10">
        <v>0</v>
      </c>
      <c r="O2597" s="10">
        <f>Table1[[#This Row],[NET Amount]]-Table1[[#This Row],[Paid Amount]]</f>
        <v>1274</v>
      </c>
      <c r="P2597" s="2" t="s">
        <v>23</v>
      </c>
      <c r="Q2597" s="2" t="s">
        <v>54</v>
      </c>
      <c r="R2597" s="16">
        <f>(Table1[[#This Row],[NET Amount]]-Table1[[#This Row],[Total Outstanding Amount]])/Table1[[#This Row],[NET Amount]]</f>
        <v>0</v>
      </c>
      <c r="S2597" s="2" t="s">
        <v>97</v>
      </c>
    </row>
    <row r="2598" spans="1:19" x14ac:dyDescent="0.3">
      <c r="A2598" s="4">
        <v>2596</v>
      </c>
      <c r="B2598" s="2" t="s">
        <v>50</v>
      </c>
      <c r="C2598" s="3">
        <v>44838</v>
      </c>
      <c r="D2598" s="3" t="str">
        <f>TEXT(Table1[[#This Row],[Admission Date]],"MMMM")</f>
        <v>October</v>
      </c>
      <c r="E2598" s="3">
        <v>44840</v>
      </c>
      <c r="F2598" s="3">
        <v>44840</v>
      </c>
      <c r="G2598" s="2">
        <v>22025836</v>
      </c>
      <c r="H2598" s="2">
        <v>2234528</v>
      </c>
      <c r="I2598" s="2">
        <v>10013446989</v>
      </c>
      <c r="J2598" s="2" t="s">
        <v>1561</v>
      </c>
      <c r="K2598" s="10">
        <v>84409</v>
      </c>
      <c r="L2598" s="10">
        <v>2319</v>
      </c>
      <c r="M2598" s="10">
        <v>82090</v>
      </c>
      <c r="N2598" s="10">
        <v>2593</v>
      </c>
      <c r="O2598" s="10">
        <f>Table1[[#This Row],[NET Amount]]-Table1[[#This Row],[Paid Amount]]</f>
        <v>79497</v>
      </c>
      <c r="P2598" s="2" t="s">
        <v>23</v>
      </c>
      <c r="Q2598" s="2" t="s">
        <v>30</v>
      </c>
      <c r="R2598" s="16">
        <f>(Table1[[#This Row],[NET Amount]]-Table1[[#This Row],[Total Outstanding Amount]])/Table1[[#This Row],[NET Amount]]</f>
        <v>3.1587282251187718E-2</v>
      </c>
      <c r="S2598" s="2" t="s">
        <v>27</v>
      </c>
    </row>
    <row r="2599" spans="1:19" x14ac:dyDescent="0.3">
      <c r="A2599" s="4">
        <v>2597</v>
      </c>
      <c r="B2599" s="2" t="s">
        <v>152</v>
      </c>
      <c r="C2599" s="3">
        <v>44838</v>
      </c>
      <c r="D2599" s="3" t="str">
        <f>TEXT(Table1[[#This Row],[Admission Date]],"MMMM")</f>
        <v>October</v>
      </c>
      <c r="E2599" s="3">
        <v>44840</v>
      </c>
      <c r="F2599" s="3">
        <v>44840</v>
      </c>
      <c r="G2599" s="2">
        <v>22025859</v>
      </c>
      <c r="H2599" s="2">
        <v>2234538</v>
      </c>
      <c r="I2599" s="2">
        <v>1001802366</v>
      </c>
      <c r="J2599" s="2" t="s">
        <v>1562</v>
      </c>
      <c r="K2599" s="10">
        <v>3462</v>
      </c>
      <c r="L2599" s="10">
        <v>0</v>
      </c>
      <c r="M2599" s="10">
        <v>3462</v>
      </c>
      <c r="N2599" s="10">
        <v>3462</v>
      </c>
      <c r="O2599" s="10">
        <f>Table1[[#This Row],[NET Amount]]-Table1[[#This Row],[Paid Amount]]</f>
        <v>0</v>
      </c>
      <c r="P2599" s="2" t="s">
        <v>18</v>
      </c>
      <c r="Q2599" s="2" t="s">
        <v>19</v>
      </c>
      <c r="R2599" s="16">
        <f>(Table1[[#This Row],[NET Amount]]-Table1[[#This Row],[Total Outstanding Amount]])/Table1[[#This Row],[NET Amount]]</f>
        <v>1</v>
      </c>
      <c r="S2599" s="2" t="s">
        <v>37</v>
      </c>
    </row>
    <row r="2600" spans="1:19" x14ac:dyDescent="0.3">
      <c r="A2600" s="4">
        <v>2598</v>
      </c>
      <c r="B2600" s="2" t="s">
        <v>25</v>
      </c>
      <c r="C2600" s="3">
        <v>44849</v>
      </c>
      <c r="D2600" s="3" t="str">
        <f>TEXT(Table1[[#This Row],[Admission Date]],"MMMM")</f>
        <v>October</v>
      </c>
      <c r="E2600" s="3">
        <v>44851</v>
      </c>
      <c r="F2600" s="3">
        <v>44851</v>
      </c>
      <c r="G2600" s="2">
        <v>22027406</v>
      </c>
      <c r="H2600" s="2">
        <v>2236067</v>
      </c>
      <c r="I2600" s="2">
        <v>10013543091</v>
      </c>
      <c r="J2600" s="2" t="s">
        <v>1563</v>
      </c>
      <c r="K2600" s="10">
        <v>278639</v>
      </c>
      <c r="L2600" s="10">
        <v>17065</v>
      </c>
      <c r="M2600" s="10">
        <v>261574</v>
      </c>
      <c r="N2600" s="10">
        <v>261574</v>
      </c>
      <c r="O2600" s="10">
        <f>Table1[[#This Row],[NET Amount]]-Table1[[#This Row],[Paid Amount]]</f>
        <v>0</v>
      </c>
      <c r="P2600" s="2" t="s">
        <v>18</v>
      </c>
      <c r="Q2600" s="2" t="s">
        <v>24</v>
      </c>
      <c r="R2600" s="16">
        <f>(Table1[[#This Row],[NET Amount]]-Table1[[#This Row],[Total Outstanding Amount]])/Table1[[#This Row],[NET Amount]]</f>
        <v>1</v>
      </c>
      <c r="S2600" s="2" t="s">
        <v>39</v>
      </c>
    </row>
    <row r="2601" spans="1:19" x14ac:dyDescent="0.3">
      <c r="A2601" s="4">
        <v>2599</v>
      </c>
      <c r="B2601" s="2" t="s">
        <v>25</v>
      </c>
      <c r="C2601" s="3">
        <v>44851</v>
      </c>
      <c r="D2601" s="3" t="str">
        <f>TEXT(Table1[[#This Row],[Admission Date]],"MMMM")</f>
        <v>October</v>
      </c>
      <c r="E2601" s="3">
        <v>44854</v>
      </c>
      <c r="F2601" s="3">
        <v>44854</v>
      </c>
      <c r="G2601" s="2">
        <v>22027823</v>
      </c>
      <c r="H2601" s="2">
        <v>2236286</v>
      </c>
      <c r="I2601" s="2">
        <v>10013542873</v>
      </c>
      <c r="J2601" s="2" t="s">
        <v>1564</v>
      </c>
      <c r="K2601" s="10">
        <v>159347</v>
      </c>
      <c r="L2601" s="10">
        <v>32914</v>
      </c>
      <c r="M2601" s="10">
        <v>126433</v>
      </c>
      <c r="N2601" s="10">
        <v>126433</v>
      </c>
      <c r="O2601" s="10">
        <f>Table1[[#This Row],[NET Amount]]-Table1[[#This Row],[Paid Amount]]</f>
        <v>0</v>
      </c>
      <c r="P2601" s="2" t="s">
        <v>18</v>
      </c>
      <c r="Q2601" s="2" t="s">
        <v>30</v>
      </c>
      <c r="R2601" s="16">
        <f>(Table1[[#This Row],[NET Amount]]-Table1[[#This Row],[Total Outstanding Amount]])/Table1[[#This Row],[NET Amount]]</f>
        <v>1</v>
      </c>
      <c r="S2601" s="2" t="s">
        <v>43</v>
      </c>
    </row>
    <row r="2602" spans="1:19" x14ac:dyDescent="0.3">
      <c r="A2602" s="4">
        <v>2600</v>
      </c>
      <c r="B2602" s="2" t="s">
        <v>25</v>
      </c>
      <c r="C2602" s="3">
        <v>44860</v>
      </c>
      <c r="D2602" s="3" t="str">
        <f>TEXT(Table1[[#This Row],[Admission Date]],"MMMM")</f>
        <v>October</v>
      </c>
      <c r="E2602" s="3">
        <v>44860</v>
      </c>
      <c r="F2602" s="3">
        <v>44860</v>
      </c>
      <c r="G2602" s="2">
        <v>22028671</v>
      </c>
      <c r="H2602" s="2">
        <v>2237513</v>
      </c>
      <c r="I2602" s="2">
        <v>1001806339</v>
      </c>
      <c r="J2602" s="2" t="s">
        <v>1565</v>
      </c>
      <c r="K2602" s="10">
        <v>14000</v>
      </c>
      <c r="L2602" s="10">
        <v>0</v>
      </c>
      <c r="M2602" s="10">
        <v>14000</v>
      </c>
      <c r="N2602" s="10">
        <v>14000</v>
      </c>
      <c r="O2602" s="10">
        <f>Table1[[#This Row],[NET Amount]]-Table1[[#This Row],[Paid Amount]]</f>
        <v>0</v>
      </c>
      <c r="P2602" s="2" t="s">
        <v>18</v>
      </c>
      <c r="Q2602" s="2" t="s">
        <v>54</v>
      </c>
      <c r="R2602" s="16">
        <f>(Table1[[#This Row],[NET Amount]]-Table1[[#This Row],[Total Outstanding Amount]])/Table1[[#This Row],[NET Amount]]</f>
        <v>1</v>
      </c>
      <c r="S2602" s="2" t="s">
        <v>39</v>
      </c>
    </row>
    <row r="2603" spans="1:19" x14ac:dyDescent="0.3">
      <c r="A2603" s="4">
        <v>2601</v>
      </c>
      <c r="B2603" s="2" t="s">
        <v>522</v>
      </c>
      <c r="C2603" s="3">
        <v>44862</v>
      </c>
      <c r="D2603" s="3" t="str">
        <f>TEXT(Table1[[#This Row],[Admission Date]],"MMMM")</f>
        <v>October</v>
      </c>
      <c r="E2603" s="3">
        <v>44865</v>
      </c>
      <c r="F2603" s="3">
        <v>44865</v>
      </c>
      <c r="G2603" s="2">
        <v>22029284</v>
      </c>
      <c r="H2603" s="2">
        <v>2237860</v>
      </c>
      <c r="I2603" s="2">
        <v>10013544950</v>
      </c>
      <c r="J2603" s="2" t="s">
        <v>750</v>
      </c>
      <c r="K2603" s="10">
        <v>23561</v>
      </c>
      <c r="L2603" s="10">
        <v>0</v>
      </c>
      <c r="M2603" s="10">
        <v>23561</v>
      </c>
      <c r="N2603" s="10">
        <v>580</v>
      </c>
      <c r="O2603" s="10">
        <f>Table1[[#This Row],[NET Amount]]-Table1[[#This Row],[Paid Amount]]</f>
        <v>22981</v>
      </c>
      <c r="P2603" s="2" t="s">
        <v>23</v>
      </c>
      <c r="Q2603" s="2" t="s">
        <v>24</v>
      </c>
      <c r="R2603" s="16">
        <f>(Table1[[#This Row],[NET Amount]]-Table1[[#This Row],[Total Outstanding Amount]])/Table1[[#This Row],[NET Amount]]</f>
        <v>2.4616951742285981E-2</v>
      </c>
      <c r="S2603" s="2" t="s">
        <v>65</v>
      </c>
    </row>
    <row r="2604" spans="1:19" x14ac:dyDescent="0.3">
      <c r="A2604" s="4">
        <v>2602</v>
      </c>
      <c r="B2604" s="2" t="s">
        <v>50</v>
      </c>
      <c r="C2604" s="3">
        <v>44864</v>
      </c>
      <c r="D2604" s="3" t="str">
        <f>TEXT(Table1[[#This Row],[Admission Date]],"MMMM")</f>
        <v>October</v>
      </c>
      <c r="E2604" s="3">
        <v>44865</v>
      </c>
      <c r="F2604" s="3">
        <v>44865</v>
      </c>
      <c r="G2604" s="2">
        <v>22029269</v>
      </c>
      <c r="H2604" s="2">
        <v>2238061</v>
      </c>
      <c r="I2604" s="2">
        <v>1001807117</v>
      </c>
      <c r="J2604" s="2" t="s">
        <v>1566</v>
      </c>
      <c r="K2604" s="10">
        <v>109447</v>
      </c>
      <c r="L2604" s="10">
        <v>15754</v>
      </c>
      <c r="M2604" s="10">
        <v>93693</v>
      </c>
      <c r="N2604" s="10">
        <v>1208</v>
      </c>
      <c r="O2604" s="10">
        <f>Table1[[#This Row],[NET Amount]]-Table1[[#This Row],[Paid Amount]]</f>
        <v>92485</v>
      </c>
      <c r="P2604" s="2" t="s">
        <v>23</v>
      </c>
      <c r="Q2604" s="2" t="s">
        <v>30</v>
      </c>
      <c r="R2604" s="16">
        <f>(Table1[[#This Row],[NET Amount]]-Table1[[#This Row],[Total Outstanding Amount]])/Table1[[#This Row],[NET Amount]]</f>
        <v>1.2893172382141676E-2</v>
      </c>
      <c r="S2604" s="2" t="s">
        <v>55</v>
      </c>
    </row>
    <row r="2605" spans="1:19" x14ac:dyDescent="0.3">
      <c r="A2605" s="4">
        <v>2603</v>
      </c>
      <c r="B2605" s="2" t="s">
        <v>72</v>
      </c>
      <c r="C2605" s="3">
        <v>44848</v>
      </c>
      <c r="D2605" s="3" t="str">
        <f>TEXT(Table1[[#This Row],[Admission Date]],"MMMM")</f>
        <v>October</v>
      </c>
      <c r="E2605" s="3">
        <v>44851</v>
      </c>
      <c r="F2605" s="3">
        <v>44851</v>
      </c>
      <c r="G2605" s="2">
        <v>22027416</v>
      </c>
      <c r="H2605" s="2">
        <v>2235968</v>
      </c>
      <c r="I2605" s="2">
        <v>1001804347</v>
      </c>
      <c r="J2605" s="2" t="s">
        <v>1567</v>
      </c>
      <c r="K2605" s="10">
        <v>20043</v>
      </c>
      <c r="L2605" s="10">
        <v>0</v>
      </c>
      <c r="M2605" s="10">
        <v>20043</v>
      </c>
      <c r="N2605" s="10">
        <v>20043</v>
      </c>
      <c r="O2605" s="10">
        <f>Table1[[#This Row],[NET Amount]]-Table1[[#This Row],[Paid Amount]]</f>
        <v>0</v>
      </c>
      <c r="P2605" s="2" t="s">
        <v>18</v>
      </c>
      <c r="Q2605" s="2" t="s">
        <v>30</v>
      </c>
      <c r="R2605" s="16">
        <f>(Table1[[#This Row],[NET Amount]]-Table1[[#This Row],[Total Outstanding Amount]])/Table1[[#This Row],[NET Amount]]</f>
        <v>1</v>
      </c>
      <c r="S2605" s="2" t="s">
        <v>37</v>
      </c>
    </row>
    <row r="2606" spans="1:19" x14ac:dyDescent="0.3">
      <c r="A2606" s="4">
        <v>2604</v>
      </c>
      <c r="B2606" s="2" t="s">
        <v>25</v>
      </c>
      <c r="C2606" s="3">
        <v>44844</v>
      </c>
      <c r="D2606" s="3" t="str">
        <f>TEXT(Table1[[#This Row],[Admission Date]],"MMMM")</f>
        <v>October</v>
      </c>
      <c r="E2606" s="3">
        <v>44851</v>
      </c>
      <c r="F2606" s="3">
        <v>44851</v>
      </c>
      <c r="G2606" s="2">
        <v>22027490</v>
      </c>
      <c r="H2606" s="2">
        <v>2235472</v>
      </c>
      <c r="I2606" s="2">
        <v>10013314613</v>
      </c>
      <c r="J2606" s="2" t="s">
        <v>1290</v>
      </c>
      <c r="K2606" s="10">
        <v>346652</v>
      </c>
      <c r="L2606" s="10">
        <v>103854</v>
      </c>
      <c r="M2606" s="10">
        <v>242799</v>
      </c>
      <c r="N2606" s="10">
        <v>242799</v>
      </c>
      <c r="O2606" s="10">
        <f>Table1[[#This Row],[NET Amount]]-Table1[[#This Row],[Paid Amount]]</f>
        <v>0</v>
      </c>
      <c r="P2606" s="2" t="s">
        <v>18</v>
      </c>
      <c r="Q2606" s="2" t="s">
        <v>225</v>
      </c>
      <c r="R2606" s="16">
        <f>(Table1[[#This Row],[NET Amount]]-Table1[[#This Row],[Total Outstanding Amount]])/Table1[[#This Row],[NET Amount]]</f>
        <v>1</v>
      </c>
      <c r="S2606" s="2" t="s">
        <v>20</v>
      </c>
    </row>
    <row r="2607" spans="1:19" x14ac:dyDescent="0.3">
      <c r="A2607" s="4">
        <v>2605</v>
      </c>
      <c r="B2607" s="2" t="s">
        <v>45</v>
      </c>
      <c r="C2607" s="3">
        <v>44841</v>
      </c>
      <c r="D2607" s="3" t="str">
        <f>TEXT(Table1[[#This Row],[Admission Date]],"MMMM")</f>
        <v>October</v>
      </c>
      <c r="E2607" s="3">
        <v>44851</v>
      </c>
      <c r="F2607" s="3">
        <v>44851</v>
      </c>
      <c r="G2607" s="2">
        <v>22027437</v>
      </c>
      <c r="H2607" s="2">
        <v>2235035</v>
      </c>
      <c r="I2607" s="2">
        <v>10013496280</v>
      </c>
      <c r="J2607" s="2" t="s">
        <v>1568</v>
      </c>
      <c r="K2607" s="10">
        <v>214143</v>
      </c>
      <c r="L2607" s="10">
        <v>23910</v>
      </c>
      <c r="M2607" s="10">
        <v>190233</v>
      </c>
      <c r="N2607" s="10">
        <v>59512</v>
      </c>
      <c r="O2607" s="10">
        <f>Table1[[#This Row],[NET Amount]]-Table1[[#This Row],[Paid Amount]]</f>
        <v>130721</v>
      </c>
      <c r="P2607" s="2" t="s">
        <v>23</v>
      </c>
      <c r="Q2607" s="2" t="s">
        <v>42</v>
      </c>
      <c r="R2607" s="16">
        <f>(Table1[[#This Row],[NET Amount]]-Table1[[#This Row],[Total Outstanding Amount]])/Table1[[#This Row],[NET Amount]]</f>
        <v>0.31283741516981806</v>
      </c>
      <c r="S2607" s="2" t="s">
        <v>95</v>
      </c>
    </row>
    <row r="2608" spans="1:19" x14ac:dyDescent="0.3">
      <c r="A2608" s="4">
        <v>2606</v>
      </c>
      <c r="B2608" s="2" t="s">
        <v>126</v>
      </c>
      <c r="C2608" s="3">
        <v>44840</v>
      </c>
      <c r="D2608" s="3" t="str">
        <f>TEXT(Table1[[#This Row],[Admission Date]],"MMMM")</f>
        <v>October</v>
      </c>
      <c r="E2608" s="3">
        <v>44841</v>
      </c>
      <c r="F2608" s="3">
        <v>44841</v>
      </c>
      <c r="G2608" s="2">
        <v>22025946</v>
      </c>
      <c r="H2608" s="2">
        <v>2234848</v>
      </c>
      <c r="I2608" s="2">
        <v>10013541735</v>
      </c>
      <c r="J2608" s="2" t="s">
        <v>1569</v>
      </c>
      <c r="K2608" s="10">
        <v>259304</v>
      </c>
      <c r="L2608" s="10">
        <v>0</v>
      </c>
      <c r="M2608" s="10">
        <v>259304</v>
      </c>
      <c r="N2608" s="10">
        <v>1500</v>
      </c>
      <c r="O2608" s="10">
        <f>Table1[[#This Row],[NET Amount]]-Table1[[#This Row],[Paid Amount]]</f>
        <v>257804</v>
      </c>
      <c r="P2608" s="2" t="s">
        <v>23</v>
      </c>
      <c r="Q2608" s="2" t="s">
        <v>24</v>
      </c>
      <c r="R2608" s="16">
        <f>(Table1[[#This Row],[NET Amount]]-Table1[[#This Row],[Total Outstanding Amount]])/Table1[[#This Row],[NET Amount]]</f>
        <v>5.7847160090087309E-3</v>
      </c>
      <c r="S2608" s="2" t="s">
        <v>39</v>
      </c>
    </row>
    <row r="2609" spans="1:19" x14ac:dyDescent="0.3">
      <c r="A2609" s="4">
        <v>2607</v>
      </c>
      <c r="B2609" s="2" t="s">
        <v>25</v>
      </c>
      <c r="C2609" s="3">
        <v>44853</v>
      </c>
      <c r="D2609" s="3" t="str">
        <f>TEXT(Table1[[#This Row],[Admission Date]],"MMMM")</f>
        <v>October</v>
      </c>
      <c r="E2609" s="3">
        <v>44855</v>
      </c>
      <c r="F2609" s="3">
        <v>44855</v>
      </c>
      <c r="G2609" s="2">
        <v>22028070</v>
      </c>
      <c r="H2609" s="2">
        <v>2236602</v>
      </c>
      <c r="I2609" s="2">
        <v>10013543361</v>
      </c>
      <c r="J2609" s="2" t="s">
        <v>1570</v>
      </c>
      <c r="K2609" s="10">
        <v>130137</v>
      </c>
      <c r="L2609" s="10">
        <v>16346</v>
      </c>
      <c r="M2609" s="10">
        <v>113791</v>
      </c>
      <c r="N2609" s="10">
        <v>113791</v>
      </c>
      <c r="O2609" s="10">
        <f>Table1[[#This Row],[NET Amount]]-Table1[[#This Row],[Paid Amount]]</f>
        <v>0</v>
      </c>
      <c r="P2609" s="2" t="s">
        <v>18</v>
      </c>
      <c r="Q2609" s="2" t="s">
        <v>24</v>
      </c>
      <c r="R2609" s="16">
        <f>(Table1[[#This Row],[NET Amount]]-Table1[[#This Row],[Total Outstanding Amount]])/Table1[[#This Row],[NET Amount]]</f>
        <v>1</v>
      </c>
      <c r="S2609" s="2" t="s">
        <v>201</v>
      </c>
    </row>
    <row r="2610" spans="1:19" x14ac:dyDescent="0.3">
      <c r="A2610" s="4">
        <v>2608</v>
      </c>
      <c r="B2610" s="2" t="s">
        <v>126</v>
      </c>
      <c r="C2610" s="3">
        <v>44836</v>
      </c>
      <c r="D2610" s="3" t="str">
        <f>TEXT(Table1[[#This Row],[Admission Date]],"MMMM")</f>
        <v>October</v>
      </c>
      <c r="E2610" s="3">
        <v>44838</v>
      </c>
      <c r="F2610" s="3">
        <v>44838</v>
      </c>
      <c r="G2610" s="2">
        <v>22025518</v>
      </c>
      <c r="H2610" s="2">
        <v>2234314</v>
      </c>
      <c r="I2610" s="2">
        <v>10013522878</v>
      </c>
      <c r="J2610" s="2" t="s">
        <v>1571</v>
      </c>
      <c r="K2610" s="10">
        <v>49682</v>
      </c>
      <c r="L2610" s="10">
        <v>7082</v>
      </c>
      <c r="M2610" s="10">
        <v>42600</v>
      </c>
      <c r="N2610" s="10">
        <v>42600</v>
      </c>
      <c r="O2610" s="10">
        <f>Table1[[#This Row],[NET Amount]]-Table1[[#This Row],[Paid Amount]]</f>
        <v>0</v>
      </c>
      <c r="P2610" s="2" t="s">
        <v>18</v>
      </c>
      <c r="Q2610" s="2" t="s">
        <v>24</v>
      </c>
      <c r="R2610" s="16">
        <f>(Table1[[#This Row],[NET Amount]]-Table1[[#This Row],[Total Outstanding Amount]])/Table1[[#This Row],[NET Amount]]</f>
        <v>1</v>
      </c>
      <c r="S2610" s="2" t="s">
        <v>162</v>
      </c>
    </row>
    <row r="2611" spans="1:19" x14ac:dyDescent="0.3">
      <c r="A2611" s="4">
        <v>2609</v>
      </c>
      <c r="B2611" s="2" t="s">
        <v>28</v>
      </c>
      <c r="C2611" s="3">
        <v>44828</v>
      </c>
      <c r="D2611" s="3" t="str">
        <f>TEXT(Table1[[#This Row],[Admission Date]],"MMMM")</f>
        <v>September</v>
      </c>
      <c r="E2611" s="3">
        <v>44838</v>
      </c>
      <c r="F2611" s="3">
        <v>44838</v>
      </c>
      <c r="G2611" s="2">
        <v>22025508</v>
      </c>
      <c r="H2611" s="2">
        <v>2233385</v>
      </c>
      <c r="I2611" s="2">
        <v>10013540267</v>
      </c>
      <c r="J2611" s="2" t="s">
        <v>1572</v>
      </c>
      <c r="K2611" s="10">
        <v>110525</v>
      </c>
      <c r="L2611" s="10">
        <v>10896</v>
      </c>
      <c r="M2611" s="10">
        <v>99629</v>
      </c>
      <c r="N2611" s="10">
        <v>4321</v>
      </c>
      <c r="O2611" s="10">
        <f>Table1[[#This Row],[NET Amount]]-Table1[[#This Row],[Paid Amount]]</f>
        <v>95308</v>
      </c>
      <c r="P2611" s="2" t="s">
        <v>23</v>
      </c>
      <c r="Q2611" s="2" t="s">
        <v>24</v>
      </c>
      <c r="R2611" s="16">
        <f>(Table1[[#This Row],[NET Amount]]-Table1[[#This Row],[Total Outstanding Amount]])/Table1[[#This Row],[NET Amount]]</f>
        <v>4.3370906061488121E-2</v>
      </c>
      <c r="S2611" s="2" t="s">
        <v>20</v>
      </c>
    </row>
    <row r="2612" spans="1:19" x14ac:dyDescent="0.3">
      <c r="A2612" s="4">
        <v>2610</v>
      </c>
      <c r="B2612" s="2" t="s">
        <v>117</v>
      </c>
      <c r="C2612" s="3">
        <v>44836</v>
      </c>
      <c r="D2612" s="3" t="str">
        <f>TEXT(Table1[[#This Row],[Admission Date]],"MMMM")</f>
        <v>October</v>
      </c>
      <c r="E2612" s="3">
        <v>44839</v>
      </c>
      <c r="F2612" s="3">
        <v>44839</v>
      </c>
      <c r="G2612" s="2">
        <v>22025670</v>
      </c>
      <c r="H2612" s="2">
        <v>2234327</v>
      </c>
      <c r="I2612" s="2">
        <v>10013492844</v>
      </c>
      <c r="J2612" s="2" t="s">
        <v>1573</v>
      </c>
      <c r="K2612" s="10">
        <v>644547</v>
      </c>
      <c r="L2612" s="10">
        <v>0</v>
      </c>
      <c r="M2612" s="10">
        <v>644547</v>
      </c>
      <c r="N2612" s="10">
        <v>644547</v>
      </c>
      <c r="O2612" s="10">
        <f>Table1[[#This Row],[NET Amount]]-Table1[[#This Row],[Paid Amount]]</f>
        <v>0</v>
      </c>
      <c r="P2612" s="2" t="s">
        <v>18</v>
      </c>
      <c r="Q2612" s="2" t="s">
        <v>19</v>
      </c>
      <c r="R2612" s="16">
        <f>(Table1[[#This Row],[NET Amount]]-Table1[[#This Row],[Total Outstanding Amount]])/Table1[[#This Row],[NET Amount]]</f>
        <v>1</v>
      </c>
      <c r="S2612" s="2" t="s">
        <v>39</v>
      </c>
    </row>
    <row r="2613" spans="1:19" x14ac:dyDescent="0.3">
      <c r="A2613" s="4">
        <v>2611</v>
      </c>
      <c r="B2613" s="2" t="s">
        <v>91</v>
      </c>
      <c r="C2613" s="3">
        <v>44860</v>
      </c>
      <c r="D2613" s="3" t="str">
        <f>TEXT(Table1[[#This Row],[Admission Date]],"MMMM")</f>
        <v>October</v>
      </c>
      <c r="E2613" s="3">
        <v>44863</v>
      </c>
      <c r="F2613" s="3">
        <v>44863</v>
      </c>
      <c r="G2613" s="2">
        <v>22029083</v>
      </c>
      <c r="H2613" s="2">
        <v>2237566</v>
      </c>
      <c r="I2613" s="2">
        <v>10013544650</v>
      </c>
      <c r="J2613" s="2" t="s">
        <v>1574</v>
      </c>
      <c r="K2613" s="10">
        <v>149109</v>
      </c>
      <c r="L2613" s="10">
        <v>805</v>
      </c>
      <c r="M2613" s="10">
        <v>148304</v>
      </c>
      <c r="N2613" s="10">
        <v>122</v>
      </c>
      <c r="O2613" s="10">
        <f>Table1[[#This Row],[NET Amount]]-Table1[[#This Row],[Paid Amount]]</f>
        <v>148182</v>
      </c>
      <c r="P2613" s="2" t="s">
        <v>23</v>
      </c>
      <c r="Q2613" s="2" t="s">
        <v>30</v>
      </c>
      <c r="R2613" s="16">
        <f>(Table1[[#This Row],[NET Amount]]-Table1[[#This Row],[Total Outstanding Amount]])/Table1[[#This Row],[NET Amount]]</f>
        <v>8.2263458841298949E-4</v>
      </c>
      <c r="S2613" s="2" t="s">
        <v>201</v>
      </c>
    </row>
    <row r="2614" spans="1:19" x14ac:dyDescent="0.3">
      <c r="A2614" s="4">
        <v>2612</v>
      </c>
      <c r="B2614" s="2" t="s">
        <v>21</v>
      </c>
      <c r="C2614" s="3">
        <v>44858</v>
      </c>
      <c r="D2614" s="3" t="str">
        <f>TEXT(Table1[[#This Row],[Admission Date]],"MMMM")</f>
        <v>October</v>
      </c>
      <c r="E2614" s="3">
        <v>44861</v>
      </c>
      <c r="F2614" s="3">
        <v>44861</v>
      </c>
      <c r="G2614" s="2">
        <v>22028743</v>
      </c>
      <c r="H2614" s="2">
        <v>2237241</v>
      </c>
      <c r="I2614" s="2">
        <v>10013524998</v>
      </c>
      <c r="J2614" s="2" t="s">
        <v>1575</v>
      </c>
      <c r="K2614" s="10">
        <v>18301</v>
      </c>
      <c r="L2614" s="10">
        <v>0</v>
      </c>
      <c r="M2614" s="10">
        <v>18301</v>
      </c>
      <c r="N2614" s="10">
        <v>18301</v>
      </c>
      <c r="O2614" s="10">
        <f>Table1[[#This Row],[NET Amount]]-Table1[[#This Row],[Paid Amount]]</f>
        <v>0</v>
      </c>
      <c r="P2614" s="2" t="s">
        <v>18</v>
      </c>
      <c r="Q2614" s="2" t="s">
        <v>19</v>
      </c>
      <c r="R2614" s="16">
        <f>(Table1[[#This Row],[NET Amount]]-Table1[[#This Row],[Total Outstanding Amount]])/Table1[[#This Row],[NET Amount]]</f>
        <v>1</v>
      </c>
      <c r="S2614" s="2" t="s">
        <v>27</v>
      </c>
    </row>
    <row r="2615" spans="1:19" x14ac:dyDescent="0.3">
      <c r="A2615" s="4">
        <v>2613</v>
      </c>
      <c r="B2615" s="2" t="s">
        <v>21</v>
      </c>
      <c r="C2615" s="3">
        <v>44850</v>
      </c>
      <c r="D2615" s="3" t="str">
        <f>TEXT(Table1[[#This Row],[Admission Date]],"MMMM")</f>
        <v>October</v>
      </c>
      <c r="E2615" s="3">
        <v>44856</v>
      </c>
      <c r="F2615" s="3">
        <v>44856</v>
      </c>
      <c r="G2615" s="2">
        <v>22028254</v>
      </c>
      <c r="H2615" s="2">
        <v>2236248</v>
      </c>
      <c r="I2615" s="2">
        <v>1000990116</v>
      </c>
      <c r="J2615" s="2" t="s">
        <v>1576</v>
      </c>
      <c r="K2615" s="10">
        <v>42746</v>
      </c>
      <c r="L2615" s="10">
        <v>0</v>
      </c>
      <c r="M2615" s="10">
        <v>42746</v>
      </c>
      <c r="N2615" s="10">
        <v>42746</v>
      </c>
      <c r="O2615" s="10">
        <f>Table1[[#This Row],[NET Amount]]-Table1[[#This Row],[Paid Amount]]</f>
        <v>0</v>
      </c>
      <c r="P2615" s="2" t="s">
        <v>18</v>
      </c>
      <c r="Q2615" s="2" t="s">
        <v>24</v>
      </c>
      <c r="R2615" s="16">
        <f>(Table1[[#This Row],[NET Amount]]-Table1[[#This Row],[Total Outstanding Amount]])/Table1[[#This Row],[NET Amount]]</f>
        <v>1</v>
      </c>
      <c r="S2615" s="2" t="s">
        <v>20</v>
      </c>
    </row>
    <row r="2616" spans="1:19" x14ac:dyDescent="0.3">
      <c r="A2616" s="4">
        <v>2614</v>
      </c>
      <c r="B2616" s="2" t="s">
        <v>126</v>
      </c>
      <c r="C2616" s="3">
        <v>44861</v>
      </c>
      <c r="D2616" s="3" t="str">
        <f>TEXT(Table1[[#This Row],[Admission Date]],"MMMM")</f>
        <v>October</v>
      </c>
      <c r="E2616" s="3">
        <v>44865</v>
      </c>
      <c r="F2616" s="3">
        <v>44865</v>
      </c>
      <c r="G2616" s="2">
        <v>22029274</v>
      </c>
      <c r="H2616" s="2">
        <v>2237646</v>
      </c>
      <c r="I2616" s="2">
        <v>10013251808</v>
      </c>
      <c r="J2616" s="2" t="s">
        <v>1577</v>
      </c>
      <c r="K2616" s="10">
        <v>52554</v>
      </c>
      <c r="L2616" s="10">
        <v>7217</v>
      </c>
      <c r="M2616" s="10">
        <v>45337</v>
      </c>
      <c r="N2616" s="10">
        <v>3071</v>
      </c>
      <c r="O2616" s="10">
        <f>Table1[[#This Row],[NET Amount]]-Table1[[#This Row],[Paid Amount]]</f>
        <v>42266</v>
      </c>
      <c r="P2616" s="2" t="s">
        <v>23</v>
      </c>
      <c r="Q2616" s="2" t="s">
        <v>24</v>
      </c>
      <c r="R2616" s="16">
        <f>(Table1[[#This Row],[NET Amount]]-Table1[[#This Row],[Total Outstanding Amount]])/Table1[[#This Row],[NET Amount]]</f>
        <v>6.7737168317268462E-2</v>
      </c>
      <c r="S2616" s="2" t="s">
        <v>20</v>
      </c>
    </row>
    <row r="2617" spans="1:19" x14ac:dyDescent="0.3">
      <c r="A2617" s="4">
        <v>2615</v>
      </c>
      <c r="B2617" s="2" t="s">
        <v>152</v>
      </c>
      <c r="C2617" s="3">
        <v>44861</v>
      </c>
      <c r="D2617" s="3" t="str">
        <f>TEXT(Table1[[#This Row],[Admission Date]],"MMMM")</f>
        <v>October</v>
      </c>
      <c r="E2617" s="3">
        <v>44861</v>
      </c>
      <c r="F2617" s="3">
        <v>44861</v>
      </c>
      <c r="G2617" s="2">
        <v>22028805</v>
      </c>
      <c r="H2617" s="2">
        <v>2237656</v>
      </c>
      <c r="I2617" s="2">
        <v>1000868917</v>
      </c>
      <c r="J2617" s="2" t="s">
        <v>1578</v>
      </c>
      <c r="K2617" s="10">
        <v>11903</v>
      </c>
      <c r="L2617" s="10">
        <v>0</v>
      </c>
      <c r="M2617" s="10">
        <v>11903</v>
      </c>
      <c r="N2617" s="10">
        <v>11903</v>
      </c>
      <c r="O2617" s="10">
        <f>Table1[[#This Row],[NET Amount]]-Table1[[#This Row],[Paid Amount]]</f>
        <v>0</v>
      </c>
      <c r="P2617" s="2" t="s">
        <v>18</v>
      </c>
      <c r="Q2617" s="2" t="s">
        <v>24</v>
      </c>
      <c r="R2617" s="16">
        <f>(Table1[[#This Row],[NET Amount]]-Table1[[#This Row],[Total Outstanding Amount]])/Table1[[#This Row],[NET Amount]]</f>
        <v>1</v>
      </c>
      <c r="S2617" s="2" t="s">
        <v>39</v>
      </c>
    </row>
    <row r="2618" spans="1:19" x14ac:dyDescent="0.3">
      <c r="A2618" s="4">
        <v>2616</v>
      </c>
      <c r="B2618" s="2" t="s">
        <v>61</v>
      </c>
      <c r="C2618" s="3">
        <v>44846</v>
      </c>
      <c r="D2618" s="3" t="str">
        <f>TEXT(Table1[[#This Row],[Admission Date]],"MMMM")</f>
        <v>October</v>
      </c>
      <c r="E2618" s="3">
        <v>44850</v>
      </c>
      <c r="F2618" s="3">
        <v>44850</v>
      </c>
      <c r="G2618" s="2">
        <v>22027307</v>
      </c>
      <c r="H2618" s="2">
        <v>2235777</v>
      </c>
      <c r="I2618" s="2">
        <v>10013525991</v>
      </c>
      <c r="J2618" s="2" t="s">
        <v>1579</v>
      </c>
      <c r="K2618" s="10">
        <v>57605</v>
      </c>
      <c r="L2618" s="10">
        <v>0</v>
      </c>
      <c r="M2618" s="10">
        <v>57605</v>
      </c>
      <c r="N2618" s="10">
        <v>7605</v>
      </c>
      <c r="O2618" s="10">
        <f>Table1[[#This Row],[NET Amount]]-Table1[[#This Row],[Paid Amount]]</f>
        <v>50000</v>
      </c>
      <c r="P2618" s="2" t="s">
        <v>23</v>
      </c>
      <c r="Q2618" s="2" t="s">
        <v>42</v>
      </c>
      <c r="R2618" s="16">
        <f>(Table1[[#This Row],[NET Amount]]-Table1[[#This Row],[Total Outstanding Amount]])/Table1[[#This Row],[NET Amount]]</f>
        <v>0.13201978994878916</v>
      </c>
      <c r="S2618" s="2" t="s">
        <v>27</v>
      </c>
    </row>
    <row r="2619" spans="1:19" x14ac:dyDescent="0.3">
      <c r="A2619" s="4">
        <v>2617</v>
      </c>
      <c r="B2619" s="2" t="s">
        <v>139</v>
      </c>
      <c r="C2619" s="3">
        <v>44848</v>
      </c>
      <c r="D2619" s="3" t="str">
        <f>TEXT(Table1[[#This Row],[Admission Date]],"MMMM")</f>
        <v>October</v>
      </c>
      <c r="E2619" s="3">
        <v>44850</v>
      </c>
      <c r="F2619" s="3">
        <v>44850</v>
      </c>
      <c r="G2619" s="2">
        <v>22027346</v>
      </c>
      <c r="H2619" s="2">
        <v>2235937</v>
      </c>
      <c r="I2619" s="2">
        <v>10013541007</v>
      </c>
      <c r="J2619" s="2" t="s">
        <v>142</v>
      </c>
      <c r="K2619" s="10">
        <v>134116</v>
      </c>
      <c r="L2619" s="10">
        <v>0</v>
      </c>
      <c r="M2619" s="10">
        <v>134116</v>
      </c>
      <c r="N2619" s="10">
        <v>1802</v>
      </c>
      <c r="O2619" s="10">
        <f>Table1[[#This Row],[NET Amount]]-Table1[[#This Row],[Paid Amount]]</f>
        <v>132314</v>
      </c>
      <c r="P2619" s="2" t="s">
        <v>23</v>
      </c>
      <c r="Q2619" s="2" t="s">
        <v>42</v>
      </c>
      <c r="R2619" s="16">
        <f>(Table1[[#This Row],[NET Amount]]-Table1[[#This Row],[Total Outstanding Amount]])/Table1[[#This Row],[NET Amount]]</f>
        <v>1.3436129917384951E-2</v>
      </c>
      <c r="S2619" s="2" t="s">
        <v>57</v>
      </c>
    </row>
    <row r="2620" spans="1:19" x14ac:dyDescent="0.3">
      <c r="A2620" s="4">
        <v>2618</v>
      </c>
      <c r="B2620" s="2" t="s">
        <v>117</v>
      </c>
      <c r="C2620" s="3">
        <v>44855</v>
      </c>
      <c r="D2620" s="3" t="str">
        <f>TEXT(Table1[[#This Row],[Admission Date]],"MMMM")</f>
        <v>October</v>
      </c>
      <c r="E2620" s="3">
        <v>44856</v>
      </c>
      <c r="F2620" s="3">
        <v>44856</v>
      </c>
      <c r="G2620" s="2">
        <v>22028253</v>
      </c>
      <c r="H2620" s="2">
        <v>2236960</v>
      </c>
      <c r="I2620" s="2">
        <v>1001056843</v>
      </c>
      <c r="J2620" s="2" t="s">
        <v>1580</v>
      </c>
      <c r="K2620" s="10">
        <v>14935</v>
      </c>
      <c r="L2620" s="10">
        <v>0</v>
      </c>
      <c r="M2620" s="10">
        <v>14935</v>
      </c>
      <c r="N2620" s="10">
        <v>14935</v>
      </c>
      <c r="O2620" s="10">
        <f>Table1[[#This Row],[NET Amount]]-Table1[[#This Row],[Paid Amount]]</f>
        <v>0</v>
      </c>
      <c r="P2620" s="2" t="s">
        <v>18</v>
      </c>
      <c r="Q2620" s="2" t="s">
        <v>24</v>
      </c>
      <c r="R2620" s="16">
        <f>(Table1[[#This Row],[NET Amount]]-Table1[[#This Row],[Total Outstanding Amount]])/Table1[[#This Row],[NET Amount]]</f>
        <v>1</v>
      </c>
      <c r="S2620" s="2" t="s">
        <v>20</v>
      </c>
    </row>
    <row r="2621" spans="1:19" x14ac:dyDescent="0.3">
      <c r="A2621" s="4">
        <v>2619</v>
      </c>
      <c r="B2621" s="2" t="s">
        <v>152</v>
      </c>
      <c r="C2621" s="3">
        <v>44823</v>
      </c>
      <c r="D2621" s="3" t="str">
        <f>TEXT(Table1[[#This Row],[Admission Date]],"MMMM")</f>
        <v>September</v>
      </c>
      <c r="E2621" s="3">
        <v>44839</v>
      </c>
      <c r="F2621" s="3">
        <v>44839</v>
      </c>
      <c r="G2621" s="2">
        <v>22025755</v>
      </c>
      <c r="H2621" s="2">
        <v>2232497</v>
      </c>
      <c r="I2621" s="2">
        <v>10013362611</v>
      </c>
      <c r="J2621" s="2" t="s">
        <v>474</v>
      </c>
      <c r="K2621" s="10">
        <v>163230</v>
      </c>
      <c r="L2621" s="10">
        <v>0</v>
      </c>
      <c r="M2621" s="10">
        <v>163230</v>
      </c>
      <c r="N2621" s="10">
        <v>163230</v>
      </c>
      <c r="O2621" s="10">
        <f>Table1[[#This Row],[NET Amount]]-Table1[[#This Row],[Paid Amount]]</f>
        <v>0</v>
      </c>
      <c r="P2621" s="2" t="s">
        <v>18</v>
      </c>
      <c r="Q2621" s="2" t="s">
        <v>30</v>
      </c>
      <c r="R2621" s="16">
        <f>(Table1[[#This Row],[NET Amount]]-Table1[[#This Row],[Total Outstanding Amount]])/Table1[[#This Row],[NET Amount]]</f>
        <v>1</v>
      </c>
      <c r="S2621" s="2" t="s">
        <v>95</v>
      </c>
    </row>
    <row r="2622" spans="1:19" x14ac:dyDescent="0.3">
      <c r="A2622" s="4">
        <v>2620</v>
      </c>
      <c r="B2622" s="2" t="s">
        <v>152</v>
      </c>
      <c r="C2622" s="3">
        <v>44835</v>
      </c>
      <c r="D2622" s="3" t="str">
        <f>TEXT(Table1[[#This Row],[Admission Date]],"MMMM")</f>
        <v>October</v>
      </c>
      <c r="E2622" s="3">
        <v>44855</v>
      </c>
      <c r="F2622" s="3">
        <v>44855</v>
      </c>
      <c r="G2622" s="2">
        <v>22028007</v>
      </c>
      <c r="H2622" s="2">
        <v>2234140</v>
      </c>
      <c r="I2622" s="2">
        <v>10013266099</v>
      </c>
      <c r="J2622" s="2" t="s">
        <v>1581</v>
      </c>
      <c r="K2622" s="10">
        <v>526950</v>
      </c>
      <c r="L2622" s="10">
        <v>0</v>
      </c>
      <c r="M2622" s="10">
        <v>526950</v>
      </c>
      <c r="N2622" s="10">
        <v>526950</v>
      </c>
      <c r="O2622" s="10">
        <f>Table1[[#This Row],[NET Amount]]-Table1[[#This Row],[Paid Amount]]</f>
        <v>0</v>
      </c>
      <c r="P2622" s="2" t="s">
        <v>18</v>
      </c>
      <c r="Q2622" s="2" t="s">
        <v>30</v>
      </c>
      <c r="R2622" s="16">
        <f>(Table1[[#This Row],[NET Amount]]-Table1[[#This Row],[Total Outstanding Amount]])/Table1[[#This Row],[NET Amount]]</f>
        <v>1</v>
      </c>
      <c r="S2622" s="2" t="s">
        <v>20</v>
      </c>
    </row>
    <row r="2623" spans="1:19" x14ac:dyDescent="0.3">
      <c r="A2623" s="4">
        <v>2621</v>
      </c>
      <c r="B2623" s="2" t="s">
        <v>25</v>
      </c>
      <c r="C2623" s="3">
        <v>44840</v>
      </c>
      <c r="D2623" s="3" t="str">
        <f>TEXT(Table1[[#This Row],[Admission Date]],"MMMM")</f>
        <v>October</v>
      </c>
      <c r="E2623" s="3">
        <v>44844</v>
      </c>
      <c r="F2623" s="3">
        <v>44844</v>
      </c>
      <c r="G2623" s="2">
        <v>22026416</v>
      </c>
      <c r="H2623" s="2">
        <v>2234809</v>
      </c>
      <c r="I2623" s="2">
        <v>10013541691</v>
      </c>
      <c r="J2623" s="2" t="s">
        <v>1582</v>
      </c>
      <c r="K2623" s="10">
        <v>94283</v>
      </c>
      <c r="L2623" s="10">
        <v>13103</v>
      </c>
      <c r="M2623" s="10">
        <v>81179</v>
      </c>
      <c r="N2623" s="10">
        <v>81179</v>
      </c>
      <c r="O2623" s="10">
        <f>Table1[[#This Row],[NET Amount]]-Table1[[#This Row],[Paid Amount]]</f>
        <v>0</v>
      </c>
      <c r="P2623" s="2" t="s">
        <v>18</v>
      </c>
      <c r="Q2623" s="2" t="s">
        <v>24</v>
      </c>
      <c r="R2623" s="16">
        <f>(Table1[[#This Row],[NET Amount]]-Table1[[#This Row],[Total Outstanding Amount]])/Table1[[#This Row],[NET Amount]]</f>
        <v>1</v>
      </c>
      <c r="S2623" s="2" t="s">
        <v>32</v>
      </c>
    </row>
    <row r="2624" spans="1:19" x14ac:dyDescent="0.3">
      <c r="A2624" s="4">
        <v>2622</v>
      </c>
      <c r="B2624" s="2" t="s">
        <v>25</v>
      </c>
      <c r="C2624" s="3">
        <v>44855</v>
      </c>
      <c r="D2624" s="3" t="str">
        <f>TEXT(Table1[[#This Row],[Admission Date]],"MMMM")</f>
        <v>October</v>
      </c>
      <c r="E2624" s="3">
        <v>44855</v>
      </c>
      <c r="F2624" s="3">
        <v>44855</v>
      </c>
      <c r="G2624" s="2">
        <v>22028110</v>
      </c>
      <c r="H2624" s="2">
        <v>2236968</v>
      </c>
      <c r="I2624" s="2">
        <v>1001074324</v>
      </c>
      <c r="J2624" s="2" t="s">
        <v>255</v>
      </c>
      <c r="K2624" s="10">
        <v>2844</v>
      </c>
      <c r="L2624" s="10">
        <v>308</v>
      </c>
      <c r="M2624" s="10">
        <v>2536</v>
      </c>
      <c r="N2624" s="10">
        <v>2536</v>
      </c>
      <c r="O2624" s="10">
        <f>Table1[[#This Row],[NET Amount]]-Table1[[#This Row],[Paid Amount]]</f>
        <v>0</v>
      </c>
      <c r="P2624" s="2" t="s">
        <v>18</v>
      </c>
      <c r="Q2624" s="2" t="s">
        <v>54</v>
      </c>
      <c r="R2624" s="16">
        <f>(Table1[[#This Row],[NET Amount]]-Table1[[#This Row],[Total Outstanding Amount]])/Table1[[#This Row],[NET Amount]]</f>
        <v>1</v>
      </c>
      <c r="S2624" s="2" t="s">
        <v>97</v>
      </c>
    </row>
    <row r="2625" spans="1:19" x14ac:dyDescent="0.3">
      <c r="A2625" s="4">
        <v>2623</v>
      </c>
      <c r="B2625" s="2" t="s">
        <v>25</v>
      </c>
      <c r="C2625" s="3">
        <v>44851</v>
      </c>
      <c r="D2625" s="3" t="str">
        <f>TEXT(Table1[[#This Row],[Admission Date]],"MMMM")</f>
        <v>October</v>
      </c>
      <c r="E2625" s="3">
        <v>44851</v>
      </c>
      <c r="F2625" s="3">
        <v>44851</v>
      </c>
      <c r="G2625" s="2">
        <v>22027475</v>
      </c>
      <c r="H2625" s="2">
        <v>2236349</v>
      </c>
      <c r="I2625" s="2">
        <v>1001804855</v>
      </c>
      <c r="J2625" s="2" t="s">
        <v>1583</v>
      </c>
      <c r="K2625" s="10">
        <v>14000</v>
      </c>
      <c r="L2625" s="10">
        <v>0</v>
      </c>
      <c r="M2625" s="10">
        <v>14000</v>
      </c>
      <c r="N2625" s="10">
        <v>14000</v>
      </c>
      <c r="O2625" s="10">
        <f>Table1[[#This Row],[NET Amount]]-Table1[[#This Row],[Paid Amount]]</f>
        <v>0</v>
      </c>
      <c r="P2625" s="2" t="s">
        <v>18</v>
      </c>
      <c r="Q2625" s="2" t="s">
        <v>54</v>
      </c>
      <c r="R2625" s="16">
        <f>(Table1[[#This Row],[NET Amount]]-Table1[[#This Row],[Total Outstanding Amount]])/Table1[[#This Row],[NET Amount]]</f>
        <v>1</v>
      </c>
      <c r="S2625" s="2" t="s">
        <v>39</v>
      </c>
    </row>
    <row r="2626" spans="1:19" x14ac:dyDescent="0.3">
      <c r="A2626" s="4">
        <v>2624</v>
      </c>
      <c r="B2626" s="2" t="s">
        <v>25</v>
      </c>
      <c r="C2626" s="3">
        <v>44844</v>
      </c>
      <c r="D2626" s="3" t="str">
        <f>TEXT(Table1[[#This Row],[Admission Date]],"MMMM")</f>
        <v>October</v>
      </c>
      <c r="E2626" s="3">
        <v>44846</v>
      </c>
      <c r="F2626" s="3">
        <v>44846</v>
      </c>
      <c r="G2626" s="2">
        <v>22026742</v>
      </c>
      <c r="H2626" s="2">
        <v>2235358</v>
      </c>
      <c r="I2626" s="2">
        <v>10013521147</v>
      </c>
      <c r="J2626" s="2" t="s">
        <v>1584</v>
      </c>
      <c r="K2626" s="10">
        <v>78679</v>
      </c>
      <c r="L2626" s="10">
        <v>9512</v>
      </c>
      <c r="M2626" s="10">
        <v>69167</v>
      </c>
      <c r="N2626" s="10">
        <v>69167</v>
      </c>
      <c r="O2626" s="10">
        <f>Table1[[#This Row],[NET Amount]]-Table1[[#This Row],[Paid Amount]]</f>
        <v>0</v>
      </c>
      <c r="P2626" s="2" t="s">
        <v>18</v>
      </c>
      <c r="Q2626" s="2" t="s">
        <v>19</v>
      </c>
      <c r="R2626" s="16">
        <f>(Table1[[#This Row],[NET Amount]]-Table1[[#This Row],[Total Outstanding Amount]])/Table1[[#This Row],[NET Amount]]</f>
        <v>1</v>
      </c>
      <c r="S2626" s="2" t="s">
        <v>27</v>
      </c>
    </row>
    <row r="2627" spans="1:19" x14ac:dyDescent="0.3">
      <c r="A2627" s="4">
        <v>2625</v>
      </c>
      <c r="B2627" s="2" t="s">
        <v>25</v>
      </c>
      <c r="C2627" s="3">
        <v>44846</v>
      </c>
      <c r="D2627" s="3" t="str">
        <f>TEXT(Table1[[#This Row],[Admission Date]],"MMMM")</f>
        <v>October</v>
      </c>
      <c r="E2627" s="3">
        <v>44851</v>
      </c>
      <c r="F2627" s="3">
        <v>44851</v>
      </c>
      <c r="G2627" s="2">
        <v>22027407</v>
      </c>
      <c r="H2627" s="2">
        <v>2235774</v>
      </c>
      <c r="I2627" s="2">
        <v>10013542665</v>
      </c>
      <c r="J2627" s="2" t="s">
        <v>1585</v>
      </c>
      <c r="K2627" s="10">
        <v>54904</v>
      </c>
      <c r="L2627" s="10">
        <v>7547</v>
      </c>
      <c r="M2627" s="10">
        <v>47357</v>
      </c>
      <c r="N2627" s="10">
        <v>47357</v>
      </c>
      <c r="O2627" s="10">
        <f>Table1[[#This Row],[NET Amount]]-Table1[[#This Row],[Paid Amount]]</f>
        <v>0</v>
      </c>
      <c r="P2627" s="2" t="s">
        <v>18</v>
      </c>
      <c r="Q2627" s="2" t="s">
        <v>24</v>
      </c>
      <c r="R2627" s="16">
        <f>(Table1[[#This Row],[NET Amount]]-Table1[[#This Row],[Total Outstanding Amount]])/Table1[[#This Row],[NET Amount]]</f>
        <v>1</v>
      </c>
      <c r="S2627" s="2" t="s">
        <v>20</v>
      </c>
    </row>
    <row r="2628" spans="1:19" x14ac:dyDescent="0.3">
      <c r="A2628" s="4">
        <v>2626</v>
      </c>
      <c r="B2628" s="2" t="s">
        <v>91</v>
      </c>
      <c r="C2628" s="3">
        <v>44851</v>
      </c>
      <c r="D2628" s="3" t="str">
        <f>TEXT(Table1[[#This Row],[Admission Date]],"MMMM")</f>
        <v>October</v>
      </c>
      <c r="E2628" s="3">
        <v>44856</v>
      </c>
      <c r="F2628" s="3">
        <v>44856</v>
      </c>
      <c r="G2628" s="2">
        <v>22028199</v>
      </c>
      <c r="H2628" s="2">
        <v>2236375</v>
      </c>
      <c r="I2628" s="2">
        <v>10013543448</v>
      </c>
      <c r="J2628" s="2" t="s">
        <v>1586</v>
      </c>
      <c r="K2628" s="10">
        <v>81039</v>
      </c>
      <c r="L2628" s="10">
        <v>3084</v>
      </c>
      <c r="M2628" s="10">
        <v>77955</v>
      </c>
      <c r="N2628" s="10">
        <v>4554</v>
      </c>
      <c r="O2628" s="10">
        <f>Table1[[#This Row],[NET Amount]]-Table1[[#This Row],[Paid Amount]]</f>
        <v>73401</v>
      </c>
      <c r="P2628" s="2" t="s">
        <v>23</v>
      </c>
      <c r="Q2628" s="2" t="s">
        <v>24</v>
      </c>
      <c r="R2628" s="16">
        <f>(Table1[[#This Row],[NET Amount]]-Table1[[#This Row],[Total Outstanding Amount]])/Table1[[#This Row],[NET Amount]]</f>
        <v>5.8418318260534924E-2</v>
      </c>
      <c r="S2628" s="2" t="s">
        <v>20</v>
      </c>
    </row>
    <row r="2629" spans="1:19" x14ac:dyDescent="0.3">
      <c r="A2629" s="4">
        <v>2627</v>
      </c>
      <c r="B2629" s="2" t="s">
        <v>126</v>
      </c>
      <c r="C2629" s="3">
        <v>44853</v>
      </c>
      <c r="D2629" s="3" t="str">
        <f>TEXT(Table1[[#This Row],[Admission Date]],"MMMM")</f>
        <v>October</v>
      </c>
      <c r="E2629" s="3">
        <v>44857</v>
      </c>
      <c r="F2629" s="3">
        <v>44857</v>
      </c>
      <c r="G2629" s="2">
        <v>22028362</v>
      </c>
      <c r="H2629" s="2">
        <v>2236703</v>
      </c>
      <c r="I2629" s="2">
        <v>10013542632</v>
      </c>
      <c r="J2629" s="2" t="s">
        <v>1587</v>
      </c>
      <c r="K2629" s="10">
        <v>99389</v>
      </c>
      <c r="L2629" s="10">
        <v>9433</v>
      </c>
      <c r="M2629" s="10">
        <v>89957</v>
      </c>
      <c r="N2629" s="10">
        <v>4276</v>
      </c>
      <c r="O2629" s="10">
        <f>Table1[[#This Row],[NET Amount]]-Table1[[#This Row],[Paid Amount]]</f>
        <v>85681</v>
      </c>
      <c r="P2629" s="2" t="s">
        <v>23</v>
      </c>
      <c r="Q2629" s="2" t="s">
        <v>24</v>
      </c>
      <c r="R2629" s="16">
        <f>(Table1[[#This Row],[NET Amount]]-Table1[[#This Row],[Total Outstanding Amount]])/Table1[[#This Row],[NET Amount]]</f>
        <v>4.7533821714819305E-2</v>
      </c>
      <c r="S2629" s="2" t="s">
        <v>20</v>
      </c>
    </row>
    <row r="2630" spans="1:19" x14ac:dyDescent="0.3">
      <c r="A2630" s="4">
        <v>2628</v>
      </c>
      <c r="B2630" s="2" t="s">
        <v>25</v>
      </c>
      <c r="C2630" s="3">
        <v>44854</v>
      </c>
      <c r="D2630" s="3" t="str">
        <f>TEXT(Table1[[#This Row],[Admission Date]],"MMMM")</f>
        <v>October</v>
      </c>
      <c r="E2630" s="3">
        <v>44857</v>
      </c>
      <c r="F2630" s="3">
        <v>44857</v>
      </c>
      <c r="G2630" s="2">
        <v>22028344</v>
      </c>
      <c r="H2630" s="2">
        <v>2236717</v>
      </c>
      <c r="I2630" s="2">
        <v>10013415692</v>
      </c>
      <c r="J2630" s="2" t="s">
        <v>1588</v>
      </c>
      <c r="K2630" s="10">
        <v>123295</v>
      </c>
      <c r="L2630" s="10">
        <v>20662</v>
      </c>
      <c r="M2630" s="10">
        <v>102633</v>
      </c>
      <c r="N2630" s="10">
        <v>102633</v>
      </c>
      <c r="O2630" s="10">
        <f>Table1[[#This Row],[NET Amount]]-Table1[[#This Row],[Paid Amount]]</f>
        <v>0</v>
      </c>
      <c r="P2630" s="2" t="s">
        <v>18</v>
      </c>
      <c r="Q2630" s="2" t="s">
        <v>24</v>
      </c>
      <c r="R2630" s="16">
        <f>(Table1[[#This Row],[NET Amount]]-Table1[[#This Row],[Total Outstanding Amount]])/Table1[[#This Row],[NET Amount]]</f>
        <v>1</v>
      </c>
      <c r="S2630" s="2" t="s">
        <v>20</v>
      </c>
    </row>
    <row r="2631" spans="1:19" x14ac:dyDescent="0.3">
      <c r="A2631" s="4">
        <v>2629</v>
      </c>
      <c r="B2631" s="2" t="s">
        <v>25</v>
      </c>
      <c r="C2631" s="3">
        <v>44848</v>
      </c>
      <c r="D2631" s="3" t="str">
        <f>TEXT(Table1[[#This Row],[Admission Date]],"MMMM")</f>
        <v>October</v>
      </c>
      <c r="E2631" s="3">
        <v>44848</v>
      </c>
      <c r="F2631" s="3">
        <v>44848</v>
      </c>
      <c r="G2631" s="2">
        <v>22026987</v>
      </c>
      <c r="H2631" s="2">
        <v>2235911</v>
      </c>
      <c r="I2631" s="2">
        <v>1001666089</v>
      </c>
      <c r="J2631" s="2" t="s">
        <v>809</v>
      </c>
      <c r="K2631" s="10">
        <v>2680</v>
      </c>
      <c r="L2631" s="10">
        <v>500</v>
      </c>
      <c r="M2631" s="10">
        <v>2180</v>
      </c>
      <c r="N2631" s="10">
        <v>2180</v>
      </c>
      <c r="O2631" s="10">
        <f>Table1[[#This Row],[NET Amount]]-Table1[[#This Row],[Paid Amount]]</f>
        <v>0</v>
      </c>
      <c r="P2631" s="2" t="s">
        <v>18</v>
      </c>
      <c r="Q2631" s="2" t="s">
        <v>54</v>
      </c>
      <c r="R2631" s="16">
        <f>(Table1[[#This Row],[NET Amount]]-Table1[[#This Row],[Total Outstanding Amount]])/Table1[[#This Row],[NET Amount]]</f>
        <v>1</v>
      </c>
      <c r="S2631" s="2" t="s">
        <v>97</v>
      </c>
    </row>
    <row r="2632" spans="1:19" x14ac:dyDescent="0.3">
      <c r="A2632" s="4">
        <v>2630</v>
      </c>
      <c r="B2632" s="2" t="s">
        <v>2244</v>
      </c>
      <c r="C2632" s="3">
        <v>44838</v>
      </c>
      <c r="D2632" s="3" t="str">
        <f>TEXT(Table1[[#This Row],[Admission Date]],"MMMM")</f>
        <v>October</v>
      </c>
      <c r="E2632" s="3">
        <v>44856</v>
      </c>
      <c r="F2632" s="3">
        <v>44856</v>
      </c>
      <c r="G2632" s="2">
        <v>22028226</v>
      </c>
      <c r="H2632" s="2">
        <v>2234647</v>
      </c>
      <c r="I2632" s="2">
        <v>1001802487</v>
      </c>
      <c r="J2632" s="2" t="s">
        <v>1589</v>
      </c>
      <c r="K2632" s="10">
        <v>188041</v>
      </c>
      <c r="L2632" s="10">
        <v>0</v>
      </c>
      <c r="M2632" s="10">
        <v>188041</v>
      </c>
      <c r="N2632" s="10">
        <v>188041</v>
      </c>
      <c r="O2632" s="10">
        <f>Table1[[#This Row],[NET Amount]]-Table1[[#This Row],[Paid Amount]]</f>
        <v>0</v>
      </c>
      <c r="P2632" s="2" t="s">
        <v>18</v>
      </c>
      <c r="Q2632" s="2" t="s">
        <v>24</v>
      </c>
      <c r="R2632" s="16">
        <f>(Table1[[#This Row],[NET Amount]]-Table1[[#This Row],[Total Outstanding Amount]])/Table1[[#This Row],[NET Amount]]</f>
        <v>1</v>
      </c>
      <c r="S2632" s="2" t="s">
        <v>20</v>
      </c>
    </row>
    <row r="2633" spans="1:19" x14ac:dyDescent="0.3">
      <c r="A2633" s="4">
        <v>2631</v>
      </c>
      <c r="B2633" s="2" t="s">
        <v>2252</v>
      </c>
      <c r="C2633" s="3">
        <v>44845</v>
      </c>
      <c r="D2633" s="3" t="str">
        <f>TEXT(Table1[[#This Row],[Admission Date]],"MMMM")</f>
        <v>October</v>
      </c>
      <c r="E2633" s="3">
        <v>44848</v>
      </c>
      <c r="F2633" s="3">
        <v>44848</v>
      </c>
      <c r="G2633" s="2">
        <v>22027014</v>
      </c>
      <c r="H2633" s="2">
        <v>2235615</v>
      </c>
      <c r="I2633" s="2">
        <v>1001415135</v>
      </c>
      <c r="J2633" s="2" t="s">
        <v>1590</v>
      </c>
      <c r="K2633" s="10">
        <v>48366</v>
      </c>
      <c r="L2633" s="10">
        <v>8276</v>
      </c>
      <c r="M2633" s="10">
        <v>40090</v>
      </c>
      <c r="N2633" s="10">
        <v>1658</v>
      </c>
      <c r="O2633" s="10">
        <f>Table1[[#This Row],[NET Amount]]-Table1[[#This Row],[Paid Amount]]</f>
        <v>38432</v>
      </c>
      <c r="P2633" s="2" t="s">
        <v>23</v>
      </c>
      <c r="Q2633" s="2" t="s">
        <v>19</v>
      </c>
      <c r="R2633" s="16">
        <f>(Table1[[#This Row],[NET Amount]]-Table1[[#This Row],[Total Outstanding Amount]])/Table1[[#This Row],[NET Amount]]</f>
        <v>4.1356946869543526E-2</v>
      </c>
      <c r="S2633" s="2" t="s">
        <v>37</v>
      </c>
    </row>
    <row r="2634" spans="1:19" x14ac:dyDescent="0.3">
      <c r="A2634" s="4">
        <v>2632</v>
      </c>
      <c r="B2634" s="2" t="s">
        <v>117</v>
      </c>
      <c r="C2634" s="3">
        <v>44844</v>
      </c>
      <c r="D2634" s="3" t="str">
        <f>TEXT(Table1[[#This Row],[Admission Date]],"MMMM")</f>
        <v>October</v>
      </c>
      <c r="E2634" s="3">
        <v>44855</v>
      </c>
      <c r="F2634" s="3">
        <v>44855</v>
      </c>
      <c r="G2634" s="2">
        <v>22027977</v>
      </c>
      <c r="H2634" s="2">
        <v>2235361</v>
      </c>
      <c r="I2634" s="2">
        <v>1001803541</v>
      </c>
      <c r="J2634" s="2" t="s">
        <v>1591</v>
      </c>
      <c r="K2634" s="10">
        <v>232520</v>
      </c>
      <c r="L2634" s="10">
        <v>0</v>
      </c>
      <c r="M2634" s="10">
        <v>232520</v>
      </c>
      <c r="N2634" s="10">
        <v>232520</v>
      </c>
      <c r="O2634" s="10">
        <f>Table1[[#This Row],[NET Amount]]-Table1[[#This Row],[Paid Amount]]</f>
        <v>0</v>
      </c>
      <c r="P2634" s="2" t="s">
        <v>18</v>
      </c>
      <c r="Q2634" s="2" t="s">
        <v>19</v>
      </c>
      <c r="R2634" s="16">
        <f>(Table1[[#This Row],[NET Amount]]-Table1[[#This Row],[Total Outstanding Amount]])/Table1[[#This Row],[NET Amount]]</f>
        <v>1</v>
      </c>
      <c r="S2634" s="2" t="s">
        <v>70</v>
      </c>
    </row>
    <row r="2635" spans="1:19" x14ac:dyDescent="0.3">
      <c r="A2635" s="4">
        <v>2633</v>
      </c>
      <c r="B2635" s="2" t="s">
        <v>35</v>
      </c>
      <c r="C2635" s="3">
        <v>44845</v>
      </c>
      <c r="D2635" s="3" t="str">
        <f>TEXT(Table1[[#This Row],[Admission Date]],"MMMM")</f>
        <v>October</v>
      </c>
      <c r="E2635" s="3">
        <v>44847</v>
      </c>
      <c r="F2635" s="3">
        <v>44847</v>
      </c>
      <c r="G2635" s="2">
        <v>22026874</v>
      </c>
      <c r="H2635" s="2">
        <v>2235574</v>
      </c>
      <c r="I2635" s="2">
        <v>1001795457</v>
      </c>
      <c r="J2635" s="2" t="s">
        <v>1592</v>
      </c>
      <c r="K2635" s="10">
        <v>27915</v>
      </c>
      <c r="L2635" s="10">
        <v>0</v>
      </c>
      <c r="M2635" s="10">
        <v>27915</v>
      </c>
      <c r="N2635" s="10">
        <v>27915</v>
      </c>
      <c r="O2635" s="10">
        <f>Table1[[#This Row],[NET Amount]]-Table1[[#This Row],[Paid Amount]]</f>
        <v>0</v>
      </c>
      <c r="P2635" s="2" t="s">
        <v>18</v>
      </c>
      <c r="Q2635" s="2" t="s">
        <v>24</v>
      </c>
      <c r="R2635" s="16">
        <f>(Table1[[#This Row],[NET Amount]]-Table1[[#This Row],[Total Outstanding Amount]])/Table1[[#This Row],[NET Amount]]</f>
        <v>1</v>
      </c>
      <c r="S2635" s="2" t="s">
        <v>43</v>
      </c>
    </row>
    <row r="2636" spans="1:19" x14ac:dyDescent="0.3">
      <c r="A2636" s="4">
        <v>2634</v>
      </c>
      <c r="B2636" s="2" t="s">
        <v>25</v>
      </c>
      <c r="C2636" s="3">
        <v>44857</v>
      </c>
      <c r="D2636" s="3" t="str">
        <f>TEXT(Table1[[#This Row],[Admission Date]],"MMMM")</f>
        <v>October</v>
      </c>
      <c r="E2636" s="3">
        <v>44865</v>
      </c>
      <c r="F2636" s="3">
        <v>44865</v>
      </c>
      <c r="G2636" s="2">
        <v>22029352</v>
      </c>
      <c r="H2636" s="2">
        <v>2237165</v>
      </c>
      <c r="I2636" s="2">
        <v>10013544234</v>
      </c>
      <c r="J2636" s="2" t="s">
        <v>1593</v>
      </c>
      <c r="K2636" s="10">
        <v>409515</v>
      </c>
      <c r="L2636" s="10">
        <v>78017</v>
      </c>
      <c r="M2636" s="10">
        <v>331498</v>
      </c>
      <c r="N2636" s="10">
        <v>331498</v>
      </c>
      <c r="O2636" s="10">
        <f>Table1[[#This Row],[NET Amount]]-Table1[[#This Row],[Paid Amount]]</f>
        <v>0</v>
      </c>
      <c r="P2636" s="2" t="s">
        <v>18</v>
      </c>
      <c r="Q2636" s="2" t="s">
        <v>24</v>
      </c>
      <c r="R2636" s="16">
        <f>(Table1[[#This Row],[NET Amount]]-Table1[[#This Row],[Total Outstanding Amount]])/Table1[[#This Row],[NET Amount]]</f>
        <v>1</v>
      </c>
      <c r="S2636" s="2" t="s">
        <v>77</v>
      </c>
    </row>
    <row r="2637" spans="1:19" x14ac:dyDescent="0.3">
      <c r="A2637" s="4">
        <v>2635</v>
      </c>
      <c r="B2637" s="2" t="s">
        <v>25</v>
      </c>
      <c r="C2637" s="3">
        <v>44856</v>
      </c>
      <c r="D2637" s="3" t="str">
        <f>TEXT(Table1[[#This Row],[Admission Date]],"MMMM")</f>
        <v>October</v>
      </c>
      <c r="E2637" s="3">
        <v>44861</v>
      </c>
      <c r="F2637" s="3">
        <v>44861</v>
      </c>
      <c r="G2637" s="2">
        <v>22028756</v>
      </c>
      <c r="H2637" s="2">
        <v>2237111</v>
      </c>
      <c r="I2637" s="2">
        <v>10013544198</v>
      </c>
      <c r="J2637" s="2" t="s">
        <v>1594</v>
      </c>
      <c r="K2637" s="10">
        <v>87342</v>
      </c>
      <c r="L2637" s="10">
        <v>11312</v>
      </c>
      <c r="M2637" s="10">
        <v>76030</v>
      </c>
      <c r="N2637" s="10">
        <v>76030</v>
      </c>
      <c r="O2637" s="10">
        <f>Table1[[#This Row],[NET Amount]]-Table1[[#This Row],[Paid Amount]]</f>
        <v>0</v>
      </c>
      <c r="P2637" s="2" t="s">
        <v>18</v>
      </c>
      <c r="Q2637" s="2" t="s">
        <v>24</v>
      </c>
      <c r="R2637" s="16">
        <f>(Table1[[#This Row],[NET Amount]]-Table1[[#This Row],[Total Outstanding Amount]])/Table1[[#This Row],[NET Amount]]</f>
        <v>1</v>
      </c>
      <c r="S2637" s="2" t="s">
        <v>37</v>
      </c>
    </row>
    <row r="2638" spans="1:19" x14ac:dyDescent="0.3">
      <c r="A2638" s="4">
        <v>2636</v>
      </c>
      <c r="B2638" s="2" t="s">
        <v>61</v>
      </c>
      <c r="C2638" s="3">
        <v>44853</v>
      </c>
      <c r="D2638" s="3" t="str">
        <f>TEXT(Table1[[#This Row],[Admission Date]],"MMMM")</f>
        <v>October</v>
      </c>
      <c r="E2638" s="3">
        <v>44854</v>
      </c>
      <c r="F2638" s="3">
        <v>44854</v>
      </c>
      <c r="G2638" s="2">
        <v>22027913</v>
      </c>
      <c r="H2638" s="2">
        <v>2236599</v>
      </c>
      <c r="I2638" s="2">
        <v>10013543597</v>
      </c>
      <c r="J2638" s="2" t="s">
        <v>1595</v>
      </c>
      <c r="K2638" s="10">
        <v>59511</v>
      </c>
      <c r="L2638" s="10">
        <v>5373</v>
      </c>
      <c r="M2638" s="10">
        <v>54138</v>
      </c>
      <c r="N2638" s="10">
        <v>2225</v>
      </c>
      <c r="O2638" s="10">
        <f>Table1[[#This Row],[NET Amount]]-Table1[[#This Row],[Paid Amount]]</f>
        <v>51913</v>
      </c>
      <c r="P2638" s="2" t="s">
        <v>23</v>
      </c>
      <c r="Q2638" s="2" t="s">
        <v>42</v>
      </c>
      <c r="R2638" s="16">
        <f>(Table1[[#This Row],[NET Amount]]-Table1[[#This Row],[Total Outstanding Amount]])/Table1[[#This Row],[NET Amount]]</f>
        <v>4.1098673759651261E-2</v>
      </c>
      <c r="S2638" s="2" t="s">
        <v>27</v>
      </c>
    </row>
    <row r="2639" spans="1:19" x14ac:dyDescent="0.3">
      <c r="A2639" s="4">
        <v>2637</v>
      </c>
      <c r="B2639" s="2" t="s">
        <v>178</v>
      </c>
      <c r="C2639" s="3">
        <v>44831</v>
      </c>
      <c r="D2639" s="3" t="str">
        <f>TEXT(Table1[[#This Row],[Admission Date]],"MMMM")</f>
        <v>September</v>
      </c>
      <c r="E2639" s="3">
        <v>44838</v>
      </c>
      <c r="F2639" s="3">
        <v>44838</v>
      </c>
      <c r="G2639" s="2">
        <v>22025542</v>
      </c>
      <c r="H2639" s="2">
        <v>2233575</v>
      </c>
      <c r="I2639" s="2">
        <v>1001763369</v>
      </c>
      <c r="J2639" s="2" t="s">
        <v>1596</v>
      </c>
      <c r="K2639" s="10">
        <v>224278</v>
      </c>
      <c r="L2639" s="10">
        <v>25274</v>
      </c>
      <c r="M2639" s="10">
        <v>199004</v>
      </c>
      <c r="N2639" s="10">
        <v>199004</v>
      </c>
      <c r="O2639" s="10">
        <f>Table1[[#This Row],[NET Amount]]-Table1[[#This Row],[Paid Amount]]</f>
        <v>0</v>
      </c>
      <c r="P2639" s="2" t="s">
        <v>18</v>
      </c>
      <c r="Q2639" s="2" t="s">
        <v>42</v>
      </c>
      <c r="R2639" s="16">
        <f>(Table1[[#This Row],[NET Amount]]-Table1[[#This Row],[Total Outstanding Amount]])/Table1[[#This Row],[NET Amount]]</f>
        <v>1</v>
      </c>
      <c r="S2639" s="2" t="s">
        <v>20</v>
      </c>
    </row>
    <row r="2640" spans="1:19" x14ac:dyDescent="0.3">
      <c r="A2640" s="4">
        <v>2638</v>
      </c>
      <c r="B2640" s="2" t="s">
        <v>50</v>
      </c>
      <c r="C2640" s="3">
        <v>44856</v>
      </c>
      <c r="D2640" s="3" t="str">
        <f>TEXT(Table1[[#This Row],[Admission Date]],"MMMM")</f>
        <v>October</v>
      </c>
      <c r="E2640" s="3">
        <v>44856</v>
      </c>
      <c r="F2640" s="3">
        <v>44856</v>
      </c>
      <c r="G2640" s="2">
        <v>22028256</v>
      </c>
      <c r="H2640" s="2">
        <v>2237019</v>
      </c>
      <c r="I2640" s="2">
        <v>10013543057</v>
      </c>
      <c r="J2640" s="2" t="s">
        <v>1597</v>
      </c>
      <c r="K2640" s="10">
        <v>74625</v>
      </c>
      <c r="L2640" s="10">
        <v>0</v>
      </c>
      <c r="M2640" s="10">
        <v>74625</v>
      </c>
      <c r="N2640" s="10">
        <v>1500</v>
      </c>
      <c r="O2640" s="10">
        <f>Table1[[#This Row],[NET Amount]]-Table1[[#This Row],[Paid Amount]]</f>
        <v>73125</v>
      </c>
      <c r="P2640" s="2" t="s">
        <v>23</v>
      </c>
      <c r="Q2640" s="2" t="s">
        <v>147</v>
      </c>
      <c r="R2640" s="16">
        <f>(Table1[[#This Row],[NET Amount]]-Table1[[#This Row],[Total Outstanding Amount]])/Table1[[#This Row],[NET Amount]]</f>
        <v>2.0100502512562814E-2</v>
      </c>
      <c r="S2640" s="2" t="s">
        <v>544</v>
      </c>
    </row>
    <row r="2641" spans="1:19" x14ac:dyDescent="0.3">
      <c r="A2641" s="4">
        <v>2639</v>
      </c>
      <c r="B2641" s="2" t="s">
        <v>25</v>
      </c>
      <c r="C2641" s="3">
        <v>44857</v>
      </c>
      <c r="D2641" s="3" t="str">
        <f>TEXT(Table1[[#This Row],[Admission Date]],"MMMM")</f>
        <v>October</v>
      </c>
      <c r="E2641" s="3">
        <v>44857</v>
      </c>
      <c r="F2641" s="3">
        <v>44857</v>
      </c>
      <c r="G2641" s="2">
        <v>22028363</v>
      </c>
      <c r="H2641" s="2">
        <v>2237116</v>
      </c>
      <c r="I2641" s="2">
        <v>1001805846</v>
      </c>
      <c r="J2641" s="2" t="s">
        <v>1598</v>
      </c>
      <c r="K2641" s="10">
        <v>7794</v>
      </c>
      <c r="L2641" s="10">
        <v>1169</v>
      </c>
      <c r="M2641" s="10">
        <v>6625</v>
      </c>
      <c r="N2641" s="10">
        <v>6625</v>
      </c>
      <c r="O2641" s="10">
        <f>Table1[[#This Row],[NET Amount]]-Table1[[#This Row],[Paid Amount]]</f>
        <v>0</v>
      </c>
      <c r="P2641" s="2" t="s">
        <v>18</v>
      </c>
      <c r="Q2641" s="2" t="s">
        <v>19</v>
      </c>
      <c r="R2641" s="16">
        <f>(Table1[[#This Row],[NET Amount]]-Table1[[#This Row],[Total Outstanding Amount]])/Table1[[#This Row],[NET Amount]]</f>
        <v>1</v>
      </c>
      <c r="S2641" s="2" t="s">
        <v>37</v>
      </c>
    </row>
    <row r="2642" spans="1:19" x14ac:dyDescent="0.3">
      <c r="A2642" s="4">
        <v>2640</v>
      </c>
      <c r="B2642" s="2" t="s">
        <v>35</v>
      </c>
      <c r="C2642" s="3">
        <v>44856</v>
      </c>
      <c r="D2642" s="3" t="str">
        <f>TEXT(Table1[[#This Row],[Admission Date]],"MMMM")</f>
        <v>October</v>
      </c>
      <c r="E2642" s="3">
        <v>44856</v>
      </c>
      <c r="F2642" s="3">
        <v>44856</v>
      </c>
      <c r="G2642" s="2">
        <v>22028124</v>
      </c>
      <c r="H2642" s="2">
        <v>2237005</v>
      </c>
      <c r="I2642" s="2">
        <v>10013480632</v>
      </c>
      <c r="J2642" s="2" t="s">
        <v>210</v>
      </c>
      <c r="K2642" s="10">
        <v>1610</v>
      </c>
      <c r="L2642" s="10">
        <v>0</v>
      </c>
      <c r="M2642" s="10">
        <v>1610</v>
      </c>
      <c r="N2642" s="10">
        <v>1610</v>
      </c>
      <c r="O2642" s="10">
        <f>Table1[[#This Row],[NET Amount]]-Table1[[#This Row],[Paid Amount]]</f>
        <v>0</v>
      </c>
      <c r="P2642" s="2" t="s">
        <v>18</v>
      </c>
      <c r="Q2642" s="2" t="s">
        <v>54</v>
      </c>
      <c r="R2642" s="16">
        <f>(Table1[[#This Row],[NET Amount]]-Table1[[#This Row],[Total Outstanding Amount]])/Table1[[#This Row],[NET Amount]]</f>
        <v>1</v>
      </c>
      <c r="S2642" s="2" t="s">
        <v>97</v>
      </c>
    </row>
    <row r="2643" spans="1:19" x14ac:dyDescent="0.3">
      <c r="A2643" s="4">
        <v>2641</v>
      </c>
      <c r="B2643" s="2" t="s">
        <v>117</v>
      </c>
      <c r="C2643" s="3">
        <v>44845</v>
      </c>
      <c r="D2643" s="3" t="str">
        <f>TEXT(Table1[[#This Row],[Admission Date]],"MMMM")</f>
        <v>October</v>
      </c>
      <c r="E2643" s="3">
        <v>44848</v>
      </c>
      <c r="F2643" s="3">
        <v>44848</v>
      </c>
      <c r="G2643" s="2">
        <v>22027090</v>
      </c>
      <c r="H2643" s="2">
        <v>2235593</v>
      </c>
      <c r="I2643" s="2">
        <v>10013542589</v>
      </c>
      <c r="J2643" s="2" t="s">
        <v>532</v>
      </c>
      <c r="K2643" s="10">
        <v>105491</v>
      </c>
      <c r="L2643" s="10">
        <v>0</v>
      </c>
      <c r="M2643" s="10">
        <v>105491</v>
      </c>
      <c r="N2643" s="10">
        <v>105491</v>
      </c>
      <c r="O2643" s="10">
        <f>Table1[[#This Row],[NET Amount]]-Table1[[#This Row],[Paid Amount]]</f>
        <v>0</v>
      </c>
      <c r="P2643" s="2" t="s">
        <v>18</v>
      </c>
      <c r="Q2643" s="2" t="s">
        <v>24</v>
      </c>
      <c r="R2643" s="16">
        <f>(Table1[[#This Row],[NET Amount]]-Table1[[#This Row],[Total Outstanding Amount]])/Table1[[#This Row],[NET Amount]]</f>
        <v>1</v>
      </c>
      <c r="S2643" s="2" t="s">
        <v>57</v>
      </c>
    </row>
    <row r="2644" spans="1:19" x14ac:dyDescent="0.3">
      <c r="A2644" s="4">
        <v>2642</v>
      </c>
      <c r="B2644" s="2" t="s">
        <v>25</v>
      </c>
      <c r="C2644" s="3">
        <v>44845</v>
      </c>
      <c r="D2644" s="3" t="str">
        <f>TEXT(Table1[[#This Row],[Admission Date]],"MMMM")</f>
        <v>October</v>
      </c>
      <c r="E2644" s="3">
        <v>44845</v>
      </c>
      <c r="F2644" s="3">
        <v>44845</v>
      </c>
      <c r="G2644" s="2">
        <v>22026647</v>
      </c>
      <c r="H2644" s="2">
        <v>2235600</v>
      </c>
      <c r="I2644" s="2">
        <v>10013542445</v>
      </c>
      <c r="J2644" s="2" t="s">
        <v>1599</v>
      </c>
      <c r="K2644" s="10">
        <v>14000</v>
      </c>
      <c r="L2644" s="10">
        <v>0</v>
      </c>
      <c r="M2644" s="10">
        <v>14000</v>
      </c>
      <c r="N2644" s="10">
        <v>14000</v>
      </c>
      <c r="O2644" s="10">
        <f>Table1[[#This Row],[NET Amount]]-Table1[[#This Row],[Paid Amount]]</f>
        <v>0</v>
      </c>
      <c r="P2644" s="2" t="s">
        <v>18</v>
      </c>
      <c r="Q2644" s="2" t="s">
        <v>54</v>
      </c>
      <c r="R2644" s="16">
        <f>(Table1[[#This Row],[NET Amount]]-Table1[[#This Row],[Total Outstanding Amount]])/Table1[[#This Row],[NET Amount]]</f>
        <v>1</v>
      </c>
      <c r="S2644" s="2" t="s">
        <v>39</v>
      </c>
    </row>
    <row r="2645" spans="1:19" x14ac:dyDescent="0.3">
      <c r="A2645" s="4">
        <v>2643</v>
      </c>
      <c r="B2645" s="2" t="s">
        <v>155</v>
      </c>
      <c r="C2645" s="3">
        <v>44863</v>
      </c>
      <c r="D2645" s="3" t="str">
        <f>TEXT(Table1[[#This Row],[Admission Date]],"MMMM")</f>
        <v>October</v>
      </c>
      <c r="E2645" s="3">
        <v>44863</v>
      </c>
      <c r="F2645" s="3">
        <v>44863</v>
      </c>
      <c r="G2645" s="2">
        <v>22029054</v>
      </c>
      <c r="H2645" s="2">
        <v>2237955</v>
      </c>
      <c r="I2645" s="2">
        <v>10013362937</v>
      </c>
      <c r="J2645" s="2" t="s">
        <v>963</v>
      </c>
      <c r="K2645" s="10">
        <v>1610</v>
      </c>
      <c r="L2645" s="10">
        <v>0</v>
      </c>
      <c r="M2645" s="10">
        <v>1610</v>
      </c>
      <c r="N2645" s="10">
        <v>1610</v>
      </c>
      <c r="O2645" s="10">
        <f>Table1[[#This Row],[NET Amount]]-Table1[[#This Row],[Paid Amount]]</f>
        <v>0</v>
      </c>
      <c r="P2645" s="2" t="s">
        <v>18</v>
      </c>
      <c r="Q2645" s="2" t="s">
        <v>54</v>
      </c>
      <c r="R2645" s="16">
        <f>(Table1[[#This Row],[NET Amount]]-Table1[[#This Row],[Total Outstanding Amount]])/Table1[[#This Row],[NET Amount]]</f>
        <v>1</v>
      </c>
      <c r="S2645" s="2" t="s">
        <v>97</v>
      </c>
    </row>
    <row r="2646" spans="1:19" x14ac:dyDescent="0.3">
      <c r="A2646" s="4">
        <v>2644</v>
      </c>
      <c r="B2646" s="2" t="s">
        <v>2244</v>
      </c>
      <c r="C2646" s="3">
        <v>44859</v>
      </c>
      <c r="D2646" s="3" t="str">
        <f>TEXT(Table1[[#This Row],[Admission Date]],"MMMM")</f>
        <v>October</v>
      </c>
      <c r="E2646" s="3">
        <v>44859</v>
      </c>
      <c r="F2646" s="3">
        <v>44859</v>
      </c>
      <c r="G2646" s="2">
        <v>22028512</v>
      </c>
      <c r="H2646" s="2">
        <v>2237330</v>
      </c>
      <c r="I2646" s="2">
        <v>1001735831</v>
      </c>
      <c r="J2646" s="2" t="s">
        <v>693</v>
      </c>
      <c r="K2646" s="10">
        <v>2560</v>
      </c>
      <c r="L2646" s="10">
        <v>0</v>
      </c>
      <c r="M2646" s="10">
        <v>2560</v>
      </c>
      <c r="N2646" s="10">
        <v>2560</v>
      </c>
      <c r="O2646" s="10">
        <f>Table1[[#This Row],[NET Amount]]-Table1[[#This Row],[Paid Amount]]</f>
        <v>0</v>
      </c>
      <c r="P2646" s="2" t="s">
        <v>18</v>
      </c>
      <c r="Q2646" s="2" t="s">
        <v>54</v>
      </c>
      <c r="R2646" s="16">
        <f>(Table1[[#This Row],[NET Amount]]-Table1[[#This Row],[Total Outstanding Amount]])/Table1[[#This Row],[NET Amount]]</f>
        <v>1</v>
      </c>
      <c r="S2646" s="2" t="s">
        <v>97</v>
      </c>
    </row>
    <row r="2647" spans="1:19" x14ac:dyDescent="0.3">
      <c r="A2647" s="4">
        <v>2645</v>
      </c>
      <c r="B2647" s="2" t="s">
        <v>21</v>
      </c>
      <c r="C2647" s="3">
        <v>44862</v>
      </c>
      <c r="D2647" s="3" t="str">
        <f>TEXT(Table1[[#This Row],[Admission Date]],"MMMM")</f>
        <v>October</v>
      </c>
      <c r="E2647" s="3">
        <v>44864</v>
      </c>
      <c r="F2647" s="3">
        <v>44864</v>
      </c>
      <c r="G2647" s="2">
        <v>22029227</v>
      </c>
      <c r="H2647" s="2">
        <v>2237846</v>
      </c>
      <c r="I2647" s="2">
        <v>10013542858</v>
      </c>
      <c r="J2647" s="2" t="s">
        <v>232</v>
      </c>
      <c r="K2647" s="10">
        <v>16027</v>
      </c>
      <c r="L2647" s="10">
        <v>0</v>
      </c>
      <c r="M2647" s="10">
        <v>16027</v>
      </c>
      <c r="N2647" s="10">
        <v>16027</v>
      </c>
      <c r="O2647" s="10">
        <f>Table1[[#This Row],[NET Amount]]-Table1[[#This Row],[Paid Amount]]</f>
        <v>0</v>
      </c>
      <c r="P2647" s="2" t="s">
        <v>18</v>
      </c>
      <c r="Q2647" s="2" t="s">
        <v>24</v>
      </c>
      <c r="R2647" s="16">
        <f>(Table1[[#This Row],[NET Amount]]-Table1[[#This Row],[Total Outstanding Amount]])/Table1[[#This Row],[NET Amount]]</f>
        <v>1</v>
      </c>
      <c r="S2647" s="2" t="s">
        <v>162</v>
      </c>
    </row>
    <row r="2648" spans="1:19" x14ac:dyDescent="0.3">
      <c r="A2648" s="4">
        <v>2646</v>
      </c>
      <c r="B2648" s="2" t="s">
        <v>259</v>
      </c>
      <c r="C2648" s="3">
        <v>44833</v>
      </c>
      <c r="D2648" s="3" t="str">
        <f>TEXT(Table1[[#This Row],[Admission Date]],"MMMM")</f>
        <v>September</v>
      </c>
      <c r="E2648" s="3">
        <v>44838</v>
      </c>
      <c r="F2648" s="3">
        <v>44838</v>
      </c>
      <c r="G2648" s="2">
        <v>22025561</v>
      </c>
      <c r="H2648" s="2">
        <v>2233872</v>
      </c>
      <c r="I2648" s="2">
        <v>10013540736</v>
      </c>
      <c r="J2648" s="2" t="s">
        <v>1600</v>
      </c>
      <c r="K2648" s="10">
        <v>167430</v>
      </c>
      <c r="L2648" s="10">
        <v>21464</v>
      </c>
      <c r="M2648" s="10">
        <v>145967</v>
      </c>
      <c r="N2648" s="10">
        <v>12829</v>
      </c>
      <c r="O2648" s="10">
        <f>Table1[[#This Row],[NET Amount]]-Table1[[#This Row],[Paid Amount]]</f>
        <v>133138</v>
      </c>
      <c r="P2648" s="2" t="s">
        <v>23</v>
      </c>
      <c r="Q2648" s="2" t="s">
        <v>104</v>
      </c>
      <c r="R2648" s="16">
        <f>(Table1[[#This Row],[NET Amount]]-Table1[[#This Row],[Total Outstanding Amount]])/Table1[[#This Row],[NET Amount]]</f>
        <v>8.7889728500277459E-2</v>
      </c>
      <c r="S2648" s="2" t="s">
        <v>20</v>
      </c>
    </row>
    <row r="2649" spans="1:19" x14ac:dyDescent="0.3">
      <c r="A2649" s="4">
        <v>2647</v>
      </c>
      <c r="B2649" s="2" t="s">
        <v>25</v>
      </c>
      <c r="C2649" s="3">
        <v>44838</v>
      </c>
      <c r="D2649" s="3" t="str">
        <f>TEXT(Table1[[#This Row],[Admission Date]],"MMMM")</f>
        <v>October</v>
      </c>
      <c r="E2649" s="3">
        <v>44838</v>
      </c>
      <c r="F2649" s="3">
        <v>44838</v>
      </c>
      <c r="G2649" s="2">
        <v>22025621</v>
      </c>
      <c r="H2649" s="2">
        <v>2234623</v>
      </c>
      <c r="I2649" s="2">
        <v>1001770185</v>
      </c>
      <c r="J2649" s="2" t="s">
        <v>1601</v>
      </c>
      <c r="K2649" s="10">
        <v>0</v>
      </c>
      <c r="L2649" s="10">
        <v>0</v>
      </c>
      <c r="M2649" s="10">
        <v>0</v>
      </c>
      <c r="N2649" s="10">
        <v>0</v>
      </c>
      <c r="O2649" s="10">
        <f>Table1[[#This Row],[NET Amount]]-Table1[[#This Row],[Paid Amount]]</f>
        <v>0</v>
      </c>
      <c r="P2649" s="2" t="s">
        <v>18</v>
      </c>
      <c r="Q2649" s="2" t="s">
        <v>19</v>
      </c>
      <c r="R2649" s="16" t="e">
        <f>(Table1[[#This Row],[NET Amount]]-Table1[[#This Row],[Total Outstanding Amount]])/Table1[[#This Row],[NET Amount]]</f>
        <v>#DIV/0!</v>
      </c>
      <c r="S2649" s="2" t="s">
        <v>20</v>
      </c>
    </row>
    <row r="2650" spans="1:19" x14ac:dyDescent="0.3">
      <c r="A2650" s="4">
        <v>2648</v>
      </c>
      <c r="B2650" s="2" t="s">
        <v>25</v>
      </c>
      <c r="C2650" s="3">
        <v>44844</v>
      </c>
      <c r="D2650" s="3" t="str">
        <f>TEXT(Table1[[#This Row],[Admission Date]],"MMMM")</f>
        <v>October</v>
      </c>
      <c r="E2650" s="3">
        <v>44844</v>
      </c>
      <c r="F2650" s="3">
        <v>44844</v>
      </c>
      <c r="G2650" s="2">
        <v>22026342</v>
      </c>
      <c r="H2650" s="2">
        <v>2235338</v>
      </c>
      <c r="I2650" s="2">
        <v>1001314823</v>
      </c>
      <c r="J2650" s="2" t="s">
        <v>129</v>
      </c>
      <c r="K2650" s="10">
        <v>3630</v>
      </c>
      <c r="L2650" s="10">
        <v>278</v>
      </c>
      <c r="M2650" s="10">
        <v>3352</v>
      </c>
      <c r="N2650" s="10">
        <v>3352</v>
      </c>
      <c r="O2650" s="10">
        <f>Table1[[#This Row],[NET Amount]]-Table1[[#This Row],[Paid Amount]]</f>
        <v>0</v>
      </c>
      <c r="P2650" s="2" t="s">
        <v>18</v>
      </c>
      <c r="Q2650" s="2" t="s">
        <v>54</v>
      </c>
      <c r="R2650" s="16">
        <f>(Table1[[#This Row],[NET Amount]]-Table1[[#This Row],[Total Outstanding Amount]])/Table1[[#This Row],[NET Amount]]</f>
        <v>1</v>
      </c>
      <c r="S2650" s="2" t="s">
        <v>97</v>
      </c>
    </row>
    <row r="2651" spans="1:19" x14ac:dyDescent="0.3">
      <c r="A2651" s="4">
        <v>2649</v>
      </c>
      <c r="B2651" s="2" t="s">
        <v>25</v>
      </c>
      <c r="C2651" s="3">
        <v>44831</v>
      </c>
      <c r="D2651" s="3" t="str">
        <f>TEXT(Table1[[#This Row],[Admission Date]],"MMMM")</f>
        <v>September</v>
      </c>
      <c r="E2651" s="3">
        <v>44837</v>
      </c>
      <c r="F2651" s="3">
        <v>44837</v>
      </c>
      <c r="G2651" s="2">
        <v>22025422</v>
      </c>
      <c r="H2651" s="2">
        <v>2233694</v>
      </c>
      <c r="I2651" s="2">
        <v>1000929939</v>
      </c>
      <c r="J2651" s="2" t="s">
        <v>1051</v>
      </c>
      <c r="K2651" s="10">
        <v>158160</v>
      </c>
      <c r="L2651" s="10">
        <v>31014</v>
      </c>
      <c r="M2651" s="10">
        <v>127147</v>
      </c>
      <c r="N2651" s="10">
        <v>127147</v>
      </c>
      <c r="O2651" s="10">
        <f>Table1[[#This Row],[NET Amount]]-Table1[[#This Row],[Paid Amount]]</f>
        <v>0</v>
      </c>
      <c r="P2651" s="2" t="s">
        <v>18</v>
      </c>
      <c r="Q2651" s="2" t="s">
        <v>30</v>
      </c>
      <c r="R2651" s="16">
        <f>(Table1[[#This Row],[NET Amount]]-Table1[[#This Row],[Total Outstanding Amount]])/Table1[[#This Row],[NET Amount]]</f>
        <v>1</v>
      </c>
      <c r="S2651" s="2" t="s">
        <v>39</v>
      </c>
    </row>
    <row r="2652" spans="1:19" x14ac:dyDescent="0.3">
      <c r="A2652" s="4">
        <v>2650</v>
      </c>
      <c r="B2652" s="2" t="s">
        <v>25</v>
      </c>
      <c r="C2652" s="3">
        <v>44855</v>
      </c>
      <c r="D2652" s="3" t="str">
        <f>TEXT(Table1[[#This Row],[Admission Date]],"MMMM")</f>
        <v>October</v>
      </c>
      <c r="E2652" s="3">
        <v>44856</v>
      </c>
      <c r="F2652" s="3">
        <v>44856</v>
      </c>
      <c r="G2652" s="2">
        <v>22028285</v>
      </c>
      <c r="H2652" s="2">
        <v>2236895</v>
      </c>
      <c r="I2652" s="2">
        <v>10013544000</v>
      </c>
      <c r="J2652" s="2" t="s">
        <v>1602</v>
      </c>
      <c r="K2652" s="10">
        <v>238480</v>
      </c>
      <c r="L2652" s="10">
        <v>76237</v>
      </c>
      <c r="M2652" s="10">
        <v>162243</v>
      </c>
      <c r="N2652" s="10">
        <v>162243</v>
      </c>
      <c r="O2652" s="10">
        <f>Table1[[#This Row],[NET Amount]]-Table1[[#This Row],[Paid Amount]]</f>
        <v>0</v>
      </c>
      <c r="P2652" s="2" t="s">
        <v>18</v>
      </c>
      <c r="Q2652" s="2" t="s">
        <v>225</v>
      </c>
      <c r="R2652" s="16">
        <f>(Table1[[#This Row],[NET Amount]]-Table1[[#This Row],[Total Outstanding Amount]])/Table1[[#This Row],[NET Amount]]</f>
        <v>1</v>
      </c>
      <c r="S2652" s="2" t="s">
        <v>77</v>
      </c>
    </row>
    <row r="2653" spans="1:19" x14ac:dyDescent="0.3">
      <c r="A2653" s="4">
        <v>2651</v>
      </c>
      <c r="B2653" s="2" t="s">
        <v>25</v>
      </c>
      <c r="C2653" s="3">
        <v>44858</v>
      </c>
      <c r="D2653" s="3" t="str">
        <f>TEXT(Table1[[#This Row],[Admission Date]],"MMMM")</f>
        <v>October</v>
      </c>
      <c r="E2653" s="3">
        <v>44860</v>
      </c>
      <c r="F2653" s="3">
        <v>44860</v>
      </c>
      <c r="G2653" s="2">
        <v>22028604</v>
      </c>
      <c r="H2653" s="2">
        <v>2237237</v>
      </c>
      <c r="I2653" s="2">
        <v>1001805967</v>
      </c>
      <c r="J2653" s="2" t="s">
        <v>129</v>
      </c>
      <c r="K2653" s="10">
        <v>260589</v>
      </c>
      <c r="L2653" s="10">
        <v>0</v>
      </c>
      <c r="M2653" s="10">
        <v>260589</v>
      </c>
      <c r="N2653" s="10">
        <v>260589</v>
      </c>
      <c r="O2653" s="10">
        <f>Table1[[#This Row],[NET Amount]]-Table1[[#This Row],[Paid Amount]]</f>
        <v>0</v>
      </c>
      <c r="P2653" s="2" t="s">
        <v>18</v>
      </c>
      <c r="Q2653" s="2" t="s">
        <v>24</v>
      </c>
      <c r="R2653" s="16">
        <f>(Table1[[#This Row],[NET Amount]]-Table1[[#This Row],[Total Outstanding Amount]])/Table1[[#This Row],[NET Amount]]</f>
        <v>1</v>
      </c>
      <c r="S2653" s="2" t="s">
        <v>39</v>
      </c>
    </row>
    <row r="2654" spans="1:19" x14ac:dyDescent="0.3">
      <c r="A2654" s="4">
        <v>2652</v>
      </c>
      <c r="B2654" s="2" t="s">
        <v>2244</v>
      </c>
      <c r="C2654" s="3">
        <v>44835</v>
      </c>
      <c r="D2654" s="3" t="str">
        <f>TEXT(Table1[[#This Row],[Admission Date]],"MMMM")</f>
        <v>October</v>
      </c>
      <c r="E2654" s="3">
        <v>44835</v>
      </c>
      <c r="F2654" s="3">
        <v>44835</v>
      </c>
      <c r="G2654" s="2">
        <v>22025182</v>
      </c>
      <c r="H2654" s="2">
        <v>2234214</v>
      </c>
      <c r="I2654" s="2">
        <v>1001797549</v>
      </c>
      <c r="J2654" s="2" t="s">
        <v>121</v>
      </c>
      <c r="K2654" s="10">
        <v>2560</v>
      </c>
      <c r="L2654" s="10">
        <v>0</v>
      </c>
      <c r="M2654" s="10">
        <v>2560</v>
      </c>
      <c r="N2654" s="10">
        <v>2560</v>
      </c>
      <c r="O2654" s="10">
        <f>Table1[[#This Row],[NET Amount]]-Table1[[#This Row],[Paid Amount]]</f>
        <v>0</v>
      </c>
      <c r="P2654" s="2" t="s">
        <v>18</v>
      </c>
      <c r="Q2654" s="2" t="s">
        <v>54</v>
      </c>
      <c r="R2654" s="16">
        <f>(Table1[[#This Row],[NET Amount]]-Table1[[#This Row],[Total Outstanding Amount]])/Table1[[#This Row],[NET Amount]]</f>
        <v>1</v>
      </c>
      <c r="S2654" s="2" t="s">
        <v>97</v>
      </c>
    </row>
    <row r="2655" spans="1:19" x14ac:dyDescent="0.3">
      <c r="A2655" s="4">
        <v>2653</v>
      </c>
      <c r="B2655" s="2" t="s">
        <v>2254</v>
      </c>
      <c r="C2655" s="3">
        <v>44839</v>
      </c>
      <c r="D2655" s="3" t="str">
        <f>TEXT(Table1[[#This Row],[Admission Date]],"MMMM")</f>
        <v>October</v>
      </c>
      <c r="E2655" s="3">
        <v>44845</v>
      </c>
      <c r="F2655" s="3">
        <v>44845</v>
      </c>
      <c r="G2655" s="2">
        <v>22026534</v>
      </c>
      <c r="H2655" s="2">
        <v>2234738</v>
      </c>
      <c r="I2655" s="2">
        <v>1001802559</v>
      </c>
      <c r="J2655" s="2" t="s">
        <v>1603</v>
      </c>
      <c r="K2655" s="10">
        <v>47779</v>
      </c>
      <c r="L2655" s="10">
        <v>8141</v>
      </c>
      <c r="M2655" s="10">
        <v>39638</v>
      </c>
      <c r="N2655" s="10">
        <v>3397</v>
      </c>
      <c r="O2655" s="10">
        <f>Table1[[#This Row],[NET Amount]]-Table1[[#This Row],[Paid Amount]]</f>
        <v>36241</v>
      </c>
      <c r="P2655" s="2" t="s">
        <v>23</v>
      </c>
      <c r="Q2655" s="2" t="s">
        <v>24</v>
      </c>
      <c r="R2655" s="16">
        <f>(Table1[[#This Row],[NET Amount]]-Table1[[#This Row],[Total Outstanding Amount]])/Table1[[#This Row],[NET Amount]]</f>
        <v>8.5700590342600538E-2</v>
      </c>
      <c r="S2655" s="2" t="s">
        <v>37</v>
      </c>
    </row>
    <row r="2656" spans="1:19" x14ac:dyDescent="0.3">
      <c r="A2656" s="4">
        <v>2654</v>
      </c>
      <c r="B2656" s="2" t="s">
        <v>2256</v>
      </c>
      <c r="C2656" s="3">
        <v>44839</v>
      </c>
      <c r="D2656" s="3" t="str">
        <f>TEXT(Table1[[#This Row],[Admission Date]],"MMMM")</f>
        <v>October</v>
      </c>
      <c r="E2656" s="3">
        <v>44842</v>
      </c>
      <c r="F2656" s="3">
        <v>44842</v>
      </c>
      <c r="G2656" s="2">
        <v>22026143</v>
      </c>
      <c r="H2656" s="2">
        <v>2234743</v>
      </c>
      <c r="I2656" s="2">
        <v>1001802560</v>
      </c>
      <c r="J2656" s="2" t="s">
        <v>1604</v>
      </c>
      <c r="K2656" s="10">
        <v>41223</v>
      </c>
      <c r="L2656" s="10">
        <v>5972</v>
      </c>
      <c r="M2656" s="10">
        <v>35251</v>
      </c>
      <c r="N2656" s="10">
        <v>8042</v>
      </c>
      <c r="O2656" s="10">
        <f>Table1[[#This Row],[NET Amount]]-Table1[[#This Row],[Paid Amount]]</f>
        <v>27209</v>
      </c>
      <c r="P2656" s="2" t="s">
        <v>23</v>
      </c>
      <c r="Q2656" s="2" t="s">
        <v>42</v>
      </c>
      <c r="R2656" s="16">
        <f>(Table1[[#This Row],[NET Amount]]-Table1[[#This Row],[Total Outstanding Amount]])/Table1[[#This Row],[NET Amount]]</f>
        <v>0.22813537204618309</v>
      </c>
      <c r="S2656" s="2" t="s">
        <v>37</v>
      </c>
    </row>
    <row r="2657" spans="1:19" x14ac:dyDescent="0.3">
      <c r="A2657" s="4">
        <v>2655</v>
      </c>
      <c r="B2657" s="2" t="s">
        <v>168</v>
      </c>
      <c r="C2657" s="3">
        <v>44835</v>
      </c>
      <c r="D2657" s="3" t="str">
        <f>TEXT(Table1[[#This Row],[Admission Date]],"MMMM")</f>
        <v>October</v>
      </c>
      <c r="E2657" s="3">
        <v>44840</v>
      </c>
      <c r="F2657" s="3">
        <v>44840</v>
      </c>
      <c r="G2657" s="2">
        <v>22025864</v>
      </c>
      <c r="H2657" s="2">
        <v>2234264</v>
      </c>
      <c r="I2657" s="2">
        <v>10013473741</v>
      </c>
      <c r="J2657" s="2" t="s">
        <v>1605</v>
      </c>
      <c r="K2657" s="10">
        <v>161399</v>
      </c>
      <c r="L2657" s="10">
        <v>18938</v>
      </c>
      <c r="M2657" s="10">
        <v>142461</v>
      </c>
      <c r="N2657" s="10">
        <v>10037</v>
      </c>
      <c r="O2657" s="10">
        <f>Table1[[#This Row],[NET Amount]]-Table1[[#This Row],[Paid Amount]]</f>
        <v>132424</v>
      </c>
      <c r="P2657" s="2" t="s">
        <v>23</v>
      </c>
      <c r="Q2657" s="2" t="s">
        <v>396</v>
      </c>
      <c r="R2657" s="16">
        <f>(Table1[[#This Row],[NET Amount]]-Table1[[#This Row],[Total Outstanding Amount]])/Table1[[#This Row],[NET Amount]]</f>
        <v>7.0454369967921052E-2</v>
      </c>
      <c r="S2657" s="2" t="s">
        <v>20</v>
      </c>
    </row>
    <row r="2658" spans="1:19" x14ac:dyDescent="0.3">
      <c r="A2658" s="4">
        <v>2656</v>
      </c>
      <c r="B2658" s="2" t="s">
        <v>152</v>
      </c>
      <c r="C2658" s="3">
        <v>44845</v>
      </c>
      <c r="D2658" s="3" t="str">
        <f>TEXT(Table1[[#This Row],[Admission Date]],"MMMM")</f>
        <v>October</v>
      </c>
      <c r="E2658" s="3">
        <v>44848</v>
      </c>
      <c r="F2658" s="3">
        <v>44848</v>
      </c>
      <c r="G2658" s="2">
        <v>22027020</v>
      </c>
      <c r="H2658" s="2">
        <v>2235557</v>
      </c>
      <c r="I2658" s="2">
        <v>1000978180</v>
      </c>
      <c r="J2658" s="2" t="s">
        <v>760</v>
      </c>
      <c r="K2658" s="10">
        <v>151568</v>
      </c>
      <c r="L2658" s="10">
        <v>0</v>
      </c>
      <c r="M2658" s="10">
        <v>151568</v>
      </c>
      <c r="N2658" s="10">
        <v>12210</v>
      </c>
      <c r="O2658" s="10">
        <f>Table1[[#This Row],[NET Amount]]-Table1[[#This Row],[Paid Amount]]</f>
        <v>139358</v>
      </c>
      <c r="P2658" s="2" t="s">
        <v>23</v>
      </c>
      <c r="Q2658" s="2" t="s">
        <v>19</v>
      </c>
      <c r="R2658" s="16">
        <f>(Table1[[#This Row],[NET Amount]]-Table1[[#This Row],[Total Outstanding Amount]])/Table1[[#This Row],[NET Amount]]</f>
        <v>8.0557901403990287E-2</v>
      </c>
      <c r="S2658" s="2" t="s">
        <v>39</v>
      </c>
    </row>
    <row r="2659" spans="1:19" x14ac:dyDescent="0.3">
      <c r="A2659" s="4">
        <v>2657</v>
      </c>
      <c r="B2659" s="2" t="s">
        <v>2291</v>
      </c>
      <c r="C2659" s="3">
        <v>44848</v>
      </c>
      <c r="D2659" s="3" t="str">
        <f>TEXT(Table1[[#This Row],[Admission Date]],"MMMM")</f>
        <v>October</v>
      </c>
      <c r="E2659" s="3">
        <v>44848</v>
      </c>
      <c r="F2659" s="3">
        <v>44848</v>
      </c>
      <c r="G2659" s="2">
        <v>22027045</v>
      </c>
      <c r="H2659" s="2">
        <v>2235905</v>
      </c>
      <c r="I2659" s="2">
        <v>1000928510</v>
      </c>
      <c r="J2659" s="2" t="s">
        <v>1606</v>
      </c>
      <c r="K2659" s="10">
        <v>15982</v>
      </c>
      <c r="L2659" s="10">
        <v>15982</v>
      </c>
      <c r="M2659" s="10">
        <v>0</v>
      </c>
      <c r="N2659" s="10">
        <v>0</v>
      </c>
      <c r="O2659" s="10">
        <f>Table1[[#This Row],[NET Amount]]-Table1[[#This Row],[Paid Amount]]</f>
        <v>0</v>
      </c>
      <c r="P2659" s="2" t="s">
        <v>18</v>
      </c>
      <c r="Q2659" s="2" t="s">
        <v>90</v>
      </c>
      <c r="R2659" s="16" t="e">
        <f>(Table1[[#This Row],[NET Amount]]-Table1[[#This Row],[Total Outstanding Amount]])/Table1[[#This Row],[NET Amount]]</f>
        <v>#DIV/0!</v>
      </c>
      <c r="S2659" s="2" t="s">
        <v>27</v>
      </c>
    </row>
    <row r="2660" spans="1:19" x14ac:dyDescent="0.3">
      <c r="A2660" s="4">
        <v>2658</v>
      </c>
      <c r="B2660" s="2" t="s">
        <v>25</v>
      </c>
      <c r="C2660" s="3">
        <v>44846</v>
      </c>
      <c r="D2660" s="3" t="str">
        <f>TEXT(Table1[[#This Row],[Admission Date]],"MMMM")</f>
        <v>October</v>
      </c>
      <c r="E2660" s="3">
        <v>44848</v>
      </c>
      <c r="F2660" s="3">
        <v>44848</v>
      </c>
      <c r="G2660" s="2">
        <v>22027019</v>
      </c>
      <c r="H2660" s="2">
        <v>2235684</v>
      </c>
      <c r="I2660" s="2">
        <v>1001803941</v>
      </c>
      <c r="J2660" s="2" t="s">
        <v>1607</v>
      </c>
      <c r="K2660" s="10">
        <v>29161</v>
      </c>
      <c r="L2660" s="10">
        <v>5091</v>
      </c>
      <c r="M2660" s="10">
        <v>24070</v>
      </c>
      <c r="N2660" s="10">
        <v>24070</v>
      </c>
      <c r="O2660" s="10">
        <f>Table1[[#This Row],[NET Amount]]-Table1[[#This Row],[Paid Amount]]</f>
        <v>0</v>
      </c>
      <c r="P2660" s="2" t="s">
        <v>18</v>
      </c>
      <c r="Q2660" s="2" t="s">
        <v>24</v>
      </c>
      <c r="R2660" s="16">
        <f>(Table1[[#This Row],[NET Amount]]-Table1[[#This Row],[Total Outstanding Amount]])/Table1[[#This Row],[NET Amount]]</f>
        <v>1</v>
      </c>
      <c r="S2660" s="2" t="s">
        <v>37</v>
      </c>
    </row>
    <row r="2661" spans="1:19" x14ac:dyDescent="0.3">
      <c r="A2661" s="4">
        <v>2659</v>
      </c>
      <c r="B2661" s="2" t="s">
        <v>126</v>
      </c>
      <c r="C2661" s="3">
        <v>44863</v>
      </c>
      <c r="D2661" s="3" t="str">
        <f>TEXT(Table1[[#This Row],[Admission Date]],"MMMM")</f>
        <v>October</v>
      </c>
      <c r="E2661" s="3">
        <v>44864</v>
      </c>
      <c r="F2661" s="3">
        <v>44864</v>
      </c>
      <c r="G2661" s="2">
        <v>22029222</v>
      </c>
      <c r="H2661" s="2">
        <v>2237979</v>
      </c>
      <c r="I2661" s="2">
        <v>10013545086</v>
      </c>
      <c r="J2661" s="2" t="s">
        <v>1608</v>
      </c>
      <c r="K2661" s="10">
        <v>76061</v>
      </c>
      <c r="L2661" s="10">
        <v>9585</v>
      </c>
      <c r="M2661" s="10">
        <v>66477</v>
      </c>
      <c r="N2661" s="10">
        <v>7964</v>
      </c>
      <c r="O2661" s="10">
        <f>Table1[[#This Row],[NET Amount]]-Table1[[#This Row],[Paid Amount]]</f>
        <v>58513</v>
      </c>
      <c r="P2661" s="2" t="s">
        <v>23</v>
      </c>
      <c r="Q2661" s="2" t="s">
        <v>19</v>
      </c>
      <c r="R2661" s="16">
        <f>(Table1[[#This Row],[NET Amount]]-Table1[[#This Row],[Total Outstanding Amount]])/Table1[[#This Row],[NET Amount]]</f>
        <v>0.11980083337094033</v>
      </c>
      <c r="S2661" s="2" t="s">
        <v>77</v>
      </c>
    </row>
    <row r="2662" spans="1:19" x14ac:dyDescent="0.3">
      <c r="A2662" s="4">
        <v>2660</v>
      </c>
      <c r="B2662" s="2" t="s">
        <v>25</v>
      </c>
      <c r="C2662" s="3">
        <v>44851</v>
      </c>
      <c r="D2662" s="3" t="str">
        <f>TEXT(Table1[[#This Row],[Admission Date]],"MMMM")</f>
        <v>October</v>
      </c>
      <c r="E2662" s="3">
        <v>44851</v>
      </c>
      <c r="F2662" s="3">
        <v>44851</v>
      </c>
      <c r="G2662" s="2">
        <v>22027503</v>
      </c>
      <c r="H2662" s="2">
        <v>2236395</v>
      </c>
      <c r="I2662" s="2">
        <v>1001130529</v>
      </c>
      <c r="J2662" s="2" t="s">
        <v>302</v>
      </c>
      <c r="K2662" s="10">
        <v>2794</v>
      </c>
      <c r="L2662" s="10">
        <v>2794</v>
      </c>
      <c r="M2662" s="10">
        <v>0</v>
      </c>
      <c r="N2662" s="10">
        <v>0</v>
      </c>
      <c r="O2662" s="10">
        <f>Table1[[#This Row],[NET Amount]]-Table1[[#This Row],[Paid Amount]]</f>
        <v>0</v>
      </c>
      <c r="P2662" s="2" t="s">
        <v>18</v>
      </c>
      <c r="Q2662" s="2" t="s">
        <v>90</v>
      </c>
      <c r="R2662" s="16" t="e">
        <f>(Table1[[#This Row],[NET Amount]]-Table1[[#This Row],[Total Outstanding Amount]])/Table1[[#This Row],[NET Amount]]</f>
        <v>#DIV/0!</v>
      </c>
      <c r="S2662" s="2" t="s">
        <v>97</v>
      </c>
    </row>
    <row r="2663" spans="1:19" x14ac:dyDescent="0.3">
      <c r="A2663" s="4">
        <v>2661</v>
      </c>
      <c r="B2663" s="2" t="s">
        <v>25</v>
      </c>
      <c r="C2663" s="3">
        <v>44849</v>
      </c>
      <c r="D2663" s="3" t="str">
        <f>TEXT(Table1[[#This Row],[Admission Date]],"MMMM")</f>
        <v>October</v>
      </c>
      <c r="E2663" s="3">
        <v>44852</v>
      </c>
      <c r="F2663" s="3">
        <v>44852</v>
      </c>
      <c r="G2663" s="2">
        <v>22027544</v>
      </c>
      <c r="H2663" s="2">
        <v>2236100</v>
      </c>
      <c r="I2663" s="2">
        <v>10013444351</v>
      </c>
      <c r="J2663" s="2" t="s">
        <v>1609</v>
      </c>
      <c r="K2663" s="10">
        <v>111263</v>
      </c>
      <c r="L2663" s="10">
        <v>14305</v>
      </c>
      <c r="M2663" s="10">
        <v>96958</v>
      </c>
      <c r="N2663" s="10">
        <v>96958</v>
      </c>
      <c r="O2663" s="10">
        <f>Table1[[#This Row],[NET Amount]]-Table1[[#This Row],[Paid Amount]]</f>
        <v>0</v>
      </c>
      <c r="P2663" s="2" t="s">
        <v>18</v>
      </c>
      <c r="Q2663" s="2" t="s">
        <v>30</v>
      </c>
      <c r="R2663" s="16">
        <f>(Table1[[#This Row],[NET Amount]]-Table1[[#This Row],[Total Outstanding Amount]])/Table1[[#This Row],[NET Amount]]</f>
        <v>1</v>
      </c>
      <c r="S2663" s="2" t="s">
        <v>27</v>
      </c>
    </row>
    <row r="2664" spans="1:19" x14ac:dyDescent="0.3">
      <c r="A2664" s="4">
        <v>2662</v>
      </c>
      <c r="B2664" s="2" t="s">
        <v>2254</v>
      </c>
      <c r="C2664" s="3">
        <v>44863</v>
      </c>
      <c r="D2664" s="3" t="str">
        <f>TEXT(Table1[[#This Row],[Admission Date]],"MMMM")</f>
        <v>October</v>
      </c>
      <c r="E2664" s="3">
        <v>44864</v>
      </c>
      <c r="F2664" s="3">
        <v>44864</v>
      </c>
      <c r="G2664" s="2">
        <v>22029230</v>
      </c>
      <c r="H2664" s="2">
        <v>2237927</v>
      </c>
      <c r="I2664" s="2">
        <v>1001806905</v>
      </c>
      <c r="J2664" s="2" t="s">
        <v>1610</v>
      </c>
      <c r="K2664" s="10">
        <v>65975</v>
      </c>
      <c r="L2664" s="10">
        <v>3848</v>
      </c>
      <c r="M2664" s="10">
        <v>62126</v>
      </c>
      <c r="N2664" s="10">
        <v>1000</v>
      </c>
      <c r="O2664" s="10">
        <f>Table1[[#This Row],[NET Amount]]-Table1[[#This Row],[Paid Amount]]</f>
        <v>61126</v>
      </c>
      <c r="P2664" s="2" t="s">
        <v>23</v>
      </c>
      <c r="Q2664" s="2" t="s">
        <v>30</v>
      </c>
      <c r="R2664" s="16">
        <f>(Table1[[#This Row],[NET Amount]]-Table1[[#This Row],[Total Outstanding Amount]])/Table1[[#This Row],[NET Amount]]</f>
        <v>1.6096320381160868E-2</v>
      </c>
      <c r="S2664" s="2" t="s">
        <v>77</v>
      </c>
    </row>
    <row r="2665" spans="1:19" x14ac:dyDescent="0.3">
      <c r="A2665" s="4">
        <v>2663</v>
      </c>
      <c r="B2665" s="2" t="s">
        <v>25</v>
      </c>
      <c r="C2665" s="3">
        <v>44865</v>
      </c>
      <c r="D2665" s="3" t="str">
        <f>TEXT(Table1[[#This Row],[Admission Date]],"MMMM")</f>
        <v>October</v>
      </c>
      <c r="E2665" s="3">
        <v>44865</v>
      </c>
      <c r="F2665" s="3">
        <v>44865</v>
      </c>
      <c r="G2665" s="2">
        <v>22029359</v>
      </c>
      <c r="H2665" s="2">
        <v>2238174</v>
      </c>
      <c r="I2665" s="2">
        <v>1001807314</v>
      </c>
      <c r="J2665" s="2" t="s">
        <v>1611</v>
      </c>
      <c r="K2665" s="10">
        <v>18130</v>
      </c>
      <c r="L2665" s="10">
        <v>620</v>
      </c>
      <c r="M2665" s="10">
        <v>17510</v>
      </c>
      <c r="N2665" s="10">
        <v>17510</v>
      </c>
      <c r="O2665" s="10">
        <f>Table1[[#This Row],[NET Amount]]-Table1[[#This Row],[Paid Amount]]</f>
        <v>0</v>
      </c>
      <c r="P2665" s="2" t="s">
        <v>18</v>
      </c>
      <c r="Q2665" s="2" t="s">
        <v>54</v>
      </c>
      <c r="R2665" s="16">
        <f>(Table1[[#This Row],[NET Amount]]-Table1[[#This Row],[Total Outstanding Amount]])/Table1[[#This Row],[NET Amount]]</f>
        <v>1</v>
      </c>
      <c r="S2665" s="2" t="s">
        <v>39</v>
      </c>
    </row>
    <row r="2666" spans="1:19" x14ac:dyDescent="0.3">
      <c r="A2666" s="4">
        <v>2664</v>
      </c>
      <c r="B2666" s="2" t="s">
        <v>2257</v>
      </c>
      <c r="C2666" s="3">
        <v>44839</v>
      </c>
      <c r="D2666" s="3" t="str">
        <f>TEXT(Table1[[#This Row],[Admission Date]],"MMMM")</f>
        <v>October</v>
      </c>
      <c r="E2666" s="3">
        <v>44843</v>
      </c>
      <c r="F2666" s="3">
        <v>44843</v>
      </c>
      <c r="G2666" s="2">
        <v>22026308</v>
      </c>
      <c r="H2666" s="2">
        <v>2234685</v>
      </c>
      <c r="I2666" s="2">
        <v>1001802528</v>
      </c>
      <c r="J2666" s="2" t="s">
        <v>1231</v>
      </c>
      <c r="K2666" s="10">
        <v>59361</v>
      </c>
      <c r="L2666" s="10">
        <v>13527</v>
      </c>
      <c r="M2666" s="10">
        <v>45834</v>
      </c>
      <c r="N2666" s="10">
        <v>1556</v>
      </c>
      <c r="O2666" s="10">
        <f>Table1[[#This Row],[NET Amount]]-Table1[[#This Row],[Paid Amount]]</f>
        <v>44278</v>
      </c>
      <c r="P2666" s="2" t="s">
        <v>23</v>
      </c>
      <c r="Q2666" s="2" t="s">
        <v>19</v>
      </c>
      <c r="R2666" s="16">
        <f>(Table1[[#This Row],[NET Amount]]-Table1[[#This Row],[Total Outstanding Amount]])/Table1[[#This Row],[NET Amount]]</f>
        <v>3.3948597111314746E-2</v>
      </c>
      <c r="S2666" s="2" t="s">
        <v>20</v>
      </c>
    </row>
    <row r="2667" spans="1:19" x14ac:dyDescent="0.3">
      <c r="A2667" s="4">
        <v>2665</v>
      </c>
      <c r="B2667" s="2" t="s">
        <v>2256</v>
      </c>
      <c r="C2667" s="3">
        <v>44842</v>
      </c>
      <c r="D2667" s="3" t="str">
        <f>TEXT(Table1[[#This Row],[Admission Date]],"MMMM")</f>
        <v>October</v>
      </c>
      <c r="E2667" s="3">
        <v>44843</v>
      </c>
      <c r="F2667" s="3">
        <v>44843</v>
      </c>
      <c r="G2667" s="2">
        <v>22026302</v>
      </c>
      <c r="H2667" s="2">
        <v>2235192</v>
      </c>
      <c r="I2667" s="2">
        <v>1001803294</v>
      </c>
      <c r="J2667" s="2" t="s">
        <v>1612</v>
      </c>
      <c r="K2667" s="10">
        <v>46508</v>
      </c>
      <c r="L2667" s="10">
        <v>4433</v>
      </c>
      <c r="M2667" s="10">
        <v>42075</v>
      </c>
      <c r="N2667" s="10">
        <v>4208</v>
      </c>
      <c r="O2667" s="10">
        <f>Table1[[#This Row],[NET Amount]]-Table1[[#This Row],[Paid Amount]]</f>
        <v>37867</v>
      </c>
      <c r="P2667" s="2" t="s">
        <v>23</v>
      </c>
      <c r="Q2667" s="2" t="s">
        <v>52</v>
      </c>
      <c r="R2667" s="16">
        <f>(Table1[[#This Row],[NET Amount]]-Table1[[#This Row],[Total Outstanding Amount]])/Table1[[#This Row],[NET Amount]]</f>
        <v>0.10001188354129531</v>
      </c>
      <c r="S2667" s="2" t="s">
        <v>77</v>
      </c>
    </row>
    <row r="2668" spans="1:19" x14ac:dyDescent="0.3">
      <c r="A2668" s="4">
        <v>2666</v>
      </c>
      <c r="B2668" s="2" t="s">
        <v>35</v>
      </c>
      <c r="C2668" s="3">
        <v>44836</v>
      </c>
      <c r="D2668" s="3" t="str">
        <f>TEXT(Table1[[#This Row],[Admission Date]],"MMMM")</f>
        <v>October</v>
      </c>
      <c r="E2668" s="3">
        <v>44844</v>
      </c>
      <c r="F2668" s="3">
        <v>44844</v>
      </c>
      <c r="G2668" s="2">
        <v>22026364</v>
      </c>
      <c r="H2668" s="2">
        <v>2234312</v>
      </c>
      <c r="I2668" s="2">
        <v>10013474760</v>
      </c>
      <c r="J2668" s="2" t="s">
        <v>1613</v>
      </c>
      <c r="K2668" s="10">
        <v>240188</v>
      </c>
      <c r="L2668" s="10">
        <v>0</v>
      </c>
      <c r="M2668" s="10">
        <v>240188</v>
      </c>
      <c r="N2668" s="10">
        <v>240188</v>
      </c>
      <c r="O2668" s="10">
        <f>Table1[[#This Row],[NET Amount]]-Table1[[#This Row],[Paid Amount]]</f>
        <v>0</v>
      </c>
      <c r="P2668" s="2" t="s">
        <v>18</v>
      </c>
      <c r="Q2668" s="2" t="s">
        <v>24</v>
      </c>
      <c r="R2668" s="16">
        <f>(Table1[[#This Row],[NET Amount]]-Table1[[#This Row],[Total Outstanding Amount]])/Table1[[#This Row],[NET Amount]]</f>
        <v>1</v>
      </c>
      <c r="S2668" s="2" t="s">
        <v>39</v>
      </c>
    </row>
    <row r="2669" spans="1:19" x14ac:dyDescent="0.3">
      <c r="A2669" s="4">
        <v>2667</v>
      </c>
      <c r="B2669" s="2" t="s">
        <v>25</v>
      </c>
      <c r="C2669" s="3">
        <v>44842</v>
      </c>
      <c r="D2669" s="3" t="str">
        <f>TEXT(Table1[[#This Row],[Admission Date]],"MMMM")</f>
        <v>October</v>
      </c>
      <c r="E2669" s="3">
        <v>44844</v>
      </c>
      <c r="F2669" s="3">
        <v>44844</v>
      </c>
      <c r="G2669" s="2">
        <v>22026384</v>
      </c>
      <c r="H2669" s="2">
        <v>2235148</v>
      </c>
      <c r="I2669" s="2">
        <v>1001194654</v>
      </c>
      <c r="J2669" s="2" t="s">
        <v>1614</v>
      </c>
      <c r="K2669" s="10">
        <v>72307</v>
      </c>
      <c r="L2669" s="10">
        <v>12871</v>
      </c>
      <c r="M2669" s="10">
        <v>59435</v>
      </c>
      <c r="N2669" s="10">
        <v>59435</v>
      </c>
      <c r="O2669" s="10">
        <f>Table1[[#This Row],[NET Amount]]-Table1[[#This Row],[Paid Amount]]</f>
        <v>0</v>
      </c>
      <c r="P2669" s="2" t="s">
        <v>18</v>
      </c>
      <c r="Q2669" s="2" t="s">
        <v>24</v>
      </c>
      <c r="R2669" s="16">
        <f>(Table1[[#This Row],[NET Amount]]-Table1[[#This Row],[Total Outstanding Amount]])/Table1[[#This Row],[NET Amount]]</f>
        <v>1</v>
      </c>
      <c r="S2669" s="2" t="s">
        <v>20</v>
      </c>
    </row>
    <row r="2670" spans="1:19" x14ac:dyDescent="0.3">
      <c r="A2670" s="4">
        <v>2668</v>
      </c>
      <c r="B2670" s="2" t="s">
        <v>75</v>
      </c>
      <c r="C2670" s="3">
        <v>44835</v>
      </c>
      <c r="D2670" s="3" t="str">
        <f>TEXT(Table1[[#This Row],[Admission Date]],"MMMM")</f>
        <v>October</v>
      </c>
      <c r="E2670" s="3">
        <v>44841</v>
      </c>
      <c r="F2670" s="3">
        <v>44841</v>
      </c>
      <c r="G2670" s="2">
        <v>22025958</v>
      </c>
      <c r="H2670" s="2">
        <v>2234235</v>
      </c>
      <c r="I2670" s="2">
        <v>10013541152</v>
      </c>
      <c r="J2670" s="2" t="s">
        <v>488</v>
      </c>
      <c r="K2670" s="10">
        <v>58943</v>
      </c>
      <c r="L2670" s="10">
        <v>0</v>
      </c>
      <c r="M2670" s="10">
        <v>58943</v>
      </c>
      <c r="N2670" s="10">
        <v>2680</v>
      </c>
      <c r="O2670" s="10">
        <f>Table1[[#This Row],[NET Amount]]-Table1[[#This Row],[Paid Amount]]</f>
        <v>56263</v>
      </c>
      <c r="P2670" s="2" t="s">
        <v>23</v>
      </c>
      <c r="Q2670" s="2" t="s">
        <v>30</v>
      </c>
      <c r="R2670" s="16">
        <f>(Table1[[#This Row],[NET Amount]]-Table1[[#This Row],[Total Outstanding Amount]])/Table1[[#This Row],[NET Amount]]</f>
        <v>4.5467655192304432E-2</v>
      </c>
      <c r="S2670" s="2" t="s">
        <v>20</v>
      </c>
    </row>
    <row r="2671" spans="1:19" x14ac:dyDescent="0.3">
      <c r="A2671" s="4">
        <v>2669</v>
      </c>
      <c r="B2671" s="2" t="s">
        <v>25</v>
      </c>
      <c r="C2671" s="3">
        <v>44856</v>
      </c>
      <c r="D2671" s="3" t="str">
        <f>TEXT(Table1[[#This Row],[Admission Date]],"MMMM")</f>
        <v>October</v>
      </c>
      <c r="E2671" s="3">
        <v>44864</v>
      </c>
      <c r="F2671" s="3">
        <v>44864</v>
      </c>
      <c r="G2671" s="2">
        <v>22029224</v>
      </c>
      <c r="H2671" s="2">
        <v>2236986</v>
      </c>
      <c r="I2671" s="2">
        <v>10013544092</v>
      </c>
      <c r="J2671" s="2" t="s">
        <v>1615</v>
      </c>
      <c r="K2671" s="10">
        <v>353152</v>
      </c>
      <c r="L2671" s="10">
        <v>42924</v>
      </c>
      <c r="M2671" s="10">
        <v>310228</v>
      </c>
      <c r="N2671" s="10">
        <v>310228</v>
      </c>
      <c r="O2671" s="10">
        <f>Table1[[#This Row],[NET Amount]]-Table1[[#This Row],[Paid Amount]]</f>
        <v>0</v>
      </c>
      <c r="P2671" s="2" t="s">
        <v>18</v>
      </c>
      <c r="Q2671" s="2" t="s">
        <v>19</v>
      </c>
      <c r="R2671" s="16">
        <f>(Table1[[#This Row],[NET Amount]]-Table1[[#This Row],[Total Outstanding Amount]])/Table1[[#This Row],[NET Amount]]</f>
        <v>1</v>
      </c>
      <c r="S2671" s="2" t="s">
        <v>77</v>
      </c>
    </row>
    <row r="2672" spans="1:19" x14ac:dyDescent="0.3">
      <c r="A2672" s="4">
        <v>2670</v>
      </c>
      <c r="B2672" s="2" t="s">
        <v>75</v>
      </c>
      <c r="C2672" s="3">
        <v>44844</v>
      </c>
      <c r="D2672" s="3" t="str">
        <f>TEXT(Table1[[#This Row],[Admission Date]],"MMMM")</f>
        <v>October</v>
      </c>
      <c r="E2672" s="3">
        <v>44844</v>
      </c>
      <c r="F2672" s="3">
        <v>44844</v>
      </c>
      <c r="G2672" s="2">
        <v>22026445</v>
      </c>
      <c r="H2672" s="2">
        <v>2235364</v>
      </c>
      <c r="I2672" s="2">
        <v>10013511350</v>
      </c>
      <c r="J2672" s="2" t="s">
        <v>1616</v>
      </c>
      <c r="K2672" s="10">
        <v>22183</v>
      </c>
      <c r="L2672" s="10">
        <v>0</v>
      </c>
      <c r="M2672" s="10">
        <v>22183</v>
      </c>
      <c r="N2672" s="10">
        <v>5225</v>
      </c>
      <c r="O2672" s="10">
        <f>Table1[[#This Row],[NET Amount]]-Table1[[#This Row],[Paid Amount]]</f>
        <v>16958</v>
      </c>
      <c r="P2672" s="2" t="s">
        <v>23</v>
      </c>
      <c r="Q2672" s="2" t="s">
        <v>24</v>
      </c>
      <c r="R2672" s="16">
        <f>(Table1[[#This Row],[NET Amount]]-Table1[[#This Row],[Total Outstanding Amount]])/Table1[[#This Row],[NET Amount]]</f>
        <v>0.2355407293873687</v>
      </c>
      <c r="S2672" s="2" t="s">
        <v>768</v>
      </c>
    </row>
    <row r="2673" spans="1:19" x14ac:dyDescent="0.3">
      <c r="A2673" s="4">
        <v>2671</v>
      </c>
      <c r="B2673" s="2" t="s">
        <v>40</v>
      </c>
      <c r="C2673" s="3">
        <v>44863</v>
      </c>
      <c r="D2673" s="3" t="str">
        <f>TEXT(Table1[[#This Row],[Admission Date]],"MMMM")</f>
        <v>October</v>
      </c>
      <c r="E2673" s="3">
        <v>44865</v>
      </c>
      <c r="F2673" s="3">
        <v>44865</v>
      </c>
      <c r="G2673" s="2">
        <v>22029257</v>
      </c>
      <c r="H2673" s="2">
        <v>2238055</v>
      </c>
      <c r="I2673" s="2">
        <v>10013545169</v>
      </c>
      <c r="J2673" s="2" t="s">
        <v>773</v>
      </c>
      <c r="K2673" s="10">
        <v>61422</v>
      </c>
      <c r="L2673" s="10">
        <v>4351</v>
      </c>
      <c r="M2673" s="10">
        <v>57071</v>
      </c>
      <c r="N2673" s="10">
        <v>27973</v>
      </c>
      <c r="O2673" s="10">
        <f>Table1[[#This Row],[NET Amount]]-Table1[[#This Row],[Paid Amount]]</f>
        <v>29098</v>
      </c>
      <c r="P2673" s="2" t="s">
        <v>23</v>
      </c>
      <c r="Q2673" s="2" t="s">
        <v>47</v>
      </c>
      <c r="R2673" s="16">
        <f>(Table1[[#This Row],[NET Amount]]-Table1[[#This Row],[Total Outstanding Amount]])/Table1[[#This Row],[NET Amount]]</f>
        <v>0.49014385589879272</v>
      </c>
      <c r="S2673" s="2" t="s">
        <v>39</v>
      </c>
    </row>
    <row r="2674" spans="1:19" x14ac:dyDescent="0.3">
      <c r="A2674" s="4">
        <v>2672</v>
      </c>
      <c r="B2674" s="2" t="s">
        <v>2261</v>
      </c>
      <c r="C2674" s="3">
        <v>44844</v>
      </c>
      <c r="D2674" s="3" t="str">
        <f>TEXT(Table1[[#This Row],[Admission Date]],"MMMM")</f>
        <v>October</v>
      </c>
      <c r="E2674" s="3">
        <v>44851</v>
      </c>
      <c r="F2674" s="3">
        <v>44851</v>
      </c>
      <c r="G2674" s="2">
        <v>22027411</v>
      </c>
      <c r="H2674" s="2">
        <v>2235404</v>
      </c>
      <c r="I2674" s="2">
        <v>1001665811</v>
      </c>
      <c r="J2674" s="2" t="s">
        <v>1617</v>
      </c>
      <c r="K2674" s="10">
        <v>108648</v>
      </c>
      <c r="L2674" s="10">
        <v>6438</v>
      </c>
      <c r="M2674" s="10">
        <v>102210</v>
      </c>
      <c r="N2674" s="10">
        <v>4435</v>
      </c>
      <c r="O2674" s="10">
        <f>Table1[[#This Row],[NET Amount]]-Table1[[#This Row],[Paid Amount]]</f>
        <v>97775</v>
      </c>
      <c r="P2674" s="2" t="s">
        <v>23</v>
      </c>
      <c r="Q2674" s="2" t="s">
        <v>24</v>
      </c>
      <c r="R2674" s="16">
        <f>(Table1[[#This Row],[NET Amount]]-Table1[[#This Row],[Total Outstanding Amount]])/Table1[[#This Row],[NET Amount]]</f>
        <v>4.3391057626455336E-2</v>
      </c>
      <c r="S2674" s="2" t="s">
        <v>20</v>
      </c>
    </row>
    <row r="2675" spans="1:19" x14ac:dyDescent="0.3">
      <c r="A2675" s="4">
        <v>2673</v>
      </c>
      <c r="B2675" s="2" t="s">
        <v>50</v>
      </c>
      <c r="C2675" s="3">
        <v>44849</v>
      </c>
      <c r="D2675" s="3" t="str">
        <f>TEXT(Table1[[#This Row],[Admission Date]],"MMMM")</f>
        <v>October</v>
      </c>
      <c r="E2675" s="3">
        <v>44852</v>
      </c>
      <c r="F2675" s="3">
        <v>44852</v>
      </c>
      <c r="G2675" s="2">
        <v>22027555</v>
      </c>
      <c r="H2675" s="2">
        <v>2236124</v>
      </c>
      <c r="I2675" s="2">
        <v>10013543164</v>
      </c>
      <c r="J2675" s="2" t="s">
        <v>1618</v>
      </c>
      <c r="K2675" s="10">
        <v>81919</v>
      </c>
      <c r="L2675" s="10">
        <v>11644</v>
      </c>
      <c r="M2675" s="10">
        <v>70275</v>
      </c>
      <c r="N2675" s="10">
        <v>182</v>
      </c>
      <c r="O2675" s="10">
        <f>Table1[[#This Row],[NET Amount]]-Table1[[#This Row],[Paid Amount]]</f>
        <v>70093</v>
      </c>
      <c r="P2675" s="2" t="s">
        <v>23</v>
      </c>
      <c r="Q2675" s="2" t="s">
        <v>30</v>
      </c>
      <c r="R2675" s="16">
        <f>(Table1[[#This Row],[NET Amount]]-Table1[[#This Row],[Total Outstanding Amount]])/Table1[[#This Row],[NET Amount]]</f>
        <v>2.5898256848096764E-3</v>
      </c>
      <c r="S2675" s="2" t="s">
        <v>20</v>
      </c>
    </row>
    <row r="2676" spans="1:19" x14ac:dyDescent="0.3">
      <c r="A2676" s="4">
        <v>2674</v>
      </c>
      <c r="B2676" s="2" t="s">
        <v>45</v>
      </c>
      <c r="C2676" s="3">
        <v>44852</v>
      </c>
      <c r="D2676" s="3" t="str">
        <f>TEXT(Table1[[#This Row],[Admission Date]],"MMMM")</f>
        <v>October</v>
      </c>
      <c r="E2676" s="3">
        <v>44852</v>
      </c>
      <c r="F2676" s="3">
        <v>44852</v>
      </c>
      <c r="G2676" s="2">
        <v>22027613</v>
      </c>
      <c r="H2676" s="2">
        <v>2236461</v>
      </c>
      <c r="I2676" s="2">
        <v>1000851263</v>
      </c>
      <c r="J2676" s="2" t="s">
        <v>1619</v>
      </c>
      <c r="K2676" s="10">
        <v>33993</v>
      </c>
      <c r="L2676" s="10">
        <v>4606</v>
      </c>
      <c r="M2676" s="10">
        <v>29387</v>
      </c>
      <c r="N2676" s="10">
        <v>7946</v>
      </c>
      <c r="O2676" s="10">
        <f>Table1[[#This Row],[NET Amount]]-Table1[[#This Row],[Paid Amount]]</f>
        <v>21441</v>
      </c>
      <c r="P2676" s="2" t="s">
        <v>23</v>
      </c>
      <c r="Q2676" s="2" t="s">
        <v>147</v>
      </c>
      <c r="R2676" s="16">
        <f>(Table1[[#This Row],[NET Amount]]-Table1[[#This Row],[Total Outstanding Amount]])/Table1[[#This Row],[NET Amount]]</f>
        <v>0.2703916697859598</v>
      </c>
      <c r="S2676" s="2" t="s">
        <v>27</v>
      </c>
    </row>
    <row r="2677" spans="1:19" x14ac:dyDescent="0.3">
      <c r="A2677" s="4">
        <v>2675</v>
      </c>
      <c r="B2677" s="2" t="s">
        <v>61</v>
      </c>
      <c r="C2677" s="3">
        <v>44850</v>
      </c>
      <c r="D2677" s="3" t="str">
        <f>TEXT(Table1[[#This Row],[Admission Date]],"MMMM")</f>
        <v>October</v>
      </c>
      <c r="E2677" s="3">
        <v>44852</v>
      </c>
      <c r="F2677" s="3">
        <v>44852</v>
      </c>
      <c r="G2677" s="2">
        <v>22027552</v>
      </c>
      <c r="H2677" s="2">
        <v>2236228</v>
      </c>
      <c r="I2677" s="2">
        <v>10013543244</v>
      </c>
      <c r="J2677" s="2" t="s">
        <v>565</v>
      </c>
      <c r="K2677" s="10">
        <v>299004</v>
      </c>
      <c r="L2677" s="10">
        <v>225</v>
      </c>
      <c r="M2677" s="10">
        <v>298779</v>
      </c>
      <c r="N2677" s="10">
        <v>119559</v>
      </c>
      <c r="O2677" s="10">
        <f>Table1[[#This Row],[NET Amount]]-Table1[[#This Row],[Paid Amount]]</f>
        <v>179220</v>
      </c>
      <c r="P2677" s="2" t="s">
        <v>23</v>
      </c>
      <c r="Q2677" s="2" t="s">
        <v>47</v>
      </c>
      <c r="R2677" s="16">
        <f>(Table1[[#This Row],[NET Amount]]-Table1[[#This Row],[Total Outstanding Amount]])/Table1[[#This Row],[NET Amount]]</f>
        <v>0.40015864568794995</v>
      </c>
      <c r="S2677" s="2" t="s">
        <v>39</v>
      </c>
    </row>
    <row r="2678" spans="1:19" x14ac:dyDescent="0.3">
      <c r="A2678" s="4">
        <v>2676</v>
      </c>
      <c r="B2678" s="2" t="s">
        <v>149</v>
      </c>
      <c r="C2678" s="3">
        <v>44860</v>
      </c>
      <c r="D2678" s="3" t="str">
        <f>TEXT(Table1[[#This Row],[Admission Date]],"MMMM")</f>
        <v>October</v>
      </c>
      <c r="E2678" s="3">
        <v>44864</v>
      </c>
      <c r="F2678" s="3">
        <v>44864</v>
      </c>
      <c r="G2678" s="2">
        <v>22029206</v>
      </c>
      <c r="H2678" s="2">
        <v>2237558</v>
      </c>
      <c r="I2678" s="2">
        <v>10013544646</v>
      </c>
      <c r="J2678" s="2" t="s">
        <v>1620</v>
      </c>
      <c r="K2678" s="10">
        <v>40325</v>
      </c>
      <c r="L2678" s="10">
        <v>0</v>
      </c>
      <c r="M2678" s="10">
        <v>40325</v>
      </c>
      <c r="N2678" s="10">
        <v>1500</v>
      </c>
      <c r="O2678" s="10">
        <f>Table1[[#This Row],[NET Amount]]-Table1[[#This Row],[Paid Amount]]</f>
        <v>38825</v>
      </c>
      <c r="P2678" s="2" t="s">
        <v>23</v>
      </c>
      <c r="Q2678" s="2" t="s">
        <v>24</v>
      </c>
      <c r="R2678" s="16">
        <f>(Table1[[#This Row],[NET Amount]]-Table1[[#This Row],[Total Outstanding Amount]])/Table1[[#This Row],[NET Amount]]</f>
        <v>3.7197768133911964E-2</v>
      </c>
      <c r="S2678" s="2" t="s">
        <v>20</v>
      </c>
    </row>
    <row r="2679" spans="1:19" x14ac:dyDescent="0.3">
      <c r="A2679" s="4">
        <v>2677</v>
      </c>
      <c r="B2679" s="2" t="s">
        <v>149</v>
      </c>
      <c r="C2679" s="3">
        <v>44861</v>
      </c>
      <c r="D2679" s="3" t="str">
        <f>TEXT(Table1[[#This Row],[Admission Date]],"MMMM")</f>
        <v>October</v>
      </c>
      <c r="E2679" s="3">
        <v>44864</v>
      </c>
      <c r="F2679" s="3">
        <v>44864</v>
      </c>
      <c r="G2679" s="2">
        <v>22029218</v>
      </c>
      <c r="H2679" s="2">
        <v>2237691</v>
      </c>
      <c r="I2679" s="2">
        <v>10013491061</v>
      </c>
      <c r="J2679" s="2" t="s">
        <v>1621</v>
      </c>
      <c r="K2679" s="10">
        <v>48716</v>
      </c>
      <c r="L2679" s="10">
        <v>0</v>
      </c>
      <c r="M2679" s="10">
        <v>48716</v>
      </c>
      <c r="N2679" s="10">
        <v>1678</v>
      </c>
      <c r="O2679" s="10">
        <f>Table1[[#This Row],[NET Amount]]-Table1[[#This Row],[Paid Amount]]</f>
        <v>47038</v>
      </c>
      <c r="P2679" s="2" t="s">
        <v>23</v>
      </c>
      <c r="Q2679" s="2" t="s">
        <v>30</v>
      </c>
      <c r="R2679" s="16">
        <f>(Table1[[#This Row],[NET Amount]]-Table1[[#This Row],[Total Outstanding Amount]])/Table1[[#This Row],[NET Amount]]</f>
        <v>3.4444535676163887E-2</v>
      </c>
      <c r="S2679" s="2" t="s">
        <v>20</v>
      </c>
    </row>
    <row r="2680" spans="1:19" x14ac:dyDescent="0.3">
      <c r="A2680" s="4">
        <v>2678</v>
      </c>
      <c r="B2680" s="2" t="s">
        <v>25</v>
      </c>
      <c r="C2680" s="3">
        <v>44861</v>
      </c>
      <c r="D2680" s="3" t="str">
        <f>TEXT(Table1[[#This Row],[Admission Date]],"MMMM")</f>
        <v>October</v>
      </c>
      <c r="E2680" s="3">
        <v>44864</v>
      </c>
      <c r="F2680" s="3">
        <v>44864</v>
      </c>
      <c r="G2680" s="2">
        <v>22029228</v>
      </c>
      <c r="H2680" s="2">
        <v>2237641</v>
      </c>
      <c r="I2680" s="2">
        <v>10013544727</v>
      </c>
      <c r="J2680" s="2" t="s">
        <v>114</v>
      </c>
      <c r="K2680" s="10">
        <v>51674</v>
      </c>
      <c r="L2680" s="10">
        <v>51674</v>
      </c>
      <c r="M2680" s="10">
        <v>0</v>
      </c>
      <c r="N2680" s="10">
        <v>0</v>
      </c>
      <c r="O2680" s="10">
        <f>Table1[[#This Row],[NET Amount]]-Table1[[#This Row],[Paid Amount]]</f>
        <v>0</v>
      </c>
      <c r="P2680" s="2" t="s">
        <v>18</v>
      </c>
      <c r="Q2680" s="2" t="s">
        <v>90</v>
      </c>
      <c r="R2680" s="16" t="e">
        <f>(Table1[[#This Row],[NET Amount]]-Table1[[#This Row],[Total Outstanding Amount]])/Table1[[#This Row],[NET Amount]]</f>
        <v>#DIV/0!</v>
      </c>
      <c r="S2680" s="2" t="s">
        <v>20</v>
      </c>
    </row>
    <row r="2681" spans="1:19" x14ac:dyDescent="0.3">
      <c r="A2681" s="4">
        <v>2679</v>
      </c>
      <c r="B2681" s="2" t="s">
        <v>61</v>
      </c>
      <c r="C2681" s="3">
        <v>44837</v>
      </c>
      <c r="D2681" s="3" t="str">
        <f>TEXT(Table1[[#This Row],[Admission Date]],"MMMM")</f>
        <v>October</v>
      </c>
      <c r="E2681" s="3">
        <v>44840</v>
      </c>
      <c r="F2681" s="3">
        <v>44840</v>
      </c>
      <c r="G2681" s="2">
        <v>22025837</v>
      </c>
      <c r="H2681" s="2">
        <v>2234484</v>
      </c>
      <c r="I2681" s="2">
        <v>10013516485</v>
      </c>
      <c r="J2681" s="2" t="s">
        <v>1622</v>
      </c>
      <c r="K2681" s="10">
        <v>63554</v>
      </c>
      <c r="L2681" s="10">
        <v>1830</v>
      </c>
      <c r="M2681" s="10">
        <v>61724</v>
      </c>
      <c r="N2681" s="10">
        <v>21754</v>
      </c>
      <c r="O2681" s="10">
        <f>Table1[[#This Row],[NET Amount]]-Table1[[#This Row],[Paid Amount]]</f>
        <v>39970</v>
      </c>
      <c r="P2681" s="2" t="s">
        <v>23</v>
      </c>
      <c r="Q2681" s="2" t="s">
        <v>30</v>
      </c>
      <c r="R2681" s="16">
        <f>(Table1[[#This Row],[NET Amount]]-Table1[[#This Row],[Total Outstanding Amount]])/Table1[[#This Row],[NET Amount]]</f>
        <v>0.35243989372043288</v>
      </c>
      <c r="S2681" s="2" t="s">
        <v>27</v>
      </c>
    </row>
    <row r="2682" spans="1:19" x14ac:dyDescent="0.3">
      <c r="A2682" s="4">
        <v>2680</v>
      </c>
      <c r="B2682" s="2" t="s">
        <v>715</v>
      </c>
      <c r="C2682" s="3">
        <v>44833</v>
      </c>
      <c r="D2682" s="3" t="str">
        <f>TEXT(Table1[[#This Row],[Admission Date]],"MMMM")</f>
        <v>September</v>
      </c>
      <c r="E2682" s="3">
        <v>44835</v>
      </c>
      <c r="F2682" s="3">
        <v>44835</v>
      </c>
      <c r="G2682" s="2">
        <v>22025093</v>
      </c>
      <c r="H2682" s="2">
        <v>2234000</v>
      </c>
      <c r="I2682" s="2">
        <v>1001801582</v>
      </c>
      <c r="J2682" s="2" t="s">
        <v>1623</v>
      </c>
      <c r="K2682" s="10">
        <v>40450</v>
      </c>
      <c r="L2682" s="10">
        <v>1685</v>
      </c>
      <c r="M2682" s="10">
        <v>38765</v>
      </c>
      <c r="N2682" s="10">
        <v>2600</v>
      </c>
      <c r="O2682" s="10">
        <f>Table1[[#This Row],[NET Amount]]-Table1[[#This Row],[Paid Amount]]</f>
        <v>36165</v>
      </c>
      <c r="P2682" s="2" t="s">
        <v>23</v>
      </c>
      <c r="Q2682" s="2" t="s">
        <v>47</v>
      </c>
      <c r="R2682" s="16">
        <f>(Table1[[#This Row],[NET Amount]]-Table1[[#This Row],[Total Outstanding Amount]])/Table1[[#This Row],[NET Amount]]</f>
        <v>6.7070811298852062E-2</v>
      </c>
      <c r="S2682" s="2" t="s">
        <v>39</v>
      </c>
    </row>
    <row r="2683" spans="1:19" x14ac:dyDescent="0.3">
      <c r="A2683" s="4">
        <v>2681</v>
      </c>
      <c r="B2683" s="2" t="s">
        <v>25</v>
      </c>
      <c r="C2683" s="3">
        <v>44837</v>
      </c>
      <c r="D2683" s="3" t="str">
        <f>TEXT(Table1[[#This Row],[Admission Date]],"MMMM")</f>
        <v>October</v>
      </c>
      <c r="E2683" s="3">
        <v>44839</v>
      </c>
      <c r="F2683" s="3">
        <v>44839</v>
      </c>
      <c r="G2683" s="2">
        <v>22025682</v>
      </c>
      <c r="H2683" s="2">
        <v>2234486</v>
      </c>
      <c r="I2683" s="2">
        <v>10013279392</v>
      </c>
      <c r="J2683" s="2" t="s">
        <v>1624</v>
      </c>
      <c r="K2683" s="10">
        <v>56902</v>
      </c>
      <c r="L2683" s="10">
        <v>7173</v>
      </c>
      <c r="M2683" s="10">
        <v>49730</v>
      </c>
      <c r="N2683" s="10">
        <v>49730</v>
      </c>
      <c r="O2683" s="10">
        <f>Table1[[#This Row],[NET Amount]]-Table1[[#This Row],[Paid Amount]]</f>
        <v>0</v>
      </c>
      <c r="P2683" s="2" t="s">
        <v>18</v>
      </c>
      <c r="Q2683" s="2" t="s">
        <v>19</v>
      </c>
      <c r="R2683" s="16">
        <f>(Table1[[#This Row],[NET Amount]]-Table1[[#This Row],[Total Outstanding Amount]])/Table1[[#This Row],[NET Amount]]</f>
        <v>1</v>
      </c>
      <c r="S2683" s="2" t="s">
        <v>27</v>
      </c>
    </row>
    <row r="2684" spans="1:19" x14ac:dyDescent="0.3">
      <c r="A2684" s="4">
        <v>2682</v>
      </c>
      <c r="B2684" s="2" t="s">
        <v>25</v>
      </c>
      <c r="C2684" s="3">
        <v>44843</v>
      </c>
      <c r="D2684" s="3" t="str">
        <f>TEXT(Table1[[#This Row],[Admission Date]],"MMMM")</f>
        <v>October</v>
      </c>
      <c r="E2684" s="3">
        <v>44844</v>
      </c>
      <c r="F2684" s="3">
        <v>44844</v>
      </c>
      <c r="G2684" s="2">
        <v>22026452</v>
      </c>
      <c r="H2684" s="2">
        <v>2235263</v>
      </c>
      <c r="I2684" s="2">
        <v>10013357766</v>
      </c>
      <c r="J2684" s="2" t="s">
        <v>1625</v>
      </c>
      <c r="K2684" s="10">
        <v>30157</v>
      </c>
      <c r="L2684" s="10">
        <v>4097</v>
      </c>
      <c r="M2684" s="10">
        <v>26060</v>
      </c>
      <c r="N2684" s="10">
        <v>26060</v>
      </c>
      <c r="O2684" s="10">
        <f>Table1[[#This Row],[NET Amount]]-Table1[[#This Row],[Paid Amount]]</f>
        <v>0</v>
      </c>
      <c r="P2684" s="2" t="s">
        <v>18</v>
      </c>
      <c r="Q2684" s="2" t="s">
        <v>19</v>
      </c>
      <c r="R2684" s="16">
        <f>(Table1[[#This Row],[NET Amount]]-Table1[[#This Row],[Total Outstanding Amount]])/Table1[[#This Row],[NET Amount]]</f>
        <v>1</v>
      </c>
      <c r="S2684" s="2" t="s">
        <v>20</v>
      </c>
    </row>
    <row r="2685" spans="1:19" x14ac:dyDescent="0.3">
      <c r="A2685" s="4">
        <v>2683</v>
      </c>
      <c r="B2685" s="2" t="s">
        <v>126</v>
      </c>
      <c r="C2685" s="3">
        <v>44859</v>
      </c>
      <c r="D2685" s="3" t="str">
        <f>TEXT(Table1[[#This Row],[Admission Date]],"MMMM")</f>
        <v>October</v>
      </c>
      <c r="E2685" s="3">
        <v>44865</v>
      </c>
      <c r="F2685" s="3">
        <v>44865</v>
      </c>
      <c r="G2685" s="2">
        <v>22029337</v>
      </c>
      <c r="H2685" s="2">
        <v>2237322</v>
      </c>
      <c r="I2685" s="2">
        <v>10013472990</v>
      </c>
      <c r="J2685" s="2" t="s">
        <v>1626</v>
      </c>
      <c r="K2685" s="10">
        <v>187668</v>
      </c>
      <c r="L2685" s="10">
        <v>23775</v>
      </c>
      <c r="M2685" s="10">
        <v>163893</v>
      </c>
      <c r="N2685" s="10">
        <v>5359</v>
      </c>
      <c r="O2685" s="10">
        <f>Table1[[#This Row],[NET Amount]]-Table1[[#This Row],[Paid Amount]]</f>
        <v>158534</v>
      </c>
      <c r="P2685" s="2" t="s">
        <v>23</v>
      </c>
      <c r="Q2685" s="2" t="s">
        <v>19</v>
      </c>
      <c r="R2685" s="16">
        <f>(Table1[[#This Row],[NET Amount]]-Table1[[#This Row],[Total Outstanding Amount]])/Table1[[#This Row],[NET Amount]]</f>
        <v>3.2698162825746065E-2</v>
      </c>
      <c r="S2685" s="2" t="s">
        <v>20</v>
      </c>
    </row>
    <row r="2686" spans="1:19" x14ac:dyDescent="0.3">
      <c r="A2686" s="4">
        <v>2684</v>
      </c>
      <c r="B2686" s="2" t="s">
        <v>152</v>
      </c>
      <c r="C2686" s="3">
        <v>44865</v>
      </c>
      <c r="D2686" s="3" t="str">
        <f>TEXT(Table1[[#This Row],[Admission Date]],"MMMM")</f>
        <v>October</v>
      </c>
      <c r="E2686" s="3">
        <v>44865</v>
      </c>
      <c r="F2686" s="3">
        <v>44865</v>
      </c>
      <c r="G2686" s="2">
        <v>22029369</v>
      </c>
      <c r="H2686" s="2">
        <v>2238192</v>
      </c>
      <c r="I2686" s="2">
        <v>10013545317</v>
      </c>
      <c r="J2686" s="2" t="s">
        <v>1627</v>
      </c>
      <c r="K2686" s="10">
        <v>17241</v>
      </c>
      <c r="L2686" s="10">
        <v>0</v>
      </c>
      <c r="M2686" s="10">
        <v>17241</v>
      </c>
      <c r="N2686" s="10">
        <v>17241</v>
      </c>
      <c r="O2686" s="10">
        <f>Table1[[#This Row],[NET Amount]]-Table1[[#This Row],[Paid Amount]]</f>
        <v>0</v>
      </c>
      <c r="P2686" s="2" t="s">
        <v>18</v>
      </c>
      <c r="Q2686" s="2" t="s">
        <v>30</v>
      </c>
      <c r="R2686" s="16">
        <f>(Table1[[#This Row],[NET Amount]]-Table1[[#This Row],[Total Outstanding Amount]])/Table1[[#This Row],[NET Amount]]</f>
        <v>1</v>
      </c>
      <c r="S2686" s="2" t="s">
        <v>39</v>
      </c>
    </row>
    <row r="2687" spans="1:19" x14ac:dyDescent="0.3">
      <c r="A2687" s="4">
        <v>2685</v>
      </c>
      <c r="B2687" s="2" t="s">
        <v>753</v>
      </c>
      <c r="C2687" s="3">
        <v>44862</v>
      </c>
      <c r="D2687" s="3" t="str">
        <f>TEXT(Table1[[#This Row],[Admission Date]],"MMMM")</f>
        <v>October</v>
      </c>
      <c r="E2687" s="3">
        <v>44865</v>
      </c>
      <c r="F2687" s="3">
        <v>44865</v>
      </c>
      <c r="G2687" s="2">
        <v>22029358</v>
      </c>
      <c r="H2687" s="2">
        <v>2237800</v>
      </c>
      <c r="I2687" s="2">
        <v>10013520630</v>
      </c>
      <c r="J2687" s="2" t="s">
        <v>977</v>
      </c>
      <c r="K2687" s="10">
        <v>60320</v>
      </c>
      <c r="L2687" s="10">
        <v>0</v>
      </c>
      <c r="M2687" s="10">
        <v>60320</v>
      </c>
      <c r="N2687" s="10">
        <v>10320</v>
      </c>
      <c r="O2687" s="10">
        <f>Table1[[#This Row],[NET Amount]]-Table1[[#This Row],[Paid Amount]]</f>
        <v>50000</v>
      </c>
      <c r="P2687" s="2" t="s">
        <v>23</v>
      </c>
      <c r="Q2687" s="2" t="s">
        <v>52</v>
      </c>
      <c r="R2687" s="16">
        <f>(Table1[[#This Row],[NET Amount]]-Table1[[#This Row],[Total Outstanding Amount]])/Table1[[#This Row],[NET Amount]]</f>
        <v>0.17108753315649866</v>
      </c>
      <c r="S2687" s="2" t="s">
        <v>27</v>
      </c>
    </row>
    <row r="2688" spans="1:19" x14ac:dyDescent="0.3">
      <c r="A2688" s="4">
        <v>2686</v>
      </c>
      <c r="B2688" s="2" t="s">
        <v>520</v>
      </c>
      <c r="C2688" s="3">
        <v>44844</v>
      </c>
      <c r="D2688" s="3" t="str">
        <f>TEXT(Table1[[#This Row],[Admission Date]],"MMMM")</f>
        <v>October</v>
      </c>
      <c r="E2688" s="3">
        <v>44853</v>
      </c>
      <c r="F2688" s="3">
        <v>44853</v>
      </c>
      <c r="G2688" s="2">
        <v>22027721</v>
      </c>
      <c r="H2688" s="2">
        <v>2235444</v>
      </c>
      <c r="I2688" s="2">
        <v>10013540903</v>
      </c>
      <c r="J2688" s="2" t="s">
        <v>521</v>
      </c>
      <c r="K2688" s="10">
        <v>239571</v>
      </c>
      <c r="L2688" s="10">
        <v>0</v>
      </c>
      <c r="M2688" s="10">
        <v>239571</v>
      </c>
      <c r="N2688" s="10">
        <v>239571</v>
      </c>
      <c r="O2688" s="10">
        <f>Table1[[#This Row],[NET Amount]]-Table1[[#This Row],[Paid Amount]]</f>
        <v>0</v>
      </c>
      <c r="P2688" s="2" t="s">
        <v>18</v>
      </c>
      <c r="Q2688" s="2" t="s">
        <v>30</v>
      </c>
      <c r="R2688" s="16">
        <f>(Table1[[#This Row],[NET Amount]]-Table1[[#This Row],[Total Outstanding Amount]])/Table1[[#This Row],[NET Amount]]</f>
        <v>1</v>
      </c>
      <c r="S2688" s="2" t="s">
        <v>20</v>
      </c>
    </row>
    <row r="2689" spans="1:19" x14ac:dyDescent="0.3">
      <c r="A2689" s="4">
        <v>2687</v>
      </c>
      <c r="B2689" s="2" t="s">
        <v>139</v>
      </c>
      <c r="C2689" s="3">
        <v>44846</v>
      </c>
      <c r="D2689" s="3" t="str">
        <f>TEXT(Table1[[#This Row],[Admission Date]],"MMMM")</f>
        <v>October</v>
      </c>
      <c r="E2689" s="3">
        <v>44850</v>
      </c>
      <c r="F2689" s="3">
        <v>44850</v>
      </c>
      <c r="G2689" s="2">
        <v>22027289</v>
      </c>
      <c r="H2689" s="2">
        <v>2235782</v>
      </c>
      <c r="I2689" s="2">
        <v>10013542770</v>
      </c>
      <c r="J2689" s="2" t="s">
        <v>1628</v>
      </c>
      <c r="K2689" s="10">
        <v>70590</v>
      </c>
      <c r="L2689" s="10">
        <v>0</v>
      </c>
      <c r="M2689" s="10">
        <v>70590</v>
      </c>
      <c r="N2689" s="10">
        <v>2125</v>
      </c>
      <c r="O2689" s="10">
        <f>Table1[[#This Row],[NET Amount]]-Table1[[#This Row],[Paid Amount]]</f>
        <v>68465</v>
      </c>
      <c r="P2689" s="2" t="s">
        <v>23</v>
      </c>
      <c r="Q2689" s="2" t="s">
        <v>30</v>
      </c>
      <c r="R2689" s="16">
        <f>(Table1[[#This Row],[NET Amount]]-Table1[[#This Row],[Total Outstanding Amount]])/Table1[[#This Row],[NET Amount]]</f>
        <v>3.0103414081314634E-2</v>
      </c>
      <c r="S2689" s="2" t="s">
        <v>20</v>
      </c>
    </row>
    <row r="2690" spans="1:19" x14ac:dyDescent="0.3">
      <c r="A2690" s="4">
        <v>2688</v>
      </c>
      <c r="B2690" s="2" t="s">
        <v>25</v>
      </c>
      <c r="C2690" s="3">
        <v>44850</v>
      </c>
      <c r="D2690" s="3" t="str">
        <f>TEXT(Table1[[#This Row],[Admission Date]],"MMMM")</f>
        <v>October</v>
      </c>
      <c r="E2690" s="3">
        <v>44853</v>
      </c>
      <c r="F2690" s="3">
        <v>44853</v>
      </c>
      <c r="G2690" s="2">
        <v>22027679</v>
      </c>
      <c r="H2690" s="2">
        <v>2236256</v>
      </c>
      <c r="I2690" s="2">
        <v>10013543291</v>
      </c>
      <c r="J2690" s="2" t="s">
        <v>1629</v>
      </c>
      <c r="K2690" s="10">
        <v>44507</v>
      </c>
      <c r="L2690" s="10">
        <v>12492</v>
      </c>
      <c r="M2690" s="10">
        <v>32014</v>
      </c>
      <c r="N2690" s="10">
        <v>32014</v>
      </c>
      <c r="O2690" s="10">
        <f>Table1[[#This Row],[NET Amount]]-Table1[[#This Row],[Paid Amount]]</f>
        <v>0</v>
      </c>
      <c r="P2690" s="2" t="s">
        <v>18</v>
      </c>
      <c r="Q2690" s="2" t="s">
        <v>24</v>
      </c>
      <c r="R2690" s="16">
        <f>(Table1[[#This Row],[NET Amount]]-Table1[[#This Row],[Total Outstanding Amount]])/Table1[[#This Row],[NET Amount]]</f>
        <v>1</v>
      </c>
      <c r="S2690" s="2" t="s">
        <v>37</v>
      </c>
    </row>
    <row r="2691" spans="1:19" x14ac:dyDescent="0.3">
      <c r="A2691" s="4">
        <v>2689</v>
      </c>
      <c r="B2691" s="2" t="s">
        <v>25</v>
      </c>
      <c r="C2691" s="3">
        <v>44835</v>
      </c>
      <c r="D2691" s="3" t="str">
        <f>TEXT(Table1[[#This Row],[Admission Date]],"MMMM")</f>
        <v>October</v>
      </c>
      <c r="E2691" s="3">
        <v>44844</v>
      </c>
      <c r="F2691" s="3">
        <v>44844</v>
      </c>
      <c r="G2691" s="2">
        <v>22026365</v>
      </c>
      <c r="H2691" s="2">
        <v>2234296</v>
      </c>
      <c r="I2691" s="2">
        <v>10013541191</v>
      </c>
      <c r="J2691" s="2" t="s">
        <v>1630</v>
      </c>
      <c r="K2691" s="10">
        <v>177055</v>
      </c>
      <c r="L2691" s="10">
        <v>177055</v>
      </c>
      <c r="M2691" s="10">
        <v>0</v>
      </c>
      <c r="N2691" s="10">
        <v>0</v>
      </c>
      <c r="O2691" s="10">
        <f>Table1[[#This Row],[NET Amount]]-Table1[[#This Row],[Paid Amount]]</f>
        <v>0</v>
      </c>
      <c r="P2691" s="2" t="s">
        <v>18</v>
      </c>
      <c r="Q2691" s="2" t="s">
        <v>90</v>
      </c>
      <c r="R2691" s="16" t="e">
        <f>(Table1[[#This Row],[NET Amount]]-Table1[[#This Row],[Total Outstanding Amount]])/Table1[[#This Row],[NET Amount]]</f>
        <v>#DIV/0!</v>
      </c>
      <c r="S2691" s="2" t="s">
        <v>20</v>
      </c>
    </row>
    <row r="2692" spans="1:19" x14ac:dyDescent="0.3">
      <c r="A2692" s="4">
        <v>2690</v>
      </c>
      <c r="B2692" s="2" t="s">
        <v>25</v>
      </c>
      <c r="C2692" s="3">
        <v>44842</v>
      </c>
      <c r="D2692" s="3" t="str">
        <f>TEXT(Table1[[#This Row],[Admission Date]],"MMMM")</f>
        <v>October</v>
      </c>
      <c r="E2692" s="3">
        <v>44845</v>
      </c>
      <c r="F2692" s="3">
        <v>44845</v>
      </c>
      <c r="G2692" s="2">
        <v>22026520</v>
      </c>
      <c r="H2692" s="2">
        <v>2235202</v>
      </c>
      <c r="I2692" s="2">
        <v>10013317665</v>
      </c>
      <c r="J2692" s="2" t="s">
        <v>1631</v>
      </c>
      <c r="K2692" s="10">
        <v>33776</v>
      </c>
      <c r="L2692" s="10">
        <v>33776</v>
      </c>
      <c r="M2692" s="10">
        <v>0</v>
      </c>
      <c r="N2692" s="10">
        <v>0</v>
      </c>
      <c r="O2692" s="10">
        <f>Table1[[#This Row],[NET Amount]]-Table1[[#This Row],[Paid Amount]]</f>
        <v>0</v>
      </c>
      <c r="P2692" s="2" t="s">
        <v>18</v>
      </c>
      <c r="Q2692" s="2" t="s">
        <v>90</v>
      </c>
      <c r="R2692" s="16" t="e">
        <f>(Table1[[#This Row],[NET Amount]]-Table1[[#This Row],[Total Outstanding Amount]])/Table1[[#This Row],[NET Amount]]</f>
        <v>#DIV/0!</v>
      </c>
      <c r="S2692" s="2" t="s">
        <v>20</v>
      </c>
    </row>
    <row r="2693" spans="1:19" x14ac:dyDescent="0.3">
      <c r="A2693" s="4">
        <v>2691</v>
      </c>
      <c r="B2693" s="2" t="s">
        <v>25</v>
      </c>
      <c r="C2693" s="3">
        <v>44837</v>
      </c>
      <c r="D2693" s="3" t="str">
        <f>TEXT(Table1[[#This Row],[Admission Date]],"MMMM")</f>
        <v>October</v>
      </c>
      <c r="E2693" s="3">
        <v>44840</v>
      </c>
      <c r="F2693" s="3">
        <v>44840</v>
      </c>
      <c r="G2693" s="2">
        <v>22025809</v>
      </c>
      <c r="H2693" s="2">
        <v>2234489</v>
      </c>
      <c r="I2693" s="2">
        <v>1001802272</v>
      </c>
      <c r="J2693" s="2" t="s">
        <v>1632</v>
      </c>
      <c r="K2693" s="10">
        <v>71143</v>
      </c>
      <c r="L2693" s="10">
        <v>24129</v>
      </c>
      <c r="M2693" s="10">
        <v>47014</v>
      </c>
      <c r="N2693" s="10">
        <v>47014</v>
      </c>
      <c r="O2693" s="10">
        <f>Table1[[#This Row],[NET Amount]]-Table1[[#This Row],[Paid Amount]]</f>
        <v>0</v>
      </c>
      <c r="P2693" s="2" t="s">
        <v>18</v>
      </c>
      <c r="Q2693" s="2" t="s">
        <v>69</v>
      </c>
      <c r="R2693" s="16">
        <f>(Table1[[#This Row],[NET Amount]]-Table1[[#This Row],[Total Outstanding Amount]])/Table1[[#This Row],[NET Amount]]</f>
        <v>1</v>
      </c>
      <c r="S2693" s="2" t="s">
        <v>37</v>
      </c>
    </row>
    <row r="2694" spans="1:19" x14ac:dyDescent="0.3">
      <c r="A2694" s="4">
        <v>2692</v>
      </c>
      <c r="B2694" s="2" t="s">
        <v>35</v>
      </c>
      <c r="C2694" s="3">
        <v>44842</v>
      </c>
      <c r="D2694" s="3" t="str">
        <f>TEXT(Table1[[#This Row],[Admission Date]],"MMMM")</f>
        <v>October</v>
      </c>
      <c r="E2694" s="3">
        <v>44845</v>
      </c>
      <c r="F2694" s="3">
        <v>44845</v>
      </c>
      <c r="G2694" s="2">
        <v>22026593</v>
      </c>
      <c r="H2694" s="2">
        <v>2235155</v>
      </c>
      <c r="I2694" s="2">
        <v>10013517026</v>
      </c>
      <c r="J2694" s="2" t="s">
        <v>1633</v>
      </c>
      <c r="K2694" s="10">
        <v>17253</v>
      </c>
      <c r="L2694" s="10">
        <v>0</v>
      </c>
      <c r="M2694" s="10">
        <v>17253</v>
      </c>
      <c r="N2694" s="10">
        <v>17253</v>
      </c>
      <c r="O2694" s="10">
        <f>Table1[[#This Row],[NET Amount]]-Table1[[#This Row],[Paid Amount]]</f>
        <v>0</v>
      </c>
      <c r="P2694" s="2" t="s">
        <v>18</v>
      </c>
      <c r="Q2694" s="2" t="s">
        <v>24</v>
      </c>
      <c r="R2694" s="16">
        <f>(Table1[[#This Row],[NET Amount]]-Table1[[#This Row],[Total Outstanding Amount]])/Table1[[#This Row],[NET Amount]]</f>
        <v>1</v>
      </c>
      <c r="S2694" s="2" t="s">
        <v>27</v>
      </c>
    </row>
    <row r="2695" spans="1:19" x14ac:dyDescent="0.3">
      <c r="A2695" s="4">
        <v>2693</v>
      </c>
      <c r="B2695" s="2" t="s">
        <v>117</v>
      </c>
      <c r="C2695" s="3">
        <v>44842</v>
      </c>
      <c r="D2695" s="3" t="str">
        <f>TEXT(Table1[[#This Row],[Admission Date]],"MMMM")</f>
        <v>October</v>
      </c>
      <c r="E2695" s="3">
        <v>44849</v>
      </c>
      <c r="F2695" s="3">
        <v>44849</v>
      </c>
      <c r="G2695" s="2">
        <v>22027238</v>
      </c>
      <c r="H2695" s="2">
        <v>2235228</v>
      </c>
      <c r="I2695" s="2">
        <v>10013542223</v>
      </c>
      <c r="J2695" s="2" t="s">
        <v>1634</v>
      </c>
      <c r="K2695" s="10">
        <v>93646</v>
      </c>
      <c r="L2695" s="10">
        <v>0</v>
      </c>
      <c r="M2695" s="10">
        <v>93646</v>
      </c>
      <c r="N2695" s="10">
        <v>93646</v>
      </c>
      <c r="O2695" s="10">
        <f>Table1[[#This Row],[NET Amount]]-Table1[[#This Row],[Paid Amount]]</f>
        <v>0</v>
      </c>
      <c r="P2695" s="2" t="s">
        <v>18</v>
      </c>
      <c r="Q2695" s="2" t="s">
        <v>24</v>
      </c>
      <c r="R2695" s="16">
        <f>(Table1[[#This Row],[NET Amount]]-Table1[[#This Row],[Total Outstanding Amount]])/Table1[[#This Row],[NET Amount]]</f>
        <v>1</v>
      </c>
      <c r="S2695" s="2" t="s">
        <v>32</v>
      </c>
    </row>
    <row r="2696" spans="1:19" x14ac:dyDescent="0.3">
      <c r="A2696" s="4">
        <v>2694</v>
      </c>
      <c r="B2696" s="2" t="s">
        <v>25</v>
      </c>
      <c r="C2696" s="3">
        <v>44844</v>
      </c>
      <c r="D2696" s="3" t="str">
        <f>TEXT(Table1[[#This Row],[Admission Date]],"MMMM")</f>
        <v>October</v>
      </c>
      <c r="E2696" s="3">
        <v>44848</v>
      </c>
      <c r="F2696" s="3">
        <v>44848</v>
      </c>
      <c r="G2696" s="2">
        <v>22027040</v>
      </c>
      <c r="H2696" s="2">
        <v>2235462</v>
      </c>
      <c r="I2696" s="2">
        <v>10013535875</v>
      </c>
      <c r="J2696" s="2" t="s">
        <v>1635</v>
      </c>
      <c r="K2696" s="10">
        <v>397389</v>
      </c>
      <c r="L2696" s="10">
        <v>0</v>
      </c>
      <c r="M2696" s="10">
        <v>397389</v>
      </c>
      <c r="N2696" s="10">
        <v>397389</v>
      </c>
      <c r="O2696" s="10">
        <f>Table1[[#This Row],[NET Amount]]-Table1[[#This Row],[Paid Amount]]</f>
        <v>0</v>
      </c>
      <c r="P2696" s="2" t="s">
        <v>18</v>
      </c>
      <c r="Q2696" s="2" t="s">
        <v>104</v>
      </c>
      <c r="R2696" s="16">
        <f>(Table1[[#This Row],[NET Amount]]-Table1[[#This Row],[Total Outstanding Amount]])/Table1[[#This Row],[NET Amount]]</f>
        <v>1</v>
      </c>
      <c r="S2696" s="2" t="s">
        <v>1636</v>
      </c>
    </row>
    <row r="2697" spans="1:19" x14ac:dyDescent="0.3">
      <c r="A2697" s="4">
        <v>2695</v>
      </c>
      <c r="B2697" s="2" t="s">
        <v>126</v>
      </c>
      <c r="C2697" s="3">
        <v>44842</v>
      </c>
      <c r="D2697" s="3" t="str">
        <f>TEXT(Table1[[#This Row],[Admission Date]],"MMMM")</f>
        <v>October</v>
      </c>
      <c r="E2697" s="3">
        <v>44844</v>
      </c>
      <c r="F2697" s="3">
        <v>44844</v>
      </c>
      <c r="G2697" s="2">
        <v>22026418</v>
      </c>
      <c r="H2697" s="2">
        <v>2235247</v>
      </c>
      <c r="I2697" s="2">
        <v>10013542232</v>
      </c>
      <c r="J2697" s="2" t="s">
        <v>1637</v>
      </c>
      <c r="K2697" s="10">
        <v>95400</v>
      </c>
      <c r="L2697" s="10">
        <v>0</v>
      </c>
      <c r="M2697" s="10">
        <v>95400</v>
      </c>
      <c r="N2697" s="10">
        <v>2450</v>
      </c>
      <c r="O2697" s="10">
        <f>Table1[[#This Row],[NET Amount]]-Table1[[#This Row],[Paid Amount]]</f>
        <v>92950</v>
      </c>
      <c r="P2697" s="2" t="s">
        <v>23</v>
      </c>
      <c r="Q2697" s="2" t="s">
        <v>30</v>
      </c>
      <c r="R2697" s="16">
        <f>(Table1[[#This Row],[NET Amount]]-Table1[[#This Row],[Total Outstanding Amount]])/Table1[[#This Row],[NET Amount]]</f>
        <v>2.5681341719077568E-2</v>
      </c>
      <c r="S2697" s="2" t="s">
        <v>43</v>
      </c>
    </row>
    <row r="2698" spans="1:19" x14ac:dyDescent="0.3">
      <c r="A2698" s="4">
        <v>2696</v>
      </c>
      <c r="B2698" s="2" t="s">
        <v>25</v>
      </c>
      <c r="C2698" s="3">
        <v>44843</v>
      </c>
      <c r="D2698" s="3" t="str">
        <f>TEXT(Table1[[#This Row],[Admission Date]],"MMMM")</f>
        <v>October</v>
      </c>
      <c r="E2698" s="3">
        <v>44844</v>
      </c>
      <c r="F2698" s="3">
        <v>44844</v>
      </c>
      <c r="G2698" s="2">
        <v>22026477</v>
      </c>
      <c r="H2698" s="2">
        <v>2235290</v>
      </c>
      <c r="I2698" s="2">
        <v>10013539489</v>
      </c>
      <c r="J2698" s="2" t="s">
        <v>1638</v>
      </c>
      <c r="K2698" s="10">
        <v>54445</v>
      </c>
      <c r="L2698" s="10">
        <v>54445</v>
      </c>
      <c r="M2698" s="10">
        <v>0</v>
      </c>
      <c r="N2698" s="10">
        <v>0</v>
      </c>
      <c r="O2698" s="10">
        <f>Table1[[#This Row],[NET Amount]]-Table1[[#This Row],[Paid Amount]]</f>
        <v>0</v>
      </c>
      <c r="P2698" s="2" t="s">
        <v>18</v>
      </c>
      <c r="Q2698" s="2" t="s">
        <v>90</v>
      </c>
      <c r="R2698" s="16" t="e">
        <f>(Table1[[#This Row],[NET Amount]]-Table1[[#This Row],[Total Outstanding Amount]])/Table1[[#This Row],[NET Amount]]</f>
        <v>#DIV/0!</v>
      </c>
      <c r="S2698" s="2" t="s">
        <v>27</v>
      </c>
    </row>
    <row r="2699" spans="1:19" x14ac:dyDescent="0.3">
      <c r="A2699" s="4">
        <v>2697</v>
      </c>
      <c r="B2699" s="2" t="s">
        <v>72</v>
      </c>
      <c r="C2699" s="3">
        <v>44837</v>
      </c>
      <c r="D2699" s="3" t="str">
        <f>TEXT(Table1[[#This Row],[Admission Date]],"MMMM")</f>
        <v>October</v>
      </c>
      <c r="E2699" s="3">
        <v>44839</v>
      </c>
      <c r="F2699" s="3">
        <v>44839</v>
      </c>
      <c r="G2699" s="2">
        <v>22025695</v>
      </c>
      <c r="H2699" s="2">
        <v>2234459</v>
      </c>
      <c r="I2699" s="2">
        <v>1001802250</v>
      </c>
      <c r="J2699" s="2" t="s">
        <v>1639</v>
      </c>
      <c r="K2699" s="10">
        <v>5436</v>
      </c>
      <c r="L2699" s="10">
        <v>0</v>
      </c>
      <c r="M2699" s="10">
        <v>5436</v>
      </c>
      <c r="N2699" s="10">
        <v>5436</v>
      </c>
      <c r="O2699" s="10">
        <f>Table1[[#This Row],[NET Amount]]-Table1[[#This Row],[Paid Amount]]</f>
        <v>0</v>
      </c>
      <c r="P2699" s="2" t="s">
        <v>18</v>
      </c>
      <c r="Q2699" s="2" t="s">
        <v>52</v>
      </c>
      <c r="R2699" s="16">
        <f>(Table1[[#This Row],[NET Amount]]-Table1[[#This Row],[Total Outstanding Amount]])/Table1[[#This Row],[NET Amount]]</f>
        <v>1</v>
      </c>
      <c r="S2699" s="2" t="s">
        <v>37</v>
      </c>
    </row>
    <row r="2700" spans="1:19" x14ac:dyDescent="0.3">
      <c r="A2700" s="4">
        <v>2698</v>
      </c>
      <c r="B2700" s="2" t="s">
        <v>329</v>
      </c>
      <c r="C2700" s="3">
        <v>44853</v>
      </c>
      <c r="D2700" s="3" t="str">
        <f>TEXT(Table1[[#This Row],[Admission Date]],"MMMM")</f>
        <v>October</v>
      </c>
      <c r="E2700" s="3">
        <v>44853</v>
      </c>
      <c r="F2700" s="3">
        <v>44853</v>
      </c>
      <c r="G2700" s="2">
        <v>22027754</v>
      </c>
      <c r="H2700" s="2">
        <v>2236581</v>
      </c>
      <c r="I2700" s="2">
        <v>1001114471</v>
      </c>
      <c r="J2700" s="2" t="s">
        <v>1640</v>
      </c>
      <c r="K2700" s="10">
        <v>7763</v>
      </c>
      <c r="L2700" s="10">
        <v>0</v>
      </c>
      <c r="M2700" s="10">
        <v>7763</v>
      </c>
      <c r="N2700" s="10">
        <v>7763</v>
      </c>
      <c r="O2700" s="10">
        <f>Table1[[#This Row],[NET Amount]]-Table1[[#This Row],[Paid Amount]]</f>
        <v>0</v>
      </c>
      <c r="P2700" s="2" t="s">
        <v>18</v>
      </c>
      <c r="Q2700" s="2" t="s">
        <v>24</v>
      </c>
      <c r="R2700" s="16">
        <f>(Table1[[#This Row],[NET Amount]]-Table1[[#This Row],[Total Outstanding Amount]])/Table1[[#This Row],[NET Amount]]</f>
        <v>1</v>
      </c>
      <c r="S2700" s="2" t="s">
        <v>27</v>
      </c>
    </row>
    <row r="2701" spans="1:19" x14ac:dyDescent="0.3">
      <c r="A2701" s="4">
        <v>2699</v>
      </c>
      <c r="B2701" s="2" t="s">
        <v>259</v>
      </c>
      <c r="C2701" s="3">
        <v>44849</v>
      </c>
      <c r="D2701" s="3" t="str">
        <f>TEXT(Table1[[#This Row],[Admission Date]],"MMMM")</f>
        <v>October</v>
      </c>
      <c r="E2701" s="3">
        <v>44853</v>
      </c>
      <c r="F2701" s="3">
        <v>44853</v>
      </c>
      <c r="G2701" s="2">
        <v>22027689</v>
      </c>
      <c r="H2701" s="2">
        <v>2236207</v>
      </c>
      <c r="I2701" s="2">
        <v>10013543222</v>
      </c>
      <c r="J2701" s="2" t="s">
        <v>1641</v>
      </c>
      <c r="K2701" s="10">
        <v>96143</v>
      </c>
      <c r="L2701" s="10">
        <v>11708</v>
      </c>
      <c r="M2701" s="10">
        <v>84435</v>
      </c>
      <c r="N2701" s="10">
        <v>243</v>
      </c>
      <c r="O2701" s="10">
        <f>Table1[[#This Row],[NET Amount]]-Table1[[#This Row],[Paid Amount]]</f>
        <v>84192</v>
      </c>
      <c r="P2701" s="2" t="s">
        <v>23</v>
      </c>
      <c r="Q2701" s="2" t="s">
        <v>30</v>
      </c>
      <c r="R2701" s="16">
        <f>(Table1[[#This Row],[NET Amount]]-Table1[[#This Row],[Total Outstanding Amount]])/Table1[[#This Row],[NET Amount]]</f>
        <v>2.8779534553206609E-3</v>
      </c>
      <c r="S2701" s="2" t="s">
        <v>20</v>
      </c>
    </row>
    <row r="2702" spans="1:19" x14ac:dyDescent="0.3">
      <c r="A2702" s="4">
        <v>2700</v>
      </c>
      <c r="B2702" s="2" t="s">
        <v>149</v>
      </c>
      <c r="C2702" s="3">
        <v>44829</v>
      </c>
      <c r="D2702" s="3" t="str">
        <f>TEXT(Table1[[#This Row],[Admission Date]],"MMMM")</f>
        <v>September</v>
      </c>
      <c r="E2702" s="3">
        <v>44837</v>
      </c>
      <c r="F2702" s="3">
        <v>44837</v>
      </c>
      <c r="G2702" s="2">
        <v>22025376</v>
      </c>
      <c r="H2702" s="2">
        <v>2233409</v>
      </c>
      <c r="I2702" s="2">
        <v>10013540302</v>
      </c>
      <c r="J2702" s="2" t="s">
        <v>1642</v>
      </c>
      <c r="K2702" s="10">
        <v>417211</v>
      </c>
      <c r="L2702" s="10">
        <v>0</v>
      </c>
      <c r="M2702" s="10">
        <v>417211</v>
      </c>
      <c r="N2702" s="10">
        <v>417211</v>
      </c>
      <c r="O2702" s="10">
        <f>Table1[[#This Row],[NET Amount]]-Table1[[#This Row],[Paid Amount]]</f>
        <v>0</v>
      </c>
      <c r="P2702" s="2" t="s">
        <v>18</v>
      </c>
      <c r="Q2702" s="2" t="s">
        <v>30</v>
      </c>
      <c r="R2702" s="16">
        <f>(Table1[[#This Row],[NET Amount]]-Table1[[#This Row],[Total Outstanding Amount]])/Table1[[#This Row],[NET Amount]]</f>
        <v>1</v>
      </c>
      <c r="S2702" s="2" t="s">
        <v>65</v>
      </c>
    </row>
    <row r="2703" spans="1:19" x14ac:dyDescent="0.3">
      <c r="A2703" s="4">
        <v>2701</v>
      </c>
      <c r="B2703" s="2" t="s">
        <v>25</v>
      </c>
      <c r="C2703" s="3">
        <v>44831</v>
      </c>
      <c r="D2703" s="3" t="str">
        <f>TEXT(Table1[[#This Row],[Admission Date]],"MMMM")</f>
        <v>September</v>
      </c>
      <c r="E2703" s="3">
        <v>44837</v>
      </c>
      <c r="F2703" s="3">
        <v>44837</v>
      </c>
      <c r="G2703" s="2">
        <v>22025371</v>
      </c>
      <c r="H2703" s="2">
        <v>2233631</v>
      </c>
      <c r="I2703" s="2">
        <v>10013489311</v>
      </c>
      <c r="J2703" s="2" t="s">
        <v>1643</v>
      </c>
      <c r="K2703" s="10">
        <v>72410</v>
      </c>
      <c r="L2703" s="10">
        <v>72410</v>
      </c>
      <c r="M2703" s="10">
        <v>0</v>
      </c>
      <c r="N2703" s="10">
        <v>0</v>
      </c>
      <c r="O2703" s="10">
        <f>Table1[[#This Row],[NET Amount]]-Table1[[#This Row],[Paid Amount]]</f>
        <v>0</v>
      </c>
      <c r="P2703" s="2" t="s">
        <v>18</v>
      </c>
      <c r="Q2703" s="2" t="s">
        <v>90</v>
      </c>
      <c r="R2703" s="16" t="e">
        <f>(Table1[[#This Row],[NET Amount]]-Table1[[#This Row],[Total Outstanding Amount]])/Table1[[#This Row],[NET Amount]]</f>
        <v>#DIV/0!</v>
      </c>
      <c r="S2703" s="2" t="s">
        <v>27</v>
      </c>
    </row>
    <row r="2704" spans="1:19" x14ac:dyDescent="0.3">
      <c r="A2704" s="4">
        <v>2702</v>
      </c>
      <c r="B2704" s="2" t="s">
        <v>1644</v>
      </c>
      <c r="C2704" s="3">
        <v>44831</v>
      </c>
      <c r="D2704" s="3" t="str">
        <f>TEXT(Table1[[#This Row],[Admission Date]],"MMMM")</f>
        <v>September</v>
      </c>
      <c r="E2704" s="3">
        <v>44838</v>
      </c>
      <c r="F2704" s="3">
        <v>44838</v>
      </c>
      <c r="G2704" s="2">
        <v>22025592</v>
      </c>
      <c r="H2704" s="2">
        <v>2233693</v>
      </c>
      <c r="I2704" s="2">
        <v>1001562491</v>
      </c>
      <c r="J2704" s="2" t="s">
        <v>1645</v>
      </c>
      <c r="K2704" s="10">
        <v>75295</v>
      </c>
      <c r="L2704" s="10">
        <v>73545</v>
      </c>
      <c r="M2704" s="10">
        <v>1750</v>
      </c>
      <c r="N2704" s="10">
        <v>1750</v>
      </c>
      <c r="O2704" s="10">
        <f>Table1[[#This Row],[NET Amount]]-Table1[[#This Row],[Paid Amount]]</f>
        <v>0</v>
      </c>
      <c r="P2704" s="2" t="s">
        <v>18</v>
      </c>
      <c r="Q2704" s="2" t="s">
        <v>24</v>
      </c>
      <c r="R2704" s="16">
        <f>(Table1[[#This Row],[NET Amount]]-Table1[[#This Row],[Total Outstanding Amount]])/Table1[[#This Row],[NET Amount]]</f>
        <v>1</v>
      </c>
      <c r="S2704" s="2" t="s">
        <v>20</v>
      </c>
    </row>
    <row r="2705" spans="1:19" x14ac:dyDescent="0.3">
      <c r="A2705" s="4">
        <v>2703</v>
      </c>
      <c r="B2705" s="2" t="s">
        <v>25</v>
      </c>
      <c r="C2705" s="3">
        <v>44837</v>
      </c>
      <c r="D2705" s="3" t="str">
        <f>TEXT(Table1[[#This Row],[Admission Date]],"MMMM")</f>
        <v>October</v>
      </c>
      <c r="E2705" s="3">
        <v>44839</v>
      </c>
      <c r="F2705" s="3">
        <v>44839</v>
      </c>
      <c r="G2705" s="2">
        <v>22025688</v>
      </c>
      <c r="H2705" s="2">
        <v>2234432</v>
      </c>
      <c r="I2705" s="2">
        <v>1001802154</v>
      </c>
      <c r="J2705" s="2" t="s">
        <v>1646</v>
      </c>
      <c r="K2705" s="10">
        <v>46947</v>
      </c>
      <c r="L2705" s="10">
        <v>46947</v>
      </c>
      <c r="M2705" s="10">
        <v>0</v>
      </c>
      <c r="N2705" s="10">
        <v>0</v>
      </c>
      <c r="O2705" s="10">
        <f>Table1[[#This Row],[NET Amount]]-Table1[[#This Row],[Paid Amount]]</f>
        <v>0</v>
      </c>
      <c r="P2705" s="2" t="s">
        <v>18</v>
      </c>
      <c r="Q2705" s="2" t="s">
        <v>90</v>
      </c>
      <c r="R2705" s="16" t="e">
        <f>(Table1[[#This Row],[NET Amount]]-Table1[[#This Row],[Total Outstanding Amount]])/Table1[[#This Row],[NET Amount]]</f>
        <v>#DIV/0!</v>
      </c>
      <c r="S2705" s="2" t="s">
        <v>27</v>
      </c>
    </row>
    <row r="2706" spans="1:19" x14ac:dyDescent="0.3">
      <c r="A2706" s="4">
        <v>2704</v>
      </c>
      <c r="B2706" s="2" t="s">
        <v>25</v>
      </c>
      <c r="C2706" s="3">
        <v>44837</v>
      </c>
      <c r="D2706" s="3" t="str">
        <f>TEXT(Table1[[#This Row],[Admission Date]],"MMMM")</f>
        <v>October</v>
      </c>
      <c r="E2706" s="3">
        <v>44839</v>
      </c>
      <c r="F2706" s="3">
        <v>44839</v>
      </c>
      <c r="G2706" s="2">
        <v>22025699</v>
      </c>
      <c r="H2706" s="2">
        <v>2234472</v>
      </c>
      <c r="I2706" s="2">
        <v>1001802263</v>
      </c>
      <c r="J2706" s="2" t="s">
        <v>1647</v>
      </c>
      <c r="K2706" s="10">
        <v>16415</v>
      </c>
      <c r="L2706" s="10">
        <v>2005</v>
      </c>
      <c r="M2706" s="10">
        <v>14410</v>
      </c>
      <c r="N2706" s="10">
        <v>14410</v>
      </c>
      <c r="O2706" s="10">
        <f>Table1[[#This Row],[NET Amount]]-Table1[[#This Row],[Paid Amount]]</f>
        <v>0</v>
      </c>
      <c r="P2706" s="2" t="s">
        <v>18</v>
      </c>
      <c r="Q2706" s="2" t="s">
        <v>30</v>
      </c>
      <c r="R2706" s="16">
        <f>(Table1[[#This Row],[NET Amount]]-Table1[[#This Row],[Total Outstanding Amount]])/Table1[[#This Row],[NET Amount]]</f>
        <v>1</v>
      </c>
      <c r="S2706" s="2" t="s">
        <v>37</v>
      </c>
    </row>
    <row r="2707" spans="1:19" x14ac:dyDescent="0.3">
      <c r="A2707" s="4">
        <v>2705</v>
      </c>
      <c r="B2707" s="2" t="s">
        <v>50</v>
      </c>
      <c r="C2707" s="3">
        <v>44844</v>
      </c>
      <c r="D2707" s="3" t="str">
        <f>TEXT(Table1[[#This Row],[Admission Date]],"MMMM")</f>
        <v>October</v>
      </c>
      <c r="E2707" s="3">
        <v>44844</v>
      </c>
      <c r="F2707" s="3">
        <v>44844</v>
      </c>
      <c r="G2707" s="2">
        <v>22026478</v>
      </c>
      <c r="H2707" s="2">
        <v>2235380</v>
      </c>
      <c r="I2707" s="2">
        <v>1001564406</v>
      </c>
      <c r="J2707" s="2" t="s">
        <v>183</v>
      </c>
      <c r="K2707" s="10">
        <v>2200</v>
      </c>
      <c r="L2707" s="10">
        <v>0</v>
      </c>
      <c r="M2707" s="10">
        <v>2200</v>
      </c>
      <c r="N2707" s="10">
        <v>330</v>
      </c>
      <c r="O2707" s="10">
        <f>Table1[[#This Row],[NET Amount]]-Table1[[#This Row],[Paid Amount]]</f>
        <v>1870</v>
      </c>
      <c r="P2707" s="2" t="s">
        <v>23</v>
      </c>
      <c r="Q2707" s="2" t="s">
        <v>147</v>
      </c>
      <c r="R2707" s="16">
        <f>(Table1[[#This Row],[NET Amount]]-Table1[[#This Row],[Total Outstanding Amount]])/Table1[[#This Row],[NET Amount]]</f>
        <v>0.15</v>
      </c>
      <c r="S2707" s="2" t="s">
        <v>97</v>
      </c>
    </row>
    <row r="2708" spans="1:19" x14ac:dyDescent="0.3">
      <c r="A2708" s="4">
        <v>2706</v>
      </c>
      <c r="B2708" s="2" t="s">
        <v>35</v>
      </c>
      <c r="C2708" s="3">
        <v>44849</v>
      </c>
      <c r="D2708" s="3" t="str">
        <f>TEXT(Table1[[#This Row],[Admission Date]],"MMMM")</f>
        <v>October</v>
      </c>
      <c r="E2708" s="3">
        <v>44849</v>
      </c>
      <c r="F2708" s="3">
        <v>44849</v>
      </c>
      <c r="G2708" s="2">
        <v>22027139</v>
      </c>
      <c r="H2708" s="2">
        <v>2236084</v>
      </c>
      <c r="I2708" s="2">
        <v>10013401198</v>
      </c>
      <c r="J2708" s="2" t="s">
        <v>631</v>
      </c>
      <c r="K2708" s="10">
        <v>1610</v>
      </c>
      <c r="L2708" s="10">
        <v>0</v>
      </c>
      <c r="M2708" s="10">
        <v>1610</v>
      </c>
      <c r="N2708" s="10">
        <v>1610</v>
      </c>
      <c r="O2708" s="10">
        <f>Table1[[#This Row],[NET Amount]]-Table1[[#This Row],[Paid Amount]]</f>
        <v>0</v>
      </c>
      <c r="P2708" s="2" t="s">
        <v>18</v>
      </c>
      <c r="Q2708" s="2" t="s">
        <v>54</v>
      </c>
      <c r="R2708" s="16">
        <f>(Table1[[#This Row],[NET Amount]]-Table1[[#This Row],[Total Outstanding Amount]])/Table1[[#This Row],[NET Amount]]</f>
        <v>1</v>
      </c>
      <c r="S2708" s="2" t="s">
        <v>97</v>
      </c>
    </row>
    <row r="2709" spans="1:19" x14ac:dyDescent="0.3">
      <c r="A2709" s="4">
        <v>2707</v>
      </c>
      <c r="B2709" s="2" t="s">
        <v>155</v>
      </c>
      <c r="C2709" s="3">
        <v>44847</v>
      </c>
      <c r="D2709" s="3" t="str">
        <f>TEXT(Table1[[#This Row],[Admission Date]],"MMMM")</f>
        <v>October</v>
      </c>
      <c r="E2709" s="3">
        <v>44847</v>
      </c>
      <c r="F2709" s="3">
        <v>44847</v>
      </c>
      <c r="G2709" s="2">
        <v>22026819</v>
      </c>
      <c r="H2709" s="2">
        <v>2235802</v>
      </c>
      <c r="I2709" s="2">
        <v>10013537888</v>
      </c>
      <c r="J2709" s="2" t="s">
        <v>358</v>
      </c>
      <c r="K2709" s="10">
        <v>1610</v>
      </c>
      <c r="L2709" s="10">
        <v>0</v>
      </c>
      <c r="M2709" s="10">
        <v>1610</v>
      </c>
      <c r="N2709" s="10">
        <v>1610</v>
      </c>
      <c r="O2709" s="10">
        <f>Table1[[#This Row],[NET Amount]]-Table1[[#This Row],[Paid Amount]]</f>
        <v>0</v>
      </c>
      <c r="P2709" s="2" t="s">
        <v>18</v>
      </c>
      <c r="Q2709" s="2" t="s">
        <v>54</v>
      </c>
      <c r="R2709" s="16">
        <f>(Table1[[#This Row],[NET Amount]]-Table1[[#This Row],[Total Outstanding Amount]])/Table1[[#This Row],[NET Amount]]</f>
        <v>1</v>
      </c>
      <c r="S2709" s="2" t="s">
        <v>97</v>
      </c>
    </row>
    <row r="2710" spans="1:19" x14ac:dyDescent="0.3">
      <c r="A2710" s="4">
        <v>2708</v>
      </c>
      <c r="B2710" s="2" t="s">
        <v>139</v>
      </c>
      <c r="C2710" s="3">
        <v>44850</v>
      </c>
      <c r="D2710" s="3" t="str">
        <f>TEXT(Table1[[#This Row],[Admission Date]],"MMMM")</f>
        <v>October</v>
      </c>
      <c r="E2710" s="3">
        <v>44853</v>
      </c>
      <c r="F2710" s="3">
        <v>44853</v>
      </c>
      <c r="G2710" s="2">
        <v>22027734</v>
      </c>
      <c r="H2710" s="2">
        <v>2236241</v>
      </c>
      <c r="I2710" s="2">
        <v>1001804672</v>
      </c>
      <c r="J2710" s="2" t="s">
        <v>1648</v>
      </c>
      <c r="K2710" s="10">
        <v>93633</v>
      </c>
      <c r="L2710" s="10">
        <v>0</v>
      </c>
      <c r="M2710" s="10">
        <v>93633</v>
      </c>
      <c r="N2710" s="10">
        <v>2300</v>
      </c>
      <c r="O2710" s="10">
        <f>Table1[[#This Row],[NET Amount]]-Table1[[#This Row],[Paid Amount]]</f>
        <v>91333</v>
      </c>
      <c r="P2710" s="2" t="s">
        <v>23</v>
      </c>
      <c r="Q2710" s="2" t="s">
        <v>42</v>
      </c>
      <c r="R2710" s="16">
        <f>(Table1[[#This Row],[NET Amount]]-Table1[[#This Row],[Total Outstanding Amount]])/Table1[[#This Row],[NET Amount]]</f>
        <v>2.4563989191844757E-2</v>
      </c>
      <c r="S2710" s="2" t="s">
        <v>27</v>
      </c>
    </row>
    <row r="2711" spans="1:19" x14ac:dyDescent="0.3">
      <c r="A2711" s="4">
        <v>2709</v>
      </c>
      <c r="B2711" s="2" t="s">
        <v>25</v>
      </c>
      <c r="C2711" s="3">
        <v>44848</v>
      </c>
      <c r="D2711" s="3" t="str">
        <f>TEXT(Table1[[#This Row],[Admission Date]],"MMMM")</f>
        <v>October</v>
      </c>
      <c r="E2711" s="3">
        <v>44848</v>
      </c>
      <c r="F2711" s="3">
        <v>44848</v>
      </c>
      <c r="G2711" s="2">
        <v>22027073</v>
      </c>
      <c r="H2711" s="2">
        <v>2235989</v>
      </c>
      <c r="I2711" s="2">
        <v>10013533934</v>
      </c>
      <c r="J2711" s="2" t="s">
        <v>498</v>
      </c>
      <c r="K2711" s="10">
        <v>4990</v>
      </c>
      <c r="L2711" s="10">
        <v>470</v>
      </c>
      <c r="M2711" s="10">
        <v>4520</v>
      </c>
      <c r="N2711" s="10">
        <v>4520</v>
      </c>
      <c r="O2711" s="10">
        <f>Table1[[#This Row],[NET Amount]]-Table1[[#This Row],[Paid Amount]]</f>
        <v>0</v>
      </c>
      <c r="P2711" s="2" t="s">
        <v>18</v>
      </c>
      <c r="Q2711" s="2" t="s">
        <v>54</v>
      </c>
      <c r="R2711" s="16">
        <f>(Table1[[#This Row],[NET Amount]]-Table1[[#This Row],[Total Outstanding Amount]])/Table1[[#This Row],[NET Amount]]</f>
        <v>1</v>
      </c>
      <c r="S2711" s="2" t="s">
        <v>97</v>
      </c>
    </row>
    <row r="2712" spans="1:19" x14ac:dyDescent="0.3">
      <c r="A2712" s="4">
        <v>2710</v>
      </c>
      <c r="B2712" s="2" t="s">
        <v>25</v>
      </c>
      <c r="C2712" s="3">
        <v>44848</v>
      </c>
      <c r="D2712" s="3" t="str">
        <f>TEXT(Table1[[#This Row],[Admission Date]],"MMMM")</f>
        <v>October</v>
      </c>
      <c r="E2712" s="3">
        <v>44848</v>
      </c>
      <c r="F2712" s="3">
        <v>44848</v>
      </c>
      <c r="G2712" s="2">
        <v>22027063</v>
      </c>
      <c r="H2712" s="2">
        <v>2235924</v>
      </c>
      <c r="I2712" s="2">
        <v>1001307852</v>
      </c>
      <c r="J2712" s="2" t="s">
        <v>309</v>
      </c>
      <c r="K2712" s="10">
        <v>3319</v>
      </c>
      <c r="L2712" s="10">
        <v>3319</v>
      </c>
      <c r="M2712" s="10">
        <v>0</v>
      </c>
      <c r="N2712" s="10">
        <v>0</v>
      </c>
      <c r="O2712" s="10">
        <f>Table1[[#This Row],[NET Amount]]-Table1[[#This Row],[Paid Amount]]</f>
        <v>0</v>
      </c>
      <c r="P2712" s="2" t="s">
        <v>18</v>
      </c>
      <c r="Q2712" s="2" t="s">
        <v>90</v>
      </c>
      <c r="R2712" s="16" t="e">
        <f>(Table1[[#This Row],[NET Amount]]-Table1[[#This Row],[Total Outstanding Amount]])/Table1[[#This Row],[NET Amount]]</f>
        <v>#DIV/0!</v>
      </c>
      <c r="S2712" s="2" t="s">
        <v>97</v>
      </c>
    </row>
    <row r="2713" spans="1:19" x14ac:dyDescent="0.3">
      <c r="A2713" s="4">
        <v>2711</v>
      </c>
      <c r="B2713" s="2" t="s">
        <v>25</v>
      </c>
      <c r="C2713" s="3">
        <v>44849</v>
      </c>
      <c r="D2713" s="3" t="str">
        <f>TEXT(Table1[[#This Row],[Admission Date]],"MMMM")</f>
        <v>October</v>
      </c>
      <c r="E2713" s="3">
        <v>44849</v>
      </c>
      <c r="F2713" s="3">
        <v>44849</v>
      </c>
      <c r="G2713" s="2">
        <v>22027274</v>
      </c>
      <c r="H2713" s="2">
        <v>2236187</v>
      </c>
      <c r="I2713" s="2">
        <v>10013541160</v>
      </c>
      <c r="J2713" s="2" t="s">
        <v>336</v>
      </c>
      <c r="K2713" s="10">
        <v>4990</v>
      </c>
      <c r="L2713" s="10">
        <v>555</v>
      </c>
      <c r="M2713" s="10">
        <v>4435</v>
      </c>
      <c r="N2713" s="10">
        <v>4435</v>
      </c>
      <c r="O2713" s="10">
        <f>Table1[[#This Row],[NET Amount]]-Table1[[#This Row],[Paid Amount]]</f>
        <v>0</v>
      </c>
      <c r="P2713" s="2" t="s">
        <v>18</v>
      </c>
      <c r="Q2713" s="2" t="s">
        <v>54</v>
      </c>
      <c r="R2713" s="16">
        <f>(Table1[[#This Row],[NET Amount]]-Table1[[#This Row],[Total Outstanding Amount]])/Table1[[#This Row],[NET Amount]]</f>
        <v>1</v>
      </c>
      <c r="S2713" s="2" t="s">
        <v>97</v>
      </c>
    </row>
    <row r="2714" spans="1:19" x14ac:dyDescent="0.3">
      <c r="A2714" s="4">
        <v>2712</v>
      </c>
      <c r="B2714" s="2" t="s">
        <v>139</v>
      </c>
      <c r="C2714" s="3">
        <v>44848</v>
      </c>
      <c r="D2714" s="3" t="str">
        <f>TEXT(Table1[[#This Row],[Admission Date]],"MMMM")</f>
        <v>October</v>
      </c>
      <c r="E2714" s="3">
        <v>44851</v>
      </c>
      <c r="F2714" s="3">
        <v>44851</v>
      </c>
      <c r="G2714" s="2">
        <v>22027388</v>
      </c>
      <c r="H2714" s="2">
        <v>2235958</v>
      </c>
      <c r="I2714" s="2">
        <v>1001804322</v>
      </c>
      <c r="J2714" s="2" t="s">
        <v>1649</v>
      </c>
      <c r="K2714" s="10">
        <v>72797</v>
      </c>
      <c r="L2714" s="10">
        <v>0</v>
      </c>
      <c r="M2714" s="10">
        <v>72797</v>
      </c>
      <c r="N2714" s="10">
        <v>5697</v>
      </c>
      <c r="O2714" s="10">
        <f>Table1[[#This Row],[NET Amount]]-Table1[[#This Row],[Paid Amount]]</f>
        <v>67100</v>
      </c>
      <c r="P2714" s="2" t="s">
        <v>23</v>
      </c>
      <c r="Q2714" s="2" t="s">
        <v>42</v>
      </c>
      <c r="R2714" s="16">
        <f>(Table1[[#This Row],[NET Amount]]-Table1[[#This Row],[Total Outstanding Amount]])/Table1[[#This Row],[NET Amount]]</f>
        <v>7.8258719452724695E-2</v>
      </c>
      <c r="S2714" s="2" t="s">
        <v>37</v>
      </c>
    </row>
    <row r="2715" spans="1:19" x14ac:dyDescent="0.3">
      <c r="A2715" s="4">
        <v>2713</v>
      </c>
      <c r="B2715" s="2" t="s">
        <v>25</v>
      </c>
      <c r="C2715" s="3">
        <v>44855</v>
      </c>
      <c r="D2715" s="3" t="str">
        <f>TEXT(Table1[[#This Row],[Admission Date]],"MMMM")</f>
        <v>October</v>
      </c>
      <c r="E2715" s="3">
        <v>44856</v>
      </c>
      <c r="F2715" s="3">
        <v>44856</v>
      </c>
      <c r="G2715" s="2">
        <v>22028183</v>
      </c>
      <c r="H2715" s="2">
        <v>2236861</v>
      </c>
      <c r="I2715" s="2">
        <v>10013543538</v>
      </c>
      <c r="J2715" s="2" t="s">
        <v>1650</v>
      </c>
      <c r="K2715" s="10">
        <v>56639</v>
      </c>
      <c r="L2715" s="10">
        <v>7907</v>
      </c>
      <c r="M2715" s="10">
        <v>48732</v>
      </c>
      <c r="N2715" s="10">
        <v>48732</v>
      </c>
      <c r="O2715" s="10">
        <f>Table1[[#This Row],[NET Amount]]-Table1[[#This Row],[Paid Amount]]</f>
        <v>0</v>
      </c>
      <c r="P2715" s="2" t="s">
        <v>18</v>
      </c>
      <c r="Q2715" s="2" t="s">
        <v>69</v>
      </c>
      <c r="R2715" s="16">
        <f>(Table1[[#This Row],[NET Amount]]-Table1[[#This Row],[Total Outstanding Amount]])/Table1[[#This Row],[NET Amount]]</f>
        <v>1</v>
      </c>
      <c r="S2715" s="2" t="s">
        <v>77</v>
      </c>
    </row>
    <row r="2716" spans="1:19" x14ac:dyDescent="0.3">
      <c r="A2716" s="4">
        <v>2714</v>
      </c>
      <c r="B2716" s="2" t="s">
        <v>2265</v>
      </c>
      <c r="C2716" s="3">
        <v>44850</v>
      </c>
      <c r="D2716" s="3" t="str">
        <f>TEXT(Table1[[#This Row],[Admission Date]],"MMMM")</f>
        <v>October</v>
      </c>
      <c r="E2716" s="3">
        <v>44856</v>
      </c>
      <c r="F2716" s="3">
        <v>44856</v>
      </c>
      <c r="G2716" s="2">
        <v>22028164</v>
      </c>
      <c r="H2716" s="2">
        <v>2236219</v>
      </c>
      <c r="I2716" s="2">
        <v>1001804638</v>
      </c>
      <c r="J2716" s="2" t="s">
        <v>1651</v>
      </c>
      <c r="K2716" s="10">
        <v>66760</v>
      </c>
      <c r="L2716" s="10">
        <v>9719</v>
      </c>
      <c r="M2716" s="10">
        <v>57040</v>
      </c>
      <c r="N2716" s="10">
        <v>11408</v>
      </c>
      <c r="O2716" s="10">
        <f>Table1[[#This Row],[NET Amount]]-Table1[[#This Row],[Paid Amount]]</f>
        <v>45632</v>
      </c>
      <c r="P2716" s="2" t="s">
        <v>23</v>
      </c>
      <c r="Q2716" s="2" t="s">
        <v>42</v>
      </c>
      <c r="R2716" s="16">
        <f>(Table1[[#This Row],[NET Amount]]-Table1[[#This Row],[Total Outstanding Amount]])/Table1[[#This Row],[NET Amount]]</f>
        <v>0.2</v>
      </c>
      <c r="S2716" s="2" t="s">
        <v>20</v>
      </c>
    </row>
    <row r="2717" spans="1:19" x14ac:dyDescent="0.3">
      <c r="A2717" s="4">
        <v>2715</v>
      </c>
      <c r="B2717" s="2" t="s">
        <v>2244</v>
      </c>
      <c r="C2717" s="3">
        <v>44854</v>
      </c>
      <c r="D2717" s="3" t="str">
        <f>TEXT(Table1[[#This Row],[Admission Date]],"MMMM")</f>
        <v>October</v>
      </c>
      <c r="E2717" s="3">
        <v>44858</v>
      </c>
      <c r="F2717" s="3">
        <v>44858</v>
      </c>
      <c r="G2717" s="2">
        <v>22028454</v>
      </c>
      <c r="H2717" s="2">
        <v>2236845</v>
      </c>
      <c r="I2717" s="2">
        <v>1001790793</v>
      </c>
      <c r="J2717" s="2" t="s">
        <v>1652</v>
      </c>
      <c r="K2717" s="10">
        <v>41327</v>
      </c>
      <c r="L2717" s="10">
        <v>0</v>
      </c>
      <c r="M2717" s="10">
        <v>41327</v>
      </c>
      <c r="N2717" s="10">
        <v>41327</v>
      </c>
      <c r="O2717" s="10">
        <f>Table1[[#This Row],[NET Amount]]-Table1[[#This Row],[Paid Amount]]</f>
        <v>0</v>
      </c>
      <c r="P2717" s="2" t="s">
        <v>18</v>
      </c>
      <c r="Q2717" s="2" t="s">
        <v>30</v>
      </c>
      <c r="R2717" s="16">
        <f>(Table1[[#This Row],[NET Amount]]-Table1[[#This Row],[Total Outstanding Amount]])/Table1[[#This Row],[NET Amount]]</f>
        <v>1</v>
      </c>
      <c r="S2717" s="2" t="s">
        <v>20</v>
      </c>
    </row>
    <row r="2718" spans="1:19" x14ac:dyDescent="0.3">
      <c r="A2718" s="4">
        <v>2716</v>
      </c>
      <c r="B2718" s="2" t="s">
        <v>25</v>
      </c>
      <c r="C2718" s="3">
        <v>44830</v>
      </c>
      <c r="D2718" s="3" t="str">
        <f>TEXT(Table1[[#This Row],[Admission Date]],"MMMM")</f>
        <v>September</v>
      </c>
      <c r="E2718" s="3">
        <v>44837</v>
      </c>
      <c r="F2718" s="3">
        <v>44837</v>
      </c>
      <c r="G2718" s="2">
        <v>22025366</v>
      </c>
      <c r="H2718" s="2">
        <v>2233507</v>
      </c>
      <c r="I2718" s="2">
        <v>1001236690</v>
      </c>
      <c r="J2718" s="2" t="s">
        <v>1653</v>
      </c>
      <c r="K2718" s="10">
        <v>203918</v>
      </c>
      <c r="L2718" s="10">
        <v>41761</v>
      </c>
      <c r="M2718" s="10">
        <v>162158</v>
      </c>
      <c r="N2718" s="10">
        <v>162158</v>
      </c>
      <c r="O2718" s="10">
        <f>Table1[[#This Row],[NET Amount]]-Table1[[#This Row],[Paid Amount]]</f>
        <v>0</v>
      </c>
      <c r="P2718" s="2" t="s">
        <v>18</v>
      </c>
      <c r="Q2718" s="2" t="s">
        <v>24</v>
      </c>
      <c r="R2718" s="16">
        <f>(Table1[[#This Row],[NET Amount]]-Table1[[#This Row],[Total Outstanding Amount]])/Table1[[#This Row],[NET Amount]]</f>
        <v>1</v>
      </c>
      <c r="S2718" s="2" t="s">
        <v>20</v>
      </c>
    </row>
    <row r="2719" spans="1:19" x14ac:dyDescent="0.3">
      <c r="A2719" s="4">
        <v>2717</v>
      </c>
      <c r="B2719" s="2" t="s">
        <v>149</v>
      </c>
      <c r="C2719" s="3">
        <v>44845</v>
      </c>
      <c r="D2719" s="3" t="str">
        <f>TEXT(Table1[[#This Row],[Admission Date]],"MMMM")</f>
        <v>October</v>
      </c>
      <c r="E2719" s="3">
        <v>44851</v>
      </c>
      <c r="F2719" s="3">
        <v>44851</v>
      </c>
      <c r="G2719" s="2">
        <v>22027384</v>
      </c>
      <c r="H2719" s="2">
        <v>2235535</v>
      </c>
      <c r="I2719" s="2">
        <v>10013542549</v>
      </c>
      <c r="J2719" s="2" t="s">
        <v>1654</v>
      </c>
      <c r="K2719" s="10">
        <v>172401</v>
      </c>
      <c r="L2719" s="10">
        <v>12003</v>
      </c>
      <c r="M2719" s="10">
        <v>160398</v>
      </c>
      <c r="N2719" s="10">
        <v>8247</v>
      </c>
      <c r="O2719" s="10">
        <f>Table1[[#This Row],[NET Amount]]-Table1[[#This Row],[Paid Amount]]</f>
        <v>152151</v>
      </c>
      <c r="P2719" s="2" t="s">
        <v>23</v>
      </c>
      <c r="Q2719" s="2" t="s">
        <v>19</v>
      </c>
      <c r="R2719" s="16">
        <f>(Table1[[#This Row],[NET Amount]]-Table1[[#This Row],[Total Outstanding Amount]])/Table1[[#This Row],[NET Amount]]</f>
        <v>5.1415853065499569E-2</v>
      </c>
      <c r="S2719" s="2" t="s">
        <v>20</v>
      </c>
    </row>
    <row r="2720" spans="1:19" x14ac:dyDescent="0.3">
      <c r="A2720" s="4">
        <v>2718</v>
      </c>
      <c r="B2720" s="2" t="s">
        <v>93</v>
      </c>
      <c r="C2720" s="3">
        <v>44842</v>
      </c>
      <c r="D2720" s="3" t="str">
        <f>TEXT(Table1[[#This Row],[Admission Date]],"MMMM")</f>
        <v>October</v>
      </c>
      <c r="E2720" s="3">
        <v>44845</v>
      </c>
      <c r="F2720" s="3">
        <v>44845</v>
      </c>
      <c r="G2720" s="2">
        <v>22026530</v>
      </c>
      <c r="H2720" s="2">
        <v>2235250</v>
      </c>
      <c r="I2720" s="2">
        <v>1001803357</v>
      </c>
      <c r="J2720" s="2" t="s">
        <v>1655</v>
      </c>
      <c r="K2720" s="10">
        <v>70925</v>
      </c>
      <c r="L2720" s="10">
        <v>0</v>
      </c>
      <c r="M2720" s="10">
        <v>70925</v>
      </c>
      <c r="N2720" s="10">
        <v>1500</v>
      </c>
      <c r="O2720" s="10">
        <f>Table1[[#This Row],[NET Amount]]-Table1[[#This Row],[Paid Amount]]</f>
        <v>69425</v>
      </c>
      <c r="P2720" s="2" t="s">
        <v>23</v>
      </c>
      <c r="Q2720" s="2" t="s">
        <v>30</v>
      </c>
      <c r="R2720" s="16">
        <f>(Table1[[#This Row],[NET Amount]]-Table1[[#This Row],[Total Outstanding Amount]])/Table1[[#This Row],[NET Amount]]</f>
        <v>2.1149101163200564E-2</v>
      </c>
      <c r="S2720" s="2" t="s">
        <v>27</v>
      </c>
    </row>
    <row r="2721" spans="1:19" x14ac:dyDescent="0.3">
      <c r="A2721" s="4">
        <v>2719</v>
      </c>
      <c r="B2721" s="2" t="s">
        <v>45</v>
      </c>
      <c r="C2721" s="3">
        <v>44837</v>
      </c>
      <c r="D2721" s="3" t="str">
        <f>TEXT(Table1[[#This Row],[Admission Date]],"MMMM")</f>
        <v>October</v>
      </c>
      <c r="E2721" s="3">
        <v>44841</v>
      </c>
      <c r="F2721" s="3">
        <v>44841</v>
      </c>
      <c r="G2721" s="2">
        <v>22026025</v>
      </c>
      <c r="H2721" s="2">
        <v>2234470</v>
      </c>
      <c r="I2721" s="2">
        <v>10013541417</v>
      </c>
      <c r="J2721" s="2" t="s">
        <v>1656</v>
      </c>
      <c r="K2721" s="10">
        <v>254226</v>
      </c>
      <c r="L2721" s="10">
        <v>30828</v>
      </c>
      <c r="M2721" s="10">
        <v>223398</v>
      </c>
      <c r="N2721" s="10">
        <v>66498</v>
      </c>
      <c r="O2721" s="10">
        <f>Table1[[#This Row],[NET Amount]]-Table1[[#This Row],[Paid Amount]]</f>
        <v>156900</v>
      </c>
      <c r="P2721" s="2" t="s">
        <v>23</v>
      </c>
      <c r="Q2721" s="2" t="s">
        <v>42</v>
      </c>
      <c r="R2721" s="16">
        <f>(Table1[[#This Row],[NET Amount]]-Table1[[#This Row],[Total Outstanding Amount]])/Table1[[#This Row],[NET Amount]]</f>
        <v>0.29766604893508447</v>
      </c>
      <c r="S2721" s="2" t="s">
        <v>20</v>
      </c>
    </row>
    <row r="2722" spans="1:19" x14ac:dyDescent="0.3">
      <c r="A2722" s="4">
        <v>2720</v>
      </c>
      <c r="B2722" s="2" t="s">
        <v>149</v>
      </c>
      <c r="C2722" s="3">
        <v>44841</v>
      </c>
      <c r="D2722" s="3" t="str">
        <f>TEXT(Table1[[#This Row],[Admission Date]],"MMMM")</f>
        <v>October</v>
      </c>
      <c r="E2722" s="3">
        <v>44841</v>
      </c>
      <c r="F2722" s="3">
        <v>44841</v>
      </c>
      <c r="G2722" s="2">
        <v>22026004</v>
      </c>
      <c r="H2722" s="2">
        <v>2234972</v>
      </c>
      <c r="I2722" s="2">
        <v>10013541884</v>
      </c>
      <c r="J2722" s="2" t="s">
        <v>988</v>
      </c>
      <c r="K2722" s="10">
        <v>15045</v>
      </c>
      <c r="L2722" s="10">
        <v>0</v>
      </c>
      <c r="M2722" s="10">
        <v>15045</v>
      </c>
      <c r="N2722" s="10">
        <v>1212</v>
      </c>
      <c r="O2722" s="10">
        <f>Table1[[#This Row],[NET Amount]]-Table1[[#This Row],[Paid Amount]]</f>
        <v>13833</v>
      </c>
      <c r="P2722" s="2" t="s">
        <v>23</v>
      </c>
      <c r="Q2722" s="2" t="s">
        <v>54</v>
      </c>
      <c r="R2722" s="16">
        <f>(Table1[[#This Row],[NET Amount]]-Table1[[#This Row],[Total Outstanding Amount]])/Table1[[#This Row],[NET Amount]]</f>
        <v>8.0558325024925229E-2</v>
      </c>
      <c r="S2722" s="2" t="s">
        <v>27</v>
      </c>
    </row>
    <row r="2723" spans="1:19" x14ac:dyDescent="0.3">
      <c r="A2723" s="4">
        <v>2721</v>
      </c>
      <c r="B2723" s="2" t="s">
        <v>25</v>
      </c>
      <c r="C2723" s="3">
        <v>44833</v>
      </c>
      <c r="D2723" s="3" t="str">
        <f>TEXT(Table1[[#This Row],[Admission Date]],"MMMM")</f>
        <v>September</v>
      </c>
      <c r="E2723" s="3">
        <v>44841</v>
      </c>
      <c r="F2723" s="3">
        <v>44841</v>
      </c>
      <c r="G2723" s="2">
        <v>22026021</v>
      </c>
      <c r="H2723" s="2">
        <v>2233994</v>
      </c>
      <c r="I2723" s="2">
        <v>10013540896</v>
      </c>
      <c r="J2723" s="2" t="s">
        <v>1657</v>
      </c>
      <c r="K2723" s="10">
        <v>185436</v>
      </c>
      <c r="L2723" s="10">
        <v>38973</v>
      </c>
      <c r="M2723" s="10">
        <v>146464</v>
      </c>
      <c r="N2723" s="10">
        <v>146464</v>
      </c>
      <c r="O2723" s="10">
        <f>Table1[[#This Row],[NET Amount]]-Table1[[#This Row],[Paid Amount]]</f>
        <v>0</v>
      </c>
      <c r="P2723" s="2" t="s">
        <v>18</v>
      </c>
      <c r="Q2723" s="2" t="s">
        <v>24</v>
      </c>
      <c r="R2723" s="16">
        <f>(Table1[[#This Row],[NET Amount]]-Table1[[#This Row],[Total Outstanding Amount]])/Table1[[#This Row],[NET Amount]]</f>
        <v>1</v>
      </c>
      <c r="S2723" s="2" t="s">
        <v>20</v>
      </c>
    </row>
    <row r="2724" spans="1:19" x14ac:dyDescent="0.3">
      <c r="A2724" s="4">
        <v>2722</v>
      </c>
      <c r="B2724" s="2" t="s">
        <v>126</v>
      </c>
      <c r="C2724" s="3">
        <v>44855</v>
      </c>
      <c r="D2724" s="3" t="str">
        <f>TEXT(Table1[[#This Row],[Admission Date]],"MMMM")</f>
        <v>October</v>
      </c>
      <c r="E2724" s="3">
        <v>44863</v>
      </c>
      <c r="F2724" s="3">
        <v>44863</v>
      </c>
      <c r="G2724" s="2">
        <v>22029122</v>
      </c>
      <c r="H2724" s="2">
        <v>2236931</v>
      </c>
      <c r="I2724" s="2">
        <v>10013542749</v>
      </c>
      <c r="J2724" s="2" t="s">
        <v>1658</v>
      </c>
      <c r="K2724" s="10">
        <v>94451</v>
      </c>
      <c r="L2724" s="10">
        <v>11690</v>
      </c>
      <c r="M2724" s="10">
        <v>82761</v>
      </c>
      <c r="N2724" s="10">
        <v>5126</v>
      </c>
      <c r="O2724" s="10">
        <f>Table1[[#This Row],[NET Amount]]-Table1[[#This Row],[Paid Amount]]</f>
        <v>77635</v>
      </c>
      <c r="P2724" s="2" t="s">
        <v>23</v>
      </c>
      <c r="Q2724" s="2" t="s">
        <v>24</v>
      </c>
      <c r="R2724" s="16">
        <f>(Table1[[#This Row],[NET Amount]]-Table1[[#This Row],[Total Outstanding Amount]])/Table1[[#This Row],[NET Amount]]</f>
        <v>6.1937385966820122E-2</v>
      </c>
      <c r="S2724" s="2" t="s">
        <v>32</v>
      </c>
    </row>
    <row r="2725" spans="1:19" x14ac:dyDescent="0.3">
      <c r="A2725" s="4">
        <v>2723</v>
      </c>
      <c r="B2725" s="2" t="s">
        <v>35</v>
      </c>
      <c r="C2725" s="3">
        <v>44863</v>
      </c>
      <c r="D2725" s="3" t="str">
        <f>TEXT(Table1[[#This Row],[Admission Date]],"MMMM")</f>
        <v>October</v>
      </c>
      <c r="E2725" s="3">
        <v>44863</v>
      </c>
      <c r="F2725" s="3">
        <v>44863</v>
      </c>
      <c r="G2725" s="2">
        <v>22029141</v>
      </c>
      <c r="H2725" s="2">
        <v>2237996</v>
      </c>
      <c r="I2725" s="2">
        <v>10013524794</v>
      </c>
      <c r="J2725" s="2" t="s">
        <v>1659</v>
      </c>
      <c r="K2725" s="10">
        <v>11903</v>
      </c>
      <c r="L2725" s="10">
        <v>0</v>
      </c>
      <c r="M2725" s="10">
        <v>11903</v>
      </c>
      <c r="N2725" s="10">
        <v>11903</v>
      </c>
      <c r="O2725" s="10">
        <f>Table1[[#This Row],[NET Amount]]-Table1[[#This Row],[Paid Amount]]</f>
        <v>0</v>
      </c>
      <c r="P2725" s="2" t="s">
        <v>18</v>
      </c>
      <c r="Q2725" s="2" t="s">
        <v>24</v>
      </c>
      <c r="R2725" s="16">
        <f>(Table1[[#This Row],[NET Amount]]-Table1[[#This Row],[Total Outstanding Amount]])/Table1[[#This Row],[NET Amount]]</f>
        <v>1</v>
      </c>
      <c r="S2725" s="2" t="s">
        <v>39</v>
      </c>
    </row>
    <row r="2726" spans="1:19" x14ac:dyDescent="0.3">
      <c r="A2726" s="4">
        <v>2724</v>
      </c>
      <c r="B2726" s="2" t="s">
        <v>259</v>
      </c>
      <c r="C2726" s="3">
        <v>44863</v>
      </c>
      <c r="D2726" s="3" t="str">
        <f>TEXT(Table1[[#This Row],[Admission Date]],"MMMM")</f>
        <v>October</v>
      </c>
      <c r="E2726" s="3">
        <v>44863</v>
      </c>
      <c r="F2726" s="3">
        <v>44863</v>
      </c>
      <c r="G2726" s="2">
        <v>22029132</v>
      </c>
      <c r="H2726" s="2">
        <v>2237908</v>
      </c>
      <c r="I2726" s="2">
        <v>10013512357</v>
      </c>
      <c r="J2726" s="2" t="s">
        <v>1660</v>
      </c>
      <c r="K2726" s="10">
        <v>31201</v>
      </c>
      <c r="L2726" s="10">
        <v>0</v>
      </c>
      <c r="M2726" s="10">
        <v>31201</v>
      </c>
      <c r="N2726" s="10">
        <v>1500</v>
      </c>
      <c r="O2726" s="10">
        <f>Table1[[#This Row],[NET Amount]]-Table1[[#This Row],[Paid Amount]]</f>
        <v>29701</v>
      </c>
      <c r="P2726" s="2" t="s">
        <v>23</v>
      </c>
      <c r="Q2726" s="2" t="s">
        <v>54</v>
      </c>
      <c r="R2726" s="16">
        <f>(Table1[[#This Row],[NET Amount]]-Table1[[#This Row],[Total Outstanding Amount]])/Table1[[#This Row],[NET Amount]]</f>
        <v>4.8075382199288481E-2</v>
      </c>
      <c r="S2726" s="2" t="s">
        <v>27</v>
      </c>
    </row>
    <row r="2727" spans="1:19" x14ac:dyDescent="0.3">
      <c r="A2727" s="4">
        <v>2725</v>
      </c>
      <c r="B2727" s="2" t="s">
        <v>50</v>
      </c>
      <c r="C2727" s="3">
        <v>44845</v>
      </c>
      <c r="D2727" s="3" t="str">
        <f>TEXT(Table1[[#This Row],[Admission Date]],"MMMM")</f>
        <v>October</v>
      </c>
      <c r="E2727" s="3">
        <v>44846</v>
      </c>
      <c r="F2727" s="3">
        <v>44846</v>
      </c>
      <c r="G2727" s="2">
        <v>22026755</v>
      </c>
      <c r="H2727" s="2">
        <v>2235560</v>
      </c>
      <c r="I2727" s="2">
        <v>10013541557</v>
      </c>
      <c r="J2727" s="2" t="s">
        <v>1661</v>
      </c>
      <c r="K2727" s="10">
        <v>28053</v>
      </c>
      <c r="L2727" s="10">
        <v>3861</v>
      </c>
      <c r="M2727" s="10">
        <v>24192</v>
      </c>
      <c r="N2727" s="10">
        <v>5569</v>
      </c>
      <c r="O2727" s="10">
        <f>Table1[[#This Row],[NET Amount]]-Table1[[#This Row],[Paid Amount]]</f>
        <v>18623</v>
      </c>
      <c r="P2727" s="2" t="s">
        <v>23</v>
      </c>
      <c r="Q2727" s="2" t="s">
        <v>42</v>
      </c>
      <c r="R2727" s="16">
        <f>(Table1[[#This Row],[NET Amount]]-Table1[[#This Row],[Total Outstanding Amount]])/Table1[[#This Row],[NET Amount]]</f>
        <v>0.23020006613756613</v>
      </c>
      <c r="S2727" s="2" t="s">
        <v>37</v>
      </c>
    </row>
    <row r="2728" spans="1:19" x14ac:dyDescent="0.3">
      <c r="A2728" s="4">
        <v>2726</v>
      </c>
      <c r="B2728" s="2" t="s">
        <v>25</v>
      </c>
      <c r="C2728" s="3">
        <v>44849</v>
      </c>
      <c r="D2728" s="3" t="str">
        <f>TEXT(Table1[[#This Row],[Admission Date]],"MMMM")</f>
        <v>October</v>
      </c>
      <c r="E2728" s="3">
        <v>44850</v>
      </c>
      <c r="F2728" s="3">
        <v>44850</v>
      </c>
      <c r="G2728" s="2">
        <v>22027323</v>
      </c>
      <c r="H2728" s="2">
        <v>2236121</v>
      </c>
      <c r="I2728" s="2">
        <v>10013530549</v>
      </c>
      <c r="J2728" s="2" t="s">
        <v>121</v>
      </c>
      <c r="K2728" s="10">
        <v>184154</v>
      </c>
      <c r="L2728" s="10">
        <v>29100</v>
      </c>
      <c r="M2728" s="10">
        <v>155054</v>
      </c>
      <c r="N2728" s="10">
        <v>155054</v>
      </c>
      <c r="O2728" s="10">
        <f>Table1[[#This Row],[NET Amount]]-Table1[[#This Row],[Paid Amount]]</f>
        <v>0</v>
      </c>
      <c r="P2728" s="2" t="s">
        <v>18</v>
      </c>
      <c r="Q2728" s="2" t="s">
        <v>69</v>
      </c>
      <c r="R2728" s="16">
        <f>(Table1[[#This Row],[NET Amount]]-Table1[[#This Row],[Total Outstanding Amount]])/Table1[[#This Row],[NET Amount]]</f>
        <v>1</v>
      </c>
      <c r="S2728" s="2" t="s">
        <v>39</v>
      </c>
    </row>
    <row r="2729" spans="1:19" x14ac:dyDescent="0.3">
      <c r="A2729" s="4">
        <v>2727</v>
      </c>
      <c r="B2729" s="2" t="s">
        <v>2254</v>
      </c>
      <c r="C2729" s="3">
        <v>44847</v>
      </c>
      <c r="D2729" s="3" t="str">
        <f>TEXT(Table1[[#This Row],[Admission Date]],"MMMM")</f>
        <v>October</v>
      </c>
      <c r="E2729" s="3">
        <v>44852</v>
      </c>
      <c r="F2729" s="3">
        <v>44852</v>
      </c>
      <c r="G2729" s="2">
        <v>22027564</v>
      </c>
      <c r="H2729" s="2">
        <v>2235792</v>
      </c>
      <c r="I2729" s="2">
        <v>1001804044</v>
      </c>
      <c r="J2729" s="2" t="s">
        <v>1344</v>
      </c>
      <c r="K2729" s="10">
        <v>69101</v>
      </c>
      <c r="L2729" s="10">
        <v>10813</v>
      </c>
      <c r="M2729" s="10">
        <v>58288</v>
      </c>
      <c r="N2729" s="10">
        <v>2128</v>
      </c>
      <c r="O2729" s="10">
        <f>Table1[[#This Row],[NET Amount]]-Table1[[#This Row],[Paid Amount]]</f>
        <v>56160</v>
      </c>
      <c r="P2729" s="2" t="s">
        <v>23</v>
      </c>
      <c r="Q2729" s="2" t="s">
        <v>30</v>
      </c>
      <c r="R2729" s="16">
        <f>(Table1[[#This Row],[NET Amount]]-Table1[[#This Row],[Total Outstanding Amount]])/Table1[[#This Row],[NET Amount]]</f>
        <v>3.6508372220697229E-2</v>
      </c>
      <c r="S2729" s="2" t="s">
        <v>20</v>
      </c>
    </row>
    <row r="2730" spans="1:19" x14ac:dyDescent="0.3">
      <c r="A2730" s="4">
        <v>2728</v>
      </c>
      <c r="B2730" s="2" t="s">
        <v>25</v>
      </c>
      <c r="C2730" s="3">
        <v>44847</v>
      </c>
      <c r="D2730" s="3" t="str">
        <f>TEXT(Table1[[#This Row],[Admission Date]],"MMMM")</f>
        <v>October</v>
      </c>
      <c r="E2730" s="3">
        <v>44847</v>
      </c>
      <c r="F2730" s="3">
        <v>44847</v>
      </c>
      <c r="G2730" s="2">
        <v>22026867</v>
      </c>
      <c r="H2730" s="2">
        <v>2235821</v>
      </c>
      <c r="I2730" s="2">
        <v>10013542800</v>
      </c>
      <c r="J2730" s="2" t="s">
        <v>1662</v>
      </c>
      <c r="K2730" s="10">
        <v>14000</v>
      </c>
      <c r="L2730" s="10">
        <v>0</v>
      </c>
      <c r="M2730" s="10">
        <v>14000</v>
      </c>
      <c r="N2730" s="10">
        <v>14000</v>
      </c>
      <c r="O2730" s="10">
        <f>Table1[[#This Row],[NET Amount]]-Table1[[#This Row],[Paid Amount]]</f>
        <v>0</v>
      </c>
      <c r="P2730" s="2" t="s">
        <v>18</v>
      </c>
      <c r="Q2730" s="2" t="s">
        <v>54</v>
      </c>
      <c r="R2730" s="16">
        <f>(Table1[[#This Row],[NET Amount]]-Table1[[#This Row],[Total Outstanding Amount]])/Table1[[#This Row],[NET Amount]]</f>
        <v>1</v>
      </c>
      <c r="S2730" s="2" t="s">
        <v>39</v>
      </c>
    </row>
    <row r="2731" spans="1:19" x14ac:dyDescent="0.3">
      <c r="A2731" s="4">
        <v>2729</v>
      </c>
      <c r="B2731" s="2" t="s">
        <v>25</v>
      </c>
      <c r="C2731" s="3">
        <v>44847</v>
      </c>
      <c r="D2731" s="3" t="str">
        <f>TEXT(Table1[[#This Row],[Admission Date]],"MMMM")</f>
        <v>October</v>
      </c>
      <c r="E2731" s="3">
        <v>44848</v>
      </c>
      <c r="F2731" s="3">
        <v>44848</v>
      </c>
      <c r="G2731" s="2">
        <v>22027072</v>
      </c>
      <c r="H2731" s="2">
        <v>2235855</v>
      </c>
      <c r="I2731" s="2">
        <v>10013484173</v>
      </c>
      <c r="J2731" s="2" t="s">
        <v>1663</v>
      </c>
      <c r="K2731" s="10">
        <v>50886</v>
      </c>
      <c r="L2731" s="10">
        <v>6158</v>
      </c>
      <c r="M2731" s="10">
        <v>44728</v>
      </c>
      <c r="N2731" s="10">
        <v>44728</v>
      </c>
      <c r="O2731" s="10">
        <f>Table1[[#This Row],[NET Amount]]-Table1[[#This Row],[Paid Amount]]</f>
        <v>0</v>
      </c>
      <c r="P2731" s="2" t="s">
        <v>18</v>
      </c>
      <c r="Q2731" s="2" t="s">
        <v>225</v>
      </c>
      <c r="R2731" s="16">
        <f>(Table1[[#This Row],[NET Amount]]-Table1[[#This Row],[Total Outstanding Amount]])/Table1[[#This Row],[NET Amount]]</f>
        <v>1</v>
      </c>
      <c r="S2731" s="2" t="s">
        <v>20</v>
      </c>
    </row>
    <row r="2732" spans="1:19" x14ac:dyDescent="0.3">
      <c r="A2732" s="4">
        <v>2730</v>
      </c>
      <c r="B2732" s="2" t="s">
        <v>25</v>
      </c>
      <c r="C2732" s="3">
        <v>44835</v>
      </c>
      <c r="D2732" s="3" t="str">
        <f>TEXT(Table1[[#This Row],[Admission Date]],"MMMM")</f>
        <v>October</v>
      </c>
      <c r="E2732" s="3">
        <v>44836</v>
      </c>
      <c r="F2732" s="3">
        <v>44836</v>
      </c>
      <c r="G2732" s="2">
        <v>22025305</v>
      </c>
      <c r="H2732" s="2">
        <v>2234144</v>
      </c>
      <c r="I2732" s="2">
        <v>10013540062</v>
      </c>
      <c r="J2732" s="2" t="s">
        <v>1664</v>
      </c>
      <c r="K2732" s="10">
        <v>62729</v>
      </c>
      <c r="L2732" s="10">
        <v>0</v>
      </c>
      <c r="M2732" s="10">
        <v>62729</v>
      </c>
      <c r="N2732" s="10">
        <v>62729</v>
      </c>
      <c r="O2732" s="10">
        <f>Table1[[#This Row],[NET Amount]]-Table1[[#This Row],[Paid Amount]]</f>
        <v>0</v>
      </c>
      <c r="P2732" s="2" t="s">
        <v>18</v>
      </c>
      <c r="Q2732" s="2" t="s">
        <v>24</v>
      </c>
      <c r="R2732" s="16">
        <f>(Table1[[#This Row],[NET Amount]]-Table1[[#This Row],[Total Outstanding Amount]])/Table1[[#This Row],[NET Amount]]</f>
        <v>1</v>
      </c>
      <c r="S2732" s="2" t="s">
        <v>77</v>
      </c>
    </row>
    <row r="2733" spans="1:19" x14ac:dyDescent="0.3">
      <c r="A2733" s="4">
        <v>2731</v>
      </c>
      <c r="B2733" s="2" t="s">
        <v>25</v>
      </c>
      <c r="C2733" s="3">
        <v>44837</v>
      </c>
      <c r="D2733" s="3" t="str">
        <f>TEXT(Table1[[#This Row],[Admission Date]],"MMMM")</f>
        <v>October</v>
      </c>
      <c r="E2733" s="3">
        <v>44837</v>
      </c>
      <c r="F2733" s="3">
        <v>44837</v>
      </c>
      <c r="G2733" s="2">
        <v>22025378</v>
      </c>
      <c r="H2733" s="2">
        <v>2234341</v>
      </c>
      <c r="I2733" s="2">
        <v>1001802055</v>
      </c>
      <c r="J2733" s="2" t="s">
        <v>1665</v>
      </c>
      <c r="K2733" s="10">
        <v>18729</v>
      </c>
      <c r="L2733" s="10">
        <v>3125</v>
      </c>
      <c r="M2733" s="10">
        <v>15604</v>
      </c>
      <c r="N2733" s="10">
        <v>15604</v>
      </c>
      <c r="O2733" s="10">
        <f>Table1[[#This Row],[NET Amount]]-Table1[[#This Row],[Paid Amount]]</f>
        <v>0</v>
      </c>
      <c r="P2733" s="2" t="s">
        <v>18</v>
      </c>
      <c r="Q2733" s="2" t="s">
        <v>19</v>
      </c>
      <c r="R2733" s="16">
        <f>(Table1[[#This Row],[NET Amount]]-Table1[[#This Row],[Total Outstanding Amount]])/Table1[[#This Row],[NET Amount]]</f>
        <v>1</v>
      </c>
      <c r="S2733" s="2" t="s">
        <v>20</v>
      </c>
    </row>
    <row r="2734" spans="1:19" x14ac:dyDescent="0.3">
      <c r="A2734" s="4">
        <v>2732</v>
      </c>
      <c r="B2734" s="2" t="s">
        <v>25</v>
      </c>
      <c r="C2734" s="3">
        <v>44845</v>
      </c>
      <c r="D2734" s="3" t="str">
        <f>TEXT(Table1[[#This Row],[Admission Date]],"MMMM")</f>
        <v>October</v>
      </c>
      <c r="E2734" s="3">
        <v>44845</v>
      </c>
      <c r="F2734" s="3">
        <v>44845</v>
      </c>
      <c r="G2734" s="2">
        <v>22026644</v>
      </c>
      <c r="H2734" s="2">
        <v>2235602</v>
      </c>
      <c r="I2734" s="2">
        <v>1001012376</v>
      </c>
      <c r="J2734" s="2" t="s">
        <v>541</v>
      </c>
      <c r="K2734" s="10">
        <v>3319</v>
      </c>
      <c r="L2734" s="10">
        <v>3319</v>
      </c>
      <c r="M2734" s="10">
        <v>0</v>
      </c>
      <c r="N2734" s="10">
        <v>0</v>
      </c>
      <c r="O2734" s="10">
        <f>Table1[[#This Row],[NET Amount]]-Table1[[#This Row],[Paid Amount]]</f>
        <v>0</v>
      </c>
      <c r="P2734" s="2" t="s">
        <v>18</v>
      </c>
      <c r="Q2734" s="2" t="s">
        <v>90</v>
      </c>
      <c r="R2734" s="16" t="e">
        <f>(Table1[[#This Row],[NET Amount]]-Table1[[#This Row],[Total Outstanding Amount]])/Table1[[#This Row],[NET Amount]]</f>
        <v>#DIV/0!</v>
      </c>
      <c r="S2734" s="2" t="s">
        <v>97</v>
      </c>
    </row>
    <row r="2735" spans="1:19" x14ac:dyDescent="0.3">
      <c r="A2735" s="4">
        <v>2733</v>
      </c>
      <c r="B2735" s="2" t="s">
        <v>2250</v>
      </c>
      <c r="C2735" s="3">
        <v>44854</v>
      </c>
      <c r="D2735" s="3" t="str">
        <f>TEXT(Table1[[#This Row],[Admission Date]],"MMMM")</f>
        <v>October</v>
      </c>
      <c r="E2735" s="3">
        <v>44856</v>
      </c>
      <c r="F2735" s="3">
        <v>44856</v>
      </c>
      <c r="G2735" s="2">
        <v>22028236</v>
      </c>
      <c r="H2735" s="2">
        <v>2236795</v>
      </c>
      <c r="I2735" s="2">
        <v>1001741605</v>
      </c>
      <c r="J2735" s="2" t="s">
        <v>1666</v>
      </c>
      <c r="K2735" s="10">
        <v>306954</v>
      </c>
      <c r="L2735" s="10">
        <v>723</v>
      </c>
      <c r="M2735" s="10">
        <v>306231</v>
      </c>
      <c r="N2735" s="10">
        <v>3601</v>
      </c>
      <c r="O2735" s="10">
        <f>Table1[[#This Row],[NET Amount]]-Table1[[#This Row],[Paid Amount]]</f>
        <v>302630</v>
      </c>
      <c r="P2735" s="2" t="s">
        <v>23</v>
      </c>
      <c r="Q2735" s="2" t="s">
        <v>19</v>
      </c>
      <c r="R2735" s="16">
        <f>(Table1[[#This Row],[NET Amount]]-Table1[[#This Row],[Total Outstanding Amount]])/Table1[[#This Row],[NET Amount]]</f>
        <v>1.175909689090915E-2</v>
      </c>
      <c r="S2735" s="2" t="s">
        <v>39</v>
      </c>
    </row>
    <row r="2736" spans="1:19" x14ac:dyDescent="0.3">
      <c r="A2736" s="4">
        <v>2734</v>
      </c>
      <c r="B2736" s="2" t="s">
        <v>25</v>
      </c>
      <c r="C2736" s="3">
        <v>44848</v>
      </c>
      <c r="D2736" s="3" t="str">
        <f>TEXT(Table1[[#This Row],[Admission Date]],"MMMM")</f>
        <v>October</v>
      </c>
      <c r="E2736" s="3">
        <v>44850</v>
      </c>
      <c r="F2736" s="3">
        <v>44850</v>
      </c>
      <c r="G2736" s="2">
        <v>22027306</v>
      </c>
      <c r="H2736" s="2">
        <v>2235936</v>
      </c>
      <c r="I2736" s="2">
        <v>1001301510</v>
      </c>
      <c r="J2736" s="2" t="s">
        <v>1667</v>
      </c>
      <c r="K2736" s="10">
        <v>65851</v>
      </c>
      <c r="L2736" s="10">
        <v>20213</v>
      </c>
      <c r="M2736" s="10">
        <v>45638</v>
      </c>
      <c r="N2736" s="10">
        <v>45638</v>
      </c>
      <c r="O2736" s="10">
        <f>Table1[[#This Row],[NET Amount]]-Table1[[#This Row],[Paid Amount]]</f>
        <v>0</v>
      </c>
      <c r="P2736" s="2" t="s">
        <v>18</v>
      </c>
      <c r="Q2736" s="2" t="s">
        <v>69</v>
      </c>
      <c r="R2736" s="16">
        <f>(Table1[[#This Row],[NET Amount]]-Table1[[#This Row],[Total Outstanding Amount]])/Table1[[#This Row],[NET Amount]]</f>
        <v>1</v>
      </c>
      <c r="S2736" s="2" t="s">
        <v>27</v>
      </c>
    </row>
    <row r="2737" spans="1:19" x14ac:dyDescent="0.3">
      <c r="A2737" s="4">
        <v>2735</v>
      </c>
      <c r="B2737" s="2" t="s">
        <v>25</v>
      </c>
      <c r="C2737" s="3">
        <v>44836</v>
      </c>
      <c r="D2737" s="3" t="str">
        <f>TEXT(Table1[[#This Row],[Admission Date]],"MMMM")</f>
        <v>October</v>
      </c>
      <c r="E2737" s="3">
        <v>44839</v>
      </c>
      <c r="F2737" s="3">
        <v>44839</v>
      </c>
      <c r="G2737" s="2">
        <v>22025748</v>
      </c>
      <c r="H2737" s="2">
        <v>2234332</v>
      </c>
      <c r="I2737" s="2">
        <v>1001323513</v>
      </c>
      <c r="J2737" s="2" t="s">
        <v>1668</v>
      </c>
      <c r="K2737" s="10">
        <v>116448</v>
      </c>
      <c r="L2737" s="10">
        <v>14909</v>
      </c>
      <c r="M2737" s="10">
        <v>101540</v>
      </c>
      <c r="N2737" s="10">
        <v>101540</v>
      </c>
      <c r="O2737" s="10">
        <f>Table1[[#This Row],[NET Amount]]-Table1[[#This Row],[Paid Amount]]</f>
        <v>0</v>
      </c>
      <c r="P2737" s="2" t="s">
        <v>18</v>
      </c>
      <c r="Q2737" s="2" t="s">
        <v>104</v>
      </c>
      <c r="R2737" s="16">
        <f>(Table1[[#This Row],[NET Amount]]-Table1[[#This Row],[Total Outstanding Amount]])/Table1[[#This Row],[NET Amount]]</f>
        <v>1</v>
      </c>
      <c r="S2737" s="2" t="s">
        <v>27</v>
      </c>
    </row>
    <row r="2738" spans="1:19" x14ac:dyDescent="0.3">
      <c r="A2738" s="4">
        <v>2736</v>
      </c>
      <c r="B2738" s="2" t="s">
        <v>25</v>
      </c>
      <c r="C2738" s="3">
        <v>44861</v>
      </c>
      <c r="D2738" s="3" t="str">
        <f>TEXT(Table1[[#This Row],[Admission Date]],"MMMM")</f>
        <v>October</v>
      </c>
      <c r="E2738" s="3">
        <v>44861</v>
      </c>
      <c r="F2738" s="3">
        <v>44861</v>
      </c>
      <c r="G2738" s="2">
        <v>22028843</v>
      </c>
      <c r="H2738" s="2">
        <v>2237703</v>
      </c>
      <c r="I2738" s="2">
        <v>10013440543</v>
      </c>
      <c r="J2738" s="2" t="s">
        <v>96</v>
      </c>
      <c r="K2738" s="10">
        <v>2794</v>
      </c>
      <c r="L2738" s="10">
        <v>2794</v>
      </c>
      <c r="M2738" s="10">
        <v>0</v>
      </c>
      <c r="N2738" s="10">
        <v>0</v>
      </c>
      <c r="O2738" s="10">
        <f>Table1[[#This Row],[NET Amount]]-Table1[[#This Row],[Paid Amount]]</f>
        <v>0</v>
      </c>
      <c r="P2738" s="2" t="s">
        <v>18</v>
      </c>
      <c r="Q2738" s="2" t="s">
        <v>90</v>
      </c>
      <c r="R2738" s="16" t="e">
        <f>(Table1[[#This Row],[NET Amount]]-Table1[[#This Row],[Total Outstanding Amount]])/Table1[[#This Row],[NET Amount]]</f>
        <v>#DIV/0!</v>
      </c>
      <c r="S2738" s="2" t="s">
        <v>97</v>
      </c>
    </row>
    <row r="2739" spans="1:19" x14ac:dyDescent="0.3">
      <c r="A2739" s="4">
        <v>2737</v>
      </c>
      <c r="B2739" s="2" t="s">
        <v>80</v>
      </c>
      <c r="C2739" s="3">
        <v>44832</v>
      </c>
      <c r="D2739" s="3" t="str">
        <f>TEXT(Table1[[#This Row],[Admission Date]],"MMMM")</f>
        <v>September</v>
      </c>
      <c r="E2739" s="3">
        <v>44837</v>
      </c>
      <c r="F2739" s="3">
        <v>44837</v>
      </c>
      <c r="G2739" s="2">
        <v>22025359</v>
      </c>
      <c r="H2739" s="2">
        <v>2233703</v>
      </c>
      <c r="I2739" s="2">
        <v>10013395480</v>
      </c>
      <c r="J2739" s="2" t="s">
        <v>532</v>
      </c>
      <c r="K2739" s="10">
        <v>85620</v>
      </c>
      <c r="L2739" s="10">
        <v>7726</v>
      </c>
      <c r="M2739" s="10">
        <v>77894</v>
      </c>
      <c r="N2739" s="10">
        <v>4922</v>
      </c>
      <c r="O2739" s="10">
        <f>Table1[[#This Row],[NET Amount]]-Table1[[#This Row],[Paid Amount]]</f>
        <v>72972</v>
      </c>
      <c r="P2739" s="2" t="s">
        <v>23</v>
      </c>
      <c r="Q2739" s="2" t="s">
        <v>24</v>
      </c>
      <c r="R2739" s="16">
        <f>(Table1[[#This Row],[NET Amount]]-Table1[[#This Row],[Total Outstanding Amount]])/Table1[[#This Row],[NET Amount]]</f>
        <v>6.3188435566282383E-2</v>
      </c>
      <c r="S2739" s="2" t="s">
        <v>20</v>
      </c>
    </row>
    <row r="2740" spans="1:19" x14ac:dyDescent="0.3">
      <c r="A2740" s="4">
        <v>2738</v>
      </c>
      <c r="B2740" s="2" t="s">
        <v>75</v>
      </c>
      <c r="C2740" s="3">
        <v>44847</v>
      </c>
      <c r="D2740" s="3" t="str">
        <f>TEXT(Table1[[#This Row],[Admission Date]],"MMMM")</f>
        <v>October</v>
      </c>
      <c r="E2740" s="3">
        <v>44849</v>
      </c>
      <c r="F2740" s="3">
        <v>44849</v>
      </c>
      <c r="G2740" s="2">
        <v>22027157</v>
      </c>
      <c r="H2740" s="2">
        <v>2235796</v>
      </c>
      <c r="I2740" s="2">
        <v>1000979219</v>
      </c>
      <c r="J2740" s="2" t="s">
        <v>393</v>
      </c>
      <c r="K2740" s="10">
        <v>187402</v>
      </c>
      <c r="L2740" s="10">
        <v>0</v>
      </c>
      <c r="M2740" s="10">
        <v>187402</v>
      </c>
      <c r="N2740" s="10">
        <v>24420</v>
      </c>
      <c r="O2740" s="10">
        <f>Table1[[#This Row],[NET Amount]]-Table1[[#This Row],[Paid Amount]]</f>
        <v>162982</v>
      </c>
      <c r="P2740" s="2" t="s">
        <v>23</v>
      </c>
      <c r="Q2740" s="2" t="s">
        <v>19</v>
      </c>
      <c r="R2740" s="16">
        <f>(Table1[[#This Row],[NET Amount]]-Table1[[#This Row],[Total Outstanding Amount]])/Table1[[#This Row],[NET Amount]]</f>
        <v>0.13030810770429344</v>
      </c>
      <c r="S2740" s="2" t="s">
        <v>39</v>
      </c>
    </row>
    <row r="2741" spans="1:19" x14ac:dyDescent="0.3">
      <c r="A2741" s="4">
        <v>2739</v>
      </c>
      <c r="B2741" s="2" t="s">
        <v>75</v>
      </c>
      <c r="C2741" s="3">
        <v>44847</v>
      </c>
      <c r="D2741" s="3" t="str">
        <f>TEXT(Table1[[#This Row],[Admission Date]],"MMMM")</f>
        <v>October</v>
      </c>
      <c r="E2741" s="3">
        <v>44849</v>
      </c>
      <c r="F2741" s="3">
        <v>44853</v>
      </c>
      <c r="G2741" s="2">
        <v>22027792</v>
      </c>
      <c r="H2741" s="2">
        <v>2235795</v>
      </c>
      <c r="I2741" s="2">
        <v>10013542787</v>
      </c>
      <c r="J2741" s="2" t="s">
        <v>1669</v>
      </c>
      <c r="K2741" s="10">
        <v>202298</v>
      </c>
      <c r="L2741" s="10">
        <v>0</v>
      </c>
      <c r="M2741" s="10">
        <v>202298</v>
      </c>
      <c r="N2741" s="10">
        <v>24420</v>
      </c>
      <c r="O2741" s="10">
        <f>Table1[[#This Row],[NET Amount]]-Table1[[#This Row],[Paid Amount]]</f>
        <v>177878</v>
      </c>
      <c r="P2741" s="2" t="s">
        <v>23</v>
      </c>
      <c r="Q2741" s="2" t="s">
        <v>30</v>
      </c>
      <c r="R2741" s="16">
        <f>(Table1[[#This Row],[NET Amount]]-Table1[[#This Row],[Total Outstanding Amount]])/Table1[[#This Row],[NET Amount]]</f>
        <v>0.12071300754332717</v>
      </c>
      <c r="S2741" s="2" t="s">
        <v>39</v>
      </c>
    </row>
    <row r="2742" spans="1:19" x14ac:dyDescent="0.3">
      <c r="A2742" s="4">
        <v>2740</v>
      </c>
      <c r="B2742" s="2" t="s">
        <v>25</v>
      </c>
      <c r="C2742" s="3">
        <v>44849</v>
      </c>
      <c r="D2742" s="3" t="str">
        <f>TEXT(Table1[[#This Row],[Admission Date]],"MMMM")</f>
        <v>October</v>
      </c>
      <c r="E2742" s="3">
        <v>44849</v>
      </c>
      <c r="F2742" s="3">
        <v>44849</v>
      </c>
      <c r="G2742" s="2">
        <v>22027246</v>
      </c>
      <c r="H2742" s="2">
        <v>2236125</v>
      </c>
      <c r="I2742" s="2">
        <v>1001804431</v>
      </c>
      <c r="J2742" s="2" t="s">
        <v>1670</v>
      </c>
      <c r="K2742" s="10">
        <v>19934</v>
      </c>
      <c r="L2742" s="10">
        <v>625</v>
      </c>
      <c r="M2742" s="10">
        <v>19309</v>
      </c>
      <c r="N2742" s="10">
        <v>19309</v>
      </c>
      <c r="O2742" s="10">
        <f>Table1[[#This Row],[NET Amount]]-Table1[[#This Row],[Paid Amount]]</f>
        <v>0</v>
      </c>
      <c r="P2742" s="2" t="s">
        <v>18</v>
      </c>
      <c r="Q2742" s="2" t="s">
        <v>24</v>
      </c>
      <c r="R2742" s="16">
        <f>(Table1[[#This Row],[NET Amount]]-Table1[[#This Row],[Total Outstanding Amount]])/Table1[[#This Row],[NET Amount]]</f>
        <v>1</v>
      </c>
      <c r="S2742" s="2" t="s">
        <v>20</v>
      </c>
    </row>
    <row r="2743" spans="1:19" x14ac:dyDescent="0.3">
      <c r="A2743" s="4">
        <v>2741</v>
      </c>
      <c r="B2743" s="2" t="s">
        <v>25</v>
      </c>
      <c r="C2743" s="3">
        <v>44849</v>
      </c>
      <c r="D2743" s="3" t="str">
        <f>TEXT(Table1[[#This Row],[Admission Date]],"MMMM")</f>
        <v>October</v>
      </c>
      <c r="E2743" s="3">
        <v>44849</v>
      </c>
      <c r="F2743" s="3">
        <v>44849</v>
      </c>
      <c r="G2743" s="2">
        <v>22027171</v>
      </c>
      <c r="H2743" s="2">
        <v>2236106</v>
      </c>
      <c r="I2743" s="2">
        <v>1001804481</v>
      </c>
      <c r="J2743" s="2" t="s">
        <v>1671</v>
      </c>
      <c r="K2743" s="10">
        <v>14000</v>
      </c>
      <c r="L2743" s="10">
        <v>0</v>
      </c>
      <c r="M2743" s="10">
        <v>14000</v>
      </c>
      <c r="N2743" s="10">
        <v>14000</v>
      </c>
      <c r="O2743" s="10">
        <f>Table1[[#This Row],[NET Amount]]-Table1[[#This Row],[Paid Amount]]</f>
        <v>0</v>
      </c>
      <c r="P2743" s="2" t="s">
        <v>18</v>
      </c>
      <c r="Q2743" s="2" t="s">
        <v>54</v>
      </c>
      <c r="R2743" s="16">
        <f>(Table1[[#This Row],[NET Amount]]-Table1[[#This Row],[Total Outstanding Amount]])/Table1[[#This Row],[NET Amount]]</f>
        <v>1</v>
      </c>
      <c r="S2743" s="2" t="s">
        <v>39</v>
      </c>
    </row>
    <row r="2744" spans="1:19" x14ac:dyDescent="0.3">
      <c r="A2744" s="4">
        <v>2742</v>
      </c>
      <c r="B2744" s="2" t="s">
        <v>25</v>
      </c>
      <c r="C2744" s="3">
        <v>44846</v>
      </c>
      <c r="D2744" s="3" t="str">
        <f>TEXT(Table1[[#This Row],[Admission Date]],"MMMM")</f>
        <v>October</v>
      </c>
      <c r="E2744" s="3">
        <v>44849</v>
      </c>
      <c r="F2744" s="3">
        <v>44849</v>
      </c>
      <c r="G2744" s="2">
        <v>22027166</v>
      </c>
      <c r="H2744" s="2">
        <v>2235685</v>
      </c>
      <c r="I2744" s="2">
        <v>1001803923</v>
      </c>
      <c r="J2744" s="2" t="s">
        <v>246</v>
      </c>
      <c r="K2744" s="10">
        <v>41509</v>
      </c>
      <c r="L2744" s="10">
        <v>5160</v>
      </c>
      <c r="M2744" s="10">
        <v>36349</v>
      </c>
      <c r="N2744" s="10">
        <v>36349</v>
      </c>
      <c r="O2744" s="10">
        <f>Table1[[#This Row],[NET Amount]]-Table1[[#This Row],[Paid Amount]]</f>
        <v>0</v>
      </c>
      <c r="P2744" s="2" t="s">
        <v>18</v>
      </c>
      <c r="Q2744" s="2" t="s">
        <v>19</v>
      </c>
      <c r="R2744" s="16">
        <f>(Table1[[#This Row],[NET Amount]]-Table1[[#This Row],[Total Outstanding Amount]])/Table1[[#This Row],[NET Amount]]</f>
        <v>1</v>
      </c>
      <c r="S2744" s="2" t="s">
        <v>20</v>
      </c>
    </row>
    <row r="2745" spans="1:19" x14ac:dyDescent="0.3">
      <c r="A2745" s="4">
        <v>2743</v>
      </c>
      <c r="B2745" s="2" t="s">
        <v>2244</v>
      </c>
      <c r="C2745" s="3">
        <v>44846</v>
      </c>
      <c r="D2745" s="3" t="str">
        <f>TEXT(Table1[[#This Row],[Admission Date]],"MMMM")</f>
        <v>October</v>
      </c>
      <c r="E2745" s="3">
        <v>44849</v>
      </c>
      <c r="F2745" s="3">
        <v>44849</v>
      </c>
      <c r="G2745" s="2">
        <v>22027189</v>
      </c>
      <c r="H2745" s="2">
        <v>2235671</v>
      </c>
      <c r="I2745" s="2">
        <v>1001635841</v>
      </c>
      <c r="J2745" s="2" t="s">
        <v>1672</v>
      </c>
      <c r="K2745" s="10">
        <v>25588</v>
      </c>
      <c r="L2745" s="10">
        <v>0</v>
      </c>
      <c r="M2745" s="10">
        <v>25588</v>
      </c>
      <c r="N2745" s="10">
        <v>25588</v>
      </c>
      <c r="O2745" s="10">
        <f>Table1[[#This Row],[NET Amount]]-Table1[[#This Row],[Paid Amount]]</f>
        <v>0</v>
      </c>
      <c r="P2745" s="2" t="s">
        <v>18</v>
      </c>
      <c r="Q2745" s="2" t="s">
        <v>19</v>
      </c>
      <c r="R2745" s="16">
        <f>(Table1[[#This Row],[NET Amount]]-Table1[[#This Row],[Total Outstanding Amount]])/Table1[[#This Row],[NET Amount]]</f>
        <v>1</v>
      </c>
      <c r="S2745" s="2" t="s">
        <v>20</v>
      </c>
    </row>
    <row r="2746" spans="1:19" x14ac:dyDescent="0.3">
      <c r="A2746" s="4">
        <v>2744</v>
      </c>
      <c r="B2746" s="2" t="s">
        <v>159</v>
      </c>
      <c r="C2746" s="3">
        <v>44849</v>
      </c>
      <c r="D2746" s="3" t="str">
        <f>TEXT(Table1[[#This Row],[Admission Date]],"MMMM")</f>
        <v>October</v>
      </c>
      <c r="E2746" s="3">
        <v>44851</v>
      </c>
      <c r="F2746" s="3">
        <v>44851</v>
      </c>
      <c r="G2746" s="2">
        <v>22027468</v>
      </c>
      <c r="H2746" s="2">
        <v>2236210</v>
      </c>
      <c r="I2746" s="2">
        <v>1001804618</v>
      </c>
      <c r="J2746" s="2" t="s">
        <v>1673</v>
      </c>
      <c r="K2746" s="10">
        <v>47469</v>
      </c>
      <c r="L2746" s="10">
        <v>4284</v>
      </c>
      <c r="M2746" s="10">
        <v>43185</v>
      </c>
      <c r="N2746" s="10">
        <v>2424</v>
      </c>
      <c r="O2746" s="10">
        <f>Table1[[#This Row],[NET Amount]]-Table1[[#This Row],[Paid Amount]]</f>
        <v>40761</v>
      </c>
      <c r="P2746" s="2" t="s">
        <v>23</v>
      </c>
      <c r="Q2746" s="2" t="s">
        <v>30</v>
      </c>
      <c r="R2746" s="16">
        <f>(Table1[[#This Row],[NET Amount]]-Table1[[#This Row],[Total Outstanding Amount]])/Table1[[#This Row],[NET Amount]]</f>
        <v>5.6130600903091354E-2</v>
      </c>
      <c r="S2746" s="2" t="s">
        <v>20</v>
      </c>
    </row>
    <row r="2747" spans="1:19" x14ac:dyDescent="0.3">
      <c r="A2747" s="4">
        <v>2745</v>
      </c>
      <c r="B2747" s="2" t="s">
        <v>1674</v>
      </c>
      <c r="C2747" s="3">
        <v>44849</v>
      </c>
      <c r="D2747" s="3" t="str">
        <f>TEXT(Table1[[#This Row],[Admission Date]],"MMMM")</f>
        <v>October</v>
      </c>
      <c r="E2747" s="3">
        <v>44851</v>
      </c>
      <c r="F2747" s="3">
        <v>44851</v>
      </c>
      <c r="G2747" s="2">
        <v>22027400</v>
      </c>
      <c r="H2747" s="2">
        <v>2236165</v>
      </c>
      <c r="I2747" s="2">
        <v>10013543197</v>
      </c>
      <c r="J2747" s="2" t="s">
        <v>1675</v>
      </c>
      <c r="K2747" s="10">
        <v>134714</v>
      </c>
      <c r="L2747" s="10">
        <v>6603</v>
      </c>
      <c r="M2747" s="10">
        <v>128111</v>
      </c>
      <c r="N2747" s="10">
        <v>3328</v>
      </c>
      <c r="O2747" s="10">
        <f>Table1[[#This Row],[NET Amount]]-Table1[[#This Row],[Paid Amount]]</f>
        <v>124783</v>
      </c>
      <c r="P2747" s="2" t="s">
        <v>23</v>
      </c>
      <c r="Q2747" s="2" t="s">
        <v>19</v>
      </c>
      <c r="R2747" s="16">
        <f>(Table1[[#This Row],[NET Amount]]-Table1[[#This Row],[Total Outstanding Amount]])/Table1[[#This Row],[NET Amount]]</f>
        <v>2.5977472660427287E-2</v>
      </c>
      <c r="S2747" s="2" t="s">
        <v>201</v>
      </c>
    </row>
    <row r="2748" spans="1:19" x14ac:dyDescent="0.3">
      <c r="A2748" s="4">
        <v>2746</v>
      </c>
      <c r="B2748" s="2" t="s">
        <v>25</v>
      </c>
      <c r="C2748" s="3">
        <v>44852</v>
      </c>
      <c r="D2748" s="3" t="str">
        <f>TEXT(Table1[[#This Row],[Admission Date]],"MMMM")</f>
        <v>October</v>
      </c>
      <c r="E2748" s="3">
        <v>44852</v>
      </c>
      <c r="F2748" s="3">
        <v>44852</v>
      </c>
      <c r="G2748" s="2">
        <v>22027603</v>
      </c>
      <c r="H2748" s="2">
        <v>2236510</v>
      </c>
      <c r="I2748" s="2">
        <v>1000891328</v>
      </c>
      <c r="J2748" s="2" t="s">
        <v>367</v>
      </c>
      <c r="K2748" s="10">
        <v>3288</v>
      </c>
      <c r="L2748" s="10">
        <v>3288</v>
      </c>
      <c r="M2748" s="10">
        <v>0</v>
      </c>
      <c r="N2748" s="10">
        <v>0</v>
      </c>
      <c r="O2748" s="10">
        <f>Table1[[#This Row],[NET Amount]]-Table1[[#This Row],[Paid Amount]]</f>
        <v>0</v>
      </c>
      <c r="P2748" s="2" t="s">
        <v>18</v>
      </c>
      <c r="Q2748" s="2" t="s">
        <v>90</v>
      </c>
      <c r="R2748" s="16" t="e">
        <f>(Table1[[#This Row],[NET Amount]]-Table1[[#This Row],[Total Outstanding Amount]])/Table1[[#This Row],[NET Amount]]</f>
        <v>#DIV/0!</v>
      </c>
      <c r="S2748" s="2" t="s">
        <v>97</v>
      </c>
    </row>
    <row r="2749" spans="1:19" x14ac:dyDescent="0.3">
      <c r="A2749" s="4">
        <v>2747</v>
      </c>
      <c r="B2749" s="2" t="s">
        <v>117</v>
      </c>
      <c r="C2749" s="3">
        <v>44842</v>
      </c>
      <c r="D2749" s="3" t="str">
        <f>TEXT(Table1[[#This Row],[Admission Date]],"MMMM")</f>
        <v>October</v>
      </c>
      <c r="E2749" s="3">
        <v>44842</v>
      </c>
      <c r="F2749" s="3">
        <v>44842</v>
      </c>
      <c r="G2749" s="2">
        <v>22026077</v>
      </c>
      <c r="H2749" s="2">
        <v>2235124</v>
      </c>
      <c r="I2749" s="2">
        <v>1000891454</v>
      </c>
      <c r="J2749" s="2" t="s">
        <v>232</v>
      </c>
      <c r="K2749" s="10">
        <v>2064</v>
      </c>
      <c r="L2749" s="10">
        <v>0</v>
      </c>
      <c r="M2749" s="10">
        <v>2064</v>
      </c>
      <c r="N2749" s="10">
        <v>2064</v>
      </c>
      <c r="O2749" s="10">
        <f>Table1[[#This Row],[NET Amount]]-Table1[[#This Row],[Paid Amount]]</f>
        <v>0</v>
      </c>
      <c r="P2749" s="2" t="s">
        <v>18</v>
      </c>
      <c r="Q2749" s="2" t="s">
        <v>54</v>
      </c>
      <c r="R2749" s="16">
        <f>(Table1[[#This Row],[NET Amount]]-Table1[[#This Row],[Total Outstanding Amount]])/Table1[[#This Row],[NET Amount]]</f>
        <v>1</v>
      </c>
      <c r="S2749" s="2" t="s">
        <v>97</v>
      </c>
    </row>
    <row r="2750" spans="1:19" x14ac:dyDescent="0.3">
      <c r="A2750" s="4">
        <v>2748</v>
      </c>
      <c r="B2750" s="2" t="s">
        <v>25</v>
      </c>
      <c r="C2750" s="3">
        <v>44842</v>
      </c>
      <c r="D2750" s="3" t="str">
        <f>TEXT(Table1[[#This Row],[Admission Date]],"MMMM")</f>
        <v>October</v>
      </c>
      <c r="E2750" s="3">
        <v>44842</v>
      </c>
      <c r="F2750" s="3">
        <v>44842</v>
      </c>
      <c r="G2750" s="2">
        <v>22026084</v>
      </c>
      <c r="H2750" s="2">
        <v>2235134</v>
      </c>
      <c r="I2750" s="2">
        <v>1001575947</v>
      </c>
      <c r="J2750" s="2" t="s">
        <v>919</v>
      </c>
      <c r="K2750" s="10">
        <v>2844</v>
      </c>
      <c r="L2750" s="10">
        <v>286</v>
      </c>
      <c r="M2750" s="10">
        <v>2558</v>
      </c>
      <c r="N2750" s="10">
        <v>2558</v>
      </c>
      <c r="O2750" s="10">
        <f>Table1[[#This Row],[NET Amount]]-Table1[[#This Row],[Paid Amount]]</f>
        <v>0</v>
      </c>
      <c r="P2750" s="2" t="s">
        <v>18</v>
      </c>
      <c r="Q2750" s="2" t="s">
        <v>54</v>
      </c>
      <c r="R2750" s="16">
        <f>(Table1[[#This Row],[NET Amount]]-Table1[[#This Row],[Total Outstanding Amount]])/Table1[[#This Row],[NET Amount]]</f>
        <v>1</v>
      </c>
      <c r="S2750" s="2" t="s">
        <v>97</v>
      </c>
    </row>
    <row r="2751" spans="1:19" x14ac:dyDescent="0.3">
      <c r="A2751" s="4">
        <v>2749</v>
      </c>
      <c r="B2751" s="2" t="s">
        <v>152</v>
      </c>
      <c r="C2751" s="3">
        <v>44849</v>
      </c>
      <c r="D2751" s="3" t="str">
        <f>TEXT(Table1[[#This Row],[Admission Date]],"MMMM")</f>
        <v>October</v>
      </c>
      <c r="E2751" s="3">
        <v>44856</v>
      </c>
      <c r="F2751" s="3">
        <v>44856</v>
      </c>
      <c r="G2751" s="2">
        <v>22028155</v>
      </c>
      <c r="H2751" s="2">
        <v>2236118</v>
      </c>
      <c r="I2751" s="2">
        <v>1000923540</v>
      </c>
      <c r="J2751" s="2" t="s">
        <v>1676</v>
      </c>
      <c r="K2751" s="10">
        <v>86375</v>
      </c>
      <c r="L2751" s="10">
        <v>0</v>
      </c>
      <c r="M2751" s="10">
        <v>86375</v>
      </c>
      <c r="N2751" s="10">
        <v>4212</v>
      </c>
      <c r="O2751" s="10">
        <f>Table1[[#This Row],[NET Amount]]-Table1[[#This Row],[Paid Amount]]</f>
        <v>82163</v>
      </c>
      <c r="P2751" s="2" t="s">
        <v>23</v>
      </c>
      <c r="Q2751" s="2" t="s">
        <v>24</v>
      </c>
      <c r="R2751" s="16">
        <f>(Table1[[#This Row],[NET Amount]]-Table1[[#This Row],[Total Outstanding Amount]])/Table1[[#This Row],[NET Amount]]</f>
        <v>4.8764109985528221E-2</v>
      </c>
      <c r="S2751" s="2" t="s">
        <v>20</v>
      </c>
    </row>
    <row r="2752" spans="1:19" x14ac:dyDescent="0.3">
      <c r="A2752" s="4">
        <v>2750</v>
      </c>
      <c r="B2752" s="2" t="s">
        <v>50</v>
      </c>
      <c r="C2752" s="3">
        <v>44857</v>
      </c>
      <c r="D2752" s="3" t="str">
        <f>TEXT(Table1[[#This Row],[Admission Date]],"MMMM")</f>
        <v>October</v>
      </c>
      <c r="E2752" s="3">
        <v>44857</v>
      </c>
      <c r="F2752" s="3">
        <v>44857</v>
      </c>
      <c r="G2752" s="2">
        <v>22028380</v>
      </c>
      <c r="H2752" s="2">
        <v>2237148</v>
      </c>
      <c r="I2752" s="2">
        <v>1001206152</v>
      </c>
      <c r="J2752" s="2" t="s">
        <v>375</v>
      </c>
      <c r="K2752" s="10">
        <v>2200</v>
      </c>
      <c r="L2752" s="10">
        <v>0</v>
      </c>
      <c r="M2752" s="10">
        <v>2200</v>
      </c>
      <c r="N2752" s="10">
        <v>440</v>
      </c>
      <c r="O2752" s="10">
        <f>Table1[[#This Row],[NET Amount]]-Table1[[#This Row],[Paid Amount]]</f>
        <v>1760</v>
      </c>
      <c r="P2752" s="2" t="s">
        <v>23</v>
      </c>
      <c r="Q2752" s="2" t="s">
        <v>147</v>
      </c>
      <c r="R2752" s="16">
        <f>(Table1[[#This Row],[NET Amount]]-Table1[[#This Row],[Total Outstanding Amount]])/Table1[[#This Row],[NET Amount]]</f>
        <v>0.2</v>
      </c>
      <c r="S2752" s="2" t="s">
        <v>97</v>
      </c>
    </row>
    <row r="2753" spans="1:19" x14ac:dyDescent="0.3">
      <c r="A2753" s="4">
        <v>2751</v>
      </c>
      <c r="B2753" s="2" t="s">
        <v>2256</v>
      </c>
      <c r="C2753" s="3">
        <v>44859</v>
      </c>
      <c r="D2753" s="3" t="str">
        <f>TEXT(Table1[[#This Row],[Admission Date]],"MMMM")</f>
        <v>October</v>
      </c>
      <c r="E2753" s="3">
        <v>44859</v>
      </c>
      <c r="F2753" s="3">
        <v>44859</v>
      </c>
      <c r="G2753" s="2">
        <v>22028550</v>
      </c>
      <c r="H2753" s="2">
        <v>2237380</v>
      </c>
      <c r="I2753" s="2">
        <v>1001658205</v>
      </c>
      <c r="J2753" s="2" t="s">
        <v>238</v>
      </c>
      <c r="K2753" s="10">
        <v>2950</v>
      </c>
      <c r="L2753" s="10">
        <v>0</v>
      </c>
      <c r="M2753" s="10">
        <v>2950</v>
      </c>
      <c r="N2753" s="10">
        <v>295</v>
      </c>
      <c r="O2753" s="10">
        <f>Table1[[#This Row],[NET Amount]]-Table1[[#This Row],[Paid Amount]]</f>
        <v>2655</v>
      </c>
      <c r="P2753" s="2" t="s">
        <v>23</v>
      </c>
      <c r="Q2753" s="2" t="s">
        <v>54</v>
      </c>
      <c r="R2753" s="16">
        <f>(Table1[[#This Row],[NET Amount]]-Table1[[#This Row],[Total Outstanding Amount]])/Table1[[#This Row],[NET Amount]]</f>
        <v>0.1</v>
      </c>
      <c r="S2753" s="2" t="s">
        <v>97</v>
      </c>
    </row>
    <row r="2754" spans="1:19" x14ac:dyDescent="0.3">
      <c r="A2754" s="4">
        <v>2752</v>
      </c>
      <c r="B2754" s="2" t="s">
        <v>2254</v>
      </c>
      <c r="C2754" s="3">
        <v>44859</v>
      </c>
      <c r="D2754" s="3" t="str">
        <f>TEXT(Table1[[#This Row],[Admission Date]],"MMMM")</f>
        <v>October</v>
      </c>
      <c r="E2754" s="3">
        <v>44861</v>
      </c>
      <c r="F2754" s="3">
        <v>44861</v>
      </c>
      <c r="G2754" s="2">
        <v>22028807</v>
      </c>
      <c r="H2754" s="2">
        <v>2237393</v>
      </c>
      <c r="I2754" s="2">
        <v>1001806164</v>
      </c>
      <c r="J2754" s="2" t="s">
        <v>1677</v>
      </c>
      <c r="K2754" s="10">
        <v>34451</v>
      </c>
      <c r="L2754" s="10">
        <v>6279</v>
      </c>
      <c r="M2754" s="10">
        <v>28172</v>
      </c>
      <c r="N2754" s="10">
        <v>2592</v>
      </c>
      <c r="O2754" s="10">
        <f>Table1[[#This Row],[NET Amount]]-Table1[[#This Row],[Paid Amount]]</f>
        <v>25580</v>
      </c>
      <c r="P2754" s="2" t="s">
        <v>23</v>
      </c>
      <c r="Q2754" s="2" t="s">
        <v>24</v>
      </c>
      <c r="R2754" s="16">
        <f>(Table1[[#This Row],[NET Amount]]-Table1[[#This Row],[Total Outstanding Amount]])/Table1[[#This Row],[NET Amount]]</f>
        <v>9.200624733778219E-2</v>
      </c>
      <c r="S2754" s="2" t="s">
        <v>20</v>
      </c>
    </row>
    <row r="2755" spans="1:19" x14ac:dyDescent="0.3">
      <c r="A2755" s="4">
        <v>2753</v>
      </c>
      <c r="B2755" s="2" t="s">
        <v>25</v>
      </c>
      <c r="C2755" s="3">
        <v>44854</v>
      </c>
      <c r="D2755" s="3" t="str">
        <f>TEXT(Table1[[#This Row],[Admission Date]],"MMMM")</f>
        <v>October</v>
      </c>
      <c r="E2755" s="3">
        <v>44855</v>
      </c>
      <c r="F2755" s="3">
        <v>44855</v>
      </c>
      <c r="G2755" s="2">
        <v>22027994</v>
      </c>
      <c r="H2755" s="2">
        <v>2236844</v>
      </c>
      <c r="I2755" s="2">
        <v>1001805523</v>
      </c>
      <c r="J2755" s="2" t="s">
        <v>1678</v>
      </c>
      <c r="K2755" s="10">
        <v>30874</v>
      </c>
      <c r="L2755" s="10">
        <v>4066</v>
      </c>
      <c r="M2755" s="10">
        <v>26808</v>
      </c>
      <c r="N2755" s="10">
        <v>26808</v>
      </c>
      <c r="O2755" s="10">
        <f>Table1[[#This Row],[NET Amount]]-Table1[[#This Row],[Paid Amount]]</f>
        <v>0</v>
      </c>
      <c r="P2755" s="2" t="s">
        <v>18</v>
      </c>
      <c r="Q2755" s="2" t="s">
        <v>24</v>
      </c>
      <c r="R2755" s="16">
        <f>(Table1[[#This Row],[NET Amount]]-Table1[[#This Row],[Total Outstanding Amount]])/Table1[[#This Row],[NET Amount]]</f>
        <v>1</v>
      </c>
      <c r="S2755" s="2" t="s">
        <v>39</v>
      </c>
    </row>
    <row r="2756" spans="1:19" x14ac:dyDescent="0.3">
      <c r="A2756" s="4">
        <v>2754</v>
      </c>
      <c r="B2756" s="2" t="s">
        <v>25</v>
      </c>
      <c r="C2756" s="3">
        <v>44854</v>
      </c>
      <c r="D2756" s="3" t="str">
        <f>TEXT(Table1[[#This Row],[Admission Date]],"MMMM")</f>
        <v>October</v>
      </c>
      <c r="E2756" s="3">
        <v>44857</v>
      </c>
      <c r="F2756" s="3">
        <v>44857</v>
      </c>
      <c r="G2756" s="2">
        <v>22028338</v>
      </c>
      <c r="H2756" s="2">
        <v>2236847</v>
      </c>
      <c r="I2756" s="2">
        <v>10013542607</v>
      </c>
      <c r="J2756" s="2" t="s">
        <v>1679</v>
      </c>
      <c r="K2756" s="10">
        <v>117869</v>
      </c>
      <c r="L2756" s="10">
        <v>14906</v>
      </c>
      <c r="M2756" s="10">
        <v>102964</v>
      </c>
      <c r="N2756" s="10">
        <v>102964</v>
      </c>
      <c r="O2756" s="10">
        <f>Table1[[#This Row],[NET Amount]]-Table1[[#This Row],[Paid Amount]]</f>
        <v>0</v>
      </c>
      <c r="P2756" s="2" t="s">
        <v>18</v>
      </c>
      <c r="Q2756" s="2" t="s">
        <v>30</v>
      </c>
      <c r="R2756" s="16">
        <f>(Table1[[#This Row],[NET Amount]]-Table1[[#This Row],[Total Outstanding Amount]])/Table1[[#This Row],[NET Amount]]</f>
        <v>1</v>
      </c>
      <c r="S2756" s="2" t="s">
        <v>27</v>
      </c>
    </row>
    <row r="2757" spans="1:19" x14ac:dyDescent="0.3">
      <c r="A2757" s="4">
        <v>2755</v>
      </c>
      <c r="B2757" s="2" t="s">
        <v>244</v>
      </c>
      <c r="C2757" s="3">
        <v>44846</v>
      </c>
      <c r="D2757" s="3" t="str">
        <f>TEXT(Table1[[#This Row],[Admission Date]],"MMMM")</f>
        <v>October</v>
      </c>
      <c r="E2757" s="3">
        <v>44849</v>
      </c>
      <c r="F2757" s="3">
        <v>44849</v>
      </c>
      <c r="G2757" s="2">
        <v>22027247</v>
      </c>
      <c r="H2757" s="2">
        <v>2235784</v>
      </c>
      <c r="I2757" s="2">
        <v>10013542777</v>
      </c>
      <c r="J2757" s="2" t="s">
        <v>1680</v>
      </c>
      <c r="K2757" s="10">
        <v>133594</v>
      </c>
      <c r="L2757" s="10">
        <v>2958</v>
      </c>
      <c r="M2757" s="10">
        <v>130635</v>
      </c>
      <c r="N2757" s="10">
        <v>1500</v>
      </c>
      <c r="O2757" s="10">
        <f>Table1[[#This Row],[NET Amount]]-Table1[[#This Row],[Paid Amount]]</f>
        <v>129135</v>
      </c>
      <c r="P2757" s="2" t="s">
        <v>23</v>
      </c>
      <c r="Q2757" s="2" t="s">
        <v>30</v>
      </c>
      <c r="R2757" s="16">
        <f>(Table1[[#This Row],[NET Amount]]-Table1[[#This Row],[Total Outstanding Amount]])/Table1[[#This Row],[NET Amount]]</f>
        <v>1.1482374555057986E-2</v>
      </c>
      <c r="S2757" s="2" t="s">
        <v>201</v>
      </c>
    </row>
    <row r="2758" spans="1:19" x14ac:dyDescent="0.3">
      <c r="A2758" s="4">
        <v>2756</v>
      </c>
      <c r="B2758" s="2" t="s">
        <v>2273</v>
      </c>
      <c r="C2758" s="3">
        <v>44851</v>
      </c>
      <c r="D2758" s="3" t="str">
        <f>TEXT(Table1[[#This Row],[Admission Date]],"MMMM")</f>
        <v>October</v>
      </c>
      <c r="E2758" s="3">
        <v>44853</v>
      </c>
      <c r="F2758" s="3">
        <v>44853</v>
      </c>
      <c r="G2758" s="2">
        <v>22027735</v>
      </c>
      <c r="H2758" s="2">
        <v>2236365</v>
      </c>
      <c r="I2758" s="2">
        <v>1001659382</v>
      </c>
      <c r="J2758" s="2" t="s">
        <v>1681</v>
      </c>
      <c r="K2758" s="10">
        <v>36871</v>
      </c>
      <c r="L2758" s="10">
        <v>1143</v>
      </c>
      <c r="M2758" s="10">
        <v>35728</v>
      </c>
      <c r="N2758" s="10">
        <v>13230</v>
      </c>
      <c r="O2758" s="10">
        <f>Table1[[#This Row],[NET Amount]]-Table1[[#This Row],[Paid Amount]]</f>
        <v>22498</v>
      </c>
      <c r="P2758" s="2" t="s">
        <v>23</v>
      </c>
      <c r="Q2758" s="2" t="s">
        <v>30</v>
      </c>
      <c r="R2758" s="16">
        <f>(Table1[[#This Row],[NET Amount]]-Table1[[#This Row],[Total Outstanding Amount]])/Table1[[#This Row],[NET Amount]]</f>
        <v>0.3702978056426332</v>
      </c>
      <c r="S2758" s="2" t="s">
        <v>77</v>
      </c>
    </row>
    <row r="2759" spans="1:19" x14ac:dyDescent="0.3">
      <c r="A2759" s="4">
        <v>2757</v>
      </c>
      <c r="B2759" s="2" t="s">
        <v>72</v>
      </c>
      <c r="C2759" s="3">
        <v>44843</v>
      </c>
      <c r="D2759" s="3" t="str">
        <f>TEXT(Table1[[#This Row],[Admission Date]],"MMMM")</f>
        <v>October</v>
      </c>
      <c r="E2759" s="3">
        <v>44845</v>
      </c>
      <c r="F2759" s="3">
        <v>44845</v>
      </c>
      <c r="G2759" s="2">
        <v>22026533</v>
      </c>
      <c r="H2759" s="2">
        <v>2235298</v>
      </c>
      <c r="I2759" s="2">
        <v>1001803432</v>
      </c>
      <c r="J2759" s="2" t="s">
        <v>1682</v>
      </c>
      <c r="K2759" s="10">
        <v>6222</v>
      </c>
      <c r="L2759" s="10">
        <v>0</v>
      </c>
      <c r="M2759" s="10">
        <v>6222</v>
      </c>
      <c r="N2759" s="10">
        <v>6222</v>
      </c>
      <c r="O2759" s="10">
        <f>Table1[[#This Row],[NET Amount]]-Table1[[#This Row],[Paid Amount]]</f>
        <v>0</v>
      </c>
      <c r="P2759" s="2" t="s">
        <v>18</v>
      </c>
      <c r="Q2759" s="2" t="s">
        <v>42</v>
      </c>
      <c r="R2759" s="16">
        <f>(Table1[[#This Row],[NET Amount]]-Table1[[#This Row],[Total Outstanding Amount]])/Table1[[#This Row],[NET Amount]]</f>
        <v>1</v>
      </c>
      <c r="S2759" s="2" t="s">
        <v>37</v>
      </c>
    </row>
    <row r="2760" spans="1:19" x14ac:dyDescent="0.3">
      <c r="A2760" s="4">
        <v>2758</v>
      </c>
      <c r="B2760" s="2" t="s">
        <v>45</v>
      </c>
      <c r="C2760" s="3">
        <v>44842</v>
      </c>
      <c r="D2760" s="3" t="str">
        <f>TEXT(Table1[[#This Row],[Admission Date]],"MMMM")</f>
        <v>October</v>
      </c>
      <c r="E2760" s="3">
        <v>44842</v>
      </c>
      <c r="F2760" s="3">
        <v>44842</v>
      </c>
      <c r="G2760" s="2">
        <v>22026088</v>
      </c>
      <c r="H2760" s="2">
        <v>2235139</v>
      </c>
      <c r="I2760" s="2">
        <v>10013464572</v>
      </c>
      <c r="J2760" s="2" t="s">
        <v>278</v>
      </c>
      <c r="K2760" s="10">
        <v>4840</v>
      </c>
      <c r="L2760" s="10">
        <v>1077</v>
      </c>
      <c r="M2760" s="10">
        <v>3763</v>
      </c>
      <c r="N2760" s="10">
        <v>1563</v>
      </c>
      <c r="O2760" s="10">
        <f>Table1[[#This Row],[NET Amount]]-Table1[[#This Row],[Paid Amount]]</f>
        <v>2200</v>
      </c>
      <c r="P2760" s="2" t="s">
        <v>23</v>
      </c>
      <c r="Q2760" s="2" t="s">
        <v>147</v>
      </c>
      <c r="R2760" s="16">
        <f>(Table1[[#This Row],[NET Amount]]-Table1[[#This Row],[Total Outstanding Amount]])/Table1[[#This Row],[NET Amount]]</f>
        <v>0.41536008503853311</v>
      </c>
      <c r="S2760" s="2" t="s">
        <v>97</v>
      </c>
    </row>
    <row r="2761" spans="1:19" x14ac:dyDescent="0.3">
      <c r="A2761" s="4">
        <v>2759</v>
      </c>
      <c r="B2761" s="2" t="s">
        <v>25</v>
      </c>
      <c r="C2761" s="3">
        <v>44840</v>
      </c>
      <c r="D2761" s="3" t="str">
        <f>TEXT(Table1[[#This Row],[Admission Date]],"MMMM")</f>
        <v>October</v>
      </c>
      <c r="E2761" s="3">
        <v>44840</v>
      </c>
      <c r="F2761" s="3">
        <v>44840</v>
      </c>
      <c r="G2761" s="2">
        <v>22025920</v>
      </c>
      <c r="H2761" s="2">
        <v>2234952</v>
      </c>
      <c r="I2761" s="2">
        <v>1001491648</v>
      </c>
      <c r="J2761" s="2" t="s">
        <v>124</v>
      </c>
      <c r="K2761" s="10">
        <v>2794</v>
      </c>
      <c r="L2761" s="10">
        <v>2794</v>
      </c>
      <c r="M2761" s="10">
        <v>0</v>
      </c>
      <c r="N2761" s="10">
        <v>0</v>
      </c>
      <c r="O2761" s="10">
        <f>Table1[[#This Row],[NET Amount]]-Table1[[#This Row],[Paid Amount]]</f>
        <v>0</v>
      </c>
      <c r="P2761" s="2" t="s">
        <v>18</v>
      </c>
      <c r="Q2761" s="2" t="s">
        <v>90</v>
      </c>
      <c r="R2761" s="16" t="e">
        <f>(Table1[[#This Row],[NET Amount]]-Table1[[#This Row],[Total Outstanding Amount]])/Table1[[#This Row],[NET Amount]]</f>
        <v>#DIV/0!</v>
      </c>
      <c r="S2761" s="2" t="s">
        <v>97</v>
      </c>
    </row>
    <row r="2762" spans="1:19" x14ac:dyDescent="0.3">
      <c r="A2762" s="4">
        <v>2760</v>
      </c>
      <c r="B2762" s="2" t="s">
        <v>25</v>
      </c>
      <c r="C2762" s="3">
        <v>44858</v>
      </c>
      <c r="D2762" s="3" t="str">
        <f>TEXT(Table1[[#This Row],[Admission Date]],"MMMM")</f>
        <v>October</v>
      </c>
      <c r="E2762" s="3">
        <v>44858</v>
      </c>
      <c r="F2762" s="3">
        <v>44858</v>
      </c>
      <c r="G2762" s="2">
        <v>22028415</v>
      </c>
      <c r="H2762" s="2">
        <v>2237219</v>
      </c>
      <c r="I2762" s="2">
        <v>1001561182</v>
      </c>
      <c r="J2762" s="2" t="s">
        <v>222</v>
      </c>
      <c r="K2762" s="10">
        <v>2680</v>
      </c>
      <c r="L2762" s="10">
        <v>0</v>
      </c>
      <c r="M2762" s="10">
        <v>2680</v>
      </c>
      <c r="N2762" s="10">
        <v>2680</v>
      </c>
      <c r="O2762" s="10">
        <f>Table1[[#This Row],[NET Amount]]-Table1[[#This Row],[Paid Amount]]</f>
        <v>0</v>
      </c>
      <c r="P2762" s="2" t="s">
        <v>18</v>
      </c>
      <c r="Q2762" s="2" t="s">
        <v>54</v>
      </c>
      <c r="R2762" s="16">
        <f>(Table1[[#This Row],[NET Amount]]-Table1[[#This Row],[Total Outstanding Amount]])/Table1[[#This Row],[NET Amount]]</f>
        <v>1</v>
      </c>
      <c r="S2762" s="2" t="s">
        <v>97</v>
      </c>
    </row>
    <row r="2763" spans="1:19" x14ac:dyDescent="0.3">
      <c r="A2763" s="4">
        <v>2761</v>
      </c>
      <c r="B2763" s="2" t="s">
        <v>25</v>
      </c>
      <c r="C2763" s="3">
        <v>44854</v>
      </c>
      <c r="D2763" s="3" t="str">
        <f>TEXT(Table1[[#This Row],[Admission Date]],"MMMM")</f>
        <v>October</v>
      </c>
      <c r="E2763" s="3">
        <v>44855</v>
      </c>
      <c r="F2763" s="3">
        <v>44855</v>
      </c>
      <c r="G2763" s="2">
        <v>22028016</v>
      </c>
      <c r="H2763" s="2">
        <v>2236825</v>
      </c>
      <c r="I2763" s="2">
        <v>1001805504</v>
      </c>
      <c r="J2763" s="2" t="s">
        <v>1683</v>
      </c>
      <c r="K2763" s="10">
        <v>8190</v>
      </c>
      <c r="L2763" s="10">
        <v>1114</v>
      </c>
      <c r="M2763" s="10">
        <v>7076</v>
      </c>
      <c r="N2763" s="10">
        <v>7076</v>
      </c>
      <c r="O2763" s="10">
        <f>Table1[[#This Row],[NET Amount]]-Table1[[#This Row],[Paid Amount]]</f>
        <v>0</v>
      </c>
      <c r="P2763" s="2" t="s">
        <v>18</v>
      </c>
      <c r="Q2763" s="2" t="s">
        <v>69</v>
      </c>
      <c r="R2763" s="16">
        <f>(Table1[[#This Row],[NET Amount]]-Table1[[#This Row],[Total Outstanding Amount]])/Table1[[#This Row],[NET Amount]]</f>
        <v>1</v>
      </c>
      <c r="S2763" s="2" t="s">
        <v>37</v>
      </c>
    </row>
    <row r="2764" spans="1:19" x14ac:dyDescent="0.3">
      <c r="A2764" s="4">
        <v>2762</v>
      </c>
      <c r="B2764" s="2" t="s">
        <v>61</v>
      </c>
      <c r="C2764" s="3">
        <v>44836</v>
      </c>
      <c r="D2764" s="3" t="str">
        <f>TEXT(Table1[[#This Row],[Admission Date]],"MMMM")</f>
        <v>October</v>
      </c>
      <c r="E2764" s="3">
        <v>44841</v>
      </c>
      <c r="F2764" s="3">
        <v>44841</v>
      </c>
      <c r="G2764" s="2">
        <v>22025977</v>
      </c>
      <c r="H2764" s="2">
        <v>2234297</v>
      </c>
      <c r="I2764" s="2">
        <v>10013541192</v>
      </c>
      <c r="J2764" s="2" t="s">
        <v>1684</v>
      </c>
      <c r="K2764" s="10">
        <v>116791</v>
      </c>
      <c r="L2764" s="10">
        <v>15014</v>
      </c>
      <c r="M2764" s="10">
        <v>101777</v>
      </c>
      <c r="N2764" s="10">
        <v>29490</v>
      </c>
      <c r="O2764" s="10">
        <f>Table1[[#This Row],[NET Amount]]-Table1[[#This Row],[Paid Amount]]</f>
        <v>72287</v>
      </c>
      <c r="P2764" s="2" t="s">
        <v>23</v>
      </c>
      <c r="Q2764" s="2" t="s">
        <v>30</v>
      </c>
      <c r="R2764" s="16">
        <f>(Table1[[#This Row],[NET Amount]]-Table1[[#This Row],[Total Outstanding Amount]])/Table1[[#This Row],[NET Amount]]</f>
        <v>0.28975112255224655</v>
      </c>
      <c r="S2764" s="2" t="s">
        <v>20</v>
      </c>
    </row>
    <row r="2765" spans="1:19" x14ac:dyDescent="0.3">
      <c r="A2765" s="4">
        <v>2763</v>
      </c>
      <c r="B2765" s="2" t="s">
        <v>25</v>
      </c>
      <c r="C2765" s="3">
        <v>44846</v>
      </c>
      <c r="D2765" s="3" t="str">
        <f>TEXT(Table1[[#This Row],[Admission Date]],"MMMM")</f>
        <v>October</v>
      </c>
      <c r="E2765" s="3">
        <v>44849</v>
      </c>
      <c r="F2765" s="3">
        <v>44849</v>
      </c>
      <c r="G2765" s="2">
        <v>22027145</v>
      </c>
      <c r="H2765" s="2">
        <v>2235775</v>
      </c>
      <c r="I2765" s="2">
        <v>10013542765</v>
      </c>
      <c r="J2765" s="2" t="s">
        <v>1685</v>
      </c>
      <c r="K2765" s="10">
        <v>34307</v>
      </c>
      <c r="L2765" s="10">
        <v>4426</v>
      </c>
      <c r="M2765" s="10">
        <v>29881</v>
      </c>
      <c r="N2765" s="10">
        <v>29881</v>
      </c>
      <c r="O2765" s="10">
        <f>Table1[[#This Row],[NET Amount]]-Table1[[#This Row],[Paid Amount]]</f>
        <v>0</v>
      </c>
      <c r="P2765" s="2" t="s">
        <v>18</v>
      </c>
      <c r="Q2765" s="2" t="s">
        <v>19</v>
      </c>
      <c r="R2765" s="16">
        <f>(Table1[[#This Row],[NET Amount]]-Table1[[#This Row],[Total Outstanding Amount]])/Table1[[#This Row],[NET Amount]]</f>
        <v>1</v>
      </c>
      <c r="S2765" s="2" t="s">
        <v>280</v>
      </c>
    </row>
    <row r="2766" spans="1:19" x14ac:dyDescent="0.3">
      <c r="A2766" s="4">
        <v>2764</v>
      </c>
      <c r="B2766" s="2" t="s">
        <v>25</v>
      </c>
      <c r="C2766" s="3">
        <v>44842</v>
      </c>
      <c r="D2766" s="3" t="str">
        <f>TEXT(Table1[[#This Row],[Admission Date]],"MMMM")</f>
        <v>October</v>
      </c>
      <c r="E2766" s="3">
        <v>44842</v>
      </c>
      <c r="F2766" s="3">
        <v>44842</v>
      </c>
      <c r="G2766" s="2">
        <v>22026201</v>
      </c>
      <c r="H2766" s="2">
        <v>2235131</v>
      </c>
      <c r="I2766" s="2">
        <v>1000974787</v>
      </c>
      <c r="J2766" s="2" t="s">
        <v>1686</v>
      </c>
      <c r="K2766" s="10">
        <v>54036</v>
      </c>
      <c r="L2766" s="10">
        <v>0</v>
      </c>
      <c r="M2766" s="10">
        <v>54036</v>
      </c>
      <c r="N2766" s="10">
        <v>54036</v>
      </c>
      <c r="O2766" s="10">
        <f>Table1[[#This Row],[NET Amount]]-Table1[[#This Row],[Paid Amount]]</f>
        <v>0</v>
      </c>
      <c r="P2766" s="2" t="s">
        <v>18</v>
      </c>
      <c r="Q2766" s="2" t="s">
        <v>54</v>
      </c>
      <c r="R2766" s="16">
        <f>(Table1[[#This Row],[NET Amount]]-Table1[[#This Row],[Total Outstanding Amount]])/Table1[[#This Row],[NET Amount]]</f>
        <v>1</v>
      </c>
      <c r="S2766" s="2" t="s">
        <v>768</v>
      </c>
    </row>
    <row r="2767" spans="1:19" x14ac:dyDescent="0.3">
      <c r="A2767" s="4">
        <v>2765</v>
      </c>
      <c r="B2767" s="2" t="s">
        <v>25</v>
      </c>
      <c r="C2767" s="3">
        <v>44863</v>
      </c>
      <c r="D2767" s="3" t="str">
        <f>TEXT(Table1[[#This Row],[Admission Date]],"MMMM")</f>
        <v>October</v>
      </c>
      <c r="E2767" s="3">
        <v>44863</v>
      </c>
      <c r="F2767" s="3">
        <v>44863</v>
      </c>
      <c r="G2767" s="2">
        <v>22029021</v>
      </c>
      <c r="H2767" s="2">
        <v>2237931</v>
      </c>
      <c r="I2767" s="2">
        <v>1001561182</v>
      </c>
      <c r="J2767" s="2" t="s">
        <v>222</v>
      </c>
      <c r="K2767" s="10">
        <v>2680</v>
      </c>
      <c r="L2767" s="10">
        <v>0</v>
      </c>
      <c r="M2767" s="10">
        <v>2680</v>
      </c>
      <c r="N2767" s="10">
        <v>2680</v>
      </c>
      <c r="O2767" s="10">
        <f>Table1[[#This Row],[NET Amount]]-Table1[[#This Row],[Paid Amount]]</f>
        <v>0</v>
      </c>
      <c r="P2767" s="2" t="s">
        <v>18</v>
      </c>
      <c r="Q2767" s="2" t="s">
        <v>54</v>
      </c>
      <c r="R2767" s="16">
        <f>(Table1[[#This Row],[NET Amount]]-Table1[[#This Row],[Total Outstanding Amount]])/Table1[[#This Row],[NET Amount]]</f>
        <v>1</v>
      </c>
      <c r="S2767" s="2" t="s">
        <v>97</v>
      </c>
    </row>
    <row r="2768" spans="1:19" x14ac:dyDescent="0.3">
      <c r="A2768" s="4">
        <v>2766</v>
      </c>
      <c r="B2768" s="2" t="s">
        <v>259</v>
      </c>
      <c r="C2768" s="3">
        <v>44834</v>
      </c>
      <c r="D2768" s="3" t="str">
        <f>TEXT(Table1[[#This Row],[Admission Date]],"MMMM")</f>
        <v>September</v>
      </c>
      <c r="E2768" s="3">
        <v>44837</v>
      </c>
      <c r="F2768" s="3">
        <v>44837</v>
      </c>
      <c r="G2768" s="2">
        <v>22025369</v>
      </c>
      <c r="H2768" s="2">
        <v>2234069</v>
      </c>
      <c r="I2768" s="2">
        <v>1001245373</v>
      </c>
      <c r="J2768" s="2" t="s">
        <v>1687</v>
      </c>
      <c r="K2768" s="10">
        <v>68518</v>
      </c>
      <c r="L2768" s="10">
        <v>9240</v>
      </c>
      <c r="M2768" s="10">
        <v>59278</v>
      </c>
      <c r="N2768" s="10">
        <v>16717</v>
      </c>
      <c r="O2768" s="10">
        <f>Table1[[#This Row],[NET Amount]]-Table1[[#This Row],[Paid Amount]]</f>
        <v>42561</v>
      </c>
      <c r="P2768" s="2" t="s">
        <v>18</v>
      </c>
      <c r="Q2768" s="2" t="s">
        <v>24</v>
      </c>
      <c r="R2768" s="16">
        <f>(Table1[[#This Row],[NET Amount]]-Table1[[#This Row],[Total Outstanding Amount]])/Table1[[#This Row],[NET Amount]]</f>
        <v>0.28201018927764093</v>
      </c>
      <c r="S2768" s="2" t="s">
        <v>37</v>
      </c>
    </row>
    <row r="2769" spans="1:19" x14ac:dyDescent="0.3">
      <c r="A2769" s="4">
        <v>2767</v>
      </c>
      <c r="B2769" s="2" t="s">
        <v>45</v>
      </c>
      <c r="C2769" s="3">
        <v>44852</v>
      </c>
      <c r="D2769" s="3" t="str">
        <f>TEXT(Table1[[#This Row],[Admission Date]],"MMMM")</f>
        <v>October</v>
      </c>
      <c r="E2769" s="3">
        <v>44855</v>
      </c>
      <c r="F2769" s="3">
        <v>44855</v>
      </c>
      <c r="G2769" s="2">
        <v>22028024</v>
      </c>
      <c r="H2769" s="2">
        <v>2236470</v>
      </c>
      <c r="I2769" s="2">
        <v>10013543546</v>
      </c>
      <c r="J2769" s="2" t="s">
        <v>1688</v>
      </c>
      <c r="K2769" s="10">
        <v>43616</v>
      </c>
      <c r="L2769" s="10">
        <v>5982</v>
      </c>
      <c r="M2769" s="10">
        <v>37634</v>
      </c>
      <c r="N2769" s="10">
        <v>12083</v>
      </c>
      <c r="O2769" s="10">
        <f>Table1[[#This Row],[NET Amount]]-Table1[[#This Row],[Paid Amount]]</f>
        <v>25551</v>
      </c>
      <c r="P2769" s="2" t="s">
        <v>23</v>
      </c>
      <c r="Q2769" s="2" t="s">
        <v>42</v>
      </c>
      <c r="R2769" s="16">
        <f>(Table1[[#This Row],[NET Amount]]-Table1[[#This Row],[Total Outstanding Amount]])/Table1[[#This Row],[NET Amount]]</f>
        <v>0.32106605728862198</v>
      </c>
      <c r="S2769" s="2" t="s">
        <v>37</v>
      </c>
    </row>
    <row r="2770" spans="1:19" x14ac:dyDescent="0.3">
      <c r="A2770" s="4">
        <v>2768</v>
      </c>
      <c r="B2770" s="2" t="s">
        <v>206</v>
      </c>
      <c r="C2770" s="3">
        <v>44852</v>
      </c>
      <c r="D2770" s="3" t="str">
        <f>TEXT(Table1[[#This Row],[Admission Date]],"MMMM")</f>
        <v>October</v>
      </c>
      <c r="E2770" s="3">
        <v>44856</v>
      </c>
      <c r="F2770" s="3">
        <v>44856</v>
      </c>
      <c r="G2770" s="2">
        <v>22028252</v>
      </c>
      <c r="H2770" s="2">
        <v>2236466</v>
      </c>
      <c r="I2770" s="2">
        <v>1001739487</v>
      </c>
      <c r="J2770" s="2" t="s">
        <v>1689</v>
      </c>
      <c r="K2770" s="10">
        <v>178230</v>
      </c>
      <c r="L2770" s="10">
        <v>14411</v>
      </c>
      <c r="M2770" s="10">
        <v>163819</v>
      </c>
      <c r="N2770" s="10">
        <v>3867</v>
      </c>
      <c r="O2770" s="10">
        <f>Table1[[#This Row],[NET Amount]]-Table1[[#This Row],[Paid Amount]]</f>
        <v>159952</v>
      </c>
      <c r="P2770" s="2" t="s">
        <v>23</v>
      </c>
      <c r="Q2770" s="2" t="s">
        <v>19</v>
      </c>
      <c r="R2770" s="16">
        <f>(Table1[[#This Row],[NET Amount]]-Table1[[#This Row],[Total Outstanding Amount]])/Table1[[#This Row],[NET Amount]]</f>
        <v>2.3605320506168394E-2</v>
      </c>
      <c r="S2770" s="2" t="s">
        <v>201</v>
      </c>
    </row>
    <row r="2771" spans="1:19" x14ac:dyDescent="0.3">
      <c r="A2771" s="4">
        <v>2769</v>
      </c>
      <c r="B2771" s="2" t="s">
        <v>25</v>
      </c>
      <c r="C2771" s="3">
        <v>44859</v>
      </c>
      <c r="D2771" s="3" t="str">
        <f>TEXT(Table1[[#This Row],[Admission Date]],"MMMM")</f>
        <v>October</v>
      </c>
      <c r="E2771" s="3">
        <v>44859</v>
      </c>
      <c r="F2771" s="3">
        <v>44859</v>
      </c>
      <c r="G2771" s="2">
        <v>22028483</v>
      </c>
      <c r="H2771" s="2">
        <v>2237248</v>
      </c>
      <c r="I2771" s="2">
        <v>10013436378</v>
      </c>
      <c r="J2771" s="2" t="s">
        <v>1690</v>
      </c>
      <c r="K2771" s="10">
        <v>24465</v>
      </c>
      <c r="L2771" s="10">
        <v>3367</v>
      </c>
      <c r="M2771" s="10">
        <v>21098</v>
      </c>
      <c r="N2771" s="10">
        <v>21098</v>
      </c>
      <c r="O2771" s="10">
        <f>Table1[[#This Row],[NET Amount]]-Table1[[#This Row],[Paid Amount]]</f>
        <v>0</v>
      </c>
      <c r="P2771" s="2" t="s">
        <v>18</v>
      </c>
      <c r="Q2771" s="2" t="s">
        <v>24</v>
      </c>
      <c r="R2771" s="16">
        <f>(Table1[[#This Row],[NET Amount]]-Table1[[#This Row],[Total Outstanding Amount]])/Table1[[#This Row],[NET Amount]]</f>
        <v>1</v>
      </c>
      <c r="S2771" s="2" t="s">
        <v>39</v>
      </c>
    </row>
    <row r="2772" spans="1:19" x14ac:dyDescent="0.3">
      <c r="A2772" s="4">
        <v>2770</v>
      </c>
      <c r="B2772" s="2" t="s">
        <v>2253</v>
      </c>
      <c r="C2772" s="3">
        <v>44848</v>
      </c>
      <c r="D2772" s="3" t="str">
        <f>TEXT(Table1[[#This Row],[Admission Date]],"MMMM")</f>
        <v>October</v>
      </c>
      <c r="E2772" s="3">
        <v>44855</v>
      </c>
      <c r="F2772" s="3">
        <v>44855</v>
      </c>
      <c r="G2772" s="2">
        <v>22028035</v>
      </c>
      <c r="H2772" s="2">
        <v>2236029</v>
      </c>
      <c r="I2772" s="2">
        <v>1001728048</v>
      </c>
      <c r="J2772" s="2" t="s">
        <v>994</v>
      </c>
      <c r="K2772" s="10">
        <v>37619</v>
      </c>
      <c r="L2772" s="10">
        <v>0</v>
      </c>
      <c r="M2772" s="10">
        <v>37619</v>
      </c>
      <c r="N2772" s="10">
        <v>595</v>
      </c>
      <c r="O2772" s="10">
        <f>Table1[[#This Row],[NET Amount]]-Table1[[#This Row],[Paid Amount]]</f>
        <v>37024</v>
      </c>
      <c r="P2772" s="2" t="s">
        <v>23</v>
      </c>
      <c r="Q2772" s="2" t="s">
        <v>24</v>
      </c>
      <c r="R2772" s="16">
        <f>(Table1[[#This Row],[NET Amount]]-Table1[[#This Row],[Total Outstanding Amount]])/Table1[[#This Row],[NET Amount]]</f>
        <v>1.5816475717057871E-2</v>
      </c>
      <c r="S2772" s="2" t="s">
        <v>20</v>
      </c>
    </row>
    <row r="2773" spans="1:19" x14ac:dyDescent="0.3">
      <c r="A2773" s="4">
        <v>2771</v>
      </c>
      <c r="B2773" s="2" t="s">
        <v>25</v>
      </c>
      <c r="C2773" s="3">
        <v>44842</v>
      </c>
      <c r="D2773" s="3" t="str">
        <f>TEXT(Table1[[#This Row],[Admission Date]],"MMMM")</f>
        <v>October</v>
      </c>
      <c r="E2773" s="3">
        <v>44842</v>
      </c>
      <c r="F2773" s="3">
        <v>44842</v>
      </c>
      <c r="G2773" s="2">
        <v>22026190</v>
      </c>
      <c r="H2773" s="2">
        <v>2235109</v>
      </c>
      <c r="I2773" s="2">
        <v>10013542058</v>
      </c>
      <c r="J2773" s="2" t="s">
        <v>114</v>
      </c>
      <c r="K2773" s="10">
        <v>33776</v>
      </c>
      <c r="L2773" s="10">
        <v>3610</v>
      </c>
      <c r="M2773" s="10">
        <v>30166</v>
      </c>
      <c r="N2773" s="10">
        <v>30166</v>
      </c>
      <c r="O2773" s="10">
        <f>Table1[[#This Row],[NET Amount]]-Table1[[#This Row],[Paid Amount]]</f>
        <v>0</v>
      </c>
      <c r="P2773" s="2" t="s">
        <v>18</v>
      </c>
      <c r="Q2773" s="2" t="s">
        <v>24</v>
      </c>
      <c r="R2773" s="16">
        <f>(Table1[[#This Row],[NET Amount]]-Table1[[#This Row],[Total Outstanding Amount]])/Table1[[#This Row],[NET Amount]]</f>
        <v>1</v>
      </c>
      <c r="S2773" s="2" t="s">
        <v>27</v>
      </c>
    </row>
    <row r="2774" spans="1:19" x14ac:dyDescent="0.3">
      <c r="A2774" s="4">
        <v>2772</v>
      </c>
      <c r="B2774" s="2" t="s">
        <v>25</v>
      </c>
      <c r="C2774" s="3">
        <v>44859</v>
      </c>
      <c r="D2774" s="3" t="str">
        <f>TEXT(Table1[[#This Row],[Admission Date]],"MMMM")</f>
        <v>October</v>
      </c>
      <c r="E2774" s="3">
        <v>44860</v>
      </c>
      <c r="F2774" s="3">
        <v>44860</v>
      </c>
      <c r="G2774" s="2">
        <v>22028675</v>
      </c>
      <c r="H2774" s="2">
        <v>2237412</v>
      </c>
      <c r="I2774" s="2">
        <v>10013544473</v>
      </c>
      <c r="J2774" s="2" t="s">
        <v>1091</v>
      </c>
      <c r="K2774" s="10">
        <v>49881</v>
      </c>
      <c r="L2774" s="10">
        <v>8691</v>
      </c>
      <c r="M2774" s="10">
        <v>41190</v>
      </c>
      <c r="N2774" s="10">
        <v>41190</v>
      </c>
      <c r="O2774" s="10">
        <f>Table1[[#This Row],[NET Amount]]-Table1[[#This Row],[Paid Amount]]</f>
        <v>0</v>
      </c>
      <c r="P2774" s="2" t="s">
        <v>18</v>
      </c>
      <c r="Q2774" s="2" t="s">
        <v>24</v>
      </c>
      <c r="R2774" s="16">
        <f>(Table1[[#This Row],[NET Amount]]-Table1[[#This Row],[Total Outstanding Amount]])/Table1[[#This Row],[NET Amount]]</f>
        <v>1</v>
      </c>
      <c r="S2774" s="2" t="s">
        <v>39</v>
      </c>
    </row>
    <row r="2775" spans="1:19" x14ac:dyDescent="0.3">
      <c r="A2775" s="4">
        <v>2773</v>
      </c>
      <c r="B2775" s="2" t="s">
        <v>35</v>
      </c>
      <c r="C2775" s="3">
        <v>44860</v>
      </c>
      <c r="D2775" s="3" t="str">
        <f>TEXT(Table1[[#This Row],[Admission Date]],"MMMM")</f>
        <v>October</v>
      </c>
      <c r="E2775" s="3">
        <v>44860</v>
      </c>
      <c r="F2775" s="3">
        <v>44860</v>
      </c>
      <c r="G2775" s="2">
        <v>22028669</v>
      </c>
      <c r="H2775" s="2">
        <v>2237421</v>
      </c>
      <c r="I2775" s="2">
        <v>10013453245</v>
      </c>
      <c r="J2775" s="2" t="s">
        <v>1691</v>
      </c>
      <c r="K2775" s="10">
        <v>2570</v>
      </c>
      <c r="L2775" s="10">
        <v>0</v>
      </c>
      <c r="M2775" s="10">
        <v>2570</v>
      </c>
      <c r="N2775" s="10">
        <v>2570</v>
      </c>
      <c r="O2775" s="10">
        <f>Table1[[#This Row],[NET Amount]]-Table1[[#This Row],[Paid Amount]]</f>
        <v>0</v>
      </c>
      <c r="P2775" s="2" t="s">
        <v>18</v>
      </c>
      <c r="Q2775" s="2" t="s">
        <v>24</v>
      </c>
      <c r="R2775" s="16">
        <f>(Table1[[#This Row],[NET Amount]]-Table1[[#This Row],[Total Outstanding Amount]])/Table1[[#This Row],[NET Amount]]</f>
        <v>1</v>
      </c>
      <c r="S2775" s="2" t="s">
        <v>27</v>
      </c>
    </row>
    <row r="2776" spans="1:19" x14ac:dyDescent="0.3">
      <c r="A2776" s="4">
        <v>2774</v>
      </c>
      <c r="B2776" s="2" t="s">
        <v>35</v>
      </c>
      <c r="C2776" s="3">
        <v>44859</v>
      </c>
      <c r="D2776" s="3" t="str">
        <f>TEXT(Table1[[#This Row],[Admission Date]],"MMMM")</f>
        <v>October</v>
      </c>
      <c r="E2776" s="3">
        <v>44860</v>
      </c>
      <c r="F2776" s="3">
        <v>44860</v>
      </c>
      <c r="G2776" s="2">
        <v>22028619</v>
      </c>
      <c r="H2776" s="2">
        <v>2237260</v>
      </c>
      <c r="I2776" s="2">
        <v>10013543557</v>
      </c>
      <c r="J2776" s="2" t="s">
        <v>532</v>
      </c>
      <c r="K2776" s="10">
        <v>19889</v>
      </c>
      <c r="L2776" s="10">
        <v>0</v>
      </c>
      <c r="M2776" s="10">
        <v>19889</v>
      </c>
      <c r="N2776" s="10">
        <v>19889</v>
      </c>
      <c r="O2776" s="10">
        <f>Table1[[#This Row],[NET Amount]]-Table1[[#This Row],[Paid Amount]]</f>
        <v>0</v>
      </c>
      <c r="P2776" s="2" t="s">
        <v>18</v>
      </c>
      <c r="Q2776" s="2" t="s">
        <v>24</v>
      </c>
      <c r="R2776" s="16">
        <f>(Table1[[#This Row],[NET Amount]]-Table1[[#This Row],[Total Outstanding Amount]])/Table1[[#This Row],[NET Amount]]</f>
        <v>1</v>
      </c>
      <c r="S2776" s="2" t="s">
        <v>77</v>
      </c>
    </row>
    <row r="2777" spans="1:19" x14ac:dyDescent="0.3">
      <c r="A2777" s="4">
        <v>2775</v>
      </c>
      <c r="B2777" s="2" t="s">
        <v>110</v>
      </c>
      <c r="C2777" s="3">
        <v>44851</v>
      </c>
      <c r="D2777" s="3" t="str">
        <f>TEXT(Table1[[#This Row],[Admission Date]],"MMMM")</f>
        <v>October</v>
      </c>
      <c r="E2777" s="3">
        <v>44851</v>
      </c>
      <c r="F2777" s="3">
        <v>44851</v>
      </c>
      <c r="G2777" s="2">
        <v>22027399</v>
      </c>
      <c r="H2777" s="2">
        <v>2236273</v>
      </c>
      <c r="I2777" s="2">
        <v>1001804728</v>
      </c>
      <c r="J2777" s="2" t="s">
        <v>643</v>
      </c>
      <c r="K2777" s="10">
        <v>7370</v>
      </c>
      <c r="L2777" s="10">
        <v>0</v>
      </c>
      <c r="M2777" s="10">
        <v>7370</v>
      </c>
      <c r="N2777" s="10">
        <v>7370</v>
      </c>
      <c r="O2777" s="10">
        <f>Table1[[#This Row],[NET Amount]]-Table1[[#This Row],[Paid Amount]]</f>
        <v>0</v>
      </c>
      <c r="P2777" s="2" t="s">
        <v>18</v>
      </c>
      <c r="Q2777" s="2" t="s">
        <v>30</v>
      </c>
      <c r="R2777" s="16">
        <f>(Table1[[#This Row],[NET Amount]]-Table1[[#This Row],[Total Outstanding Amount]])/Table1[[#This Row],[NET Amount]]</f>
        <v>1</v>
      </c>
      <c r="S2777" s="2" t="s">
        <v>77</v>
      </c>
    </row>
    <row r="2778" spans="1:19" x14ac:dyDescent="0.3">
      <c r="A2778" s="4">
        <v>2776</v>
      </c>
      <c r="B2778" s="2" t="s">
        <v>25</v>
      </c>
      <c r="C2778" s="3">
        <v>44852</v>
      </c>
      <c r="D2778" s="3" t="str">
        <f>TEXT(Table1[[#This Row],[Admission Date]],"MMMM")</f>
        <v>October</v>
      </c>
      <c r="E2778" s="3">
        <v>44852</v>
      </c>
      <c r="F2778" s="3">
        <v>44852</v>
      </c>
      <c r="G2778" s="2">
        <v>22027615</v>
      </c>
      <c r="H2778" s="2">
        <v>2236506</v>
      </c>
      <c r="I2778" s="2">
        <v>10013527702</v>
      </c>
      <c r="J2778" s="2" t="s">
        <v>553</v>
      </c>
      <c r="K2778" s="10">
        <v>4990</v>
      </c>
      <c r="L2778" s="10">
        <v>413</v>
      </c>
      <c r="M2778" s="10">
        <v>4577</v>
      </c>
      <c r="N2778" s="10">
        <v>4577</v>
      </c>
      <c r="O2778" s="10">
        <f>Table1[[#This Row],[NET Amount]]-Table1[[#This Row],[Paid Amount]]</f>
        <v>0</v>
      </c>
      <c r="P2778" s="2" t="s">
        <v>18</v>
      </c>
      <c r="Q2778" s="2" t="s">
        <v>54</v>
      </c>
      <c r="R2778" s="16">
        <f>(Table1[[#This Row],[NET Amount]]-Table1[[#This Row],[Total Outstanding Amount]])/Table1[[#This Row],[NET Amount]]</f>
        <v>1</v>
      </c>
      <c r="S2778" s="2" t="s">
        <v>97</v>
      </c>
    </row>
    <row r="2779" spans="1:19" x14ac:dyDescent="0.3">
      <c r="A2779" s="4">
        <v>2777</v>
      </c>
      <c r="B2779" s="2" t="s">
        <v>25</v>
      </c>
      <c r="C2779" s="3">
        <v>44852</v>
      </c>
      <c r="D2779" s="3" t="str">
        <f>TEXT(Table1[[#This Row],[Admission Date]],"MMMM")</f>
        <v>October</v>
      </c>
      <c r="E2779" s="3">
        <v>44852</v>
      </c>
      <c r="F2779" s="3">
        <v>44852</v>
      </c>
      <c r="G2779" s="2">
        <v>22027634</v>
      </c>
      <c r="H2779" s="2">
        <v>2236547</v>
      </c>
      <c r="I2779" s="2">
        <v>1001074324</v>
      </c>
      <c r="J2779" s="2" t="s">
        <v>255</v>
      </c>
      <c r="K2779" s="10">
        <v>3590</v>
      </c>
      <c r="L2779" s="10">
        <v>290</v>
      </c>
      <c r="M2779" s="10">
        <v>3300</v>
      </c>
      <c r="N2779" s="10">
        <v>3300</v>
      </c>
      <c r="O2779" s="10">
        <f>Table1[[#This Row],[NET Amount]]-Table1[[#This Row],[Paid Amount]]</f>
        <v>0</v>
      </c>
      <c r="P2779" s="2" t="s">
        <v>18</v>
      </c>
      <c r="Q2779" s="2" t="s">
        <v>54</v>
      </c>
      <c r="R2779" s="16">
        <f>(Table1[[#This Row],[NET Amount]]-Table1[[#This Row],[Total Outstanding Amount]])/Table1[[#This Row],[NET Amount]]</f>
        <v>1</v>
      </c>
      <c r="S2779" s="2" t="s">
        <v>97</v>
      </c>
    </row>
    <row r="2780" spans="1:19" x14ac:dyDescent="0.3">
      <c r="A2780" s="4">
        <v>2778</v>
      </c>
      <c r="B2780" s="2" t="s">
        <v>35</v>
      </c>
      <c r="C2780" s="3">
        <v>44841</v>
      </c>
      <c r="D2780" s="3" t="str">
        <f>TEXT(Table1[[#This Row],[Admission Date]],"MMMM")</f>
        <v>October</v>
      </c>
      <c r="E2780" s="3">
        <v>44841</v>
      </c>
      <c r="F2780" s="3">
        <v>44841</v>
      </c>
      <c r="G2780" s="2">
        <v>22025971</v>
      </c>
      <c r="H2780" s="2">
        <v>2235009</v>
      </c>
      <c r="I2780" s="2">
        <v>10013519440</v>
      </c>
      <c r="J2780" s="2" t="s">
        <v>339</v>
      </c>
      <c r="K2780" s="10">
        <v>1610</v>
      </c>
      <c r="L2780" s="10">
        <v>0</v>
      </c>
      <c r="M2780" s="10">
        <v>1610</v>
      </c>
      <c r="N2780" s="10">
        <v>1610</v>
      </c>
      <c r="O2780" s="10">
        <f>Table1[[#This Row],[NET Amount]]-Table1[[#This Row],[Paid Amount]]</f>
        <v>0</v>
      </c>
      <c r="P2780" s="2" t="s">
        <v>18</v>
      </c>
      <c r="Q2780" s="2" t="s">
        <v>54</v>
      </c>
      <c r="R2780" s="16">
        <f>(Table1[[#This Row],[NET Amount]]-Table1[[#This Row],[Total Outstanding Amount]])/Table1[[#This Row],[NET Amount]]</f>
        <v>1</v>
      </c>
      <c r="S2780" s="2" t="s">
        <v>97</v>
      </c>
    </row>
    <row r="2781" spans="1:19" x14ac:dyDescent="0.3">
      <c r="A2781" s="4">
        <v>2779</v>
      </c>
      <c r="B2781" s="2" t="s">
        <v>126</v>
      </c>
      <c r="C2781" s="3">
        <v>44859</v>
      </c>
      <c r="D2781" s="3" t="str">
        <f>TEXT(Table1[[#This Row],[Admission Date]],"MMMM")</f>
        <v>October</v>
      </c>
      <c r="E2781" s="3">
        <v>44862</v>
      </c>
      <c r="F2781" s="3">
        <v>44862</v>
      </c>
      <c r="G2781" s="2">
        <v>22028875</v>
      </c>
      <c r="H2781" s="2">
        <v>2237386</v>
      </c>
      <c r="I2781" s="2">
        <v>10013544459</v>
      </c>
      <c r="J2781" s="2" t="s">
        <v>1692</v>
      </c>
      <c r="K2781" s="10">
        <v>301434</v>
      </c>
      <c r="L2781" s="10">
        <v>0</v>
      </c>
      <c r="M2781" s="10">
        <v>301434</v>
      </c>
      <c r="N2781" s="10">
        <v>1500</v>
      </c>
      <c r="O2781" s="10">
        <f>Table1[[#This Row],[NET Amount]]-Table1[[#This Row],[Paid Amount]]</f>
        <v>299934</v>
      </c>
      <c r="P2781" s="2" t="s">
        <v>23</v>
      </c>
      <c r="Q2781" s="2" t="s">
        <v>24</v>
      </c>
      <c r="R2781" s="16">
        <f>(Table1[[#This Row],[NET Amount]]-Table1[[#This Row],[Total Outstanding Amount]])/Table1[[#This Row],[NET Amount]]</f>
        <v>4.9762136985210693E-3</v>
      </c>
      <c r="S2781" s="2" t="s">
        <v>39</v>
      </c>
    </row>
    <row r="2782" spans="1:19" x14ac:dyDescent="0.3">
      <c r="A2782" s="4">
        <v>2780</v>
      </c>
      <c r="B2782" s="2" t="s">
        <v>25</v>
      </c>
      <c r="C2782" s="3">
        <v>44860</v>
      </c>
      <c r="D2782" s="3" t="str">
        <f>TEXT(Table1[[#This Row],[Admission Date]],"MMMM")</f>
        <v>October</v>
      </c>
      <c r="E2782" s="3">
        <v>44862</v>
      </c>
      <c r="F2782" s="3">
        <v>44862</v>
      </c>
      <c r="G2782" s="2">
        <v>22028957</v>
      </c>
      <c r="H2782" s="2">
        <v>2237531</v>
      </c>
      <c r="I2782" s="2">
        <v>1001806403</v>
      </c>
      <c r="J2782" s="2" t="s">
        <v>1693</v>
      </c>
      <c r="K2782" s="10">
        <v>236535</v>
      </c>
      <c r="L2782" s="10">
        <v>0</v>
      </c>
      <c r="M2782" s="10">
        <v>236535</v>
      </c>
      <c r="N2782" s="10">
        <v>236535</v>
      </c>
      <c r="O2782" s="10">
        <f>Table1[[#This Row],[NET Amount]]-Table1[[#This Row],[Paid Amount]]</f>
        <v>0</v>
      </c>
      <c r="P2782" s="2" t="s">
        <v>18</v>
      </c>
      <c r="Q2782" s="2" t="s">
        <v>24</v>
      </c>
      <c r="R2782" s="16">
        <f>(Table1[[#This Row],[NET Amount]]-Table1[[#This Row],[Total Outstanding Amount]])/Table1[[#This Row],[NET Amount]]</f>
        <v>1</v>
      </c>
      <c r="S2782" s="2" t="s">
        <v>39</v>
      </c>
    </row>
    <row r="2783" spans="1:19" x14ac:dyDescent="0.3">
      <c r="A2783" s="4">
        <v>2781</v>
      </c>
      <c r="B2783" s="2" t="s">
        <v>25</v>
      </c>
      <c r="C2783" s="3">
        <v>44853</v>
      </c>
      <c r="D2783" s="3" t="str">
        <f>TEXT(Table1[[#This Row],[Admission Date]],"MMMM")</f>
        <v>October</v>
      </c>
      <c r="E2783" s="3">
        <v>44854</v>
      </c>
      <c r="F2783" s="3">
        <v>44854</v>
      </c>
      <c r="G2783" s="2">
        <v>22027855</v>
      </c>
      <c r="H2783" s="2">
        <v>2236639</v>
      </c>
      <c r="I2783" s="2">
        <v>10013543725</v>
      </c>
      <c r="J2783" s="2" t="s">
        <v>1694</v>
      </c>
      <c r="K2783" s="10">
        <v>276007</v>
      </c>
      <c r="L2783" s="10">
        <v>0</v>
      </c>
      <c r="M2783" s="10">
        <v>276007</v>
      </c>
      <c r="N2783" s="10">
        <v>276007</v>
      </c>
      <c r="O2783" s="10">
        <f>Table1[[#This Row],[NET Amount]]-Table1[[#This Row],[Paid Amount]]</f>
        <v>0</v>
      </c>
      <c r="P2783" s="2" t="s">
        <v>18</v>
      </c>
      <c r="Q2783" s="2" t="s">
        <v>24</v>
      </c>
      <c r="R2783" s="16">
        <f>(Table1[[#This Row],[NET Amount]]-Table1[[#This Row],[Total Outstanding Amount]])/Table1[[#This Row],[NET Amount]]</f>
        <v>1</v>
      </c>
      <c r="S2783" s="2" t="s">
        <v>39</v>
      </c>
    </row>
    <row r="2784" spans="1:19" x14ac:dyDescent="0.3">
      <c r="A2784" s="4">
        <v>2782</v>
      </c>
      <c r="B2784" s="2" t="s">
        <v>80</v>
      </c>
      <c r="C2784" s="3">
        <v>44847</v>
      </c>
      <c r="D2784" s="3" t="str">
        <f>TEXT(Table1[[#This Row],[Admission Date]],"MMMM")</f>
        <v>October</v>
      </c>
      <c r="E2784" s="3">
        <v>44848</v>
      </c>
      <c r="F2784" s="3">
        <v>44848</v>
      </c>
      <c r="G2784" s="2">
        <v>22027028</v>
      </c>
      <c r="H2784" s="2">
        <v>2235793</v>
      </c>
      <c r="I2784" s="2">
        <v>10013503631</v>
      </c>
      <c r="J2784" s="2" t="s">
        <v>1695</v>
      </c>
      <c r="K2784" s="10">
        <v>86775</v>
      </c>
      <c r="L2784" s="10">
        <v>0</v>
      </c>
      <c r="M2784" s="10">
        <v>86775</v>
      </c>
      <c r="N2784" s="10">
        <v>19125</v>
      </c>
      <c r="O2784" s="10">
        <f>Table1[[#This Row],[NET Amount]]-Table1[[#This Row],[Paid Amount]]</f>
        <v>67650</v>
      </c>
      <c r="P2784" s="2" t="s">
        <v>23</v>
      </c>
      <c r="Q2784" s="2" t="s">
        <v>30</v>
      </c>
      <c r="R2784" s="16">
        <f>(Table1[[#This Row],[NET Amount]]-Table1[[#This Row],[Total Outstanding Amount]])/Table1[[#This Row],[NET Amount]]</f>
        <v>0.22039757994814174</v>
      </c>
      <c r="S2784" s="2" t="s">
        <v>77</v>
      </c>
    </row>
    <row r="2785" spans="1:19" x14ac:dyDescent="0.3">
      <c r="A2785" s="4">
        <v>2783</v>
      </c>
      <c r="B2785" s="2" t="s">
        <v>2244</v>
      </c>
      <c r="C2785" s="3">
        <v>44848</v>
      </c>
      <c r="D2785" s="3" t="str">
        <f>TEXT(Table1[[#This Row],[Admission Date]],"MMMM")</f>
        <v>October</v>
      </c>
      <c r="E2785" s="3">
        <v>44853</v>
      </c>
      <c r="F2785" s="3">
        <v>44853</v>
      </c>
      <c r="G2785" s="2">
        <v>22027761</v>
      </c>
      <c r="H2785" s="2">
        <v>2235933</v>
      </c>
      <c r="I2785" s="2">
        <v>1001788056</v>
      </c>
      <c r="J2785" s="2" t="s">
        <v>1696</v>
      </c>
      <c r="K2785" s="10">
        <v>20604</v>
      </c>
      <c r="L2785" s="10">
        <v>0</v>
      </c>
      <c r="M2785" s="10">
        <v>20604</v>
      </c>
      <c r="N2785" s="10">
        <v>20604</v>
      </c>
      <c r="O2785" s="10">
        <f>Table1[[#This Row],[NET Amount]]-Table1[[#This Row],[Paid Amount]]</f>
        <v>0</v>
      </c>
      <c r="P2785" s="2" t="s">
        <v>18</v>
      </c>
      <c r="Q2785" s="2" t="s">
        <v>19</v>
      </c>
      <c r="R2785" s="16">
        <f>(Table1[[#This Row],[NET Amount]]-Table1[[#This Row],[Total Outstanding Amount]])/Table1[[#This Row],[NET Amount]]</f>
        <v>1</v>
      </c>
      <c r="S2785" s="2" t="s">
        <v>20</v>
      </c>
    </row>
    <row r="2786" spans="1:19" x14ac:dyDescent="0.3">
      <c r="A2786" s="4">
        <v>2784</v>
      </c>
      <c r="B2786" s="2" t="s">
        <v>141</v>
      </c>
      <c r="C2786" s="3">
        <v>44833</v>
      </c>
      <c r="D2786" s="3" t="str">
        <f>TEXT(Table1[[#This Row],[Admission Date]],"MMMM")</f>
        <v>September</v>
      </c>
      <c r="E2786" s="3">
        <v>44841</v>
      </c>
      <c r="F2786" s="3">
        <v>44841</v>
      </c>
      <c r="G2786" s="2">
        <v>22025967</v>
      </c>
      <c r="H2786" s="2">
        <v>2233932</v>
      </c>
      <c r="I2786" s="2">
        <v>10013540645</v>
      </c>
      <c r="J2786" s="2" t="s">
        <v>1697</v>
      </c>
      <c r="K2786" s="10">
        <v>152264</v>
      </c>
      <c r="L2786" s="10">
        <v>19052</v>
      </c>
      <c r="M2786" s="10">
        <v>133212</v>
      </c>
      <c r="N2786" s="10">
        <v>37293</v>
      </c>
      <c r="O2786" s="10">
        <f>Table1[[#This Row],[NET Amount]]-Table1[[#This Row],[Paid Amount]]</f>
        <v>95919</v>
      </c>
      <c r="P2786" s="2" t="s">
        <v>23</v>
      </c>
      <c r="Q2786" s="2" t="s">
        <v>42</v>
      </c>
      <c r="R2786" s="16">
        <f>(Table1[[#This Row],[NET Amount]]-Table1[[#This Row],[Total Outstanding Amount]])/Table1[[#This Row],[NET Amount]]</f>
        <v>0.27995225655346367</v>
      </c>
      <c r="S2786" s="2" t="s">
        <v>20</v>
      </c>
    </row>
    <row r="2787" spans="1:19" x14ac:dyDescent="0.3">
      <c r="A2787" s="4">
        <v>2785</v>
      </c>
      <c r="B2787" s="2" t="s">
        <v>2269</v>
      </c>
      <c r="C2787" s="3">
        <v>44833</v>
      </c>
      <c r="D2787" s="3" t="str">
        <f>TEXT(Table1[[#This Row],[Admission Date]],"MMMM")</f>
        <v>September</v>
      </c>
      <c r="E2787" s="3">
        <v>44838</v>
      </c>
      <c r="F2787" s="3">
        <v>44838</v>
      </c>
      <c r="G2787" s="2">
        <v>22025513</v>
      </c>
      <c r="H2787" s="2">
        <v>2233948</v>
      </c>
      <c r="I2787" s="2">
        <v>1001801527</v>
      </c>
      <c r="J2787" s="2" t="s">
        <v>1698</v>
      </c>
      <c r="K2787" s="10">
        <v>32486</v>
      </c>
      <c r="L2787" s="10">
        <v>0</v>
      </c>
      <c r="M2787" s="10">
        <v>32486</v>
      </c>
      <c r="N2787" s="10">
        <v>32486</v>
      </c>
      <c r="O2787" s="10">
        <f>Table1[[#This Row],[NET Amount]]-Table1[[#This Row],[Paid Amount]]</f>
        <v>0</v>
      </c>
      <c r="P2787" s="2" t="s">
        <v>18</v>
      </c>
      <c r="Q2787" s="2" t="s">
        <v>30</v>
      </c>
      <c r="R2787" s="16">
        <f>(Table1[[#This Row],[NET Amount]]-Table1[[#This Row],[Total Outstanding Amount]])/Table1[[#This Row],[NET Amount]]</f>
        <v>1</v>
      </c>
      <c r="S2787" s="2" t="s">
        <v>20</v>
      </c>
    </row>
    <row r="2788" spans="1:19" x14ac:dyDescent="0.3">
      <c r="A2788" s="4">
        <v>2786</v>
      </c>
      <c r="B2788" s="2" t="s">
        <v>25</v>
      </c>
      <c r="C2788" s="3">
        <v>44828</v>
      </c>
      <c r="D2788" s="3" t="str">
        <f>TEXT(Table1[[#This Row],[Admission Date]],"MMMM")</f>
        <v>September</v>
      </c>
      <c r="E2788" s="3">
        <v>44862</v>
      </c>
      <c r="F2788" s="3">
        <v>44862</v>
      </c>
      <c r="G2788" s="2">
        <v>22028938</v>
      </c>
      <c r="H2788" s="2">
        <v>2233384</v>
      </c>
      <c r="I2788" s="2">
        <v>10013540260</v>
      </c>
      <c r="J2788" s="2" t="s">
        <v>1003</v>
      </c>
      <c r="K2788" s="10">
        <v>1252678</v>
      </c>
      <c r="L2788" s="10">
        <v>1252678</v>
      </c>
      <c r="M2788" s="10">
        <v>0</v>
      </c>
      <c r="N2788" s="10">
        <v>0</v>
      </c>
      <c r="O2788" s="10">
        <f>Table1[[#This Row],[NET Amount]]-Table1[[#This Row],[Paid Amount]]</f>
        <v>0</v>
      </c>
      <c r="P2788" s="2" t="s">
        <v>18</v>
      </c>
      <c r="Q2788" s="2" t="s">
        <v>90</v>
      </c>
      <c r="R2788" s="16" t="e">
        <f>(Table1[[#This Row],[NET Amount]]-Table1[[#This Row],[Total Outstanding Amount]])/Table1[[#This Row],[NET Amount]]</f>
        <v>#DIV/0!</v>
      </c>
      <c r="S2788" s="2" t="s">
        <v>20</v>
      </c>
    </row>
    <row r="2789" spans="1:19" x14ac:dyDescent="0.3">
      <c r="A2789" s="4">
        <v>2787</v>
      </c>
      <c r="B2789" s="2" t="s">
        <v>25</v>
      </c>
      <c r="C2789" s="3">
        <v>44857</v>
      </c>
      <c r="D2789" s="3" t="str">
        <f>TEXT(Table1[[#This Row],[Admission Date]],"MMMM")</f>
        <v>October</v>
      </c>
      <c r="E2789" s="3">
        <v>44857</v>
      </c>
      <c r="F2789" s="3">
        <v>44857</v>
      </c>
      <c r="G2789" s="2">
        <v>22028307</v>
      </c>
      <c r="H2789" s="2">
        <v>2237118</v>
      </c>
      <c r="I2789" s="2">
        <v>10013484177</v>
      </c>
      <c r="J2789" s="2" t="s">
        <v>174</v>
      </c>
      <c r="K2789" s="10">
        <v>2844</v>
      </c>
      <c r="L2789" s="10">
        <v>308</v>
      </c>
      <c r="M2789" s="10">
        <v>2536</v>
      </c>
      <c r="N2789" s="10">
        <v>2536</v>
      </c>
      <c r="O2789" s="10">
        <f>Table1[[#This Row],[NET Amount]]-Table1[[#This Row],[Paid Amount]]</f>
        <v>0</v>
      </c>
      <c r="P2789" s="2" t="s">
        <v>18</v>
      </c>
      <c r="Q2789" s="2" t="s">
        <v>54</v>
      </c>
      <c r="R2789" s="16">
        <f>(Table1[[#This Row],[NET Amount]]-Table1[[#This Row],[Total Outstanding Amount]])/Table1[[#This Row],[NET Amount]]</f>
        <v>1</v>
      </c>
      <c r="S2789" s="2" t="s">
        <v>97</v>
      </c>
    </row>
    <row r="2790" spans="1:19" x14ac:dyDescent="0.3">
      <c r="A2790" s="4">
        <v>2788</v>
      </c>
      <c r="B2790" s="2" t="s">
        <v>2256</v>
      </c>
      <c r="C2790" s="3">
        <v>44855</v>
      </c>
      <c r="D2790" s="3" t="str">
        <f>TEXT(Table1[[#This Row],[Admission Date]],"MMMM")</f>
        <v>October</v>
      </c>
      <c r="E2790" s="3">
        <v>44857</v>
      </c>
      <c r="F2790" s="3">
        <v>44857</v>
      </c>
      <c r="G2790" s="2">
        <v>22028347</v>
      </c>
      <c r="H2790" s="2">
        <v>2236961</v>
      </c>
      <c r="I2790" s="2">
        <v>1001805677</v>
      </c>
      <c r="J2790" s="2" t="s">
        <v>1699</v>
      </c>
      <c r="K2790" s="10">
        <v>34612</v>
      </c>
      <c r="L2790" s="10">
        <v>6890</v>
      </c>
      <c r="M2790" s="10">
        <v>27722</v>
      </c>
      <c r="N2790" s="10">
        <v>10165</v>
      </c>
      <c r="O2790" s="10">
        <f>Table1[[#This Row],[NET Amount]]-Table1[[#This Row],[Paid Amount]]</f>
        <v>17557</v>
      </c>
      <c r="P2790" s="2" t="s">
        <v>23</v>
      </c>
      <c r="Q2790" s="2" t="s">
        <v>42</v>
      </c>
      <c r="R2790" s="16">
        <f>(Table1[[#This Row],[NET Amount]]-Table1[[#This Row],[Total Outstanding Amount]])/Table1[[#This Row],[NET Amount]]</f>
        <v>0.36667628598225238</v>
      </c>
      <c r="S2790" s="2" t="s">
        <v>20</v>
      </c>
    </row>
    <row r="2791" spans="1:19" x14ac:dyDescent="0.3">
      <c r="A2791" s="4">
        <v>2789</v>
      </c>
      <c r="B2791" s="2" t="s">
        <v>50</v>
      </c>
      <c r="C2791" s="3">
        <v>44835</v>
      </c>
      <c r="D2791" s="3" t="str">
        <f>TEXT(Table1[[#This Row],[Admission Date]],"MMMM")</f>
        <v>October</v>
      </c>
      <c r="E2791" s="3">
        <v>44835</v>
      </c>
      <c r="F2791" s="3">
        <v>44835</v>
      </c>
      <c r="G2791" s="2">
        <v>22025231</v>
      </c>
      <c r="H2791" s="2">
        <v>2234243</v>
      </c>
      <c r="I2791" s="2">
        <v>10013538474</v>
      </c>
      <c r="J2791" s="2" t="s">
        <v>324</v>
      </c>
      <c r="K2791" s="10">
        <v>2200</v>
      </c>
      <c r="L2791" s="10">
        <v>0</v>
      </c>
      <c r="M2791" s="10">
        <v>2200</v>
      </c>
      <c r="N2791" s="10">
        <v>440</v>
      </c>
      <c r="O2791" s="10">
        <f>Table1[[#This Row],[NET Amount]]-Table1[[#This Row],[Paid Amount]]</f>
        <v>1760</v>
      </c>
      <c r="P2791" s="2" t="s">
        <v>23</v>
      </c>
      <c r="Q2791" s="2" t="s">
        <v>147</v>
      </c>
      <c r="R2791" s="16">
        <f>(Table1[[#This Row],[NET Amount]]-Table1[[#This Row],[Total Outstanding Amount]])/Table1[[#This Row],[NET Amount]]</f>
        <v>0.2</v>
      </c>
      <c r="S2791" s="2" t="s">
        <v>97</v>
      </c>
    </row>
    <row r="2792" spans="1:19" x14ac:dyDescent="0.3">
      <c r="A2792" s="4">
        <v>2790</v>
      </c>
      <c r="B2792" s="2" t="s">
        <v>25</v>
      </c>
      <c r="C2792" s="3">
        <v>44835</v>
      </c>
      <c r="D2792" s="3" t="str">
        <f>TEXT(Table1[[#This Row],[Admission Date]],"MMMM")</f>
        <v>October</v>
      </c>
      <c r="E2792" s="3">
        <v>44835</v>
      </c>
      <c r="F2792" s="3">
        <v>44835</v>
      </c>
      <c r="G2792" s="2">
        <v>22025223</v>
      </c>
      <c r="H2792" s="2">
        <v>2234241</v>
      </c>
      <c r="I2792" s="2">
        <v>10013541084</v>
      </c>
      <c r="J2792" s="2" t="s">
        <v>1700</v>
      </c>
      <c r="K2792" s="10">
        <v>11692</v>
      </c>
      <c r="L2792" s="10">
        <v>1017</v>
      </c>
      <c r="M2792" s="10">
        <v>10674</v>
      </c>
      <c r="N2792" s="10">
        <v>10674</v>
      </c>
      <c r="O2792" s="10">
        <f>Table1[[#This Row],[NET Amount]]-Table1[[#This Row],[Paid Amount]]</f>
        <v>0</v>
      </c>
      <c r="P2792" s="2" t="s">
        <v>18</v>
      </c>
      <c r="Q2792" s="2" t="s">
        <v>54</v>
      </c>
      <c r="R2792" s="16">
        <f>(Table1[[#This Row],[NET Amount]]-Table1[[#This Row],[Total Outstanding Amount]])/Table1[[#This Row],[NET Amount]]</f>
        <v>1</v>
      </c>
      <c r="S2792" s="2" t="s">
        <v>97</v>
      </c>
    </row>
    <row r="2793" spans="1:19" x14ac:dyDescent="0.3">
      <c r="A2793" s="4">
        <v>2791</v>
      </c>
      <c r="B2793" s="2" t="s">
        <v>25</v>
      </c>
      <c r="C2793" s="3">
        <v>44863</v>
      </c>
      <c r="D2793" s="3" t="str">
        <f>TEXT(Table1[[#This Row],[Admission Date]],"MMMM")</f>
        <v>October</v>
      </c>
      <c r="E2793" s="3">
        <v>44863</v>
      </c>
      <c r="F2793" s="3">
        <v>44863</v>
      </c>
      <c r="G2793" s="2">
        <v>22029163</v>
      </c>
      <c r="H2793" s="2">
        <v>2238021</v>
      </c>
      <c r="I2793" s="2">
        <v>1001130529</v>
      </c>
      <c r="J2793" s="2" t="s">
        <v>302</v>
      </c>
      <c r="K2793" s="10">
        <v>2794</v>
      </c>
      <c r="L2793" s="10">
        <v>2794</v>
      </c>
      <c r="M2793" s="10">
        <v>0</v>
      </c>
      <c r="N2793" s="10">
        <v>0</v>
      </c>
      <c r="O2793" s="10">
        <f>Table1[[#This Row],[NET Amount]]-Table1[[#This Row],[Paid Amount]]</f>
        <v>0</v>
      </c>
      <c r="P2793" s="2" t="s">
        <v>18</v>
      </c>
      <c r="Q2793" s="2" t="s">
        <v>90</v>
      </c>
      <c r="R2793" s="16" t="e">
        <f>(Table1[[#This Row],[NET Amount]]-Table1[[#This Row],[Total Outstanding Amount]])/Table1[[#This Row],[NET Amount]]</f>
        <v>#DIV/0!</v>
      </c>
      <c r="S2793" s="2" t="s">
        <v>97</v>
      </c>
    </row>
    <row r="2794" spans="1:19" x14ac:dyDescent="0.3">
      <c r="A2794" s="4">
        <v>2792</v>
      </c>
      <c r="B2794" s="2" t="s">
        <v>75</v>
      </c>
      <c r="C2794" s="3">
        <v>44855</v>
      </c>
      <c r="D2794" s="3" t="str">
        <f>TEXT(Table1[[#This Row],[Admission Date]],"MMMM")</f>
        <v>October</v>
      </c>
      <c r="E2794" s="3">
        <v>44858</v>
      </c>
      <c r="F2794" s="3">
        <v>44858</v>
      </c>
      <c r="G2794" s="2">
        <v>22028427</v>
      </c>
      <c r="H2794" s="2">
        <v>2236979</v>
      </c>
      <c r="I2794" s="2">
        <v>10013505155</v>
      </c>
      <c r="J2794" s="2" t="s">
        <v>1701</v>
      </c>
      <c r="K2794" s="10">
        <v>175461</v>
      </c>
      <c r="L2794" s="10">
        <v>0</v>
      </c>
      <c r="M2794" s="10">
        <v>175461</v>
      </c>
      <c r="N2794" s="10">
        <v>12810</v>
      </c>
      <c r="O2794" s="10">
        <f>Table1[[#This Row],[NET Amount]]-Table1[[#This Row],[Paid Amount]]</f>
        <v>162651</v>
      </c>
      <c r="P2794" s="2" t="s">
        <v>23</v>
      </c>
      <c r="Q2794" s="2" t="s">
        <v>24</v>
      </c>
      <c r="R2794" s="16">
        <f>(Table1[[#This Row],[NET Amount]]-Table1[[#This Row],[Total Outstanding Amount]])/Table1[[#This Row],[NET Amount]]</f>
        <v>7.3007676919657358E-2</v>
      </c>
      <c r="S2794" s="2" t="s">
        <v>39</v>
      </c>
    </row>
    <row r="2795" spans="1:19" x14ac:dyDescent="0.3">
      <c r="A2795" s="4">
        <v>2793</v>
      </c>
      <c r="B2795" s="2" t="s">
        <v>126</v>
      </c>
      <c r="C2795" s="3">
        <v>44860</v>
      </c>
      <c r="D2795" s="3" t="str">
        <f>TEXT(Table1[[#This Row],[Admission Date]],"MMMM")</f>
        <v>October</v>
      </c>
      <c r="E2795" s="3">
        <v>44860</v>
      </c>
      <c r="F2795" s="3">
        <v>44860</v>
      </c>
      <c r="G2795" s="2">
        <v>22028674</v>
      </c>
      <c r="H2795" s="2">
        <v>2237486</v>
      </c>
      <c r="I2795" s="2">
        <v>1001806317</v>
      </c>
      <c r="J2795" s="2" t="s">
        <v>1702</v>
      </c>
      <c r="K2795" s="10">
        <v>23500</v>
      </c>
      <c r="L2795" s="10">
        <v>0</v>
      </c>
      <c r="M2795" s="10">
        <v>23500</v>
      </c>
      <c r="N2795" s="10">
        <v>1500</v>
      </c>
      <c r="O2795" s="10">
        <f>Table1[[#This Row],[NET Amount]]-Table1[[#This Row],[Paid Amount]]</f>
        <v>22000</v>
      </c>
      <c r="P2795" s="2" t="s">
        <v>23</v>
      </c>
      <c r="Q2795" s="2" t="s">
        <v>54</v>
      </c>
      <c r="R2795" s="16">
        <f>(Table1[[#This Row],[NET Amount]]-Table1[[#This Row],[Total Outstanding Amount]])/Table1[[#This Row],[NET Amount]]</f>
        <v>6.3829787234042548E-2</v>
      </c>
      <c r="S2795" s="2" t="s">
        <v>39</v>
      </c>
    </row>
    <row r="2796" spans="1:19" x14ac:dyDescent="0.3">
      <c r="A2796" s="4">
        <v>2794</v>
      </c>
      <c r="B2796" s="2" t="s">
        <v>25</v>
      </c>
      <c r="C2796" s="3">
        <v>44841</v>
      </c>
      <c r="D2796" s="3" t="str">
        <f>TEXT(Table1[[#This Row],[Admission Date]],"MMMM")</f>
        <v>October</v>
      </c>
      <c r="E2796" s="3">
        <v>44842</v>
      </c>
      <c r="F2796" s="3">
        <v>44842</v>
      </c>
      <c r="G2796" s="2">
        <v>22026112</v>
      </c>
      <c r="H2796" s="2">
        <v>2235039</v>
      </c>
      <c r="I2796" s="2">
        <v>10013236921</v>
      </c>
      <c r="J2796" s="2" t="s">
        <v>1703</v>
      </c>
      <c r="K2796" s="10">
        <v>184154</v>
      </c>
      <c r="L2796" s="10">
        <v>9680</v>
      </c>
      <c r="M2796" s="10">
        <v>174474</v>
      </c>
      <c r="N2796" s="10">
        <v>174474</v>
      </c>
      <c r="O2796" s="10">
        <f>Table1[[#This Row],[NET Amount]]-Table1[[#This Row],[Paid Amount]]</f>
        <v>0</v>
      </c>
      <c r="P2796" s="2" t="s">
        <v>18</v>
      </c>
      <c r="Q2796" s="2" t="s">
        <v>24</v>
      </c>
      <c r="R2796" s="16">
        <f>(Table1[[#This Row],[NET Amount]]-Table1[[#This Row],[Total Outstanding Amount]])/Table1[[#This Row],[NET Amount]]</f>
        <v>1</v>
      </c>
      <c r="S2796" s="2" t="s">
        <v>39</v>
      </c>
    </row>
    <row r="2797" spans="1:19" x14ac:dyDescent="0.3">
      <c r="A2797" s="4">
        <v>2795</v>
      </c>
      <c r="B2797" s="2" t="s">
        <v>25</v>
      </c>
      <c r="C2797" s="3">
        <v>44852</v>
      </c>
      <c r="D2797" s="3" t="str">
        <f>TEXT(Table1[[#This Row],[Admission Date]],"MMMM")</f>
        <v>October</v>
      </c>
      <c r="E2797" s="3">
        <v>44854</v>
      </c>
      <c r="F2797" s="3">
        <v>44854</v>
      </c>
      <c r="G2797" s="2">
        <v>22027859</v>
      </c>
      <c r="H2797" s="2">
        <v>2236459</v>
      </c>
      <c r="I2797" s="2">
        <v>10013502241</v>
      </c>
      <c r="J2797" s="2" t="s">
        <v>1266</v>
      </c>
      <c r="K2797" s="10">
        <v>68301</v>
      </c>
      <c r="L2797" s="10">
        <v>12175</v>
      </c>
      <c r="M2797" s="10">
        <v>56125</v>
      </c>
      <c r="N2797" s="10">
        <v>56125</v>
      </c>
      <c r="O2797" s="10">
        <f>Table1[[#This Row],[NET Amount]]-Table1[[#This Row],[Paid Amount]]</f>
        <v>0</v>
      </c>
      <c r="P2797" s="2" t="s">
        <v>18</v>
      </c>
      <c r="Q2797" s="2" t="s">
        <v>24</v>
      </c>
      <c r="R2797" s="16">
        <f>(Table1[[#This Row],[NET Amount]]-Table1[[#This Row],[Total Outstanding Amount]])/Table1[[#This Row],[NET Amount]]</f>
        <v>1</v>
      </c>
      <c r="S2797" s="2" t="s">
        <v>27</v>
      </c>
    </row>
    <row r="2798" spans="1:19" x14ac:dyDescent="0.3">
      <c r="A2798" s="4">
        <v>2796</v>
      </c>
      <c r="B2798" s="2" t="s">
        <v>380</v>
      </c>
      <c r="C2798" s="3">
        <v>44838</v>
      </c>
      <c r="D2798" s="3" t="str">
        <f>TEXT(Table1[[#This Row],[Admission Date]],"MMMM")</f>
        <v>October</v>
      </c>
      <c r="E2798" s="3">
        <v>44838</v>
      </c>
      <c r="F2798" s="3">
        <v>44838</v>
      </c>
      <c r="G2798" s="2">
        <v>22025587</v>
      </c>
      <c r="H2798" s="2">
        <v>2234555</v>
      </c>
      <c r="I2798" s="2">
        <v>10013457170</v>
      </c>
      <c r="J2798" s="2" t="s">
        <v>1075</v>
      </c>
      <c r="K2798" s="10">
        <v>3117</v>
      </c>
      <c r="L2798" s="10">
        <v>0</v>
      </c>
      <c r="M2798" s="10">
        <v>3117</v>
      </c>
      <c r="N2798" s="10">
        <v>1843</v>
      </c>
      <c r="O2798" s="10">
        <f>Table1[[#This Row],[NET Amount]]-Table1[[#This Row],[Paid Amount]]</f>
        <v>1274</v>
      </c>
      <c r="P2798" s="2" t="s">
        <v>23</v>
      </c>
      <c r="Q2798" s="2" t="s">
        <v>54</v>
      </c>
      <c r="R2798" s="16">
        <f>(Table1[[#This Row],[NET Amount]]-Table1[[#This Row],[Total Outstanding Amount]])/Table1[[#This Row],[NET Amount]]</f>
        <v>0.5912736605710619</v>
      </c>
      <c r="S2798" s="2" t="s">
        <v>97</v>
      </c>
    </row>
    <row r="2799" spans="1:19" x14ac:dyDescent="0.3">
      <c r="A2799" s="4">
        <v>2797</v>
      </c>
      <c r="B2799" s="2" t="s">
        <v>25</v>
      </c>
      <c r="C2799" s="3">
        <v>44838</v>
      </c>
      <c r="D2799" s="3" t="str">
        <f>TEXT(Table1[[#This Row],[Admission Date]],"MMMM")</f>
        <v>October</v>
      </c>
      <c r="E2799" s="3">
        <v>44840</v>
      </c>
      <c r="F2799" s="3">
        <v>44840</v>
      </c>
      <c r="G2799" s="2">
        <v>22025828</v>
      </c>
      <c r="H2799" s="2">
        <v>2234622</v>
      </c>
      <c r="I2799" s="2">
        <v>10013541580</v>
      </c>
      <c r="J2799" s="2" t="s">
        <v>1704</v>
      </c>
      <c r="K2799" s="10">
        <v>280823</v>
      </c>
      <c r="L2799" s="10">
        <v>11610</v>
      </c>
      <c r="M2799" s="10">
        <v>269213</v>
      </c>
      <c r="N2799" s="10">
        <v>269213</v>
      </c>
      <c r="O2799" s="10">
        <f>Table1[[#This Row],[NET Amount]]-Table1[[#This Row],[Paid Amount]]</f>
        <v>0</v>
      </c>
      <c r="P2799" s="2" t="s">
        <v>18</v>
      </c>
      <c r="Q2799" s="2" t="s">
        <v>24</v>
      </c>
      <c r="R2799" s="16">
        <f>(Table1[[#This Row],[NET Amount]]-Table1[[#This Row],[Total Outstanding Amount]])/Table1[[#This Row],[NET Amount]]</f>
        <v>1</v>
      </c>
      <c r="S2799" s="2" t="s">
        <v>39</v>
      </c>
    </row>
    <row r="2800" spans="1:19" x14ac:dyDescent="0.3">
      <c r="A2800" s="4">
        <v>2798</v>
      </c>
      <c r="B2800" s="2" t="s">
        <v>25</v>
      </c>
      <c r="C2800" s="3">
        <v>44840</v>
      </c>
      <c r="D2800" s="3" t="str">
        <f>TEXT(Table1[[#This Row],[Admission Date]],"MMMM")</f>
        <v>October</v>
      </c>
      <c r="E2800" s="3">
        <v>44843</v>
      </c>
      <c r="F2800" s="3">
        <v>44843</v>
      </c>
      <c r="G2800" s="2">
        <v>22026255</v>
      </c>
      <c r="H2800" s="2">
        <v>2234907</v>
      </c>
      <c r="I2800" s="2">
        <v>1001802863</v>
      </c>
      <c r="J2800" s="2" t="s">
        <v>1705</v>
      </c>
      <c r="K2800" s="10">
        <v>21781</v>
      </c>
      <c r="L2800" s="10">
        <v>2820</v>
      </c>
      <c r="M2800" s="10">
        <v>18961</v>
      </c>
      <c r="N2800" s="10">
        <v>18961</v>
      </c>
      <c r="O2800" s="10">
        <f>Table1[[#This Row],[NET Amount]]-Table1[[#This Row],[Paid Amount]]</f>
        <v>0</v>
      </c>
      <c r="P2800" s="2" t="s">
        <v>18</v>
      </c>
      <c r="Q2800" s="2" t="s">
        <v>30</v>
      </c>
      <c r="R2800" s="16">
        <f>(Table1[[#This Row],[NET Amount]]-Table1[[#This Row],[Total Outstanding Amount]])/Table1[[#This Row],[NET Amount]]</f>
        <v>1</v>
      </c>
      <c r="S2800" s="2" t="s">
        <v>37</v>
      </c>
    </row>
    <row r="2801" spans="1:19" x14ac:dyDescent="0.3">
      <c r="A2801" s="4">
        <v>2799</v>
      </c>
      <c r="B2801" s="2" t="s">
        <v>126</v>
      </c>
      <c r="C2801" s="3">
        <v>44861</v>
      </c>
      <c r="D2801" s="3" t="str">
        <f>TEXT(Table1[[#This Row],[Admission Date]],"MMMM")</f>
        <v>October</v>
      </c>
      <c r="E2801" s="3">
        <v>44864</v>
      </c>
      <c r="F2801" s="3">
        <v>44864</v>
      </c>
      <c r="G2801" s="2">
        <v>22029203</v>
      </c>
      <c r="H2801" s="2">
        <v>2237666</v>
      </c>
      <c r="I2801" s="2">
        <v>1001806591</v>
      </c>
      <c r="J2801" s="2" t="s">
        <v>1706</v>
      </c>
      <c r="K2801" s="10">
        <v>92989</v>
      </c>
      <c r="L2801" s="10">
        <v>0</v>
      </c>
      <c r="M2801" s="10">
        <v>92989</v>
      </c>
      <c r="N2801" s="10">
        <v>23589</v>
      </c>
      <c r="O2801" s="10">
        <f>Table1[[#This Row],[NET Amount]]-Table1[[#This Row],[Paid Amount]]</f>
        <v>69400</v>
      </c>
      <c r="P2801" s="2" t="s">
        <v>23</v>
      </c>
      <c r="Q2801" s="2" t="s">
        <v>104</v>
      </c>
      <c r="R2801" s="16">
        <f>(Table1[[#This Row],[NET Amount]]-Table1[[#This Row],[Total Outstanding Amount]])/Table1[[#This Row],[NET Amount]]</f>
        <v>0.25367516587983524</v>
      </c>
      <c r="S2801" s="2" t="s">
        <v>27</v>
      </c>
    </row>
    <row r="2802" spans="1:19" x14ac:dyDescent="0.3">
      <c r="A2802" s="4">
        <v>2800</v>
      </c>
      <c r="B2802" s="2" t="s">
        <v>25</v>
      </c>
      <c r="C2802" s="3">
        <v>44856</v>
      </c>
      <c r="D2802" s="3" t="str">
        <f>TEXT(Table1[[#This Row],[Admission Date]],"MMMM")</f>
        <v>October</v>
      </c>
      <c r="E2802" s="3">
        <v>44860</v>
      </c>
      <c r="F2802" s="3">
        <v>44860</v>
      </c>
      <c r="G2802" s="2">
        <v>22028608</v>
      </c>
      <c r="H2802" s="2">
        <v>2237054</v>
      </c>
      <c r="I2802" s="2">
        <v>10013544168</v>
      </c>
      <c r="J2802" s="2" t="s">
        <v>1707</v>
      </c>
      <c r="K2802" s="10">
        <v>46464</v>
      </c>
      <c r="L2802" s="10">
        <v>46464</v>
      </c>
      <c r="M2802" s="10">
        <v>0</v>
      </c>
      <c r="N2802" s="10">
        <v>0</v>
      </c>
      <c r="O2802" s="10">
        <f>Table1[[#This Row],[NET Amount]]-Table1[[#This Row],[Paid Amount]]</f>
        <v>0</v>
      </c>
      <c r="P2802" s="2" t="s">
        <v>18</v>
      </c>
      <c r="Q2802" s="2" t="s">
        <v>90</v>
      </c>
      <c r="R2802" s="16" t="e">
        <f>(Table1[[#This Row],[NET Amount]]-Table1[[#This Row],[Total Outstanding Amount]])/Table1[[#This Row],[NET Amount]]</f>
        <v>#DIV/0!</v>
      </c>
      <c r="S2802" s="2" t="s">
        <v>20</v>
      </c>
    </row>
    <row r="2803" spans="1:19" x14ac:dyDescent="0.3">
      <c r="A2803" s="4">
        <v>2801</v>
      </c>
      <c r="B2803" s="2" t="s">
        <v>25</v>
      </c>
      <c r="C2803" s="3">
        <v>44839</v>
      </c>
      <c r="D2803" s="3" t="str">
        <f>TEXT(Table1[[#This Row],[Admission Date]],"MMMM")</f>
        <v>October</v>
      </c>
      <c r="E2803" s="3">
        <v>44842</v>
      </c>
      <c r="F2803" s="3">
        <v>44842</v>
      </c>
      <c r="G2803" s="2">
        <v>22026082</v>
      </c>
      <c r="H2803" s="2">
        <v>2234749</v>
      </c>
      <c r="I2803" s="2">
        <v>10013541644</v>
      </c>
      <c r="J2803" s="2" t="s">
        <v>1708</v>
      </c>
      <c r="K2803" s="10">
        <v>57882</v>
      </c>
      <c r="L2803" s="10">
        <v>7957</v>
      </c>
      <c r="M2803" s="10">
        <v>49925</v>
      </c>
      <c r="N2803" s="10">
        <v>49925</v>
      </c>
      <c r="O2803" s="10">
        <f>Table1[[#This Row],[NET Amount]]-Table1[[#This Row],[Paid Amount]]</f>
        <v>0</v>
      </c>
      <c r="P2803" s="2" t="s">
        <v>18</v>
      </c>
      <c r="Q2803" s="2" t="s">
        <v>24</v>
      </c>
      <c r="R2803" s="16">
        <f>(Table1[[#This Row],[NET Amount]]-Table1[[#This Row],[Total Outstanding Amount]])/Table1[[#This Row],[NET Amount]]</f>
        <v>1</v>
      </c>
      <c r="S2803" s="2" t="s">
        <v>37</v>
      </c>
    </row>
    <row r="2804" spans="1:19" x14ac:dyDescent="0.3">
      <c r="A2804" s="4">
        <v>2802</v>
      </c>
      <c r="B2804" s="2" t="s">
        <v>35</v>
      </c>
      <c r="C2804" s="3">
        <v>44835</v>
      </c>
      <c r="D2804" s="3" t="str">
        <f>TEXT(Table1[[#This Row],[Admission Date]],"MMMM")</f>
        <v>October</v>
      </c>
      <c r="E2804" s="3">
        <v>44835</v>
      </c>
      <c r="F2804" s="3">
        <v>44835</v>
      </c>
      <c r="G2804" s="2">
        <v>22025170</v>
      </c>
      <c r="H2804" s="2">
        <v>2234194</v>
      </c>
      <c r="I2804" s="2">
        <v>1001644664</v>
      </c>
      <c r="J2804" s="2" t="s">
        <v>101</v>
      </c>
      <c r="K2804" s="10">
        <v>1610</v>
      </c>
      <c r="L2804" s="10">
        <v>0</v>
      </c>
      <c r="M2804" s="10">
        <v>1610</v>
      </c>
      <c r="N2804" s="10">
        <v>1610</v>
      </c>
      <c r="O2804" s="10">
        <f>Table1[[#This Row],[NET Amount]]-Table1[[#This Row],[Paid Amount]]</f>
        <v>0</v>
      </c>
      <c r="P2804" s="2" t="s">
        <v>18</v>
      </c>
      <c r="Q2804" s="2" t="s">
        <v>54</v>
      </c>
      <c r="R2804" s="16">
        <f>(Table1[[#This Row],[NET Amount]]-Table1[[#This Row],[Total Outstanding Amount]])/Table1[[#This Row],[NET Amount]]</f>
        <v>1</v>
      </c>
      <c r="S2804" s="2" t="s">
        <v>97</v>
      </c>
    </row>
    <row r="2805" spans="1:19" x14ac:dyDescent="0.3">
      <c r="A2805" s="4">
        <v>2803</v>
      </c>
      <c r="B2805" s="2" t="s">
        <v>50</v>
      </c>
      <c r="C2805" s="3">
        <v>44854</v>
      </c>
      <c r="D2805" s="3" t="str">
        <f>TEXT(Table1[[#This Row],[Admission Date]],"MMMM")</f>
        <v>October</v>
      </c>
      <c r="E2805" s="3">
        <v>44854</v>
      </c>
      <c r="F2805" s="3">
        <v>44854</v>
      </c>
      <c r="G2805" s="2">
        <v>22027902</v>
      </c>
      <c r="H2805" s="2">
        <v>2236783</v>
      </c>
      <c r="I2805" s="2">
        <v>1001564406</v>
      </c>
      <c r="J2805" s="2" t="s">
        <v>183</v>
      </c>
      <c r="K2805" s="10">
        <v>2200</v>
      </c>
      <c r="L2805" s="10">
        <v>0</v>
      </c>
      <c r="M2805" s="10">
        <v>2200</v>
      </c>
      <c r="N2805" s="10">
        <v>330</v>
      </c>
      <c r="O2805" s="10">
        <f>Table1[[#This Row],[NET Amount]]-Table1[[#This Row],[Paid Amount]]</f>
        <v>1870</v>
      </c>
      <c r="P2805" s="2" t="s">
        <v>23</v>
      </c>
      <c r="Q2805" s="2" t="s">
        <v>147</v>
      </c>
      <c r="R2805" s="16">
        <f>(Table1[[#This Row],[NET Amount]]-Table1[[#This Row],[Total Outstanding Amount]])/Table1[[#This Row],[NET Amount]]</f>
        <v>0.15</v>
      </c>
      <c r="S2805" s="2" t="s">
        <v>97</v>
      </c>
    </row>
    <row r="2806" spans="1:19" x14ac:dyDescent="0.3">
      <c r="A2806" s="4">
        <v>2804</v>
      </c>
      <c r="B2806" s="2" t="s">
        <v>50</v>
      </c>
      <c r="C2806" s="3">
        <v>44837</v>
      </c>
      <c r="D2806" s="3" t="str">
        <f>TEXT(Table1[[#This Row],[Admission Date]],"MMMM")</f>
        <v>October</v>
      </c>
      <c r="E2806" s="3">
        <v>44837</v>
      </c>
      <c r="F2806" s="3">
        <v>44837</v>
      </c>
      <c r="G2806" s="2">
        <v>22025398</v>
      </c>
      <c r="H2806" s="2">
        <v>2234391</v>
      </c>
      <c r="I2806" s="2">
        <v>1000983811</v>
      </c>
      <c r="J2806" s="2" t="s">
        <v>564</v>
      </c>
      <c r="K2806" s="10">
        <v>2200</v>
      </c>
      <c r="L2806" s="10">
        <v>0</v>
      </c>
      <c r="M2806" s="10">
        <v>2200</v>
      </c>
      <c r="N2806" s="10">
        <v>440</v>
      </c>
      <c r="O2806" s="10">
        <f>Table1[[#This Row],[NET Amount]]-Table1[[#This Row],[Paid Amount]]</f>
        <v>1760</v>
      </c>
      <c r="P2806" s="2" t="s">
        <v>23</v>
      </c>
      <c r="Q2806" s="2" t="s">
        <v>147</v>
      </c>
      <c r="R2806" s="16">
        <f>(Table1[[#This Row],[NET Amount]]-Table1[[#This Row],[Total Outstanding Amount]])/Table1[[#This Row],[NET Amount]]</f>
        <v>0.2</v>
      </c>
      <c r="S2806" s="2" t="s">
        <v>97</v>
      </c>
    </row>
    <row r="2807" spans="1:19" x14ac:dyDescent="0.3">
      <c r="A2807" s="4">
        <v>2805</v>
      </c>
      <c r="B2807" s="2" t="s">
        <v>972</v>
      </c>
      <c r="C2807" s="3">
        <v>44838</v>
      </c>
      <c r="D2807" s="3" t="str">
        <f>TEXT(Table1[[#This Row],[Admission Date]],"MMMM")</f>
        <v>October</v>
      </c>
      <c r="E2807" s="3">
        <v>44840</v>
      </c>
      <c r="F2807" s="3">
        <v>44840</v>
      </c>
      <c r="G2807" s="2">
        <v>22025886</v>
      </c>
      <c r="H2807" s="2">
        <v>2234558</v>
      </c>
      <c r="I2807" s="2">
        <v>1001802369</v>
      </c>
      <c r="J2807" s="2" t="s">
        <v>1709</v>
      </c>
      <c r="K2807" s="10">
        <v>30080</v>
      </c>
      <c r="L2807" s="10">
        <v>4472</v>
      </c>
      <c r="M2807" s="10">
        <v>25608</v>
      </c>
      <c r="N2807" s="10">
        <v>5100</v>
      </c>
      <c r="O2807" s="10">
        <f>Table1[[#This Row],[NET Amount]]-Table1[[#This Row],[Paid Amount]]</f>
        <v>20508</v>
      </c>
      <c r="P2807" s="2" t="s">
        <v>23</v>
      </c>
      <c r="Q2807" s="2" t="s">
        <v>24</v>
      </c>
      <c r="R2807" s="16">
        <f>(Table1[[#This Row],[NET Amount]]-Table1[[#This Row],[Total Outstanding Amount]])/Table1[[#This Row],[NET Amount]]</f>
        <v>0.19915651358950329</v>
      </c>
      <c r="S2807" s="2" t="s">
        <v>20</v>
      </c>
    </row>
    <row r="2808" spans="1:19" x14ac:dyDescent="0.3">
      <c r="A2808" s="4">
        <v>2806</v>
      </c>
      <c r="B2808" s="2" t="s">
        <v>25</v>
      </c>
      <c r="C2808" s="3">
        <v>44857</v>
      </c>
      <c r="D2808" s="3" t="str">
        <f>TEXT(Table1[[#This Row],[Admission Date]],"MMMM")</f>
        <v>October</v>
      </c>
      <c r="E2808" s="3">
        <v>44860</v>
      </c>
      <c r="F2808" s="3">
        <v>44860</v>
      </c>
      <c r="G2808" s="2">
        <v>22028673</v>
      </c>
      <c r="H2808" s="2">
        <v>2237163</v>
      </c>
      <c r="I2808" s="2">
        <v>10013544229</v>
      </c>
      <c r="J2808" s="2" t="s">
        <v>1710</v>
      </c>
      <c r="K2808" s="10">
        <v>63206</v>
      </c>
      <c r="L2808" s="10">
        <v>63206</v>
      </c>
      <c r="M2808" s="10">
        <v>0</v>
      </c>
      <c r="N2808" s="10">
        <v>0</v>
      </c>
      <c r="O2808" s="10">
        <f>Table1[[#This Row],[NET Amount]]-Table1[[#This Row],[Paid Amount]]</f>
        <v>0</v>
      </c>
      <c r="P2808" s="2" t="s">
        <v>18</v>
      </c>
      <c r="Q2808" s="2" t="s">
        <v>90</v>
      </c>
      <c r="R2808" s="16" t="e">
        <f>(Table1[[#This Row],[NET Amount]]-Table1[[#This Row],[Total Outstanding Amount]])/Table1[[#This Row],[NET Amount]]</f>
        <v>#DIV/0!</v>
      </c>
      <c r="S2808" s="2" t="s">
        <v>20</v>
      </c>
    </row>
    <row r="2809" spans="1:19" x14ac:dyDescent="0.3">
      <c r="A2809" s="4">
        <v>2807</v>
      </c>
      <c r="B2809" s="2" t="s">
        <v>91</v>
      </c>
      <c r="C2809" s="3">
        <v>44850</v>
      </c>
      <c r="D2809" s="3" t="str">
        <f>TEXT(Table1[[#This Row],[Admission Date]],"MMMM")</f>
        <v>October</v>
      </c>
      <c r="E2809" s="3">
        <v>44855</v>
      </c>
      <c r="F2809" s="3">
        <v>44855</v>
      </c>
      <c r="G2809" s="2">
        <v>22027981</v>
      </c>
      <c r="H2809" s="2">
        <v>2236253</v>
      </c>
      <c r="I2809" s="2">
        <v>1001101333</v>
      </c>
      <c r="J2809" s="2" t="s">
        <v>1711</v>
      </c>
      <c r="K2809" s="10">
        <v>70838</v>
      </c>
      <c r="L2809" s="10">
        <v>748</v>
      </c>
      <c r="M2809" s="10">
        <v>70090</v>
      </c>
      <c r="N2809" s="10">
        <v>4016</v>
      </c>
      <c r="O2809" s="10">
        <f>Table1[[#This Row],[NET Amount]]-Table1[[#This Row],[Paid Amount]]</f>
        <v>66074</v>
      </c>
      <c r="P2809" s="2" t="s">
        <v>23</v>
      </c>
      <c r="Q2809" s="2" t="s">
        <v>24</v>
      </c>
      <c r="R2809" s="16">
        <f>(Table1[[#This Row],[NET Amount]]-Table1[[#This Row],[Total Outstanding Amount]])/Table1[[#This Row],[NET Amount]]</f>
        <v>5.7297760022827791E-2</v>
      </c>
      <c r="S2809" s="2" t="s">
        <v>20</v>
      </c>
    </row>
    <row r="2810" spans="1:19" x14ac:dyDescent="0.3">
      <c r="A2810" s="4">
        <v>2808</v>
      </c>
      <c r="B2810" s="2" t="s">
        <v>559</v>
      </c>
      <c r="C2810" s="3">
        <v>44833</v>
      </c>
      <c r="D2810" s="3" t="str">
        <f>TEXT(Table1[[#This Row],[Admission Date]],"MMMM")</f>
        <v>September</v>
      </c>
      <c r="E2810" s="3">
        <v>44835</v>
      </c>
      <c r="F2810" s="3">
        <v>44835</v>
      </c>
      <c r="G2810" s="2">
        <v>22025137</v>
      </c>
      <c r="H2810" s="2">
        <v>2233930</v>
      </c>
      <c r="I2810" s="2">
        <v>1001013953</v>
      </c>
      <c r="J2810" s="2" t="s">
        <v>1712</v>
      </c>
      <c r="K2810" s="10">
        <v>144159</v>
      </c>
      <c r="L2810" s="10">
        <v>0</v>
      </c>
      <c r="M2810" s="10">
        <v>144159</v>
      </c>
      <c r="N2810" s="10">
        <v>1501</v>
      </c>
      <c r="O2810" s="10">
        <f>Table1[[#This Row],[NET Amount]]-Table1[[#This Row],[Paid Amount]]</f>
        <v>142658</v>
      </c>
      <c r="P2810" s="2" t="s">
        <v>23</v>
      </c>
      <c r="Q2810" s="2" t="s">
        <v>24</v>
      </c>
      <c r="R2810" s="16">
        <f>(Table1[[#This Row],[NET Amount]]-Table1[[#This Row],[Total Outstanding Amount]])/Table1[[#This Row],[NET Amount]]</f>
        <v>1.0412114401459499E-2</v>
      </c>
      <c r="S2810" s="2" t="s">
        <v>43</v>
      </c>
    </row>
    <row r="2811" spans="1:19" x14ac:dyDescent="0.3">
      <c r="A2811" s="4">
        <v>2809</v>
      </c>
      <c r="B2811" s="2" t="s">
        <v>50</v>
      </c>
      <c r="C2811" s="3">
        <v>44861</v>
      </c>
      <c r="D2811" s="3" t="str">
        <f>TEXT(Table1[[#This Row],[Admission Date]],"MMMM")</f>
        <v>October</v>
      </c>
      <c r="E2811" s="3">
        <v>44863</v>
      </c>
      <c r="F2811" s="3">
        <v>44863</v>
      </c>
      <c r="G2811" s="2">
        <v>22029037</v>
      </c>
      <c r="H2811" s="2">
        <v>2237642</v>
      </c>
      <c r="I2811" s="2">
        <v>10013258478</v>
      </c>
      <c r="J2811" s="2" t="s">
        <v>1713</v>
      </c>
      <c r="K2811" s="10">
        <v>52500</v>
      </c>
      <c r="L2811" s="10">
        <v>0</v>
      </c>
      <c r="M2811" s="10">
        <v>52500</v>
      </c>
      <c r="N2811" s="10">
        <v>2500</v>
      </c>
      <c r="O2811" s="10">
        <f>Table1[[#This Row],[NET Amount]]-Table1[[#This Row],[Paid Amount]]</f>
        <v>50000</v>
      </c>
      <c r="P2811" s="2" t="s">
        <v>23</v>
      </c>
      <c r="Q2811" s="2" t="s">
        <v>42</v>
      </c>
      <c r="R2811" s="16">
        <f>(Table1[[#This Row],[NET Amount]]-Table1[[#This Row],[Total Outstanding Amount]])/Table1[[#This Row],[NET Amount]]</f>
        <v>4.7619047619047616E-2</v>
      </c>
      <c r="S2811" s="2" t="s">
        <v>27</v>
      </c>
    </row>
    <row r="2812" spans="1:19" x14ac:dyDescent="0.3">
      <c r="A2812" s="4">
        <v>2810</v>
      </c>
      <c r="B2812" s="2" t="s">
        <v>117</v>
      </c>
      <c r="C2812" s="3">
        <v>44846</v>
      </c>
      <c r="D2812" s="3" t="str">
        <f>TEXT(Table1[[#This Row],[Admission Date]],"MMMM")</f>
        <v>October</v>
      </c>
      <c r="E2812" s="3">
        <v>44846</v>
      </c>
      <c r="F2812" s="3">
        <v>44846</v>
      </c>
      <c r="G2812" s="2">
        <v>22026650</v>
      </c>
      <c r="H2812" s="2">
        <v>2235633</v>
      </c>
      <c r="I2812" s="2">
        <v>1000891454</v>
      </c>
      <c r="J2812" s="2" t="s">
        <v>232</v>
      </c>
      <c r="K2812" s="10">
        <v>2064</v>
      </c>
      <c r="L2812" s="10">
        <v>0</v>
      </c>
      <c r="M2812" s="10">
        <v>2064</v>
      </c>
      <c r="N2812" s="10">
        <v>2064</v>
      </c>
      <c r="O2812" s="10">
        <f>Table1[[#This Row],[NET Amount]]-Table1[[#This Row],[Paid Amount]]</f>
        <v>0</v>
      </c>
      <c r="P2812" s="2" t="s">
        <v>18</v>
      </c>
      <c r="Q2812" s="2" t="s">
        <v>54</v>
      </c>
      <c r="R2812" s="16">
        <f>(Table1[[#This Row],[NET Amount]]-Table1[[#This Row],[Total Outstanding Amount]])/Table1[[#This Row],[NET Amount]]</f>
        <v>1</v>
      </c>
      <c r="S2812" s="2" t="s">
        <v>97</v>
      </c>
    </row>
    <row r="2813" spans="1:19" x14ac:dyDescent="0.3">
      <c r="A2813" s="4">
        <v>2811</v>
      </c>
      <c r="B2813" s="2" t="s">
        <v>35</v>
      </c>
      <c r="C2813" s="3">
        <v>44846</v>
      </c>
      <c r="D2813" s="3" t="str">
        <f>TEXT(Table1[[#This Row],[Admission Date]],"MMMM")</f>
        <v>October</v>
      </c>
      <c r="E2813" s="3">
        <v>44846</v>
      </c>
      <c r="F2813" s="3">
        <v>44846</v>
      </c>
      <c r="G2813" s="2">
        <v>22026653</v>
      </c>
      <c r="H2813" s="2">
        <v>2235635</v>
      </c>
      <c r="I2813" s="2">
        <v>10013401198</v>
      </c>
      <c r="J2813" s="2" t="s">
        <v>631</v>
      </c>
      <c r="K2813" s="10">
        <v>1610</v>
      </c>
      <c r="L2813" s="10">
        <v>0</v>
      </c>
      <c r="M2813" s="10">
        <v>1610</v>
      </c>
      <c r="N2813" s="10">
        <v>1610</v>
      </c>
      <c r="O2813" s="10">
        <f>Table1[[#This Row],[NET Amount]]-Table1[[#This Row],[Paid Amount]]</f>
        <v>0</v>
      </c>
      <c r="P2813" s="2" t="s">
        <v>18</v>
      </c>
      <c r="Q2813" s="2" t="s">
        <v>54</v>
      </c>
      <c r="R2813" s="16">
        <f>(Table1[[#This Row],[NET Amount]]-Table1[[#This Row],[Total Outstanding Amount]])/Table1[[#This Row],[NET Amount]]</f>
        <v>1</v>
      </c>
      <c r="S2813" s="2" t="s">
        <v>97</v>
      </c>
    </row>
    <row r="2814" spans="1:19" x14ac:dyDescent="0.3">
      <c r="A2814" s="4">
        <v>2812</v>
      </c>
      <c r="B2814" s="2" t="s">
        <v>25</v>
      </c>
      <c r="C2814" s="3">
        <v>44834</v>
      </c>
      <c r="D2814" s="3" t="str">
        <f>TEXT(Table1[[#This Row],[Admission Date]],"MMMM")</f>
        <v>September</v>
      </c>
      <c r="E2814" s="3">
        <v>44836</v>
      </c>
      <c r="F2814" s="3">
        <v>44836</v>
      </c>
      <c r="G2814" s="2">
        <v>22025278</v>
      </c>
      <c r="H2814" s="2">
        <v>2234075</v>
      </c>
      <c r="I2814" s="2">
        <v>1001801716</v>
      </c>
      <c r="J2814" s="2" t="s">
        <v>1714</v>
      </c>
      <c r="K2814" s="10">
        <v>12792</v>
      </c>
      <c r="L2814" s="10">
        <v>1483</v>
      </c>
      <c r="M2814" s="10">
        <v>11309</v>
      </c>
      <c r="N2814" s="10">
        <v>11309</v>
      </c>
      <c r="O2814" s="10">
        <f>Table1[[#This Row],[NET Amount]]-Table1[[#This Row],[Paid Amount]]</f>
        <v>0</v>
      </c>
      <c r="P2814" s="2" t="s">
        <v>18</v>
      </c>
      <c r="Q2814" s="2" t="s">
        <v>24</v>
      </c>
      <c r="R2814" s="16">
        <f>(Table1[[#This Row],[NET Amount]]-Table1[[#This Row],[Total Outstanding Amount]])/Table1[[#This Row],[NET Amount]]</f>
        <v>1</v>
      </c>
      <c r="S2814" s="2" t="s">
        <v>37</v>
      </c>
    </row>
    <row r="2815" spans="1:19" x14ac:dyDescent="0.3">
      <c r="A2815" s="4">
        <v>2813</v>
      </c>
      <c r="B2815" s="2" t="s">
        <v>93</v>
      </c>
      <c r="C2815" s="3">
        <v>44840</v>
      </c>
      <c r="D2815" s="3" t="str">
        <f>TEXT(Table1[[#This Row],[Admission Date]],"MMMM")</f>
        <v>October</v>
      </c>
      <c r="E2815" s="3">
        <v>44843</v>
      </c>
      <c r="F2815" s="3">
        <v>44843</v>
      </c>
      <c r="G2815" s="2">
        <v>22026246</v>
      </c>
      <c r="H2815" s="2">
        <v>2234881</v>
      </c>
      <c r="I2815" s="2">
        <v>10013541338</v>
      </c>
      <c r="J2815" s="2" t="s">
        <v>444</v>
      </c>
      <c r="K2815" s="10">
        <v>142318</v>
      </c>
      <c r="L2815" s="10">
        <v>1204</v>
      </c>
      <c r="M2815" s="10">
        <v>141114</v>
      </c>
      <c r="N2815" s="10">
        <v>21139</v>
      </c>
      <c r="O2815" s="10">
        <f>Table1[[#This Row],[NET Amount]]-Table1[[#This Row],[Paid Amount]]</f>
        <v>119975</v>
      </c>
      <c r="P2815" s="2" t="s">
        <v>23</v>
      </c>
      <c r="Q2815" s="2" t="s">
        <v>52</v>
      </c>
      <c r="R2815" s="16">
        <f>(Table1[[#This Row],[NET Amount]]-Table1[[#This Row],[Total Outstanding Amount]])/Table1[[#This Row],[NET Amount]]</f>
        <v>0.14980087021840499</v>
      </c>
      <c r="S2815" s="2" t="s">
        <v>201</v>
      </c>
    </row>
    <row r="2816" spans="1:19" x14ac:dyDescent="0.3">
      <c r="A2816" s="4">
        <v>2814</v>
      </c>
      <c r="B2816" s="2" t="s">
        <v>25</v>
      </c>
      <c r="C2816" s="3">
        <v>44862</v>
      </c>
      <c r="D2816" s="3" t="str">
        <f>TEXT(Table1[[#This Row],[Admission Date]],"MMMM")</f>
        <v>October</v>
      </c>
      <c r="E2816" s="3">
        <v>44862</v>
      </c>
      <c r="F2816" s="3">
        <v>44862</v>
      </c>
      <c r="G2816" s="2">
        <v>22028965</v>
      </c>
      <c r="H2816" s="2">
        <v>2237861</v>
      </c>
      <c r="I2816" s="2">
        <v>1001202559</v>
      </c>
      <c r="J2816" s="2" t="s">
        <v>974</v>
      </c>
      <c r="K2816" s="10">
        <v>2844</v>
      </c>
      <c r="L2816" s="10">
        <v>592</v>
      </c>
      <c r="M2816" s="10">
        <v>2252</v>
      </c>
      <c r="N2816" s="10">
        <v>2252</v>
      </c>
      <c r="O2816" s="10">
        <f>Table1[[#This Row],[NET Amount]]-Table1[[#This Row],[Paid Amount]]</f>
        <v>0</v>
      </c>
      <c r="P2816" s="2" t="s">
        <v>18</v>
      </c>
      <c r="Q2816" s="2" t="s">
        <v>54</v>
      </c>
      <c r="R2816" s="16">
        <f>(Table1[[#This Row],[NET Amount]]-Table1[[#This Row],[Total Outstanding Amount]])/Table1[[#This Row],[NET Amount]]</f>
        <v>1</v>
      </c>
      <c r="S2816" s="2" t="s">
        <v>97</v>
      </c>
    </row>
    <row r="2817" spans="1:19" x14ac:dyDescent="0.3">
      <c r="A2817" s="4">
        <v>2815</v>
      </c>
      <c r="B2817" s="2" t="s">
        <v>152</v>
      </c>
      <c r="C2817" s="3">
        <v>44853</v>
      </c>
      <c r="D2817" s="3" t="str">
        <f>TEXT(Table1[[#This Row],[Admission Date]],"MMMM")</f>
        <v>October</v>
      </c>
      <c r="E2817" s="3">
        <v>44863</v>
      </c>
      <c r="F2817" s="3">
        <v>44863</v>
      </c>
      <c r="G2817" s="2">
        <v>22029028</v>
      </c>
      <c r="H2817" s="2">
        <v>2236706</v>
      </c>
      <c r="I2817" s="2">
        <v>10013422734</v>
      </c>
      <c r="J2817" s="2" t="s">
        <v>377</v>
      </c>
      <c r="K2817" s="10">
        <v>211192</v>
      </c>
      <c r="L2817" s="10">
        <v>0</v>
      </c>
      <c r="M2817" s="10">
        <v>211192</v>
      </c>
      <c r="N2817" s="10">
        <v>3739</v>
      </c>
      <c r="O2817" s="10">
        <f>Table1[[#This Row],[NET Amount]]-Table1[[#This Row],[Paid Amount]]</f>
        <v>207453</v>
      </c>
      <c r="P2817" s="2" t="s">
        <v>23</v>
      </c>
      <c r="Q2817" s="2" t="s">
        <v>19</v>
      </c>
      <c r="R2817" s="16">
        <f>(Table1[[#This Row],[NET Amount]]-Table1[[#This Row],[Total Outstanding Amount]])/Table1[[#This Row],[NET Amount]]</f>
        <v>1.7704269101102316E-2</v>
      </c>
      <c r="S2817" s="2" t="s">
        <v>20</v>
      </c>
    </row>
    <row r="2818" spans="1:19" x14ac:dyDescent="0.3">
      <c r="A2818" s="4">
        <v>2816</v>
      </c>
      <c r="B2818" s="2" t="s">
        <v>75</v>
      </c>
      <c r="C2818" s="3">
        <v>44860</v>
      </c>
      <c r="D2818" s="3" t="str">
        <f>TEXT(Table1[[#This Row],[Admission Date]],"MMMM")</f>
        <v>October</v>
      </c>
      <c r="E2818" s="3">
        <v>44863</v>
      </c>
      <c r="F2818" s="3">
        <v>44863</v>
      </c>
      <c r="G2818" s="2">
        <v>22029026</v>
      </c>
      <c r="H2818" s="2">
        <v>2237428</v>
      </c>
      <c r="I2818" s="2">
        <v>10013290851</v>
      </c>
      <c r="J2818" s="2" t="s">
        <v>1715</v>
      </c>
      <c r="K2818" s="10">
        <v>177472</v>
      </c>
      <c r="L2818" s="10">
        <v>0</v>
      </c>
      <c r="M2818" s="10">
        <v>177472</v>
      </c>
      <c r="N2818" s="10">
        <v>24420</v>
      </c>
      <c r="O2818" s="10">
        <f>Table1[[#This Row],[NET Amount]]-Table1[[#This Row],[Paid Amount]]</f>
        <v>153052</v>
      </c>
      <c r="P2818" s="2" t="s">
        <v>23</v>
      </c>
      <c r="Q2818" s="2" t="s">
        <v>24</v>
      </c>
      <c r="R2818" s="16">
        <f>(Table1[[#This Row],[NET Amount]]-Table1[[#This Row],[Total Outstanding Amount]])/Table1[[#This Row],[NET Amount]]</f>
        <v>0.13759917057338622</v>
      </c>
      <c r="S2818" s="2" t="s">
        <v>39</v>
      </c>
    </row>
    <row r="2819" spans="1:19" x14ac:dyDescent="0.3">
      <c r="A2819" s="4">
        <v>2817</v>
      </c>
      <c r="B2819" s="2" t="s">
        <v>25</v>
      </c>
      <c r="C2819" s="3">
        <v>44839</v>
      </c>
      <c r="D2819" s="3" t="str">
        <f>TEXT(Table1[[#This Row],[Admission Date]],"MMMM")</f>
        <v>October</v>
      </c>
      <c r="E2819" s="3">
        <v>44840</v>
      </c>
      <c r="F2819" s="3">
        <v>44840</v>
      </c>
      <c r="G2819" s="2">
        <v>22025815</v>
      </c>
      <c r="H2819" s="2">
        <v>2234674</v>
      </c>
      <c r="I2819" s="2">
        <v>10013519021</v>
      </c>
      <c r="J2819" s="2" t="s">
        <v>1716</v>
      </c>
      <c r="K2819" s="10">
        <v>36737</v>
      </c>
      <c r="L2819" s="10">
        <v>4924</v>
      </c>
      <c r="M2819" s="10">
        <v>31813</v>
      </c>
      <c r="N2819" s="10">
        <v>31813</v>
      </c>
      <c r="O2819" s="10">
        <f>Table1[[#This Row],[NET Amount]]-Table1[[#This Row],[Paid Amount]]</f>
        <v>0</v>
      </c>
      <c r="P2819" s="2" t="s">
        <v>18</v>
      </c>
      <c r="Q2819" s="2" t="s">
        <v>19</v>
      </c>
      <c r="R2819" s="16">
        <f>(Table1[[#This Row],[NET Amount]]-Table1[[#This Row],[Total Outstanding Amount]])/Table1[[#This Row],[NET Amount]]</f>
        <v>1</v>
      </c>
      <c r="S2819" s="2" t="s">
        <v>27</v>
      </c>
    </row>
    <row r="2820" spans="1:19" x14ac:dyDescent="0.3">
      <c r="A2820" s="4">
        <v>2818</v>
      </c>
      <c r="B2820" s="2" t="s">
        <v>25</v>
      </c>
      <c r="C2820" s="3">
        <v>44839</v>
      </c>
      <c r="D2820" s="3" t="str">
        <f>TEXT(Table1[[#This Row],[Admission Date]],"MMMM")</f>
        <v>October</v>
      </c>
      <c r="E2820" s="3">
        <v>44840</v>
      </c>
      <c r="F2820" s="3">
        <v>44840</v>
      </c>
      <c r="G2820" s="2">
        <v>22025803</v>
      </c>
      <c r="H2820" s="2">
        <v>2234678</v>
      </c>
      <c r="I2820" s="2">
        <v>1001802533</v>
      </c>
      <c r="J2820" s="2" t="s">
        <v>1717</v>
      </c>
      <c r="K2820" s="10">
        <v>46951</v>
      </c>
      <c r="L2820" s="10">
        <v>6228</v>
      </c>
      <c r="M2820" s="10">
        <v>40723</v>
      </c>
      <c r="N2820" s="10">
        <v>40723</v>
      </c>
      <c r="O2820" s="10">
        <f>Table1[[#This Row],[NET Amount]]-Table1[[#This Row],[Paid Amount]]</f>
        <v>0</v>
      </c>
      <c r="P2820" s="2" t="s">
        <v>18</v>
      </c>
      <c r="Q2820" s="2" t="s">
        <v>104</v>
      </c>
      <c r="R2820" s="16">
        <f>(Table1[[#This Row],[NET Amount]]-Table1[[#This Row],[Total Outstanding Amount]])/Table1[[#This Row],[NET Amount]]</f>
        <v>1</v>
      </c>
      <c r="S2820" s="2" t="s">
        <v>27</v>
      </c>
    </row>
    <row r="2821" spans="1:19" x14ac:dyDescent="0.3">
      <c r="A2821" s="4">
        <v>2819</v>
      </c>
      <c r="B2821" s="2" t="s">
        <v>25</v>
      </c>
      <c r="C2821" s="3">
        <v>44839</v>
      </c>
      <c r="D2821" s="3" t="str">
        <f>TEXT(Table1[[#This Row],[Admission Date]],"MMMM")</f>
        <v>October</v>
      </c>
      <c r="E2821" s="3">
        <v>44840</v>
      </c>
      <c r="F2821" s="3">
        <v>44840</v>
      </c>
      <c r="G2821" s="2">
        <v>22025883</v>
      </c>
      <c r="H2821" s="2">
        <v>2234705</v>
      </c>
      <c r="I2821" s="2">
        <v>1001802542</v>
      </c>
      <c r="J2821" s="2" t="s">
        <v>1718</v>
      </c>
      <c r="K2821" s="10">
        <v>7115</v>
      </c>
      <c r="L2821" s="10">
        <v>791</v>
      </c>
      <c r="M2821" s="10">
        <v>6324</v>
      </c>
      <c r="N2821" s="10">
        <v>6324</v>
      </c>
      <c r="O2821" s="10">
        <f>Table1[[#This Row],[NET Amount]]-Table1[[#This Row],[Paid Amount]]</f>
        <v>0</v>
      </c>
      <c r="P2821" s="2" t="s">
        <v>18</v>
      </c>
      <c r="Q2821" s="2" t="s">
        <v>19</v>
      </c>
      <c r="R2821" s="16">
        <f>(Table1[[#This Row],[NET Amount]]-Table1[[#This Row],[Total Outstanding Amount]])/Table1[[#This Row],[NET Amount]]</f>
        <v>1</v>
      </c>
      <c r="S2821" s="2" t="s">
        <v>37</v>
      </c>
    </row>
    <row r="2822" spans="1:19" x14ac:dyDescent="0.3">
      <c r="A2822" s="4">
        <v>2820</v>
      </c>
      <c r="B2822" s="2" t="s">
        <v>259</v>
      </c>
      <c r="C2822" s="3">
        <v>44843</v>
      </c>
      <c r="D2822" s="3" t="str">
        <f>TEXT(Table1[[#This Row],[Admission Date]],"MMMM")</f>
        <v>October</v>
      </c>
      <c r="E2822" s="3">
        <v>44846</v>
      </c>
      <c r="F2822" s="3">
        <v>44846</v>
      </c>
      <c r="G2822" s="2">
        <v>22026694</v>
      </c>
      <c r="H2822" s="2">
        <v>2235259</v>
      </c>
      <c r="I2822" s="2">
        <v>10013542261</v>
      </c>
      <c r="J2822" s="2" t="s">
        <v>1214</v>
      </c>
      <c r="K2822" s="10">
        <v>88181</v>
      </c>
      <c r="L2822" s="10">
        <v>11123</v>
      </c>
      <c r="M2822" s="10">
        <v>77058</v>
      </c>
      <c r="N2822" s="10">
        <v>2126</v>
      </c>
      <c r="O2822" s="10">
        <f>Table1[[#This Row],[NET Amount]]-Table1[[#This Row],[Paid Amount]]</f>
        <v>74932</v>
      </c>
      <c r="P2822" s="2" t="s">
        <v>23</v>
      </c>
      <c r="Q2822" s="2" t="s">
        <v>24</v>
      </c>
      <c r="R2822" s="16">
        <f>(Table1[[#This Row],[NET Amount]]-Table1[[#This Row],[Total Outstanding Amount]])/Table1[[#This Row],[NET Amount]]</f>
        <v>2.7589607827869917E-2</v>
      </c>
      <c r="S2822" s="2" t="s">
        <v>20</v>
      </c>
    </row>
    <row r="2823" spans="1:19" x14ac:dyDescent="0.3">
      <c r="A2823" s="4">
        <v>2821</v>
      </c>
      <c r="B2823" s="2" t="s">
        <v>152</v>
      </c>
      <c r="C2823" s="3">
        <v>44835</v>
      </c>
      <c r="D2823" s="3" t="str">
        <f>TEXT(Table1[[#This Row],[Admission Date]],"MMMM")</f>
        <v>October</v>
      </c>
      <c r="E2823" s="3">
        <v>44845</v>
      </c>
      <c r="F2823" s="3">
        <v>44845</v>
      </c>
      <c r="G2823" s="2">
        <v>22026600</v>
      </c>
      <c r="H2823" s="2">
        <v>2234289</v>
      </c>
      <c r="I2823" s="2">
        <v>1000930918</v>
      </c>
      <c r="J2823" s="2" t="s">
        <v>1719</v>
      </c>
      <c r="K2823" s="10">
        <v>177704</v>
      </c>
      <c r="L2823" s="10">
        <v>0</v>
      </c>
      <c r="M2823" s="10">
        <v>177704</v>
      </c>
      <c r="N2823" s="10">
        <v>6582</v>
      </c>
      <c r="O2823" s="10">
        <f>Table1[[#This Row],[NET Amount]]-Table1[[#This Row],[Paid Amount]]</f>
        <v>171122</v>
      </c>
      <c r="P2823" s="2" t="s">
        <v>23</v>
      </c>
      <c r="Q2823" s="2" t="s">
        <v>19</v>
      </c>
      <c r="R2823" s="16">
        <f>(Table1[[#This Row],[NET Amount]]-Table1[[#This Row],[Total Outstanding Amount]])/Table1[[#This Row],[NET Amount]]</f>
        <v>3.7039121235312653E-2</v>
      </c>
      <c r="S2823" s="2" t="s">
        <v>20</v>
      </c>
    </row>
    <row r="2824" spans="1:19" x14ac:dyDescent="0.3">
      <c r="A2824" s="4">
        <v>2822</v>
      </c>
      <c r="B2824" s="2" t="s">
        <v>25</v>
      </c>
      <c r="C2824" s="3">
        <v>44832</v>
      </c>
      <c r="D2824" s="3" t="str">
        <f>TEXT(Table1[[#This Row],[Admission Date]],"MMMM")</f>
        <v>September</v>
      </c>
      <c r="E2824" s="3">
        <v>44836</v>
      </c>
      <c r="F2824" s="3">
        <v>44836</v>
      </c>
      <c r="G2824" s="2">
        <v>22025279</v>
      </c>
      <c r="H2824" s="2">
        <v>2233741</v>
      </c>
      <c r="I2824" s="2">
        <v>10013535096</v>
      </c>
      <c r="J2824" s="2" t="s">
        <v>1720</v>
      </c>
      <c r="K2824" s="10">
        <v>65166</v>
      </c>
      <c r="L2824" s="10">
        <v>12341</v>
      </c>
      <c r="M2824" s="10">
        <v>52824</v>
      </c>
      <c r="N2824" s="10">
        <v>52824</v>
      </c>
      <c r="O2824" s="10">
        <f>Table1[[#This Row],[NET Amount]]-Table1[[#This Row],[Paid Amount]]</f>
        <v>0</v>
      </c>
      <c r="P2824" s="2" t="s">
        <v>18</v>
      </c>
      <c r="Q2824" s="2" t="s">
        <v>24</v>
      </c>
      <c r="R2824" s="16">
        <f>(Table1[[#This Row],[NET Amount]]-Table1[[#This Row],[Total Outstanding Amount]])/Table1[[#This Row],[NET Amount]]</f>
        <v>1</v>
      </c>
      <c r="S2824" s="2" t="s">
        <v>20</v>
      </c>
    </row>
    <row r="2825" spans="1:19" x14ac:dyDescent="0.3">
      <c r="A2825" s="4">
        <v>2823</v>
      </c>
      <c r="B2825" s="2" t="s">
        <v>25</v>
      </c>
      <c r="C2825" s="3">
        <v>44832</v>
      </c>
      <c r="D2825" s="3" t="str">
        <f>TEXT(Table1[[#This Row],[Admission Date]],"MMMM")</f>
        <v>September</v>
      </c>
      <c r="E2825" s="3">
        <v>44836</v>
      </c>
      <c r="F2825" s="3">
        <v>44836</v>
      </c>
      <c r="G2825" s="2">
        <v>22025267</v>
      </c>
      <c r="H2825" s="2">
        <v>2233751</v>
      </c>
      <c r="I2825" s="2">
        <v>10013540591</v>
      </c>
      <c r="J2825" s="2" t="s">
        <v>1721</v>
      </c>
      <c r="K2825" s="10">
        <v>78638</v>
      </c>
      <c r="L2825" s="10">
        <v>10970</v>
      </c>
      <c r="M2825" s="10">
        <v>67668</v>
      </c>
      <c r="N2825" s="10">
        <v>67668</v>
      </c>
      <c r="O2825" s="10">
        <f>Table1[[#This Row],[NET Amount]]-Table1[[#This Row],[Paid Amount]]</f>
        <v>0</v>
      </c>
      <c r="P2825" s="2" t="s">
        <v>18</v>
      </c>
      <c r="Q2825" s="2" t="s">
        <v>24</v>
      </c>
      <c r="R2825" s="16">
        <f>(Table1[[#This Row],[NET Amount]]-Table1[[#This Row],[Total Outstanding Amount]])/Table1[[#This Row],[NET Amount]]</f>
        <v>1</v>
      </c>
      <c r="S2825" s="2" t="s">
        <v>37</v>
      </c>
    </row>
    <row r="2826" spans="1:19" x14ac:dyDescent="0.3">
      <c r="A2826" s="4">
        <v>2824</v>
      </c>
      <c r="B2826" s="2" t="s">
        <v>155</v>
      </c>
      <c r="C2826" s="3">
        <v>44837</v>
      </c>
      <c r="D2826" s="3" t="str">
        <f>TEXT(Table1[[#This Row],[Admission Date]],"MMMM")</f>
        <v>October</v>
      </c>
      <c r="E2826" s="3">
        <v>44837</v>
      </c>
      <c r="F2826" s="3">
        <v>44837</v>
      </c>
      <c r="G2826" s="2">
        <v>22025328</v>
      </c>
      <c r="H2826" s="2">
        <v>2234356</v>
      </c>
      <c r="I2826" s="2">
        <v>10013386841</v>
      </c>
      <c r="J2826" s="2" t="s">
        <v>629</v>
      </c>
      <c r="K2826" s="10">
        <v>1610</v>
      </c>
      <c r="L2826" s="10">
        <v>0</v>
      </c>
      <c r="M2826" s="10">
        <v>1610</v>
      </c>
      <c r="N2826" s="10">
        <v>1610</v>
      </c>
      <c r="O2826" s="10">
        <f>Table1[[#This Row],[NET Amount]]-Table1[[#This Row],[Paid Amount]]</f>
        <v>0</v>
      </c>
      <c r="P2826" s="2" t="s">
        <v>18</v>
      </c>
      <c r="Q2826" s="2" t="s">
        <v>54</v>
      </c>
      <c r="R2826" s="16">
        <f>(Table1[[#This Row],[NET Amount]]-Table1[[#This Row],[Total Outstanding Amount]])/Table1[[#This Row],[NET Amount]]</f>
        <v>1</v>
      </c>
      <c r="S2826" s="2" t="s">
        <v>97</v>
      </c>
    </row>
    <row r="2827" spans="1:19" x14ac:dyDescent="0.3">
      <c r="A2827" s="4">
        <v>2825</v>
      </c>
      <c r="B2827" s="2" t="s">
        <v>25</v>
      </c>
      <c r="C2827" s="3">
        <v>44837</v>
      </c>
      <c r="D2827" s="3" t="str">
        <f>TEXT(Table1[[#This Row],[Admission Date]],"MMMM")</f>
        <v>October</v>
      </c>
      <c r="E2827" s="3">
        <v>44837</v>
      </c>
      <c r="F2827" s="3">
        <v>44837</v>
      </c>
      <c r="G2827" s="2">
        <v>22025332</v>
      </c>
      <c r="H2827" s="2">
        <v>2234350</v>
      </c>
      <c r="I2827" s="2">
        <v>10013484177</v>
      </c>
      <c r="J2827" s="2" t="s">
        <v>174</v>
      </c>
      <c r="K2827" s="10">
        <v>3821</v>
      </c>
      <c r="L2827" s="10">
        <v>317</v>
      </c>
      <c r="M2827" s="10">
        <v>3504</v>
      </c>
      <c r="N2827" s="10">
        <v>3504</v>
      </c>
      <c r="O2827" s="10">
        <f>Table1[[#This Row],[NET Amount]]-Table1[[#This Row],[Paid Amount]]</f>
        <v>0</v>
      </c>
      <c r="P2827" s="2" t="s">
        <v>18</v>
      </c>
      <c r="Q2827" s="2" t="s">
        <v>54</v>
      </c>
      <c r="R2827" s="16">
        <f>(Table1[[#This Row],[NET Amount]]-Table1[[#This Row],[Total Outstanding Amount]])/Table1[[#This Row],[NET Amount]]</f>
        <v>1</v>
      </c>
      <c r="S2827" s="2" t="s">
        <v>97</v>
      </c>
    </row>
    <row r="2828" spans="1:19" x14ac:dyDescent="0.3">
      <c r="A2828" s="4">
        <v>2826</v>
      </c>
      <c r="B2828" s="2" t="s">
        <v>25</v>
      </c>
      <c r="C2828" s="3">
        <v>44843</v>
      </c>
      <c r="D2828" s="3" t="str">
        <f>TEXT(Table1[[#This Row],[Admission Date]],"MMMM")</f>
        <v>October</v>
      </c>
      <c r="E2828" s="3">
        <v>44849</v>
      </c>
      <c r="F2828" s="3">
        <v>44849</v>
      </c>
      <c r="G2828" s="2">
        <v>22027254</v>
      </c>
      <c r="H2828" s="2">
        <v>2235293</v>
      </c>
      <c r="I2828" s="2">
        <v>10013542283</v>
      </c>
      <c r="J2828" s="2" t="s">
        <v>1722</v>
      </c>
      <c r="K2828" s="10">
        <v>232293</v>
      </c>
      <c r="L2828" s="10">
        <v>82808</v>
      </c>
      <c r="M2828" s="10">
        <v>149485</v>
      </c>
      <c r="N2828" s="10">
        <v>149485</v>
      </c>
      <c r="O2828" s="10">
        <f>Table1[[#This Row],[NET Amount]]-Table1[[#This Row],[Paid Amount]]</f>
        <v>0</v>
      </c>
      <c r="P2828" s="2" t="s">
        <v>18</v>
      </c>
      <c r="Q2828" s="2" t="s">
        <v>225</v>
      </c>
      <c r="R2828" s="16">
        <f>(Table1[[#This Row],[NET Amount]]-Table1[[#This Row],[Total Outstanding Amount]])/Table1[[#This Row],[NET Amount]]</f>
        <v>1</v>
      </c>
      <c r="S2828" s="2" t="s">
        <v>20</v>
      </c>
    </row>
    <row r="2829" spans="1:19" x14ac:dyDescent="0.3">
      <c r="A2829" s="4">
        <v>2827</v>
      </c>
      <c r="B2829" s="2" t="s">
        <v>149</v>
      </c>
      <c r="C2829" s="3">
        <v>44838</v>
      </c>
      <c r="D2829" s="3" t="str">
        <f>TEXT(Table1[[#This Row],[Admission Date]],"MMMM")</f>
        <v>October</v>
      </c>
      <c r="E2829" s="3">
        <v>44843</v>
      </c>
      <c r="F2829" s="3">
        <v>44843</v>
      </c>
      <c r="G2829" s="2">
        <v>22026263</v>
      </c>
      <c r="H2829" s="2">
        <v>2234540</v>
      </c>
      <c r="I2829" s="2">
        <v>1001802372</v>
      </c>
      <c r="J2829" s="2" t="s">
        <v>1723</v>
      </c>
      <c r="K2829" s="10">
        <v>126918</v>
      </c>
      <c r="L2829" s="10">
        <v>0</v>
      </c>
      <c r="M2829" s="10">
        <v>126918</v>
      </c>
      <c r="N2829" s="10">
        <v>0</v>
      </c>
      <c r="O2829" s="10">
        <f>Table1[[#This Row],[NET Amount]]-Table1[[#This Row],[Paid Amount]]</f>
        <v>126918</v>
      </c>
      <c r="P2829" s="2" t="s">
        <v>23</v>
      </c>
      <c r="Q2829" s="2" t="s">
        <v>24</v>
      </c>
      <c r="R2829" s="16">
        <f>(Table1[[#This Row],[NET Amount]]-Table1[[#This Row],[Total Outstanding Amount]])/Table1[[#This Row],[NET Amount]]</f>
        <v>0</v>
      </c>
      <c r="S2829" s="2" t="s">
        <v>20</v>
      </c>
    </row>
    <row r="2830" spans="1:19" x14ac:dyDescent="0.3">
      <c r="A2830" s="4">
        <v>2828</v>
      </c>
      <c r="B2830" s="2" t="s">
        <v>72</v>
      </c>
      <c r="C2830" s="3">
        <v>44844</v>
      </c>
      <c r="D2830" s="3" t="str">
        <f>TEXT(Table1[[#This Row],[Admission Date]],"MMMM")</f>
        <v>October</v>
      </c>
      <c r="E2830" s="3">
        <v>44846</v>
      </c>
      <c r="F2830" s="3">
        <v>44846</v>
      </c>
      <c r="G2830" s="2">
        <v>22026709</v>
      </c>
      <c r="H2830" s="2">
        <v>2235321</v>
      </c>
      <c r="I2830" s="2">
        <v>10013451934</v>
      </c>
      <c r="J2830" s="2" t="s">
        <v>1724</v>
      </c>
      <c r="K2830" s="10">
        <v>70450</v>
      </c>
      <c r="L2830" s="10">
        <v>0</v>
      </c>
      <c r="M2830" s="10">
        <v>70450</v>
      </c>
      <c r="N2830" s="10">
        <v>15290</v>
      </c>
      <c r="O2830" s="10">
        <f>Table1[[#This Row],[NET Amount]]-Table1[[#This Row],[Paid Amount]]</f>
        <v>55160</v>
      </c>
      <c r="P2830" s="2" t="s">
        <v>23</v>
      </c>
      <c r="Q2830" s="2" t="s">
        <v>30</v>
      </c>
      <c r="R2830" s="16">
        <f>(Table1[[#This Row],[NET Amount]]-Table1[[#This Row],[Total Outstanding Amount]])/Table1[[#This Row],[NET Amount]]</f>
        <v>0.21703335699077358</v>
      </c>
      <c r="S2830" s="2" t="s">
        <v>27</v>
      </c>
    </row>
    <row r="2831" spans="1:19" x14ac:dyDescent="0.3">
      <c r="A2831" s="4">
        <v>2829</v>
      </c>
      <c r="B2831" s="2" t="s">
        <v>152</v>
      </c>
      <c r="C2831" s="3">
        <v>44837</v>
      </c>
      <c r="D2831" s="3" t="str">
        <f>TEXT(Table1[[#This Row],[Admission Date]],"MMMM")</f>
        <v>October</v>
      </c>
      <c r="E2831" s="3">
        <v>44840</v>
      </c>
      <c r="F2831" s="3">
        <v>44840</v>
      </c>
      <c r="G2831" s="2">
        <v>22025847</v>
      </c>
      <c r="H2831" s="2">
        <v>2234398</v>
      </c>
      <c r="I2831" s="2">
        <v>1001277122</v>
      </c>
      <c r="J2831" s="2" t="s">
        <v>1725</v>
      </c>
      <c r="K2831" s="10">
        <v>76026</v>
      </c>
      <c r="L2831" s="10">
        <v>0</v>
      </c>
      <c r="M2831" s="10">
        <v>76026</v>
      </c>
      <c r="N2831" s="10">
        <v>76026</v>
      </c>
      <c r="O2831" s="10">
        <f>Table1[[#This Row],[NET Amount]]-Table1[[#This Row],[Paid Amount]]</f>
        <v>0</v>
      </c>
      <c r="P2831" s="2" t="s">
        <v>18</v>
      </c>
      <c r="Q2831" s="2" t="s">
        <v>19</v>
      </c>
      <c r="R2831" s="16">
        <f>(Table1[[#This Row],[NET Amount]]-Table1[[#This Row],[Total Outstanding Amount]])/Table1[[#This Row],[NET Amount]]</f>
        <v>1</v>
      </c>
      <c r="S2831" s="2" t="s">
        <v>95</v>
      </c>
    </row>
    <row r="2832" spans="1:19" x14ac:dyDescent="0.3">
      <c r="A2832" s="4">
        <v>2830</v>
      </c>
      <c r="B2832" s="2" t="s">
        <v>126</v>
      </c>
      <c r="C2832" s="3">
        <v>44841</v>
      </c>
      <c r="D2832" s="3" t="str">
        <f>TEXT(Table1[[#This Row],[Admission Date]],"MMMM")</f>
        <v>October</v>
      </c>
      <c r="E2832" s="3">
        <v>44846</v>
      </c>
      <c r="F2832" s="3">
        <v>44846</v>
      </c>
      <c r="G2832" s="2">
        <v>22026687</v>
      </c>
      <c r="H2832" s="2">
        <v>2235105</v>
      </c>
      <c r="I2832" s="2">
        <v>10013542091</v>
      </c>
      <c r="J2832" s="2" t="s">
        <v>1726</v>
      </c>
      <c r="K2832" s="10">
        <v>115688</v>
      </c>
      <c r="L2832" s="10">
        <v>15014</v>
      </c>
      <c r="M2832" s="10">
        <v>100674</v>
      </c>
      <c r="N2832" s="10">
        <v>6956</v>
      </c>
      <c r="O2832" s="10">
        <f>Table1[[#This Row],[NET Amount]]-Table1[[#This Row],[Paid Amount]]</f>
        <v>93718</v>
      </c>
      <c r="P2832" s="2" t="s">
        <v>23</v>
      </c>
      <c r="Q2832" s="2" t="s">
        <v>24</v>
      </c>
      <c r="R2832" s="16">
        <f>(Table1[[#This Row],[NET Amount]]-Table1[[#This Row],[Total Outstanding Amount]])/Table1[[#This Row],[NET Amount]]</f>
        <v>6.909430438842204E-2</v>
      </c>
      <c r="S2832" s="2" t="s">
        <v>20</v>
      </c>
    </row>
    <row r="2833" spans="1:19" x14ac:dyDescent="0.3">
      <c r="A2833" s="4">
        <v>2831</v>
      </c>
      <c r="B2833" s="2" t="s">
        <v>259</v>
      </c>
      <c r="C2833" s="3">
        <v>44842</v>
      </c>
      <c r="D2833" s="3" t="str">
        <f>TEXT(Table1[[#This Row],[Admission Date]],"MMMM")</f>
        <v>October</v>
      </c>
      <c r="E2833" s="3">
        <v>44844</v>
      </c>
      <c r="F2833" s="3">
        <v>44844</v>
      </c>
      <c r="G2833" s="2">
        <v>22026443</v>
      </c>
      <c r="H2833" s="2">
        <v>2235111</v>
      </c>
      <c r="I2833" s="2">
        <v>10013315444</v>
      </c>
      <c r="J2833" s="2" t="s">
        <v>1727</v>
      </c>
      <c r="K2833" s="10">
        <v>108477</v>
      </c>
      <c r="L2833" s="10">
        <v>0</v>
      </c>
      <c r="M2833" s="10">
        <v>108477</v>
      </c>
      <c r="N2833" s="10">
        <v>1500</v>
      </c>
      <c r="O2833" s="10">
        <f>Table1[[#This Row],[NET Amount]]-Table1[[#This Row],[Paid Amount]]</f>
        <v>106977</v>
      </c>
      <c r="P2833" s="2" t="s">
        <v>23</v>
      </c>
      <c r="Q2833" s="2" t="s">
        <v>24</v>
      </c>
      <c r="R2833" s="16">
        <f>(Table1[[#This Row],[NET Amount]]-Table1[[#This Row],[Total Outstanding Amount]])/Table1[[#This Row],[NET Amount]]</f>
        <v>1.3827816034735475E-2</v>
      </c>
      <c r="S2833" s="2" t="s">
        <v>201</v>
      </c>
    </row>
    <row r="2834" spans="1:19" x14ac:dyDescent="0.3">
      <c r="A2834" s="4">
        <v>2832</v>
      </c>
      <c r="B2834" s="2" t="s">
        <v>168</v>
      </c>
      <c r="C2834" s="3">
        <v>44842</v>
      </c>
      <c r="D2834" s="3" t="str">
        <f>TEXT(Table1[[#This Row],[Admission Date]],"MMMM")</f>
        <v>October</v>
      </c>
      <c r="E2834" s="3">
        <v>44855</v>
      </c>
      <c r="F2834" s="3">
        <v>44855</v>
      </c>
      <c r="G2834" s="2">
        <v>22028004</v>
      </c>
      <c r="H2834" s="2">
        <v>2235114</v>
      </c>
      <c r="I2834" s="2">
        <v>10013542110</v>
      </c>
      <c r="J2834" s="2" t="s">
        <v>1728</v>
      </c>
      <c r="K2834" s="10">
        <v>584251</v>
      </c>
      <c r="L2834" s="10">
        <v>74654</v>
      </c>
      <c r="M2834" s="10">
        <v>509597</v>
      </c>
      <c r="N2834" s="10">
        <v>34500</v>
      </c>
      <c r="O2834" s="10">
        <f>Table1[[#This Row],[NET Amount]]-Table1[[#This Row],[Paid Amount]]</f>
        <v>475097</v>
      </c>
      <c r="P2834" s="2" t="s">
        <v>23</v>
      </c>
      <c r="Q2834" s="2" t="s">
        <v>42</v>
      </c>
      <c r="R2834" s="16">
        <f>(Table1[[#This Row],[NET Amount]]-Table1[[#This Row],[Total Outstanding Amount]])/Table1[[#This Row],[NET Amount]]</f>
        <v>6.7700555537022394E-2</v>
      </c>
      <c r="S2834" s="2" t="s">
        <v>32</v>
      </c>
    </row>
    <row r="2835" spans="1:19" x14ac:dyDescent="0.3">
      <c r="A2835" s="4">
        <v>2833</v>
      </c>
      <c r="B2835" s="2" t="s">
        <v>25</v>
      </c>
      <c r="C2835" s="3">
        <v>44837</v>
      </c>
      <c r="D2835" s="3" t="str">
        <f>TEXT(Table1[[#This Row],[Admission Date]],"MMMM")</f>
        <v>October</v>
      </c>
      <c r="E2835" s="3">
        <v>44837</v>
      </c>
      <c r="F2835" s="3">
        <v>44837</v>
      </c>
      <c r="G2835" s="2">
        <v>22025358</v>
      </c>
      <c r="H2835" s="2">
        <v>2234338</v>
      </c>
      <c r="I2835" s="2">
        <v>10013541256</v>
      </c>
      <c r="J2835" s="2" t="s">
        <v>1729</v>
      </c>
      <c r="K2835" s="10">
        <v>27803</v>
      </c>
      <c r="L2835" s="10">
        <v>3455</v>
      </c>
      <c r="M2835" s="10">
        <v>24348</v>
      </c>
      <c r="N2835" s="10">
        <v>24348</v>
      </c>
      <c r="O2835" s="10">
        <f>Table1[[#This Row],[NET Amount]]-Table1[[#This Row],[Paid Amount]]</f>
        <v>0</v>
      </c>
      <c r="P2835" s="2" t="s">
        <v>18</v>
      </c>
      <c r="Q2835" s="2" t="s">
        <v>24</v>
      </c>
      <c r="R2835" s="16">
        <f>(Table1[[#This Row],[NET Amount]]-Table1[[#This Row],[Total Outstanding Amount]])/Table1[[#This Row],[NET Amount]]</f>
        <v>1</v>
      </c>
      <c r="S2835" s="2" t="s">
        <v>27</v>
      </c>
    </row>
    <row r="2836" spans="1:19" x14ac:dyDescent="0.3">
      <c r="A2836" s="4">
        <v>2834</v>
      </c>
      <c r="B2836" s="2" t="s">
        <v>35</v>
      </c>
      <c r="C2836" s="3">
        <v>44831</v>
      </c>
      <c r="D2836" s="3" t="str">
        <f>TEXT(Table1[[#This Row],[Admission Date]],"MMMM")</f>
        <v>September</v>
      </c>
      <c r="E2836" s="3">
        <v>44837</v>
      </c>
      <c r="F2836" s="3">
        <v>44837</v>
      </c>
      <c r="G2836" s="2">
        <v>22025389</v>
      </c>
      <c r="H2836" s="2">
        <v>2233576</v>
      </c>
      <c r="I2836" s="2">
        <v>1001327770</v>
      </c>
      <c r="J2836" s="2" t="s">
        <v>1730</v>
      </c>
      <c r="K2836" s="10">
        <v>88818</v>
      </c>
      <c r="L2836" s="10">
        <v>0</v>
      </c>
      <c r="M2836" s="10">
        <v>88818</v>
      </c>
      <c r="N2836" s="10">
        <v>88818</v>
      </c>
      <c r="O2836" s="10">
        <f>Table1[[#This Row],[NET Amount]]-Table1[[#This Row],[Paid Amount]]</f>
        <v>0</v>
      </c>
      <c r="P2836" s="2" t="s">
        <v>18</v>
      </c>
      <c r="Q2836" s="2" t="s">
        <v>30</v>
      </c>
      <c r="R2836" s="16">
        <f>(Table1[[#This Row],[NET Amount]]-Table1[[#This Row],[Total Outstanding Amount]])/Table1[[#This Row],[NET Amount]]</f>
        <v>1</v>
      </c>
      <c r="S2836" s="2" t="s">
        <v>20</v>
      </c>
    </row>
    <row r="2837" spans="1:19" x14ac:dyDescent="0.3">
      <c r="A2837" s="4">
        <v>2835</v>
      </c>
      <c r="B2837" s="2" t="s">
        <v>25</v>
      </c>
      <c r="C2837" s="3">
        <v>44853</v>
      </c>
      <c r="D2837" s="3" t="str">
        <f>TEXT(Table1[[#This Row],[Admission Date]],"MMMM")</f>
        <v>October</v>
      </c>
      <c r="E2837" s="3">
        <v>44857</v>
      </c>
      <c r="F2837" s="3">
        <v>44857</v>
      </c>
      <c r="G2837" s="2">
        <v>22028304</v>
      </c>
      <c r="H2837" s="2">
        <v>2236568</v>
      </c>
      <c r="I2837" s="2">
        <v>10013543656</v>
      </c>
      <c r="J2837" s="2" t="s">
        <v>1731</v>
      </c>
      <c r="K2837" s="10">
        <v>224552</v>
      </c>
      <c r="L2837" s="10">
        <v>22464</v>
      </c>
      <c r="M2837" s="10">
        <v>202088</v>
      </c>
      <c r="N2837" s="10">
        <v>28956</v>
      </c>
      <c r="O2837" s="10">
        <f>Table1[[#This Row],[NET Amount]]-Table1[[#This Row],[Paid Amount]]</f>
        <v>173132</v>
      </c>
      <c r="P2837" s="2" t="s">
        <v>23</v>
      </c>
      <c r="Q2837" s="2" t="s">
        <v>24</v>
      </c>
      <c r="R2837" s="16">
        <f>(Table1[[#This Row],[NET Amount]]-Table1[[#This Row],[Total Outstanding Amount]])/Table1[[#This Row],[NET Amount]]</f>
        <v>0.14328411385139148</v>
      </c>
      <c r="S2837" s="2" t="s">
        <v>20</v>
      </c>
    </row>
    <row r="2838" spans="1:19" x14ac:dyDescent="0.3">
      <c r="A2838" s="4">
        <v>2836</v>
      </c>
      <c r="B2838" s="2" t="s">
        <v>2253</v>
      </c>
      <c r="C2838" s="3">
        <v>44841</v>
      </c>
      <c r="D2838" s="3" t="str">
        <f>TEXT(Table1[[#This Row],[Admission Date]],"MMMM")</f>
        <v>October</v>
      </c>
      <c r="E2838" s="3">
        <v>44847</v>
      </c>
      <c r="F2838" s="3">
        <v>44847</v>
      </c>
      <c r="G2838" s="2">
        <v>22026884</v>
      </c>
      <c r="H2838" s="2">
        <v>2235081</v>
      </c>
      <c r="I2838" s="2">
        <v>1001803126</v>
      </c>
      <c r="J2838" s="2" t="s">
        <v>1732</v>
      </c>
      <c r="K2838" s="10">
        <v>30677</v>
      </c>
      <c r="L2838" s="10">
        <v>0</v>
      </c>
      <c r="M2838" s="10">
        <v>30677</v>
      </c>
      <c r="N2838" s="10">
        <v>1622</v>
      </c>
      <c r="O2838" s="10">
        <f>Table1[[#This Row],[NET Amount]]-Table1[[#This Row],[Paid Amount]]</f>
        <v>29055</v>
      </c>
      <c r="P2838" s="2" t="s">
        <v>23</v>
      </c>
      <c r="Q2838" s="2" t="s">
        <v>24</v>
      </c>
      <c r="R2838" s="16">
        <f>(Table1[[#This Row],[NET Amount]]-Table1[[#This Row],[Total Outstanding Amount]])/Table1[[#This Row],[NET Amount]]</f>
        <v>5.2873488281122663E-2</v>
      </c>
      <c r="S2838" s="2" t="s">
        <v>20</v>
      </c>
    </row>
    <row r="2839" spans="1:19" x14ac:dyDescent="0.3">
      <c r="A2839" s="4">
        <v>2837</v>
      </c>
      <c r="B2839" s="2" t="s">
        <v>2244</v>
      </c>
      <c r="C2839" s="3">
        <v>44847</v>
      </c>
      <c r="D2839" s="3" t="str">
        <f>TEXT(Table1[[#This Row],[Admission Date]],"MMMM")</f>
        <v>October</v>
      </c>
      <c r="E2839" s="3">
        <v>44847</v>
      </c>
      <c r="F2839" s="3">
        <v>44847</v>
      </c>
      <c r="G2839" s="2">
        <v>22026923</v>
      </c>
      <c r="H2839" s="2">
        <v>2235851</v>
      </c>
      <c r="I2839" s="2">
        <v>1001797549</v>
      </c>
      <c r="J2839" s="2" t="s">
        <v>121</v>
      </c>
      <c r="K2839" s="10">
        <v>1610</v>
      </c>
      <c r="L2839" s="10">
        <v>0</v>
      </c>
      <c r="M2839" s="10">
        <v>1610</v>
      </c>
      <c r="N2839" s="10">
        <v>1610</v>
      </c>
      <c r="O2839" s="10">
        <f>Table1[[#This Row],[NET Amount]]-Table1[[#This Row],[Paid Amount]]</f>
        <v>0</v>
      </c>
      <c r="P2839" s="2" t="s">
        <v>18</v>
      </c>
      <c r="Q2839" s="2" t="s">
        <v>54</v>
      </c>
      <c r="R2839" s="16">
        <f>(Table1[[#This Row],[NET Amount]]-Table1[[#This Row],[Total Outstanding Amount]])/Table1[[#This Row],[NET Amount]]</f>
        <v>1</v>
      </c>
      <c r="S2839" s="2" t="s">
        <v>97</v>
      </c>
    </row>
    <row r="2840" spans="1:19" x14ac:dyDescent="0.3">
      <c r="A2840" s="4">
        <v>2838</v>
      </c>
      <c r="B2840" s="2" t="s">
        <v>178</v>
      </c>
      <c r="C2840" s="3">
        <v>44835</v>
      </c>
      <c r="D2840" s="3" t="str">
        <f>TEXT(Table1[[#This Row],[Admission Date]],"MMMM")</f>
        <v>October</v>
      </c>
      <c r="E2840" s="3">
        <v>44840</v>
      </c>
      <c r="F2840" s="3">
        <v>44840</v>
      </c>
      <c r="G2840" s="2">
        <v>22025834</v>
      </c>
      <c r="H2840" s="2">
        <v>2234190</v>
      </c>
      <c r="I2840" s="2">
        <v>10013541113</v>
      </c>
      <c r="J2840" s="2" t="s">
        <v>627</v>
      </c>
      <c r="K2840" s="10">
        <v>115019</v>
      </c>
      <c r="L2840" s="10">
        <v>11655</v>
      </c>
      <c r="M2840" s="10">
        <v>103364</v>
      </c>
      <c r="N2840" s="10">
        <v>27504</v>
      </c>
      <c r="O2840" s="10">
        <f>Table1[[#This Row],[NET Amount]]-Table1[[#This Row],[Paid Amount]]</f>
        <v>75860</v>
      </c>
      <c r="P2840" s="2" t="s">
        <v>23</v>
      </c>
      <c r="Q2840" s="2" t="s">
        <v>52</v>
      </c>
      <c r="R2840" s="16">
        <f>(Table1[[#This Row],[NET Amount]]-Table1[[#This Row],[Total Outstanding Amount]])/Table1[[#This Row],[NET Amount]]</f>
        <v>0.26608877365427036</v>
      </c>
      <c r="S2840" s="2" t="s">
        <v>20</v>
      </c>
    </row>
    <row r="2841" spans="1:19" x14ac:dyDescent="0.3">
      <c r="A2841" s="4">
        <v>2839</v>
      </c>
      <c r="B2841" s="2" t="s">
        <v>149</v>
      </c>
      <c r="C2841" s="3">
        <v>44835</v>
      </c>
      <c r="D2841" s="3" t="str">
        <f>TEXT(Table1[[#This Row],[Admission Date]],"MMMM")</f>
        <v>October</v>
      </c>
      <c r="E2841" s="3">
        <v>44839</v>
      </c>
      <c r="F2841" s="3">
        <v>44839</v>
      </c>
      <c r="G2841" s="2">
        <v>22025761</v>
      </c>
      <c r="H2841" s="2">
        <v>2234286</v>
      </c>
      <c r="I2841" s="2">
        <v>10013541182</v>
      </c>
      <c r="J2841" s="2" t="s">
        <v>1733</v>
      </c>
      <c r="K2841" s="10">
        <v>83440</v>
      </c>
      <c r="L2841" s="10">
        <v>0</v>
      </c>
      <c r="M2841" s="10">
        <v>83440</v>
      </c>
      <c r="N2841" s="10">
        <v>1655</v>
      </c>
      <c r="O2841" s="10">
        <f>Table1[[#This Row],[NET Amount]]-Table1[[#This Row],[Paid Amount]]</f>
        <v>81785</v>
      </c>
      <c r="P2841" s="2" t="s">
        <v>23</v>
      </c>
      <c r="Q2841" s="2" t="s">
        <v>30</v>
      </c>
      <c r="R2841" s="16">
        <f>(Table1[[#This Row],[NET Amount]]-Table1[[#This Row],[Total Outstanding Amount]])/Table1[[#This Row],[NET Amount]]</f>
        <v>1.9834611697027806E-2</v>
      </c>
      <c r="S2841" s="2" t="s">
        <v>20</v>
      </c>
    </row>
    <row r="2842" spans="1:19" x14ac:dyDescent="0.3">
      <c r="A2842" s="4">
        <v>2840</v>
      </c>
      <c r="B2842" s="2" t="s">
        <v>25</v>
      </c>
      <c r="C2842" s="3">
        <v>44837</v>
      </c>
      <c r="D2842" s="3" t="str">
        <f>TEXT(Table1[[#This Row],[Admission Date]],"MMMM")</f>
        <v>October</v>
      </c>
      <c r="E2842" s="3">
        <v>44837</v>
      </c>
      <c r="F2842" s="3">
        <v>44837</v>
      </c>
      <c r="G2842" s="2">
        <v>22025386</v>
      </c>
      <c r="H2842" s="2">
        <v>2234388</v>
      </c>
      <c r="I2842" s="2">
        <v>1001802166</v>
      </c>
      <c r="J2842" s="2" t="s">
        <v>1734</v>
      </c>
      <c r="K2842" s="10">
        <v>14000</v>
      </c>
      <c r="L2842" s="10">
        <v>0</v>
      </c>
      <c r="M2842" s="10">
        <v>14000</v>
      </c>
      <c r="N2842" s="10">
        <v>14000</v>
      </c>
      <c r="O2842" s="10">
        <f>Table1[[#This Row],[NET Amount]]-Table1[[#This Row],[Paid Amount]]</f>
        <v>0</v>
      </c>
      <c r="P2842" s="2" t="s">
        <v>18</v>
      </c>
      <c r="Q2842" s="2" t="s">
        <v>54</v>
      </c>
      <c r="R2842" s="16">
        <f>(Table1[[#This Row],[NET Amount]]-Table1[[#This Row],[Total Outstanding Amount]])/Table1[[#This Row],[NET Amount]]</f>
        <v>1</v>
      </c>
      <c r="S2842" s="2" t="s">
        <v>39</v>
      </c>
    </row>
    <row r="2843" spans="1:19" x14ac:dyDescent="0.3">
      <c r="A2843" s="4">
        <v>2841</v>
      </c>
      <c r="B2843" s="2" t="s">
        <v>25</v>
      </c>
      <c r="C2843" s="3">
        <v>44844</v>
      </c>
      <c r="D2843" s="3" t="str">
        <f>TEXT(Table1[[#This Row],[Admission Date]],"MMMM")</f>
        <v>October</v>
      </c>
      <c r="E2843" s="3">
        <v>44845</v>
      </c>
      <c r="F2843" s="3">
        <v>44845</v>
      </c>
      <c r="G2843" s="2">
        <v>22026595</v>
      </c>
      <c r="H2843" s="2">
        <v>2235473</v>
      </c>
      <c r="I2843" s="2">
        <v>1001647623</v>
      </c>
      <c r="J2843" s="2" t="s">
        <v>31</v>
      </c>
      <c r="K2843" s="10">
        <v>44423</v>
      </c>
      <c r="L2843" s="10">
        <v>6250</v>
      </c>
      <c r="M2843" s="10">
        <v>38173</v>
      </c>
      <c r="N2843" s="10">
        <v>38173</v>
      </c>
      <c r="O2843" s="10">
        <f>Table1[[#This Row],[NET Amount]]-Table1[[#This Row],[Paid Amount]]</f>
        <v>0</v>
      </c>
      <c r="P2843" s="2" t="s">
        <v>18</v>
      </c>
      <c r="Q2843" s="2" t="s">
        <v>19</v>
      </c>
      <c r="R2843" s="16">
        <f>(Table1[[#This Row],[NET Amount]]-Table1[[#This Row],[Total Outstanding Amount]])/Table1[[#This Row],[NET Amount]]</f>
        <v>1</v>
      </c>
      <c r="S2843" s="2" t="s">
        <v>39</v>
      </c>
    </row>
    <row r="2844" spans="1:19" x14ac:dyDescent="0.3">
      <c r="A2844" s="4">
        <v>2842</v>
      </c>
      <c r="B2844" s="2" t="s">
        <v>25</v>
      </c>
      <c r="C2844" s="3">
        <v>44844</v>
      </c>
      <c r="D2844" s="3" t="str">
        <f>TEXT(Table1[[#This Row],[Admission Date]],"MMMM")</f>
        <v>October</v>
      </c>
      <c r="E2844" s="3">
        <v>44847</v>
      </c>
      <c r="F2844" s="3">
        <v>44847</v>
      </c>
      <c r="G2844" s="2">
        <v>22026865</v>
      </c>
      <c r="H2844" s="2">
        <v>2235425</v>
      </c>
      <c r="I2844" s="2">
        <v>10013541895</v>
      </c>
      <c r="J2844" s="2" t="s">
        <v>1735</v>
      </c>
      <c r="K2844" s="10">
        <v>63420</v>
      </c>
      <c r="L2844" s="10">
        <v>63420</v>
      </c>
      <c r="M2844" s="10">
        <v>0</v>
      </c>
      <c r="N2844" s="10">
        <v>0</v>
      </c>
      <c r="O2844" s="10">
        <f>Table1[[#This Row],[NET Amount]]-Table1[[#This Row],[Paid Amount]]</f>
        <v>0</v>
      </c>
      <c r="P2844" s="2" t="s">
        <v>18</v>
      </c>
      <c r="Q2844" s="2" t="s">
        <v>90</v>
      </c>
      <c r="R2844" s="16" t="e">
        <f>(Table1[[#This Row],[NET Amount]]-Table1[[#This Row],[Total Outstanding Amount]])/Table1[[#This Row],[NET Amount]]</f>
        <v>#DIV/0!</v>
      </c>
      <c r="S2844" s="2" t="s">
        <v>37</v>
      </c>
    </row>
    <row r="2845" spans="1:19" x14ac:dyDescent="0.3">
      <c r="A2845" s="4">
        <v>2843</v>
      </c>
      <c r="B2845" s="2" t="s">
        <v>61</v>
      </c>
      <c r="C2845" s="3">
        <v>44834</v>
      </c>
      <c r="D2845" s="3" t="str">
        <f>TEXT(Table1[[#This Row],[Admission Date]],"MMMM")</f>
        <v>September</v>
      </c>
      <c r="E2845" s="3">
        <v>44837</v>
      </c>
      <c r="F2845" s="3">
        <v>44837</v>
      </c>
      <c r="G2845" s="2">
        <v>22025361</v>
      </c>
      <c r="H2845" s="2">
        <v>2234117</v>
      </c>
      <c r="I2845" s="2">
        <v>1001801755</v>
      </c>
      <c r="J2845" s="2" t="s">
        <v>1736</v>
      </c>
      <c r="K2845" s="10">
        <v>238169</v>
      </c>
      <c r="L2845" s="10">
        <v>0</v>
      </c>
      <c r="M2845" s="10">
        <v>238169</v>
      </c>
      <c r="N2845" s="10">
        <v>26250</v>
      </c>
      <c r="O2845" s="10">
        <f>Table1[[#This Row],[NET Amount]]-Table1[[#This Row],[Paid Amount]]</f>
        <v>211919</v>
      </c>
      <c r="P2845" s="2" t="s">
        <v>23</v>
      </c>
      <c r="Q2845" s="2" t="s">
        <v>47</v>
      </c>
      <c r="R2845" s="16">
        <f>(Table1[[#This Row],[NET Amount]]-Table1[[#This Row],[Total Outstanding Amount]])/Table1[[#This Row],[NET Amount]]</f>
        <v>0.11021585512808132</v>
      </c>
      <c r="S2845" s="2" t="s">
        <v>39</v>
      </c>
    </row>
    <row r="2846" spans="1:19" x14ac:dyDescent="0.3">
      <c r="A2846" s="4">
        <v>2844</v>
      </c>
      <c r="B2846" s="2" t="s">
        <v>25</v>
      </c>
      <c r="C2846" s="3">
        <v>44841</v>
      </c>
      <c r="D2846" s="3" t="str">
        <f>TEXT(Table1[[#This Row],[Admission Date]],"MMMM")</f>
        <v>October</v>
      </c>
      <c r="E2846" s="3">
        <v>44841</v>
      </c>
      <c r="F2846" s="3">
        <v>44841</v>
      </c>
      <c r="G2846" s="2">
        <v>22025941</v>
      </c>
      <c r="H2846" s="2">
        <v>2234998</v>
      </c>
      <c r="I2846" s="2">
        <v>1001307852</v>
      </c>
      <c r="J2846" s="2" t="s">
        <v>309</v>
      </c>
      <c r="K2846" s="10">
        <v>3288</v>
      </c>
      <c r="L2846" s="10">
        <v>3288</v>
      </c>
      <c r="M2846" s="10">
        <v>0</v>
      </c>
      <c r="N2846" s="10">
        <v>0</v>
      </c>
      <c r="O2846" s="10">
        <f>Table1[[#This Row],[NET Amount]]-Table1[[#This Row],[Paid Amount]]</f>
        <v>0</v>
      </c>
      <c r="P2846" s="2" t="s">
        <v>18</v>
      </c>
      <c r="Q2846" s="2" t="s">
        <v>90</v>
      </c>
      <c r="R2846" s="16" t="e">
        <f>(Table1[[#This Row],[NET Amount]]-Table1[[#This Row],[Total Outstanding Amount]])/Table1[[#This Row],[NET Amount]]</f>
        <v>#DIV/0!</v>
      </c>
      <c r="S2846" s="2" t="s">
        <v>97</v>
      </c>
    </row>
    <row r="2847" spans="1:19" x14ac:dyDescent="0.3">
      <c r="A2847" s="4">
        <v>2845</v>
      </c>
      <c r="B2847" s="2" t="s">
        <v>25</v>
      </c>
      <c r="C2847" s="3">
        <v>44843</v>
      </c>
      <c r="D2847" s="3" t="str">
        <f>TEXT(Table1[[#This Row],[Admission Date]],"MMMM")</f>
        <v>October</v>
      </c>
      <c r="E2847" s="3">
        <v>44845</v>
      </c>
      <c r="F2847" s="3">
        <v>44845</v>
      </c>
      <c r="G2847" s="2">
        <v>22026491</v>
      </c>
      <c r="H2847" s="2">
        <v>2235304</v>
      </c>
      <c r="I2847" s="2">
        <v>10013332047</v>
      </c>
      <c r="J2847" s="2" t="s">
        <v>1737</v>
      </c>
      <c r="K2847" s="10">
        <v>78423</v>
      </c>
      <c r="L2847" s="10">
        <v>15058</v>
      </c>
      <c r="M2847" s="10">
        <v>63366</v>
      </c>
      <c r="N2847" s="10">
        <v>63366</v>
      </c>
      <c r="O2847" s="10">
        <f>Table1[[#This Row],[NET Amount]]-Table1[[#This Row],[Paid Amount]]</f>
        <v>0</v>
      </c>
      <c r="P2847" s="2" t="s">
        <v>18</v>
      </c>
      <c r="Q2847" s="2" t="s">
        <v>551</v>
      </c>
      <c r="R2847" s="16">
        <f>(Table1[[#This Row],[NET Amount]]-Table1[[#This Row],[Total Outstanding Amount]])/Table1[[#This Row],[NET Amount]]</f>
        <v>1</v>
      </c>
      <c r="S2847" s="2" t="s">
        <v>65</v>
      </c>
    </row>
    <row r="2848" spans="1:19" x14ac:dyDescent="0.3">
      <c r="A2848" s="4">
        <v>2846</v>
      </c>
      <c r="B2848" s="2" t="s">
        <v>25</v>
      </c>
      <c r="C2848" s="3">
        <v>44846</v>
      </c>
      <c r="D2848" s="3" t="str">
        <f>TEXT(Table1[[#This Row],[Admission Date]],"MMMM")</f>
        <v>October</v>
      </c>
      <c r="E2848" s="3">
        <v>44846</v>
      </c>
      <c r="F2848" s="3">
        <v>44846</v>
      </c>
      <c r="G2848" s="2">
        <v>22026759</v>
      </c>
      <c r="H2848" s="2">
        <v>2235720</v>
      </c>
      <c r="I2848" s="2">
        <v>1001735249</v>
      </c>
      <c r="J2848" s="2" t="s">
        <v>857</v>
      </c>
      <c r="K2848" s="10">
        <v>3630</v>
      </c>
      <c r="L2848" s="10">
        <v>500</v>
      </c>
      <c r="M2848" s="10">
        <v>3130</v>
      </c>
      <c r="N2848" s="10">
        <v>3130</v>
      </c>
      <c r="O2848" s="10">
        <f>Table1[[#This Row],[NET Amount]]-Table1[[#This Row],[Paid Amount]]</f>
        <v>0</v>
      </c>
      <c r="P2848" s="2" t="s">
        <v>18</v>
      </c>
      <c r="Q2848" s="2" t="s">
        <v>54</v>
      </c>
      <c r="R2848" s="16">
        <f>(Table1[[#This Row],[NET Amount]]-Table1[[#This Row],[Total Outstanding Amount]])/Table1[[#This Row],[NET Amount]]</f>
        <v>1</v>
      </c>
      <c r="S2848" s="2" t="s">
        <v>97</v>
      </c>
    </row>
    <row r="2849" spans="1:19" x14ac:dyDescent="0.3">
      <c r="A2849" s="4">
        <v>2847</v>
      </c>
      <c r="B2849" s="2" t="s">
        <v>91</v>
      </c>
      <c r="C2849" s="3">
        <v>44848</v>
      </c>
      <c r="D2849" s="3" t="str">
        <f>TEXT(Table1[[#This Row],[Admission Date]],"MMMM")</f>
        <v>October</v>
      </c>
      <c r="E2849" s="3">
        <v>44849</v>
      </c>
      <c r="F2849" s="3">
        <v>44849</v>
      </c>
      <c r="G2849" s="2">
        <v>22027115</v>
      </c>
      <c r="H2849" s="2">
        <v>2236053</v>
      </c>
      <c r="I2849" s="2">
        <v>10013543074</v>
      </c>
      <c r="J2849" s="2" t="s">
        <v>1738</v>
      </c>
      <c r="K2849" s="10">
        <v>47971</v>
      </c>
      <c r="L2849" s="10">
        <v>1395</v>
      </c>
      <c r="M2849" s="10">
        <v>46576</v>
      </c>
      <c r="N2849" s="10">
        <v>3534</v>
      </c>
      <c r="O2849" s="10">
        <f>Table1[[#This Row],[NET Amount]]-Table1[[#This Row],[Paid Amount]]</f>
        <v>43042</v>
      </c>
      <c r="P2849" s="2" t="s">
        <v>23</v>
      </c>
      <c r="Q2849" s="2" t="s">
        <v>24</v>
      </c>
      <c r="R2849" s="16">
        <f>(Table1[[#This Row],[NET Amount]]-Table1[[#This Row],[Total Outstanding Amount]])/Table1[[#This Row],[NET Amount]]</f>
        <v>7.5875987633115774E-2</v>
      </c>
      <c r="S2849" s="2" t="s">
        <v>20</v>
      </c>
    </row>
    <row r="2850" spans="1:19" x14ac:dyDescent="0.3">
      <c r="A2850" s="4">
        <v>2848</v>
      </c>
      <c r="B2850" s="2" t="s">
        <v>126</v>
      </c>
      <c r="C2850" s="3">
        <v>44842</v>
      </c>
      <c r="D2850" s="3" t="str">
        <f>TEXT(Table1[[#This Row],[Admission Date]],"MMMM")</f>
        <v>October</v>
      </c>
      <c r="E2850" s="3">
        <v>44848</v>
      </c>
      <c r="F2850" s="3">
        <v>44848</v>
      </c>
      <c r="G2850" s="2">
        <v>22027002</v>
      </c>
      <c r="H2850" s="2">
        <v>2235255</v>
      </c>
      <c r="I2850" s="2">
        <v>10013542252</v>
      </c>
      <c r="J2850" s="2" t="s">
        <v>665</v>
      </c>
      <c r="K2850" s="10">
        <v>188722</v>
      </c>
      <c r="L2850" s="10">
        <v>20411</v>
      </c>
      <c r="M2850" s="10">
        <v>168310</v>
      </c>
      <c r="N2850" s="10">
        <v>5587</v>
      </c>
      <c r="O2850" s="10">
        <f>Table1[[#This Row],[NET Amount]]-Table1[[#This Row],[Paid Amount]]</f>
        <v>162723</v>
      </c>
      <c r="P2850" s="2" t="s">
        <v>23</v>
      </c>
      <c r="Q2850" s="2" t="s">
        <v>30</v>
      </c>
      <c r="R2850" s="16">
        <f>(Table1[[#This Row],[NET Amount]]-Table1[[#This Row],[Total Outstanding Amount]])/Table1[[#This Row],[NET Amount]]</f>
        <v>3.3194700255480956E-2</v>
      </c>
      <c r="S2850" s="2" t="s">
        <v>20</v>
      </c>
    </row>
    <row r="2851" spans="1:19" x14ac:dyDescent="0.3">
      <c r="A2851" s="4">
        <v>2849</v>
      </c>
      <c r="B2851" s="2" t="s">
        <v>152</v>
      </c>
      <c r="C2851" s="3">
        <v>44843</v>
      </c>
      <c r="D2851" s="3" t="str">
        <f>TEXT(Table1[[#This Row],[Admission Date]],"MMMM")</f>
        <v>October</v>
      </c>
      <c r="E2851" s="3">
        <v>44845</v>
      </c>
      <c r="F2851" s="3">
        <v>44845</v>
      </c>
      <c r="G2851" s="2">
        <v>22026522</v>
      </c>
      <c r="H2851" s="2">
        <v>2235260</v>
      </c>
      <c r="I2851" s="2">
        <v>10013542266</v>
      </c>
      <c r="J2851" s="2" t="s">
        <v>1739</v>
      </c>
      <c r="K2851" s="10">
        <v>12989</v>
      </c>
      <c r="L2851" s="10">
        <v>0</v>
      </c>
      <c r="M2851" s="10">
        <v>12989</v>
      </c>
      <c r="N2851" s="10">
        <v>12989</v>
      </c>
      <c r="O2851" s="10">
        <f>Table1[[#This Row],[NET Amount]]-Table1[[#This Row],[Paid Amount]]</f>
        <v>0</v>
      </c>
      <c r="P2851" s="2" t="s">
        <v>18</v>
      </c>
      <c r="Q2851" s="2" t="s">
        <v>24</v>
      </c>
      <c r="R2851" s="16">
        <f>(Table1[[#This Row],[NET Amount]]-Table1[[#This Row],[Total Outstanding Amount]])/Table1[[#This Row],[NET Amount]]</f>
        <v>1</v>
      </c>
      <c r="S2851" s="2" t="s">
        <v>37</v>
      </c>
    </row>
    <row r="2852" spans="1:19" x14ac:dyDescent="0.3">
      <c r="A2852" s="4">
        <v>2850</v>
      </c>
      <c r="B2852" s="2" t="s">
        <v>25</v>
      </c>
      <c r="C2852" s="3">
        <v>44840</v>
      </c>
      <c r="D2852" s="3" t="str">
        <f>TEXT(Table1[[#This Row],[Admission Date]],"MMMM")</f>
        <v>October</v>
      </c>
      <c r="E2852" s="3">
        <v>44840</v>
      </c>
      <c r="F2852" s="3">
        <v>44840</v>
      </c>
      <c r="G2852" s="2">
        <v>22025807</v>
      </c>
      <c r="H2852" s="2">
        <v>2234837</v>
      </c>
      <c r="I2852" s="2">
        <v>10013415573</v>
      </c>
      <c r="J2852" s="2" t="s">
        <v>335</v>
      </c>
      <c r="K2852" s="10">
        <v>4990</v>
      </c>
      <c r="L2852" s="10">
        <v>433</v>
      </c>
      <c r="M2852" s="10">
        <v>4557</v>
      </c>
      <c r="N2852" s="10">
        <v>4557</v>
      </c>
      <c r="O2852" s="10">
        <f>Table1[[#This Row],[NET Amount]]-Table1[[#This Row],[Paid Amount]]</f>
        <v>0</v>
      </c>
      <c r="P2852" s="2" t="s">
        <v>18</v>
      </c>
      <c r="Q2852" s="2" t="s">
        <v>54</v>
      </c>
      <c r="R2852" s="16">
        <f>(Table1[[#This Row],[NET Amount]]-Table1[[#This Row],[Total Outstanding Amount]])/Table1[[#This Row],[NET Amount]]</f>
        <v>1</v>
      </c>
      <c r="S2852" s="2" t="s">
        <v>97</v>
      </c>
    </row>
    <row r="2853" spans="1:19" x14ac:dyDescent="0.3">
      <c r="A2853" s="4">
        <v>2851</v>
      </c>
      <c r="B2853" s="2" t="s">
        <v>25</v>
      </c>
      <c r="C2853" s="3">
        <v>44844</v>
      </c>
      <c r="D2853" s="3" t="str">
        <f>TEXT(Table1[[#This Row],[Admission Date]],"MMMM")</f>
        <v>October</v>
      </c>
      <c r="E2853" s="3">
        <v>44844</v>
      </c>
      <c r="F2853" s="3">
        <v>44844</v>
      </c>
      <c r="G2853" s="2">
        <v>22026413</v>
      </c>
      <c r="H2853" s="2">
        <v>2235381</v>
      </c>
      <c r="I2853" s="2">
        <v>10013339576</v>
      </c>
      <c r="J2853" s="2" t="s">
        <v>242</v>
      </c>
      <c r="K2853" s="10">
        <v>2794</v>
      </c>
      <c r="L2853" s="10">
        <v>2794</v>
      </c>
      <c r="M2853" s="10">
        <v>0</v>
      </c>
      <c r="N2853" s="10">
        <v>0</v>
      </c>
      <c r="O2853" s="10">
        <f>Table1[[#This Row],[NET Amount]]-Table1[[#This Row],[Paid Amount]]</f>
        <v>0</v>
      </c>
      <c r="P2853" s="2" t="s">
        <v>18</v>
      </c>
      <c r="Q2853" s="2" t="s">
        <v>90</v>
      </c>
      <c r="R2853" s="16" t="e">
        <f>(Table1[[#This Row],[NET Amount]]-Table1[[#This Row],[Total Outstanding Amount]])/Table1[[#This Row],[NET Amount]]</f>
        <v>#DIV/0!</v>
      </c>
      <c r="S2853" s="2" t="s">
        <v>97</v>
      </c>
    </row>
    <row r="2854" spans="1:19" x14ac:dyDescent="0.3">
      <c r="A2854" s="4">
        <v>2852</v>
      </c>
      <c r="B2854" s="2" t="s">
        <v>25</v>
      </c>
      <c r="C2854" s="3">
        <v>44839</v>
      </c>
      <c r="D2854" s="3" t="str">
        <f>TEXT(Table1[[#This Row],[Admission Date]],"MMMM")</f>
        <v>October</v>
      </c>
      <c r="E2854" s="3">
        <v>44845</v>
      </c>
      <c r="F2854" s="3">
        <v>44845</v>
      </c>
      <c r="G2854" s="2">
        <v>22026568</v>
      </c>
      <c r="H2854" s="2">
        <v>2234771</v>
      </c>
      <c r="I2854" s="2">
        <v>10013541645</v>
      </c>
      <c r="J2854" s="2" t="s">
        <v>1740</v>
      </c>
      <c r="K2854" s="10">
        <v>101627</v>
      </c>
      <c r="L2854" s="10">
        <v>101627</v>
      </c>
      <c r="M2854" s="10">
        <v>0</v>
      </c>
      <c r="N2854" s="10">
        <v>0</v>
      </c>
      <c r="O2854" s="10">
        <f>Table1[[#This Row],[NET Amount]]-Table1[[#This Row],[Paid Amount]]</f>
        <v>0</v>
      </c>
      <c r="P2854" s="2" t="s">
        <v>18</v>
      </c>
      <c r="Q2854" s="2" t="s">
        <v>90</v>
      </c>
      <c r="R2854" s="16" t="e">
        <f>(Table1[[#This Row],[NET Amount]]-Table1[[#This Row],[Total Outstanding Amount]])/Table1[[#This Row],[NET Amount]]</f>
        <v>#DIV/0!</v>
      </c>
      <c r="S2854" s="2" t="s">
        <v>20</v>
      </c>
    </row>
    <row r="2855" spans="1:19" x14ac:dyDescent="0.3">
      <c r="A2855" s="4">
        <v>2853</v>
      </c>
      <c r="B2855" s="2" t="s">
        <v>35</v>
      </c>
      <c r="C2855" s="3">
        <v>44843</v>
      </c>
      <c r="D2855" s="3" t="str">
        <f>TEXT(Table1[[#This Row],[Admission Date]],"MMMM")</f>
        <v>October</v>
      </c>
      <c r="E2855" s="3">
        <v>44854</v>
      </c>
      <c r="F2855" s="3">
        <v>44854</v>
      </c>
      <c r="G2855" s="2">
        <v>22027885</v>
      </c>
      <c r="H2855" s="2">
        <v>2235303</v>
      </c>
      <c r="I2855" s="2">
        <v>10013542311</v>
      </c>
      <c r="J2855" s="2" t="s">
        <v>1741</v>
      </c>
      <c r="K2855" s="10">
        <v>208779</v>
      </c>
      <c r="L2855" s="10">
        <v>0</v>
      </c>
      <c r="M2855" s="10">
        <v>208779</v>
      </c>
      <c r="N2855" s="10">
        <v>1476</v>
      </c>
      <c r="O2855" s="10">
        <f>Table1[[#This Row],[NET Amount]]-Table1[[#This Row],[Paid Amount]]</f>
        <v>207303</v>
      </c>
      <c r="P2855" s="2" t="s">
        <v>23</v>
      </c>
      <c r="Q2855" s="2" t="s">
        <v>24</v>
      </c>
      <c r="R2855" s="16">
        <f>(Table1[[#This Row],[NET Amount]]-Table1[[#This Row],[Total Outstanding Amount]])/Table1[[#This Row],[NET Amount]]</f>
        <v>7.0696765479286707E-3</v>
      </c>
      <c r="S2855" s="2" t="s">
        <v>20</v>
      </c>
    </row>
    <row r="2856" spans="1:19" x14ac:dyDescent="0.3">
      <c r="A2856" s="4">
        <v>2854</v>
      </c>
      <c r="B2856" s="2" t="s">
        <v>80</v>
      </c>
      <c r="C2856" s="3">
        <v>44848</v>
      </c>
      <c r="D2856" s="3" t="str">
        <f>TEXT(Table1[[#This Row],[Admission Date]],"MMMM")</f>
        <v>October</v>
      </c>
      <c r="E2856" s="3">
        <v>44854</v>
      </c>
      <c r="F2856" s="3">
        <v>44854</v>
      </c>
      <c r="G2856" s="2">
        <v>22027839</v>
      </c>
      <c r="H2856" s="2">
        <v>2236027</v>
      </c>
      <c r="I2856" s="2">
        <v>10013501078</v>
      </c>
      <c r="J2856" s="2" t="s">
        <v>1742</v>
      </c>
      <c r="K2856" s="10">
        <v>133857</v>
      </c>
      <c r="L2856" s="10">
        <v>19529</v>
      </c>
      <c r="M2856" s="10">
        <v>114328</v>
      </c>
      <c r="N2856" s="10">
        <v>35226</v>
      </c>
      <c r="O2856" s="10">
        <f>Table1[[#This Row],[NET Amount]]-Table1[[#This Row],[Paid Amount]]</f>
        <v>79102</v>
      </c>
      <c r="P2856" s="2" t="s">
        <v>23</v>
      </c>
      <c r="Q2856" s="2" t="s">
        <v>24</v>
      </c>
      <c r="R2856" s="16">
        <f>(Table1[[#This Row],[NET Amount]]-Table1[[#This Row],[Total Outstanding Amount]])/Table1[[#This Row],[NET Amount]]</f>
        <v>0.3081134980057379</v>
      </c>
      <c r="S2856" s="2" t="s">
        <v>20</v>
      </c>
    </row>
    <row r="2857" spans="1:19" x14ac:dyDescent="0.3">
      <c r="A2857" s="4">
        <v>2855</v>
      </c>
      <c r="B2857" s="2" t="s">
        <v>25</v>
      </c>
      <c r="C2857" s="3">
        <v>44851</v>
      </c>
      <c r="D2857" s="3" t="str">
        <f>TEXT(Table1[[#This Row],[Admission Date]],"MMMM")</f>
        <v>October</v>
      </c>
      <c r="E2857" s="3">
        <v>44855</v>
      </c>
      <c r="F2857" s="3">
        <v>44855</v>
      </c>
      <c r="G2857" s="2">
        <v>22027989</v>
      </c>
      <c r="H2857" s="2">
        <v>2236344</v>
      </c>
      <c r="I2857" s="2">
        <v>10013540554</v>
      </c>
      <c r="J2857" s="2" t="s">
        <v>1743</v>
      </c>
      <c r="K2857" s="10">
        <v>83701</v>
      </c>
      <c r="L2857" s="10">
        <v>10154</v>
      </c>
      <c r="M2857" s="10">
        <v>73547</v>
      </c>
      <c r="N2857" s="10">
        <v>73547</v>
      </c>
      <c r="O2857" s="10">
        <f>Table1[[#This Row],[NET Amount]]-Table1[[#This Row],[Paid Amount]]</f>
        <v>0</v>
      </c>
      <c r="P2857" s="2" t="s">
        <v>18</v>
      </c>
      <c r="Q2857" s="2" t="s">
        <v>24</v>
      </c>
      <c r="R2857" s="16">
        <f>(Table1[[#This Row],[NET Amount]]-Table1[[#This Row],[Total Outstanding Amount]])/Table1[[#This Row],[NET Amount]]</f>
        <v>1</v>
      </c>
      <c r="S2857" s="2" t="s">
        <v>27</v>
      </c>
    </row>
    <row r="2858" spans="1:19" x14ac:dyDescent="0.3">
      <c r="A2858" s="4">
        <v>2856</v>
      </c>
      <c r="B2858" s="2" t="s">
        <v>2244</v>
      </c>
      <c r="C2858" s="3">
        <v>44835</v>
      </c>
      <c r="D2858" s="3" t="str">
        <f>TEXT(Table1[[#This Row],[Admission Date]],"MMMM")</f>
        <v>October</v>
      </c>
      <c r="E2858" s="3">
        <v>44835</v>
      </c>
      <c r="F2858" s="3">
        <v>44835</v>
      </c>
      <c r="G2858" s="2">
        <v>22025120</v>
      </c>
      <c r="H2858" s="2">
        <v>2234179</v>
      </c>
      <c r="I2858" s="2">
        <v>1001679746</v>
      </c>
      <c r="J2858" s="2" t="s">
        <v>1744</v>
      </c>
      <c r="K2858" s="10">
        <v>2560</v>
      </c>
      <c r="L2858" s="10">
        <v>0</v>
      </c>
      <c r="M2858" s="10">
        <v>2560</v>
      </c>
      <c r="N2858" s="10">
        <v>2560</v>
      </c>
      <c r="O2858" s="10">
        <f>Table1[[#This Row],[NET Amount]]-Table1[[#This Row],[Paid Amount]]</f>
        <v>0</v>
      </c>
      <c r="P2858" s="2" t="s">
        <v>18</v>
      </c>
      <c r="Q2858" s="2" t="s">
        <v>54</v>
      </c>
      <c r="R2858" s="16">
        <f>(Table1[[#This Row],[NET Amount]]-Table1[[#This Row],[Total Outstanding Amount]])/Table1[[#This Row],[NET Amount]]</f>
        <v>1</v>
      </c>
      <c r="S2858" s="2" t="s">
        <v>97</v>
      </c>
    </row>
    <row r="2859" spans="1:19" x14ac:dyDescent="0.3">
      <c r="A2859" s="4">
        <v>2857</v>
      </c>
      <c r="B2859" s="2" t="s">
        <v>75</v>
      </c>
      <c r="C2859" s="3">
        <v>44840</v>
      </c>
      <c r="D2859" s="3" t="str">
        <f>TEXT(Table1[[#This Row],[Admission Date]],"MMMM")</f>
        <v>October</v>
      </c>
      <c r="E2859" s="3">
        <v>44841</v>
      </c>
      <c r="F2859" s="3">
        <v>44841</v>
      </c>
      <c r="G2859" s="2">
        <v>22026056</v>
      </c>
      <c r="H2859" s="2">
        <v>2234864</v>
      </c>
      <c r="I2859" s="2">
        <v>1001004067</v>
      </c>
      <c r="J2859" s="2" t="s">
        <v>992</v>
      </c>
      <c r="K2859" s="10">
        <v>14205</v>
      </c>
      <c r="L2859" s="10">
        <v>0</v>
      </c>
      <c r="M2859" s="10">
        <v>14205</v>
      </c>
      <c r="N2859" s="10">
        <v>316</v>
      </c>
      <c r="O2859" s="10">
        <f>Table1[[#This Row],[NET Amount]]-Table1[[#This Row],[Paid Amount]]</f>
        <v>13889</v>
      </c>
      <c r="P2859" s="2" t="s">
        <v>23</v>
      </c>
      <c r="Q2859" s="2" t="s">
        <v>24</v>
      </c>
      <c r="R2859" s="16">
        <f>(Table1[[#This Row],[NET Amount]]-Table1[[#This Row],[Total Outstanding Amount]])/Table1[[#This Row],[NET Amount]]</f>
        <v>2.2245688137979586E-2</v>
      </c>
      <c r="S2859" s="2" t="s">
        <v>280</v>
      </c>
    </row>
    <row r="2860" spans="1:19" x14ac:dyDescent="0.3">
      <c r="A2860" s="4">
        <v>2858</v>
      </c>
      <c r="B2860" s="2" t="s">
        <v>75</v>
      </c>
      <c r="C2860" s="3">
        <v>44840</v>
      </c>
      <c r="D2860" s="3" t="str">
        <f>TEXT(Table1[[#This Row],[Admission Date]],"MMMM")</f>
        <v>October</v>
      </c>
      <c r="E2860" s="3">
        <v>44841</v>
      </c>
      <c r="F2860" s="3">
        <v>44842</v>
      </c>
      <c r="G2860" s="2">
        <v>22026200</v>
      </c>
      <c r="H2860" s="2">
        <v>2234887</v>
      </c>
      <c r="I2860" s="2">
        <v>10013512086</v>
      </c>
      <c r="J2860" s="2" t="s">
        <v>292</v>
      </c>
      <c r="K2860" s="10">
        <v>35514</v>
      </c>
      <c r="L2860" s="10">
        <v>0</v>
      </c>
      <c r="M2860" s="10">
        <v>35514</v>
      </c>
      <c r="N2860" s="10">
        <v>1846</v>
      </c>
      <c r="O2860" s="10">
        <f>Table1[[#This Row],[NET Amount]]-Table1[[#This Row],[Paid Amount]]</f>
        <v>33668</v>
      </c>
      <c r="P2860" s="2" t="s">
        <v>23</v>
      </c>
      <c r="Q2860" s="2" t="s">
        <v>19</v>
      </c>
      <c r="R2860" s="16">
        <f>(Table1[[#This Row],[NET Amount]]-Table1[[#This Row],[Total Outstanding Amount]])/Table1[[#This Row],[NET Amount]]</f>
        <v>5.1979501041842652E-2</v>
      </c>
      <c r="S2860" s="2" t="s">
        <v>95</v>
      </c>
    </row>
    <row r="2861" spans="1:19" x14ac:dyDescent="0.3">
      <c r="A2861" s="4">
        <v>2859</v>
      </c>
      <c r="B2861" s="2" t="s">
        <v>110</v>
      </c>
      <c r="C2861" s="3">
        <v>44834</v>
      </c>
      <c r="D2861" s="3" t="str">
        <f>TEXT(Table1[[#This Row],[Admission Date]],"MMMM")</f>
        <v>September</v>
      </c>
      <c r="E2861" s="3">
        <v>44839</v>
      </c>
      <c r="F2861" s="3">
        <v>44839</v>
      </c>
      <c r="G2861" s="2">
        <v>22025758</v>
      </c>
      <c r="H2861" s="2">
        <v>2234131</v>
      </c>
      <c r="I2861" s="2">
        <v>10013541049</v>
      </c>
      <c r="J2861" s="2" t="s">
        <v>1745</v>
      </c>
      <c r="K2861" s="10">
        <v>60716</v>
      </c>
      <c r="L2861" s="10">
        <v>4472</v>
      </c>
      <c r="M2861" s="10">
        <v>56244</v>
      </c>
      <c r="N2861" s="10">
        <v>1500</v>
      </c>
      <c r="O2861" s="10">
        <f>Table1[[#This Row],[NET Amount]]-Table1[[#This Row],[Paid Amount]]</f>
        <v>54744</v>
      </c>
      <c r="P2861" s="2" t="s">
        <v>23</v>
      </c>
      <c r="Q2861" s="2" t="s">
        <v>24</v>
      </c>
      <c r="R2861" s="16">
        <f>(Table1[[#This Row],[NET Amount]]-Table1[[#This Row],[Total Outstanding Amount]])/Table1[[#This Row],[NET Amount]]</f>
        <v>2.6669511414550887E-2</v>
      </c>
      <c r="S2861" s="2" t="s">
        <v>20</v>
      </c>
    </row>
    <row r="2862" spans="1:19" x14ac:dyDescent="0.3">
      <c r="A2862" s="4">
        <v>2860</v>
      </c>
      <c r="B2862" s="2" t="s">
        <v>113</v>
      </c>
      <c r="C2862" s="3">
        <v>44836</v>
      </c>
      <c r="D2862" s="3" t="str">
        <f>TEXT(Table1[[#This Row],[Admission Date]],"MMMM")</f>
        <v>October</v>
      </c>
      <c r="E2862" s="3">
        <v>44844</v>
      </c>
      <c r="F2862" s="3">
        <v>44844</v>
      </c>
      <c r="G2862" s="2">
        <v>22026363</v>
      </c>
      <c r="H2862" s="2">
        <v>2234309</v>
      </c>
      <c r="I2862" s="2">
        <v>10013495553</v>
      </c>
      <c r="J2862" s="2" t="s">
        <v>775</v>
      </c>
      <c r="K2862" s="10">
        <v>52925</v>
      </c>
      <c r="L2862" s="10">
        <v>0</v>
      </c>
      <c r="M2862" s="10">
        <v>52925</v>
      </c>
      <c r="N2862" s="10">
        <v>52925</v>
      </c>
      <c r="O2862" s="10">
        <f>Table1[[#This Row],[NET Amount]]-Table1[[#This Row],[Paid Amount]]</f>
        <v>0</v>
      </c>
      <c r="P2862" s="2" t="s">
        <v>18</v>
      </c>
      <c r="Q2862" s="2" t="s">
        <v>24</v>
      </c>
      <c r="R2862" s="16">
        <f>(Table1[[#This Row],[NET Amount]]-Table1[[#This Row],[Total Outstanding Amount]])/Table1[[#This Row],[NET Amount]]</f>
        <v>1</v>
      </c>
      <c r="S2862" s="2" t="s">
        <v>20</v>
      </c>
    </row>
    <row r="2863" spans="1:19" x14ac:dyDescent="0.3">
      <c r="A2863" s="4">
        <v>2861</v>
      </c>
      <c r="B2863" s="2" t="s">
        <v>2291</v>
      </c>
      <c r="C2863" s="3">
        <v>44837</v>
      </c>
      <c r="D2863" s="3" t="str">
        <f>TEXT(Table1[[#This Row],[Admission Date]],"MMMM")</f>
        <v>October</v>
      </c>
      <c r="E2863" s="3">
        <v>44842</v>
      </c>
      <c r="F2863" s="3">
        <v>44842</v>
      </c>
      <c r="G2863" s="2">
        <v>22026165</v>
      </c>
      <c r="H2863" s="2">
        <v>2234487</v>
      </c>
      <c r="I2863" s="2">
        <v>10013500991</v>
      </c>
      <c r="J2863" s="2" t="s">
        <v>1746</v>
      </c>
      <c r="K2863" s="10">
        <v>50188</v>
      </c>
      <c r="L2863" s="10">
        <v>50188</v>
      </c>
      <c r="M2863" s="10">
        <v>0</v>
      </c>
      <c r="N2863" s="10">
        <v>0</v>
      </c>
      <c r="O2863" s="10">
        <f>Table1[[#This Row],[NET Amount]]-Table1[[#This Row],[Paid Amount]]</f>
        <v>0</v>
      </c>
      <c r="P2863" s="2" t="s">
        <v>18</v>
      </c>
      <c r="Q2863" s="2" t="s">
        <v>90</v>
      </c>
      <c r="R2863" s="16" t="e">
        <f>(Table1[[#This Row],[NET Amount]]-Table1[[#This Row],[Total Outstanding Amount]])/Table1[[#This Row],[NET Amount]]</f>
        <v>#DIV/0!</v>
      </c>
      <c r="S2863" s="2" t="s">
        <v>20</v>
      </c>
    </row>
    <row r="2864" spans="1:19" x14ac:dyDescent="0.3">
      <c r="A2864" s="4">
        <v>2862</v>
      </c>
      <c r="B2864" s="2" t="s">
        <v>25</v>
      </c>
      <c r="C2864" s="3">
        <v>44853</v>
      </c>
      <c r="D2864" s="3" t="str">
        <f>TEXT(Table1[[#This Row],[Admission Date]],"MMMM")</f>
        <v>October</v>
      </c>
      <c r="E2864" s="3">
        <v>44853</v>
      </c>
      <c r="F2864" s="3">
        <v>44853</v>
      </c>
      <c r="G2864" s="2">
        <v>22027741</v>
      </c>
      <c r="H2864" s="2">
        <v>2236633</v>
      </c>
      <c r="I2864" s="2">
        <v>1001735249</v>
      </c>
      <c r="J2864" s="2" t="s">
        <v>857</v>
      </c>
      <c r="K2864" s="10">
        <v>2680</v>
      </c>
      <c r="L2864" s="10">
        <v>500</v>
      </c>
      <c r="M2864" s="10">
        <v>2180</v>
      </c>
      <c r="N2864" s="10">
        <v>2180</v>
      </c>
      <c r="O2864" s="10">
        <f>Table1[[#This Row],[NET Amount]]-Table1[[#This Row],[Paid Amount]]</f>
        <v>0</v>
      </c>
      <c r="P2864" s="2" t="s">
        <v>18</v>
      </c>
      <c r="Q2864" s="2" t="s">
        <v>54</v>
      </c>
      <c r="R2864" s="16">
        <f>(Table1[[#This Row],[NET Amount]]-Table1[[#This Row],[Total Outstanding Amount]])/Table1[[#This Row],[NET Amount]]</f>
        <v>1</v>
      </c>
      <c r="S2864" s="2" t="s">
        <v>97</v>
      </c>
    </row>
    <row r="2865" spans="1:19" x14ac:dyDescent="0.3">
      <c r="A2865" s="4">
        <v>2863</v>
      </c>
      <c r="B2865" s="2" t="s">
        <v>2253</v>
      </c>
      <c r="C2865" s="3">
        <v>44853</v>
      </c>
      <c r="D2865" s="3" t="str">
        <f>TEXT(Table1[[#This Row],[Admission Date]],"MMMM")</f>
        <v>October</v>
      </c>
      <c r="E2865" s="3">
        <v>44854</v>
      </c>
      <c r="F2865" s="3">
        <v>44854</v>
      </c>
      <c r="G2865" s="2">
        <v>22027896</v>
      </c>
      <c r="H2865" s="2">
        <v>2236607</v>
      </c>
      <c r="I2865" s="2">
        <v>1001803988</v>
      </c>
      <c r="J2865" s="2" t="s">
        <v>1334</v>
      </c>
      <c r="K2865" s="10">
        <v>150349</v>
      </c>
      <c r="L2865" s="10">
        <v>0</v>
      </c>
      <c r="M2865" s="10">
        <v>150349</v>
      </c>
      <c r="N2865" s="10">
        <v>12210</v>
      </c>
      <c r="O2865" s="10">
        <f>Table1[[#This Row],[NET Amount]]-Table1[[#This Row],[Paid Amount]]</f>
        <v>138139</v>
      </c>
      <c r="P2865" s="2" t="s">
        <v>23</v>
      </c>
      <c r="Q2865" s="2" t="s">
        <v>24</v>
      </c>
      <c r="R2865" s="16">
        <f>(Table1[[#This Row],[NET Amount]]-Table1[[#This Row],[Total Outstanding Amount]])/Table1[[#This Row],[NET Amount]]</f>
        <v>8.1211048959421078E-2</v>
      </c>
      <c r="S2865" s="2" t="s">
        <v>39</v>
      </c>
    </row>
    <row r="2866" spans="1:19" x14ac:dyDescent="0.3">
      <c r="A2866" s="4">
        <v>2864</v>
      </c>
      <c r="B2866" s="2" t="s">
        <v>126</v>
      </c>
      <c r="C2866" s="3">
        <v>44834</v>
      </c>
      <c r="D2866" s="3" t="str">
        <f>TEXT(Table1[[#This Row],[Admission Date]],"MMMM")</f>
        <v>September</v>
      </c>
      <c r="E2866" s="3">
        <v>44844</v>
      </c>
      <c r="F2866" s="3">
        <v>44844</v>
      </c>
      <c r="G2866" s="2">
        <v>22026474</v>
      </c>
      <c r="H2866" s="2">
        <v>2234136</v>
      </c>
      <c r="I2866" s="2">
        <v>10013314613</v>
      </c>
      <c r="J2866" s="2" t="s">
        <v>1290</v>
      </c>
      <c r="K2866" s="10">
        <v>559952</v>
      </c>
      <c r="L2866" s="10">
        <v>62565</v>
      </c>
      <c r="M2866" s="10">
        <v>497387</v>
      </c>
      <c r="N2866" s="10">
        <v>268332</v>
      </c>
      <c r="O2866" s="10">
        <f>Table1[[#This Row],[NET Amount]]-Table1[[#This Row],[Paid Amount]]</f>
        <v>229055</v>
      </c>
      <c r="P2866" s="2" t="s">
        <v>23</v>
      </c>
      <c r="Q2866" s="2" t="s">
        <v>24</v>
      </c>
      <c r="R2866" s="16">
        <f>(Table1[[#This Row],[NET Amount]]-Table1[[#This Row],[Total Outstanding Amount]])/Table1[[#This Row],[NET Amount]]</f>
        <v>0.53948333993449771</v>
      </c>
      <c r="S2866" s="2" t="s">
        <v>20</v>
      </c>
    </row>
    <row r="2867" spans="1:19" x14ac:dyDescent="0.3">
      <c r="A2867" s="4">
        <v>2865</v>
      </c>
      <c r="B2867" s="2" t="s">
        <v>25</v>
      </c>
      <c r="C2867" s="3">
        <v>44845</v>
      </c>
      <c r="D2867" s="3" t="str">
        <f>TEXT(Table1[[#This Row],[Admission Date]],"MMMM")</f>
        <v>October</v>
      </c>
      <c r="E2867" s="3">
        <v>44846</v>
      </c>
      <c r="F2867" s="3">
        <v>44846</v>
      </c>
      <c r="G2867" s="2">
        <v>22026674</v>
      </c>
      <c r="H2867" s="2">
        <v>2235526</v>
      </c>
      <c r="I2867" s="2">
        <v>1001803728</v>
      </c>
      <c r="J2867" s="2" t="s">
        <v>612</v>
      </c>
      <c r="K2867" s="10">
        <v>9805</v>
      </c>
      <c r="L2867" s="10">
        <v>1471</v>
      </c>
      <c r="M2867" s="10">
        <v>8334</v>
      </c>
      <c r="N2867" s="10">
        <v>8334</v>
      </c>
      <c r="O2867" s="10">
        <f>Table1[[#This Row],[NET Amount]]-Table1[[#This Row],[Paid Amount]]</f>
        <v>0</v>
      </c>
      <c r="P2867" s="2" t="s">
        <v>18</v>
      </c>
      <c r="Q2867" s="2" t="s">
        <v>24</v>
      </c>
      <c r="R2867" s="16">
        <f>(Table1[[#This Row],[NET Amount]]-Table1[[#This Row],[Total Outstanding Amount]])/Table1[[#This Row],[NET Amount]]</f>
        <v>1</v>
      </c>
      <c r="S2867" s="2" t="s">
        <v>27</v>
      </c>
    </row>
    <row r="2868" spans="1:19" x14ac:dyDescent="0.3">
      <c r="A2868" s="4">
        <v>2866</v>
      </c>
      <c r="B2868" s="2" t="s">
        <v>113</v>
      </c>
      <c r="C2868" s="3">
        <v>44844</v>
      </c>
      <c r="D2868" s="3" t="str">
        <f>TEXT(Table1[[#This Row],[Admission Date]],"MMMM")</f>
        <v>October</v>
      </c>
      <c r="E2868" s="3">
        <v>44844</v>
      </c>
      <c r="F2868" s="3">
        <v>44844</v>
      </c>
      <c r="G2868" s="2">
        <v>22026339</v>
      </c>
      <c r="H2868" s="2">
        <v>2235336</v>
      </c>
      <c r="I2868" s="2">
        <v>10013524248</v>
      </c>
      <c r="J2868" s="2" t="s">
        <v>211</v>
      </c>
      <c r="K2868" s="10">
        <v>1610</v>
      </c>
      <c r="L2868" s="10">
        <v>0</v>
      </c>
      <c r="M2868" s="10">
        <v>1610</v>
      </c>
      <c r="N2868" s="10">
        <v>1610</v>
      </c>
      <c r="O2868" s="10">
        <f>Table1[[#This Row],[NET Amount]]-Table1[[#This Row],[Paid Amount]]</f>
        <v>0</v>
      </c>
      <c r="P2868" s="2" t="s">
        <v>18</v>
      </c>
      <c r="Q2868" s="2" t="s">
        <v>54</v>
      </c>
      <c r="R2868" s="16">
        <f>(Table1[[#This Row],[NET Amount]]-Table1[[#This Row],[Total Outstanding Amount]])/Table1[[#This Row],[NET Amount]]</f>
        <v>1</v>
      </c>
      <c r="S2868" s="2" t="s">
        <v>97</v>
      </c>
    </row>
    <row r="2869" spans="1:19" x14ac:dyDescent="0.3">
      <c r="A2869" s="4">
        <v>2867</v>
      </c>
      <c r="B2869" s="2" t="s">
        <v>75</v>
      </c>
      <c r="C2869" s="3">
        <v>44821</v>
      </c>
      <c r="D2869" s="3" t="str">
        <f>TEXT(Table1[[#This Row],[Admission Date]],"MMMM")</f>
        <v>September</v>
      </c>
      <c r="E2869" s="3">
        <v>44835</v>
      </c>
      <c r="F2869" s="3">
        <v>44835</v>
      </c>
      <c r="G2869" s="2">
        <v>22025205</v>
      </c>
      <c r="H2869" s="2">
        <v>2232406</v>
      </c>
      <c r="I2869" s="2">
        <v>10013539137</v>
      </c>
      <c r="J2869" s="2" t="s">
        <v>1747</v>
      </c>
      <c r="K2869" s="10">
        <v>496986</v>
      </c>
      <c r="L2869" s="10">
        <v>0</v>
      </c>
      <c r="M2869" s="10">
        <v>496986</v>
      </c>
      <c r="N2869" s="10">
        <v>13881</v>
      </c>
      <c r="O2869" s="10">
        <f>Table1[[#This Row],[NET Amount]]-Table1[[#This Row],[Paid Amount]]</f>
        <v>483105</v>
      </c>
      <c r="P2869" s="2" t="s">
        <v>23</v>
      </c>
      <c r="Q2869" s="2" t="s">
        <v>19</v>
      </c>
      <c r="R2869" s="16">
        <f>(Table1[[#This Row],[NET Amount]]-Table1[[#This Row],[Total Outstanding Amount]])/Table1[[#This Row],[NET Amount]]</f>
        <v>2.7930364235612272E-2</v>
      </c>
      <c r="S2869" s="2" t="s">
        <v>20</v>
      </c>
    </row>
    <row r="2870" spans="1:19" x14ac:dyDescent="0.3">
      <c r="A2870" s="4">
        <v>2868</v>
      </c>
      <c r="B2870" s="2" t="s">
        <v>72</v>
      </c>
      <c r="C2870" s="3">
        <v>44845</v>
      </c>
      <c r="D2870" s="3" t="str">
        <f>TEXT(Table1[[#This Row],[Admission Date]],"MMMM")</f>
        <v>October</v>
      </c>
      <c r="E2870" s="3">
        <v>44855</v>
      </c>
      <c r="F2870" s="3">
        <v>44855</v>
      </c>
      <c r="G2870" s="2">
        <v>22028006</v>
      </c>
      <c r="H2870" s="2">
        <v>2235552</v>
      </c>
      <c r="I2870" s="2">
        <v>1001118762</v>
      </c>
      <c r="J2870" s="2" t="s">
        <v>1748</v>
      </c>
      <c r="K2870" s="10">
        <v>305257</v>
      </c>
      <c r="L2870" s="10">
        <v>34685</v>
      </c>
      <c r="M2870" s="10">
        <v>270572</v>
      </c>
      <c r="N2870" s="10">
        <v>7990</v>
      </c>
      <c r="O2870" s="10">
        <f>Table1[[#This Row],[NET Amount]]-Table1[[#This Row],[Paid Amount]]</f>
        <v>262582</v>
      </c>
      <c r="P2870" s="2" t="s">
        <v>23</v>
      </c>
      <c r="Q2870" s="2" t="s">
        <v>42</v>
      </c>
      <c r="R2870" s="16">
        <f>(Table1[[#This Row],[NET Amount]]-Table1[[#This Row],[Total Outstanding Amount]])/Table1[[#This Row],[NET Amount]]</f>
        <v>2.953003267152551E-2</v>
      </c>
      <c r="S2870" s="2" t="s">
        <v>37</v>
      </c>
    </row>
    <row r="2871" spans="1:19" x14ac:dyDescent="0.3">
      <c r="A2871" s="4">
        <v>2869</v>
      </c>
      <c r="B2871" s="2" t="s">
        <v>25</v>
      </c>
      <c r="C2871" s="3">
        <v>44845</v>
      </c>
      <c r="D2871" s="3" t="str">
        <f>TEXT(Table1[[#This Row],[Admission Date]],"MMMM")</f>
        <v>October</v>
      </c>
      <c r="E2871" s="3">
        <v>44845</v>
      </c>
      <c r="F2871" s="3">
        <v>44845</v>
      </c>
      <c r="G2871" s="2">
        <v>22026554</v>
      </c>
      <c r="H2871" s="2">
        <v>2235553</v>
      </c>
      <c r="I2871" s="2">
        <v>1000975940</v>
      </c>
      <c r="J2871" s="2" t="s">
        <v>341</v>
      </c>
      <c r="K2871" s="10">
        <v>4990</v>
      </c>
      <c r="L2871" s="10">
        <v>432</v>
      </c>
      <c r="M2871" s="10">
        <v>4558</v>
      </c>
      <c r="N2871" s="10">
        <v>4558</v>
      </c>
      <c r="O2871" s="10">
        <f>Table1[[#This Row],[NET Amount]]-Table1[[#This Row],[Paid Amount]]</f>
        <v>0</v>
      </c>
      <c r="P2871" s="2" t="s">
        <v>18</v>
      </c>
      <c r="Q2871" s="2" t="s">
        <v>54</v>
      </c>
      <c r="R2871" s="16">
        <f>(Table1[[#This Row],[NET Amount]]-Table1[[#This Row],[Total Outstanding Amount]])/Table1[[#This Row],[NET Amount]]</f>
        <v>1</v>
      </c>
      <c r="S2871" s="2" t="s">
        <v>97</v>
      </c>
    </row>
    <row r="2872" spans="1:19" x14ac:dyDescent="0.3">
      <c r="A2872" s="4">
        <v>2870</v>
      </c>
      <c r="B2872" s="2" t="s">
        <v>25</v>
      </c>
      <c r="C2872" s="3">
        <v>44845</v>
      </c>
      <c r="D2872" s="3" t="str">
        <f>TEXT(Table1[[#This Row],[Admission Date]],"MMMM")</f>
        <v>October</v>
      </c>
      <c r="E2872" s="3">
        <v>44845</v>
      </c>
      <c r="F2872" s="3">
        <v>44845</v>
      </c>
      <c r="G2872" s="2">
        <v>22026586</v>
      </c>
      <c r="H2872" s="2">
        <v>2235491</v>
      </c>
      <c r="I2872" s="2">
        <v>10013541160</v>
      </c>
      <c r="J2872" s="2" t="s">
        <v>336</v>
      </c>
      <c r="K2872" s="10">
        <v>4990</v>
      </c>
      <c r="L2872" s="10">
        <v>538</v>
      </c>
      <c r="M2872" s="10">
        <v>4452</v>
      </c>
      <c r="N2872" s="10">
        <v>4452</v>
      </c>
      <c r="O2872" s="10">
        <f>Table1[[#This Row],[NET Amount]]-Table1[[#This Row],[Paid Amount]]</f>
        <v>0</v>
      </c>
      <c r="P2872" s="2" t="s">
        <v>18</v>
      </c>
      <c r="Q2872" s="2" t="s">
        <v>54</v>
      </c>
      <c r="R2872" s="16">
        <f>(Table1[[#This Row],[NET Amount]]-Table1[[#This Row],[Total Outstanding Amount]])/Table1[[#This Row],[NET Amount]]</f>
        <v>1</v>
      </c>
      <c r="S2872" s="2" t="s">
        <v>97</v>
      </c>
    </row>
    <row r="2873" spans="1:19" x14ac:dyDescent="0.3">
      <c r="A2873" s="4">
        <v>2871</v>
      </c>
      <c r="B2873" s="2" t="s">
        <v>25</v>
      </c>
      <c r="C2873" s="3">
        <v>44845</v>
      </c>
      <c r="D2873" s="3" t="str">
        <f>TEXT(Table1[[#This Row],[Admission Date]],"MMMM")</f>
        <v>October</v>
      </c>
      <c r="E2873" s="3">
        <v>44848</v>
      </c>
      <c r="F2873" s="3">
        <v>44848</v>
      </c>
      <c r="G2873" s="2">
        <v>22026973</v>
      </c>
      <c r="H2873" s="2">
        <v>2235601</v>
      </c>
      <c r="I2873" s="2">
        <v>10013539654</v>
      </c>
      <c r="J2873" s="2" t="s">
        <v>49</v>
      </c>
      <c r="K2873" s="10">
        <v>119116</v>
      </c>
      <c r="L2873" s="10">
        <v>10552</v>
      </c>
      <c r="M2873" s="10">
        <v>108564</v>
      </c>
      <c r="N2873" s="10">
        <v>108564</v>
      </c>
      <c r="O2873" s="10">
        <f>Table1[[#This Row],[NET Amount]]-Table1[[#This Row],[Paid Amount]]</f>
        <v>0</v>
      </c>
      <c r="P2873" s="2" t="s">
        <v>18</v>
      </c>
      <c r="Q2873" s="2" t="s">
        <v>30</v>
      </c>
      <c r="R2873" s="16">
        <f>(Table1[[#This Row],[NET Amount]]-Table1[[#This Row],[Total Outstanding Amount]])/Table1[[#This Row],[NET Amount]]</f>
        <v>1</v>
      </c>
      <c r="S2873" s="2" t="s">
        <v>20</v>
      </c>
    </row>
    <row r="2874" spans="1:19" x14ac:dyDescent="0.3">
      <c r="A2874" s="4">
        <v>2872</v>
      </c>
      <c r="B2874" s="2" t="s">
        <v>2256</v>
      </c>
      <c r="C2874" s="3">
        <v>44840</v>
      </c>
      <c r="D2874" s="3" t="str">
        <f>TEXT(Table1[[#This Row],[Admission Date]],"MMMM")</f>
        <v>October</v>
      </c>
      <c r="E2874" s="3">
        <v>44844</v>
      </c>
      <c r="F2874" s="3">
        <v>44844</v>
      </c>
      <c r="G2874" s="2">
        <v>22026455</v>
      </c>
      <c r="H2874" s="2">
        <v>2234882</v>
      </c>
      <c r="I2874" s="2">
        <v>1001802772</v>
      </c>
      <c r="J2874" s="2" t="s">
        <v>1749</v>
      </c>
      <c r="K2874" s="10">
        <v>77338</v>
      </c>
      <c r="L2874" s="10">
        <v>14458</v>
      </c>
      <c r="M2874" s="10">
        <v>62880</v>
      </c>
      <c r="N2874" s="10">
        <v>1000</v>
      </c>
      <c r="O2874" s="10">
        <f>Table1[[#This Row],[NET Amount]]-Table1[[#This Row],[Paid Amount]]</f>
        <v>61880</v>
      </c>
      <c r="P2874" s="2" t="s">
        <v>23</v>
      </c>
      <c r="Q2874" s="2" t="s">
        <v>19</v>
      </c>
      <c r="R2874" s="16">
        <f>(Table1[[#This Row],[NET Amount]]-Table1[[#This Row],[Total Outstanding Amount]])/Table1[[#This Row],[NET Amount]]</f>
        <v>1.5903307888040712E-2</v>
      </c>
      <c r="S2874" s="2" t="s">
        <v>20</v>
      </c>
    </row>
    <row r="2875" spans="1:19" x14ac:dyDescent="0.3">
      <c r="A2875" s="4">
        <v>2873</v>
      </c>
      <c r="B2875" s="2" t="s">
        <v>166</v>
      </c>
      <c r="C2875" s="3">
        <v>44855</v>
      </c>
      <c r="D2875" s="3" t="str">
        <f>TEXT(Table1[[#This Row],[Admission Date]],"MMMM")</f>
        <v>October</v>
      </c>
      <c r="E2875" s="3">
        <v>44855</v>
      </c>
      <c r="F2875" s="3">
        <v>44855</v>
      </c>
      <c r="G2875" s="2">
        <v>22028023</v>
      </c>
      <c r="H2875" s="2">
        <v>2236898</v>
      </c>
      <c r="I2875" s="2">
        <v>10013471499</v>
      </c>
      <c r="J2875" s="2" t="s">
        <v>729</v>
      </c>
      <c r="K2875" s="10">
        <v>2200</v>
      </c>
      <c r="L2875" s="10">
        <v>0</v>
      </c>
      <c r="M2875" s="10">
        <v>2200</v>
      </c>
      <c r="N2875" s="10">
        <v>220</v>
      </c>
      <c r="O2875" s="10">
        <f>Table1[[#This Row],[NET Amount]]-Table1[[#This Row],[Paid Amount]]</f>
        <v>1980</v>
      </c>
      <c r="P2875" s="2" t="s">
        <v>23</v>
      </c>
      <c r="Q2875" s="2" t="s">
        <v>147</v>
      </c>
      <c r="R2875" s="16">
        <f>(Table1[[#This Row],[NET Amount]]-Table1[[#This Row],[Total Outstanding Amount]])/Table1[[#This Row],[NET Amount]]</f>
        <v>0.1</v>
      </c>
      <c r="S2875" s="2" t="s">
        <v>97</v>
      </c>
    </row>
    <row r="2876" spans="1:19" x14ac:dyDescent="0.3">
      <c r="A2876" s="4">
        <v>2874</v>
      </c>
      <c r="B2876" s="2" t="s">
        <v>50</v>
      </c>
      <c r="C2876" s="3">
        <v>44861</v>
      </c>
      <c r="D2876" s="3" t="str">
        <f>TEXT(Table1[[#This Row],[Admission Date]],"MMMM")</f>
        <v>October</v>
      </c>
      <c r="E2876" s="3">
        <v>44861</v>
      </c>
      <c r="F2876" s="3">
        <v>44861</v>
      </c>
      <c r="G2876" s="2">
        <v>22028792</v>
      </c>
      <c r="H2876" s="2">
        <v>2237633</v>
      </c>
      <c r="I2876" s="2">
        <v>1000983811</v>
      </c>
      <c r="J2876" s="2" t="s">
        <v>564</v>
      </c>
      <c r="K2876" s="10">
        <v>2200</v>
      </c>
      <c r="L2876" s="10">
        <v>0</v>
      </c>
      <c r="M2876" s="10">
        <v>2200</v>
      </c>
      <c r="N2876" s="10">
        <v>440</v>
      </c>
      <c r="O2876" s="10">
        <f>Table1[[#This Row],[NET Amount]]-Table1[[#This Row],[Paid Amount]]</f>
        <v>1760</v>
      </c>
      <c r="P2876" s="2" t="s">
        <v>23</v>
      </c>
      <c r="Q2876" s="2" t="s">
        <v>147</v>
      </c>
      <c r="R2876" s="16">
        <f>(Table1[[#This Row],[NET Amount]]-Table1[[#This Row],[Total Outstanding Amount]])/Table1[[#This Row],[NET Amount]]</f>
        <v>0.2</v>
      </c>
      <c r="S2876" s="2" t="s">
        <v>97</v>
      </c>
    </row>
    <row r="2877" spans="1:19" x14ac:dyDescent="0.3">
      <c r="A2877" s="4">
        <v>2875</v>
      </c>
      <c r="B2877" s="2" t="s">
        <v>380</v>
      </c>
      <c r="C2877" s="3">
        <v>44861</v>
      </c>
      <c r="D2877" s="3" t="str">
        <f>TEXT(Table1[[#This Row],[Admission Date]],"MMMM")</f>
        <v>October</v>
      </c>
      <c r="E2877" s="3">
        <v>44861</v>
      </c>
      <c r="F2877" s="3">
        <v>44861</v>
      </c>
      <c r="G2877" s="2">
        <v>22028806</v>
      </c>
      <c r="H2877" s="2">
        <v>2237669</v>
      </c>
      <c r="I2877" s="2">
        <v>10013457170</v>
      </c>
      <c r="J2877" s="2" t="s">
        <v>1075</v>
      </c>
      <c r="K2877" s="10">
        <v>3117</v>
      </c>
      <c r="L2877" s="10">
        <v>0</v>
      </c>
      <c r="M2877" s="10">
        <v>3117</v>
      </c>
      <c r="N2877" s="10">
        <v>1843</v>
      </c>
      <c r="O2877" s="10">
        <f>Table1[[#This Row],[NET Amount]]-Table1[[#This Row],[Paid Amount]]</f>
        <v>1274</v>
      </c>
      <c r="P2877" s="2" t="s">
        <v>23</v>
      </c>
      <c r="Q2877" s="2" t="s">
        <v>54</v>
      </c>
      <c r="R2877" s="16">
        <f>(Table1[[#This Row],[NET Amount]]-Table1[[#This Row],[Total Outstanding Amount]])/Table1[[#This Row],[NET Amount]]</f>
        <v>0.5912736605710619</v>
      </c>
      <c r="S2877" s="2" t="s">
        <v>97</v>
      </c>
    </row>
    <row r="2878" spans="1:19" x14ac:dyDescent="0.3">
      <c r="A2878" s="4">
        <v>2876</v>
      </c>
      <c r="B2878" s="2" t="s">
        <v>139</v>
      </c>
      <c r="C2878" s="3">
        <v>44858</v>
      </c>
      <c r="D2878" s="3" t="str">
        <f>TEXT(Table1[[#This Row],[Admission Date]],"MMMM")</f>
        <v>October</v>
      </c>
      <c r="E2878" s="3">
        <v>44863</v>
      </c>
      <c r="F2878" s="3">
        <v>44863</v>
      </c>
      <c r="G2878" s="2">
        <v>22029117</v>
      </c>
      <c r="H2878" s="2">
        <v>2237209</v>
      </c>
      <c r="I2878" s="2">
        <v>10013544284</v>
      </c>
      <c r="J2878" s="2" t="s">
        <v>770</v>
      </c>
      <c r="K2878" s="10">
        <v>275142</v>
      </c>
      <c r="L2878" s="10">
        <v>0</v>
      </c>
      <c r="M2878" s="10">
        <v>275142</v>
      </c>
      <c r="N2878" s="10">
        <v>34500</v>
      </c>
      <c r="O2878" s="10">
        <f>Table1[[#This Row],[NET Amount]]-Table1[[#This Row],[Paid Amount]]</f>
        <v>240642</v>
      </c>
      <c r="P2878" s="2" t="s">
        <v>23</v>
      </c>
      <c r="Q2878" s="2" t="s">
        <v>30</v>
      </c>
      <c r="R2878" s="16">
        <f>(Table1[[#This Row],[NET Amount]]-Table1[[#This Row],[Total Outstanding Amount]])/Table1[[#This Row],[NET Amount]]</f>
        <v>0.12538979872211439</v>
      </c>
      <c r="S2878" s="2" t="s">
        <v>39</v>
      </c>
    </row>
    <row r="2879" spans="1:19" x14ac:dyDescent="0.3">
      <c r="A2879" s="4">
        <v>2877</v>
      </c>
      <c r="B2879" s="2" t="s">
        <v>50</v>
      </c>
      <c r="C2879" s="3">
        <v>44859</v>
      </c>
      <c r="D2879" s="3" t="str">
        <f>TEXT(Table1[[#This Row],[Admission Date]],"MMMM")</f>
        <v>October</v>
      </c>
      <c r="E2879" s="3">
        <v>44859</v>
      </c>
      <c r="F2879" s="3">
        <v>44859</v>
      </c>
      <c r="G2879" s="2">
        <v>22028467</v>
      </c>
      <c r="H2879" s="2">
        <v>2237263</v>
      </c>
      <c r="I2879" s="2">
        <v>1000891498</v>
      </c>
      <c r="J2879" s="2" t="s">
        <v>299</v>
      </c>
      <c r="K2879" s="10">
        <v>2200</v>
      </c>
      <c r="L2879" s="10">
        <v>0</v>
      </c>
      <c r="M2879" s="10">
        <v>2200</v>
      </c>
      <c r="N2879" s="10">
        <v>440</v>
      </c>
      <c r="O2879" s="10">
        <f>Table1[[#This Row],[NET Amount]]-Table1[[#This Row],[Paid Amount]]</f>
        <v>1760</v>
      </c>
      <c r="P2879" s="2" t="s">
        <v>23</v>
      </c>
      <c r="Q2879" s="2" t="s">
        <v>147</v>
      </c>
      <c r="R2879" s="16">
        <f>(Table1[[#This Row],[NET Amount]]-Table1[[#This Row],[Total Outstanding Amount]])/Table1[[#This Row],[NET Amount]]</f>
        <v>0.2</v>
      </c>
      <c r="S2879" s="2" t="s">
        <v>97</v>
      </c>
    </row>
    <row r="2880" spans="1:19" x14ac:dyDescent="0.3">
      <c r="A2880" s="4">
        <v>2878</v>
      </c>
      <c r="B2880" s="2" t="s">
        <v>75</v>
      </c>
      <c r="C2880" s="3">
        <v>44847</v>
      </c>
      <c r="D2880" s="3" t="str">
        <f>TEXT(Table1[[#This Row],[Admission Date]],"MMMM")</f>
        <v>October</v>
      </c>
      <c r="E2880" s="3">
        <v>44851</v>
      </c>
      <c r="F2880" s="3">
        <v>44851</v>
      </c>
      <c r="G2880" s="2">
        <v>22027440</v>
      </c>
      <c r="H2880" s="2">
        <v>2235880</v>
      </c>
      <c r="I2880" s="2">
        <v>10013542895</v>
      </c>
      <c r="J2880" s="2" t="s">
        <v>1750</v>
      </c>
      <c r="K2880" s="10">
        <v>45359</v>
      </c>
      <c r="L2880" s="10">
        <v>0</v>
      </c>
      <c r="M2880" s="10">
        <v>45359</v>
      </c>
      <c r="N2880" s="10">
        <v>1245</v>
      </c>
      <c r="O2880" s="10">
        <f>Table1[[#This Row],[NET Amount]]-Table1[[#This Row],[Paid Amount]]</f>
        <v>44114</v>
      </c>
      <c r="P2880" s="2" t="s">
        <v>23</v>
      </c>
      <c r="Q2880" s="2" t="s">
        <v>19</v>
      </c>
      <c r="R2880" s="16">
        <f>(Table1[[#This Row],[NET Amount]]-Table1[[#This Row],[Total Outstanding Amount]])/Table1[[#This Row],[NET Amount]]</f>
        <v>2.7447695055005623E-2</v>
      </c>
      <c r="S2880" s="2" t="s">
        <v>20</v>
      </c>
    </row>
    <row r="2881" spans="1:19" x14ac:dyDescent="0.3">
      <c r="A2881" s="4">
        <v>2879</v>
      </c>
      <c r="B2881" s="2" t="s">
        <v>168</v>
      </c>
      <c r="C2881" s="3">
        <v>44832</v>
      </c>
      <c r="D2881" s="3" t="str">
        <f>TEXT(Table1[[#This Row],[Admission Date]],"MMMM")</f>
        <v>September</v>
      </c>
      <c r="E2881" s="3">
        <v>44837</v>
      </c>
      <c r="F2881" s="3">
        <v>44838</v>
      </c>
      <c r="G2881" s="2">
        <v>22025608</v>
      </c>
      <c r="H2881" s="2">
        <v>2233819</v>
      </c>
      <c r="I2881" s="2">
        <v>10013540703</v>
      </c>
      <c r="J2881" s="2" t="s">
        <v>1751</v>
      </c>
      <c r="K2881" s="10">
        <v>232126</v>
      </c>
      <c r="L2881" s="10">
        <v>30662</v>
      </c>
      <c r="M2881" s="10">
        <v>201464</v>
      </c>
      <c r="N2881" s="10">
        <v>5781</v>
      </c>
      <c r="O2881" s="10">
        <f>Table1[[#This Row],[NET Amount]]-Table1[[#This Row],[Paid Amount]]</f>
        <v>195683</v>
      </c>
      <c r="P2881" s="2" t="s">
        <v>23</v>
      </c>
      <c r="Q2881" s="2" t="s">
        <v>396</v>
      </c>
      <c r="R2881" s="16">
        <f>(Table1[[#This Row],[NET Amount]]-Table1[[#This Row],[Total Outstanding Amount]])/Table1[[#This Row],[NET Amount]]</f>
        <v>2.8694952944446652E-2</v>
      </c>
      <c r="S2881" s="2" t="s">
        <v>95</v>
      </c>
    </row>
    <row r="2882" spans="1:19" x14ac:dyDescent="0.3">
      <c r="A2882" s="4">
        <v>2880</v>
      </c>
      <c r="B2882" s="2" t="s">
        <v>259</v>
      </c>
      <c r="C2882" s="3">
        <v>44842</v>
      </c>
      <c r="D2882" s="3" t="str">
        <f>TEXT(Table1[[#This Row],[Admission Date]],"MMMM")</f>
        <v>October</v>
      </c>
      <c r="E2882" s="3">
        <v>44843</v>
      </c>
      <c r="F2882" s="3">
        <v>44843</v>
      </c>
      <c r="G2882" s="2">
        <v>22026254</v>
      </c>
      <c r="H2882" s="2">
        <v>2235135</v>
      </c>
      <c r="I2882" s="2">
        <v>1001803188</v>
      </c>
      <c r="J2882" s="2" t="s">
        <v>1752</v>
      </c>
      <c r="K2882" s="10">
        <v>101205</v>
      </c>
      <c r="L2882" s="10">
        <v>0</v>
      </c>
      <c r="M2882" s="10">
        <v>101205</v>
      </c>
      <c r="N2882" s="10">
        <v>1500</v>
      </c>
      <c r="O2882" s="10">
        <f>Table1[[#This Row],[NET Amount]]-Table1[[#This Row],[Paid Amount]]</f>
        <v>99705</v>
      </c>
      <c r="P2882" s="2" t="s">
        <v>23</v>
      </c>
      <c r="Q2882" s="2" t="s">
        <v>30</v>
      </c>
      <c r="R2882" s="16">
        <f>(Table1[[#This Row],[NET Amount]]-Table1[[#This Row],[Total Outstanding Amount]])/Table1[[#This Row],[NET Amount]]</f>
        <v>1.4821402104639099E-2</v>
      </c>
      <c r="S2882" s="2" t="s">
        <v>138</v>
      </c>
    </row>
    <row r="2883" spans="1:19" x14ac:dyDescent="0.3">
      <c r="A2883" s="4">
        <v>2881</v>
      </c>
      <c r="B2883" s="2" t="s">
        <v>155</v>
      </c>
      <c r="C2883" s="3">
        <v>44861</v>
      </c>
      <c r="D2883" s="3" t="str">
        <f>TEXT(Table1[[#This Row],[Admission Date]],"MMMM")</f>
        <v>October</v>
      </c>
      <c r="E2883" s="3">
        <v>44861</v>
      </c>
      <c r="F2883" s="3">
        <v>44861</v>
      </c>
      <c r="G2883" s="2">
        <v>22028714</v>
      </c>
      <c r="H2883" s="2">
        <v>2237606</v>
      </c>
      <c r="I2883" s="2">
        <v>10013269857</v>
      </c>
      <c r="J2883" s="2" t="s">
        <v>175</v>
      </c>
      <c r="K2883" s="10">
        <v>1610</v>
      </c>
      <c r="L2883" s="10">
        <v>0</v>
      </c>
      <c r="M2883" s="10">
        <v>1610</v>
      </c>
      <c r="N2883" s="10">
        <v>1610</v>
      </c>
      <c r="O2883" s="10">
        <f>Table1[[#This Row],[NET Amount]]-Table1[[#This Row],[Paid Amount]]</f>
        <v>0</v>
      </c>
      <c r="P2883" s="2" t="s">
        <v>18</v>
      </c>
      <c r="Q2883" s="2" t="s">
        <v>54</v>
      </c>
      <c r="R2883" s="16">
        <f>(Table1[[#This Row],[NET Amount]]-Table1[[#This Row],[Total Outstanding Amount]])/Table1[[#This Row],[NET Amount]]</f>
        <v>1</v>
      </c>
      <c r="S2883" s="2" t="s">
        <v>97</v>
      </c>
    </row>
    <row r="2884" spans="1:19" x14ac:dyDescent="0.3">
      <c r="A2884" s="4">
        <v>2882</v>
      </c>
      <c r="B2884" s="2" t="s">
        <v>155</v>
      </c>
      <c r="C2884" s="3">
        <v>44861</v>
      </c>
      <c r="D2884" s="3" t="str">
        <f>TEXT(Table1[[#This Row],[Admission Date]],"MMMM")</f>
        <v>October</v>
      </c>
      <c r="E2884" s="3">
        <v>44861</v>
      </c>
      <c r="F2884" s="3">
        <v>44861</v>
      </c>
      <c r="G2884" s="2">
        <v>22028708</v>
      </c>
      <c r="H2884" s="2">
        <v>2237601</v>
      </c>
      <c r="I2884" s="2">
        <v>10013521425</v>
      </c>
      <c r="J2884" s="2" t="s">
        <v>156</v>
      </c>
      <c r="K2884" s="10">
        <v>1610</v>
      </c>
      <c r="L2884" s="10">
        <v>0</v>
      </c>
      <c r="M2884" s="10">
        <v>1610</v>
      </c>
      <c r="N2884" s="10">
        <v>1610</v>
      </c>
      <c r="O2884" s="10">
        <f>Table1[[#This Row],[NET Amount]]-Table1[[#This Row],[Paid Amount]]</f>
        <v>0</v>
      </c>
      <c r="P2884" s="2" t="s">
        <v>18</v>
      </c>
      <c r="Q2884" s="2" t="s">
        <v>54</v>
      </c>
      <c r="R2884" s="16">
        <f>(Table1[[#This Row],[NET Amount]]-Table1[[#This Row],[Total Outstanding Amount]])/Table1[[#This Row],[NET Amount]]</f>
        <v>1</v>
      </c>
      <c r="S2884" s="2" t="s">
        <v>97</v>
      </c>
    </row>
    <row r="2885" spans="1:19" x14ac:dyDescent="0.3">
      <c r="A2885" s="4">
        <v>2883</v>
      </c>
      <c r="B2885" s="2" t="s">
        <v>35</v>
      </c>
      <c r="C2885" s="3">
        <v>44853</v>
      </c>
      <c r="D2885" s="3" t="str">
        <f>TEXT(Table1[[#This Row],[Admission Date]],"MMMM")</f>
        <v>October</v>
      </c>
      <c r="E2885" s="3">
        <v>44854</v>
      </c>
      <c r="F2885" s="3">
        <v>44854</v>
      </c>
      <c r="G2885" s="2">
        <v>22027923</v>
      </c>
      <c r="H2885" s="2">
        <v>2236589</v>
      </c>
      <c r="I2885" s="2">
        <v>1001059298</v>
      </c>
      <c r="J2885" s="2" t="s">
        <v>339</v>
      </c>
      <c r="K2885" s="10">
        <v>5937</v>
      </c>
      <c r="L2885" s="10">
        <v>0</v>
      </c>
      <c r="M2885" s="10">
        <v>5937</v>
      </c>
      <c r="N2885" s="10">
        <v>5937</v>
      </c>
      <c r="O2885" s="10">
        <f>Table1[[#This Row],[NET Amount]]-Table1[[#This Row],[Paid Amount]]</f>
        <v>0</v>
      </c>
      <c r="P2885" s="2" t="s">
        <v>18</v>
      </c>
      <c r="Q2885" s="2" t="s">
        <v>19</v>
      </c>
      <c r="R2885" s="16">
        <f>(Table1[[#This Row],[NET Amount]]-Table1[[#This Row],[Total Outstanding Amount]])/Table1[[#This Row],[NET Amount]]</f>
        <v>1</v>
      </c>
      <c r="S2885" s="2" t="s">
        <v>43</v>
      </c>
    </row>
    <row r="2886" spans="1:19" x14ac:dyDescent="0.3">
      <c r="A2886" s="4">
        <v>2884</v>
      </c>
      <c r="B2886" s="2" t="s">
        <v>2253</v>
      </c>
      <c r="C2886" s="3">
        <v>44834</v>
      </c>
      <c r="D2886" s="3" t="str">
        <f>TEXT(Table1[[#This Row],[Admission Date]],"MMMM")</f>
        <v>September</v>
      </c>
      <c r="E2886" s="3">
        <v>44835</v>
      </c>
      <c r="F2886" s="3">
        <v>44835</v>
      </c>
      <c r="G2886" s="2">
        <v>22025164</v>
      </c>
      <c r="H2886" s="2">
        <v>2234006</v>
      </c>
      <c r="I2886" s="2">
        <v>1001733723</v>
      </c>
      <c r="J2886" s="2" t="s">
        <v>471</v>
      </c>
      <c r="K2886" s="10">
        <v>138763</v>
      </c>
      <c r="L2886" s="10">
        <v>0</v>
      </c>
      <c r="M2886" s="10">
        <v>138763</v>
      </c>
      <c r="N2886" s="10">
        <v>0</v>
      </c>
      <c r="O2886" s="10">
        <f>Table1[[#This Row],[NET Amount]]-Table1[[#This Row],[Paid Amount]]</f>
        <v>138763</v>
      </c>
      <c r="P2886" s="2" t="s">
        <v>23</v>
      </c>
      <c r="Q2886" s="2" t="s">
        <v>24</v>
      </c>
      <c r="R2886" s="16">
        <f>(Table1[[#This Row],[NET Amount]]-Table1[[#This Row],[Total Outstanding Amount]])/Table1[[#This Row],[NET Amount]]</f>
        <v>0</v>
      </c>
      <c r="S2886" s="2" t="s">
        <v>39</v>
      </c>
    </row>
    <row r="2887" spans="1:19" x14ac:dyDescent="0.3">
      <c r="A2887" s="4">
        <v>2885</v>
      </c>
      <c r="B2887" s="2" t="s">
        <v>75</v>
      </c>
      <c r="C2887" s="3">
        <v>44862</v>
      </c>
      <c r="D2887" s="3" t="str">
        <f>TEXT(Table1[[#This Row],[Admission Date]],"MMMM")</f>
        <v>October</v>
      </c>
      <c r="E2887" s="3">
        <v>44863</v>
      </c>
      <c r="F2887" s="3">
        <v>44863</v>
      </c>
      <c r="G2887" s="2">
        <v>22029077</v>
      </c>
      <c r="H2887" s="2">
        <v>2237767</v>
      </c>
      <c r="I2887" s="2">
        <v>10013522477</v>
      </c>
      <c r="J2887" s="2" t="s">
        <v>1753</v>
      </c>
      <c r="K2887" s="10">
        <v>177472</v>
      </c>
      <c r="L2887" s="10">
        <v>0</v>
      </c>
      <c r="M2887" s="10">
        <v>177472</v>
      </c>
      <c r="N2887" s="10">
        <v>24420</v>
      </c>
      <c r="O2887" s="10">
        <f>Table1[[#This Row],[NET Amount]]-Table1[[#This Row],[Paid Amount]]</f>
        <v>153052</v>
      </c>
      <c r="P2887" s="2" t="s">
        <v>23</v>
      </c>
      <c r="Q2887" s="2" t="s">
        <v>24</v>
      </c>
      <c r="R2887" s="16">
        <f>(Table1[[#This Row],[NET Amount]]-Table1[[#This Row],[Total Outstanding Amount]])/Table1[[#This Row],[NET Amount]]</f>
        <v>0.13759917057338622</v>
      </c>
      <c r="S2887" s="2" t="s">
        <v>39</v>
      </c>
    </row>
    <row r="2888" spans="1:19" x14ac:dyDescent="0.3">
      <c r="A2888" s="4">
        <v>2886</v>
      </c>
      <c r="B2888" s="2" t="s">
        <v>25</v>
      </c>
      <c r="C2888" s="3">
        <v>44855</v>
      </c>
      <c r="D2888" s="3" t="str">
        <f>TEXT(Table1[[#This Row],[Admission Date]],"MMMM")</f>
        <v>October</v>
      </c>
      <c r="E2888" s="3">
        <v>44855</v>
      </c>
      <c r="F2888" s="3">
        <v>44855</v>
      </c>
      <c r="G2888" s="2">
        <v>22028080</v>
      </c>
      <c r="H2888" s="2">
        <v>2236891</v>
      </c>
      <c r="I2888" s="2">
        <v>10013543919</v>
      </c>
      <c r="J2888" s="2" t="s">
        <v>1754</v>
      </c>
      <c r="K2888" s="10">
        <v>22205</v>
      </c>
      <c r="L2888" s="10">
        <v>2909</v>
      </c>
      <c r="M2888" s="10">
        <v>19296</v>
      </c>
      <c r="N2888" s="10">
        <v>19296</v>
      </c>
      <c r="O2888" s="10">
        <f>Table1[[#This Row],[NET Amount]]-Table1[[#This Row],[Paid Amount]]</f>
        <v>0</v>
      </c>
      <c r="P2888" s="2" t="s">
        <v>18</v>
      </c>
      <c r="Q2888" s="2" t="s">
        <v>54</v>
      </c>
      <c r="R2888" s="16">
        <f>(Table1[[#This Row],[NET Amount]]-Table1[[#This Row],[Total Outstanding Amount]])/Table1[[#This Row],[NET Amount]]</f>
        <v>1</v>
      </c>
      <c r="S2888" s="2" t="s">
        <v>27</v>
      </c>
    </row>
    <row r="2889" spans="1:19" x14ac:dyDescent="0.3">
      <c r="A2889" s="4">
        <v>2887</v>
      </c>
      <c r="B2889" s="2" t="s">
        <v>244</v>
      </c>
      <c r="C2889" s="3">
        <v>44863</v>
      </c>
      <c r="D2889" s="3" t="str">
        <f>TEXT(Table1[[#This Row],[Admission Date]],"MMMM")</f>
        <v>October</v>
      </c>
      <c r="E2889" s="3">
        <v>44865</v>
      </c>
      <c r="F2889" s="3">
        <v>44865</v>
      </c>
      <c r="G2889" s="2">
        <v>22029291</v>
      </c>
      <c r="H2889" s="2">
        <v>2237933</v>
      </c>
      <c r="I2889" s="2">
        <v>10013486300</v>
      </c>
      <c r="J2889" s="2" t="s">
        <v>1755</v>
      </c>
      <c r="K2889" s="10">
        <v>177893</v>
      </c>
      <c r="L2889" s="10">
        <v>0</v>
      </c>
      <c r="M2889" s="10">
        <v>177893</v>
      </c>
      <c r="N2889" s="10">
        <v>1500</v>
      </c>
      <c r="O2889" s="10">
        <f>Table1[[#This Row],[NET Amount]]-Table1[[#This Row],[Paid Amount]]</f>
        <v>176393</v>
      </c>
      <c r="P2889" s="2" t="s">
        <v>23</v>
      </c>
      <c r="Q2889" s="2" t="s">
        <v>42</v>
      </c>
      <c r="R2889" s="16">
        <f>(Table1[[#This Row],[NET Amount]]-Table1[[#This Row],[Total Outstanding Amount]])/Table1[[#This Row],[NET Amount]]</f>
        <v>8.4320349873238404E-3</v>
      </c>
      <c r="S2889" s="2" t="s">
        <v>201</v>
      </c>
    </row>
    <row r="2890" spans="1:19" x14ac:dyDescent="0.3">
      <c r="A2890" s="4">
        <v>2888</v>
      </c>
      <c r="B2890" s="2" t="s">
        <v>25</v>
      </c>
      <c r="C2890" s="3">
        <v>44862</v>
      </c>
      <c r="D2890" s="3" t="str">
        <f>TEXT(Table1[[#This Row],[Admission Date]],"MMMM")</f>
        <v>October</v>
      </c>
      <c r="E2890" s="3">
        <v>44862</v>
      </c>
      <c r="F2890" s="3">
        <v>44862</v>
      </c>
      <c r="G2890" s="2">
        <v>22028991</v>
      </c>
      <c r="H2890" s="2">
        <v>2237877</v>
      </c>
      <c r="I2890" s="2">
        <v>1001110018</v>
      </c>
      <c r="J2890" s="2" t="s">
        <v>254</v>
      </c>
      <c r="K2890" s="10">
        <v>2794</v>
      </c>
      <c r="L2890" s="10">
        <v>2794</v>
      </c>
      <c r="M2890" s="10">
        <v>0</v>
      </c>
      <c r="N2890" s="10">
        <v>0</v>
      </c>
      <c r="O2890" s="10">
        <f>Table1[[#This Row],[NET Amount]]-Table1[[#This Row],[Paid Amount]]</f>
        <v>0</v>
      </c>
      <c r="P2890" s="2" t="s">
        <v>18</v>
      </c>
      <c r="Q2890" s="2" t="s">
        <v>90</v>
      </c>
      <c r="R2890" s="16" t="e">
        <f>(Table1[[#This Row],[NET Amount]]-Table1[[#This Row],[Total Outstanding Amount]])/Table1[[#This Row],[NET Amount]]</f>
        <v>#DIV/0!</v>
      </c>
      <c r="S2890" s="2" t="s">
        <v>97</v>
      </c>
    </row>
    <row r="2891" spans="1:19" x14ac:dyDescent="0.3">
      <c r="A2891" s="4">
        <v>2889</v>
      </c>
      <c r="B2891" s="2" t="s">
        <v>25</v>
      </c>
      <c r="C2891" s="3">
        <v>44862</v>
      </c>
      <c r="D2891" s="3" t="str">
        <f>TEXT(Table1[[#This Row],[Admission Date]],"MMMM")</f>
        <v>October</v>
      </c>
      <c r="E2891" s="3">
        <v>44862</v>
      </c>
      <c r="F2891" s="3">
        <v>44862</v>
      </c>
      <c r="G2891" s="2">
        <v>22028992</v>
      </c>
      <c r="H2891" s="2">
        <v>2237882</v>
      </c>
      <c r="I2891" s="2">
        <v>1001012376</v>
      </c>
      <c r="J2891" s="2" t="s">
        <v>541</v>
      </c>
      <c r="K2891" s="10">
        <v>9608</v>
      </c>
      <c r="L2891" s="10">
        <v>9608</v>
      </c>
      <c r="M2891" s="10">
        <v>0</v>
      </c>
      <c r="N2891" s="10">
        <v>0</v>
      </c>
      <c r="O2891" s="10">
        <f>Table1[[#This Row],[NET Amount]]-Table1[[#This Row],[Paid Amount]]</f>
        <v>0</v>
      </c>
      <c r="P2891" s="2" t="s">
        <v>18</v>
      </c>
      <c r="Q2891" s="2" t="s">
        <v>90</v>
      </c>
      <c r="R2891" s="16" t="e">
        <f>(Table1[[#This Row],[NET Amount]]-Table1[[#This Row],[Total Outstanding Amount]])/Table1[[#This Row],[NET Amount]]</f>
        <v>#DIV/0!</v>
      </c>
      <c r="S2891" s="2" t="s">
        <v>97</v>
      </c>
    </row>
    <row r="2892" spans="1:19" x14ac:dyDescent="0.3">
      <c r="A2892" s="4">
        <v>2890</v>
      </c>
      <c r="B2892" s="2" t="s">
        <v>25</v>
      </c>
      <c r="C2892" s="3">
        <v>44861</v>
      </c>
      <c r="D2892" s="3" t="str">
        <f>TEXT(Table1[[#This Row],[Admission Date]],"MMMM")</f>
        <v>October</v>
      </c>
      <c r="E2892" s="3">
        <v>44863</v>
      </c>
      <c r="F2892" s="3">
        <v>44863</v>
      </c>
      <c r="G2892" s="2">
        <v>22029002</v>
      </c>
      <c r="H2892" s="2">
        <v>2237683</v>
      </c>
      <c r="I2892" s="2">
        <v>10013537067</v>
      </c>
      <c r="J2892" s="2" t="s">
        <v>1756</v>
      </c>
      <c r="K2892" s="10">
        <v>28424</v>
      </c>
      <c r="L2892" s="10">
        <v>5075</v>
      </c>
      <c r="M2892" s="10">
        <v>23349</v>
      </c>
      <c r="N2892" s="10">
        <v>23349</v>
      </c>
      <c r="O2892" s="10">
        <f>Table1[[#This Row],[NET Amount]]-Table1[[#This Row],[Paid Amount]]</f>
        <v>0</v>
      </c>
      <c r="P2892" s="2" t="s">
        <v>18</v>
      </c>
      <c r="Q2892" s="2" t="s">
        <v>19</v>
      </c>
      <c r="R2892" s="16">
        <f>(Table1[[#This Row],[NET Amount]]-Table1[[#This Row],[Total Outstanding Amount]])/Table1[[#This Row],[NET Amount]]</f>
        <v>1</v>
      </c>
      <c r="S2892" s="2" t="s">
        <v>20</v>
      </c>
    </row>
    <row r="2893" spans="1:19" x14ac:dyDescent="0.3">
      <c r="A2893" s="4">
        <v>2891</v>
      </c>
      <c r="B2893" s="2" t="s">
        <v>113</v>
      </c>
      <c r="C2893" s="3">
        <v>44832</v>
      </c>
      <c r="D2893" s="3" t="str">
        <f>TEXT(Table1[[#This Row],[Admission Date]],"MMMM")</f>
        <v>September</v>
      </c>
      <c r="E2893" s="3">
        <v>44835</v>
      </c>
      <c r="F2893" s="3">
        <v>44835</v>
      </c>
      <c r="G2893" s="2">
        <v>22025211</v>
      </c>
      <c r="H2893" s="2">
        <v>2233814</v>
      </c>
      <c r="I2893" s="2">
        <v>10013519971</v>
      </c>
      <c r="J2893" s="2" t="s">
        <v>1757</v>
      </c>
      <c r="K2893" s="10">
        <v>27608</v>
      </c>
      <c r="L2893" s="10">
        <v>0</v>
      </c>
      <c r="M2893" s="10">
        <v>27608</v>
      </c>
      <c r="N2893" s="10">
        <v>27608</v>
      </c>
      <c r="O2893" s="10">
        <f>Table1[[#This Row],[NET Amount]]-Table1[[#This Row],[Paid Amount]]</f>
        <v>0</v>
      </c>
      <c r="P2893" s="2" t="s">
        <v>18</v>
      </c>
      <c r="Q2893" s="2" t="s">
        <v>19</v>
      </c>
      <c r="R2893" s="16">
        <f>(Table1[[#This Row],[NET Amount]]-Table1[[#This Row],[Total Outstanding Amount]])/Table1[[#This Row],[NET Amount]]</f>
        <v>1</v>
      </c>
      <c r="S2893" s="2" t="s">
        <v>95</v>
      </c>
    </row>
    <row r="2894" spans="1:19" x14ac:dyDescent="0.3">
      <c r="A2894" s="4">
        <v>2892</v>
      </c>
      <c r="B2894" s="2" t="s">
        <v>168</v>
      </c>
      <c r="C2894" s="3">
        <v>44835</v>
      </c>
      <c r="D2894" s="3" t="str">
        <f>TEXT(Table1[[#This Row],[Admission Date]],"MMMM")</f>
        <v>October</v>
      </c>
      <c r="E2894" s="3">
        <v>44835</v>
      </c>
      <c r="F2894" s="3">
        <v>44835</v>
      </c>
      <c r="G2894" s="2">
        <v>22025210</v>
      </c>
      <c r="H2894" s="2">
        <v>2234152</v>
      </c>
      <c r="I2894" s="2">
        <v>10013540996</v>
      </c>
      <c r="J2894" s="2" t="s">
        <v>1758</v>
      </c>
      <c r="K2894" s="10">
        <v>22500</v>
      </c>
      <c r="L2894" s="10">
        <v>0</v>
      </c>
      <c r="M2894" s="10">
        <v>22500</v>
      </c>
      <c r="N2894" s="10">
        <v>8325</v>
      </c>
      <c r="O2894" s="10">
        <f>Table1[[#This Row],[NET Amount]]-Table1[[#This Row],[Paid Amount]]</f>
        <v>14175</v>
      </c>
      <c r="P2894" s="2" t="s">
        <v>23</v>
      </c>
      <c r="Q2894" s="2" t="s">
        <v>147</v>
      </c>
      <c r="R2894" s="16">
        <f>(Table1[[#This Row],[NET Amount]]-Table1[[#This Row],[Total Outstanding Amount]])/Table1[[#This Row],[NET Amount]]</f>
        <v>0.37</v>
      </c>
      <c r="S2894" s="2" t="s">
        <v>27</v>
      </c>
    </row>
    <row r="2895" spans="1:19" x14ac:dyDescent="0.3">
      <c r="A2895" s="4">
        <v>2893</v>
      </c>
      <c r="B2895" s="2" t="s">
        <v>2247</v>
      </c>
      <c r="C2895" s="3">
        <v>44846</v>
      </c>
      <c r="D2895" s="3" t="str">
        <f>TEXT(Table1[[#This Row],[Admission Date]],"MMMM")</f>
        <v>October</v>
      </c>
      <c r="E2895" s="3">
        <v>44850</v>
      </c>
      <c r="F2895" s="3">
        <v>44850</v>
      </c>
      <c r="G2895" s="2">
        <v>22027287</v>
      </c>
      <c r="H2895" s="2">
        <v>2235758</v>
      </c>
      <c r="I2895" s="2">
        <v>1001804015</v>
      </c>
      <c r="J2895" s="2" t="s">
        <v>1759</v>
      </c>
      <c r="K2895" s="10">
        <v>67898</v>
      </c>
      <c r="L2895" s="10">
        <v>10378</v>
      </c>
      <c r="M2895" s="10">
        <v>57520</v>
      </c>
      <c r="N2895" s="10">
        <v>2458</v>
      </c>
      <c r="O2895" s="10">
        <f>Table1[[#This Row],[NET Amount]]-Table1[[#This Row],[Paid Amount]]</f>
        <v>55062</v>
      </c>
      <c r="P2895" s="2" t="s">
        <v>23</v>
      </c>
      <c r="Q2895" s="2" t="s">
        <v>52</v>
      </c>
      <c r="R2895" s="16">
        <f>(Table1[[#This Row],[NET Amount]]-Table1[[#This Row],[Total Outstanding Amount]])/Table1[[#This Row],[NET Amount]]</f>
        <v>4.2732962447844226E-2</v>
      </c>
      <c r="S2895" s="2" t="s">
        <v>20</v>
      </c>
    </row>
    <row r="2896" spans="1:19" x14ac:dyDescent="0.3">
      <c r="A2896" s="4">
        <v>2894</v>
      </c>
      <c r="B2896" s="2" t="s">
        <v>75</v>
      </c>
      <c r="C2896" s="3">
        <v>44835</v>
      </c>
      <c r="D2896" s="3" t="str">
        <f>TEXT(Table1[[#This Row],[Admission Date]],"MMMM")</f>
        <v>October</v>
      </c>
      <c r="E2896" s="3">
        <v>44837</v>
      </c>
      <c r="F2896" s="3">
        <v>44837</v>
      </c>
      <c r="G2896" s="2">
        <v>22025373</v>
      </c>
      <c r="H2896" s="2">
        <v>2234290</v>
      </c>
      <c r="I2896" s="2">
        <v>1001435209</v>
      </c>
      <c r="J2896" s="2" t="s">
        <v>1019</v>
      </c>
      <c r="K2896" s="10">
        <v>10961</v>
      </c>
      <c r="L2896" s="10">
        <v>0</v>
      </c>
      <c r="M2896" s="10">
        <v>10961</v>
      </c>
      <c r="N2896" s="10">
        <v>520</v>
      </c>
      <c r="O2896" s="10">
        <f>Table1[[#This Row],[NET Amount]]-Table1[[#This Row],[Paid Amount]]</f>
        <v>10441</v>
      </c>
      <c r="P2896" s="2" t="s">
        <v>23</v>
      </c>
      <c r="Q2896" s="2" t="s">
        <v>24</v>
      </c>
      <c r="R2896" s="16">
        <f>(Table1[[#This Row],[NET Amount]]-Table1[[#This Row],[Total Outstanding Amount]])/Table1[[#This Row],[NET Amount]]</f>
        <v>4.7440926922726029E-2</v>
      </c>
      <c r="S2896" s="2" t="s">
        <v>39</v>
      </c>
    </row>
    <row r="2897" spans="1:19" x14ac:dyDescent="0.3">
      <c r="A2897" s="4">
        <v>2895</v>
      </c>
      <c r="B2897" s="2" t="s">
        <v>35</v>
      </c>
      <c r="C2897" s="3">
        <v>44839</v>
      </c>
      <c r="D2897" s="3" t="str">
        <f>TEXT(Table1[[#This Row],[Admission Date]],"MMMM")</f>
        <v>October</v>
      </c>
      <c r="E2897" s="3">
        <v>44843</v>
      </c>
      <c r="F2897" s="3">
        <v>44843</v>
      </c>
      <c r="G2897" s="2">
        <v>22026267</v>
      </c>
      <c r="H2897" s="2">
        <v>2234672</v>
      </c>
      <c r="I2897" s="2">
        <v>1001802530</v>
      </c>
      <c r="J2897" s="2" t="s">
        <v>1760</v>
      </c>
      <c r="K2897" s="10">
        <v>9373</v>
      </c>
      <c r="L2897" s="10">
        <v>0</v>
      </c>
      <c r="M2897" s="10">
        <v>9373</v>
      </c>
      <c r="N2897" s="10">
        <v>9373</v>
      </c>
      <c r="O2897" s="10">
        <f>Table1[[#This Row],[NET Amount]]-Table1[[#This Row],[Paid Amount]]</f>
        <v>0</v>
      </c>
      <c r="P2897" s="2" t="s">
        <v>18</v>
      </c>
      <c r="Q2897" s="2" t="s">
        <v>24</v>
      </c>
      <c r="R2897" s="16">
        <f>(Table1[[#This Row],[NET Amount]]-Table1[[#This Row],[Total Outstanding Amount]])/Table1[[#This Row],[NET Amount]]</f>
        <v>1</v>
      </c>
      <c r="S2897" s="2" t="s">
        <v>37</v>
      </c>
    </row>
    <row r="2898" spans="1:19" x14ac:dyDescent="0.3">
      <c r="A2898" s="4">
        <v>2896</v>
      </c>
      <c r="B2898" s="2" t="s">
        <v>117</v>
      </c>
      <c r="C2898" s="3">
        <v>44839</v>
      </c>
      <c r="D2898" s="3" t="str">
        <f>TEXT(Table1[[#This Row],[Admission Date]],"MMMM")</f>
        <v>October</v>
      </c>
      <c r="E2898" s="3">
        <v>44839</v>
      </c>
      <c r="F2898" s="3">
        <v>44839</v>
      </c>
      <c r="G2898" s="2">
        <v>22025642</v>
      </c>
      <c r="H2898" s="2">
        <v>2234680</v>
      </c>
      <c r="I2898" s="2">
        <v>1000891454</v>
      </c>
      <c r="J2898" s="2" t="s">
        <v>232</v>
      </c>
      <c r="K2898" s="10">
        <v>2064</v>
      </c>
      <c r="L2898" s="10">
        <v>0</v>
      </c>
      <c r="M2898" s="10">
        <v>2064</v>
      </c>
      <c r="N2898" s="10">
        <v>2064</v>
      </c>
      <c r="O2898" s="10">
        <f>Table1[[#This Row],[NET Amount]]-Table1[[#This Row],[Paid Amount]]</f>
        <v>0</v>
      </c>
      <c r="P2898" s="2" t="s">
        <v>18</v>
      </c>
      <c r="Q2898" s="2" t="s">
        <v>54</v>
      </c>
      <c r="R2898" s="16">
        <f>(Table1[[#This Row],[NET Amount]]-Table1[[#This Row],[Total Outstanding Amount]])/Table1[[#This Row],[NET Amount]]</f>
        <v>1</v>
      </c>
      <c r="S2898" s="2" t="s">
        <v>97</v>
      </c>
    </row>
    <row r="2899" spans="1:19" x14ac:dyDescent="0.3">
      <c r="A2899" s="4">
        <v>2897</v>
      </c>
      <c r="B2899" s="2" t="s">
        <v>35</v>
      </c>
      <c r="C2899" s="3">
        <v>44839</v>
      </c>
      <c r="D2899" s="3" t="str">
        <f>TEXT(Table1[[#This Row],[Admission Date]],"MMMM")</f>
        <v>October</v>
      </c>
      <c r="E2899" s="3">
        <v>44839</v>
      </c>
      <c r="F2899" s="3">
        <v>44839</v>
      </c>
      <c r="G2899" s="2">
        <v>22025643</v>
      </c>
      <c r="H2899" s="2">
        <v>2234681</v>
      </c>
      <c r="I2899" s="2">
        <v>10013480632</v>
      </c>
      <c r="J2899" s="2" t="s">
        <v>210</v>
      </c>
      <c r="K2899" s="10">
        <v>1610</v>
      </c>
      <c r="L2899" s="10">
        <v>0</v>
      </c>
      <c r="M2899" s="10">
        <v>1610</v>
      </c>
      <c r="N2899" s="10">
        <v>1610</v>
      </c>
      <c r="O2899" s="10">
        <f>Table1[[#This Row],[NET Amount]]-Table1[[#This Row],[Paid Amount]]</f>
        <v>0</v>
      </c>
      <c r="P2899" s="2" t="s">
        <v>18</v>
      </c>
      <c r="Q2899" s="2" t="s">
        <v>54</v>
      </c>
      <c r="R2899" s="16">
        <f>(Table1[[#This Row],[NET Amount]]-Table1[[#This Row],[Total Outstanding Amount]])/Table1[[#This Row],[NET Amount]]</f>
        <v>1</v>
      </c>
      <c r="S2899" s="2" t="s">
        <v>97</v>
      </c>
    </row>
    <row r="2900" spans="1:19" x14ac:dyDescent="0.3">
      <c r="A2900" s="4">
        <v>2898</v>
      </c>
      <c r="B2900" s="2" t="s">
        <v>25</v>
      </c>
      <c r="C2900" s="3">
        <v>44839</v>
      </c>
      <c r="D2900" s="3" t="str">
        <f>TEXT(Table1[[#This Row],[Admission Date]],"MMMM")</f>
        <v>October</v>
      </c>
      <c r="E2900" s="3">
        <v>44839</v>
      </c>
      <c r="F2900" s="3">
        <v>44839</v>
      </c>
      <c r="G2900" s="2">
        <v>22025657</v>
      </c>
      <c r="H2900" s="2">
        <v>2234682</v>
      </c>
      <c r="I2900" s="2">
        <v>1001105051</v>
      </c>
      <c r="J2900" s="2" t="s">
        <v>275</v>
      </c>
      <c r="K2900" s="10">
        <v>4990</v>
      </c>
      <c r="L2900" s="10">
        <v>372</v>
      </c>
      <c r="M2900" s="10">
        <v>4618</v>
      </c>
      <c r="N2900" s="10">
        <v>4618</v>
      </c>
      <c r="O2900" s="10">
        <f>Table1[[#This Row],[NET Amount]]-Table1[[#This Row],[Paid Amount]]</f>
        <v>0</v>
      </c>
      <c r="P2900" s="2" t="s">
        <v>18</v>
      </c>
      <c r="Q2900" s="2" t="s">
        <v>54</v>
      </c>
      <c r="R2900" s="16">
        <f>(Table1[[#This Row],[NET Amount]]-Table1[[#This Row],[Total Outstanding Amount]])/Table1[[#This Row],[NET Amount]]</f>
        <v>1</v>
      </c>
      <c r="S2900" s="2" t="s">
        <v>97</v>
      </c>
    </row>
    <row r="2901" spans="1:19" x14ac:dyDescent="0.3">
      <c r="A2901" s="4">
        <v>2899</v>
      </c>
      <c r="B2901" s="2" t="s">
        <v>25</v>
      </c>
      <c r="C2901" s="3">
        <v>44839</v>
      </c>
      <c r="D2901" s="3" t="str">
        <f>TEXT(Table1[[#This Row],[Admission Date]],"MMMM")</f>
        <v>October</v>
      </c>
      <c r="E2901" s="3">
        <v>44843</v>
      </c>
      <c r="F2901" s="3">
        <v>44843</v>
      </c>
      <c r="G2901" s="2">
        <v>22026289</v>
      </c>
      <c r="H2901" s="2">
        <v>2234736</v>
      </c>
      <c r="I2901" s="2">
        <v>10013538464</v>
      </c>
      <c r="J2901" s="2" t="s">
        <v>1761</v>
      </c>
      <c r="K2901" s="10">
        <v>123695</v>
      </c>
      <c r="L2901" s="10">
        <v>26125</v>
      </c>
      <c r="M2901" s="10">
        <v>97570</v>
      </c>
      <c r="N2901" s="10">
        <v>97570</v>
      </c>
      <c r="O2901" s="10">
        <f>Table1[[#This Row],[NET Amount]]-Table1[[#This Row],[Paid Amount]]</f>
        <v>0</v>
      </c>
      <c r="P2901" s="2" t="s">
        <v>18</v>
      </c>
      <c r="Q2901" s="2" t="s">
        <v>24</v>
      </c>
      <c r="R2901" s="16">
        <f>(Table1[[#This Row],[NET Amount]]-Table1[[#This Row],[Total Outstanding Amount]])/Table1[[#This Row],[NET Amount]]</f>
        <v>1</v>
      </c>
      <c r="S2901" s="2" t="s">
        <v>20</v>
      </c>
    </row>
    <row r="2902" spans="1:19" x14ac:dyDescent="0.3">
      <c r="A2902" s="4">
        <v>2900</v>
      </c>
      <c r="B2902" s="2" t="s">
        <v>25</v>
      </c>
      <c r="C2902" s="3">
        <v>44839</v>
      </c>
      <c r="D2902" s="3" t="str">
        <f>TEXT(Table1[[#This Row],[Admission Date]],"MMMM")</f>
        <v>October</v>
      </c>
      <c r="E2902" s="3">
        <v>44843</v>
      </c>
      <c r="F2902" s="3">
        <v>44843</v>
      </c>
      <c r="G2902" s="2">
        <v>22026253</v>
      </c>
      <c r="H2902" s="2">
        <v>2234805</v>
      </c>
      <c r="I2902" s="2">
        <v>1001802623</v>
      </c>
      <c r="J2902" s="2" t="s">
        <v>1762</v>
      </c>
      <c r="K2902" s="10">
        <v>118311</v>
      </c>
      <c r="L2902" s="10">
        <v>15091</v>
      </c>
      <c r="M2902" s="10">
        <v>103220</v>
      </c>
      <c r="N2902" s="10">
        <v>103220</v>
      </c>
      <c r="O2902" s="10">
        <f>Table1[[#This Row],[NET Amount]]-Table1[[#This Row],[Paid Amount]]</f>
        <v>0</v>
      </c>
      <c r="P2902" s="2" t="s">
        <v>18</v>
      </c>
      <c r="Q2902" s="2" t="s">
        <v>30</v>
      </c>
      <c r="R2902" s="16">
        <f>(Table1[[#This Row],[NET Amount]]-Table1[[#This Row],[Total Outstanding Amount]])/Table1[[#This Row],[NET Amount]]</f>
        <v>1</v>
      </c>
      <c r="S2902" s="2" t="s">
        <v>27</v>
      </c>
    </row>
    <row r="2903" spans="1:19" x14ac:dyDescent="0.3">
      <c r="A2903" s="4">
        <v>2901</v>
      </c>
      <c r="B2903" s="2" t="s">
        <v>155</v>
      </c>
      <c r="C2903" s="3">
        <v>44860</v>
      </c>
      <c r="D2903" s="3" t="str">
        <f>TEXT(Table1[[#This Row],[Admission Date]],"MMMM")</f>
        <v>October</v>
      </c>
      <c r="E2903" s="3">
        <v>44860</v>
      </c>
      <c r="F2903" s="3">
        <v>44860</v>
      </c>
      <c r="G2903" s="2">
        <v>22028703</v>
      </c>
      <c r="H2903" s="2">
        <v>2237579</v>
      </c>
      <c r="I2903" s="2">
        <v>1000915662</v>
      </c>
      <c r="J2903" s="2" t="s">
        <v>188</v>
      </c>
      <c r="K2903" s="10">
        <v>1610</v>
      </c>
      <c r="L2903" s="10">
        <v>0</v>
      </c>
      <c r="M2903" s="10">
        <v>1610</v>
      </c>
      <c r="N2903" s="10">
        <v>1610</v>
      </c>
      <c r="O2903" s="10">
        <f>Table1[[#This Row],[NET Amount]]-Table1[[#This Row],[Paid Amount]]</f>
        <v>0</v>
      </c>
      <c r="P2903" s="2" t="s">
        <v>18</v>
      </c>
      <c r="Q2903" s="2" t="s">
        <v>54</v>
      </c>
      <c r="R2903" s="16">
        <f>(Table1[[#This Row],[NET Amount]]-Table1[[#This Row],[Total Outstanding Amount]])/Table1[[#This Row],[NET Amount]]</f>
        <v>1</v>
      </c>
      <c r="S2903" s="2" t="s">
        <v>97</v>
      </c>
    </row>
    <row r="2904" spans="1:19" x14ac:dyDescent="0.3">
      <c r="A2904" s="4">
        <v>2902</v>
      </c>
      <c r="B2904" s="2" t="s">
        <v>25</v>
      </c>
      <c r="C2904" s="3">
        <v>44860</v>
      </c>
      <c r="D2904" s="3" t="str">
        <f>TEXT(Table1[[#This Row],[Admission Date]],"MMMM")</f>
        <v>October</v>
      </c>
      <c r="E2904" s="3">
        <v>44860</v>
      </c>
      <c r="F2904" s="3">
        <v>44860</v>
      </c>
      <c r="G2904" s="2">
        <v>22028574</v>
      </c>
      <c r="H2904" s="2">
        <v>2237443</v>
      </c>
      <c r="I2904" s="2">
        <v>10013407139</v>
      </c>
      <c r="J2904" s="2" t="s">
        <v>237</v>
      </c>
      <c r="K2904" s="10">
        <v>2844</v>
      </c>
      <c r="L2904" s="10">
        <v>271</v>
      </c>
      <c r="M2904" s="10">
        <v>2573</v>
      </c>
      <c r="N2904" s="10">
        <v>2573</v>
      </c>
      <c r="O2904" s="10">
        <f>Table1[[#This Row],[NET Amount]]-Table1[[#This Row],[Paid Amount]]</f>
        <v>0</v>
      </c>
      <c r="P2904" s="2" t="s">
        <v>18</v>
      </c>
      <c r="Q2904" s="2" t="s">
        <v>54</v>
      </c>
      <c r="R2904" s="16">
        <f>(Table1[[#This Row],[NET Amount]]-Table1[[#This Row],[Total Outstanding Amount]])/Table1[[#This Row],[NET Amount]]</f>
        <v>1</v>
      </c>
      <c r="S2904" s="2" t="s">
        <v>97</v>
      </c>
    </row>
    <row r="2905" spans="1:19" x14ac:dyDescent="0.3">
      <c r="A2905" s="4">
        <v>2903</v>
      </c>
      <c r="B2905" s="2" t="s">
        <v>2247</v>
      </c>
      <c r="C2905" s="3">
        <v>44840</v>
      </c>
      <c r="D2905" s="3" t="str">
        <f>TEXT(Table1[[#This Row],[Admission Date]],"MMMM")</f>
        <v>October</v>
      </c>
      <c r="E2905" s="3">
        <v>44840</v>
      </c>
      <c r="F2905" s="3">
        <v>44840</v>
      </c>
      <c r="G2905" s="2">
        <v>22025821</v>
      </c>
      <c r="H2905" s="2">
        <v>2234825</v>
      </c>
      <c r="I2905" s="2">
        <v>1001561182</v>
      </c>
      <c r="J2905" s="2" t="s">
        <v>222</v>
      </c>
      <c r="K2905" s="10">
        <v>2000</v>
      </c>
      <c r="L2905" s="10">
        <v>0</v>
      </c>
      <c r="M2905" s="10">
        <v>2000</v>
      </c>
      <c r="N2905" s="10">
        <v>300</v>
      </c>
      <c r="O2905" s="10">
        <f>Table1[[#This Row],[NET Amount]]-Table1[[#This Row],[Paid Amount]]</f>
        <v>1700</v>
      </c>
      <c r="P2905" s="2" t="s">
        <v>23</v>
      </c>
      <c r="Q2905" s="2" t="s">
        <v>54</v>
      </c>
      <c r="R2905" s="16">
        <f>(Table1[[#This Row],[NET Amount]]-Table1[[#This Row],[Total Outstanding Amount]])/Table1[[#This Row],[NET Amount]]</f>
        <v>0.15</v>
      </c>
      <c r="S2905" s="2" t="s">
        <v>97</v>
      </c>
    </row>
    <row r="2906" spans="1:19" x14ac:dyDescent="0.3">
      <c r="A2906" s="4">
        <v>2904</v>
      </c>
      <c r="B2906" s="2" t="s">
        <v>155</v>
      </c>
      <c r="C2906" s="3">
        <v>44854</v>
      </c>
      <c r="D2906" s="3" t="str">
        <f>TEXT(Table1[[#This Row],[Admission Date]],"MMMM")</f>
        <v>October</v>
      </c>
      <c r="E2906" s="3">
        <v>44854</v>
      </c>
      <c r="F2906" s="3">
        <v>44854</v>
      </c>
      <c r="G2906" s="2">
        <v>22027817</v>
      </c>
      <c r="H2906" s="2">
        <v>2236741</v>
      </c>
      <c r="I2906" s="2">
        <v>10013521425</v>
      </c>
      <c r="J2906" s="2" t="s">
        <v>156</v>
      </c>
      <c r="K2906" s="10">
        <v>1610</v>
      </c>
      <c r="L2906" s="10">
        <v>0</v>
      </c>
      <c r="M2906" s="10">
        <v>1610</v>
      </c>
      <c r="N2906" s="10">
        <v>1610</v>
      </c>
      <c r="O2906" s="10">
        <f>Table1[[#This Row],[NET Amount]]-Table1[[#This Row],[Paid Amount]]</f>
        <v>0</v>
      </c>
      <c r="P2906" s="2" t="s">
        <v>18</v>
      </c>
      <c r="Q2906" s="2" t="s">
        <v>54</v>
      </c>
      <c r="R2906" s="16">
        <f>(Table1[[#This Row],[NET Amount]]-Table1[[#This Row],[Total Outstanding Amount]])/Table1[[#This Row],[NET Amount]]</f>
        <v>1</v>
      </c>
      <c r="S2906" s="2" t="s">
        <v>97</v>
      </c>
    </row>
    <row r="2907" spans="1:19" x14ac:dyDescent="0.3">
      <c r="A2907" s="4">
        <v>2905</v>
      </c>
      <c r="B2907" s="2" t="s">
        <v>25</v>
      </c>
      <c r="C2907" s="3">
        <v>44835</v>
      </c>
      <c r="D2907" s="3" t="str">
        <f>TEXT(Table1[[#This Row],[Admission Date]],"MMMM")</f>
        <v>October</v>
      </c>
      <c r="E2907" s="3">
        <v>44835</v>
      </c>
      <c r="F2907" s="3">
        <v>44835</v>
      </c>
      <c r="G2907" s="2">
        <v>22025189</v>
      </c>
      <c r="H2907" s="2">
        <v>2234206</v>
      </c>
      <c r="I2907" s="2">
        <v>10013539422</v>
      </c>
      <c r="J2907" s="2" t="s">
        <v>552</v>
      </c>
      <c r="K2907" s="10">
        <v>2844</v>
      </c>
      <c r="L2907" s="10">
        <v>311</v>
      </c>
      <c r="M2907" s="10">
        <v>2533</v>
      </c>
      <c r="N2907" s="10">
        <v>2533</v>
      </c>
      <c r="O2907" s="10">
        <f>Table1[[#This Row],[NET Amount]]-Table1[[#This Row],[Paid Amount]]</f>
        <v>0</v>
      </c>
      <c r="P2907" s="2" t="s">
        <v>18</v>
      </c>
      <c r="Q2907" s="2" t="s">
        <v>54</v>
      </c>
      <c r="R2907" s="16">
        <f>(Table1[[#This Row],[NET Amount]]-Table1[[#This Row],[Total Outstanding Amount]])/Table1[[#This Row],[NET Amount]]</f>
        <v>1</v>
      </c>
      <c r="S2907" s="2" t="s">
        <v>97</v>
      </c>
    </row>
    <row r="2908" spans="1:19" x14ac:dyDescent="0.3">
      <c r="A2908" s="4">
        <v>2906</v>
      </c>
      <c r="B2908" s="2" t="s">
        <v>25</v>
      </c>
      <c r="C2908" s="3">
        <v>44835</v>
      </c>
      <c r="D2908" s="3" t="str">
        <f>TEXT(Table1[[#This Row],[Admission Date]],"MMMM")</f>
        <v>October</v>
      </c>
      <c r="E2908" s="3">
        <v>44835</v>
      </c>
      <c r="F2908" s="3">
        <v>44835</v>
      </c>
      <c r="G2908" s="2">
        <v>22025190</v>
      </c>
      <c r="H2908" s="2">
        <v>2234208</v>
      </c>
      <c r="I2908" s="2">
        <v>10013526375</v>
      </c>
      <c r="J2908" s="2" t="s">
        <v>241</v>
      </c>
      <c r="K2908" s="10">
        <v>4990</v>
      </c>
      <c r="L2908" s="10">
        <v>417</v>
      </c>
      <c r="M2908" s="10">
        <v>4573</v>
      </c>
      <c r="N2908" s="10">
        <v>4573</v>
      </c>
      <c r="O2908" s="10">
        <f>Table1[[#This Row],[NET Amount]]-Table1[[#This Row],[Paid Amount]]</f>
        <v>0</v>
      </c>
      <c r="P2908" s="2" t="s">
        <v>18</v>
      </c>
      <c r="Q2908" s="2" t="s">
        <v>54</v>
      </c>
      <c r="R2908" s="16">
        <f>(Table1[[#This Row],[NET Amount]]-Table1[[#This Row],[Total Outstanding Amount]])/Table1[[#This Row],[NET Amount]]</f>
        <v>1</v>
      </c>
      <c r="S2908" s="2" t="s">
        <v>97</v>
      </c>
    </row>
    <row r="2909" spans="1:19" x14ac:dyDescent="0.3">
      <c r="A2909" s="4">
        <v>2907</v>
      </c>
      <c r="B2909" s="2" t="s">
        <v>35</v>
      </c>
      <c r="C2909" s="3">
        <v>44835</v>
      </c>
      <c r="D2909" s="3" t="str">
        <f>TEXT(Table1[[#This Row],[Admission Date]],"MMMM")</f>
        <v>October</v>
      </c>
      <c r="E2909" s="3">
        <v>44835</v>
      </c>
      <c r="F2909" s="3">
        <v>44835</v>
      </c>
      <c r="G2909" s="2">
        <v>22025098</v>
      </c>
      <c r="H2909" s="2">
        <v>2234154</v>
      </c>
      <c r="I2909" s="2">
        <v>10013401198</v>
      </c>
      <c r="J2909" s="2" t="s">
        <v>631</v>
      </c>
      <c r="K2909" s="10">
        <v>1610</v>
      </c>
      <c r="L2909" s="10">
        <v>0</v>
      </c>
      <c r="M2909" s="10">
        <v>1610</v>
      </c>
      <c r="N2909" s="10">
        <v>1610</v>
      </c>
      <c r="O2909" s="10">
        <f>Table1[[#This Row],[NET Amount]]-Table1[[#This Row],[Paid Amount]]</f>
        <v>0</v>
      </c>
      <c r="P2909" s="2" t="s">
        <v>18</v>
      </c>
      <c r="Q2909" s="2" t="s">
        <v>54</v>
      </c>
      <c r="R2909" s="16">
        <f>(Table1[[#This Row],[NET Amount]]-Table1[[#This Row],[Total Outstanding Amount]])/Table1[[#This Row],[NET Amount]]</f>
        <v>1</v>
      </c>
      <c r="S2909" s="2" t="s">
        <v>97</v>
      </c>
    </row>
    <row r="2910" spans="1:19" x14ac:dyDescent="0.3">
      <c r="A2910" s="4">
        <v>2908</v>
      </c>
      <c r="B2910" s="2" t="s">
        <v>2244</v>
      </c>
      <c r="C2910" s="3">
        <v>44852</v>
      </c>
      <c r="D2910" s="3" t="str">
        <f>TEXT(Table1[[#This Row],[Admission Date]],"MMMM")</f>
        <v>October</v>
      </c>
      <c r="E2910" s="3">
        <v>44852</v>
      </c>
      <c r="F2910" s="3">
        <v>44852</v>
      </c>
      <c r="G2910" s="2">
        <v>22027585</v>
      </c>
      <c r="H2910" s="2">
        <v>2236497</v>
      </c>
      <c r="I2910" s="2">
        <v>1001755099</v>
      </c>
      <c r="J2910" s="2" t="s">
        <v>750</v>
      </c>
      <c r="K2910" s="10">
        <v>1610</v>
      </c>
      <c r="L2910" s="10">
        <v>0</v>
      </c>
      <c r="M2910" s="10">
        <v>1610</v>
      </c>
      <c r="N2910" s="10">
        <v>1610</v>
      </c>
      <c r="O2910" s="10">
        <f>Table1[[#This Row],[NET Amount]]-Table1[[#This Row],[Paid Amount]]</f>
        <v>0</v>
      </c>
      <c r="P2910" s="2" t="s">
        <v>18</v>
      </c>
      <c r="Q2910" s="2" t="s">
        <v>54</v>
      </c>
      <c r="R2910" s="16">
        <f>(Table1[[#This Row],[NET Amount]]-Table1[[#This Row],[Total Outstanding Amount]])/Table1[[#This Row],[NET Amount]]</f>
        <v>1</v>
      </c>
      <c r="S2910" s="2" t="s">
        <v>97</v>
      </c>
    </row>
    <row r="2911" spans="1:19" x14ac:dyDescent="0.3">
      <c r="A2911" s="4">
        <v>2909</v>
      </c>
      <c r="B2911" s="2" t="s">
        <v>25</v>
      </c>
      <c r="C2911" s="3">
        <v>44841</v>
      </c>
      <c r="D2911" s="3" t="str">
        <f>TEXT(Table1[[#This Row],[Admission Date]],"MMMM")</f>
        <v>October</v>
      </c>
      <c r="E2911" s="3">
        <v>44841</v>
      </c>
      <c r="F2911" s="3">
        <v>44841</v>
      </c>
      <c r="G2911" s="2">
        <v>22025997</v>
      </c>
      <c r="H2911" s="2">
        <v>2235026</v>
      </c>
      <c r="I2911" s="2">
        <v>10013372212</v>
      </c>
      <c r="J2911" s="2" t="s">
        <v>338</v>
      </c>
      <c r="K2911" s="10">
        <v>4990</v>
      </c>
      <c r="L2911" s="10">
        <v>441</v>
      </c>
      <c r="M2911" s="10">
        <v>4549</v>
      </c>
      <c r="N2911" s="10">
        <v>4549</v>
      </c>
      <c r="O2911" s="10">
        <f>Table1[[#This Row],[NET Amount]]-Table1[[#This Row],[Paid Amount]]</f>
        <v>0</v>
      </c>
      <c r="P2911" s="2" t="s">
        <v>18</v>
      </c>
      <c r="Q2911" s="2" t="s">
        <v>54</v>
      </c>
      <c r="R2911" s="16">
        <f>(Table1[[#This Row],[NET Amount]]-Table1[[#This Row],[Total Outstanding Amount]])/Table1[[#This Row],[NET Amount]]</f>
        <v>1</v>
      </c>
      <c r="S2911" s="2" t="s">
        <v>97</v>
      </c>
    </row>
    <row r="2912" spans="1:19" x14ac:dyDescent="0.3">
      <c r="A2912" s="4">
        <v>2910</v>
      </c>
      <c r="B2912" s="2" t="s">
        <v>25</v>
      </c>
      <c r="C2912" s="3">
        <v>44858</v>
      </c>
      <c r="D2912" s="3" t="str">
        <f>TEXT(Table1[[#This Row],[Admission Date]],"MMMM")</f>
        <v>October</v>
      </c>
      <c r="E2912" s="3">
        <v>44858</v>
      </c>
      <c r="F2912" s="3">
        <v>44858</v>
      </c>
      <c r="G2912" s="2">
        <v>22028424</v>
      </c>
      <c r="H2912" s="2">
        <v>2237217</v>
      </c>
      <c r="I2912" s="2">
        <v>1001314823</v>
      </c>
      <c r="J2912" s="2" t="s">
        <v>129</v>
      </c>
      <c r="K2912" s="10">
        <v>3630</v>
      </c>
      <c r="L2912" s="10">
        <v>305</v>
      </c>
      <c r="M2912" s="10">
        <v>3325</v>
      </c>
      <c r="N2912" s="10">
        <v>3325</v>
      </c>
      <c r="O2912" s="10">
        <f>Table1[[#This Row],[NET Amount]]-Table1[[#This Row],[Paid Amount]]</f>
        <v>0</v>
      </c>
      <c r="P2912" s="2" t="s">
        <v>18</v>
      </c>
      <c r="Q2912" s="2" t="s">
        <v>54</v>
      </c>
      <c r="R2912" s="16">
        <f>(Table1[[#This Row],[NET Amount]]-Table1[[#This Row],[Total Outstanding Amount]])/Table1[[#This Row],[NET Amount]]</f>
        <v>1</v>
      </c>
      <c r="S2912" s="2" t="s">
        <v>97</v>
      </c>
    </row>
    <row r="2913" spans="1:19" x14ac:dyDescent="0.3">
      <c r="A2913" s="4">
        <v>2911</v>
      </c>
      <c r="B2913" s="2" t="s">
        <v>178</v>
      </c>
      <c r="C2913" s="3">
        <v>44859</v>
      </c>
      <c r="D2913" s="3" t="str">
        <f>TEXT(Table1[[#This Row],[Admission Date]],"MMMM")</f>
        <v>October</v>
      </c>
      <c r="E2913" s="3">
        <v>44860</v>
      </c>
      <c r="F2913" s="3">
        <v>44860</v>
      </c>
      <c r="G2913" s="2">
        <v>22028627</v>
      </c>
      <c r="H2913" s="2">
        <v>2237356</v>
      </c>
      <c r="I2913" s="2">
        <v>1001806133</v>
      </c>
      <c r="J2913" s="2" t="s">
        <v>1763</v>
      </c>
      <c r="K2913" s="10">
        <v>202335</v>
      </c>
      <c r="L2913" s="10">
        <v>225</v>
      </c>
      <c r="M2913" s="10">
        <v>202110</v>
      </c>
      <c r="N2913" s="10">
        <v>1275</v>
      </c>
      <c r="O2913" s="10">
        <f>Table1[[#This Row],[NET Amount]]-Table1[[#This Row],[Paid Amount]]</f>
        <v>200835</v>
      </c>
      <c r="P2913" s="2" t="s">
        <v>23</v>
      </c>
      <c r="Q2913" s="2" t="s">
        <v>47</v>
      </c>
      <c r="R2913" s="16">
        <f>(Table1[[#This Row],[NET Amount]]-Table1[[#This Row],[Total Outstanding Amount]])/Table1[[#This Row],[NET Amount]]</f>
        <v>6.3084458957993169E-3</v>
      </c>
      <c r="S2913" s="2" t="s">
        <v>39</v>
      </c>
    </row>
    <row r="2914" spans="1:19" x14ac:dyDescent="0.3">
      <c r="A2914" s="4">
        <v>2912</v>
      </c>
      <c r="B2914" s="2" t="s">
        <v>2254</v>
      </c>
      <c r="C2914" s="3">
        <v>44853</v>
      </c>
      <c r="D2914" s="3" t="str">
        <f>TEXT(Table1[[#This Row],[Admission Date]],"MMMM")</f>
        <v>October</v>
      </c>
      <c r="E2914" s="3">
        <v>44856</v>
      </c>
      <c r="F2914" s="3">
        <v>44856</v>
      </c>
      <c r="G2914" s="2">
        <v>22028179</v>
      </c>
      <c r="H2914" s="2">
        <v>2236616</v>
      </c>
      <c r="I2914" s="2">
        <v>1001805198</v>
      </c>
      <c r="J2914" s="2" t="s">
        <v>807</v>
      </c>
      <c r="K2914" s="10">
        <v>52547</v>
      </c>
      <c r="L2914" s="10">
        <v>4194</v>
      </c>
      <c r="M2914" s="10">
        <v>48354</v>
      </c>
      <c r="N2914" s="10">
        <v>3296</v>
      </c>
      <c r="O2914" s="10">
        <f>Table1[[#This Row],[NET Amount]]-Table1[[#This Row],[Paid Amount]]</f>
        <v>45058</v>
      </c>
      <c r="P2914" s="2" t="s">
        <v>23</v>
      </c>
      <c r="Q2914" s="2" t="s">
        <v>24</v>
      </c>
      <c r="R2914" s="16">
        <f>(Table1[[#This Row],[NET Amount]]-Table1[[#This Row],[Total Outstanding Amount]])/Table1[[#This Row],[NET Amount]]</f>
        <v>6.8163957480249823E-2</v>
      </c>
      <c r="S2914" s="2" t="s">
        <v>20</v>
      </c>
    </row>
    <row r="2915" spans="1:19" x14ac:dyDescent="0.3">
      <c r="A2915" s="4">
        <v>2913</v>
      </c>
      <c r="B2915" s="2" t="s">
        <v>113</v>
      </c>
      <c r="C2915" s="3">
        <v>44854</v>
      </c>
      <c r="D2915" s="3" t="str">
        <f>TEXT(Table1[[#This Row],[Admission Date]],"MMMM")</f>
        <v>October</v>
      </c>
      <c r="E2915" s="3">
        <v>44854</v>
      </c>
      <c r="F2915" s="3">
        <v>44854</v>
      </c>
      <c r="G2915" s="2">
        <v>22027826</v>
      </c>
      <c r="H2915" s="2">
        <v>2236739</v>
      </c>
      <c r="I2915" s="2">
        <v>10013524248</v>
      </c>
      <c r="J2915" s="2" t="s">
        <v>211</v>
      </c>
      <c r="K2915" s="10">
        <v>1610</v>
      </c>
      <c r="L2915" s="10">
        <v>0</v>
      </c>
      <c r="M2915" s="10">
        <v>1610</v>
      </c>
      <c r="N2915" s="10">
        <v>1610</v>
      </c>
      <c r="O2915" s="10">
        <f>Table1[[#This Row],[NET Amount]]-Table1[[#This Row],[Paid Amount]]</f>
        <v>0</v>
      </c>
      <c r="P2915" s="2" t="s">
        <v>18</v>
      </c>
      <c r="Q2915" s="2" t="s">
        <v>54</v>
      </c>
      <c r="R2915" s="16">
        <f>(Table1[[#This Row],[NET Amount]]-Table1[[#This Row],[Total Outstanding Amount]])/Table1[[#This Row],[NET Amount]]</f>
        <v>1</v>
      </c>
      <c r="S2915" s="2" t="s">
        <v>97</v>
      </c>
    </row>
    <row r="2916" spans="1:19" x14ac:dyDescent="0.3">
      <c r="A2916" s="4">
        <v>2914</v>
      </c>
      <c r="B2916" s="2" t="s">
        <v>2260</v>
      </c>
      <c r="C2916" s="3">
        <v>44840</v>
      </c>
      <c r="D2916" s="3" t="str">
        <f>TEXT(Table1[[#This Row],[Admission Date]],"MMMM")</f>
        <v>October</v>
      </c>
      <c r="E2916" s="3">
        <v>44849</v>
      </c>
      <c r="F2916" s="3">
        <v>44849</v>
      </c>
      <c r="G2916" s="2">
        <v>22027239</v>
      </c>
      <c r="H2916" s="2">
        <v>2234867</v>
      </c>
      <c r="I2916" s="2">
        <v>1001608414</v>
      </c>
      <c r="J2916" s="2" t="s">
        <v>1764</v>
      </c>
      <c r="K2916" s="10">
        <v>65040</v>
      </c>
      <c r="L2916" s="10">
        <v>0</v>
      </c>
      <c r="M2916" s="10">
        <v>65040</v>
      </c>
      <c r="N2916" s="10">
        <v>1921</v>
      </c>
      <c r="O2916" s="10">
        <f>Table1[[#This Row],[NET Amount]]-Table1[[#This Row],[Paid Amount]]</f>
        <v>63119</v>
      </c>
      <c r="P2916" s="2" t="s">
        <v>23</v>
      </c>
      <c r="Q2916" s="2" t="s">
        <v>30</v>
      </c>
      <c r="R2916" s="16">
        <f>(Table1[[#This Row],[NET Amount]]-Table1[[#This Row],[Total Outstanding Amount]])/Table1[[#This Row],[NET Amount]]</f>
        <v>2.9535670356703566E-2</v>
      </c>
      <c r="S2916" s="2" t="s">
        <v>20</v>
      </c>
    </row>
    <row r="2917" spans="1:19" x14ac:dyDescent="0.3">
      <c r="A2917" s="4">
        <v>2915</v>
      </c>
      <c r="B2917" s="2" t="s">
        <v>152</v>
      </c>
      <c r="C2917" s="3">
        <v>44839</v>
      </c>
      <c r="D2917" s="3" t="str">
        <f>TEXT(Table1[[#This Row],[Admission Date]],"MMMM")</f>
        <v>October</v>
      </c>
      <c r="E2917" s="3">
        <v>44840</v>
      </c>
      <c r="F2917" s="3">
        <v>44840</v>
      </c>
      <c r="G2917" s="2">
        <v>22025896</v>
      </c>
      <c r="H2917" s="2">
        <v>2234668</v>
      </c>
      <c r="I2917" s="2">
        <v>1001802519</v>
      </c>
      <c r="J2917" s="2" t="s">
        <v>49</v>
      </c>
      <c r="K2917" s="10">
        <v>6952</v>
      </c>
      <c r="L2917" s="10">
        <v>0</v>
      </c>
      <c r="M2917" s="10">
        <v>6952</v>
      </c>
      <c r="N2917" s="10">
        <v>6952</v>
      </c>
      <c r="O2917" s="10">
        <f>Table1[[#This Row],[NET Amount]]-Table1[[#This Row],[Paid Amount]]</f>
        <v>0</v>
      </c>
      <c r="P2917" s="2" t="s">
        <v>18</v>
      </c>
      <c r="Q2917" s="2" t="s">
        <v>24</v>
      </c>
      <c r="R2917" s="16">
        <f>(Table1[[#This Row],[NET Amount]]-Table1[[#This Row],[Total Outstanding Amount]])/Table1[[#This Row],[NET Amount]]</f>
        <v>1</v>
      </c>
      <c r="S2917" s="2" t="s">
        <v>27</v>
      </c>
    </row>
    <row r="2918" spans="1:19" x14ac:dyDescent="0.3">
      <c r="A2918" s="4">
        <v>2916</v>
      </c>
      <c r="B2918" s="2" t="s">
        <v>25</v>
      </c>
      <c r="C2918" s="3">
        <v>44838</v>
      </c>
      <c r="D2918" s="3" t="str">
        <f>TEXT(Table1[[#This Row],[Admission Date]],"MMMM")</f>
        <v>October</v>
      </c>
      <c r="E2918" s="3">
        <v>44840</v>
      </c>
      <c r="F2918" s="3">
        <v>44840</v>
      </c>
      <c r="G2918" s="2">
        <v>22025852</v>
      </c>
      <c r="H2918" s="2">
        <v>2234541</v>
      </c>
      <c r="I2918" s="2">
        <v>1001802374</v>
      </c>
      <c r="J2918" s="2" t="s">
        <v>1765</v>
      </c>
      <c r="K2918" s="10">
        <v>12860</v>
      </c>
      <c r="L2918" s="10">
        <v>1483</v>
      </c>
      <c r="M2918" s="10">
        <v>11376</v>
      </c>
      <c r="N2918" s="10">
        <v>11376</v>
      </c>
      <c r="O2918" s="10">
        <f>Table1[[#This Row],[NET Amount]]-Table1[[#This Row],[Paid Amount]]</f>
        <v>0</v>
      </c>
      <c r="P2918" s="2" t="s">
        <v>18</v>
      </c>
      <c r="Q2918" s="2" t="s">
        <v>24</v>
      </c>
      <c r="R2918" s="16">
        <f>(Table1[[#This Row],[NET Amount]]-Table1[[#This Row],[Total Outstanding Amount]])/Table1[[#This Row],[NET Amount]]</f>
        <v>1</v>
      </c>
      <c r="S2918" s="2" t="s">
        <v>37</v>
      </c>
    </row>
    <row r="2919" spans="1:19" x14ac:dyDescent="0.3">
      <c r="A2919" s="4">
        <v>2917</v>
      </c>
      <c r="B2919" s="2" t="s">
        <v>545</v>
      </c>
      <c r="C2919" s="3">
        <v>44840</v>
      </c>
      <c r="D2919" s="3" t="str">
        <f>TEXT(Table1[[#This Row],[Admission Date]],"MMMM")</f>
        <v>October</v>
      </c>
      <c r="E2919" s="3">
        <v>44842</v>
      </c>
      <c r="F2919" s="3">
        <v>44842</v>
      </c>
      <c r="G2919" s="2">
        <v>22026100</v>
      </c>
      <c r="H2919" s="2">
        <v>2234941</v>
      </c>
      <c r="I2919" s="2">
        <v>10013541885</v>
      </c>
      <c r="J2919" s="2" t="s">
        <v>1766</v>
      </c>
      <c r="K2919" s="10">
        <v>309953</v>
      </c>
      <c r="L2919" s="10">
        <v>0</v>
      </c>
      <c r="M2919" s="10">
        <v>309952</v>
      </c>
      <c r="N2919" s="10">
        <v>109953</v>
      </c>
      <c r="O2919" s="10">
        <f>Table1[[#This Row],[NET Amount]]-Table1[[#This Row],[Paid Amount]]</f>
        <v>199999</v>
      </c>
      <c r="P2919" s="2" t="s">
        <v>23</v>
      </c>
      <c r="Q2919" s="2" t="s">
        <v>47</v>
      </c>
      <c r="R2919" s="16">
        <f>(Table1[[#This Row],[NET Amount]]-Table1[[#This Row],[Total Outstanding Amount]])/Table1[[#This Row],[NET Amount]]</f>
        <v>0.35474202457154658</v>
      </c>
      <c r="S2919" s="2" t="s">
        <v>39</v>
      </c>
    </row>
    <row r="2920" spans="1:19" x14ac:dyDescent="0.3">
      <c r="A2920" s="4">
        <v>2918</v>
      </c>
      <c r="B2920" s="2" t="s">
        <v>35</v>
      </c>
      <c r="C2920" s="3">
        <v>44862</v>
      </c>
      <c r="D2920" s="3" t="str">
        <f>TEXT(Table1[[#This Row],[Admission Date]],"MMMM")</f>
        <v>October</v>
      </c>
      <c r="E2920" s="3">
        <v>44862</v>
      </c>
      <c r="F2920" s="3">
        <v>44862</v>
      </c>
      <c r="G2920" s="2">
        <v>22028951</v>
      </c>
      <c r="H2920" s="2">
        <v>2237778</v>
      </c>
      <c r="I2920" s="2">
        <v>10013487696</v>
      </c>
      <c r="J2920" s="2" t="s">
        <v>359</v>
      </c>
      <c r="K2920" s="10">
        <v>1610</v>
      </c>
      <c r="L2920" s="10">
        <v>0</v>
      </c>
      <c r="M2920" s="10">
        <v>1610</v>
      </c>
      <c r="N2920" s="10">
        <v>1610</v>
      </c>
      <c r="O2920" s="10">
        <f>Table1[[#This Row],[NET Amount]]-Table1[[#This Row],[Paid Amount]]</f>
        <v>0</v>
      </c>
      <c r="P2920" s="2" t="s">
        <v>18</v>
      </c>
      <c r="Q2920" s="2" t="s">
        <v>54</v>
      </c>
      <c r="R2920" s="16">
        <f>(Table1[[#This Row],[NET Amount]]-Table1[[#This Row],[Total Outstanding Amount]])/Table1[[#This Row],[NET Amount]]</f>
        <v>1</v>
      </c>
      <c r="S2920" s="2" t="s">
        <v>97</v>
      </c>
    </row>
    <row r="2921" spans="1:19" x14ac:dyDescent="0.3">
      <c r="A2921" s="4">
        <v>2919</v>
      </c>
      <c r="B2921" s="2" t="s">
        <v>2244</v>
      </c>
      <c r="C2921" s="3">
        <v>44849</v>
      </c>
      <c r="D2921" s="3" t="str">
        <f>TEXT(Table1[[#This Row],[Admission Date]],"MMMM")</f>
        <v>October</v>
      </c>
      <c r="E2921" s="3">
        <v>44849</v>
      </c>
      <c r="F2921" s="3">
        <v>44849</v>
      </c>
      <c r="G2921" s="2">
        <v>22027230</v>
      </c>
      <c r="H2921" s="2">
        <v>2236147</v>
      </c>
      <c r="I2921" s="2">
        <v>1001735831</v>
      </c>
      <c r="J2921" s="2" t="s">
        <v>693</v>
      </c>
      <c r="K2921" s="10">
        <v>2560</v>
      </c>
      <c r="L2921" s="10">
        <v>0</v>
      </c>
      <c r="M2921" s="10">
        <v>2560</v>
      </c>
      <c r="N2921" s="10">
        <v>2560</v>
      </c>
      <c r="O2921" s="10">
        <f>Table1[[#This Row],[NET Amount]]-Table1[[#This Row],[Paid Amount]]</f>
        <v>0</v>
      </c>
      <c r="P2921" s="2" t="s">
        <v>18</v>
      </c>
      <c r="Q2921" s="2" t="s">
        <v>54</v>
      </c>
      <c r="R2921" s="16">
        <f>(Table1[[#This Row],[NET Amount]]-Table1[[#This Row],[Total Outstanding Amount]])/Table1[[#This Row],[NET Amount]]</f>
        <v>1</v>
      </c>
      <c r="S2921" s="2" t="s">
        <v>97</v>
      </c>
    </row>
    <row r="2922" spans="1:19" x14ac:dyDescent="0.3">
      <c r="A2922" s="4">
        <v>2920</v>
      </c>
      <c r="B2922" s="2" t="s">
        <v>2257</v>
      </c>
      <c r="C2922" s="3">
        <v>44856</v>
      </c>
      <c r="D2922" s="3" t="str">
        <f>TEXT(Table1[[#This Row],[Admission Date]],"MMMM")</f>
        <v>October</v>
      </c>
      <c r="E2922" s="3">
        <v>44856</v>
      </c>
      <c r="F2922" s="3">
        <v>44856</v>
      </c>
      <c r="G2922" s="2">
        <v>22028201</v>
      </c>
      <c r="H2922" s="2">
        <v>2237044</v>
      </c>
      <c r="I2922" s="2">
        <v>1001689981</v>
      </c>
      <c r="J2922" s="2" t="s">
        <v>253</v>
      </c>
      <c r="K2922" s="10">
        <v>2950</v>
      </c>
      <c r="L2922" s="10">
        <v>0</v>
      </c>
      <c r="M2922" s="10">
        <v>2950</v>
      </c>
      <c r="N2922" s="10">
        <v>24</v>
      </c>
      <c r="O2922" s="10">
        <f>Table1[[#This Row],[NET Amount]]-Table1[[#This Row],[Paid Amount]]</f>
        <v>2926</v>
      </c>
      <c r="P2922" s="2" t="s">
        <v>23</v>
      </c>
      <c r="Q2922" s="2" t="s">
        <v>54</v>
      </c>
      <c r="R2922" s="16">
        <f>(Table1[[#This Row],[NET Amount]]-Table1[[#This Row],[Total Outstanding Amount]])/Table1[[#This Row],[NET Amount]]</f>
        <v>8.1355932203389832E-3</v>
      </c>
      <c r="S2922" s="2" t="s">
        <v>97</v>
      </c>
    </row>
    <row r="2923" spans="1:19" x14ac:dyDescent="0.3">
      <c r="A2923" s="4">
        <v>2921</v>
      </c>
      <c r="B2923" s="2" t="s">
        <v>25</v>
      </c>
      <c r="C2923" s="3">
        <v>44852</v>
      </c>
      <c r="D2923" s="3" t="str">
        <f>TEXT(Table1[[#This Row],[Admission Date]],"MMMM")</f>
        <v>October</v>
      </c>
      <c r="E2923" s="3">
        <v>44857</v>
      </c>
      <c r="F2923" s="3">
        <v>44857</v>
      </c>
      <c r="G2923" s="2">
        <v>22028359</v>
      </c>
      <c r="H2923" s="2">
        <v>2236513</v>
      </c>
      <c r="I2923" s="2">
        <v>10013530901</v>
      </c>
      <c r="J2923" s="2" t="s">
        <v>1767</v>
      </c>
      <c r="K2923" s="10">
        <v>200259</v>
      </c>
      <c r="L2923" s="10">
        <v>16154</v>
      </c>
      <c r="M2923" s="10">
        <v>184105</v>
      </c>
      <c r="N2923" s="10">
        <v>184105</v>
      </c>
      <c r="O2923" s="10">
        <f>Table1[[#This Row],[NET Amount]]-Table1[[#This Row],[Paid Amount]]</f>
        <v>0</v>
      </c>
      <c r="P2923" s="2" t="s">
        <v>18</v>
      </c>
      <c r="Q2923" s="2" t="s">
        <v>19</v>
      </c>
      <c r="R2923" s="16">
        <f>(Table1[[#This Row],[NET Amount]]-Table1[[#This Row],[Total Outstanding Amount]])/Table1[[#This Row],[NET Amount]]</f>
        <v>1</v>
      </c>
      <c r="S2923" s="2" t="s">
        <v>65</v>
      </c>
    </row>
    <row r="2924" spans="1:19" x14ac:dyDescent="0.3">
      <c r="A2924" s="4">
        <v>2922</v>
      </c>
      <c r="B2924" s="2" t="s">
        <v>25</v>
      </c>
      <c r="C2924" s="3">
        <v>44862</v>
      </c>
      <c r="D2924" s="3" t="str">
        <f>TEXT(Table1[[#This Row],[Admission Date]],"MMMM")</f>
        <v>October</v>
      </c>
      <c r="E2924" s="3">
        <v>44862</v>
      </c>
      <c r="F2924" s="3">
        <v>44862</v>
      </c>
      <c r="G2924" s="2">
        <v>22028990</v>
      </c>
      <c r="H2924" s="2">
        <v>2237881</v>
      </c>
      <c r="I2924" s="2">
        <v>1001327108</v>
      </c>
      <c r="J2924" s="2" t="s">
        <v>321</v>
      </c>
      <c r="K2924" s="10">
        <v>2794</v>
      </c>
      <c r="L2924" s="10">
        <v>2794</v>
      </c>
      <c r="M2924" s="10">
        <v>0</v>
      </c>
      <c r="N2924" s="10">
        <v>0</v>
      </c>
      <c r="O2924" s="10">
        <f>Table1[[#This Row],[NET Amount]]-Table1[[#This Row],[Paid Amount]]</f>
        <v>0</v>
      </c>
      <c r="P2924" s="2" t="s">
        <v>18</v>
      </c>
      <c r="Q2924" s="2" t="s">
        <v>90</v>
      </c>
      <c r="R2924" s="16" t="e">
        <f>(Table1[[#This Row],[NET Amount]]-Table1[[#This Row],[Total Outstanding Amount]])/Table1[[#This Row],[NET Amount]]</f>
        <v>#DIV/0!</v>
      </c>
      <c r="S2924" s="2" t="s">
        <v>97</v>
      </c>
    </row>
    <row r="2925" spans="1:19" x14ac:dyDescent="0.3">
      <c r="A2925" s="4">
        <v>2923</v>
      </c>
      <c r="B2925" s="2" t="s">
        <v>25</v>
      </c>
      <c r="C2925" s="3">
        <v>44860</v>
      </c>
      <c r="D2925" s="3" t="str">
        <f>TEXT(Table1[[#This Row],[Admission Date]],"MMMM")</f>
        <v>October</v>
      </c>
      <c r="E2925" s="3">
        <v>44863</v>
      </c>
      <c r="F2925" s="3">
        <v>44863</v>
      </c>
      <c r="G2925" s="2">
        <v>22029075</v>
      </c>
      <c r="H2925" s="2">
        <v>2237475</v>
      </c>
      <c r="I2925" s="2">
        <v>1001806288</v>
      </c>
      <c r="J2925" s="2" t="s">
        <v>1768</v>
      </c>
      <c r="K2925" s="10">
        <v>17128</v>
      </c>
      <c r="L2925" s="10">
        <v>2220</v>
      </c>
      <c r="M2925" s="10">
        <v>14909</v>
      </c>
      <c r="N2925" s="10">
        <v>14909</v>
      </c>
      <c r="O2925" s="10">
        <f>Table1[[#This Row],[NET Amount]]-Table1[[#This Row],[Paid Amount]]</f>
        <v>0</v>
      </c>
      <c r="P2925" s="2" t="s">
        <v>18</v>
      </c>
      <c r="Q2925" s="2" t="s">
        <v>104</v>
      </c>
      <c r="R2925" s="16">
        <f>(Table1[[#This Row],[NET Amount]]-Table1[[#This Row],[Total Outstanding Amount]])/Table1[[#This Row],[NET Amount]]</f>
        <v>1</v>
      </c>
      <c r="S2925" s="2" t="s">
        <v>37</v>
      </c>
    </row>
    <row r="2926" spans="1:19" x14ac:dyDescent="0.3">
      <c r="A2926" s="4">
        <v>2924</v>
      </c>
      <c r="B2926" s="2" t="s">
        <v>126</v>
      </c>
      <c r="C2926" s="3">
        <v>44842</v>
      </c>
      <c r="D2926" s="3" t="str">
        <f>TEXT(Table1[[#This Row],[Admission Date]],"MMMM")</f>
        <v>October</v>
      </c>
      <c r="E2926" s="3">
        <v>44842</v>
      </c>
      <c r="F2926" s="3">
        <v>44842</v>
      </c>
      <c r="G2926" s="2">
        <v>22026220</v>
      </c>
      <c r="H2926" s="2">
        <v>2235219</v>
      </c>
      <c r="I2926" s="2">
        <v>10013481278</v>
      </c>
      <c r="J2926" s="2" t="s">
        <v>264</v>
      </c>
      <c r="K2926" s="10">
        <v>2500</v>
      </c>
      <c r="L2926" s="10">
        <v>0</v>
      </c>
      <c r="M2926" s="10">
        <v>2500</v>
      </c>
      <c r="N2926" s="10">
        <v>2500</v>
      </c>
      <c r="O2926" s="10">
        <f>Table1[[#This Row],[NET Amount]]-Table1[[#This Row],[Paid Amount]]</f>
        <v>0</v>
      </c>
      <c r="P2926" s="2" t="s">
        <v>18</v>
      </c>
      <c r="Q2926" s="2" t="s">
        <v>54</v>
      </c>
      <c r="R2926" s="16">
        <f>(Table1[[#This Row],[NET Amount]]-Table1[[#This Row],[Total Outstanding Amount]])/Table1[[#This Row],[NET Amount]]</f>
        <v>1</v>
      </c>
      <c r="S2926" s="2" t="s">
        <v>97</v>
      </c>
    </row>
    <row r="2927" spans="1:19" x14ac:dyDescent="0.3">
      <c r="A2927" s="4">
        <v>2925</v>
      </c>
      <c r="B2927" s="2" t="s">
        <v>25</v>
      </c>
      <c r="C2927" s="3">
        <v>44842</v>
      </c>
      <c r="D2927" s="3" t="str">
        <f>TEXT(Table1[[#This Row],[Admission Date]],"MMMM")</f>
        <v>October</v>
      </c>
      <c r="E2927" s="3">
        <v>44842</v>
      </c>
      <c r="F2927" s="3">
        <v>44842</v>
      </c>
      <c r="G2927" s="2">
        <v>22026228</v>
      </c>
      <c r="H2927" s="2">
        <v>2235233</v>
      </c>
      <c r="I2927" s="2">
        <v>10013541160</v>
      </c>
      <c r="J2927" s="2" t="s">
        <v>336</v>
      </c>
      <c r="K2927" s="10">
        <v>4990</v>
      </c>
      <c r="L2927" s="10">
        <v>555</v>
      </c>
      <c r="M2927" s="10">
        <v>4435</v>
      </c>
      <c r="N2927" s="10">
        <v>4435</v>
      </c>
      <c r="O2927" s="10">
        <f>Table1[[#This Row],[NET Amount]]-Table1[[#This Row],[Paid Amount]]</f>
        <v>0</v>
      </c>
      <c r="P2927" s="2" t="s">
        <v>18</v>
      </c>
      <c r="Q2927" s="2" t="s">
        <v>54</v>
      </c>
      <c r="R2927" s="16">
        <f>(Table1[[#This Row],[NET Amount]]-Table1[[#This Row],[Total Outstanding Amount]])/Table1[[#This Row],[NET Amount]]</f>
        <v>1</v>
      </c>
      <c r="S2927" s="2" t="s">
        <v>97</v>
      </c>
    </row>
    <row r="2928" spans="1:19" x14ac:dyDescent="0.3">
      <c r="A2928" s="4">
        <v>2926</v>
      </c>
      <c r="B2928" s="2" t="s">
        <v>155</v>
      </c>
      <c r="C2928" s="3">
        <v>44842</v>
      </c>
      <c r="D2928" s="3" t="str">
        <f>TEXT(Table1[[#This Row],[Admission Date]],"MMMM")</f>
        <v>October</v>
      </c>
      <c r="E2928" s="3">
        <v>44842</v>
      </c>
      <c r="F2928" s="3">
        <v>44842</v>
      </c>
      <c r="G2928" s="2">
        <v>22026239</v>
      </c>
      <c r="H2928" s="2">
        <v>2235245</v>
      </c>
      <c r="I2928" s="2">
        <v>1000915662</v>
      </c>
      <c r="J2928" s="2" t="s">
        <v>188</v>
      </c>
      <c r="K2928" s="10">
        <v>1610</v>
      </c>
      <c r="L2928" s="10">
        <v>0</v>
      </c>
      <c r="M2928" s="10">
        <v>1610</v>
      </c>
      <c r="N2928" s="10">
        <v>1610</v>
      </c>
      <c r="O2928" s="10">
        <f>Table1[[#This Row],[NET Amount]]-Table1[[#This Row],[Paid Amount]]</f>
        <v>0</v>
      </c>
      <c r="P2928" s="2" t="s">
        <v>18</v>
      </c>
      <c r="Q2928" s="2" t="s">
        <v>54</v>
      </c>
      <c r="R2928" s="16">
        <f>(Table1[[#This Row],[NET Amount]]-Table1[[#This Row],[Total Outstanding Amount]])/Table1[[#This Row],[NET Amount]]</f>
        <v>1</v>
      </c>
      <c r="S2928" s="2" t="s">
        <v>97</v>
      </c>
    </row>
    <row r="2929" spans="1:19" x14ac:dyDescent="0.3">
      <c r="A2929" s="4">
        <v>2927</v>
      </c>
      <c r="B2929" s="2" t="s">
        <v>155</v>
      </c>
      <c r="C2929" s="3">
        <v>44857</v>
      </c>
      <c r="D2929" s="3" t="str">
        <f>TEXT(Table1[[#This Row],[Admission Date]],"MMMM")</f>
        <v>October</v>
      </c>
      <c r="E2929" s="3">
        <v>44857</v>
      </c>
      <c r="F2929" s="3">
        <v>44857</v>
      </c>
      <c r="G2929" s="2">
        <v>22028309</v>
      </c>
      <c r="H2929" s="2">
        <v>2237122</v>
      </c>
      <c r="I2929" s="2">
        <v>10013537888</v>
      </c>
      <c r="J2929" s="2" t="s">
        <v>358</v>
      </c>
      <c r="K2929" s="10">
        <v>1610</v>
      </c>
      <c r="L2929" s="10">
        <v>0</v>
      </c>
      <c r="M2929" s="10">
        <v>1610</v>
      </c>
      <c r="N2929" s="10">
        <v>1610</v>
      </c>
      <c r="O2929" s="10">
        <f>Table1[[#This Row],[NET Amount]]-Table1[[#This Row],[Paid Amount]]</f>
        <v>0</v>
      </c>
      <c r="P2929" s="2" t="s">
        <v>18</v>
      </c>
      <c r="Q2929" s="2" t="s">
        <v>54</v>
      </c>
      <c r="R2929" s="16">
        <f>(Table1[[#This Row],[NET Amount]]-Table1[[#This Row],[Total Outstanding Amount]])/Table1[[#This Row],[NET Amount]]</f>
        <v>1</v>
      </c>
      <c r="S2929" s="2" t="s">
        <v>97</v>
      </c>
    </row>
    <row r="2930" spans="1:19" x14ac:dyDescent="0.3">
      <c r="A2930" s="4">
        <v>2928</v>
      </c>
      <c r="B2930" s="2" t="s">
        <v>2251</v>
      </c>
      <c r="C2930" s="3">
        <v>44845</v>
      </c>
      <c r="D2930" s="3" t="str">
        <f>TEXT(Table1[[#This Row],[Admission Date]],"MMMM")</f>
        <v>October</v>
      </c>
      <c r="E2930" s="3">
        <v>44848</v>
      </c>
      <c r="F2930" s="3">
        <v>44848</v>
      </c>
      <c r="G2930" s="2">
        <v>22027006</v>
      </c>
      <c r="H2930" s="2">
        <v>2235482</v>
      </c>
      <c r="I2930" s="2">
        <v>1001803667</v>
      </c>
      <c r="J2930" s="2" t="s">
        <v>1769</v>
      </c>
      <c r="K2930" s="10">
        <v>33960</v>
      </c>
      <c r="L2930" s="10">
        <v>4543</v>
      </c>
      <c r="M2930" s="10">
        <v>29417</v>
      </c>
      <c r="N2930" s="10">
        <v>1000</v>
      </c>
      <c r="O2930" s="10">
        <f>Table1[[#This Row],[NET Amount]]-Table1[[#This Row],[Paid Amount]]</f>
        <v>28417</v>
      </c>
      <c r="P2930" s="2" t="s">
        <v>23</v>
      </c>
      <c r="Q2930" s="2" t="s">
        <v>52</v>
      </c>
      <c r="R2930" s="16">
        <f>(Table1[[#This Row],[NET Amount]]-Table1[[#This Row],[Total Outstanding Amount]])/Table1[[#This Row],[NET Amount]]</f>
        <v>3.3993949077064281E-2</v>
      </c>
      <c r="S2930" s="2" t="s">
        <v>37</v>
      </c>
    </row>
    <row r="2931" spans="1:19" x14ac:dyDescent="0.3">
      <c r="A2931" s="4">
        <v>2929</v>
      </c>
      <c r="B2931" s="2" t="s">
        <v>25</v>
      </c>
      <c r="C2931" s="3">
        <v>44847</v>
      </c>
      <c r="D2931" s="3" t="str">
        <f>TEXT(Table1[[#This Row],[Admission Date]],"MMMM")</f>
        <v>October</v>
      </c>
      <c r="E2931" s="3">
        <v>44847</v>
      </c>
      <c r="F2931" s="3">
        <v>44847</v>
      </c>
      <c r="G2931" s="2">
        <v>22026826</v>
      </c>
      <c r="H2931" s="2">
        <v>2235819</v>
      </c>
      <c r="I2931" s="2">
        <v>1001314823</v>
      </c>
      <c r="J2931" s="2" t="s">
        <v>129</v>
      </c>
      <c r="K2931" s="10">
        <v>3630</v>
      </c>
      <c r="L2931" s="10">
        <v>326</v>
      </c>
      <c r="M2931" s="10">
        <v>3304</v>
      </c>
      <c r="N2931" s="10">
        <v>3304</v>
      </c>
      <c r="O2931" s="10">
        <f>Table1[[#This Row],[NET Amount]]-Table1[[#This Row],[Paid Amount]]</f>
        <v>0</v>
      </c>
      <c r="P2931" s="2" t="s">
        <v>18</v>
      </c>
      <c r="Q2931" s="2" t="s">
        <v>54</v>
      </c>
      <c r="R2931" s="16">
        <f>(Table1[[#This Row],[NET Amount]]-Table1[[#This Row],[Total Outstanding Amount]])/Table1[[#This Row],[NET Amount]]</f>
        <v>1</v>
      </c>
      <c r="S2931" s="2" t="s">
        <v>97</v>
      </c>
    </row>
    <row r="2932" spans="1:19" x14ac:dyDescent="0.3">
      <c r="A2932" s="4">
        <v>2930</v>
      </c>
      <c r="B2932" s="2" t="s">
        <v>25</v>
      </c>
      <c r="C2932" s="3">
        <v>44865</v>
      </c>
      <c r="D2932" s="3" t="str">
        <f>TEXT(Table1[[#This Row],[Admission Date]],"MMMM")</f>
        <v>October</v>
      </c>
      <c r="E2932" s="3">
        <v>44865</v>
      </c>
      <c r="F2932" s="3">
        <v>44865</v>
      </c>
      <c r="G2932" s="2">
        <v>22029254</v>
      </c>
      <c r="H2932" s="2">
        <v>2238152</v>
      </c>
      <c r="I2932" s="2">
        <v>10013424453</v>
      </c>
      <c r="J2932" s="2" t="s">
        <v>333</v>
      </c>
      <c r="K2932" s="10">
        <v>4990</v>
      </c>
      <c r="L2932" s="10">
        <v>415</v>
      </c>
      <c r="M2932" s="10">
        <v>4575</v>
      </c>
      <c r="N2932" s="10">
        <v>4575</v>
      </c>
      <c r="O2932" s="10">
        <f>Table1[[#This Row],[NET Amount]]-Table1[[#This Row],[Paid Amount]]</f>
        <v>0</v>
      </c>
      <c r="P2932" s="2" t="s">
        <v>18</v>
      </c>
      <c r="Q2932" s="2" t="s">
        <v>54</v>
      </c>
      <c r="R2932" s="16">
        <f>(Table1[[#This Row],[NET Amount]]-Table1[[#This Row],[Total Outstanding Amount]])/Table1[[#This Row],[NET Amount]]</f>
        <v>1</v>
      </c>
      <c r="S2932" s="2" t="s">
        <v>97</v>
      </c>
    </row>
    <row r="2933" spans="1:19" x14ac:dyDescent="0.3">
      <c r="A2933" s="4">
        <v>2931</v>
      </c>
      <c r="B2933" s="2" t="s">
        <v>2244</v>
      </c>
      <c r="C2933" s="3">
        <v>44862</v>
      </c>
      <c r="D2933" s="3" t="str">
        <f>TEXT(Table1[[#This Row],[Admission Date]],"MMMM")</f>
        <v>October</v>
      </c>
      <c r="E2933" s="3">
        <v>44862</v>
      </c>
      <c r="F2933" s="3">
        <v>44862</v>
      </c>
      <c r="G2933" s="2">
        <v>22028970</v>
      </c>
      <c r="H2933" s="2">
        <v>2237844</v>
      </c>
      <c r="I2933" s="2">
        <v>1001758739</v>
      </c>
      <c r="J2933" s="2" t="s">
        <v>233</v>
      </c>
      <c r="K2933" s="10">
        <v>2560</v>
      </c>
      <c r="L2933" s="10">
        <v>0</v>
      </c>
      <c r="M2933" s="10">
        <v>2560</v>
      </c>
      <c r="N2933" s="10">
        <v>2560</v>
      </c>
      <c r="O2933" s="10">
        <f>Table1[[#This Row],[NET Amount]]-Table1[[#This Row],[Paid Amount]]</f>
        <v>0</v>
      </c>
      <c r="P2933" s="2" t="s">
        <v>18</v>
      </c>
      <c r="Q2933" s="2" t="s">
        <v>54</v>
      </c>
      <c r="R2933" s="16">
        <f>(Table1[[#This Row],[NET Amount]]-Table1[[#This Row],[Total Outstanding Amount]])/Table1[[#This Row],[NET Amount]]</f>
        <v>1</v>
      </c>
      <c r="S2933" s="2" t="s">
        <v>97</v>
      </c>
    </row>
    <row r="2934" spans="1:19" x14ac:dyDescent="0.3">
      <c r="A2934" s="4">
        <v>2932</v>
      </c>
      <c r="B2934" s="2" t="s">
        <v>155</v>
      </c>
      <c r="C2934" s="3">
        <v>44856</v>
      </c>
      <c r="D2934" s="3" t="str">
        <f>TEXT(Table1[[#This Row],[Admission Date]],"MMMM")</f>
        <v>October</v>
      </c>
      <c r="E2934" s="3">
        <v>44856</v>
      </c>
      <c r="F2934" s="3">
        <v>44856</v>
      </c>
      <c r="G2934" s="2">
        <v>22028299</v>
      </c>
      <c r="H2934" s="2">
        <v>2237099</v>
      </c>
      <c r="I2934" s="2">
        <v>1000915662</v>
      </c>
      <c r="J2934" s="2" t="s">
        <v>188</v>
      </c>
      <c r="K2934" s="10">
        <v>1610</v>
      </c>
      <c r="L2934" s="10">
        <v>0</v>
      </c>
      <c r="M2934" s="10">
        <v>1610</v>
      </c>
      <c r="N2934" s="10">
        <v>1610</v>
      </c>
      <c r="O2934" s="10">
        <f>Table1[[#This Row],[NET Amount]]-Table1[[#This Row],[Paid Amount]]</f>
        <v>0</v>
      </c>
      <c r="P2934" s="2" t="s">
        <v>18</v>
      </c>
      <c r="Q2934" s="2" t="s">
        <v>54</v>
      </c>
      <c r="R2934" s="16">
        <f>(Table1[[#This Row],[NET Amount]]-Table1[[#This Row],[Total Outstanding Amount]])/Table1[[#This Row],[NET Amount]]</f>
        <v>1</v>
      </c>
      <c r="S2934" s="2" t="s">
        <v>97</v>
      </c>
    </row>
    <row r="2935" spans="1:19" x14ac:dyDescent="0.3">
      <c r="A2935" s="4">
        <v>2933</v>
      </c>
      <c r="B2935" s="2" t="s">
        <v>80</v>
      </c>
      <c r="C2935" s="3">
        <v>44860</v>
      </c>
      <c r="D2935" s="3" t="str">
        <f>TEXT(Table1[[#This Row],[Admission Date]],"MMMM")</f>
        <v>October</v>
      </c>
      <c r="E2935" s="3">
        <v>44860</v>
      </c>
      <c r="F2935" s="3">
        <v>44860</v>
      </c>
      <c r="G2935" s="2">
        <v>22028662</v>
      </c>
      <c r="H2935" s="2">
        <v>2237442</v>
      </c>
      <c r="I2935" s="2">
        <v>1001138252</v>
      </c>
      <c r="J2935" s="2" t="s">
        <v>1770</v>
      </c>
      <c r="K2935" s="10">
        <v>23760</v>
      </c>
      <c r="L2935" s="10">
        <v>0</v>
      </c>
      <c r="M2935" s="10">
        <v>23760</v>
      </c>
      <c r="N2935" s="10">
        <v>1500</v>
      </c>
      <c r="O2935" s="10">
        <f>Table1[[#This Row],[NET Amount]]-Table1[[#This Row],[Paid Amount]]</f>
        <v>22260</v>
      </c>
      <c r="P2935" s="2" t="s">
        <v>23</v>
      </c>
      <c r="Q2935" s="2" t="s">
        <v>54</v>
      </c>
      <c r="R2935" s="16">
        <f>(Table1[[#This Row],[NET Amount]]-Table1[[#This Row],[Total Outstanding Amount]])/Table1[[#This Row],[NET Amount]]</f>
        <v>6.3131313131313135E-2</v>
      </c>
      <c r="S2935" s="2" t="s">
        <v>27</v>
      </c>
    </row>
    <row r="2936" spans="1:19" x14ac:dyDescent="0.3">
      <c r="A2936" s="4">
        <v>2934</v>
      </c>
      <c r="B2936" s="2" t="s">
        <v>152</v>
      </c>
      <c r="C2936" s="3">
        <v>44856</v>
      </c>
      <c r="D2936" s="3" t="str">
        <f>TEXT(Table1[[#This Row],[Admission Date]],"MMMM")</f>
        <v>October</v>
      </c>
      <c r="E2936" s="3">
        <v>44858</v>
      </c>
      <c r="F2936" s="3">
        <v>44858</v>
      </c>
      <c r="G2936" s="2">
        <v>22028426</v>
      </c>
      <c r="H2936" s="2">
        <v>2237062</v>
      </c>
      <c r="I2936" s="2">
        <v>10013387481</v>
      </c>
      <c r="J2936" s="2" t="s">
        <v>1771</v>
      </c>
      <c r="K2936" s="10">
        <v>141638</v>
      </c>
      <c r="L2936" s="10">
        <v>0</v>
      </c>
      <c r="M2936" s="10">
        <v>141638</v>
      </c>
      <c r="N2936" s="10">
        <v>12210</v>
      </c>
      <c r="O2936" s="10">
        <f>Table1[[#This Row],[NET Amount]]-Table1[[#This Row],[Paid Amount]]</f>
        <v>129428</v>
      </c>
      <c r="P2936" s="2" t="s">
        <v>23</v>
      </c>
      <c r="Q2936" s="2" t="s">
        <v>24</v>
      </c>
      <c r="R2936" s="16">
        <f>(Table1[[#This Row],[NET Amount]]-Table1[[#This Row],[Total Outstanding Amount]])/Table1[[#This Row],[NET Amount]]</f>
        <v>8.6205679266863414E-2</v>
      </c>
      <c r="S2936" s="2" t="s">
        <v>39</v>
      </c>
    </row>
    <row r="2937" spans="1:19" x14ac:dyDescent="0.3">
      <c r="A2937" s="4">
        <v>2935</v>
      </c>
      <c r="B2937" s="2" t="s">
        <v>25</v>
      </c>
      <c r="C2937" s="3">
        <v>44840</v>
      </c>
      <c r="D2937" s="3" t="str">
        <f>TEXT(Table1[[#This Row],[Admission Date]],"MMMM")</f>
        <v>October</v>
      </c>
      <c r="E2937" s="3">
        <v>44840</v>
      </c>
      <c r="F2937" s="3">
        <v>44840</v>
      </c>
      <c r="G2937" s="2">
        <v>22025797</v>
      </c>
      <c r="H2937" s="2">
        <v>2234816</v>
      </c>
      <c r="I2937" s="2">
        <v>10013484177</v>
      </c>
      <c r="J2937" s="2" t="s">
        <v>174</v>
      </c>
      <c r="K2937" s="10">
        <v>2844</v>
      </c>
      <c r="L2937" s="10">
        <v>310</v>
      </c>
      <c r="M2937" s="10">
        <v>2534</v>
      </c>
      <c r="N2937" s="10">
        <v>2534</v>
      </c>
      <c r="O2937" s="10">
        <f>Table1[[#This Row],[NET Amount]]-Table1[[#This Row],[Paid Amount]]</f>
        <v>0</v>
      </c>
      <c r="P2937" s="2" t="s">
        <v>18</v>
      </c>
      <c r="Q2937" s="2" t="s">
        <v>54</v>
      </c>
      <c r="R2937" s="16">
        <f>(Table1[[#This Row],[NET Amount]]-Table1[[#This Row],[Total Outstanding Amount]])/Table1[[#This Row],[NET Amount]]</f>
        <v>1</v>
      </c>
      <c r="S2937" s="2" t="s">
        <v>97</v>
      </c>
    </row>
    <row r="2938" spans="1:19" x14ac:dyDescent="0.3">
      <c r="A2938" s="4">
        <v>2936</v>
      </c>
      <c r="B2938" s="2" t="s">
        <v>117</v>
      </c>
      <c r="C2938" s="3">
        <v>44848</v>
      </c>
      <c r="D2938" s="3" t="str">
        <f>TEXT(Table1[[#This Row],[Admission Date]],"MMMM")</f>
        <v>October</v>
      </c>
      <c r="E2938" s="3">
        <v>44848</v>
      </c>
      <c r="F2938" s="3">
        <v>44848</v>
      </c>
      <c r="G2938" s="2">
        <v>22026963</v>
      </c>
      <c r="H2938" s="2">
        <v>2235912</v>
      </c>
      <c r="I2938" s="2">
        <v>10013461113</v>
      </c>
      <c r="J2938" s="2" t="s">
        <v>308</v>
      </c>
      <c r="K2938" s="10">
        <v>2064</v>
      </c>
      <c r="L2938" s="10">
        <v>0</v>
      </c>
      <c r="M2938" s="10">
        <v>2064</v>
      </c>
      <c r="N2938" s="10">
        <v>2064</v>
      </c>
      <c r="O2938" s="10">
        <f>Table1[[#This Row],[NET Amount]]-Table1[[#This Row],[Paid Amount]]</f>
        <v>0</v>
      </c>
      <c r="P2938" s="2" t="s">
        <v>18</v>
      </c>
      <c r="Q2938" s="2" t="s">
        <v>54</v>
      </c>
      <c r="R2938" s="16">
        <f>(Table1[[#This Row],[NET Amount]]-Table1[[#This Row],[Total Outstanding Amount]])/Table1[[#This Row],[NET Amount]]</f>
        <v>1</v>
      </c>
      <c r="S2938" s="2" t="s">
        <v>97</v>
      </c>
    </row>
    <row r="2939" spans="1:19" x14ac:dyDescent="0.3">
      <c r="A2939" s="4">
        <v>2937</v>
      </c>
      <c r="B2939" s="2" t="s">
        <v>50</v>
      </c>
      <c r="C2939" s="3">
        <v>44848</v>
      </c>
      <c r="D2939" s="3" t="str">
        <f>TEXT(Table1[[#This Row],[Admission Date]],"MMMM")</f>
        <v>October</v>
      </c>
      <c r="E2939" s="3">
        <v>44848</v>
      </c>
      <c r="F2939" s="3">
        <v>44848</v>
      </c>
      <c r="G2939" s="2">
        <v>22026964</v>
      </c>
      <c r="H2939" s="2">
        <v>2235913</v>
      </c>
      <c r="I2939" s="2">
        <v>1000891498</v>
      </c>
      <c r="J2939" s="2" t="s">
        <v>299</v>
      </c>
      <c r="K2939" s="10">
        <v>2200</v>
      </c>
      <c r="L2939" s="10">
        <v>0</v>
      </c>
      <c r="M2939" s="10">
        <v>2200</v>
      </c>
      <c r="N2939" s="10">
        <v>440</v>
      </c>
      <c r="O2939" s="10">
        <f>Table1[[#This Row],[NET Amount]]-Table1[[#This Row],[Paid Amount]]</f>
        <v>1760</v>
      </c>
      <c r="P2939" s="2" t="s">
        <v>23</v>
      </c>
      <c r="Q2939" s="2" t="s">
        <v>147</v>
      </c>
      <c r="R2939" s="16">
        <f>(Table1[[#This Row],[NET Amount]]-Table1[[#This Row],[Total Outstanding Amount]])/Table1[[#This Row],[NET Amount]]</f>
        <v>0.2</v>
      </c>
      <c r="S2939" s="2" t="s">
        <v>97</v>
      </c>
    </row>
    <row r="2940" spans="1:19" x14ac:dyDescent="0.3">
      <c r="A2940" s="4">
        <v>2938</v>
      </c>
      <c r="B2940" s="2" t="s">
        <v>2254</v>
      </c>
      <c r="C2940" s="3">
        <v>44853</v>
      </c>
      <c r="D2940" s="3" t="str">
        <f>TEXT(Table1[[#This Row],[Admission Date]],"MMMM")</f>
        <v>October</v>
      </c>
      <c r="E2940" s="3">
        <v>44854</v>
      </c>
      <c r="F2940" s="3">
        <v>44854</v>
      </c>
      <c r="G2940" s="2">
        <v>22027886</v>
      </c>
      <c r="H2940" s="2">
        <v>2236571</v>
      </c>
      <c r="I2940" s="2">
        <v>1001805168</v>
      </c>
      <c r="J2940" s="2" t="s">
        <v>1772</v>
      </c>
      <c r="K2940" s="10">
        <v>103661</v>
      </c>
      <c r="L2940" s="10">
        <v>9302</v>
      </c>
      <c r="M2940" s="10">
        <v>94358</v>
      </c>
      <c r="N2940" s="10">
        <v>3000</v>
      </c>
      <c r="O2940" s="10">
        <f>Table1[[#This Row],[NET Amount]]-Table1[[#This Row],[Paid Amount]]</f>
        <v>91358</v>
      </c>
      <c r="P2940" s="2" t="s">
        <v>23</v>
      </c>
      <c r="Q2940" s="2" t="s">
        <v>30</v>
      </c>
      <c r="R2940" s="16">
        <f>(Table1[[#This Row],[NET Amount]]-Table1[[#This Row],[Total Outstanding Amount]])/Table1[[#This Row],[NET Amount]]</f>
        <v>3.1793806566480849E-2</v>
      </c>
      <c r="S2940" s="2" t="s">
        <v>138</v>
      </c>
    </row>
    <row r="2941" spans="1:19" x14ac:dyDescent="0.3">
      <c r="A2941" s="4">
        <v>2939</v>
      </c>
      <c r="B2941" s="2" t="s">
        <v>25</v>
      </c>
      <c r="C2941" s="3">
        <v>44856</v>
      </c>
      <c r="D2941" s="3" t="str">
        <f>TEXT(Table1[[#This Row],[Admission Date]],"MMMM")</f>
        <v>October</v>
      </c>
      <c r="E2941" s="3">
        <v>44860</v>
      </c>
      <c r="F2941" s="3">
        <v>44860</v>
      </c>
      <c r="G2941" s="2">
        <v>22028610</v>
      </c>
      <c r="H2941" s="2">
        <v>2237055</v>
      </c>
      <c r="I2941" s="2">
        <v>10013544171</v>
      </c>
      <c r="J2941" s="2" t="s">
        <v>1773</v>
      </c>
      <c r="K2941" s="10">
        <v>84898</v>
      </c>
      <c r="L2941" s="10">
        <v>12963</v>
      </c>
      <c r="M2941" s="10">
        <v>71935</v>
      </c>
      <c r="N2941" s="10">
        <v>71935</v>
      </c>
      <c r="O2941" s="10">
        <f>Table1[[#This Row],[NET Amount]]-Table1[[#This Row],[Paid Amount]]</f>
        <v>0</v>
      </c>
      <c r="P2941" s="2" t="s">
        <v>18</v>
      </c>
      <c r="Q2941" s="2" t="s">
        <v>19</v>
      </c>
      <c r="R2941" s="16">
        <f>(Table1[[#This Row],[NET Amount]]-Table1[[#This Row],[Total Outstanding Amount]])/Table1[[#This Row],[NET Amount]]</f>
        <v>1</v>
      </c>
      <c r="S2941" s="2" t="s">
        <v>20</v>
      </c>
    </row>
    <row r="2942" spans="1:19" x14ac:dyDescent="0.3">
      <c r="A2942" s="4">
        <v>2940</v>
      </c>
      <c r="B2942" s="2" t="s">
        <v>25</v>
      </c>
      <c r="C2942" s="3">
        <v>44841</v>
      </c>
      <c r="D2942" s="3" t="str">
        <f>TEXT(Table1[[#This Row],[Admission Date]],"MMMM")</f>
        <v>October</v>
      </c>
      <c r="E2942" s="3">
        <v>44841</v>
      </c>
      <c r="F2942" s="3">
        <v>44841</v>
      </c>
      <c r="G2942" s="2">
        <v>22026012</v>
      </c>
      <c r="H2942" s="2">
        <v>2235041</v>
      </c>
      <c r="I2942" s="2">
        <v>1000891328</v>
      </c>
      <c r="J2942" s="2" t="s">
        <v>367</v>
      </c>
      <c r="K2942" s="10">
        <v>3288</v>
      </c>
      <c r="L2942" s="10">
        <v>3288</v>
      </c>
      <c r="M2942" s="10">
        <v>0</v>
      </c>
      <c r="N2942" s="10">
        <v>0</v>
      </c>
      <c r="O2942" s="10">
        <f>Table1[[#This Row],[NET Amount]]-Table1[[#This Row],[Paid Amount]]</f>
        <v>0</v>
      </c>
      <c r="P2942" s="2" t="s">
        <v>18</v>
      </c>
      <c r="Q2942" s="2" t="s">
        <v>90</v>
      </c>
      <c r="R2942" s="16" t="e">
        <f>(Table1[[#This Row],[NET Amount]]-Table1[[#This Row],[Total Outstanding Amount]])/Table1[[#This Row],[NET Amount]]</f>
        <v>#DIV/0!</v>
      </c>
      <c r="S2942" s="2" t="s">
        <v>97</v>
      </c>
    </row>
    <row r="2943" spans="1:19" x14ac:dyDescent="0.3">
      <c r="A2943" s="4">
        <v>2941</v>
      </c>
      <c r="B2943" s="2" t="s">
        <v>380</v>
      </c>
      <c r="C2943" s="3">
        <v>44844</v>
      </c>
      <c r="D2943" s="3" t="str">
        <f>TEXT(Table1[[#This Row],[Admission Date]],"MMMM")</f>
        <v>October</v>
      </c>
      <c r="E2943" s="3">
        <v>44844</v>
      </c>
      <c r="F2943" s="3">
        <v>44844</v>
      </c>
      <c r="G2943" s="2">
        <v>22026467</v>
      </c>
      <c r="H2943" s="2">
        <v>2235421</v>
      </c>
      <c r="I2943" s="2">
        <v>1000891592</v>
      </c>
      <c r="J2943" s="2" t="s">
        <v>815</v>
      </c>
      <c r="K2943" s="10">
        <v>1274</v>
      </c>
      <c r="L2943" s="10">
        <v>0</v>
      </c>
      <c r="M2943" s="10">
        <v>1274</v>
      </c>
      <c r="N2943" s="10">
        <v>0</v>
      </c>
      <c r="O2943" s="10">
        <f>Table1[[#This Row],[NET Amount]]-Table1[[#This Row],[Paid Amount]]</f>
        <v>1274</v>
      </c>
      <c r="P2943" s="2" t="s">
        <v>23</v>
      </c>
      <c r="Q2943" s="2" t="s">
        <v>54</v>
      </c>
      <c r="R2943" s="16">
        <f>(Table1[[#This Row],[NET Amount]]-Table1[[#This Row],[Total Outstanding Amount]])/Table1[[#This Row],[NET Amount]]</f>
        <v>0</v>
      </c>
      <c r="S2943" s="2" t="s">
        <v>97</v>
      </c>
    </row>
    <row r="2944" spans="1:19" x14ac:dyDescent="0.3">
      <c r="A2944" s="4">
        <v>2942</v>
      </c>
      <c r="B2944" s="2" t="s">
        <v>2263</v>
      </c>
      <c r="C2944" s="3">
        <v>44839</v>
      </c>
      <c r="D2944" s="3" t="str">
        <f>TEXT(Table1[[#This Row],[Admission Date]],"MMMM")</f>
        <v>October</v>
      </c>
      <c r="E2944" s="3">
        <v>44839</v>
      </c>
      <c r="F2944" s="3">
        <v>44839</v>
      </c>
      <c r="G2944" s="2">
        <v>22025765</v>
      </c>
      <c r="H2944" s="2">
        <v>2234766</v>
      </c>
      <c r="I2944" s="2">
        <v>1001699417</v>
      </c>
      <c r="J2944" s="2" t="s">
        <v>472</v>
      </c>
      <c r="K2944" s="10">
        <v>1274</v>
      </c>
      <c r="L2944" s="10">
        <v>0</v>
      </c>
      <c r="M2944" s="10">
        <v>1274</v>
      </c>
      <c r="N2944" s="10">
        <v>0</v>
      </c>
      <c r="O2944" s="10">
        <f>Table1[[#This Row],[NET Amount]]-Table1[[#This Row],[Paid Amount]]</f>
        <v>1274</v>
      </c>
      <c r="P2944" s="2" t="s">
        <v>23</v>
      </c>
      <c r="Q2944" s="2" t="s">
        <v>54</v>
      </c>
      <c r="R2944" s="16">
        <f>(Table1[[#This Row],[NET Amount]]-Table1[[#This Row],[Total Outstanding Amount]])/Table1[[#This Row],[NET Amount]]</f>
        <v>0</v>
      </c>
      <c r="S2944" s="2" t="s">
        <v>97</v>
      </c>
    </row>
    <row r="2945" spans="1:19" x14ac:dyDescent="0.3">
      <c r="A2945" s="4">
        <v>2943</v>
      </c>
      <c r="B2945" s="2" t="s">
        <v>380</v>
      </c>
      <c r="C2945" s="3">
        <v>44865</v>
      </c>
      <c r="D2945" s="3" t="str">
        <f>TEXT(Table1[[#This Row],[Admission Date]],"MMMM")</f>
        <v>October</v>
      </c>
      <c r="E2945" s="3">
        <v>44865</v>
      </c>
      <c r="F2945" s="3">
        <v>44865</v>
      </c>
      <c r="G2945" s="2">
        <v>22029262</v>
      </c>
      <c r="H2945" s="2">
        <v>2238142</v>
      </c>
      <c r="I2945" s="2">
        <v>1000899251</v>
      </c>
      <c r="J2945" s="2" t="s">
        <v>789</v>
      </c>
      <c r="K2945" s="10">
        <v>1274</v>
      </c>
      <c r="L2945" s="10">
        <v>0</v>
      </c>
      <c r="M2945" s="10">
        <v>1274</v>
      </c>
      <c r="N2945" s="10">
        <v>0</v>
      </c>
      <c r="O2945" s="10">
        <f>Table1[[#This Row],[NET Amount]]-Table1[[#This Row],[Paid Amount]]</f>
        <v>1274</v>
      </c>
      <c r="P2945" s="2" t="s">
        <v>23</v>
      </c>
      <c r="Q2945" s="2" t="s">
        <v>54</v>
      </c>
      <c r="R2945" s="16">
        <f>(Table1[[#This Row],[NET Amount]]-Table1[[#This Row],[Total Outstanding Amount]])/Table1[[#This Row],[NET Amount]]</f>
        <v>0</v>
      </c>
      <c r="S2945" s="2" t="s">
        <v>97</v>
      </c>
    </row>
    <row r="2946" spans="1:19" x14ac:dyDescent="0.3">
      <c r="A2946" s="4">
        <v>2944</v>
      </c>
      <c r="B2946" s="2" t="s">
        <v>380</v>
      </c>
      <c r="C2946" s="3">
        <v>44845</v>
      </c>
      <c r="D2946" s="3" t="str">
        <f>TEXT(Table1[[#This Row],[Admission Date]],"MMMM")</f>
        <v>October</v>
      </c>
      <c r="E2946" s="3">
        <v>44845</v>
      </c>
      <c r="F2946" s="3">
        <v>44845</v>
      </c>
      <c r="G2946" s="2">
        <v>22026572</v>
      </c>
      <c r="H2946" s="2">
        <v>2235565</v>
      </c>
      <c r="I2946" s="2">
        <v>10013457170</v>
      </c>
      <c r="J2946" s="2" t="s">
        <v>1075</v>
      </c>
      <c r="K2946" s="10">
        <v>1274</v>
      </c>
      <c r="L2946" s="10">
        <v>0</v>
      </c>
      <c r="M2946" s="10">
        <v>1274</v>
      </c>
      <c r="N2946" s="10">
        <v>0</v>
      </c>
      <c r="O2946" s="10">
        <f>Table1[[#This Row],[NET Amount]]-Table1[[#This Row],[Paid Amount]]</f>
        <v>1274</v>
      </c>
      <c r="P2946" s="2" t="s">
        <v>23</v>
      </c>
      <c r="Q2946" s="2" t="s">
        <v>54</v>
      </c>
      <c r="R2946" s="16">
        <f>(Table1[[#This Row],[NET Amount]]-Table1[[#This Row],[Total Outstanding Amount]])/Table1[[#This Row],[NET Amount]]</f>
        <v>0</v>
      </c>
      <c r="S2946" s="2" t="s">
        <v>97</v>
      </c>
    </row>
    <row r="2947" spans="1:19" x14ac:dyDescent="0.3">
      <c r="A2947" s="4">
        <v>2945</v>
      </c>
      <c r="B2947" s="2" t="s">
        <v>2258</v>
      </c>
      <c r="C2947" s="3">
        <v>44861</v>
      </c>
      <c r="D2947" s="3" t="str">
        <f>TEXT(Table1[[#This Row],[Admission Date]],"MMMM")</f>
        <v>October</v>
      </c>
      <c r="E2947" s="3">
        <v>44861</v>
      </c>
      <c r="F2947" s="3">
        <v>44861</v>
      </c>
      <c r="G2947" s="2">
        <v>22028785</v>
      </c>
      <c r="H2947" s="2">
        <v>2237661</v>
      </c>
      <c r="I2947" s="2">
        <v>1001765693</v>
      </c>
      <c r="J2947" s="2" t="s">
        <v>401</v>
      </c>
      <c r="K2947" s="10">
        <v>1610</v>
      </c>
      <c r="L2947" s="10">
        <v>0</v>
      </c>
      <c r="M2947" s="10">
        <v>1610</v>
      </c>
      <c r="N2947" s="10">
        <v>0</v>
      </c>
      <c r="O2947" s="10">
        <f>Table1[[#This Row],[NET Amount]]-Table1[[#This Row],[Paid Amount]]</f>
        <v>1610</v>
      </c>
      <c r="P2947" s="2" t="s">
        <v>23</v>
      </c>
      <c r="Q2947" s="2" t="s">
        <v>54</v>
      </c>
      <c r="R2947" s="16">
        <f>(Table1[[#This Row],[NET Amount]]-Table1[[#This Row],[Total Outstanding Amount]])/Table1[[#This Row],[NET Amount]]</f>
        <v>0</v>
      </c>
      <c r="S2947" s="2" t="s">
        <v>97</v>
      </c>
    </row>
    <row r="2948" spans="1:19" x14ac:dyDescent="0.3">
      <c r="A2948" s="4">
        <v>2946</v>
      </c>
      <c r="B2948" s="2" t="s">
        <v>75</v>
      </c>
      <c r="C2948" s="3">
        <v>44853</v>
      </c>
      <c r="D2948" s="3" t="str">
        <f>TEXT(Table1[[#This Row],[Admission Date]],"MMMM")</f>
        <v>October</v>
      </c>
      <c r="E2948" s="3">
        <v>44853</v>
      </c>
      <c r="F2948" s="3">
        <v>44853</v>
      </c>
      <c r="G2948" s="2">
        <v>22027667</v>
      </c>
      <c r="H2948" s="2">
        <v>2236591</v>
      </c>
      <c r="I2948" s="2">
        <v>10013373132</v>
      </c>
      <c r="J2948" s="2" t="s">
        <v>402</v>
      </c>
      <c r="K2948" s="10">
        <v>1610</v>
      </c>
      <c r="L2948" s="10">
        <v>0</v>
      </c>
      <c r="M2948" s="10">
        <v>1610</v>
      </c>
      <c r="N2948" s="10">
        <v>0</v>
      </c>
      <c r="O2948" s="10">
        <f>Table1[[#This Row],[NET Amount]]-Table1[[#This Row],[Paid Amount]]</f>
        <v>1610</v>
      </c>
      <c r="P2948" s="2" t="s">
        <v>23</v>
      </c>
      <c r="Q2948" s="2" t="s">
        <v>54</v>
      </c>
      <c r="R2948" s="16">
        <f>(Table1[[#This Row],[NET Amount]]-Table1[[#This Row],[Total Outstanding Amount]])/Table1[[#This Row],[NET Amount]]</f>
        <v>0</v>
      </c>
      <c r="S2948" s="2" t="s">
        <v>97</v>
      </c>
    </row>
    <row r="2949" spans="1:19" x14ac:dyDescent="0.3">
      <c r="A2949" s="4">
        <v>2947</v>
      </c>
      <c r="B2949" s="2" t="s">
        <v>2263</v>
      </c>
      <c r="C2949" s="3">
        <v>44845</v>
      </c>
      <c r="D2949" s="3" t="str">
        <f>TEXT(Table1[[#This Row],[Admission Date]],"MMMM")</f>
        <v>October</v>
      </c>
      <c r="E2949" s="3">
        <v>44845</v>
      </c>
      <c r="F2949" s="3">
        <v>44845</v>
      </c>
      <c r="G2949" s="2">
        <v>22026625</v>
      </c>
      <c r="H2949" s="2">
        <v>2235544</v>
      </c>
      <c r="I2949" s="2">
        <v>1001712791</v>
      </c>
      <c r="J2949" s="2" t="s">
        <v>450</v>
      </c>
      <c r="K2949" s="10">
        <v>1274</v>
      </c>
      <c r="L2949" s="10">
        <v>0</v>
      </c>
      <c r="M2949" s="10">
        <v>1274</v>
      </c>
      <c r="N2949" s="10">
        <v>0</v>
      </c>
      <c r="O2949" s="10">
        <f>Table1[[#This Row],[NET Amount]]-Table1[[#This Row],[Paid Amount]]</f>
        <v>1274</v>
      </c>
      <c r="P2949" s="2" t="s">
        <v>23</v>
      </c>
      <c r="Q2949" s="2" t="s">
        <v>54</v>
      </c>
      <c r="R2949" s="16">
        <f>(Table1[[#This Row],[NET Amount]]-Table1[[#This Row],[Total Outstanding Amount]])/Table1[[#This Row],[NET Amount]]</f>
        <v>0</v>
      </c>
      <c r="S2949" s="2" t="s">
        <v>97</v>
      </c>
    </row>
    <row r="2950" spans="1:19" x14ac:dyDescent="0.3">
      <c r="A2950" s="4">
        <v>2948</v>
      </c>
      <c r="B2950" s="2" t="s">
        <v>149</v>
      </c>
      <c r="C2950" s="3">
        <v>44838</v>
      </c>
      <c r="D2950" s="3" t="str">
        <f>TEXT(Table1[[#This Row],[Admission Date]],"MMMM")</f>
        <v>October</v>
      </c>
      <c r="E2950" s="3">
        <v>44842</v>
      </c>
      <c r="F2950" s="3">
        <v>44842</v>
      </c>
      <c r="G2950" s="2">
        <v>22026092</v>
      </c>
      <c r="H2950" s="2">
        <v>2234578</v>
      </c>
      <c r="I2950" s="2">
        <v>10013541555</v>
      </c>
      <c r="J2950" s="2" t="s">
        <v>1774</v>
      </c>
      <c r="K2950" s="10">
        <v>82390</v>
      </c>
      <c r="L2950" s="10">
        <v>0</v>
      </c>
      <c r="M2950" s="10">
        <v>82390</v>
      </c>
      <c r="N2950" s="10">
        <v>0</v>
      </c>
      <c r="O2950" s="10">
        <f>Table1[[#This Row],[NET Amount]]-Table1[[#This Row],[Paid Amount]]</f>
        <v>82390</v>
      </c>
      <c r="P2950" s="2" t="s">
        <v>23</v>
      </c>
      <c r="Q2950" s="2" t="s">
        <v>104</v>
      </c>
      <c r="R2950" s="16">
        <f>(Table1[[#This Row],[NET Amount]]-Table1[[#This Row],[Total Outstanding Amount]])/Table1[[#This Row],[NET Amount]]</f>
        <v>0</v>
      </c>
      <c r="S2950" s="2" t="s">
        <v>20</v>
      </c>
    </row>
    <row r="2951" spans="1:19" x14ac:dyDescent="0.3">
      <c r="A2951" s="4">
        <v>2949</v>
      </c>
      <c r="B2951" s="2" t="s">
        <v>2258</v>
      </c>
      <c r="C2951" s="3">
        <v>44859</v>
      </c>
      <c r="D2951" s="3" t="str">
        <f>TEXT(Table1[[#This Row],[Admission Date]],"MMMM")</f>
        <v>October</v>
      </c>
      <c r="E2951" s="3">
        <v>44859</v>
      </c>
      <c r="F2951" s="3">
        <v>44859</v>
      </c>
      <c r="G2951" s="2">
        <v>22028545</v>
      </c>
      <c r="H2951" s="2">
        <v>2237381</v>
      </c>
      <c r="I2951" s="2">
        <v>1001797077</v>
      </c>
      <c r="J2951" s="2" t="s">
        <v>468</v>
      </c>
      <c r="K2951" s="10">
        <v>1610</v>
      </c>
      <c r="L2951" s="10">
        <v>0</v>
      </c>
      <c r="M2951" s="10">
        <v>1610</v>
      </c>
      <c r="N2951" s="10">
        <v>0</v>
      </c>
      <c r="O2951" s="10">
        <f>Table1[[#This Row],[NET Amount]]-Table1[[#This Row],[Paid Amount]]</f>
        <v>1610</v>
      </c>
      <c r="P2951" s="2" t="s">
        <v>23</v>
      </c>
      <c r="Q2951" s="2" t="s">
        <v>54</v>
      </c>
      <c r="R2951" s="16">
        <f>(Table1[[#This Row],[NET Amount]]-Table1[[#This Row],[Total Outstanding Amount]])/Table1[[#This Row],[NET Amount]]</f>
        <v>0</v>
      </c>
      <c r="S2951" s="2" t="s">
        <v>97</v>
      </c>
    </row>
    <row r="2952" spans="1:19" x14ac:dyDescent="0.3">
      <c r="A2952" s="4">
        <v>2950</v>
      </c>
      <c r="B2952" s="2" t="s">
        <v>380</v>
      </c>
      <c r="C2952" s="3">
        <v>44854</v>
      </c>
      <c r="D2952" s="3" t="str">
        <f>TEXT(Table1[[#This Row],[Admission Date]],"MMMM")</f>
        <v>October</v>
      </c>
      <c r="E2952" s="3">
        <v>44854</v>
      </c>
      <c r="F2952" s="3">
        <v>44854</v>
      </c>
      <c r="G2952" s="2">
        <v>22027852</v>
      </c>
      <c r="H2952" s="2">
        <v>2236753</v>
      </c>
      <c r="I2952" s="2">
        <v>1000899251</v>
      </c>
      <c r="J2952" s="2" t="s">
        <v>789</v>
      </c>
      <c r="K2952" s="10">
        <v>1274</v>
      </c>
      <c r="L2952" s="10">
        <v>0</v>
      </c>
      <c r="M2952" s="10">
        <v>1274</v>
      </c>
      <c r="N2952" s="10">
        <v>0</v>
      </c>
      <c r="O2952" s="10">
        <f>Table1[[#This Row],[NET Amount]]-Table1[[#This Row],[Paid Amount]]</f>
        <v>1274</v>
      </c>
      <c r="P2952" s="2" t="s">
        <v>23</v>
      </c>
      <c r="Q2952" s="2" t="s">
        <v>54</v>
      </c>
      <c r="R2952" s="16">
        <f>(Table1[[#This Row],[NET Amount]]-Table1[[#This Row],[Total Outstanding Amount]])/Table1[[#This Row],[NET Amount]]</f>
        <v>0</v>
      </c>
      <c r="S2952" s="2" t="s">
        <v>97</v>
      </c>
    </row>
    <row r="2953" spans="1:19" x14ac:dyDescent="0.3">
      <c r="A2953" s="4">
        <v>2951</v>
      </c>
      <c r="B2953" s="2" t="s">
        <v>407</v>
      </c>
      <c r="C2953" s="3">
        <v>44851</v>
      </c>
      <c r="D2953" s="3" t="str">
        <f>TEXT(Table1[[#This Row],[Admission Date]],"MMMM")</f>
        <v>October</v>
      </c>
      <c r="E2953" s="3">
        <v>44853</v>
      </c>
      <c r="F2953" s="3">
        <v>44853</v>
      </c>
      <c r="G2953" s="2">
        <v>22027692</v>
      </c>
      <c r="H2953" s="2">
        <v>2236355</v>
      </c>
      <c r="I2953" s="2">
        <v>1001804863</v>
      </c>
      <c r="J2953" s="2" t="s">
        <v>1775</v>
      </c>
      <c r="K2953" s="10">
        <v>28191</v>
      </c>
      <c r="L2953" s="10">
        <v>0</v>
      </c>
      <c r="M2953" s="10">
        <v>28191</v>
      </c>
      <c r="N2953" s="10">
        <v>0</v>
      </c>
      <c r="O2953" s="10">
        <f>Table1[[#This Row],[NET Amount]]-Table1[[#This Row],[Paid Amount]]</f>
        <v>28191</v>
      </c>
      <c r="P2953" s="2" t="s">
        <v>23</v>
      </c>
      <c r="Q2953" s="2" t="s">
        <v>24</v>
      </c>
      <c r="R2953" s="16">
        <f>(Table1[[#This Row],[NET Amount]]-Table1[[#This Row],[Total Outstanding Amount]])/Table1[[#This Row],[NET Amount]]</f>
        <v>0</v>
      </c>
      <c r="S2953" s="2" t="s">
        <v>39</v>
      </c>
    </row>
    <row r="2954" spans="1:19" x14ac:dyDescent="0.3">
      <c r="A2954" s="4">
        <v>2952</v>
      </c>
      <c r="B2954" s="2" t="s">
        <v>139</v>
      </c>
      <c r="C2954" s="3">
        <v>44835</v>
      </c>
      <c r="D2954" s="3" t="str">
        <f>TEXT(Table1[[#This Row],[Admission Date]],"MMMM")</f>
        <v>October</v>
      </c>
      <c r="E2954" s="3">
        <v>44835</v>
      </c>
      <c r="F2954" s="3">
        <v>44835</v>
      </c>
      <c r="G2954" s="2">
        <v>22025178</v>
      </c>
      <c r="H2954" s="2">
        <v>2234197</v>
      </c>
      <c r="I2954" s="2">
        <v>1001199995</v>
      </c>
      <c r="J2954" s="2" t="s">
        <v>386</v>
      </c>
      <c r="K2954" s="10">
        <v>2200</v>
      </c>
      <c r="L2954" s="10">
        <v>0</v>
      </c>
      <c r="M2954" s="10">
        <v>2200</v>
      </c>
      <c r="N2954" s="10">
        <v>0</v>
      </c>
      <c r="O2954" s="10">
        <f>Table1[[#This Row],[NET Amount]]-Table1[[#This Row],[Paid Amount]]</f>
        <v>2200</v>
      </c>
      <c r="P2954" s="2" t="s">
        <v>23</v>
      </c>
      <c r="Q2954" s="2" t="s">
        <v>147</v>
      </c>
      <c r="R2954" s="16">
        <f>(Table1[[#This Row],[NET Amount]]-Table1[[#This Row],[Total Outstanding Amount]])/Table1[[#This Row],[NET Amount]]</f>
        <v>0</v>
      </c>
      <c r="S2954" s="2" t="s">
        <v>97</v>
      </c>
    </row>
    <row r="2955" spans="1:19" x14ac:dyDescent="0.3">
      <c r="A2955" s="4">
        <v>2953</v>
      </c>
      <c r="B2955" s="2" t="s">
        <v>380</v>
      </c>
      <c r="C2955" s="3">
        <v>44856</v>
      </c>
      <c r="D2955" s="3" t="str">
        <f>TEXT(Table1[[#This Row],[Admission Date]],"MMMM")</f>
        <v>October</v>
      </c>
      <c r="E2955" s="3">
        <v>44856</v>
      </c>
      <c r="F2955" s="3">
        <v>44856</v>
      </c>
      <c r="G2955" s="2">
        <v>22028282</v>
      </c>
      <c r="H2955" s="2">
        <v>2237057</v>
      </c>
      <c r="I2955" s="2">
        <v>1000933464</v>
      </c>
      <c r="J2955" s="2" t="s">
        <v>437</v>
      </c>
      <c r="K2955" s="10">
        <v>1274</v>
      </c>
      <c r="L2955" s="10">
        <v>0</v>
      </c>
      <c r="M2955" s="10">
        <v>1274</v>
      </c>
      <c r="N2955" s="10">
        <v>0</v>
      </c>
      <c r="O2955" s="10">
        <f>Table1[[#This Row],[NET Amount]]-Table1[[#This Row],[Paid Amount]]</f>
        <v>1274</v>
      </c>
      <c r="P2955" s="2" t="s">
        <v>23</v>
      </c>
      <c r="Q2955" s="2" t="s">
        <v>54</v>
      </c>
      <c r="R2955" s="16">
        <f>(Table1[[#This Row],[NET Amount]]-Table1[[#This Row],[Total Outstanding Amount]])/Table1[[#This Row],[NET Amount]]</f>
        <v>0</v>
      </c>
      <c r="S2955" s="2" t="s">
        <v>97</v>
      </c>
    </row>
    <row r="2956" spans="1:19" x14ac:dyDescent="0.3">
      <c r="A2956" s="4">
        <v>2954</v>
      </c>
      <c r="B2956" s="2" t="s">
        <v>804</v>
      </c>
      <c r="C2956" s="3">
        <v>44833</v>
      </c>
      <c r="D2956" s="3" t="str">
        <f>TEXT(Table1[[#This Row],[Admission Date]],"MMMM")</f>
        <v>September</v>
      </c>
      <c r="E2956" s="3">
        <v>44835</v>
      </c>
      <c r="F2956" s="3">
        <v>44835</v>
      </c>
      <c r="G2956" s="2">
        <v>22025224</v>
      </c>
      <c r="H2956" s="2">
        <v>2233973</v>
      </c>
      <c r="I2956" s="2">
        <v>1000861117</v>
      </c>
      <c r="J2956" s="2" t="s">
        <v>1776</v>
      </c>
      <c r="K2956" s="10">
        <v>39999</v>
      </c>
      <c r="L2956" s="10">
        <v>0</v>
      </c>
      <c r="M2956" s="10">
        <v>39999</v>
      </c>
      <c r="N2956" s="10">
        <v>0</v>
      </c>
      <c r="O2956" s="10">
        <f>Table1[[#This Row],[NET Amount]]-Table1[[#This Row],[Paid Amount]]</f>
        <v>39999</v>
      </c>
      <c r="P2956" s="2" t="s">
        <v>23</v>
      </c>
      <c r="Q2956" s="2" t="s">
        <v>104</v>
      </c>
      <c r="R2956" s="16">
        <f>(Table1[[#This Row],[NET Amount]]-Table1[[#This Row],[Total Outstanding Amount]])/Table1[[#This Row],[NET Amount]]</f>
        <v>0</v>
      </c>
      <c r="S2956" s="2" t="s">
        <v>20</v>
      </c>
    </row>
    <row r="2957" spans="1:19" x14ac:dyDescent="0.3">
      <c r="A2957" s="4">
        <v>2955</v>
      </c>
      <c r="B2957" s="2" t="s">
        <v>2258</v>
      </c>
      <c r="C2957" s="3">
        <v>44814</v>
      </c>
      <c r="D2957" s="3" t="str">
        <f>TEXT(Table1[[#This Row],[Admission Date]],"MMMM")</f>
        <v>September</v>
      </c>
      <c r="E2957" s="3">
        <v>44835</v>
      </c>
      <c r="F2957" s="3">
        <v>44835</v>
      </c>
      <c r="G2957" s="2">
        <v>22025222</v>
      </c>
      <c r="H2957" s="2">
        <v>2231412</v>
      </c>
      <c r="I2957" s="2">
        <v>1001797792</v>
      </c>
      <c r="J2957" s="2" t="s">
        <v>1777</v>
      </c>
      <c r="K2957" s="10">
        <v>172314</v>
      </c>
      <c r="L2957" s="10">
        <v>0</v>
      </c>
      <c r="M2957" s="10">
        <v>172314</v>
      </c>
      <c r="N2957" s="10">
        <v>0</v>
      </c>
      <c r="O2957" s="10">
        <f>Table1[[#This Row],[NET Amount]]-Table1[[#This Row],[Paid Amount]]</f>
        <v>172314</v>
      </c>
      <c r="P2957" s="2" t="s">
        <v>23</v>
      </c>
      <c r="Q2957" s="2" t="s">
        <v>19</v>
      </c>
      <c r="R2957" s="16">
        <f>(Table1[[#This Row],[NET Amount]]-Table1[[#This Row],[Total Outstanding Amount]])/Table1[[#This Row],[NET Amount]]</f>
        <v>0</v>
      </c>
      <c r="S2957" s="2" t="s">
        <v>20</v>
      </c>
    </row>
    <row r="2958" spans="1:19" x14ac:dyDescent="0.3">
      <c r="A2958" s="4">
        <v>2956</v>
      </c>
      <c r="B2958" s="2" t="s">
        <v>380</v>
      </c>
      <c r="C2958" s="3">
        <v>44853</v>
      </c>
      <c r="D2958" s="3" t="str">
        <f>TEXT(Table1[[#This Row],[Admission Date]],"MMMM")</f>
        <v>October</v>
      </c>
      <c r="E2958" s="3">
        <v>44853</v>
      </c>
      <c r="F2958" s="3">
        <v>44853</v>
      </c>
      <c r="G2958" s="2">
        <v>22027800</v>
      </c>
      <c r="H2958" s="2">
        <v>2236691</v>
      </c>
      <c r="I2958" s="2">
        <v>10013453025</v>
      </c>
      <c r="J2958" s="2" t="s">
        <v>435</v>
      </c>
      <c r="K2958" s="10">
        <v>1274</v>
      </c>
      <c r="L2958" s="10">
        <v>0</v>
      </c>
      <c r="M2958" s="10">
        <v>1274</v>
      </c>
      <c r="N2958" s="10">
        <v>0</v>
      </c>
      <c r="O2958" s="10">
        <f>Table1[[#This Row],[NET Amount]]-Table1[[#This Row],[Paid Amount]]</f>
        <v>1274</v>
      </c>
      <c r="P2958" s="2" t="s">
        <v>23</v>
      </c>
      <c r="Q2958" s="2" t="s">
        <v>54</v>
      </c>
      <c r="R2958" s="16">
        <f>(Table1[[#This Row],[NET Amount]]-Table1[[#This Row],[Total Outstanding Amount]])/Table1[[#This Row],[NET Amount]]</f>
        <v>0</v>
      </c>
      <c r="S2958" s="2" t="s">
        <v>97</v>
      </c>
    </row>
    <row r="2959" spans="1:19" x14ac:dyDescent="0.3">
      <c r="A2959" s="4">
        <v>2957</v>
      </c>
      <c r="B2959" s="2" t="s">
        <v>380</v>
      </c>
      <c r="C2959" s="3">
        <v>44849</v>
      </c>
      <c r="D2959" s="3" t="str">
        <f>TEXT(Table1[[#This Row],[Admission Date]],"MMMM")</f>
        <v>October</v>
      </c>
      <c r="E2959" s="3">
        <v>44849</v>
      </c>
      <c r="F2959" s="3">
        <v>44849</v>
      </c>
      <c r="G2959" s="2">
        <v>22027268</v>
      </c>
      <c r="H2959" s="2">
        <v>2236193</v>
      </c>
      <c r="I2959" s="2">
        <v>10013507516</v>
      </c>
      <c r="J2959" s="2" t="s">
        <v>481</v>
      </c>
      <c r="K2959" s="10">
        <v>1274</v>
      </c>
      <c r="L2959" s="10">
        <v>0</v>
      </c>
      <c r="M2959" s="10">
        <v>1274</v>
      </c>
      <c r="N2959" s="10">
        <v>0</v>
      </c>
      <c r="O2959" s="10">
        <f>Table1[[#This Row],[NET Amount]]-Table1[[#This Row],[Paid Amount]]</f>
        <v>1274</v>
      </c>
      <c r="P2959" s="2" t="s">
        <v>23</v>
      </c>
      <c r="Q2959" s="2" t="s">
        <v>54</v>
      </c>
      <c r="R2959" s="16">
        <f>(Table1[[#This Row],[NET Amount]]-Table1[[#This Row],[Total Outstanding Amount]])/Table1[[#This Row],[NET Amount]]</f>
        <v>0</v>
      </c>
      <c r="S2959" s="2" t="s">
        <v>97</v>
      </c>
    </row>
    <row r="2960" spans="1:19" x14ac:dyDescent="0.3">
      <c r="A2960" s="4">
        <v>2958</v>
      </c>
      <c r="B2960" s="2" t="s">
        <v>50</v>
      </c>
      <c r="C2960" s="3">
        <v>44838</v>
      </c>
      <c r="D2960" s="3" t="str">
        <f>TEXT(Table1[[#This Row],[Admission Date]],"MMMM")</f>
        <v>October</v>
      </c>
      <c r="E2960" s="3">
        <v>44838</v>
      </c>
      <c r="F2960" s="3">
        <v>44838</v>
      </c>
      <c r="G2960" s="2">
        <v>22025477</v>
      </c>
      <c r="H2960" s="2">
        <v>2234513</v>
      </c>
      <c r="I2960" s="2">
        <v>10013530863</v>
      </c>
      <c r="J2960" s="2" t="s">
        <v>323</v>
      </c>
      <c r="K2960" s="10">
        <v>2200</v>
      </c>
      <c r="L2960" s="10">
        <v>0</v>
      </c>
      <c r="M2960" s="10">
        <v>2200</v>
      </c>
      <c r="N2960" s="10">
        <v>0</v>
      </c>
      <c r="O2960" s="10">
        <f>Table1[[#This Row],[NET Amount]]-Table1[[#This Row],[Paid Amount]]</f>
        <v>2200</v>
      </c>
      <c r="P2960" s="2" t="s">
        <v>23</v>
      </c>
      <c r="Q2960" s="2" t="s">
        <v>147</v>
      </c>
      <c r="R2960" s="16">
        <f>(Table1[[#This Row],[NET Amount]]-Table1[[#This Row],[Total Outstanding Amount]])/Table1[[#This Row],[NET Amount]]</f>
        <v>0</v>
      </c>
      <c r="S2960" s="2" t="s">
        <v>97</v>
      </c>
    </row>
    <row r="2961" spans="1:19" x14ac:dyDescent="0.3">
      <c r="A2961" s="4">
        <v>2959</v>
      </c>
      <c r="B2961" s="2" t="s">
        <v>2253</v>
      </c>
      <c r="C2961" s="3">
        <v>44837</v>
      </c>
      <c r="D2961" s="3" t="str">
        <f>TEXT(Table1[[#This Row],[Admission Date]],"MMMM")</f>
        <v>October</v>
      </c>
      <c r="E2961" s="3">
        <v>44837</v>
      </c>
      <c r="F2961" s="3">
        <v>44837</v>
      </c>
      <c r="G2961" s="2">
        <v>22025432</v>
      </c>
      <c r="H2961" s="2">
        <v>2234420</v>
      </c>
      <c r="I2961" s="2">
        <v>1001772963</v>
      </c>
      <c r="J2961" s="2" t="s">
        <v>569</v>
      </c>
      <c r="K2961" s="10">
        <v>1610</v>
      </c>
      <c r="L2961" s="10">
        <v>0</v>
      </c>
      <c r="M2961" s="10">
        <v>1610</v>
      </c>
      <c r="N2961" s="10">
        <v>0</v>
      </c>
      <c r="O2961" s="10">
        <f>Table1[[#This Row],[NET Amount]]-Table1[[#This Row],[Paid Amount]]</f>
        <v>1610</v>
      </c>
      <c r="P2961" s="2" t="s">
        <v>23</v>
      </c>
      <c r="Q2961" s="2" t="s">
        <v>54</v>
      </c>
      <c r="R2961" s="16">
        <f>(Table1[[#This Row],[NET Amount]]-Table1[[#This Row],[Total Outstanding Amount]])/Table1[[#This Row],[NET Amount]]</f>
        <v>0</v>
      </c>
      <c r="S2961" s="2" t="s">
        <v>97</v>
      </c>
    </row>
    <row r="2962" spans="1:19" x14ac:dyDescent="0.3">
      <c r="A2962" s="4">
        <v>2960</v>
      </c>
      <c r="B2962" s="2" t="s">
        <v>75</v>
      </c>
      <c r="C2962" s="3">
        <v>44852</v>
      </c>
      <c r="D2962" s="3" t="str">
        <f>TEXT(Table1[[#This Row],[Admission Date]],"MMMM")</f>
        <v>October</v>
      </c>
      <c r="E2962" s="3">
        <v>44852</v>
      </c>
      <c r="F2962" s="3">
        <v>44852</v>
      </c>
      <c r="G2962" s="2">
        <v>22027526</v>
      </c>
      <c r="H2962" s="2">
        <v>2236441</v>
      </c>
      <c r="I2962" s="2">
        <v>10013453991</v>
      </c>
      <c r="J2962" s="2" t="s">
        <v>465</v>
      </c>
      <c r="K2962" s="10">
        <v>1610</v>
      </c>
      <c r="L2962" s="10">
        <v>0</v>
      </c>
      <c r="M2962" s="10">
        <v>1610</v>
      </c>
      <c r="N2962" s="10">
        <v>0</v>
      </c>
      <c r="O2962" s="10">
        <f>Table1[[#This Row],[NET Amount]]-Table1[[#This Row],[Paid Amount]]</f>
        <v>1610</v>
      </c>
      <c r="P2962" s="2" t="s">
        <v>23</v>
      </c>
      <c r="Q2962" s="2" t="s">
        <v>54</v>
      </c>
      <c r="R2962" s="16">
        <f>(Table1[[#This Row],[NET Amount]]-Table1[[#This Row],[Total Outstanding Amount]])/Table1[[#This Row],[NET Amount]]</f>
        <v>0</v>
      </c>
      <c r="S2962" s="2" t="s">
        <v>97</v>
      </c>
    </row>
    <row r="2963" spans="1:19" x14ac:dyDescent="0.3">
      <c r="A2963" s="4">
        <v>2961</v>
      </c>
      <c r="B2963" s="2" t="s">
        <v>168</v>
      </c>
      <c r="C2963" s="3">
        <v>44857</v>
      </c>
      <c r="D2963" s="3" t="str">
        <f>TEXT(Table1[[#This Row],[Admission Date]],"MMMM")</f>
        <v>October</v>
      </c>
      <c r="E2963" s="3">
        <v>44857</v>
      </c>
      <c r="F2963" s="3">
        <v>44857</v>
      </c>
      <c r="G2963" s="2">
        <v>22028376</v>
      </c>
      <c r="H2963" s="2">
        <v>2237150</v>
      </c>
      <c r="I2963" s="2">
        <v>10013359873</v>
      </c>
      <c r="J2963" s="2" t="s">
        <v>774</v>
      </c>
      <c r="K2963" s="10">
        <v>2200</v>
      </c>
      <c r="L2963" s="10">
        <v>0</v>
      </c>
      <c r="M2963" s="10">
        <v>2200</v>
      </c>
      <c r="N2963" s="10">
        <v>0</v>
      </c>
      <c r="O2963" s="10">
        <f>Table1[[#This Row],[NET Amount]]-Table1[[#This Row],[Paid Amount]]</f>
        <v>2200</v>
      </c>
      <c r="P2963" s="2" t="s">
        <v>23</v>
      </c>
      <c r="Q2963" s="2" t="s">
        <v>147</v>
      </c>
      <c r="R2963" s="16">
        <f>(Table1[[#This Row],[NET Amount]]-Table1[[#This Row],[Total Outstanding Amount]])/Table1[[#This Row],[NET Amount]]</f>
        <v>0</v>
      </c>
      <c r="S2963" s="2" t="s">
        <v>97</v>
      </c>
    </row>
    <row r="2964" spans="1:19" x14ac:dyDescent="0.3">
      <c r="A2964" s="4">
        <v>2962</v>
      </c>
      <c r="B2964" s="2" t="s">
        <v>2253</v>
      </c>
      <c r="C2964" s="3">
        <v>44845</v>
      </c>
      <c r="D2964" s="3" t="str">
        <f>TEXT(Table1[[#This Row],[Admission Date]],"MMMM")</f>
        <v>October</v>
      </c>
      <c r="E2964" s="3">
        <v>44845</v>
      </c>
      <c r="F2964" s="3">
        <v>44845</v>
      </c>
      <c r="G2964" s="2">
        <v>22026498</v>
      </c>
      <c r="H2964" s="2">
        <v>2235502</v>
      </c>
      <c r="I2964" s="2">
        <v>1001802447</v>
      </c>
      <c r="J2964" s="2" t="s">
        <v>1778</v>
      </c>
      <c r="K2964" s="10">
        <v>1610</v>
      </c>
      <c r="L2964" s="10">
        <v>0</v>
      </c>
      <c r="M2964" s="10">
        <v>1610</v>
      </c>
      <c r="N2964" s="10">
        <v>0</v>
      </c>
      <c r="O2964" s="10">
        <f>Table1[[#This Row],[NET Amount]]-Table1[[#This Row],[Paid Amount]]</f>
        <v>1610</v>
      </c>
      <c r="P2964" s="2" t="s">
        <v>23</v>
      </c>
      <c r="Q2964" s="2" t="s">
        <v>54</v>
      </c>
      <c r="R2964" s="16">
        <f>(Table1[[#This Row],[NET Amount]]-Table1[[#This Row],[Total Outstanding Amount]])/Table1[[#This Row],[NET Amount]]</f>
        <v>0</v>
      </c>
      <c r="S2964" s="2" t="s">
        <v>97</v>
      </c>
    </row>
    <row r="2965" spans="1:19" x14ac:dyDescent="0.3">
      <c r="A2965" s="4">
        <v>2963</v>
      </c>
      <c r="B2965" s="2" t="s">
        <v>407</v>
      </c>
      <c r="C2965" s="3">
        <v>44841</v>
      </c>
      <c r="D2965" s="3" t="str">
        <f>TEXT(Table1[[#This Row],[Admission Date]],"MMMM")</f>
        <v>October</v>
      </c>
      <c r="E2965" s="3">
        <v>44849</v>
      </c>
      <c r="F2965" s="3">
        <v>44849</v>
      </c>
      <c r="G2965" s="2">
        <v>22027138</v>
      </c>
      <c r="H2965" s="2">
        <v>2234969</v>
      </c>
      <c r="I2965" s="2">
        <v>10013540350</v>
      </c>
      <c r="J2965" s="2" t="s">
        <v>1779</v>
      </c>
      <c r="K2965" s="10">
        <v>97133</v>
      </c>
      <c r="L2965" s="10">
        <v>0</v>
      </c>
      <c r="M2965" s="10">
        <v>97133</v>
      </c>
      <c r="N2965" s="10">
        <v>0</v>
      </c>
      <c r="O2965" s="10">
        <f>Table1[[#This Row],[NET Amount]]-Table1[[#This Row],[Paid Amount]]</f>
        <v>97133</v>
      </c>
      <c r="P2965" s="2" t="s">
        <v>23</v>
      </c>
      <c r="Q2965" s="2" t="s">
        <v>19</v>
      </c>
      <c r="R2965" s="16">
        <f>(Table1[[#This Row],[NET Amount]]-Table1[[#This Row],[Total Outstanding Amount]])/Table1[[#This Row],[NET Amount]]</f>
        <v>0</v>
      </c>
      <c r="S2965" s="2" t="s">
        <v>20</v>
      </c>
    </row>
    <row r="2966" spans="1:19" x14ac:dyDescent="0.3">
      <c r="A2966" s="4">
        <v>2964</v>
      </c>
      <c r="B2966" s="2" t="s">
        <v>2253</v>
      </c>
      <c r="C2966" s="3">
        <v>44838</v>
      </c>
      <c r="D2966" s="3" t="str">
        <f>TEXT(Table1[[#This Row],[Admission Date]],"MMMM")</f>
        <v>October</v>
      </c>
      <c r="E2966" s="3">
        <v>44838</v>
      </c>
      <c r="F2966" s="3">
        <v>44838</v>
      </c>
      <c r="G2966" s="2">
        <v>22025486</v>
      </c>
      <c r="H2966" s="2">
        <v>2234510</v>
      </c>
      <c r="I2966" s="2">
        <v>1001626180</v>
      </c>
      <c r="J2966" s="2" t="s">
        <v>389</v>
      </c>
      <c r="K2966" s="10">
        <v>1610</v>
      </c>
      <c r="L2966" s="10">
        <v>0</v>
      </c>
      <c r="M2966" s="10">
        <v>1610</v>
      </c>
      <c r="N2966" s="10">
        <v>0</v>
      </c>
      <c r="O2966" s="10">
        <f>Table1[[#This Row],[NET Amount]]-Table1[[#This Row],[Paid Amount]]</f>
        <v>1610</v>
      </c>
      <c r="P2966" s="2" t="s">
        <v>23</v>
      </c>
      <c r="Q2966" s="2" t="s">
        <v>54</v>
      </c>
      <c r="R2966" s="16">
        <f>(Table1[[#This Row],[NET Amount]]-Table1[[#This Row],[Total Outstanding Amount]])/Table1[[#This Row],[NET Amount]]</f>
        <v>0</v>
      </c>
      <c r="S2966" s="2" t="s">
        <v>97</v>
      </c>
    </row>
    <row r="2967" spans="1:19" x14ac:dyDescent="0.3">
      <c r="A2967" s="4">
        <v>2965</v>
      </c>
      <c r="B2967" s="2" t="s">
        <v>2263</v>
      </c>
      <c r="C2967" s="3">
        <v>44860</v>
      </c>
      <c r="D2967" s="3" t="str">
        <f>TEXT(Table1[[#This Row],[Admission Date]],"MMMM")</f>
        <v>October</v>
      </c>
      <c r="E2967" s="3">
        <v>44860</v>
      </c>
      <c r="F2967" s="3">
        <v>44860</v>
      </c>
      <c r="G2967" s="2">
        <v>22028586</v>
      </c>
      <c r="H2967" s="2">
        <v>2237452</v>
      </c>
      <c r="I2967" s="2">
        <v>1001678600</v>
      </c>
      <c r="J2967" s="2" t="s">
        <v>413</v>
      </c>
      <c r="K2967" s="10">
        <v>1274</v>
      </c>
      <c r="L2967" s="10">
        <v>0</v>
      </c>
      <c r="M2967" s="10">
        <v>1274</v>
      </c>
      <c r="N2967" s="10">
        <v>0</v>
      </c>
      <c r="O2967" s="10">
        <f>Table1[[#This Row],[NET Amount]]-Table1[[#This Row],[Paid Amount]]</f>
        <v>1274</v>
      </c>
      <c r="P2967" s="2" t="s">
        <v>23</v>
      </c>
      <c r="Q2967" s="2" t="s">
        <v>54</v>
      </c>
      <c r="R2967" s="16">
        <f>(Table1[[#This Row],[NET Amount]]-Table1[[#This Row],[Total Outstanding Amount]])/Table1[[#This Row],[NET Amount]]</f>
        <v>0</v>
      </c>
      <c r="S2967" s="2" t="s">
        <v>97</v>
      </c>
    </row>
    <row r="2968" spans="1:19" x14ac:dyDescent="0.3">
      <c r="A2968" s="4">
        <v>2966</v>
      </c>
      <c r="B2968" s="2" t="s">
        <v>75</v>
      </c>
      <c r="C2968" s="3">
        <v>44840</v>
      </c>
      <c r="D2968" s="3" t="str">
        <f>TEXT(Table1[[#This Row],[Admission Date]],"MMMM")</f>
        <v>October</v>
      </c>
      <c r="E2968" s="3">
        <v>44842</v>
      </c>
      <c r="F2968" s="3">
        <v>44842</v>
      </c>
      <c r="G2968" s="2">
        <v>22026141</v>
      </c>
      <c r="H2968" s="2">
        <v>2234930</v>
      </c>
      <c r="I2968" s="2">
        <v>10013527208</v>
      </c>
      <c r="J2968" s="2" t="s">
        <v>1055</v>
      </c>
      <c r="K2968" s="10">
        <v>10436</v>
      </c>
      <c r="L2968" s="10">
        <v>0</v>
      </c>
      <c r="M2968" s="10">
        <v>10436</v>
      </c>
      <c r="N2968" s="10">
        <v>0</v>
      </c>
      <c r="O2968" s="10">
        <f>Table1[[#This Row],[NET Amount]]-Table1[[#This Row],[Paid Amount]]</f>
        <v>10436</v>
      </c>
      <c r="P2968" s="2" t="s">
        <v>23</v>
      </c>
      <c r="Q2968" s="2" t="s">
        <v>24</v>
      </c>
      <c r="R2968" s="16">
        <f>(Table1[[#This Row],[NET Amount]]-Table1[[#This Row],[Total Outstanding Amount]])/Table1[[#This Row],[NET Amount]]</f>
        <v>0</v>
      </c>
      <c r="S2968" s="2" t="s">
        <v>32</v>
      </c>
    </row>
    <row r="2969" spans="1:19" x14ac:dyDescent="0.3">
      <c r="A2969" s="4">
        <v>2967</v>
      </c>
      <c r="B2969" s="2" t="s">
        <v>380</v>
      </c>
      <c r="C2969" s="3">
        <v>44844</v>
      </c>
      <c r="D2969" s="3" t="str">
        <f>TEXT(Table1[[#This Row],[Admission Date]],"MMMM")</f>
        <v>October</v>
      </c>
      <c r="E2969" s="3">
        <v>44844</v>
      </c>
      <c r="F2969" s="3">
        <v>44844</v>
      </c>
      <c r="G2969" s="2">
        <v>22026481</v>
      </c>
      <c r="H2969" s="2">
        <v>2235452</v>
      </c>
      <c r="I2969" s="2">
        <v>10013292990</v>
      </c>
      <c r="J2969" s="2" t="s">
        <v>779</v>
      </c>
      <c r="K2969" s="10">
        <v>1274</v>
      </c>
      <c r="L2969" s="10">
        <v>0</v>
      </c>
      <c r="M2969" s="10">
        <v>1274</v>
      </c>
      <c r="N2969" s="10">
        <v>0</v>
      </c>
      <c r="O2969" s="10">
        <f>Table1[[#This Row],[NET Amount]]-Table1[[#This Row],[Paid Amount]]</f>
        <v>1274</v>
      </c>
      <c r="P2969" s="2" t="s">
        <v>23</v>
      </c>
      <c r="Q2969" s="2" t="s">
        <v>54</v>
      </c>
      <c r="R2969" s="16">
        <f>(Table1[[#This Row],[NET Amount]]-Table1[[#This Row],[Total Outstanding Amount]])/Table1[[#This Row],[NET Amount]]</f>
        <v>0</v>
      </c>
      <c r="S2969" s="2" t="s">
        <v>97</v>
      </c>
    </row>
    <row r="2970" spans="1:19" x14ac:dyDescent="0.3">
      <c r="A2970" s="4">
        <v>2968</v>
      </c>
      <c r="B2970" s="2" t="s">
        <v>380</v>
      </c>
      <c r="C2970" s="3">
        <v>44859</v>
      </c>
      <c r="D2970" s="3" t="str">
        <f>TEXT(Table1[[#This Row],[Admission Date]],"MMMM")</f>
        <v>October</v>
      </c>
      <c r="E2970" s="3">
        <v>44859</v>
      </c>
      <c r="F2970" s="3">
        <v>44859</v>
      </c>
      <c r="G2970" s="2">
        <v>22028551</v>
      </c>
      <c r="H2970" s="2">
        <v>2237368</v>
      </c>
      <c r="I2970" s="2">
        <v>1001581259</v>
      </c>
      <c r="J2970" s="2" t="s">
        <v>381</v>
      </c>
      <c r="K2970" s="10">
        <v>1274</v>
      </c>
      <c r="L2970" s="10">
        <v>0</v>
      </c>
      <c r="M2970" s="10">
        <v>1274</v>
      </c>
      <c r="N2970" s="10">
        <v>0</v>
      </c>
      <c r="O2970" s="10">
        <f>Table1[[#This Row],[NET Amount]]-Table1[[#This Row],[Paid Amount]]</f>
        <v>1274</v>
      </c>
      <c r="P2970" s="2" t="s">
        <v>23</v>
      </c>
      <c r="Q2970" s="2" t="s">
        <v>54</v>
      </c>
      <c r="R2970" s="16">
        <f>(Table1[[#This Row],[NET Amount]]-Table1[[#This Row],[Total Outstanding Amount]])/Table1[[#This Row],[NET Amount]]</f>
        <v>0</v>
      </c>
      <c r="S2970" s="2" t="s">
        <v>97</v>
      </c>
    </row>
    <row r="2971" spans="1:19" x14ac:dyDescent="0.3">
      <c r="A2971" s="4">
        <v>2969</v>
      </c>
      <c r="B2971" s="2" t="s">
        <v>380</v>
      </c>
      <c r="C2971" s="3">
        <v>44852</v>
      </c>
      <c r="D2971" s="3" t="str">
        <f>TEXT(Table1[[#This Row],[Admission Date]],"MMMM")</f>
        <v>October</v>
      </c>
      <c r="E2971" s="3">
        <v>44852</v>
      </c>
      <c r="F2971" s="3">
        <v>44852</v>
      </c>
      <c r="G2971" s="2">
        <v>22027630</v>
      </c>
      <c r="H2971" s="2">
        <v>2236531</v>
      </c>
      <c r="I2971" s="2">
        <v>1001039513</v>
      </c>
      <c r="J2971" s="2" t="s">
        <v>444</v>
      </c>
      <c r="K2971" s="10">
        <v>1274</v>
      </c>
      <c r="L2971" s="10">
        <v>0</v>
      </c>
      <c r="M2971" s="10">
        <v>1274</v>
      </c>
      <c r="N2971" s="10">
        <v>0</v>
      </c>
      <c r="O2971" s="10">
        <f>Table1[[#This Row],[NET Amount]]-Table1[[#This Row],[Paid Amount]]</f>
        <v>1274</v>
      </c>
      <c r="P2971" s="2" t="s">
        <v>23</v>
      </c>
      <c r="Q2971" s="2" t="s">
        <v>54</v>
      </c>
      <c r="R2971" s="16">
        <f>(Table1[[#This Row],[NET Amount]]-Table1[[#This Row],[Total Outstanding Amount]])/Table1[[#This Row],[NET Amount]]</f>
        <v>0</v>
      </c>
      <c r="S2971" s="2" t="s">
        <v>97</v>
      </c>
    </row>
    <row r="2972" spans="1:19" x14ac:dyDescent="0.3">
      <c r="A2972" s="4">
        <v>2970</v>
      </c>
      <c r="B2972" s="2" t="s">
        <v>380</v>
      </c>
      <c r="C2972" s="3">
        <v>44859</v>
      </c>
      <c r="D2972" s="3" t="str">
        <f>TEXT(Table1[[#This Row],[Admission Date]],"MMMM")</f>
        <v>October</v>
      </c>
      <c r="E2972" s="3">
        <v>44859</v>
      </c>
      <c r="F2972" s="3">
        <v>44859</v>
      </c>
      <c r="G2972" s="2">
        <v>22028570</v>
      </c>
      <c r="H2972" s="2">
        <v>2237398</v>
      </c>
      <c r="I2972" s="2">
        <v>10013516483</v>
      </c>
      <c r="J2972" s="2" t="s">
        <v>812</v>
      </c>
      <c r="K2972" s="10">
        <v>1274</v>
      </c>
      <c r="L2972" s="10">
        <v>0</v>
      </c>
      <c r="M2972" s="10">
        <v>1274</v>
      </c>
      <c r="N2972" s="10">
        <v>0</v>
      </c>
      <c r="O2972" s="10">
        <f>Table1[[#This Row],[NET Amount]]-Table1[[#This Row],[Paid Amount]]</f>
        <v>1274</v>
      </c>
      <c r="P2972" s="2" t="s">
        <v>23</v>
      </c>
      <c r="Q2972" s="2" t="s">
        <v>54</v>
      </c>
      <c r="R2972" s="16">
        <f>(Table1[[#This Row],[NET Amount]]-Table1[[#This Row],[Total Outstanding Amount]])/Table1[[#This Row],[NET Amount]]</f>
        <v>0</v>
      </c>
      <c r="S2972" s="2" t="s">
        <v>97</v>
      </c>
    </row>
    <row r="2973" spans="1:19" x14ac:dyDescent="0.3">
      <c r="A2973" s="4">
        <v>2971</v>
      </c>
      <c r="B2973" s="2" t="s">
        <v>380</v>
      </c>
      <c r="C2973" s="3">
        <v>44835</v>
      </c>
      <c r="D2973" s="3" t="str">
        <f>TEXT(Table1[[#This Row],[Admission Date]],"MMMM")</f>
        <v>October</v>
      </c>
      <c r="E2973" s="3">
        <v>44836</v>
      </c>
      <c r="F2973" s="3">
        <v>44836</v>
      </c>
      <c r="G2973" s="2">
        <v>22025312</v>
      </c>
      <c r="H2973" s="2">
        <v>2234228</v>
      </c>
      <c r="I2973" s="2">
        <v>10013541141</v>
      </c>
      <c r="J2973" s="2" t="s">
        <v>1780</v>
      </c>
      <c r="K2973" s="10">
        <v>130994</v>
      </c>
      <c r="L2973" s="10">
        <v>0</v>
      </c>
      <c r="M2973" s="10">
        <v>130994</v>
      </c>
      <c r="N2973" s="10">
        <v>0</v>
      </c>
      <c r="O2973" s="10">
        <f>Table1[[#This Row],[NET Amount]]-Table1[[#This Row],[Paid Amount]]</f>
        <v>130994</v>
      </c>
      <c r="P2973" s="2" t="s">
        <v>23</v>
      </c>
      <c r="Q2973" s="2" t="s">
        <v>406</v>
      </c>
      <c r="R2973" s="16">
        <f>(Table1[[#This Row],[NET Amount]]-Table1[[#This Row],[Total Outstanding Amount]])/Table1[[#This Row],[NET Amount]]</f>
        <v>0</v>
      </c>
      <c r="S2973" s="2" t="s">
        <v>39</v>
      </c>
    </row>
    <row r="2974" spans="1:19" x14ac:dyDescent="0.3">
      <c r="A2974" s="4">
        <v>2972</v>
      </c>
      <c r="B2974" s="2" t="s">
        <v>2258</v>
      </c>
      <c r="C2974" s="3">
        <v>44863</v>
      </c>
      <c r="D2974" s="3" t="str">
        <f>TEXT(Table1[[#This Row],[Admission Date]],"MMMM")</f>
        <v>October</v>
      </c>
      <c r="E2974" s="3">
        <v>44863</v>
      </c>
      <c r="F2974" s="3">
        <v>44863</v>
      </c>
      <c r="G2974" s="2">
        <v>22029006</v>
      </c>
      <c r="H2974" s="2">
        <v>2237930</v>
      </c>
      <c r="I2974" s="2">
        <v>1001781083</v>
      </c>
      <c r="J2974" s="2" t="s">
        <v>777</v>
      </c>
      <c r="K2974" s="10">
        <v>1610</v>
      </c>
      <c r="L2974" s="10">
        <v>0</v>
      </c>
      <c r="M2974" s="10">
        <v>1610</v>
      </c>
      <c r="N2974" s="10">
        <v>0</v>
      </c>
      <c r="O2974" s="10">
        <f>Table1[[#This Row],[NET Amount]]-Table1[[#This Row],[Paid Amount]]</f>
        <v>1610</v>
      </c>
      <c r="P2974" s="2" t="s">
        <v>23</v>
      </c>
      <c r="Q2974" s="2" t="s">
        <v>54</v>
      </c>
      <c r="R2974" s="16">
        <f>(Table1[[#This Row],[NET Amount]]-Table1[[#This Row],[Total Outstanding Amount]])/Table1[[#This Row],[NET Amount]]</f>
        <v>0</v>
      </c>
      <c r="S2974" s="2" t="s">
        <v>97</v>
      </c>
    </row>
    <row r="2975" spans="1:19" x14ac:dyDescent="0.3">
      <c r="A2975" s="4">
        <v>2973</v>
      </c>
      <c r="B2975" s="2" t="s">
        <v>2263</v>
      </c>
      <c r="C2975" s="3">
        <v>44842</v>
      </c>
      <c r="D2975" s="3" t="str">
        <f>TEXT(Table1[[#This Row],[Admission Date]],"MMMM")</f>
        <v>October</v>
      </c>
      <c r="E2975" s="3">
        <v>44842</v>
      </c>
      <c r="F2975" s="3">
        <v>44842</v>
      </c>
      <c r="G2975" s="2">
        <v>22026181</v>
      </c>
      <c r="H2975" s="2">
        <v>2235184</v>
      </c>
      <c r="I2975" s="2">
        <v>1001648223</v>
      </c>
      <c r="J2975" s="2" t="s">
        <v>458</v>
      </c>
      <c r="K2975" s="10">
        <v>1274</v>
      </c>
      <c r="L2975" s="10">
        <v>0</v>
      </c>
      <c r="M2975" s="10">
        <v>1274</v>
      </c>
      <c r="N2975" s="10">
        <v>0</v>
      </c>
      <c r="O2975" s="10">
        <f>Table1[[#This Row],[NET Amount]]-Table1[[#This Row],[Paid Amount]]</f>
        <v>1274</v>
      </c>
      <c r="P2975" s="2" t="s">
        <v>23</v>
      </c>
      <c r="Q2975" s="2" t="s">
        <v>54</v>
      </c>
      <c r="R2975" s="16">
        <f>(Table1[[#This Row],[NET Amount]]-Table1[[#This Row],[Total Outstanding Amount]])/Table1[[#This Row],[NET Amount]]</f>
        <v>0</v>
      </c>
      <c r="S2975" s="2" t="s">
        <v>97</v>
      </c>
    </row>
    <row r="2976" spans="1:19" x14ac:dyDescent="0.3">
      <c r="A2976" s="4">
        <v>2974</v>
      </c>
      <c r="B2976" s="2" t="s">
        <v>380</v>
      </c>
      <c r="C2976" s="3">
        <v>44851</v>
      </c>
      <c r="D2976" s="3" t="str">
        <f>TEXT(Table1[[#This Row],[Admission Date]],"MMMM")</f>
        <v>October</v>
      </c>
      <c r="E2976" s="3">
        <v>44851</v>
      </c>
      <c r="F2976" s="3">
        <v>44851</v>
      </c>
      <c r="G2976" s="2">
        <v>22027510</v>
      </c>
      <c r="H2976" s="2">
        <v>2236413</v>
      </c>
      <c r="I2976" s="2">
        <v>1001092597</v>
      </c>
      <c r="J2976" s="2" t="s">
        <v>384</v>
      </c>
      <c r="K2976" s="10">
        <v>1274</v>
      </c>
      <c r="L2976" s="10">
        <v>0</v>
      </c>
      <c r="M2976" s="10">
        <v>1274</v>
      </c>
      <c r="N2976" s="10">
        <v>0</v>
      </c>
      <c r="O2976" s="10">
        <f>Table1[[#This Row],[NET Amount]]-Table1[[#This Row],[Paid Amount]]</f>
        <v>1274</v>
      </c>
      <c r="P2976" s="2" t="s">
        <v>23</v>
      </c>
      <c r="Q2976" s="2" t="s">
        <v>54</v>
      </c>
      <c r="R2976" s="16">
        <f>(Table1[[#This Row],[NET Amount]]-Table1[[#This Row],[Total Outstanding Amount]])/Table1[[#This Row],[NET Amount]]</f>
        <v>0</v>
      </c>
      <c r="S2976" s="2" t="s">
        <v>97</v>
      </c>
    </row>
    <row r="2977" spans="1:19" x14ac:dyDescent="0.3">
      <c r="A2977" s="4">
        <v>2975</v>
      </c>
      <c r="B2977" s="2" t="s">
        <v>380</v>
      </c>
      <c r="C2977" s="3">
        <v>44849</v>
      </c>
      <c r="D2977" s="3" t="str">
        <f>TEXT(Table1[[#This Row],[Admission Date]],"MMMM")</f>
        <v>October</v>
      </c>
      <c r="E2977" s="3">
        <v>44849</v>
      </c>
      <c r="F2977" s="3">
        <v>44849</v>
      </c>
      <c r="G2977" s="2">
        <v>22027253</v>
      </c>
      <c r="H2977" s="2">
        <v>2236175</v>
      </c>
      <c r="I2977" s="2">
        <v>10013506167</v>
      </c>
      <c r="J2977" s="2" t="s">
        <v>467</v>
      </c>
      <c r="K2977" s="10">
        <v>1274</v>
      </c>
      <c r="L2977" s="10">
        <v>0</v>
      </c>
      <c r="M2977" s="10">
        <v>1274</v>
      </c>
      <c r="N2977" s="10">
        <v>0</v>
      </c>
      <c r="O2977" s="10">
        <f>Table1[[#This Row],[NET Amount]]-Table1[[#This Row],[Paid Amount]]</f>
        <v>1274</v>
      </c>
      <c r="P2977" s="2" t="s">
        <v>23</v>
      </c>
      <c r="Q2977" s="2" t="s">
        <v>54</v>
      </c>
      <c r="R2977" s="16">
        <f>(Table1[[#This Row],[NET Amount]]-Table1[[#This Row],[Total Outstanding Amount]])/Table1[[#This Row],[NET Amount]]</f>
        <v>0</v>
      </c>
      <c r="S2977" s="2" t="s">
        <v>97</v>
      </c>
    </row>
    <row r="2978" spans="1:19" x14ac:dyDescent="0.3">
      <c r="A2978" s="4">
        <v>2976</v>
      </c>
      <c r="B2978" s="2" t="s">
        <v>380</v>
      </c>
      <c r="C2978" s="3">
        <v>44863</v>
      </c>
      <c r="D2978" s="3" t="str">
        <f>TEXT(Table1[[#This Row],[Admission Date]],"MMMM")</f>
        <v>October</v>
      </c>
      <c r="E2978" s="3">
        <v>44863</v>
      </c>
      <c r="F2978" s="3">
        <v>44863</v>
      </c>
      <c r="G2978" s="2">
        <v>22029175</v>
      </c>
      <c r="H2978" s="2">
        <v>2238037</v>
      </c>
      <c r="I2978" s="2">
        <v>10013533576</v>
      </c>
      <c r="J2978" s="2" t="s">
        <v>143</v>
      </c>
      <c r="K2978" s="10">
        <v>1274</v>
      </c>
      <c r="L2978" s="10">
        <v>0</v>
      </c>
      <c r="M2978" s="10">
        <v>1274</v>
      </c>
      <c r="N2978" s="10">
        <v>0</v>
      </c>
      <c r="O2978" s="10">
        <f>Table1[[#This Row],[NET Amount]]-Table1[[#This Row],[Paid Amount]]</f>
        <v>1274</v>
      </c>
      <c r="P2978" s="2" t="s">
        <v>23</v>
      </c>
      <c r="Q2978" s="2" t="s">
        <v>54</v>
      </c>
      <c r="R2978" s="16">
        <f>(Table1[[#This Row],[NET Amount]]-Table1[[#This Row],[Total Outstanding Amount]])/Table1[[#This Row],[NET Amount]]</f>
        <v>0</v>
      </c>
      <c r="S2978" s="2" t="s">
        <v>97</v>
      </c>
    </row>
    <row r="2979" spans="1:19" x14ac:dyDescent="0.3">
      <c r="A2979" s="4">
        <v>2977</v>
      </c>
      <c r="B2979" s="2" t="s">
        <v>50</v>
      </c>
      <c r="C2979" s="3">
        <v>44855</v>
      </c>
      <c r="D2979" s="3" t="str">
        <f>TEXT(Table1[[#This Row],[Admission Date]],"MMMM")</f>
        <v>October</v>
      </c>
      <c r="E2979" s="3">
        <v>44855</v>
      </c>
      <c r="F2979" s="3">
        <v>44855</v>
      </c>
      <c r="G2979" s="2">
        <v>22028032</v>
      </c>
      <c r="H2979" s="2">
        <v>2236901</v>
      </c>
      <c r="I2979" s="2">
        <v>10013511637</v>
      </c>
      <c r="J2979" s="2" t="s">
        <v>476</v>
      </c>
      <c r="K2979" s="10">
        <v>2200</v>
      </c>
      <c r="L2979" s="10">
        <v>0</v>
      </c>
      <c r="M2979" s="10">
        <v>2200</v>
      </c>
      <c r="N2979" s="10">
        <v>0</v>
      </c>
      <c r="O2979" s="10">
        <f>Table1[[#This Row],[NET Amount]]-Table1[[#This Row],[Paid Amount]]</f>
        <v>2200</v>
      </c>
      <c r="P2979" s="2" t="s">
        <v>23</v>
      </c>
      <c r="Q2979" s="2" t="s">
        <v>54</v>
      </c>
      <c r="R2979" s="16">
        <f>(Table1[[#This Row],[NET Amount]]-Table1[[#This Row],[Total Outstanding Amount]])/Table1[[#This Row],[NET Amount]]</f>
        <v>0</v>
      </c>
      <c r="S2979" s="2" t="s">
        <v>97</v>
      </c>
    </row>
    <row r="2980" spans="1:19" x14ac:dyDescent="0.3">
      <c r="A2980" s="4">
        <v>2978</v>
      </c>
      <c r="B2980" s="2" t="s">
        <v>380</v>
      </c>
      <c r="C2980" s="3">
        <v>44859</v>
      </c>
      <c r="D2980" s="3" t="str">
        <f>TEXT(Table1[[#This Row],[Admission Date]],"MMMM")</f>
        <v>October</v>
      </c>
      <c r="E2980" s="3">
        <v>44859</v>
      </c>
      <c r="F2980" s="3">
        <v>44859</v>
      </c>
      <c r="G2980" s="2">
        <v>22028569</v>
      </c>
      <c r="H2980" s="2">
        <v>2237399</v>
      </c>
      <c r="I2980" s="2">
        <v>10013316109</v>
      </c>
      <c r="J2980" s="2" t="s">
        <v>793</v>
      </c>
      <c r="K2980" s="10">
        <v>1274</v>
      </c>
      <c r="L2980" s="10">
        <v>0</v>
      </c>
      <c r="M2980" s="10">
        <v>1274</v>
      </c>
      <c r="N2980" s="10">
        <v>0</v>
      </c>
      <c r="O2980" s="10">
        <f>Table1[[#This Row],[NET Amount]]-Table1[[#This Row],[Paid Amount]]</f>
        <v>1274</v>
      </c>
      <c r="P2980" s="2" t="s">
        <v>23</v>
      </c>
      <c r="Q2980" s="2" t="s">
        <v>54</v>
      </c>
      <c r="R2980" s="16">
        <f>(Table1[[#This Row],[NET Amount]]-Table1[[#This Row],[Total Outstanding Amount]])/Table1[[#This Row],[NET Amount]]</f>
        <v>0</v>
      </c>
      <c r="S2980" s="2" t="s">
        <v>97</v>
      </c>
    </row>
    <row r="2981" spans="1:19" x14ac:dyDescent="0.3">
      <c r="A2981" s="4">
        <v>2979</v>
      </c>
      <c r="B2981" s="2" t="s">
        <v>2253</v>
      </c>
      <c r="C2981" s="3">
        <v>44836</v>
      </c>
      <c r="D2981" s="3" t="str">
        <f>TEXT(Table1[[#This Row],[Admission Date]],"MMMM")</f>
        <v>October</v>
      </c>
      <c r="E2981" s="3">
        <v>44846</v>
      </c>
      <c r="F2981" s="3">
        <v>44846</v>
      </c>
      <c r="G2981" s="2">
        <v>22026773</v>
      </c>
      <c r="H2981" s="2">
        <v>2234304</v>
      </c>
      <c r="I2981" s="2">
        <v>1001762952</v>
      </c>
      <c r="J2981" s="2" t="s">
        <v>1781</v>
      </c>
      <c r="K2981" s="10">
        <v>111137</v>
      </c>
      <c r="L2981" s="10">
        <v>0</v>
      </c>
      <c r="M2981" s="10">
        <v>111137</v>
      </c>
      <c r="N2981" s="10">
        <v>0</v>
      </c>
      <c r="O2981" s="10">
        <f>Table1[[#This Row],[NET Amount]]-Table1[[#This Row],[Paid Amount]]</f>
        <v>111137</v>
      </c>
      <c r="P2981" s="2" t="s">
        <v>23</v>
      </c>
      <c r="Q2981" s="2" t="s">
        <v>24</v>
      </c>
      <c r="R2981" s="16">
        <f>(Table1[[#This Row],[NET Amount]]-Table1[[#This Row],[Total Outstanding Amount]])/Table1[[#This Row],[NET Amount]]</f>
        <v>0</v>
      </c>
      <c r="S2981" s="2" t="s">
        <v>20</v>
      </c>
    </row>
    <row r="2982" spans="1:19" x14ac:dyDescent="0.3">
      <c r="A2982" s="4">
        <v>2980</v>
      </c>
      <c r="B2982" s="2" t="s">
        <v>2253</v>
      </c>
      <c r="C2982" s="3">
        <v>44844</v>
      </c>
      <c r="D2982" s="3" t="str">
        <f>TEXT(Table1[[#This Row],[Admission Date]],"MMMM")</f>
        <v>October</v>
      </c>
      <c r="E2982" s="3">
        <v>44844</v>
      </c>
      <c r="F2982" s="3">
        <v>44844</v>
      </c>
      <c r="G2982" s="2">
        <v>22026425</v>
      </c>
      <c r="H2982" s="2">
        <v>2235405</v>
      </c>
      <c r="I2982" s="2">
        <v>1001803044</v>
      </c>
      <c r="J2982" s="2" t="s">
        <v>426</v>
      </c>
      <c r="K2982" s="10">
        <v>1610</v>
      </c>
      <c r="L2982" s="10">
        <v>0</v>
      </c>
      <c r="M2982" s="10">
        <v>1610</v>
      </c>
      <c r="N2982" s="10">
        <v>0</v>
      </c>
      <c r="O2982" s="10">
        <f>Table1[[#This Row],[NET Amount]]-Table1[[#This Row],[Paid Amount]]</f>
        <v>1610</v>
      </c>
      <c r="P2982" s="2" t="s">
        <v>23</v>
      </c>
      <c r="Q2982" s="2" t="s">
        <v>54</v>
      </c>
      <c r="R2982" s="16">
        <f>(Table1[[#This Row],[NET Amount]]-Table1[[#This Row],[Total Outstanding Amount]])/Table1[[#This Row],[NET Amount]]</f>
        <v>0</v>
      </c>
      <c r="S2982" s="2" t="s">
        <v>97</v>
      </c>
    </row>
    <row r="2983" spans="1:19" x14ac:dyDescent="0.3">
      <c r="A2983" s="4">
        <v>2981</v>
      </c>
      <c r="B2983" s="2" t="s">
        <v>40</v>
      </c>
      <c r="C2983" s="3">
        <v>44838</v>
      </c>
      <c r="D2983" s="3" t="str">
        <f>TEXT(Table1[[#This Row],[Admission Date]],"MMMM")</f>
        <v>October</v>
      </c>
      <c r="E2983" s="3">
        <v>44842</v>
      </c>
      <c r="F2983" s="3">
        <v>44842</v>
      </c>
      <c r="G2983" s="2">
        <v>22026154</v>
      </c>
      <c r="H2983" s="2">
        <v>2234493</v>
      </c>
      <c r="I2983" s="2">
        <v>1001070107</v>
      </c>
      <c r="J2983" s="2" t="s">
        <v>1782</v>
      </c>
      <c r="K2983" s="10">
        <v>93198</v>
      </c>
      <c r="L2983" s="10">
        <v>12271</v>
      </c>
      <c r="M2983" s="10">
        <v>80927</v>
      </c>
      <c r="N2983" s="10">
        <v>0</v>
      </c>
      <c r="O2983" s="10">
        <f>Table1[[#This Row],[NET Amount]]-Table1[[#This Row],[Paid Amount]]</f>
        <v>80927</v>
      </c>
      <c r="P2983" s="2" t="s">
        <v>23</v>
      </c>
      <c r="Q2983" s="2" t="s">
        <v>42</v>
      </c>
      <c r="R2983" s="16">
        <f>(Table1[[#This Row],[NET Amount]]-Table1[[#This Row],[Total Outstanding Amount]])/Table1[[#This Row],[NET Amount]]</f>
        <v>0</v>
      </c>
      <c r="S2983" s="2" t="s">
        <v>20</v>
      </c>
    </row>
    <row r="2984" spans="1:19" x14ac:dyDescent="0.3">
      <c r="A2984" s="4">
        <v>2982</v>
      </c>
      <c r="B2984" s="2" t="s">
        <v>2263</v>
      </c>
      <c r="C2984" s="3">
        <v>44847</v>
      </c>
      <c r="D2984" s="3" t="str">
        <f>TEXT(Table1[[#This Row],[Admission Date]],"MMMM")</f>
        <v>October</v>
      </c>
      <c r="E2984" s="3">
        <v>44847</v>
      </c>
      <c r="F2984" s="3">
        <v>44847</v>
      </c>
      <c r="G2984" s="2">
        <v>22026922</v>
      </c>
      <c r="H2984" s="2">
        <v>2235854</v>
      </c>
      <c r="I2984" s="2">
        <v>1001677731</v>
      </c>
      <c r="J2984" s="2" t="s">
        <v>397</v>
      </c>
      <c r="K2984" s="10">
        <v>1274</v>
      </c>
      <c r="L2984" s="10">
        <v>0</v>
      </c>
      <c r="M2984" s="10">
        <v>1274</v>
      </c>
      <c r="N2984" s="10">
        <v>0</v>
      </c>
      <c r="O2984" s="10">
        <f>Table1[[#This Row],[NET Amount]]-Table1[[#This Row],[Paid Amount]]</f>
        <v>1274</v>
      </c>
      <c r="P2984" s="2" t="s">
        <v>23</v>
      </c>
      <c r="Q2984" s="2" t="s">
        <v>54</v>
      </c>
      <c r="R2984" s="16">
        <f>(Table1[[#This Row],[NET Amount]]-Table1[[#This Row],[Total Outstanding Amount]])/Table1[[#This Row],[NET Amount]]</f>
        <v>0</v>
      </c>
      <c r="S2984" s="2" t="s">
        <v>97</v>
      </c>
    </row>
    <row r="2985" spans="1:19" x14ac:dyDescent="0.3">
      <c r="A2985" s="4">
        <v>2983</v>
      </c>
      <c r="B2985" s="2" t="s">
        <v>152</v>
      </c>
      <c r="C2985" s="3">
        <v>44832</v>
      </c>
      <c r="D2985" s="3" t="str">
        <f>TEXT(Table1[[#This Row],[Admission Date]],"MMMM")</f>
        <v>September</v>
      </c>
      <c r="E2985" s="3">
        <v>44835</v>
      </c>
      <c r="F2985" s="3">
        <v>44835</v>
      </c>
      <c r="G2985" s="2">
        <v>22025146</v>
      </c>
      <c r="H2985" s="2">
        <v>2233771</v>
      </c>
      <c r="I2985" s="2">
        <v>1001110640</v>
      </c>
      <c r="J2985" s="2" t="s">
        <v>184</v>
      </c>
      <c r="K2985" s="10">
        <v>24934</v>
      </c>
      <c r="L2985" s="10">
        <v>0</v>
      </c>
      <c r="M2985" s="10">
        <v>24934</v>
      </c>
      <c r="N2985" s="10">
        <v>0</v>
      </c>
      <c r="O2985" s="10">
        <f>Table1[[#This Row],[NET Amount]]-Table1[[#This Row],[Paid Amount]]</f>
        <v>24934</v>
      </c>
      <c r="P2985" s="2" t="s">
        <v>23</v>
      </c>
      <c r="Q2985" s="2" t="s">
        <v>19</v>
      </c>
      <c r="R2985" s="16">
        <f>(Table1[[#This Row],[NET Amount]]-Table1[[#This Row],[Total Outstanding Amount]])/Table1[[#This Row],[NET Amount]]</f>
        <v>0</v>
      </c>
      <c r="S2985" s="2" t="s">
        <v>20</v>
      </c>
    </row>
    <row r="2986" spans="1:19" x14ac:dyDescent="0.3">
      <c r="A2986" s="4">
        <v>2984</v>
      </c>
      <c r="B2986" s="2" t="s">
        <v>380</v>
      </c>
      <c r="C2986" s="3">
        <v>44854</v>
      </c>
      <c r="D2986" s="3" t="str">
        <f>TEXT(Table1[[#This Row],[Admission Date]],"MMMM")</f>
        <v>October</v>
      </c>
      <c r="E2986" s="3">
        <v>44854</v>
      </c>
      <c r="F2986" s="3">
        <v>44854</v>
      </c>
      <c r="G2986" s="2">
        <v>22027853</v>
      </c>
      <c r="H2986" s="2">
        <v>2236752</v>
      </c>
      <c r="I2986" s="2">
        <v>10013435866</v>
      </c>
      <c r="J2986" s="2" t="s">
        <v>473</v>
      </c>
      <c r="K2986" s="10">
        <v>1274</v>
      </c>
      <c r="L2986" s="10">
        <v>0</v>
      </c>
      <c r="M2986" s="10">
        <v>1274</v>
      </c>
      <c r="N2986" s="10">
        <v>0</v>
      </c>
      <c r="O2986" s="10">
        <f>Table1[[#This Row],[NET Amount]]-Table1[[#This Row],[Paid Amount]]</f>
        <v>1274</v>
      </c>
      <c r="P2986" s="2" t="s">
        <v>23</v>
      </c>
      <c r="Q2986" s="2" t="s">
        <v>54</v>
      </c>
      <c r="R2986" s="16">
        <f>(Table1[[#This Row],[NET Amount]]-Table1[[#This Row],[Total Outstanding Amount]])/Table1[[#This Row],[NET Amount]]</f>
        <v>0</v>
      </c>
      <c r="S2986" s="2" t="s">
        <v>97</v>
      </c>
    </row>
    <row r="2987" spans="1:19" x14ac:dyDescent="0.3">
      <c r="A2987" s="4">
        <v>2985</v>
      </c>
      <c r="B2987" s="2" t="s">
        <v>800</v>
      </c>
      <c r="C2987" s="3">
        <v>44853</v>
      </c>
      <c r="D2987" s="3" t="str">
        <f>TEXT(Table1[[#This Row],[Admission Date]],"MMMM")</f>
        <v>October</v>
      </c>
      <c r="E2987" s="3">
        <v>44858</v>
      </c>
      <c r="F2987" s="3">
        <v>44858</v>
      </c>
      <c r="G2987" s="2">
        <v>22028452</v>
      </c>
      <c r="H2987" s="2">
        <v>2236658</v>
      </c>
      <c r="I2987" s="2">
        <v>10013543715</v>
      </c>
      <c r="J2987" s="2" t="s">
        <v>1783</v>
      </c>
      <c r="K2987" s="10">
        <v>36066</v>
      </c>
      <c r="L2987" s="10">
        <v>0</v>
      </c>
      <c r="M2987" s="10">
        <v>36066</v>
      </c>
      <c r="N2987" s="10">
        <v>0</v>
      </c>
      <c r="O2987" s="10">
        <f>Table1[[#This Row],[NET Amount]]-Table1[[#This Row],[Paid Amount]]</f>
        <v>36066</v>
      </c>
      <c r="P2987" s="2" t="s">
        <v>23</v>
      </c>
      <c r="Q2987" s="2" t="s">
        <v>24</v>
      </c>
      <c r="R2987" s="16">
        <f>(Table1[[#This Row],[NET Amount]]-Table1[[#This Row],[Total Outstanding Amount]])/Table1[[#This Row],[NET Amount]]</f>
        <v>0</v>
      </c>
      <c r="S2987" s="2" t="s">
        <v>32</v>
      </c>
    </row>
    <row r="2988" spans="1:19" x14ac:dyDescent="0.3">
      <c r="A2988" s="4">
        <v>2986</v>
      </c>
      <c r="B2988" s="2" t="s">
        <v>40</v>
      </c>
      <c r="C2988" s="3">
        <v>44859</v>
      </c>
      <c r="D2988" s="3" t="str">
        <f>TEXT(Table1[[#This Row],[Admission Date]],"MMMM")</f>
        <v>October</v>
      </c>
      <c r="E2988" s="3">
        <v>44862</v>
      </c>
      <c r="F2988" s="3">
        <v>44862</v>
      </c>
      <c r="G2988" s="2">
        <v>22028870</v>
      </c>
      <c r="H2988" s="2">
        <v>2237347</v>
      </c>
      <c r="I2988" s="2">
        <v>10013544414</v>
      </c>
      <c r="J2988" s="2" t="s">
        <v>1784</v>
      </c>
      <c r="K2988" s="10">
        <v>150480</v>
      </c>
      <c r="L2988" s="10">
        <v>6590</v>
      </c>
      <c r="M2988" s="10">
        <v>143890</v>
      </c>
      <c r="N2988" s="10">
        <v>0</v>
      </c>
      <c r="O2988" s="10">
        <f>Table1[[#This Row],[NET Amount]]-Table1[[#This Row],[Paid Amount]]</f>
        <v>143890</v>
      </c>
      <c r="P2988" s="2" t="s">
        <v>23</v>
      </c>
      <c r="Q2988" s="2" t="s">
        <v>1785</v>
      </c>
      <c r="R2988" s="16">
        <f>(Table1[[#This Row],[NET Amount]]-Table1[[#This Row],[Total Outstanding Amount]])/Table1[[#This Row],[NET Amount]]</f>
        <v>0</v>
      </c>
      <c r="S2988" s="2" t="s">
        <v>20</v>
      </c>
    </row>
    <row r="2989" spans="1:19" x14ac:dyDescent="0.3">
      <c r="A2989" s="4">
        <v>2987</v>
      </c>
      <c r="B2989" s="2" t="s">
        <v>168</v>
      </c>
      <c r="C2989" s="3">
        <v>44861</v>
      </c>
      <c r="D2989" s="3" t="str">
        <f>TEXT(Table1[[#This Row],[Admission Date]],"MMMM")</f>
        <v>October</v>
      </c>
      <c r="E2989" s="3">
        <v>44861</v>
      </c>
      <c r="F2989" s="3">
        <v>44861</v>
      </c>
      <c r="G2989" s="2">
        <v>22028784</v>
      </c>
      <c r="H2989" s="2">
        <v>2237638</v>
      </c>
      <c r="I2989" s="2">
        <v>10013359873</v>
      </c>
      <c r="J2989" s="2" t="s">
        <v>774</v>
      </c>
      <c r="K2989" s="10">
        <v>2200</v>
      </c>
      <c r="L2989" s="10">
        <v>0</v>
      </c>
      <c r="M2989" s="10">
        <v>2200</v>
      </c>
      <c r="N2989" s="10">
        <v>0</v>
      </c>
      <c r="O2989" s="10">
        <f>Table1[[#This Row],[NET Amount]]-Table1[[#This Row],[Paid Amount]]</f>
        <v>2200</v>
      </c>
      <c r="P2989" s="2" t="s">
        <v>23</v>
      </c>
      <c r="Q2989" s="2" t="s">
        <v>147</v>
      </c>
      <c r="R2989" s="16">
        <f>(Table1[[#This Row],[NET Amount]]-Table1[[#This Row],[Total Outstanding Amount]])/Table1[[#This Row],[NET Amount]]</f>
        <v>0</v>
      </c>
      <c r="S2989" s="2" t="s">
        <v>97</v>
      </c>
    </row>
    <row r="2990" spans="1:19" x14ac:dyDescent="0.3">
      <c r="A2990" s="4">
        <v>2988</v>
      </c>
      <c r="B2990" s="2" t="s">
        <v>2263</v>
      </c>
      <c r="C2990" s="3">
        <v>44862</v>
      </c>
      <c r="D2990" s="3" t="str">
        <f>TEXT(Table1[[#This Row],[Admission Date]],"MMMM")</f>
        <v>October</v>
      </c>
      <c r="E2990" s="3">
        <v>44862</v>
      </c>
      <c r="F2990" s="3">
        <v>44862</v>
      </c>
      <c r="G2990" s="2">
        <v>22028918</v>
      </c>
      <c r="H2990" s="2">
        <v>2237799</v>
      </c>
      <c r="I2990" s="2">
        <v>1001767553</v>
      </c>
      <c r="J2990" s="2" t="s">
        <v>417</v>
      </c>
      <c r="K2990" s="10">
        <v>1274</v>
      </c>
      <c r="L2990" s="10">
        <v>0</v>
      </c>
      <c r="M2990" s="10">
        <v>1274</v>
      </c>
      <c r="N2990" s="10">
        <v>0</v>
      </c>
      <c r="O2990" s="10">
        <f>Table1[[#This Row],[NET Amount]]-Table1[[#This Row],[Paid Amount]]</f>
        <v>1274</v>
      </c>
      <c r="P2990" s="2" t="s">
        <v>23</v>
      </c>
      <c r="Q2990" s="2" t="s">
        <v>54</v>
      </c>
      <c r="R2990" s="16">
        <f>(Table1[[#This Row],[NET Amount]]-Table1[[#This Row],[Total Outstanding Amount]])/Table1[[#This Row],[NET Amount]]</f>
        <v>0</v>
      </c>
      <c r="S2990" s="2" t="s">
        <v>97</v>
      </c>
    </row>
    <row r="2991" spans="1:19" x14ac:dyDescent="0.3">
      <c r="A2991" s="4">
        <v>2989</v>
      </c>
      <c r="B2991" s="2" t="s">
        <v>2253</v>
      </c>
      <c r="C2991" s="3">
        <v>44853</v>
      </c>
      <c r="D2991" s="3" t="str">
        <f>TEXT(Table1[[#This Row],[Admission Date]],"MMMM")</f>
        <v>October</v>
      </c>
      <c r="E2991" s="3">
        <v>44853</v>
      </c>
      <c r="F2991" s="3">
        <v>44853</v>
      </c>
      <c r="G2991" s="2">
        <v>22027770</v>
      </c>
      <c r="H2991" s="2">
        <v>2236661</v>
      </c>
      <c r="I2991" s="2">
        <v>1001777526</v>
      </c>
      <c r="J2991" s="2" t="s">
        <v>411</v>
      </c>
      <c r="K2991" s="10">
        <v>1610</v>
      </c>
      <c r="L2991" s="10">
        <v>0</v>
      </c>
      <c r="M2991" s="10">
        <v>1610</v>
      </c>
      <c r="N2991" s="10">
        <v>0</v>
      </c>
      <c r="O2991" s="10">
        <f>Table1[[#This Row],[NET Amount]]-Table1[[#This Row],[Paid Amount]]</f>
        <v>1610</v>
      </c>
      <c r="P2991" s="2" t="s">
        <v>23</v>
      </c>
      <c r="Q2991" s="2" t="s">
        <v>54</v>
      </c>
      <c r="R2991" s="16">
        <f>(Table1[[#This Row],[NET Amount]]-Table1[[#This Row],[Total Outstanding Amount]])/Table1[[#This Row],[NET Amount]]</f>
        <v>0</v>
      </c>
      <c r="S2991" s="2" t="s">
        <v>97</v>
      </c>
    </row>
    <row r="2992" spans="1:19" x14ac:dyDescent="0.3">
      <c r="A2992" s="4">
        <v>2990</v>
      </c>
      <c r="B2992" s="2" t="s">
        <v>75</v>
      </c>
      <c r="C2992" s="3">
        <v>44849</v>
      </c>
      <c r="D2992" s="3" t="str">
        <f>TEXT(Table1[[#This Row],[Admission Date]],"MMMM")</f>
        <v>October</v>
      </c>
      <c r="E2992" s="3">
        <v>44849</v>
      </c>
      <c r="F2992" s="3">
        <v>44849</v>
      </c>
      <c r="G2992" s="2">
        <v>22027152</v>
      </c>
      <c r="H2992" s="2">
        <v>2236095</v>
      </c>
      <c r="I2992" s="2">
        <v>10013401847</v>
      </c>
      <c r="J2992" s="2" t="s">
        <v>449</v>
      </c>
      <c r="K2992" s="10">
        <v>1610</v>
      </c>
      <c r="L2992" s="10">
        <v>0</v>
      </c>
      <c r="M2992" s="10">
        <v>1610</v>
      </c>
      <c r="N2992" s="10">
        <v>0</v>
      </c>
      <c r="O2992" s="10">
        <f>Table1[[#This Row],[NET Amount]]-Table1[[#This Row],[Paid Amount]]</f>
        <v>1610</v>
      </c>
      <c r="P2992" s="2" t="s">
        <v>23</v>
      </c>
      <c r="Q2992" s="2" t="s">
        <v>54</v>
      </c>
      <c r="R2992" s="16">
        <f>(Table1[[#This Row],[NET Amount]]-Table1[[#This Row],[Total Outstanding Amount]])/Table1[[#This Row],[NET Amount]]</f>
        <v>0</v>
      </c>
      <c r="S2992" s="2" t="s">
        <v>97</v>
      </c>
    </row>
    <row r="2993" spans="1:19" x14ac:dyDescent="0.3">
      <c r="A2993" s="4">
        <v>2991</v>
      </c>
      <c r="B2993" s="2" t="s">
        <v>2258</v>
      </c>
      <c r="C2993" s="3">
        <v>44839</v>
      </c>
      <c r="D2993" s="3" t="str">
        <f>TEXT(Table1[[#This Row],[Admission Date]],"MMMM")</f>
        <v>October</v>
      </c>
      <c r="E2993" s="3">
        <v>44839</v>
      </c>
      <c r="F2993" s="3">
        <v>44839</v>
      </c>
      <c r="G2993" s="2">
        <v>22025654</v>
      </c>
      <c r="H2993" s="2">
        <v>2234698</v>
      </c>
      <c r="I2993" s="2">
        <v>1001797077</v>
      </c>
      <c r="J2993" s="2" t="s">
        <v>468</v>
      </c>
      <c r="K2993" s="10">
        <v>1610</v>
      </c>
      <c r="L2993" s="10">
        <v>0</v>
      </c>
      <c r="M2993" s="10">
        <v>1610</v>
      </c>
      <c r="N2993" s="10">
        <v>0</v>
      </c>
      <c r="O2993" s="10">
        <f>Table1[[#This Row],[NET Amount]]-Table1[[#This Row],[Paid Amount]]</f>
        <v>1610</v>
      </c>
      <c r="P2993" s="2" t="s">
        <v>23</v>
      </c>
      <c r="Q2993" s="2" t="s">
        <v>54</v>
      </c>
      <c r="R2993" s="16">
        <f>(Table1[[#This Row],[NET Amount]]-Table1[[#This Row],[Total Outstanding Amount]])/Table1[[#This Row],[NET Amount]]</f>
        <v>0</v>
      </c>
      <c r="S2993" s="2" t="s">
        <v>97</v>
      </c>
    </row>
    <row r="2994" spans="1:19" x14ac:dyDescent="0.3">
      <c r="A2994" s="4">
        <v>2992</v>
      </c>
      <c r="B2994" s="2" t="s">
        <v>93</v>
      </c>
      <c r="C2994" s="3">
        <v>44849</v>
      </c>
      <c r="D2994" s="3" t="str">
        <f>TEXT(Table1[[#This Row],[Admission Date]],"MMMM")</f>
        <v>October</v>
      </c>
      <c r="E2994" s="3">
        <v>44856</v>
      </c>
      <c r="F2994" s="3">
        <v>44856</v>
      </c>
      <c r="G2994" s="2">
        <v>22028192</v>
      </c>
      <c r="H2994" s="2">
        <v>2236186</v>
      </c>
      <c r="I2994" s="2">
        <v>1001105447</v>
      </c>
      <c r="J2994" s="2" t="s">
        <v>1786</v>
      </c>
      <c r="K2994" s="10">
        <v>222355</v>
      </c>
      <c r="L2994" s="10">
        <v>22354</v>
      </c>
      <c r="M2994" s="10">
        <v>200001</v>
      </c>
      <c r="N2994" s="10">
        <v>0</v>
      </c>
      <c r="O2994" s="10">
        <f>Table1[[#This Row],[NET Amount]]-Table1[[#This Row],[Paid Amount]]</f>
        <v>200001</v>
      </c>
      <c r="P2994" s="2" t="s">
        <v>23</v>
      </c>
      <c r="Q2994" s="2" t="s">
        <v>396</v>
      </c>
      <c r="R2994" s="16">
        <f>(Table1[[#This Row],[NET Amount]]-Table1[[#This Row],[Total Outstanding Amount]])/Table1[[#This Row],[NET Amount]]</f>
        <v>0</v>
      </c>
      <c r="S2994" s="2" t="s">
        <v>20</v>
      </c>
    </row>
    <row r="2995" spans="1:19" x14ac:dyDescent="0.3">
      <c r="A2995" s="4">
        <v>2993</v>
      </c>
      <c r="B2995" s="2" t="s">
        <v>25</v>
      </c>
      <c r="C2995" s="3">
        <v>44838</v>
      </c>
      <c r="D2995" s="3" t="str">
        <f>TEXT(Table1[[#This Row],[Admission Date]],"MMMM")</f>
        <v>October</v>
      </c>
      <c r="E2995" s="3">
        <v>44841</v>
      </c>
      <c r="F2995" s="3">
        <v>44841</v>
      </c>
      <c r="G2995" s="2">
        <v>22025989</v>
      </c>
      <c r="H2995" s="2">
        <v>2234592</v>
      </c>
      <c r="I2995" s="2">
        <v>10013541386</v>
      </c>
      <c r="J2995" s="2" t="s">
        <v>1029</v>
      </c>
      <c r="K2995" s="10">
        <v>65531</v>
      </c>
      <c r="L2995" s="10">
        <v>22172</v>
      </c>
      <c r="M2995" s="10">
        <v>43359</v>
      </c>
      <c r="N2995" s="10">
        <v>0</v>
      </c>
      <c r="O2995" s="10">
        <f>Table1[[#This Row],[NET Amount]]-Table1[[#This Row],[Paid Amount]]</f>
        <v>43359</v>
      </c>
      <c r="P2995" s="2" t="s">
        <v>23</v>
      </c>
      <c r="Q2995" s="2" t="s">
        <v>69</v>
      </c>
      <c r="R2995" s="16">
        <f>(Table1[[#This Row],[NET Amount]]-Table1[[#This Row],[Total Outstanding Amount]])/Table1[[#This Row],[NET Amount]]</f>
        <v>0</v>
      </c>
      <c r="S2995" s="2" t="s">
        <v>37</v>
      </c>
    </row>
    <row r="2996" spans="1:19" x14ac:dyDescent="0.3">
      <c r="A2996" s="4">
        <v>2994</v>
      </c>
      <c r="B2996" s="2" t="s">
        <v>139</v>
      </c>
      <c r="C2996" s="3">
        <v>44859</v>
      </c>
      <c r="D2996" s="3" t="str">
        <f>TEXT(Table1[[#This Row],[Admission Date]],"MMMM")</f>
        <v>October</v>
      </c>
      <c r="E2996" s="3">
        <v>44859</v>
      </c>
      <c r="F2996" s="3">
        <v>44859</v>
      </c>
      <c r="G2996" s="2">
        <v>22028506</v>
      </c>
      <c r="H2996" s="2">
        <v>2237320</v>
      </c>
      <c r="I2996" s="2">
        <v>1001199995</v>
      </c>
      <c r="J2996" s="2" t="s">
        <v>386</v>
      </c>
      <c r="K2996" s="10">
        <v>2200</v>
      </c>
      <c r="L2996" s="10">
        <v>0</v>
      </c>
      <c r="M2996" s="10">
        <v>2200</v>
      </c>
      <c r="N2996" s="10">
        <v>0</v>
      </c>
      <c r="O2996" s="10">
        <f>Table1[[#This Row],[NET Amount]]-Table1[[#This Row],[Paid Amount]]</f>
        <v>2200</v>
      </c>
      <c r="P2996" s="2" t="s">
        <v>23</v>
      </c>
      <c r="Q2996" s="2" t="s">
        <v>147</v>
      </c>
      <c r="R2996" s="16">
        <f>(Table1[[#This Row],[NET Amount]]-Table1[[#This Row],[Total Outstanding Amount]])/Table1[[#This Row],[NET Amount]]</f>
        <v>0</v>
      </c>
      <c r="S2996" s="2" t="s">
        <v>97</v>
      </c>
    </row>
    <row r="2997" spans="1:19" x14ac:dyDescent="0.3">
      <c r="A2997" s="4">
        <v>2995</v>
      </c>
      <c r="B2997" s="2" t="s">
        <v>2263</v>
      </c>
      <c r="C2997" s="3">
        <v>44854</v>
      </c>
      <c r="D2997" s="3" t="str">
        <f>TEXT(Table1[[#This Row],[Admission Date]],"MMMM")</f>
        <v>October</v>
      </c>
      <c r="E2997" s="3">
        <v>44854</v>
      </c>
      <c r="F2997" s="3">
        <v>44854</v>
      </c>
      <c r="G2997" s="2">
        <v>22027812</v>
      </c>
      <c r="H2997" s="2">
        <v>2236728</v>
      </c>
      <c r="I2997" s="2">
        <v>1001680001</v>
      </c>
      <c r="J2997" s="2" t="s">
        <v>394</v>
      </c>
      <c r="K2997" s="10">
        <v>1274</v>
      </c>
      <c r="L2997" s="10">
        <v>0</v>
      </c>
      <c r="M2997" s="10">
        <v>1274</v>
      </c>
      <c r="N2997" s="10">
        <v>0</v>
      </c>
      <c r="O2997" s="10">
        <f>Table1[[#This Row],[NET Amount]]-Table1[[#This Row],[Paid Amount]]</f>
        <v>1274</v>
      </c>
      <c r="P2997" s="2" t="s">
        <v>23</v>
      </c>
      <c r="Q2997" s="2" t="s">
        <v>54</v>
      </c>
      <c r="R2997" s="16">
        <f>(Table1[[#This Row],[NET Amount]]-Table1[[#This Row],[Total Outstanding Amount]])/Table1[[#This Row],[NET Amount]]</f>
        <v>0</v>
      </c>
      <c r="S2997" s="2" t="s">
        <v>97</v>
      </c>
    </row>
    <row r="2998" spans="1:19" x14ac:dyDescent="0.3">
      <c r="A2998" s="4">
        <v>2996</v>
      </c>
      <c r="B2998" s="2" t="s">
        <v>380</v>
      </c>
      <c r="C2998" s="3">
        <v>44840</v>
      </c>
      <c r="D2998" s="3" t="str">
        <f>TEXT(Table1[[#This Row],[Admission Date]],"MMMM")</f>
        <v>October</v>
      </c>
      <c r="E2998" s="3">
        <v>44840</v>
      </c>
      <c r="F2998" s="3">
        <v>44840</v>
      </c>
      <c r="G2998" s="2">
        <v>22025915</v>
      </c>
      <c r="H2998" s="2">
        <v>2234946</v>
      </c>
      <c r="I2998" s="2">
        <v>1001237257</v>
      </c>
      <c r="J2998" s="2" t="s">
        <v>419</v>
      </c>
      <c r="K2998" s="10">
        <v>1274</v>
      </c>
      <c r="L2998" s="10">
        <v>0</v>
      </c>
      <c r="M2998" s="10">
        <v>1274</v>
      </c>
      <c r="N2998" s="10">
        <v>0</v>
      </c>
      <c r="O2998" s="10">
        <f>Table1[[#This Row],[NET Amount]]-Table1[[#This Row],[Paid Amount]]</f>
        <v>1274</v>
      </c>
      <c r="P2998" s="2" t="s">
        <v>23</v>
      </c>
      <c r="Q2998" s="2" t="s">
        <v>54</v>
      </c>
      <c r="R2998" s="16">
        <f>(Table1[[#This Row],[NET Amount]]-Table1[[#This Row],[Total Outstanding Amount]])/Table1[[#This Row],[NET Amount]]</f>
        <v>0</v>
      </c>
      <c r="S2998" s="2" t="s">
        <v>97</v>
      </c>
    </row>
    <row r="2999" spans="1:19" x14ac:dyDescent="0.3">
      <c r="A2999" s="4">
        <v>2997</v>
      </c>
      <c r="B2999" s="2" t="s">
        <v>178</v>
      </c>
      <c r="C2999" s="3">
        <v>44846</v>
      </c>
      <c r="D2999" s="3" t="str">
        <f>TEXT(Table1[[#This Row],[Admission Date]],"MMMM")</f>
        <v>October</v>
      </c>
      <c r="E2999" s="3">
        <v>44846</v>
      </c>
      <c r="F2999" s="3">
        <v>44846</v>
      </c>
      <c r="G2999" s="2">
        <v>22026791</v>
      </c>
      <c r="H2999" s="2">
        <v>2235750</v>
      </c>
      <c r="I2999" s="2">
        <v>10013519562</v>
      </c>
      <c r="J2999" s="2" t="s">
        <v>479</v>
      </c>
      <c r="K2999" s="10">
        <v>2200</v>
      </c>
      <c r="L2999" s="10">
        <v>0</v>
      </c>
      <c r="M2999" s="10">
        <v>2200</v>
      </c>
      <c r="N2999" s="10">
        <v>0</v>
      </c>
      <c r="O2999" s="10">
        <f>Table1[[#This Row],[NET Amount]]-Table1[[#This Row],[Paid Amount]]</f>
        <v>2200</v>
      </c>
      <c r="P2999" s="2" t="s">
        <v>23</v>
      </c>
      <c r="Q2999" s="2" t="s">
        <v>147</v>
      </c>
      <c r="R2999" s="16">
        <f>(Table1[[#This Row],[NET Amount]]-Table1[[#This Row],[Total Outstanding Amount]])/Table1[[#This Row],[NET Amount]]</f>
        <v>0</v>
      </c>
      <c r="S2999" s="2" t="s">
        <v>97</v>
      </c>
    </row>
    <row r="3000" spans="1:19" x14ac:dyDescent="0.3">
      <c r="A3000" s="4">
        <v>2998</v>
      </c>
      <c r="B3000" s="2" t="s">
        <v>380</v>
      </c>
      <c r="C3000" s="3">
        <v>44852</v>
      </c>
      <c r="D3000" s="3" t="str">
        <f>TEXT(Table1[[#This Row],[Admission Date]],"MMMM")</f>
        <v>October</v>
      </c>
      <c r="E3000" s="3">
        <v>44852</v>
      </c>
      <c r="F3000" s="3">
        <v>44852</v>
      </c>
      <c r="G3000" s="2">
        <v>22027636</v>
      </c>
      <c r="H3000" s="2">
        <v>2236546</v>
      </c>
      <c r="I3000" s="2">
        <v>1000891068</v>
      </c>
      <c r="J3000" s="2" t="s">
        <v>1082</v>
      </c>
      <c r="K3000" s="10">
        <v>1274</v>
      </c>
      <c r="L3000" s="10">
        <v>0</v>
      </c>
      <c r="M3000" s="10">
        <v>1274</v>
      </c>
      <c r="N3000" s="10">
        <v>0</v>
      </c>
      <c r="O3000" s="10">
        <f>Table1[[#This Row],[NET Amount]]-Table1[[#This Row],[Paid Amount]]</f>
        <v>1274</v>
      </c>
      <c r="P3000" s="2" t="s">
        <v>23</v>
      </c>
      <c r="Q3000" s="2" t="s">
        <v>54</v>
      </c>
      <c r="R3000" s="16">
        <f>(Table1[[#This Row],[NET Amount]]-Table1[[#This Row],[Total Outstanding Amount]])/Table1[[#This Row],[NET Amount]]</f>
        <v>0</v>
      </c>
      <c r="S3000" s="2" t="s">
        <v>97</v>
      </c>
    </row>
    <row r="3001" spans="1:19" x14ac:dyDescent="0.3">
      <c r="A3001" s="4">
        <v>2999</v>
      </c>
      <c r="B3001" s="2" t="s">
        <v>380</v>
      </c>
      <c r="C3001" s="3">
        <v>44853</v>
      </c>
      <c r="D3001" s="3" t="str">
        <f>TEXT(Table1[[#This Row],[Admission Date]],"MMMM")</f>
        <v>October</v>
      </c>
      <c r="E3001" s="3">
        <v>44853</v>
      </c>
      <c r="F3001" s="3">
        <v>44853</v>
      </c>
      <c r="G3001" s="2">
        <v>22027781</v>
      </c>
      <c r="H3001" s="2">
        <v>2236675</v>
      </c>
      <c r="I3001" s="2">
        <v>10013387247</v>
      </c>
      <c r="J3001" s="2" t="s">
        <v>1330</v>
      </c>
      <c r="K3001" s="10">
        <v>1274</v>
      </c>
      <c r="L3001" s="10">
        <v>0</v>
      </c>
      <c r="M3001" s="10">
        <v>1274</v>
      </c>
      <c r="N3001" s="10">
        <v>0</v>
      </c>
      <c r="O3001" s="10">
        <f>Table1[[#This Row],[NET Amount]]-Table1[[#This Row],[Paid Amount]]</f>
        <v>1274</v>
      </c>
      <c r="P3001" s="2" t="s">
        <v>23</v>
      </c>
      <c r="Q3001" s="2" t="s">
        <v>54</v>
      </c>
      <c r="R3001" s="16">
        <f>(Table1[[#This Row],[NET Amount]]-Table1[[#This Row],[Total Outstanding Amount]])/Table1[[#This Row],[NET Amount]]</f>
        <v>0</v>
      </c>
      <c r="S3001" s="2" t="s">
        <v>97</v>
      </c>
    </row>
    <row r="3002" spans="1:19" x14ac:dyDescent="0.3">
      <c r="A3002" s="4">
        <v>3000</v>
      </c>
      <c r="B3002" s="2" t="s">
        <v>2253</v>
      </c>
      <c r="C3002" s="3">
        <v>44846</v>
      </c>
      <c r="D3002" s="3" t="str">
        <f>TEXT(Table1[[#This Row],[Admission Date]],"MMMM")</f>
        <v>October</v>
      </c>
      <c r="E3002" s="3">
        <v>44846</v>
      </c>
      <c r="F3002" s="3">
        <v>44846</v>
      </c>
      <c r="G3002" s="2">
        <v>22026765</v>
      </c>
      <c r="H3002" s="2">
        <v>2235719</v>
      </c>
      <c r="I3002" s="2">
        <v>1001736024</v>
      </c>
      <c r="J3002" s="2" t="s">
        <v>442</v>
      </c>
      <c r="K3002" s="10">
        <v>1610</v>
      </c>
      <c r="L3002" s="10">
        <v>0</v>
      </c>
      <c r="M3002" s="10">
        <v>1610</v>
      </c>
      <c r="N3002" s="10">
        <v>0</v>
      </c>
      <c r="O3002" s="10">
        <f>Table1[[#This Row],[NET Amount]]-Table1[[#This Row],[Paid Amount]]</f>
        <v>1610</v>
      </c>
      <c r="P3002" s="2" t="s">
        <v>23</v>
      </c>
      <c r="Q3002" s="2" t="s">
        <v>54</v>
      </c>
      <c r="R3002" s="16">
        <f>(Table1[[#This Row],[NET Amount]]-Table1[[#This Row],[Total Outstanding Amount]])/Table1[[#This Row],[NET Amount]]</f>
        <v>0</v>
      </c>
      <c r="S3002" s="2" t="s">
        <v>97</v>
      </c>
    </row>
    <row r="3003" spans="1:19" x14ac:dyDescent="0.3">
      <c r="A3003" s="4">
        <v>3001</v>
      </c>
      <c r="B3003" s="2" t="s">
        <v>75</v>
      </c>
      <c r="C3003" s="3">
        <v>44840</v>
      </c>
      <c r="D3003" s="3" t="str">
        <f>TEXT(Table1[[#This Row],[Admission Date]],"MMMM")</f>
        <v>October</v>
      </c>
      <c r="E3003" s="3">
        <v>44841</v>
      </c>
      <c r="F3003" s="3">
        <v>44841</v>
      </c>
      <c r="G3003" s="2">
        <v>22025978</v>
      </c>
      <c r="H3003" s="2">
        <v>2234962</v>
      </c>
      <c r="I3003" s="2">
        <v>10013422948</v>
      </c>
      <c r="J3003" s="2" t="s">
        <v>1787</v>
      </c>
      <c r="K3003" s="10">
        <v>6916</v>
      </c>
      <c r="L3003" s="10">
        <v>0</v>
      </c>
      <c r="M3003" s="10">
        <v>6916</v>
      </c>
      <c r="N3003" s="10">
        <v>0</v>
      </c>
      <c r="O3003" s="10">
        <f>Table1[[#This Row],[NET Amount]]-Table1[[#This Row],[Paid Amount]]</f>
        <v>6916</v>
      </c>
      <c r="P3003" s="2" t="s">
        <v>23</v>
      </c>
      <c r="Q3003" s="2" t="s">
        <v>24</v>
      </c>
      <c r="R3003" s="16">
        <f>(Table1[[#This Row],[NET Amount]]-Table1[[#This Row],[Total Outstanding Amount]])/Table1[[#This Row],[NET Amount]]</f>
        <v>0</v>
      </c>
      <c r="S3003" s="2" t="s">
        <v>39</v>
      </c>
    </row>
    <row r="3004" spans="1:19" x14ac:dyDescent="0.3">
      <c r="A3004" s="4">
        <v>3002</v>
      </c>
      <c r="B3004" s="2" t="s">
        <v>380</v>
      </c>
      <c r="C3004" s="3">
        <v>44840</v>
      </c>
      <c r="D3004" s="3" t="str">
        <f>TEXT(Table1[[#This Row],[Admission Date]],"MMMM")</f>
        <v>October</v>
      </c>
      <c r="E3004" s="3">
        <v>44840</v>
      </c>
      <c r="F3004" s="3">
        <v>44840</v>
      </c>
      <c r="G3004" s="2">
        <v>22025813</v>
      </c>
      <c r="H3004" s="2">
        <v>2234829</v>
      </c>
      <c r="I3004" s="2">
        <v>1000891036</v>
      </c>
      <c r="J3004" s="2" t="s">
        <v>399</v>
      </c>
      <c r="K3004" s="10">
        <v>1274</v>
      </c>
      <c r="L3004" s="10">
        <v>0</v>
      </c>
      <c r="M3004" s="10">
        <v>1274</v>
      </c>
      <c r="N3004" s="10">
        <v>0</v>
      </c>
      <c r="O3004" s="10">
        <f>Table1[[#This Row],[NET Amount]]-Table1[[#This Row],[Paid Amount]]</f>
        <v>1274</v>
      </c>
      <c r="P3004" s="2" t="s">
        <v>23</v>
      </c>
      <c r="Q3004" s="2" t="s">
        <v>54</v>
      </c>
      <c r="R3004" s="16">
        <f>(Table1[[#This Row],[NET Amount]]-Table1[[#This Row],[Total Outstanding Amount]])/Table1[[#This Row],[NET Amount]]</f>
        <v>0</v>
      </c>
      <c r="S3004" s="2" t="s">
        <v>97</v>
      </c>
    </row>
    <row r="3005" spans="1:19" x14ac:dyDescent="0.3">
      <c r="A3005" s="4">
        <v>3003</v>
      </c>
      <c r="B3005" s="2" t="s">
        <v>2263</v>
      </c>
      <c r="C3005" s="3">
        <v>44851</v>
      </c>
      <c r="D3005" s="3" t="str">
        <f>TEXT(Table1[[#This Row],[Admission Date]],"MMMM")</f>
        <v>October</v>
      </c>
      <c r="E3005" s="3">
        <v>44851</v>
      </c>
      <c r="F3005" s="3">
        <v>44851</v>
      </c>
      <c r="G3005" s="2">
        <v>22027484</v>
      </c>
      <c r="H3005" s="2">
        <v>2236397</v>
      </c>
      <c r="I3005" s="2">
        <v>1001699417</v>
      </c>
      <c r="J3005" s="2" t="s">
        <v>472</v>
      </c>
      <c r="K3005" s="10">
        <v>1274</v>
      </c>
      <c r="L3005" s="10">
        <v>0</v>
      </c>
      <c r="M3005" s="10">
        <v>1274</v>
      </c>
      <c r="N3005" s="10">
        <v>0</v>
      </c>
      <c r="O3005" s="10">
        <f>Table1[[#This Row],[NET Amount]]-Table1[[#This Row],[Paid Amount]]</f>
        <v>1274</v>
      </c>
      <c r="P3005" s="2" t="s">
        <v>23</v>
      </c>
      <c r="Q3005" s="2" t="s">
        <v>54</v>
      </c>
      <c r="R3005" s="16">
        <f>(Table1[[#This Row],[NET Amount]]-Table1[[#This Row],[Total Outstanding Amount]])/Table1[[#This Row],[NET Amount]]</f>
        <v>0</v>
      </c>
      <c r="S3005" s="2" t="s">
        <v>97</v>
      </c>
    </row>
    <row r="3006" spans="1:19" x14ac:dyDescent="0.3">
      <c r="A3006" s="4">
        <v>3004</v>
      </c>
      <c r="B3006" s="2" t="s">
        <v>522</v>
      </c>
      <c r="C3006" s="3">
        <v>44850</v>
      </c>
      <c r="D3006" s="3" t="str">
        <f>TEXT(Table1[[#This Row],[Admission Date]],"MMMM")</f>
        <v>October</v>
      </c>
      <c r="E3006" s="3">
        <v>44854</v>
      </c>
      <c r="F3006" s="3">
        <v>44854</v>
      </c>
      <c r="G3006" s="2">
        <v>22027881</v>
      </c>
      <c r="H3006" s="2">
        <v>2236231</v>
      </c>
      <c r="I3006" s="2">
        <v>10013543248</v>
      </c>
      <c r="J3006" s="2" t="s">
        <v>1788</v>
      </c>
      <c r="K3006" s="10">
        <v>39550</v>
      </c>
      <c r="L3006" s="10">
        <v>0</v>
      </c>
      <c r="M3006" s="10">
        <v>39550</v>
      </c>
      <c r="N3006" s="10">
        <v>0</v>
      </c>
      <c r="O3006" s="10">
        <f>Table1[[#This Row],[NET Amount]]-Table1[[#This Row],[Paid Amount]]</f>
        <v>39550</v>
      </c>
      <c r="P3006" s="2" t="s">
        <v>23</v>
      </c>
      <c r="Q3006" s="2" t="s">
        <v>24</v>
      </c>
      <c r="R3006" s="16">
        <f>(Table1[[#This Row],[NET Amount]]-Table1[[#This Row],[Total Outstanding Amount]])/Table1[[#This Row],[NET Amount]]</f>
        <v>0</v>
      </c>
      <c r="S3006" s="2" t="s">
        <v>20</v>
      </c>
    </row>
    <row r="3007" spans="1:19" x14ac:dyDescent="0.3">
      <c r="A3007" s="4">
        <v>3005</v>
      </c>
      <c r="B3007" s="2" t="s">
        <v>144</v>
      </c>
      <c r="C3007" s="3">
        <v>44855</v>
      </c>
      <c r="D3007" s="3" t="str">
        <f>TEXT(Table1[[#This Row],[Admission Date]],"MMMM")</f>
        <v>October</v>
      </c>
      <c r="E3007" s="3">
        <v>44855</v>
      </c>
      <c r="F3007" s="3">
        <v>44855</v>
      </c>
      <c r="G3007" s="2">
        <v>22027965</v>
      </c>
      <c r="H3007" s="2">
        <v>2236874</v>
      </c>
      <c r="I3007" s="2">
        <v>1001183341</v>
      </c>
      <c r="J3007" s="2" t="s">
        <v>485</v>
      </c>
      <c r="K3007" s="10">
        <v>2200</v>
      </c>
      <c r="L3007" s="10">
        <v>0</v>
      </c>
      <c r="M3007" s="10">
        <v>2200</v>
      </c>
      <c r="N3007" s="10">
        <v>0</v>
      </c>
      <c r="O3007" s="10">
        <f>Table1[[#This Row],[NET Amount]]-Table1[[#This Row],[Paid Amount]]</f>
        <v>2200</v>
      </c>
      <c r="P3007" s="2" t="s">
        <v>23</v>
      </c>
      <c r="Q3007" s="2" t="s">
        <v>147</v>
      </c>
      <c r="R3007" s="16">
        <f>(Table1[[#This Row],[NET Amount]]-Table1[[#This Row],[Total Outstanding Amount]])/Table1[[#This Row],[NET Amount]]</f>
        <v>0</v>
      </c>
      <c r="S3007" s="2" t="s">
        <v>97</v>
      </c>
    </row>
    <row r="3008" spans="1:19" x14ac:dyDescent="0.3">
      <c r="A3008" s="4">
        <v>3006</v>
      </c>
      <c r="B3008" s="2" t="s">
        <v>282</v>
      </c>
      <c r="C3008" s="3">
        <v>44851</v>
      </c>
      <c r="D3008" s="3" t="str">
        <f>TEXT(Table1[[#This Row],[Admission Date]],"MMMM")</f>
        <v>October</v>
      </c>
      <c r="E3008" s="3">
        <v>44853</v>
      </c>
      <c r="F3008" s="3">
        <v>44853</v>
      </c>
      <c r="G3008" s="2">
        <v>22027677</v>
      </c>
      <c r="H3008" s="2">
        <v>2236370</v>
      </c>
      <c r="I3008" s="2">
        <v>10013270939</v>
      </c>
      <c r="J3008" s="2" t="s">
        <v>610</v>
      </c>
      <c r="K3008" s="10">
        <v>60006</v>
      </c>
      <c r="L3008" s="10">
        <v>30006</v>
      </c>
      <c r="M3008" s="10">
        <v>30000</v>
      </c>
      <c r="N3008" s="10">
        <v>0</v>
      </c>
      <c r="O3008" s="10">
        <f>Table1[[#This Row],[NET Amount]]-Table1[[#This Row],[Paid Amount]]</f>
        <v>30000</v>
      </c>
      <c r="P3008" s="2" t="s">
        <v>23</v>
      </c>
      <c r="Q3008" s="2" t="s">
        <v>24</v>
      </c>
      <c r="R3008" s="16">
        <f>(Table1[[#This Row],[NET Amount]]-Table1[[#This Row],[Total Outstanding Amount]])/Table1[[#This Row],[NET Amount]]</f>
        <v>0</v>
      </c>
      <c r="S3008" s="2" t="s">
        <v>55</v>
      </c>
    </row>
    <row r="3009" spans="1:19" x14ac:dyDescent="0.3">
      <c r="A3009" s="4">
        <v>3007</v>
      </c>
      <c r="B3009" s="2" t="s">
        <v>380</v>
      </c>
      <c r="C3009" s="3">
        <v>44839</v>
      </c>
      <c r="D3009" s="3" t="str">
        <f>TEXT(Table1[[#This Row],[Admission Date]],"MMMM")</f>
        <v>October</v>
      </c>
      <c r="E3009" s="3">
        <v>44839</v>
      </c>
      <c r="F3009" s="3">
        <v>44839</v>
      </c>
      <c r="G3009" s="2">
        <v>22025781</v>
      </c>
      <c r="H3009" s="2">
        <v>2234790</v>
      </c>
      <c r="I3009" s="2">
        <v>1000857532</v>
      </c>
      <c r="J3009" s="2" t="s">
        <v>416</v>
      </c>
      <c r="K3009" s="10">
        <v>1274</v>
      </c>
      <c r="L3009" s="10">
        <v>0</v>
      </c>
      <c r="M3009" s="10">
        <v>1274</v>
      </c>
      <c r="N3009" s="10">
        <v>0</v>
      </c>
      <c r="O3009" s="10">
        <f>Table1[[#This Row],[NET Amount]]-Table1[[#This Row],[Paid Amount]]</f>
        <v>1274</v>
      </c>
      <c r="P3009" s="2" t="s">
        <v>23</v>
      </c>
      <c r="Q3009" s="2" t="s">
        <v>54</v>
      </c>
      <c r="R3009" s="16">
        <f>(Table1[[#This Row],[NET Amount]]-Table1[[#This Row],[Total Outstanding Amount]])/Table1[[#This Row],[NET Amount]]</f>
        <v>0</v>
      </c>
      <c r="S3009" s="2" t="s">
        <v>97</v>
      </c>
    </row>
    <row r="3010" spans="1:19" x14ac:dyDescent="0.3">
      <c r="A3010" s="4">
        <v>3008</v>
      </c>
      <c r="B3010" s="2" t="s">
        <v>2253</v>
      </c>
      <c r="C3010" s="3">
        <v>44862</v>
      </c>
      <c r="D3010" s="3" t="str">
        <f>TEXT(Table1[[#This Row],[Admission Date]],"MMMM")</f>
        <v>October</v>
      </c>
      <c r="E3010" s="3">
        <v>44863</v>
      </c>
      <c r="F3010" s="3">
        <v>44863</v>
      </c>
      <c r="G3010" s="2">
        <v>22028993</v>
      </c>
      <c r="H3010" s="2">
        <v>2237825</v>
      </c>
      <c r="I3010" s="2">
        <v>1001692673</v>
      </c>
      <c r="J3010" s="2" t="s">
        <v>383</v>
      </c>
      <c r="K3010" s="10">
        <v>0</v>
      </c>
      <c r="L3010" s="10">
        <v>0</v>
      </c>
      <c r="M3010" s="10">
        <v>0</v>
      </c>
      <c r="N3010" s="10">
        <v>0</v>
      </c>
      <c r="O3010" s="10">
        <f>Table1[[#This Row],[NET Amount]]-Table1[[#This Row],[Paid Amount]]</f>
        <v>0</v>
      </c>
      <c r="P3010" s="2" t="s">
        <v>23</v>
      </c>
      <c r="Q3010" s="2" t="s">
        <v>54</v>
      </c>
      <c r="R3010" s="16" t="e">
        <f>(Table1[[#This Row],[NET Amount]]-Table1[[#This Row],[Total Outstanding Amount]])/Table1[[#This Row],[NET Amount]]</f>
        <v>#DIV/0!</v>
      </c>
      <c r="S3010" s="2" t="s">
        <v>97</v>
      </c>
    </row>
    <row r="3011" spans="1:19" x14ac:dyDescent="0.3">
      <c r="A3011" s="4">
        <v>3009</v>
      </c>
      <c r="B3011" s="2" t="s">
        <v>380</v>
      </c>
      <c r="C3011" s="3">
        <v>44854</v>
      </c>
      <c r="D3011" s="3" t="str">
        <f>TEXT(Table1[[#This Row],[Admission Date]],"MMMM")</f>
        <v>October</v>
      </c>
      <c r="E3011" s="3">
        <v>44854</v>
      </c>
      <c r="F3011" s="3">
        <v>44854</v>
      </c>
      <c r="G3011" s="2">
        <v>22027958</v>
      </c>
      <c r="H3011" s="2">
        <v>2236838</v>
      </c>
      <c r="I3011" s="2">
        <v>10013292990</v>
      </c>
      <c r="J3011" s="2" t="s">
        <v>779</v>
      </c>
      <c r="K3011" s="10">
        <v>1274</v>
      </c>
      <c r="L3011" s="10">
        <v>0</v>
      </c>
      <c r="M3011" s="10">
        <v>1274</v>
      </c>
      <c r="N3011" s="10">
        <v>0</v>
      </c>
      <c r="O3011" s="10">
        <f>Table1[[#This Row],[NET Amount]]-Table1[[#This Row],[Paid Amount]]</f>
        <v>1274</v>
      </c>
      <c r="P3011" s="2" t="s">
        <v>23</v>
      </c>
      <c r="Q3011" s="2" t="s">
        <v>54</v>
      </c>
      <c r="R3011" s="16">
        <f>(Table1[[#This Row],[NET Amount]]-Table1[[#This Row],[Total Outstanding Amount]])/Table1[[#This Row],[NET Amount]]</f>
        <v>0</v>
      </c>
      <c r="S3011" s="2" t="s">
        <v>97</v>
      </c>
    </row>
    <row r="3012" spans="1:19" x14ac:dyDescent="0.3">
      <c r="A3012" s="4">
        <v>3010</v>
      </c>
      <c r="B3012" s="2" t="s">
        <v>2253</v>
      </c>
      <c r="C3012" s="3">
        <v>44837</v>
      </c>
      <c r="D3012" s="3" t="str">
        <f>TEXT(Table1[[#This Row],[Admission Date]],"MMMM")</f>
        <v>October</v>
      </c>
      <c r="E3012" s="3">
        <v>44837</v>
      </c>
      <c r="F3012" s="3">
        <v>44837</v>
      </c>
      <c r="G3012" s="2">
        <v>22025444</v>
      </c>
      <c r="H3012" s="2">
        <v>2234443</v>
      </c>
      <c r="I3012" s="2">
        <v>1001777526</v>
      </c>
      <c r="J3012" s="2" t="s">
        <v>411</v>
      </c>
      <c r="K3012" s="10">
        <v>1610</v>
      </c>
      <c r="L3012" s="10">
        <v>0</v>
      </c>
      <c r="M3012" s="10">
        <v>1610</v>
      </c>
      <c r="N3012" s="10">
        <v>0</v>
      </c>
      <c r="O3012" s="10">
        <f>Table1[[#This Row],[NET Amount]]-Table1[[#This Row],[Paid Amount]]</f>
        <v>1610</v>
      </c>
      <c r="P3012" s="2" t="s">
        <v>23</v>
      </c>
      <c r="Q3012" s="2" t="s">
        <v>54</v>
      </c>
      <c r="R3012" s="16">
        <f>(Table1[[#This Row],[NET Amount]]-Table1[[#This Row],[Total Outstanding Amount]])/Table1[[#This Row],[NET Amount]]</f>
        <v>0</v>
      </c>
      <c r="S3012" s="2" t="s">
        <v>97</v>
      </c>
    </row>
    <row r="3013" spans="1:19" x14ac:dyDescent="0.3">
      <c r="A3013" s="4">
        <v>3011</v>
      </c>
      <c r="B3013" s="2" t="s">
        <v>2263</v>
      </c>
      <c r="C3013" s="3">
        <v>44855</v>
      </c>
      <c r="D3013" s="3" t="str">
        <f>TEXT(Table1[[#This Row],[Admission Date]],"MMMM")</f>
        <v>October</v>
      </c>
      <c r="E3013" s="3">
        <v>44855</v>
      </c>
      <c r="F3013" s="3">
        <v>44855</v>
      </c>
      <c r="G3013" s="2">
        <v>22028106</v>
      </c>
      <c r="H3013" s="2">
        <v>2236948</v>
      </c>
      <c r="I3013" s="2">
        <v>1001527101</v>
      </c>
      <c r="J3013" s="2" t="s">
        <v>795</v>
      </c>
      <c r="K3013" s="10">
        <v>1274</v>
      </c>
      <c r="L3013" s="10">
        <v>0</v>
      </c>
      <c r="M3013" s="10">
        <v>1274</v>
      </c>
      <c r="N3013" s="10">
        <v>0</v>
      </c>
      <c r="O3013" s="10">
        <f>Table1[[#This Row],[NET Amount]]-Table1[[#This Row],[Paid Amount]]</f>
        <v>1274</v>
      </c>
      <c r="P3013" s="2" t="s">
        <v>23</v>
      </c>
      <c r="Q3013" s="2" t="s">
        <v>54</v>
      </c>
      <c r="R3013" s="16">
        <f>(Table1[[#This Row],[NET Amount]]-Table1[[#This Row],[Total Outstanding Amount]])/Table1[[#This Row],[NET Amount]]</f>
        <v>0</v>
      </c>
      <c r="S3013" s="2" t="s">
        <v>97</v>
      </c>
    </row>
    <row r="3014" spans="1:19" x14ac:dyDescent="0.3">
      <c r="A3014" s="4">
        <v>3012</v>
      </c>
      <c r="B3014" s="2" t="s">
        <v>380</v>
      </c>
      <c r="C3014" s="3">
        <v>44861</v>
      </c>
      <c r="D3014" s="3" t="str">
        <f>TEXT(Table1[[#This Row],[Admission Date]],"MMMM")</f>
        <v>October</v>
      </c>
      <c r="E3014" s="3">
        <v>44861</v>
      </c>
      <c r="F3014" s="3">
        <v>44861</v>
      </c>
      <c r="G3014" s="2">
        <v>22028829</v>
      </c>
      <c r="H3014" s="2">
        <v>2237695</v>
      </c>
      <c r="I3014" s="2">
        <v>1000961855</v>
      </c>
      <c r="J3014" s="2" t="s">
        <v>439</v>
      </c>
      <c r="K3014" s="10">
        <v>1274</v>
      </c>
      <c r="L3014" s="10">
        <v>0</v>
      </c>
      <c r="M3014" s="10">
        <v>1274</v>
      </c>
      <c r="N3014" s="10">
        <v>0</v>
      </c>
      <c r="O3014" s="10">
        <f>Table1[[#This Row],[NET Amount]]-Table1[[#This Row],[Paid Amount]]</f>
        <v>1274</v>
      </c>
      <c r="P3014" s="2" t="s">
        <v>23</v>
      </c>
      <c r="Q3014" s="2" t="s">
        <v>54</v>
      </c>
      <c r="R3014" s="16">
        <f>(Table1[[#This Row],[NET Amount]]-Table1[[#This Row],[Total Outstanding Amount]])/Table1[[#This Row],[NET Amount]]</f>
        <v>0</v>
      </c>
      <c r="S3014" s="2" t="s">
        <v>97</v>
      </c>
    </row>
    <row r="3015" spans="1:19" x14ac:dyDescent="0.3">
      <c r="A3015" s="4">
        <v>3013</v>
      </c>
      <c r="B3015" s="2" t="s">
        <v>155</v>
      </c>
      <c r="C3015" s="3">
        <v>44837</v>
      </c>
      <c r="D3015" s="3" t="str">
        <f>TEXT(Table1[[#This Row],[Admission Date]],"MMMM")</f>
        <v>October</v>
      </c>
      <c r="E3015" s="3">
        <v>44837</v>
      </c>
      <c r="F3015" s="3">
        <v>44837</v>
      </c>
      <c r="G3015" s="2">
        <v>22025403</v>
      </c>
      <c r="H3015" s="2">
        <v>2234386</v>
      </c>
      <c r="I3015" s="2">
        <v>1000853411</v>
      </c>
      <c r="J3015" s="2" t="s">
        <v>796</v>
      </c>
      <c r="K3015" s="10">
        <v>1610</v>
      </c>
      <c r="L3015" s="10">
        <v>0</v>
      </c>
      <c r="M3015" s="10">
        <v>1610</v>
      </c>
      <c r="N3015" s="10">
        <v>0</v>
      </c>
      <c r="O3015" s="10">
        <f>Table1[[#This Row],[NET Amount]]-Table1[[#This Row],[Paid Amount]]</f>
        <v>1610</v>
      </c>
      <c r="P3015" s="2" t="s">
        <v>23</v>
      </c>
      <c r="Q3015" s="2" t="s">
        <v>54</v>
      </c>
      <c r="R3015" s="16">
        <f>(Table1[[#This Row],[NET Amount]]-Table1[[#This Row],[Total Outstanding Amount]])/Table1[[#This Row],[NET Amount]]</f>
        <v>0</v>
      </c>
      <c r="S3015" s="2" t="s">
        <v>97</v>
      </c>
    </row>
    <row r="3016" spans="1:19" x14ac:dyDescent="0.3">
      <c r="A3016" s="4">
        <v>3014</v>
      </c>
      <c r="B3016" s="2" t="s">
        <v>380</v>
      </c>
      <c r="C3016" s="3">
        <v>44837</v>
      </c>
      <c r="D3016" s="3" t="str">
        <f>TEXT(Table1[[#This Row],[Admission Date]],"MMMM")</f>
        <v>October</v>
      </c>
      <c r="E3016" s="3">
        <v>44837</v>
      </c>
      <c r="F3016" s="3">
        <v>44837</v>
      </c>
      <c r="G3016" s="2">
        <v>22025461</v>
      </c>
      <c r="H3016" s="2">
        <v>2234482</v>
      </c>
      <c r="I3016" s="2">
        <v>10013437822</v>
      </c>
      <c r="J3016" s="2" t="s">
        <v>441</v>
      </c>
      <c r="K3016" s="10">
        <v>1274</v>
      </c>
      <c r="L3016" s="10">
        <v>0</v>
      </c>
      <c r="M3016" s="10">
        <v>1274</v>
      </c>
      <c r="N3016" s="10">
        <v>0</v>
      </c>
      <c r="O3016" s="10">
        <f>Table1[[#This Row],[NET Amount]]-Table1[[#This Row],[Paid Amount]]</f>
        <v>1274</v>
      </c>
      <c r="P3016" s="2" t="s">
        <v>23</v>
      </c>
      <c r="Q3016" s="2" t="s">
        <v>54</v>
      </c>
      <c r="R3016" s="16">
        <f>(Table1[[#This Row],[NET Amount]]-Table1[[#This Row],[Total Outstanding Amount]])/Table1[[#This Row],[NET Amount]]</f>
        <v>0</v>
      </c>
      <c r="S3016" s="2" t="s">
        <v>97</v>
      </c>
    </row>
    <row r="3017" spans="1:19" x14ac:dyDescent="0.3">
      <c r="A3017" s="4">
        <v>3015</v>
      </c>
      <c r="B3017" s="2" t="s">
        <v>155</v>
      </c>
      <c r="C3017" s="3">
        <v>44848</v>
      </c>
      <c r="D3017" s="3" t="str">
        <f>TEXT(Table1[[#This Row],[Admission Date]],"MMMM")</f>
        <v>October</v>
      </c>
      <c r="E3017" s="3">
        <v>44848</v>
      </c>
      <c r="F3017" s="3">
        <v>44848</v>
      </c>
      <c r="G3017" s="2">
        <v>22027047</v>
      </c>
      <c r="H3017" s="2">
        <v>2235971</v>
      </c>
      <c r="I3017" s="2">
        <v>1000853411</v>
      </c>
      <c r="J3017" s="2" t="s">
        <v>796</v>
      </c>
      <c r="K3017" s="10">
        <v>1610</v>
      </c>
      <c r="L3017" s="10">
        <v>0</v>
      </c>
      <c r="M3017" s="10">
        <v>1610</v>
      </c>
      <c r="N3017" s="10">
        <v>0</v>
      </c>
      <c r="O3017" s="10">
        <f>Table1[[#This Row],[NET Amount]]-Table1[[#This Row],[Paid Amount]]</f>
        <v>1610</v>
      </c>
      <c r="P3017" s="2" t="s">
        <v>23</v>
      </c>
      <c r="Q3017" s="2" t="s">
        <v>54</v>
      </c>
      <c r="R3017" s="16">
        <f>(Table1[[#This Row],[NET Amount]]-Table1[[#This Row],[Total Outstanding Amount]])/Table1[[#This Row],[NET Amount]]</f>
        <v>0</v>
      </c>
      <c r="S3017" s="2" t="s">
        <v>97</v>
      </c>
    </row>
    <row r="3018" spans="1:19" x14ac:dyDescent="0.3">
      <c r="A3018" s="4">
        <v>3016</v>
      </c>
      <c r="B3018" s="2" t="s">
        <v>2253</v>
      </c>
      <c r="C3018" s="3">
        <v>44841</v>
      </c>
      <c r="D3018" s="3" t="str">
        <f>TEXT(Table1[[#This Row],[Admission Date]],"MMMM")</f>
        <v>October</v>
      </c>
      <c r="E3018" s="3">
        <v>44841</v>
      </c>
      <c r="F3018" s="3">
        <v>44841</v>
      </c>
      <c r="G3018" s="2">
        <v>22025932</v>
      </c>
      <c r="H3018" s="2">
        <v>2234986</v>
      </c>
      <c r="I3018" s="2">
        <v>1001801530</v>
      </c>
      <c r="J3018" s="2" t="s">
        <v>392</v>
      </c>
      <c r="K3018" s="10">
        <v>1610</v>
      </c>
      <c r="L3018" s="10">
        <v>0</v>
      </c>
      <c r="M3018" s="10">
        <v>1610</v>
      </c>
      <c r="N3018" s="10">
        <v>0</v>
      </c>
      <c r="O3018" s="10">
        <f>Table1[[#This Row],[NET Amount]]-Table1[[#This Row],[Paid Amount]]</f>
        <v>1610</v>
      </c>
      <c r="P3018" s="2" t="s">
        <v>23</v>
      </c>
      <c r="Q3018" s="2" t="s">
        <v>54</v>
      </c>
      <c r="R3018" s="16">
        <f>(Table1[[#This Row],[NET Amount]]-Table1[[#This Row],[Total Outstanding Amount]])/Table1[[#This Row],[NET Amount]]</f>
        <v>0</v>
      </c>
      <c r="S3018" s="2" t="s">
        <v>97</v>
      </c>
    </row>
    <row r="3019" spans="1:19" x14ac:dyDescent="0.3">
      <c r="A3019" s="4">
        <v>3017</v>
      </c>
      <c r="B3019" s="2" t="s">
        <v>2253</v>
      </c>
      <c r="C3019" s="3">
        <v>44860</v>
      </c>
      <c r="D3019" s="3" t="str">
        <f>TEXT(Table1[[#This Row],[Admission Date]],"MMMM")</f>
        <v>October</v>
      </c>
      <c r="E3019" s="3">
        <v>44860</v>
      </c>
      <c r="F3019" s="3">
        <v>44860</v>
      </c>
      <c r="G3019" s="2">
        <v>22028638</v>
      </c>
      <c r="H3019" s="2">
        <v>2237512</v>
      </c>
      <c r="I3019" s="2">
        <v>1001736024</v>
      </c>
      <c r="J3019" s="2" t="s">
        <v>442</v>
      </c>
      <c r="K3019" s="10">
        <v>1610</v>
      </c>
      <c r="L3019" s="10">
        <v>0</v>
      </c>
      <c r="M3019" s="10">
        <v>1610</v>
      </c>
      <c r="N3019" s="10">
        <v>0</v>
      </c>
      <c r="O3019" s="10">
        <f>Table1[[#This Row],[NET Amount]]-Table1[[#This Row],[Paid Amount]]</f>
        <v>1610</v>
      </c>
      <c r="P3019" s="2" t="s">
        <v>23</v>
      </c>
      <c r="Q3019" s="2" t="s">
        <v>54</v>
      </c>
      <c r="R3019" s="16">
        <f>(Table1[[#This Row],[NET Amount]]-Table1[[#This Row],[Total Outstanding Amount]])/Table1[[#This Row],[NET Amount]]</f>
        <v>0</v>
      </c>
      <c r="S3019" s="2" t="s">
        <v>97</v>
      </c>
    </row>
    <row r="3020" spans="1:19" x14ac:dyDescent="0.3">
      <c r="A3020" s="4">
        <v>3018</v>
      </c>
      <c r="B3020" s="2" t="s">
        <v>2253</v>
      </c>
      <c r="C3020" s="3">
        <v>44848</v>
      </c>
      <c r="D3020" s="3" t="str">
        <f>TEXT(Table1[[#This Row],[Admission Date]],"MMMM")</f>
        <v>October</v>
      </c>
      <c r="E3020" s="3">
        <v>44848</v>
      </c>
      <c r="F3020" s="3">
        <v>44848</v>
      </c>
      <c r="G3020" s="2">
        <v>22027062</v>
      </c>
      <c r="H3020" s="2">
        <v>2235979</v>
      </c>
      <c r="I3020" s="2">
        <v>1001692673</v>
      </c>
      <c r="J3020" s="2" t="s">
        <v>383</v>
      </c>
      <c r="K3020" s="10">
        <v>1610</v>
      </c>
      <c r="L3020" s="10">
        <v>0</v>
      </c>
      <c r="M3020" s="10">
        <v>1610</v>
      </c>
      <c r="N3020" s="10">
        <v>0</v>
      </c>
      <c r="O3020" s="10">
        <f>Table1[[#This Row],[NET Amount]]-Table1[[#This Row],[Paid Amount]]</f>
        <v>1610</v>
      </c>
      <c r="P3020" s="2" t="s">
        <v>23</v>
      </c>
      <c r="Q3020" s="2" t="s">
        <v>54</v>
      </c>
      <c r="R3020" s="16">
        <f>(Table1[[#This Row],[NET Amount]]-Table1[[#This Row],[Total Outstanding Amount]])/Table1[[#This Row],[NET Amount]]</f>
        <v>0</v>
      </c>
      <c r="S3020" s="2" t="s">
        <v>97</v>
      </c>
    </row>
    <row r="3021" spans="1:19" x14ac:dyDescent="0.3">
      <c r="A3021" s="4">
        <v>3019</v>
      </c>
      <c r="B3021" s="2" t="s">
        <v>126</v>
      </c>
      <c r="C3021" s="3">
        <v>44862</v>
      </c>
      <c r="D3021" s="3" t="str">
        <f>TEXT(Table1[[#This Row],[Admission Date]],"MMMM")</f>
        <v>October</v>
      </c>
      <c r="E3021" s="3">
        <v>44863</v>
      </c>
      <c r="F3021" s="3">
        <v>44863</v>
      </c>
      <c r="G3021" s="2">
        <v>22029087</v>
      </c>
      <c r="H3021" s="2">
        <v>2237833</v>
      </c>
      <c r="I3021" s="2">
        <v>1001806832</v>
      </c>
      <c r="J3021" s="2" t="s">
        <v>1789</v>
      </c>
      <c r="K3021" s="10">
        <v>316979</v>
      </c>
      <c r="L3021" s="10">
        <v>0</v>
      </c>
      <c r="M3021" s="10">
        <v>316979</v>
      </c>
      <c r="N3021" s="10">
        <v>0</v>
      </c>
      <c r="O3021" s="10">
        <f>Table1[[#This Row],[NET Amount]]-Table1[[#This Row],[Paid Amount]]</f>
        <v>316979</v>
      </c>
      <c r="P3021" s="2" t="s">
        <v>23</v>
      </c>
      <c r="Q3021" s="2" t="s">
        <v>30</v>
      </c>
      <c r="R3021" s="16">
        <f>(Table1[[#This Row],[NET Amount]]-Table1[[#This Row],[Total Outstanding Amount]])/Table1[[#This Row],[NET Amount]]</f>
        <v>0</v>
      </c>
      <c r="S3021" s="2" t="s">
        <v>39</v>
      </c>
    </row>
    <row r="3022" spans="1:19" x14ac:dyDescent="0.3">
      <c r="A3022" s="4">
        <v>3020</v>
      </c>
      <c r="B3022" s="2" t="s">
        <v>178</v>
      </c>
      <c r="C3022" s="3">
        <v>44854</v>
      </c>
      <c r="D3022" s="3" t="str">
        <f>TEXT(Table1[[#This Row],[Admission Date]],"MMMM")</f>
        <v>October</v>
      </c>
      <c r="E3022" s="3">
        <v>44854</v>
      </c>
      <c r="F3022" s="3">
        <v>44854</v>
      </c>
      <c r="G3022" s="2">
        <v>22027945</v>
      </c>
      <c r="H3022" s="2">
        <v>2236810</v>
      </c>
      <c r="I3022" s="2">
        <v>10013332282</v>
      </c>
      <c r="J3022" s="2" t="s">
        <v>415</v>
      </c>
      <c r="K3022" s="10">
        <v>2200</v>
      </c>
      <c r="L3022" s="10">
        <v>0</v>
      </c>
      <c r="M3022" s="10">
        <v>2200</v>
      </c>
      <c r="N3022" s="10">
        <v>0</v>
      </c>
      <c r="O3022" s="10">
        <f>Table1[[#This Row],[NET Amount]]-Table1[[#This Row],[Paid Amount]]</f>
        <v>2200</v>
      </c>
      <c r="P3022" s="2" t="s">
        <v>23</v>
      </c>
      <c r="Q3022" s="2" t="s">
        <v>147</v>
      </c>
      <c r="R3022" s="16">
        <f>(Table1[[#This Row],[NET Amount]]-Table1[[#This Row],[Total Outstanding Amount]])/Table1[[#This Row],[NET Amount]]</f>
        <v>0</v>
      </c>
      <c r="S3022" s="2" t="s">
        <v>97</v>
      </c>
    </row>
    <row r="3023" spans="1:19" x14ac:dyDescent="0.3">
      <c r="A3023" s="4">
        <v>3021</v>
      </c>
      <c r="B3023" s="2" t="s">
        <v>2263</v>
      </c>
      <c r="C3023" s="3">
        <v>44861</v>
      </c>
      <c r="D3023" s="3" t="str">
        <f>TEXT(Table1[[#This Row],[Admission Date]],"MMMM")</f>
        <v>October</v>
      </c>
      <c r="E3023" s="3">
        <v>44861</v>
      </c>
      <c r="F3023" s="3">
        <v>44861</v>
      </c>
      <c r="G3023" s="2">
        <v>22028776</v>
      </c>
      <c r="H3023" s="2">
        <v>2237658</v>
      </c>
      <c r="I3023" s="2">
        <v>1001648223</v>
      </c>
      <c r="J3023" s="2" t="s">
        <v>458</v>
      </c>
      <c r="K3023" s="10">
        <v>1274</v>
      </c>
      <c r="L3023" s="10">
        <v>0</v>
      </c>
      <c r="M3023" s="10">
        <v>1274</v>
      </c>
      <c r="N3023" s="10">
        <v>0</v>
      </c>
      <c r="O3023" s="10">
        <f>Table1[[#This Row],[NET Amount]]-Table1[[#This Row],[Paid Amount]]</f>
        <v>1274</v>
      </c>
      <c r="P3023" s="2" t="s">
        <v>23</v>
      </c>
      <c r="Q3023" s="2" t="s">
        <v>54</v>
      </c>
      <c r="R3023" s="16">
        <f>(Table1[[#This Row],[NET Amount]]-Table1[[#This Row],[Total Outstanding Amount]])/Table1[[#This Row],[NET Amount]]</f>
        <v>0</v>
      </c>
      <c r="S3023" s="2" t="s">
        <v>97</v>
      </c>
    </row>
    <row r="3024" spans="1:19" x14ac:dyDescent="0.3">
      <c r="A3024" s="4">
        <v>3022</v>
      </c>
      <c r="B3024" s="2" t="s">
        <v>380</v>
      </c>
      <c r="C3024" s="3">
        <v>44849</v>
      </c>
      <c r="D3024" s="3" t="str">
        <f>TEXT(Table1[[#This Row],[Admission Date]],"MMMM")</f>
        <v>October</v>
      </c>
      <c r="E3024" s="3">
        <v>44849</v>
      </c>
      <c r="F3024" s="3">
        <v>44849</v>
      </c>
      <c r="G3024" s="2">
        <v>22027250</v>
      </c>
      <c r="H3024" s="2">
        <v>2236166</v>
      </c>
      <c r="I3024" s="2">
        <v>1001542371</v>
      </c>
      <c r="J3024" s="2" t="s">
        <v>385</v>
      </c>
      <c r="K3024" s="10">
        <v>1274</v>
      </c>
      <c r="L3024" s="10">
        <v>0</v>
      </c>
      <c r="M3024" s="10">
        <v>1274</v>
      </c>
      <c r="N3024" s="10">
        <v>0</v>
      </c>
      <c r="O3024" s="10">
        <f>Table1[[#This Row],[NET Amount]]-Table1[[#This Row],[Paid Amount]]</f>
        <v>1274</v>
      </c>
      <c r="P3024" s="2" t="s">
        <v>23</v>
      </c>
      <c r="Q3024" s="2" t="s">
        <v>54</v>
      </c>
      <c r="R3024" s="16">
        <f>(Table1[[#This Row],[NET Amount]]-Table1[[#This Row],[Total Outstanding Amount]])/Table1[[#This Row],[NET Amount]]</f>
        <v>0</v>
      </c>
      <c r="S3024" s="2" t="s">
        <v>97</v>
      </c>
    </row>
    <row r="3025" spans="1:19" x14ac:dyDescent="0.3">
      <c r="A3025" s="4">
        <v>3023</v>
      </c>
      <c r="B3025" s="2" t="s">
        <v>2253</v>
      </c>
      <c r="C3025" s="3">
        <v>44838</v>
      </c>
      <c r="D3025" s="3" t="str">
        <f>TEXT(Table1[[#This Row],[Admission Date]],"MMMM")</f>
        <v>October</v>
      </c>
      <c r="E3025" s="3">
        <v>44838</v>
      </c>
      <c r="F3025" s="3">
        <v>44838</v>
      </c>
      <c r="G3025" s="2">
        <v>22025607</v>
      </c>
      <c r="H3025" s="2">
        <v>2234593</v>
      </c>
      <c r="I3025" s="2">
        <v>1001802447</v>
      </c>
      <c r="J3025" s="2" t="s">
        <v>1778</v>
      </c>
      <c r="K3025" s="10">
        <v>1610</v>
      </c>
      <c r="L3025" s="10">
        <v>0</v>
      </c>
      <c r="M3025" s="10">
        <v>1610</v>
      </c>
      <c r="N3025" s="10">
        <v>0</v>
      </c>
      <c r="O3025" s="10">
        <f>Table1[[#This Row],[NET Amount]]-Table1[[#This Row],[Paid Amount]]</f>
        <v>1610</v>
      </c>
      <c r="P3025" s="2" t="s">
        <v>23</v>
      </c>
      <c r="Q3025" s="2" t="s">
        <v>54</v>
      </c>
      <c r="R3025" s="16">
        <f>(Table1[[#This Row],[NET Amount]]-Table1[[#This Row],[Total Outstanding Amount]])/Table1[[#This Row],[NET Amount]]</f>
        <v>0</v>
      </c>
      <c r="S3025" s="2" t="s">
        <v>97</v>
      </c>
    </row>
    <row r="3026" spans="1:19" x14ac:dyDescent="0.3">
      <c r="A3026" s="4">
        <v>3024</v>
      </c>
      <c r="B3026" s="2" t="s">
        <v>380</v>
      </c>
      <c r="C3026" s="3">
        <v>44848</v>
      </c>
      <c r="D3026" s="3" t="str">
        <f>TEXT(Table1[[#This Row],[Admission Date]],"MMMM")</f>
        <v>October</v>
      </c>
      <c r="E3026" s="3">
        <v>44848</v>
      </c>
      <c r="F3026" s="3">
        <v>44848</v>
      </c>
      <c r="G3026" s="2">
        <v>22027112</v>
      </c>
      <c r="H3026" s="2">
        <v>2236035</v>
      </c>
      <c r="I3026" s="2">
        <v>10013316109</v>
      </c>
      <c r="J3026" s="2" t="s">
        <v>793</v>
      </c>
      <c r="K3026" s="10">
        <v>1274</v>
      </c>
      <c r="L3026" s="10">
        <v>0</v>
      </c>
      <c r="M3026" s="10">
        <v>1274</v>
      </c>
      <c r="N3026" s="10">
        <v>0</v>
      </c>
      <c r="O3026" s="10">
        <f>Table1[[#This Row],[NET Amount]]-Table1[[#This Row],[Paid Amount]]</f>
        <v>1274</v>
      </c>
      <c r="P3026" s="2" t="s">
        <v>23</v>
      </c>
      <c r="Q3026" s="2" t="s">
        <v>54</v>
      </c>
      <c r="R3026" s="16">
        <f>(Table1[[#This Row],[NET Amount]]-Table1[[#This Row],[Total Outstanding Amount]])/Table1[[#This Row],[NET Amount]]</f>
        <v>0</v>
      </c>
      <c r="S3026" s="2" t="s">
        <v>97</v>
      </c>
    </row>
    <row r="3027" spans="1:19" x14ac:dyDescent="0.3">
      <c r="A3027" s="4">
        <v>3025</v>
      </c>
      <c r="B3027" s="2" t="s">
        <v>2260</v>
      </c>
      <c r="C3027" s="3">
        <v>44830</v>
      </c>
      <c r="D3027" s="3" t="str">
        <f>TEXT(Table1[[#This Row],[Admission Date]],"MMMM")</f>
        <v>September</v>
      </c>
      <c r="E3027" s="3">
        <v>44842</v>
      </c>
      <c r="F3027" s="3">
        <v>44842</v>
      </c>
      <c r="G3027" s="2">
        <v>22026171</v>
      </c>
      <c r="H3027" s="2">
        <v>2233558</v>
      </c>
      <c r="I3027" s="2">
        <v>1001556928</v>
      </c>
      <c r="J3027" s="2" t="s">
        <v>1790</v>
      </c>
      <c r="K3027" s="10">
        <v>49076</v>
      </c>
      <c r="L3027" s="10">
        <v>0</v>
      </c>
      <c r="M3027" s="10">
        <v>49076</v>
      </c>
      <c r="N3027" s="10">
        <v>0</v>
      </c>
      <c r="O3027" s="10">
        <f>Table1[[#This Row],[NET Amount]]-Table1[[#This Row],[Paid Amount]]</f>
        <v>49076</v>
      </c>
      <c r="P3027" s="2" t="s">
        <v>23</v>
      </c>
      <c r="Q3027" s="2" t="s">
        <v>24</v>
      </c>
      <c r="R3027" s="16">
        <f>(Table1[[#This Row],[NET Amount]]-Table1[[#This Row],[Total Outstanding Amount]])/Table1[[#This Row],[NET Amount]]</f>
        <v>0</v>
      </c>
      <c r="S3027" s="2" t="s">
        <v>20</v>
      </c>
    </row>
    <row r="3028" spans="1:19" x14ac:dyDescent="0.3">
      <c r="A3028" s="4">
        <v>3026</v>
      </c>
      <c r="B3028" s="2" t="s">
        <v>380</v>
      </c>
      <c r="C3028" s="3">
        <v>44838</v>
      </c>
      <c r="D3028" s="3" t="str">
        <f>TEXT(Table1[[#This Row],[Admission Date]],"MMMM")</f>
        <v>October</v>
      </c>
      <c r="E3028" s="3">
        <v>44838</v>
      </c>
      <c r="F3028" s="3">
        <v>44838</v>
      </c>
      <c r="G3028" s="2">
        <v>22025611</v>
      </c>
      <c r="H3028" s="2">
        <v>2234611</v>
      </c>
      <c r="I3028" s="2">
        <v>1001074266</v>
      </c>
      <c r="J3028" s="2" t="s">
        <v>776</v>
      </c>
      <c r="K3028" s="10">
        <v>1274</v>
      </c>
      <c r="L3028" s="10">
        <v>0</v>
      </c>
      <c r="M3028" s="10">
        <v>1274</v>
      </c>
      <c r="N3028" s="10">
        <v>0</v>
      </c>
      <c r="O3028" s="10">
        <f>Table1[[#This Row],[NET Amount]]-Table1[[#This Row],[Paid Amount]]</f>
        <v>1274</v>
      </c>
      <c r="P3028" s="2" t="s">
        <v>23</v>
      </c>
      <c r="Q3028" s="2" t="s">
        <v>54</v>
      </c>
      <c r="R3028" s="16">
        <f>(Table1[[#This Row],[NET Amount]]-Table1[[#This Row],[Total Outstanding Amount]])/Table1[[#This Row],[NET Amount]]</f>
        <v>0</v>
      </c>
      <c r="S3028" s="2" t="s">
        <v>97</v>
      </c>
    </row>
    <row r="3029" spans="1:19" x14ac:dyDescent="0.3">
      <c r="A3029" s="4">
        <v>3027</v>
      </c>
      <c r="B3029" s="2" t="s">
        <v>2263</v>
      </c>
      <c r="C3029" s="3">
        <v>44842</v>
      </c>
      <c r="D3029" s="3" t="str">
        <f>TEXT(Table1[[#This Row],[Admission Date]],"MMMM")</f>
        <v>October</v>
      </c>
      <c r="E3029" s="3">
        <v>44842</v>
      </c>
      <c r="F3029" s="3">
        <v>44842</v>
      </c>
      <c r="G3029" s="2">
        <v>22026073</v>
      </c>
      <c r="H3029" s="2">
        <v>2235122</v>
      </c>
      <c r="I3029" s="2">
        <v>1001680001</v>
      </c>
      <c r="J3029" s="2" t="s">
        <v>394</v>
      </c>
      <c r="K3029" s="10">
        <v>1274</v>
      </c>
      <c r="L3029" s="10">
        <v>0</v>
      </c>
      <c r="M3029" s="10">
        <v>1274</v>
      </c>
      <c r="N3029" s="10">
        <v>0</v>
      </c>
      <c r="O3029" s="10">
        <f>Table1[[#This Row],[NET Amount]]-Table1[[#This Row],[Paid Amount]]</f>
        <v>1274</v>
      </c>
      <c r="P3029" s="2" t="s">
        <v>23</v>
      </c>
      <c r="Q3029" s="2" t="s">
        <v>54</v>
      </c>
      <c r="R3029" s="16">
        <f>(Table1[[#This Row],[NET Amount]]-Table1[[#This Row],[Total Outstanding Amount]])/Table1[[#This Row],[NET Amount]]</f>
        <v>0</v>
      </c>
      <c r="S3029" s="2" t="s">
        <v>97</v>
      </c>
    </row>
    <row r="3030" spans="1:19" x14ac:dyDescent="0.3">
      <c r="A3030" s="4">
        <v>3028</v>
      </c>
      <c r="B3030" s="2" t="s">
        <v>380</v>
      </c>
      <c r="C3030" s="3">
        <v>44847</v>
      </c>
      <c r="D3030" s="3" t="str">
        <f>TEXT(Table1[[#This Row],[Admission Date]],"MMMM")</f>
        <v>October</v>
      </c>
      <c r="E3030" s="3">
        <v>44847</v>
      </c>
      <c r="F3030" s="3">
        <v>44847</v>
      </c>
      <c r="G3030" s="2">
        <v>22026954</v>
      </c>
      <c r="H3030" s="2">
        <v>2235881</v>
      </c>
      <c r="I3030" s="2">
        <v>10013437822</v>
      </c>
      <c r="J3030" s="2" t="s">
        <v>441</v>
      </c>
      <c r="K3030" s="10">
        <v>1274</v>
      </c>
      <c r="L3030" s="10">
        <v>0</v>
      </c>
      <c r="M3030" s="10">
        <v>1274</v>
      </c>
      <c r="N3030" s="10">
        <v>0</v>
      </c>
      <c r="O3030" s="10">
        <f>Table1[[#This Row],[NET Amount]]-Table1[[#This Row],[Paid Amount]]</f>
        <v>1274</v>
      </c>
      <c r="P3030" s="2" t="s">
        <v>23</v>
      </c>
      <c r="Q3030" s="2" t="s">
        <v>54</v>
      </c>
      <c r="R3030" s="16">
        <f>(Table1[[#This Row],[NET Amount]]-Table1[[#This Row],[Total Outstanding Amount]])/Table1[[#This Row],[NET Amount]]</f>
        <v>0</v>
      </c>
      <c r="S3030" s="2" t="s">
        <v>97</v>
      </c>
    </row>
    <row r="3031" spans="1:19" x14ac:dyDescent="0.3">
      <c r="A3031" s="4">
        <v>3029</v>
      </c>
      <c r="B3031" s="2" t="s">
        <v>2263</v>
      </c>
      <c r="C3031" s="3">
        <v>44860</v>
      </c>
      <c r="D3031" s="3" t="str">
        <f>TEXT(Table1[[#This Row],[Admission Date]],"MMMM")</f>
        <v>October</v>
      </c>
      <c r="E3031" s="3">
        <v>44860</v>
      </c>
      <c r="F3031" s="3">
        <v>44860</v>
      </c>
      <c r="G3031" s="2">
        <v>22028641</v>
      </c>
      <c r="H3031" s="2">
        <v>2237514</v>
      </c>
      <c r="I3031" s="2">
        <v>1001686545</v>
      </c>
      <c r="J3031" s="2" t="s">
        <v>425</v>
      </c>
      <c r="K3031" s="10">
        <v>1274</v>
      </c>
      <c r="L3031" s="10">
        <v>0</v>
      </c>
      <c r="M3031" s="10">
        <v>1274</v>
      </c>
      <c r="N3031" s="10">
        <v>0</v>
      </c>
      <c r="O3031" s="10">
        <f>Table1[[#This Row],[NET Amount]]-Table1[[#This Row],[Paid Amount]]</f>
        <v>1274</v>
      </c>
      <c r="P3031" s="2" t="s">
        <v>23</v>
      </c>
      <c r="Q3031" s="2" t="s">
        <v>54</v>
      </c>
      <c r="R3031" s="16">
        <f>(Table1[[#This Row],[NET Amount]]-Table1[[#This Row],[Total Outstanding Amount]])/Table1[[#This Row],[NET Amount]]</f>
        <v>0</v>
      </c>
      <c r="S3031" s="2" t="s">
        <v>97</v>
      </c>
    </row>
    <row r="3032" spans="1:19" x14ac:dyDescent="0.3">
      <c r="A3032" s="4">
        <v>3030</v>
      </c>
      <c r="B3032" s="2" t="s">
        <v>25</v>
      </c>
      <c r="C3032" s="3">
        <v>44832</v>
      </c>
      <c r="D3032" s="3" t="str">
        <f>TEXT(Table1[[#This Row],[Admission Date]],"MMMM")</f>
        <v>September</v>
      </c>
      <c r="E3032" s="3">
        <v>44839</v>
      </c>
      <c r="F3032" s="3">
        <v>44839</v>
      </c>
      <c r="G3032" s="2">
        <v>22025749</v>
      </c>
      <c r="H3032" s="2">
        <v>2233788</v>
      </c>
      <c r="I3032" s="2">
        <v>1001123836</v>
      </c>
      <c r="J3032" s="2" t="s">
        <v>1791</v>
      </c>
      <c r="K3032" s="10">
        <v>146169</v>
      </c>
      <c r="L3032" s="10">
        <v>146169</v>
      </c>
      <c r="M3032" s="10">
        <v>0</v>
      </c>
      <c r="N3032" s="10">
        <v>0</v>
      </c>
      <c r="O3032" s="10">
        <f>Table1[[#This Row],[NET Amount]]-Table1[[#This Row],[Paid Amount]]</f>
        <v>0</v>
      </c>
      <c r="P3032" s="2" t="s">
        <v>23</v>
      </c>
      <c r="Q3032" s="2" t="s">
        <v>90</v>
      </c>
      <c r="R3032" s="16" t="e">
        <f>(Table1[[#This Row],[NET Amount]]-Table1[[#This Row],[Total Outstanding Amount]])/Table1[[#This Row],[NET Amount]]</f>
        <v>#DIV/0!</v>
      </c>
      <c r="S3032" s="2" t="s">
        <v>138</v>
      </c>
    </row>
    <row r="3033" spans="1:19" x14ac:dyDescent="0.3">
      <c r="A3033" s="4">
        <v>3031</v>
      </c>
      <c r="B3033" s="2" t="s">
        <v>380</v>
      </c>
      <c r="C3033" s="3">
        <v>44857</v>
      </c>
      <c r="D3033" s="3" t="str">
        <f>TEXT(Table1[[#This Row],[Admission Date]],"MMMM")</f>
        <v>October</v>
      </c>
      <c r="E3033" s="3">
        <v>44858</v>
      </c>
      <c r="F3033" s="3">
        <v>44858</v>
      </c>
      <c r="G3033" s="2">
        <v>22028451</v>
      </c>
      <c r="H3033" s="2">
        <v>2237172</v>
      </c>
      <c r="I3033" s="2">
        <v>10013544242</v>
      </c>
      <c r="J3033" s="2" t="s">
        <v>1792</v>
      </c>
      <c r="K3033" s="10">
        <v>99394</v>
      </c>
      <c r="L3033" s="10">
        <v>0</v>
      </c>
      <c r="M3033" s="10">
        <v>99394</v>
      </c>
      <c r="N3033" s="10">
        <v>0</v>
      </c>
      <c r="O3033" s="10">
        <f>Table1[[#This Row],[NET Amount]]-Table1[[#This Row],[Paid Amount]]</f>
        <v>99394</v>
      </c>
      <c r="P3033" s="2" t="s">
        <v>23</v>
      </c>
      <c r="Q3033" s="2" t="s">
        <v>406</v>
      </c>
      <c r="R3033" s="16">
        <f>(Table1[[#This Row],[NET Amount]]-Table1[[#This Row],[Total Outstanding Amount]])/Table1[[#This Row],[NET Amount]]</f>
        <v>0</v>
      </c>
      <c r="S3033" s="2" t="s">
        <v>39</v>
      </c>
    </row>
    <row r="3034" spans="1:19" x14ac:dyDescent="0.3">
      <c r="A3034" s="4">
        <v>3032</v>
      </c>
      <c r="B3034" s="2" t="s">
        <v>380</v>
      </c>
      <c r="C3034" s="3">
        <v>44844</v>
      </c>
      <c r="D3034" s="3" t="str">
        <f>TEXT(Table1[[#This Row],[Admission Date]],"MMMM")</f>
        <v>October</v>
      </c>
      <c r="E3034" s="3">
        <v>44844</v>
      </c>
      <c r="F3034" s="3">
        <v>44844</v>
      </c>
      <c r="G3034" s="2">
        <v>22026479</v>
      </c>
      <c r="H3034" s="2">
        <v>2235450</v>
      </c>
      <c r="I3034" s="2">
        <v>10013371548</v>
      </c>
      <c r="J3034" s="2" t="s">
        <v>482</v>
      </c>
      <c r="K3034" s="10">
        <v>1274</v>
      </c>
      <c r="L3034" s="10">
        <v>0</v>
      </c>
      <c r="M3034" s="10">
        <v>1274</v>
      </c>
      <c r="N3034" s="10">
        <v>0</v>
      </c>
      <c r="O3034" s="10">
        <f>Table1[[#This Row],[NET Amount]]-Table1[[#This Row],[Paid Amount]]</f>
        <v>1274</v>
      </c>
      <c r="P3034" s="2" t="s">
        <v>23</v>
      </c>
      <c r="Q3034" s="2" t="s">
        <v>54</v>
      </c>
      <c r="R3034" s="16">
        <f>(Table1[[#This Row],[NET Amount]]-Table1[[#This Row],[Total Outstanding Amount]])/Table1[[#This Row],[NET Amount]]</f>
        <v>0</v>
      </c>
      <c r="S3034" s="2" t="s">
        <v>97</v>
      </c>
    </row>
    <row r="3035" spans="1:19" x14ac:dyDescent="0.3">
      <c r="A3035" s="4">
        <v>3033</v>
      </c>
      <c r="B3035" s="2" t="s">
        <v>380</v>
      </c>
      <c r="C3035" s="3">
        <v>44845</v>
      </c>
      <c r="D3035" s="3" t="str">
        <f>TEXT(Table1[[#This Row],[Admission Date]],"MMMM")</f>
        <v>October</v>
      </c>
      <c r="E3035" s="3">
        <v>44845</v>
      </c>
      <c r="F3035" s="3">
        <v>44845</v>
      </c>
      <c r="G3035" s="2">
        <v>22026620</v>
      </c>
      <c r="H3035" s="2">
        <v>2235589</v>
      </c>
      <c r="I3035" s="2">
        <v>1001039513</v>
      </c>
      <c r="J3035" s="2" t="s">
        <v>444</v>
      </c>
      <c r="K3035" s="10">
        <v>1274</v>
      </c>
      <c r="L3035" s="10">
        <v>0</v>
      </c>
      <c r="M3035" s="10">
        <v>1274</v>
      </c>
      <c r="N3035" s="10">
        <v>0</v>
      </c>
      <c r="O3035" s="10">
        <f>Table1[[#This Row],[NET Amount]]-Table1[[#This Row],[Paid Amount]]</f>
        <v>1274</v>
      </c>
      <c r="P3035" s="2" t="s">
        <v>23</v>
      </c>
      <c r="Q3035" s="2" t="s">
        <v>54</v>
      </c>
      <c r="R3035" s="16">
        <f>(Table1[[#This Row],[NET Amount]]-Table1[[#This Row],[Total Outstanding Amount]])/Table1[[#This Row],[NET Amount]]</f>
        <v>0</v>
      </c>
      <c r="S3035" s="2" t="s">
        <v>97</v>
      </c>
    </row>
    <row r="3036" spans="1:19" x14ac:dyDescent="0.3">
      <c r="A3036" s="4">
        <v>3034</v>
      </c>
      <c r="B3036" s="2" t="s">
        <v>380</v>
      </c>
      <c r="C3036" s="3">
        <v>44851</v>
      </c>
      <c r="D3036" s="3" t="str">
        <f>TEXT(Table1[[#This Row],[Admission Date]],"MMMM")</f>
        <v>October</v>
      </c>
      <c r="E3036" s="3">
        <v>44851</v>
      </c>
      <c r="F3036" s="3">
        <v>44851</v>
      </c>
      <c r="G3036" s="2">
        <v>22027496</v>
      </c>
      <c r="H3036" s="2">
        <v>2236393</v>
      </c>
      <c r="I3036" s="2">
        <v>1001208331</v>
      </c>
      <c r="J3036" s="2" t="s">
        <v>430</v>
      </c>
      <c r="K3036" s="10">
        <v>1274</v>
      </c>
      <c r="L3036" s="10">
        <v>0</v>
      </c>
      <c r="M3036" s="10">
        <v>1274</v>
      </c>
      <c r="N3036" s="10">
        <v>0</v>
      </c>
      <c r="O3036" s="10">
        <f>Table1[[#This Row],[NET Amount]]-Table1[[#This Row],[Paid Amount]]</f>
        <v>1274</v>
      </c>
      <c r="P3036" s="2" t="s">
        <v>23</v>
      </c>
      <c r="Q3036" s="2" t="s">
        <v>54</v>
      </c>
      <c r="R3036" s="16">
        <f>(Table1[[#This Row],[NET Amount]]-Table1[[#This Row],[Total Outstanding Amount]])/Table1[[#This Row],[NET Amount]]</f>
        <v>0</v>
      </c>
      <c r="S3036" s="2" t="s">
        <v>97</v>
      </c>
    </row>
    <row r="3037" spans="1:19" x14ac:dyDescent="0.3">
      <c r="A3037" s="4">
        <v>3035</v>
      </c>
      <c r="B3037" s="2" t="s">
        <v>380</v>
      </c>
      <c r="C3037" s="3">
        <v>44844</v>
      </c>
      <c r="D3037" s="3" t="str">
        <f>TEXT(Table1[[#This Row],[Admission Date]],"MMMM")</f>
        <v>October</v>
      </c>
      <c r="E3037" s="3">
        <v>44844</v>
      </c>
      <c r="F3037" s="3">
        <v>44844</v>
      </c>
      <c r="G3037" s="2">
        <v>22026460</v>
      </c>
      <c r="H3037" s="2">
        <v>2235426</v>
      </c>
      <c r="I3037" s="2">
        <v>10013299539</v>
      </c>
      <c r="J3037" s="2" t="s">
        <v>487</v>
      </c>
      <c r="K3037" s="10">
        <v>1274</v>
      </c>
      <c r="L3037" s="10">
        <v>0</v>
      </c>
      <c r="M3037" s="10">
        <v>1274</v>
      </c>
      <c r="N3037" s="10">
        <v>0</v>
      </c>
      <c r="O3037" s="10">
        <f>Table1[[#This Row],[NET Amount]]-Table1[[#This Row],[Paid Amount]]</f>
        <v>1274</v>
      </c>
      <c r="P3037" s="2" t="s">
        <v>23</v>
      </c>
      <c r="Q3037" s="2" t="s">
        <v>54</v>
      </c>
      <c r="R3037" s="16">
        <f>(Table1[[#This Row],[NET Amount]]-Table1[[#This Row],[Total Outstanding Amount]])/Table1[[#This Row],[NET Amount]]</f>
        <v>0</v>
      </c>
      <c r="S3037" s="2" t="s">
        <v>97</v>
      </c>
    </row>
    <row r="3038" spans="1:19" x14ac:dyDescent="0.3">
      <c r="A3038" s="4">
        <v>3036</v>
      </c>
      <c r="B3038" s="2" t="s">
        <v>2263</v>
      </c>
      <c r="C3038" s="3">
        <v>44839</v>
      </c>
      <c r="D3038" s="3" t="str">
        <f>TEXT(Table1[[#This Row],[Admission Date]],"MMMM")</f>
        <v>October</v>
      </c>
      <c r="E3038" s="3">
        <v>44839</v>
      </c>
      <c r="F3038" s="3">
        <v>44839</v>
      </c>
      <c r="G3038" s="2">
        <v>22025734</v>
      </c>
      <c r="H3038" s="2">
        <v>2234727</v>
      </c>
      <c r="I3038" s="2">
        <v>1001657236</v>
      </c>
      <c r="J3038" s="2" t="s">
        <v>798</v>
      </c>
      <c r="K3038" s="10">
        <v>1274</v>
      </c>
      <c r="L3038" s="10">
        <v>0</v>
      </c>
      <c r="M3038" s="10">
        <v>1274</v>
      </c>
      <c r="N3038" s="10">
        <v>0</v>
      </c>
      <c r="O3038" s="10">
        <f>Table1[[#This Row],[NET Amount]]-Table1[[#This Row],[Paid Amount]]</f>
        <v>1274</v>
      </c>
      <c r="P3038" s="2" t="s">
        <v>23</v>
      </c>
      <c r="Q3038" s="2" t="s">
        <v>54</v>
      </c>
      <c r="R3038" s="16">
        <f>(Table1[[#This Row],[NET Amount]]-Table1[[#This Row],[Total Outstanding Amount]])/Table1[[#This Row],[NET Amount]]</f>
        <v>0</v>
      </c>
      <c r="S3038" s="2" t="s">
        <v>97</v>
      </c>
    </row>
    <row r="3039" spans="1:19" x14ac:dyDescent="0.3">
      <c r="A3039" s="4">
        <v>3037</v>
      </c>
      <c r="B3039" s="2" t="s">
        <v>2258</v>
      </c>
      <c r="C3039" s="3">
        <v>44840</v>
      </c>
      <c r="D3039" s="3" t="str">
        <f>TEXT(Table1[[#This Row],[Admission Date]],"MMMM")</f>
        <v>October</v>
      </c>
      <c r="E3039" s="3">
        <v>44840</v>
      </c>
      <c r="F3039" s="3">
        <v>44840</v>
      </c>
      <c r="G3039" s="2">
        <v>22025820</v>
      </c>
      <c r="H3039" s="2">
        <v>2234822</v>
      </c>
      <c r="I3039" s="2">
        <v>1001781083</v>
      </c>
      <c r="J3039" s="2" t="s">
        <v>777</v>
      </c>
      <c r="K3039" s="10">
        <v>1610</v>
      </c>
      <c r="L3039" s="10">
        <v>0</v>
      </c>
      <c r="M3039" s="10">
        <v>1610</v>
      </c>
      <c r="N3039" s="10">
        <v>0</v>
      </c>
      <c r="O3039" s="10">
        <f>Table1[[#This Row],[NET Amount]]-Table1[[#This Row],[Paid Amount]]</f>
        <v>1610</v>
      </c>
      <c r="P3039" s="2" t="s">
        <v>23</v>
      </c>
      <c r="Q3039" s="2" t="s">
        <v>54</v>
      </c>
      <c r="R3039" s="16">
        <f>(Table1[[#This Row],[NET Amount]]-Table1[[#This Row],[Total Outstanding Amount]])/Table1[[#This Row],[NET Amount]]</f>
        <v>0</v>
      </c>
      <c r="S3039" s="2" t="s">
        <v>97</v>
      </c>
    </row>
    <row r="3040" spans="1:19" x14ac:dyDescent="0.3">
      <c r="A3040" s="4">
        <v>3038</v>
      </c>
      <c r="B3040" s="2" t="s">
        <v>380</v>
      </c>
      <c r="C3040" s="3">
        <v>44861</v>
      </c>
      <c r="D3040" s="3" t="str">
        <f>TEXT(Table1[[#This Row],[Admission Date]],"MMMM")</f>
        <v>October</v>
      </c>
      <c r="E3040" s="3">
        <v>44861</v>
      </c>
      <c r="F3040" s="3">
        <v>44861</v>
      </c>
      <c r="G3040" s="2">
        <v>22028777</v>
      </c>
      <c r="H3040" s="2">
        <v>2237640</v>
      </c>
      <c r="I3040" s="2">
        <v>1000947753</v>
      </c>
      <c r="J3040" s="2" t="s">
        <v>432</v>
      </c>
      <c r="K3040" s="10">
        <v>1274</v>
      </c>
      <c r="L3040" s="10">
        <v>0</v>
      </c>
      <c r="M3040" s="10">
        <v>1274</v>
      </c>
      <c r="N3040" s="10">
        <v>0</v>
      </c>
      <c r="O3040" s="10">
        <f>Table1[[#This Row],[NET Amount]]-Table1[[#This Row],[Paid Amount]]</f>
        <v>1274</v>
      </c>
      <c r="P3040" s="2" t="s">
        <v>23</v>
      </c>
      <c r="Q3040" s="2" t="s">
        <v>54</v>
      </c>
      <c r="R3040" s="16">
        <f>(Table1[[#This Row],[NET Amount]]-Table1[[#This Row],[Total Outstanding Amount]])/Table1[[#This Row],[NET Amount]]</f>
        <v>0</v>
      </c>
      <c r="S3040" s="2" t="s">
        <v>97</v>
      </c>
    </row>
    <row r="3041" spans="1:19" x14ac:dyDescent="0.3">
      <c r="A3041" s="4">
        <v>3039</v>
      </c>
      <c r="B3041" s="2" t="s">
        <v>380</v>
      </c>
      <c r="C3041" s="3">
        <v>44841</v>
      </c>
      <c r="D3041" s="3" t="str">
        <f>TEXT(Table1[[#This Row],[Admission Date]],"MMMM")</f>
        <v>October</v>
      </c>
      <c r="E3041" s="3">
        <v>44841</v>
      </c>
      <c r="F3041" s="3">
        <v>44841</v>
      </c>
      <c r="G3041" s="2">
        <v>22026065</v>
      </c>
      <c r="H3041" s="2">
        <v>2235090</v>
      </c>
      <c r="I3041" s="2">
        <v>1000891068</v>
      </c>
      <c r="J3041" s="2" t="s">
        <v>1082</v>
      </c>
      <c r="K3041" s="10">
        <v>1274</v>
      </c>
      <c r="L3041" s="10">
        <v>0</v>
      </c>
      <c r="M3041" s="10">
        <v>1274</v>
      </c>
      <c r="N3041" s="10">
        <v>0</v>
      </c>
      <c r="O3041" s="10">
        <f>Table1[[#This Row],[NET Amount]]-Table1[[#This Row],[Paid Amount]]</f>
        <v>1274</v>
      </c>
      <c r="P3041" s="2" t="s">
        <v>23</v>
      </c>
      <c r="Q3041" s="2" t="s">
        <v>54</v>
      </c>
      <c r="R3041" s="16">
        <f>(Table1[[#This Row],[NET Amount]]-Table1[[#This Row],[Total Outstanding Amount]])/Table1[[#This Row],[NET Amount]]</f>
        <v>0</v>
      </c>
      <c r="S3041" s="2" t="s">
        <v>97</v>
      </c>
    </row>
    <row r="3042" spans="1:19" x14ac:dyDescent="0.3">
      <c r="A3042" s="4">
        <v>3040</v>
      </c>
      <c r="B3042" s="2" t="s">
        <v>380</v>
      </c>
      <c r="C3042" s="3">
        <v>44852</v>
      </c>
      <c r="D3042" s="3" t="str">
        <f>TEXT(Table1[[#This Row],[Admission Date]],"MMMM")</f>
        <v>October</v>
      </c>
      <c r="E3042" s="3">
        <v>44852</v>
      </c>
      <c r="F3042" s="3">
        <v>44852</v>
      </c>
      <c r="G3042" s="2">
        <v>22027638</v>
      </c>
      <c r="H3042" s="2">
        <v>2236551</v>
      </c>
      <c r="I3042" s="2">
        <v>10013516483</v>
      </c>
      <c r="J3042" s="2" t="s">
        <v>812</v>
      </c>
      <c r="K3042" s="10">
        <v>1274</v>
      </c>
      <c r="L3042" s="10">
        <v>0</v>
      </c>
      <c r="M3042" s="10">
        <v>1274</v>
      </c>
      <c r="N3042" s="10">
        <v>0</v>
      </c>
      <c r="O3042" s="10">
        <f>Table1[[#This Row],[NET Amount]]-Table1[[#This Row],[Paid Amount]]</f>
        <v>1274</v>
      </c>
      <c r="P3042" s="2" t="s">
        <v>23</v>
      </c>
      <c r="Q3042" s="2" t="s">
        <v>54</v>
      </c>
      <c r="R3042" s="16">
        <f>(Table1[[#This Row],[NET Amount]]-Table1[[#This Row],[Total Outstanding Amount]])/Table1[[#This Row],[NET Amount]]</f>
        <v>0</v>
      </c>
      <c r="S3042" s="2" t="s">
        <v>97</v>
      </c>
    </row>
    <row r="3043" spans="1:19" x14ac:dyDescent="0.3">
      <c r="A3043" s="4">
        <v>3041</v>
      </c>
      <c r="B3043" s="2" t="s">
        <v>2263</v>
      </c>
      <c r="C3043" s="3">
        <v>44860</v>
      </c>
      <c r="D3043" s="3" t="str">
        <f>TEXT(Table1[[#This Row],[Admission Date]],"MMMM")</f>
        <v>October</v>
      </c>
      <c r="E3043" s="3">
        <v>44860</v>
      </c>
      <c r="F3043" s="3">
        <v>44860</v>
      </c>
      <c r="G3043" s="2">
        <v>22028677</v>
      </c>
      <c r="H3043" s="2">
        <v>2237546</v>
      </c>
      <c r="I3043" s="2">
        <v>1001699417</v>
      </c>
      <c r="J3043" s="2" t="s">
        <v>472</v>
      </c>
      <c r="K3043" s="10">
        <v>1274</v>
      </c>
      <c r="L3043" s="10">
        <v>0</v>
      </c>
      <c r="M3043" s="10">
        <v>1274</v>
      </c>
      <c r="N3043" s="10">
        <v>0</v>
      </c>
      <c r="O3043" s="10">
        <f>Table1[[#This Row],[NET Amount]]-Table1[[#This Row],[Paid Amount]]</f>
        <v>1274</v>
      </c>
      <c r="P3043" s="2" t="s">
        <v>23</v>
      </c>
      <c r="Q3043" s="2" t="s">
        <v>54</v>
      </c>
      <c r="R3043" s="16">
        <f>(Table1[[#This Row],[NET Amount]]-Table1[[#This Row],[Total Outstanding Amount]])/Table1[[#This Row],[NET Amount]]</f>
        <v>0</v>
      </c>
      <c r="S3043" s="2" t="s">
        <v>97</v>
      </c>
    </row>
    <row r="3044" spans="1:19" x14ac:dyDescent="0.3">
      <c r="A3044" s="4">
        <v>3042</v>
      </c>
      <c r="B3044" s="2" t="s">
        <v>2253</v>
      </c>
      <c r="C3044" s="3">
        <v>44861</v>
      </c>
      <c r="D3044" s="3" t="str">
        <f>TEXT(Table1[[#This Row],[Admission Date]],"MMMM")</f>
        <v>October</v>
      </c>
      <c r="E3044" s="3">
        <v>44861</v>
      </c>
      <c r="F3044" s="3">
        <v>44861</v>
      </c>
      <c r="G3044" s="2">
        <v>22028731</v>
      </c>
      <c r="H3044" s="2">
        <v>2237611</v>
      </c>
      <c r="I3044" s="2">
        <v>1001626180</v>
      </c>
      <c r="J3044" s="2" t="s">
        <v>389</v>
      </c>
      <c r="K3044" s="10">
        <v>1610</v>
      </c>
      <c r="L3044" s="10">
        <v>0</v>
      </c>
      <c r="M3044" s="10">
        <v>1610</v>
      </c>
      <c r="N3044" s="10">
        <v>0</v>
      </c>
      <c r="O3044" s="10">
        <f>Table1[[#This Row],[NET Amount]]-Table1[[#This Row],[Paid Amount]]</f>
        <v>1610</v>
      </c>
      <c r="P3044" s="2" t="s">
        <v>23</v>
      </c>
      <c r="Q3044" s="2" t="s">
        <v>54</v>
      </c>
      <c r="R3044" s="16">
        <f>(Table1[[#This Row],[NET Amount]]-Table1[[#This Row],[Total Outstanding Amount]])/Table1[[#This Row],[NET Amount]]</f>
        <v>0</v>
      </c>
      <c r="S3044" s="2" t="s">
        <v>97</v>
      </c>
    </row>
    <row r="3045" spans="1:19" x14ac:dyDescent="0.3">
      <c r="A3045" s="4">
        <v>3043</v>
      </c>
      <c r="B3045" s="2" t="s">
        <v>2263</v>
      </c>
      <c r="C3045" s="3">
        <v>44859</v>
      </c>
      <c r="D3045" s="3" t="str">
        <f>TEXT(Table1[[#This Row],[Admission Date]],"MMMM")</f>
        <v>October</v>
      </c>
      <c r="E3045" s="3">
        <v>44859</v>
      </c>
      <c r="F3045" s="3">
        <v>44859</v>
      </c>
      <c r="G3045" s="2">
        <v>22028542</v>
      </c>
      <c r="H3045" s="2">
        <v>2237378</v>
      </c>
      <c r="I3045" s="2">
        <v>1001657236</v>
      </c>
      <c r="J3045" s="2" t="s">
        <v>798</v>
      </c>
      <c r="K3045" s="10">
        <v>1274</v>
      </c>
      <c r="L3045" s="10">
        <v>0</v>
      </c>
      <c r="M3045" s="10">
        <v>1274</v>
      </c>
      <c r="N3045" s="10">
        <v>0</v>
      </c>
      <c r="O3045" s="10">
        <f>Table1[[#This Row],[NET Amount]]-Table1[[#This Row],[Paid Amount]]</f>
        <v>1274</v>
      </c>
      <c r="P3045" s="2" t="s">
        <v>23</v>
      </c>
      <c r="Q3045" s="2" t="s">
        <v>54</v>
      </c>
      <c r="R3045" s="16">
        <f>(Table1[[#This Row],[NET Amount]]-Table1[[#This Row],[Total Outstanding Amount]])/Table1[[#This Row],[NET Amount]]</f>
        <v>0</v>
      </c>
      <c r="S3045" s="2" t="s">
        <v>97</v>
      </c>
    </row>
    <row r="3046" spans="1:19" x14ac:dyDescent="0.3">
      <c r="A3046" s="4">
        <v>3044</v>
      </c>
      <c r="B3046" s="2" t="s">
        <v>380</v>
      </c>
      <c r="C3046" s="3">
        <v>44852</v>
      </c>
      <c r="D3046" s="3" t="str">
        <f>TEXT(Table1[[#This Row],[Admission Date]],"MMMM")</f>
        <v>October</v>
      </c>
      <c r="E3046" s="3">
        <v>44852</v>
      </c>
      <c r="F3046" s="3">
        <v>44852</v>
      </c>
      <c r="G3046" s="2">
        <v>22027627</v>
      </c>
      <c r="H3046" s="2">
        <v>2236533</v>
      </c>
      <c r="I3046" s="2">
        <v>10013520283</v>
      </c>
      <c r="J3046" s="2" t="s">
        <v>402</v>
      </c>
      <c r="K3046" s="10">
        <v>1274</v>
      </c>
      <c r="L3046" s="10">
        <v>0</v>
      </c>
      <c r="M3046" s="10">
        <v>1274</v>
      </c>
      <c r="N3046" s="10">
        <v>0</v>
      </c>
      <c r="O3046" s="10">
        <f>Table1[[#This Row],[NET Amount]]-Table1[[#This Row],[Paid Amount]]</f>
        <v>1274</v>
      </c>
      <c r="P3046" s="2" t="s">
        <v>23</v>
      </c>
      <c r="Q3046" s="2" t="s">
        <v>54</v>
      </c>
      <c r="R3046" s="16">
        <f>(Table1[[#This Row],[NET Amount]]-Table1[[#This Row],[Total Outstanding Amount]])/Table1[[#This Row],[NET Amount]]</f>
        <v>0</v>
      </c>
      <c r="S3046" s="2" t="s">
        <v>97</v>
      </c>
    </row>
    <row r="3047" spans="1:19" x14ac:dyDescent="0.3">
      <c r="A3047" s="4">
        <v>3045</v>
      </c>
      <c r="B3047" s="2" t="s">
        <v>2253</v>
      </c>
      <c r="C3047" s="3">
        <v>44865</v>
      </c>
      <c r="D3047" s="3" t="str">
        <f>TEXT(Table1[[#This Row],[Admission Date]],"MMMM")</f>
        <v>October</v>
      </c>
      <c r="E3047" s="3">
        <v>44865</v>
      </c>
      <c r="F3047" s="3">
        <v>44865</v>
      </c>
      <c r="G3047" s="2">
        <v>22029351</v>
      </c>
      <c r="H3047" s="2">
        <v>2238214</v>
      </c>
      <c r="I3047" s="2">
        <v>1001803044</v>
      </c>
      <c r="J3047" s="2" t="s">
        <v>426</v>
      </c>
      <c r="K3047" s="10">
        <v>1610</v>
      </c>
      <c r="L3047" s="10">
        <v>0</v>
      </c>
      <c r="M3047" s="10">
        <v>1610</v>
      </c>
      <c r="N3047" s="10">
        <v>0</v>
      </c>
      <c r="O3047" s="10">
        <f>Table1[[#This Row],[NET Amount]]-Table1[[#This Row],[Paid Amount]]</f>
        <v>1610</v>
      </c>
      <c r="P3047" s="2" t="s">
        <v>23</v>
      </c>
      <c r="Q3047" s="2" t="s">
        <v>54</v>
      </c>
      <c r="R3047" s="16">
        <f>(Table1[[#This Row],[NET Amount]]-Table1[[#This Row],[Total Outstanding Amount]])/Table1[[#This Row],[NET Amount]]</f>
        <v>0</v>
      </c>
      <c r="S3047" s="2" t="s">
        <v>97</v>
      </c>
    </row>
    <row r="3048" spans="1:19" x14ac:dyDescent="0.3">
      <c r="A3048" s="4">
        <v>3046</v>
      </c>
      <c r="B3048" s="2" t="s">
        <v>380</v>
      </c>
      <c r="C3048" s="3">
        <v>44861</v>
      </c>
      <c r="D3048" s="3" t="str">
        <f>TEXT(Table1[[#This Row],[Admission Date]],"MMMM")</f>
        <v>October</v>
      </c>
      <c r="E3048" s="3">
        <v>44861</v>
      </c>
      <c r="F3048" s="3">
        <v>44861</v>
      </c>
      <c r="G3048" s="2">
        <v>22028718</v>
      </c>
      <c r="H3048" s="2">
        <v>2237610</v>
      </c>
      <c r="I3048" s="2">
        <v>10013435866</v>
      </c>
      <c r="J3048" s="2" t="s">
        <v>473</v>
      </c>
      <c r="K3048" s="10">
        <v>1274</v>
      </c>
      <c r="L3048" s="10">
        <v>0</v>
      </c>
      <c r="M3048" s="10">
        <v>1274</v>
      </c>
      <c r="N3048" s="10">
        <v>0</v>
      </c>
      <c r="O3048" s="10">
        <f>Table1[[#This Row],[NET Amount]]-Table1[[#This Row],[Paid Amount]]</f>
        <v>1274</v>
      </c>
      <c r="P3048" s="2" t="s">
        <v>23</v>
      </c>
      <c r="Q3048" s="2" t="s">
        <v>54</v>
      </c>
      <c r="R3048" s="16">
        <f>(Table1[[#This Row],[NET Amount]]-Table1[[#This Row],[Total Outstanding Amount]])/Table1[[#This Row],[NET Amount]]</f>
        <v>0</v>
      </c>
      <c r="S3048" s="2" t="s">
        <v>97</v>
      </c>
    </row>
    <row r="3049" spans="1:19" x14ac:dyDescent="0.3">
      <c r="A3049" s="4">
        <v>3047</v>
      </c>
      <c r="B3049" s="2" t="s">
        <v>2263</v>
      </c>
      <c r="C3049" s="3">
        <v>44862</v>
      </c>
      <c r="D3049" s="3" t="str">
        <f>TEXT(Table1[[#This Row],[Admission Date]],"MMMM")</f>
        <v>October</v>
      </c>
      <c r="E3049" s="3">
        <v>44862</v>
      </c>
      <c r="F3049" s="3">
        <v>44862</v>
      </c>
      <c r="G3049" s="2">
        <v>22028856</v>
      </c>
      <c r="H3049" s="2">
        <v>2237745</v>
      </c>
      <c r="I3049" s="2">
        <v>1001647517</v>
      </c>
      <c r="J3049" s="2" t="s">
        <v>802</v>
      </c>
      <c r="K3049" s="10">
        <v>1274</v>
      </c>
      <c r="L3049" s="10">
        <v>0</v>
      </c>
      <c r="M3049" s="10">
        <v>1274</v>
      </c>
      <c r="N3049" s="10">
        <v>0</v>
      </c>
      <c r="O3049" s="10">
        <f>Table1[[#This Row],[NET Amount]]-Table1[[#This Row],[Paid Amount]]</f>
        <v>1274</v>
      </c>
      <c r="P3049" s="2" t="s">
        <v>23</v>
      </c>
      <c r="Q3049" s="2" t="s">
        <v>54</v>
      </c>
      <c r="R3049" s="16">
        <f>(Table1[[#This Row],[NET Amount]]-Table1[[#This Row],[Total Outstanding Amount]])/Table1[[#This Row],[NET Amount]]</f>
        <v>0</v>
      </c>
      <c r="S3049" s="2" t="s">
        <v>97</v>
      </c>
    </row>
    <row r="3050" spans="1:19" x14ac:dyDescent="0.3">
      <c r="A3050" s="4">
        <v>3048</v>
      </c>
      <c r="B3050" s="2" t="s">
        <v>75</v>
      </c>
      <c r="C3050" s="3">
        <v>44862</v>
      </c>
      <c r="D3050" s="3" t="str">
        <f>TEXT(Table1[[#This Row],[Admission Date]],"MMMM")</f>
        <v>October</v>
      </c>
      <c r="E3050" s="3">
        <v>44862</v>
      </c>
      <c r="F3050" s="3">
        <v>44862</v>
      </c>
      <c r="G3050" s="2">
        <v>22028852</v>
      </c>
      <c r="H3050" s="2">
        <v>2237756</v>
      </c>
      <c r="I3050" s="2">
        <v>10013453991</v>
      </c>
      <c r="J3050" s="2" t="s">
        <v>465</v>
      </c>
      <c r="K3050" s="10">
        <v>1610</v>
      </c>
      <c r="L3050" s="10">
        <v>0</v>
      </c>
      <c r="M3050" s="10">
        <v>1610</v>
      </c>
      <c r="N3050" s="10">
        <v>0</v>
      </c>
      <c r="O3050" s="10">
        <f>Table1[[#This Row],[NET Amount]]-Table1[[#This Row],[Paid Amount]]</f>
        <v>1610</v>
      </c>
      <c r="P3050" s="2" t="s">
        <v>23</v>
      </c>
      <c r="Q3050" s="2" t="s">
        <v>54</v>
      </c>
      <c r="R3050" s="16">
        <f>(Table1[[#This Row],[NET Amount]]-Table1[[#This Row],[Total Outstanding Amount]])/Table1[[#This Row],[NET Amount]]</f>
        <v>0</v>
      </c>
      <c r="S3050" s="2" t="s">
        <v>97</v>
      </c>
    </row>
    <row r="3051" spans="1:19" x14ac:dyDescent="0.3">
      <c r="A3051" s="4">
        <v>3049</v>
      </c>
      <c r="B3051" s="2" t="s">
        <v>380</v>
      </c>
      <c r="C3051" s="3">
        <v>44844</v>
      </c>
      <c r="D3051" s="3" t="str">
        <f>TEXT(Table1[[#This Row],[Admission Date]],"MMMM")</f>
        <v>October</v>
      </c>
      <c r="E3051" s="3">
        <v>44844</v>
      </c>
      <c r="F3051" s="3">
        <v>44844</v>
      </c>
      <c r="G3051" s="2">
        <v>22026341</v>
      </c>
      <c r="H3051" s="2">
        <v>2235343</v>
      </c>
      <c r="I3051" s="2">
        <v>1000899251</v>
      </c>
      <c r="J3051" s="2" t="s">
        <v>789</v>
      </c>
      <c r="K3051" s="10">
        <v>1274</v>
      </c>
      <c r="L3051" s="10">
        <v>0</v>
      </c>
      <c r="M3051" s="10">
        <v>1274</v>
      </c>
      <c r="N3051" s="10">
        <v>0</v>
      </c>
      <c r="O3051" s="10">
        <f>Table1[[#This Row],[NET Amount]]-Table1[[#This Row],[Paid Amount]]</f>
        <v>1274</v>
      </c>
      <c r="P3051" s="2" t="s">
        <v>23</v>
      </c>
      <c r="Q3051" s="2" t="s">
        <v>54</v>
      </c>
      <c r="R3051" s="16">
        <f>(Table1[[#This Row],[NET Amount]]-Table1[[#This Row],[Total Outstanding Amount]])/Table1[[#This Row],[NET Amount]]</f>
        <v>0</v>
      </c>
      <c r="S3051" s="2" t="s">
        <v>97</v>
      </c>
    </row>
    <row r="3052" spans="1:19" x14ac:dyDescent="0.3">
      <c r="A3052" s="4">
        <v>3050</v>
      </c>
      <c r="B3052" s="2" t="s">
        <v>2263</v>
      </c>
      <c r="C3052" s="3">
        <v>44846</v>
      </c>
      <c r="D3052" s="3" t="str">
        <f>TEXT(Table1[[#This Row],[Admission Date]],"MMMM")</f>
        <v>October</v>
      </c>
      <c r="E3052" s="3">
        <v>44846</v>
      </c>
      <c r="F3052" s="3">
        <v>44846</v>
      </c>
      <c r="G3052" s="2">
        <v>22026768</v>
      </c>
      <c r="H3052" s="2">
        <v>2235717</v>
      </c>
      <c r="I3052" s="2">
        <v>1001647517</v>
      </c>
      <c r="J3052" s="2" t="s">
        <v>802</v>
      </c>
      <c r="K3052" s="10">
        <v>1274</v>
      </c>
      <c r="L3052" s="10">
        <v>0</v>
      </c>
      <c r="M3052" s="10">
        <v>1274</v>
      </c>
      <c r="N3052" s="10">
        <v>0</v>
      </c>
      <c r="O3052" s="10">
        <f>Table1[[#This Row],[NET Amount]]-Table1[[#This Row],[Paid Amount]]</f>
        <v>1274</v>
      </c>
      <c r="P3052" s="2" t="s">
        <v>23</v>
      </c>
      <c r="Q3052" s="2" t="s">
        <v>54</v>
      </c>
      <c r="R3052" s="16">
        <f>(Table1[[#This Row],[NET Amount]]-Table1[[#This Row],[Total Outstanding Amount]])/Table1[[#This Row],[NET Amount]]</f>
        <v>0</v>
      </c>
      <c r="S3052" s="2" t="s">
        <v>97</v>
      </c>
    </row>
    <row r="3053" spans="1:19" x14ac:dyDescent="0.3">
      <c r="A3053" s="4">
        <v>3051</v>
      </c>
      <c r="B3053" s="2" t="s">
        <v>2251</v>
      </c>
      <c r="C3053" s="3">
        <v>44857</v>
      </c>
      <c r="D3053" s="3" t="str">
        <f>TEXT(Table1[[#This Row],[Admission Date]],"MMMM")</f>
        <v>October</v>
      </c>
      <c r="E3053" s="3">
        <v>44863</v>
      </c>
      <c r="F3053" s="3">
        <v>44863</v>
      </c>
      <c r="G3053" s="2">
        <v>22029035</v>
      </c>
      <c r="H3053" s="2">
        <v>2237190</v>
      </c>
      <c r="I3053" s="2">
        <v>1001805906</v>
      </c>
      <c r="J3053" s="2" t="s">
        <v>1793</v>
      </c>
      <c r="K3053" s="10">
        <v>67046</v>
      </c>
      <c r="L3053" s="10">
        <v>20958</v>
      </c>
      <c r="M3053" s="10">
        <v>46088</v>
      </c>
      <c r="N3053" s="10">
        <v>0</v>
      </c>
      <c r="O3053" s="10">
        <f>Table1[[#This Row],[NET Amount]]-Table1[[#This Row],[Paid Amount]]</f>
        <v>46088</v>
      </c>
      <c r="P3053" s="2" t="s">
        <v>23</v>
      </c>
      <c r="Q3053" s="2" t="s">
        <v>42</v>
      </c>
      <c r="R3053" s="16">
        <f>(Table1[[#This Row],[NET Amount]]-Table1[[#This Row],[Total Outstanding Amount]])/Table1[[#This Row],[NET Amount]]</f>
        <v>0</v>
      </c>
      <c r="S3053" s="2" t="s">
        <v>20</v>
      </c>
    </row>
    <row r="3054" spans="1:19" x14ac:dyDescent="0.3">
      <c r="A3054" s="4">
        <v>3052</v>
      </c>
      <c r="B3054" s="2" t="s">
        <v>2263</v>
      </c>
      <c r="C3054" s="3">
        <v>44844</v>
      </c>
      <c r="D3054" s="3" t="str">
        <f>TEXT(Table1[[#This Row],[Admission Date]],"MMMM")</f>
        <v>October</v>
      </c>
      <c r="E3054" s="3">
        <v>44844</v>
      </c>
      <c r="F3054" s="3">
        <v>44844</v>
      </c>
      <c r="G3054" s="2">
        <v>22026461</v>
      </c>
      <c r="H3054" s="2">
        <v>2235427</v>
      </c>
      <c r="I3054" s="2">
        <v>1001699417</v>
      </c>
      <c r="J3054" s="2" t="s">
        <v>472</v>
      </c>
      <c r="K3054" s="10">
        <v>1274</v>
      </c>
      <c r="L3054" s="10">
        <v>0</v>
      </c>
      <c r="M3054" s="10">
        <v>1274</v>
      </c>
      <c r="N3054" s="10">
        <v>0</v>
      </c>
      <c r="O3054" s="10">
        <f>Table1[[#This Row],[NET Amount]]-Table1[[#This Row],[Paid Amount]]</f>
        <v>1274</v>
      </c>
      <c r="P3054" s="2" t="s">
        <v>23</v>
      </c>
      <c r="Q3054" s="2" t="s">
        <v>54</v>
      </c>
      <c r="R3054" s="16">
        <f>(Table1[[#This Row],[NET Amount]]-Table1[[#This Row],[Total Outstanding Amount]])/Table1[[#This Row],[NET Amount]]</f>
        <v>0</v>
      </c>
      <c r="S3054" s="2" t="s">
        <v>97</v>
      </c>
    </row>
    <row r="3055" spans="1:19" x14ac:dyDescent="0.3">
      <c r="A3055" s="4">
        <v>3053</v>
      </c>
      <c r="B3055" s="2" t="s">
        <v>139</v>
      </c>
      <c r="C3055" s="3">
        <v>44844</v>
      </c>
      <c r="D3055" s="3" t="str">
        <f>TEXT(Table1[[#This Row],[Admission Date]],"MMMM")</f>
        <v>October</v>
      </c>
      <c r="E3055" s="3">
        <v>44844</v>
      </c>
      <c r="F3055" s="3">
        <v>44844</v>
      </c>
      <c r="G3055" s="2">
        <v>22026407</v>
      </c>
      <c r="H3055" s="2">
        <v>2235379</v>
      </c>
      <c r="I3055" s="2">
        <v>1000947591</v>
      </c>
      <c r="J3055" s="2" t="s">
        <v>146</v>
      </c>
      <c r="K3055" s="10">
        <v>2200</v>
      </c>
      <c r="L3055" s="10">
        <v>0</v>
      </c>
      <c r="M3055" s="10">
        <v>2200</v>
      </c>
      <c r="N3055" s="10">
        <v>0</v>
      </c>
      <c r="O3055" s="10">
        <f>Table1[[#This Row],[NET Amount]]-Table1[[#This Row],[Paid Amount]]</f>
        <v>2200</v>
      </c>
      <c r="P3055" s="2" t="s">
        <v>23</v>
      </c>
      <c r="Q3055" s="2" t="s">
        <v>147</v>
      </c>
      <c r="R3055" s="16">
        <f>(Table1[[#This Row],[NET Amount]]-Table1[[#This Row],[Total Outstanding Amount]])/Table1[[#This Row],[NET Amount]]</f>
        <v>0</v>
      </c>
      <c r="S3055" s="2" t="s">
        <v>97</v>
      </c>
    </row>
    <row r="3056" spans="1:19" x14ac:dyDescent="0.3">
      <c r="A3056" s="4">
        <v>3054</v>
      </c>
      <c r="B3056" s="2" t="s">
        <v>2258</v>
      </c>
      <c r="C3056" s="3">
        <v>44839</v>
      </c>
      <c r="D3056" s="3" t="str">
        <f>TEXT(Table1[[#This Row],[Admission Date]],"MMMM")</f>
        <v>October</v>
      </c>
      <c r="E3056" s="3">
        <v>44845</v>
      </c>
      <c r="F3056" s="3">
        <v>44845</v>
      </c>
      <c r="G3056" s="2">
        <v>22026511</v>
      </c>
      <c r="H3056" s="2">
        <v>2234669</v>
      </c>
      <c r="I3056" s="2">
        <v>1001729016</v>
      </c>
      <c r="J3056" s="2" t="s">
        <v>1794</v>
      </c>
      <c r="K3056" s="10">
        <v>44510</v>
      </c>
      <c r="L3056" s="10">
        <v>0</v>
      </c>
      <c r="M3056" s="10">
        <v>44510</v>
      </c>
      <c r="N3056" s="10">
        <v>0</v>
      </c>
      <c r="O3056" s="10">
        <f>Table1[[#This Row],[NET Amount]]-Table1[[#This Row],[Paid Amount]]</f>
        <v>44510</v>
      </c>
      <c r="P3056" s="2" t="s">
        <v>23</v>
      </c>
      <c r="Q3056" s="2" t="s">
        <v>19</v>
      </c>
      <c r="R3056" s="16">
        <f>(Table1[[#This Row],[NET Amount]]-Table1[[#This Row],[Total Outstanding Amount]])/Table1[[#This Row],[NET Amount]]</f>
        <v>0</v>
      </c>
      <c r="S3056" s="2" t="s">
        <v>20</v>
      </c>
    </row>
    <row r="3057" spans="1:19" x14ac:dyDescent="0.3">
      <c r="A3057" s="4">
        <v>3055</v>
      </c>
      <c r="B3057" s="2" t="s">
        <v>380</v>
      </c>
      <c r="C3057" s="3">
        <v>44844</v>
      </c>
      <c r="D3057" s="3" t="str">
        <f>TEXT(Table1[[#This Row],[Admission Date]],"MMMM")</f>
        <v>October</v>
      </c>
      <c r="E3057" s="3">
        <v>44844</v>
      </c>
      <c r="F3057" s="3">
        <v>44844</v>
      </c>
      <c r="G3057" s="2">
        <v>22026396</v>
      </c>
      <c r="H3057" s="2">
        <v>2235372</v>
      </c>
      <c r="I3057" s="2">
        <v>1000947753</v>
      </c>
      <c r="J3057" s="2" t="s">
        <v>432</v>
      </c>
      <c r="K3057" s="10">
        <v>1274</v>
      </c>
      <c r="L3057" s="10">
        <v>0</v>
      </c>
      <c r="M3057" s="10">
        <v>1274</v>
      </c>
      <c r="N3057" s="10">
        <v>0</v>
      </c>
      <c r="O3057" s="10">
        <f>Table1[[#This Row],[NET Amount]]-Table1[[#This Row],[Paid Amount]]</f>
        <v>1274</v>
      </c>
      <c r="P3057" s="2" t="s">
        <v>23</v>
      </c>
      <c r="Q3057" s="2" t="s">
        <v>54</v>
      </c>
      <c r="R3057" s="16">
        <f>(Table1[[#This Row],[NET Amount]]-Table1[[#This Row],[Total Outstanding Amount]])/Table1[[#This Row],[NET Amount]]</f>
        <v>0</v>
      </c>
      <c r="S3057" s="2" t="s">
        <v>97</v>
      </c>
    </row>
    <row r="3058" spans="1:19" x14ac:dyDescent="0.3">
      <c r="A3058" s="4">
        <v>3056</v>
      </c>
      <c r="B3058" s="2" t="s">
        <v>380</v>
      </c>
      <c r="C3058" s="3">
        <v>44854</v>
      </c>
      <c r="D3058" s="3" t="str">
        <f>TEXT(Table1[[#This Row],[Admission Date]],"MMMM")</f>
        <v>October</v>
      </c>
      <c r="E3058" s="3">
        <v>44854</v>
      </c>
      <c r="F3058" s="3">
        <v>44854</v>
      </c>
      <c r="G3058" s="2">
        <v>22027942</v>
      </c>
      <c r="H3058" s="2">
        <v>2236808</v>
      </c>
      <c r="I3058" s="2">
        <v>1000891592</v>
      </c>
      <c r="J3058" s="2" t="s">
        <v>815</v>
      </c>
      <c r="K3058" s="10">
        <v>1274</v>
      </c>
      <c r="L3058" s="10">
        <v>0</v>
      </c>
      <c r="M3058" s="10">
        <v>1274</v>
      </c>
      <c r="N3058" s="10">
        <v>0</v>
      </c>
      <c r="O3058" s="10">
        <f>Table1[[#This Row],[NET Amount]]-Table1[[#This Row],[Paid Amount]]</f>
        <v>1274</v>
      </c>
      <c r="P3058" s="2" t="s">
        <v>23</v>
      </c>
      <c r="Q3058" s="2" t="s">
        <v>54</v>
      </c>
      <c r="R3058" s="16">
        <f>(Table1[[#This Row],[NET Amount]]-Table1[[#This Row],[Total Outstanding Amount]])/Table1[[#This Row],[NET Amount]]</f>
        <v>0</v>
      </c>
      <c r="S3058" s="2" t="s">
        <v>97</v>
      </c>
    </row>
    <row r="3059" spans="1:19" x14ac:dyDescent="0.3">
      <c r="A3059" s="4">
        <v>3057</v>
      </c>
      <c r="B3059" s="2" t="s">
        <v>144</v>
      </c>
      <c r="C3059" s="3">
        <v>44840</v>
      </c>
      <c r="D3059" s="3" t="str">
        <f>TEXT(Table1[[#This Row],[Admission Date]],"MMMM")</f>
        <v>October</v>
      </c>
      <c r="E3059" s="3">
        <v>44842</v>
      </c>
      <c r="F3059" s="3">
        <v>44842</v>
      </c>
      <c r="G3059" s="2">
        <v>22026110</v>
      </c>
      <c r="H3059" s="2">
        <v>2234903</v>
      </c>
      <c r="I3059" s="2">
        <v>1000967694</v>
      </c>
      <c r="J3059" s="2" t="s">
        <v>1795</v>
      </c>
      <c r="K3059" s="10">
        <v>115892</v>
      </c>
      <c r="L3059" s="10">
        <v>0</v>
      </c>
      <c r="M3059" s="10">
        <v>115892</v>
      </c>
      <c r="N3059" s="10">
        <v>0</v>
      </c>
      <c r="O3059" s="10">
        <f>Table1[[#This Row],[NET Amount]]-Table1[[#This Row],[Paid Amount]]</f>
        <v>115892</v>
      </c>
      <c r="P3059" s="2" t="s">
        <v>23</v>
      </c>
      <c r="Q3059" s="2" t="s">
        <v>42</v>
      </c>
      <c r="R3059" s="16">
        <f>(Table1[[#This Row],[NET Amount]]-Table1[[#This Row],[Total Outstanding Amount]])/Table1[[#This Row],[NET Amount]]</f>
        <v>0</v>
      </c>
      <c r="S3059" s="2" t="s">
        <v>20</v>
      </c>
    </row>
    <row r="3060" spans="1:19" x14ac:dyDescent="0.3">
      <c r="A3060" s="4">
        <v>3058</v>
      </c>
      <c r="B3060" s="2" t="s">
        <v>380</v>
      </c>
      <c r="C3060" s="3">
        <v>44848</v>
      </c>
      <c r="D3060" s="3" t="str">
        <f>TEXT(Table1[[#This Row],[Admission Date]],"MMMM")</f>
        <v>October</v>
      </c>
      <c r="E3060" s="3">
        <v>44848</v>
      </c>
      <c r="F3060" s="3">
        <v>44848</v>
      </c>
      <c r="G3060" s="2">
        <v>22027109</v>
      </c>
      <c r="H3060" s="2">
        <v>2236038</v>
      </c>
      <c r="I3060" s="2">
        <v>10013521329</v>
      </c>
      <c r="J3060" s="2" t="s">
        <v>457</v>
      </c>
      <c r="K3060" s="10">
        <v>1274</v>
      </c>
      <c r="L3060" s="10">
        <v>0</v>
      </c>
      <c r="M3060" s="10">
        <v>1274</v>
      </c>
      <c r="N3060" s="10">
        <v>0</v>
      </c>
      <c r="O3060" s="10">
        <f>Table1[[#This Row],[NET Amount]]-Table1[[#This Row],[Paid Amount]]</f>
        <v>1274</v>
      </c>
      <c r="P3060" s="2" t="s">
        <v>23</v>
      </c>
      <c r="Q3060" s="2" t="s">
        <v>54</v>
      </c>
      <c r="R3060" s="16">
        <f>(Table1[[#This Row],[NET Amount]]-Table1[[#This Row],[Total Outstanding Amount]])/Table1[[#This Row],[NET Amount]]</f>
        <v>0</v>
      </c>
      <c r="S3060" s="2" t="s">
        <v>97</v>
      </c>
    </row>
    <row r="3061" spans="1:19" x14ac:dyDescent="0.3">
      <c r="A3061" s="4">
        <v>3059</v>
      </c>
      <c r="B3061" s="2" t="s">
        <v>152</v>
      </c>
      <c r="C3061" s="3">
        <v>44847</v>
      </c>
      <c r="D3061" s="3" t="str">
        <f>TEXT(Table1[[#This Row],[Admission Date]],"MMMM")</f>
        <v>October</v>
      </c>
      <c r="E3061" s="3">
        <v>44847</v>
      </c>
      <c r="F3061" s="3">
        <v>44847</v>
      </c>
      <c r="G3061" s="2">
        <v>22026939</v>
      </c>
      <c r="H3061" s="2">
        <v>2235856</v>
      </c>
      <c r="I3061" s="2">
        <v>10013520050</v>
      </c>
      <c r="J3061" s="2" t="s">
        <v>1796</v>
      </c>
      <c r="K3061" s="10">
        <v>11903</v>
      </c>
      <c r="L3061" s="10">
        <v>0</v>
      </c>
      <c r="M3061" s="10">
        <v>11903</v>
      </c>
      <c r="N3061" s="10">
        <v>0</v>
      </c>
      <c r="O3061" s="10">
        <f>Table1[[#This Row],[NET Amount]]-Table1[[#This Row],[Paid Amount]]</f>
        <v>11903</v>
      </c>
      <c r="P3061" s="2" t="s">
        <v>23</v>
      </c>
      <c r="Q3061" s="2" t="s">
        <v>24</v>
      </c>
      <c r="R3061" s="16">
        <f>(Table1[[#This Row],[NET Amount]]-Table1[[#This Row],[Total Outstanding Amount]])/Table1[[#This Row],[NET Amount]]</f>
        <v>0</v>
      </c>
      <c r="S3061" s="2" t="s">
        <v>39</v>
      </c>
    </row>
    <row r="3062" spans="1:19" x14ac:dyDescent="0.3">
      <c r="A3062" s="4">
        <v>3060</v>
      </c>
      <c r="B3062" s="2" t="s">
        <v>2260</v>
      </c>
      <c r="C3062" s="3">
        <v>44831</v>
      </c>
      <c r="D3062" s="3" t="str">
        <f>TEXT(Table1[[#This Row],[Admission Date]],"MMMM")</f>
        <v>September</v>
      </c>
      <c r="E3062" s="3">
        <v>44835</v>
      </c>
      <c r="F3062" s="3">
        <v>44835</v>
      </c>
      <c r="G3062" s="2">
        <v>22025217</v>
      </c>
      <c r="H3062" s="2">
        <v>2233610</v>
      </c>
      <c r="I3062" s="2">
        <v>1001740329</v>
      </c>
      <c r="J3062" s="2" t="s">
        <v>1797</v>
      </c>
      <c r="K3062" s="10">
        <v>39646</v>
      </c>
      <c r="L3062" s="10">
        <v>0</v>
      </c>
      <c r="M3062" s="10">
        <v>39646</v>
      </c>
      <c r="N3062" s="10">
        <v>0</v>
      </c>
      <c r="O3062" s="10">
        <f>Table1[[#This Row],[NET Amount]]-Table1[[#This Row],[Paid Amount]]</f>
        <v>39646</v>
      </c>
      <c r="P3062" s="2" t="s">
        <v>23</v>
      </c>
      <c r="Q3062" s="2" t="s">
        <v>24</v>
      </c>
      <c r="R3062" s="16">
        <f>(Table1[[#This Row],[NET Amount]]-Table1[[#This Row],[Total Outstanding Amount]])/Table1[[#This Row],[NET Amount]]</f>
        <v>0</v>
      </c>
      <c r="S3062" s="2" t="s">
        <v>20</v>
      </c>
    </row>
    <row r="3063" spans="1:19" x14ac:dyDescent="0.3">
      <c r="A3063" s="4">
        <v>3061</v>
      </c>
      <c r="B3063" s="2" t="s">
        <v>380</v>
      </c>
      <c r="C3063" s="3">
        <v>44863</v>
      </c>
      <c r="D3063" s="3" t="str">
        <f>TEXT(Table1[[#This Row],[Admission Date]],"MMMM")</f>
        <v>October</v>
      </c>
      <c r="E3063" s="3">
        <v>44863</v>
      </c>
      <c r="F3063" s="3">
        <v>44863</v>
      </c>
      <c r="G3063" s="2">
        <v>22029174</v>
      </c>
      <c r="H3063" s="2">
        <v>2238041</v>
      </c>
      <c r="I3063" s="2">
        <v>10013451090</v>
      </c>
      <c r="J3063" s="2" t="s">
        <v>808</v>
      </c>
      <c r="K3063" s="10">
        <v>1274</v>
      </c>
      <c r="L3063" s="10">
        <v>0</v>
      </c>
      <c r="M3063" s="10">
        <v>1274</v>
      </c>
      <c r="N3063" s="10">
        <v>0</v>
      </c>
      <c r="O3063" s="10">
        <f>Table1[[#This Row],[NET Amount]]-Table1[[#This Row],[Paid Amount]]</f>
        <v>1274</v>
      </c>
      <c r="P3063" s="2" t="s">
        <v>23</v>
      </c>
      <c r="Q3063" s="2" t="s">
        <v>54</v>
      </c>
      <c r="R3063" s="16">
        <f>(Table1[[#This Row],[NET Amount]]-Table1[[#This Row],[Total Outstanding Amount]])/Table1[[#This Row],[NET Amount]]</f>
        <v>0</v>
      </c>
      <c r="S3063" s="2" t="s">
        <v>97</v>
      </c>
    </row>
    <row r="3064" spans="1:19" x14ac:dyDescent="0.3">
      <c r="A3064" s="4">
        <v>3062</v>
      </c>
      <c r="B3064" s="2" t="s">
        <v>178</v>
      </c>
      <c r="C3064" s="3">
        <v>44861</v>
      </c>
      <c r="D3064" s="3" t="str">
        <f>TEXT(Table1[[#This Row],[Admission Date]],"MMMM")</f>
        <v>October</v>
      </c>
      <c r="E3064" s="3">
        <v>44861</v>
      </c>
      <c r="F3064" s="3">
        <v>44861</v>
      </c>
      <c r="G3064" s="2">
        <v>22028836</v>
      </c>
      <c r="H3064" s="2">
        <v>2237700</v>
      </c>
      <c r="I3064" s="2">
        <v>10013332282</v>
      </c>
      <c r="J3064" s="2" t="s">
        <v>415</v>
      </c>
      <c r="K3064" s="10">
        <v>2200</v>
      </c>
      <c r="L3064" s="10">
        <v>0</v>
      </c>
      <c r="M3064" s="10">
        <v>2200</v>
      </c>
      <c r="N3064" s="10">
        <v>0</v>
      </c>
      <c r="O3064" s="10">
        <f>Table1[[#This Row],[NET Amount]]-Table1[[#This Row],[Paid Amount]]</f>
        <v>2200</v>
      </c>
      <c r="P3064" s="2" t="s">
        <v>23</v>
      </c>
      <c r="Q3064" s="2" t="s">
        <v>147</v>
      </c>
      <c r="R3064" s="16">
        <f>(Table1[[#This Row],[NET Amount]]-Table1[[#This Row],[Total Outstanding Amount]])/Table1[[#This Row],[NET Amount]]</f>
        <v>0</v>
      </c>
      <c r="S3064" s="2" t="s">
        <v>97</v>
      </c>
    </row>
    <row r="3065" spans="1:19" x14ac:dyDescent="0.3">
      <c r="A3065" s="4">
        <v>3063</v>
      </c>
      <c r="B3065" s="2" t="s">
        <v>75</v>
      </c>
      <c r="C3065" s="3">
        <v>44849</v>
      </c>
      <c r="D3065" s="3" t="str">
        <f>TEXT(Table1[[#This Row],[Admission Date]],"MMMM")</f>
        <v>October</v>
      </c>
      <c r="E3065" s="3">
        <v>44849</v>
      </c>
      <c r="F3065" s="3">
        <v>44849</v>
      </c>
      <c r="G3065" s="2">
        <v>22027221</v>
      </c>
      <c r="H3065" s="2">
        <v>2236137</v>
      </c>
      <c r="I3065" s="2">
        <v>1001300172</v>
      </c>
      <c r="J3065" s="2" t="s">
        <v>400</v>
      </c>
      <c r="K3065" s="10">
        <v>1610</v>
      </c>
      <c r="L3065" s="10">
        <v>0</v>
      </c>
      <c r="M3065" s="10">
        <v>1610</v>
      </c>
      <c r="N3065" s="10">
        <v>0</v>
      </c>
      <c r="O3065" s="10">
        <f>Table1[[#This Row],[NET Amount]]-Table1[[#This Row],[Paid Amount]]</f>
        <v>1610</v>
      </c>
      <c r="P3065" s="2" t="s">
        <v>23</v>
      </c>
      <c r="Q3065" s="2" t="s">
        <v>54</v>
      </c>
      <c r="R3065" s="16">
        <f>(Table1[[#This Row],[NET Amount]]-Table1[[#This Row],[Total Outstanding Amount]])/Table1[[#This Row],[NET Amount]]</f>
        <v>0</v>
      </c>
      <c r="S3065" s="2" t="s">
        <v>97</v>
      </c>
    </row>
    <row r="3066" spans="1:19" x14ac:dyDescent="0.3">
      <c r="A3066" s="4">
        <v>3064</v>
      </c>
      <c r="B3066" s="2" t="s">
        <v>380</v>
      </c>
      <c r="C3066" s="3">
        <v>44852</v>
      </c>
      <c r="D3066" s="3" t="str">
        <f>TEXT(Table1[[#This Row],[Admission Date]],"MMMM")</f>
        <v>October</v>
      </c>
      <c r="E3066" s="3">
        <v>44852</v>
      </c>
      <c r="F3066" s="3">
        <v>44852</v>
      </c>
      <c r="G3066" s="2">
        <v>22027626</v>
      </c>
      <c r="H3066" s="2">
        <v>2236525</v>
      </c>
      <c r="I3066" s="2">
        <v>10013371134</v>
      </c>
      <c r="J3066" s="2" t="s">
        <v>412</v>
      </c>
      <c r="K3066" s="10">
        <v>1274</v>
      </c>
      <c r="L3066" s="10">
        <v>0</v>
      </c>
      <c r="M3066" s="10">
        <v>1274</v>
      </c>
      <c r="N3066" s="10">
        <v>0</v>
      </c>
      <c r="O3066" s="10">
        <f>Table1[[#This Row],[NET Amount]]-Table1[[#This Row],[Paid Amount]]</f>
        <v>1274</v>
      </c>
      <c r="P3066" s="2" t="s">
        <v>23</v>
      </c>
      <c r="Q3066" s="2" t="s">
        <v>54</v>
      </c>
      <c r="R3066" s="16">
        <f>(Table1[[#This Row],[NET Amount]]-Table1[[#This Row],[Total Outstanding Amount]])/Table1[[#This Row],[NET Amount]]</f>
        <v>0</v>
      </c>
      <c r="S3066" s="2" t="s">
        <v>97</v>
      </c>
    </row>
    <row r="3067" spans="1:19" x14ac:dyDescent="0.3">
      <c r="A3067" s="4">
        <v>3065</v>
      </c>
      <c r="B3067" s="2" t="s">
        <v>152</v>
      </c>
      <c r="C3067" s="3">
        <v>44838</v>
      </c>
      <c r="D3067" s="3" t="str">
        <f>TEXT(Table1[[#This Row],[Admission Date]],"MMMM")</f>
        <v>October</v>
      </c>
      <c r="E3067" s="3">
        <v>44838</v>
      </c>
      <c r="F3067" s="3">
        <v>44838</v>
      </c>
      <c r="G3067" s="2">
        <v>22025594</v>
      </c>
      <c r="H3067" s="2">
        <v>2234532</v>
      </c>
      <c r="I3067" s="2">
        <v>10013538232</v>
      </c>
      <c r="J3067" s="2" t="s">
        <v>202</v>
      </c>
      <c r="K3067" s="10">
        <v>14749</v>
      </c>
      <c r="L3067" s="10">
        <v>0</v>
      </c>
      <c r="M3067" s="10">
        <v>14749</v>
      </c>
      <c r="N3067" s="10">
        <v>0</v>
      </c>
      <c r="O3067" s="10">
        <f>Table1[[#This Row],[NET Amount]]-Table1[[#This Row],[Paid Amount]]</f>
        <v>14749</v>
      </c>
      <c r="P3067" s="2" t="s">
        <v>23</v>
      </c>
      <c r="Q3067" s="2" t="s">
        <v>24</v>
      </c>
      <c r="R3067" s="16">
        <f>(Table1[[#This Row],[NET Amount]]-Table1[[#This Row],[Total Outstanding Amount]])/Table1[[#This Row],[NET Amount]]</f>
        <v>0</v>
      </c>
      <c r="S3067" s="2" t="s">
        <v>55</v>
      </c>
    </row>
    <row r="3068" spans="1:19" x14ac:dyDescent="0.3">
      <c r="A3068" s="4">
        <v>3066</v>
      </c>
      <c r="B3068" s="2" t="s">
        <v>380</v>
      </c>
      <c r="C3068" s="3">
        <v>44842</v>
      </c>
      <c r="D3068" s="3" t="str">
        <f>TEXT(Table1[[#This Row],[Admission Date]],"MMMM")</f>
        <v>October</v>
      </c>
      <c r="E3068" s="3">
        <v>44842</v>
      </c>
      <c r="F3068" s="3">
        <v>44842</v>
      </c>
      <c r="G3068" s="2">
        <v>22026197</v>
      </c>
      <c r="H3068" s="2">
        <v>2235181</v>
      </c>
      <c r="I3068" s="2">
        <v>10013347178</v>
      </c>
      <c r="J3068" s="2" t="s">
        <v>371</v>
      </c>
      <c r="K3068" s="10">
        <v>1274</v>
      </c>
      <c r="L3068" s="10">
        <v>0</v>
      </c>
      <c r="M3068" s="10">
        <v>1274</v>
      </c>
      <c r="N3068" s="10">
        <v>0</v>
      </c>
      <c r="O3068" s="10">
        <f>Table1[[#This Row],[NET Amount]]-Table1[[#This Row],[Paid Amount]]</f>
        <v>1274</v>
      </c>
      <c r="P3068" s="2" t="s">
        <v>23</v>
      </c>
      <c r="Q3068" s="2" t="s">
        <v>54</v>
      </c>
      <c r="R3068" s="16">
        <f>(Table1[[#This Row],[NET Amount]]-Table1[[#This Row],[Total Outstanding Amount]])/Table1[[#This Row],[NET Amount]]</f>
        <v>0</v>
      </c>
      <c r="S3068" s="2" t="s">
        <v>97</v>
      </c>
    </row>
    <row r="3069" spans="1:19" x14ac:dyDescent="0.3">
      <c r="A3069" s="4">
        <v>3067</v>
      </c>
      <c r="B3069" s="2" t="s">
        <v>139</v>
      </c>
      <c r="C3069" s="3">
        <v>44855</v>
      </c>
      <c r="D3069" s="3" t="str">
        <f>TEXT(Table1[[#This Row],[Admission Date]],"MMMM")</f>
        <v>October</v>
      </c>
      <c r="E3069" s="3">
        <v>44855</v>
      </c>
      <c r="F3069" s="3">
        <v>44855</v>
      </c>
      <c r="G3069" s="2">
        <v>22027969</v>
      </c>
      <c r="H3069" s="2">
        <v>2236873</v>
      </c>
      <c r="I3069" s="2">
        <v>1001547355</v>
      </c>
      <c r="J3069" s="2" t="s">
        <v>451</v>
      </c>
      <c r="K3069" s="10">
        <v>2200</v>
      </c>
      <c r="L3069" s="10">
        <v>0</v>
      </c>
      <c r="M3069" s="10">
        <v>2200</v>
      </c>
      <c r="N3069" s="10">
        <v>0</v>
      </c>
      <c r="O3069" s="10">
        <f>Table1[[#This Row],[NET Amount]]-Table1[[#This Row],[Paid Amount]]</f>
        <v>2200</v>
      </c>
      <c r="P3069" s="2" t="s">
        <v>23</v>
      </c>
      <c r="Q3069" s="2" t="s">
        <v>147</v>
      </c>
      <c r="R3069" s="16">
        <f>(Table1[[#This Row],[NET Amount]]-Table1[[#This Row],[Total Outstanding Amount]])/Table1[[#This Row],[NET Amount]]</f>
        <v>0</v>
      </c>
      <c r="S3069" s="2" t="s">
        <v>97</v>
      </c>
    </row>
    <row r="3070" spans="1:19" x14ac:dyDescent="0.3">
      <c r="A3070" s="4">
        <v>3068</v>
      </c>
      <c r="B3070" s="2" t="s">
        <v>2263</v>
      </c>
      <c r="C3070" s="3">
        <v>44844</v>
      </c>
      <c r="D3070" s="3" t="str">
        <f>TEXT(Table1[[#This Row],[Admission Date]],"MMMM")</f>
        <v>October</v>
      </c>
      <c r="E3070" s="3">
        <v>44844</v>
      </c>
      <c r="F3070" s="3">
        <v>44844</v>
      </c>
      <c r="G3070" s="2">
        <v>22026427</v>
      </c>
      <c r="H3070" s="2">
        <v>2235398</v>
      </c>
      <c r="I3070" s="2">
        <v>1001767553</v>
      </c>
      <c r="J3070" s="2" t="s">
        <v>417</v>
      </c>
      <c r="K3070" s="10">
        <v>1274</v>
      </c>
      <c r="L3070" s="10">
        <v>0</v>
      </c>
      <c r="M3070" s="10">
        <v>1274</v>
      </c>
      <c r="N3070" s="10">
        <v>0</v>
      </c>
      <c r="O3070" s="10">
        <f>Table1[[#This Row],[NET Amount]]-Table1[[#This Row],[Paid Amount]]</f>
        <v>1274</v>
      </c>
      <c r="P3070" s="2" t="s">
        <v>23</v>
      </c>
      <c r="Q3070" s="2" t="s">
        <v>54</v>
      </c>
      <c r="R3070" s="16">
        <f>(Table1[[#This Row],[NET Amount]]-Table1[[#This Row],[Total Outstanding Amount]])/Table1[[#This Row],[NET Amount]]</f>
        <v>0</v>
      </c>
      <c r="S3070" s="2" t="s">
        <v>97</v>
      </c>
    </row>
    <row r="3071" spans="1:19" x14ac:dyDescent="0.3">
      <c r="A3071" s="4">
        <v>3069</v>
      </c>
      <c r="B3071" s="2" t="s">
        <v>2253</v>
      </c>
      <c r="C3071" s="3">
        <v>44842</v>
      </c>
      <c r="D3071" s="3" t="str">
        <f>TEXT(Table1[[#This Row],[Admission Date]],"MMMM")</f>
        <v>October</v>
      </c>
      <c r="E3071" s="3">
        <v>44842</v>
      </c>
      <c r="F3071" s="3">
        <v>44842</v>
      </c>
      <c r="G3071" s="2">
        <v>22026074</v>
      </c>
      <c r="H3071" s="2">
        <v>2235125</v>
      </c>
      <c r="I3071" s="2">
        <v>1001626180</v>
      </c>
      <c r="J3071" s="2" t="s">
        <v>389</v>
      </c>
      <c r="K3071" s="10">
        <v>1610</v>
      </c>
      <c r="L3071" s="10">
        <v>0</v>
      </c>
      <c r="M3071" s="10">
        <v>1610</v>
      </c>
      <c r="N3071" s="10">
        <v>0</v>
      </c>
      <c r="O3071" s="10">
        <f>Table1[[#This Row],[NET Amount]]-Table1[[#This Row],[Paid Amount]]</f>
        <v>1610</v>
      </c>
      <c r="P3071" s="2" t="s">
        <v>23</v>
      </c>
      <c r="Q3071" s="2" t="s">
        <v>54</v>
      </c>
      <c r="R3071" s="16">
        <f>(Table1[[#This Row],[NET Amount]]-Table1[[#This Row],[Total Outstanding Amount]])/Table1[[#This Row],[NET Amount]]</f>
        <v>0</v>
      </c>
      <c r="S3071" s="2" t="s">
        <v>97</v>
      </c>
    </row>
    <row r="3072" spans="1:19" x14ac:dyDescent="0.3">
      <c r="A3072" s="4">
        <v>3070</v>
      </c>
      <c r="B3072" s="2" t="s">
        <v>178</v>
      </c>
      <c r="C3072" s="3">
        <v>44865</v>
      </c>
      <c r="D3072" s="3" t="str">
        <f>TEXT(Table1[[#This Row],[Admission Date]],"MMMM")</f>
        <v>October</v>
      </c>
      <c r="E3072" s="3">
        <v>44865</v>
      </c>
      <c r="F3072" s="3">
        <v>44865</v>
      </c>
      <c r="G3072" s="2">
        <v>22029389</v>
      </c>
      <c r="H3072" s="2">
        <v>2238246</v>
      </c>
      <c r="I3072" s="2">
        <v>10013332282</v>
      </c>
      <c r="J3072" s="2" t="s">
        <v>415</v>
      </c>
      <c r="K3072" s="10">
        <v>2200</v>
      </c>
      <c r="L3072" s="10">
        <v>0</v>
      </c>
      <c r="M3072" s="10">
        <v>2200</v>
      </c>
      <c r="N3072" s="10">
        <v>0</v>
      </c>
      <c r="O3072" s="10">
        <f>Table1[[#This Row],[NET Amount]]-Table1[[#This Row],[Paid Amount]]</f>
        <v>2200</v>
      </c>
      <c r="P3072" s="2" t="s">
        <v>23</v>
      </c>
      <c r="Q3072" s="2" t="s">
        <v>147</v>
      </c>
      <c r="R3072" s="16">
        <f>(Table1[[#This Row],[NET Amount]]-Table1[[#This Row],[Total Outstanding Amount]])/Table1[[#This Row],[NET Amount]]</f>
        <v>0</v>
      </c>
      <c r="S3072" s="2" t="s">
        <v>97</v>
      </c>
    </row>
    <row r="3073" spans="1:19" x14ac:dyDescent="0.3">
      <c r="A3073" s="4">
        <v>3071</v>
      </c>
      <c r="B3073" s="2" t="s">
        <v>2253</v>
      </c>
      <c r="C3073" s="3">
        <v>44844</v>
      </c>
      <c r="D3073" s="3" t="str">
        <f>TEXT(Table1[[#This Row],[Admission Date]],"MMMM")</f>
        <v>October</v>
      </c>
      <c r="E3073" s="3">
        <v>44844</v>
      </c>
      <c r="F3073" s="3">
        <v>44844</v>
      </c>
      <c r="G3073" s="2">
        <v>22026352</v>
      </c>
      <c r="H3073" s="2">
        <v>2235351</v>
      </c>
      <c r="I3073" s="2">
        <v>1001789044</v>
      </c>
      <c r="J3073" s="2" t="s">
        <v>1069</v>
      </c>
      <c r="K3073" s="10">
        <v>1610</v>
      </c>
      <c r="L3073" s="10">
        <v>0</v>
      </c>
      <c r="M3073" s="10">
        <v>1610</v>
      </c>
      <c r="N3073" s="10">
        <v>0</v>
      </c>
      <c r="O3073" s="10">
        <f>Table1[[#This Row],[NET Amount]]-Table1[[#This Row],[Paid Amount]]</f>
        <v>1610</v>
      </c>
      <c r="P3073" s="2" t="s">
        <v>23</v>
      </c>
      <c r="Q3073" s="2" t="s">
        <v>54</v>
      </c>
      <c r="R3073" s="16">
        <f>(Table1[[#This Row],[NET Amount]]-Table1[[#This Row],[Total Outstanding Amount]])/Table1[[#This Row],[NET Amount]]</f>
        <v>0</v>
      </c>
      <c r="S3073" s="2" t="s">
        <v>97</v>
      </c>
    </row>
    <row r="3074" spans="1:19" x14ac:dyDescent="0.3">
      <c r="A3074" s="4">
        <v>3072</v>
      </c>
      <c r="B3074" s="2" t="s">
        <v>75</v>
      </c>
      <c r="C3074" s="3">
        <v>44860</v>
      </c>
      <c r="D3074" s="3" t="str">
        <f>TEXT(Table1[[#This Row],[Admission Date]],"MMMM")</f>
        <v>October</v>
      </c>
      <c r="E3074" s="3">
        <v>44860</v>
      </c>
      <c r="F3074" s="3">
        <v>44860</v>
      </c>
      <c r="G3074" s="2">
        <v>22028684</v>
      </c>
      <c r="H3074" s="2">
        <v>2237548</v>
      </c>
      <c r="I3074" s="2">
        <v>1001529079</v>
      </c>
      <c r="J3074" s="2" t="s">
        <v>708</v>
      </c>
      <c r="K3074" s="10">
        <v>1610</v>
      </c>
      <c r="L3074" s="10">
        <v>0</v>
      </c>
      <c r="M3074" s="10">
        <v>1610</v>
      </c>
      <c r="N3074" s="10">
        <v>0</v>
      </c>
      <c r="O3074" s="10">
        <f>Table1[[#This Row],[NET Amount]]-Table1[[#This Row],[Paid Amount]]</f>
        <v>1610</v>
      </c>
      <c r="P3074" s="2" t="s">
        <v>23</v>
      </c>
      <c r="Q3074" s="2" t="s">
        <v>54</v>
      </c>
      <c r="R3074" s="16">
        <f>(Table1[[#This Row],[NET Amount]]-Table1[[#This Row],[Total Outstanding Amount]])/Table1[[#This Row],[NET Amount]]</f>
        <v>0</v>
      </c>
      <c r="S3074" s="2" t="s">
        <v>97</v>
      </c>
    </row>
    <row r="3075" spans="1:19" x14ac:dyDescent="0.3">
      <c r="A3075" s="4">
        <v>3073</v>
      </c>
      <c r="B3075" s="2" t="s">
        <v>2263</v>
      </c>
      <c r="C3075" s="3">
        <v>44855</v>
      </c>
      <c r="D3075" s="3" t="str">
        <f>TEXT(Table1[[#This Row],[Admission Date]],"MMMM")</f>
        <v>October</v>
      </c>
      <c r="E3075" s="3">
        <v>44855</v>
      </c>
      <c r="F3075" s="3">
        <v>44855</v>
      </c>
      <c r="G3075" s="2">
        <v>22028104</v>
      </c>
      <c r="H3075" s="2">
        <v>2236946</v>
      </c>
      <c r="I3075" s="2">
        <v>1001699417</v>
      </c>
      <c r="J3075" s="2" t="s">
        <v>472</v>
      </c>
      <c r="K3075" s="10">
        <v>1274</v>
      </c>
      <c r="L3075" s="10">
        <v>0</v>
      </c>
      <c r="M3075" s="10">
        <v>1274</v>
      </c>
      <c r="N3075" s="10">
        <v>0</v>
      </c>
      <c r="O3075" s="10">
        <f>Table1[[#This Row],[NET Amount]]-Table1[[#This Row],[Paid Amount]]</f>
        <v>1274</v>
      </c>
      <c r="P3075" s="2" t="s">
        <v>23</v>
      </c>
      <c r="Q3075" s="2" t="s">
        <v>54</v>
      </c>
      <c r="R3075" s="16">
        <f>(Table1[[#This Row],[NET Amount]]-Table1[[#This Row],[Total Outstanding Amount]])/Table1[[#This Row],[NET Amount]]</f>
        <v>0</v>
      </c>
      <c r="S3075" s="2" t="s">
        <v>97</v>
      </c>
    </row>
    <row r="3076" spans="1:19" x14ac:dyDescent="0.3">
      <c r="A3076" s="4">
        <v>3074</v>
      </c>
      <c r="B3076" s="2" t="s">
        <v>380</v>
      </c>
      <c r="C3076" s="3">
        <v>44854</v>
      </c>
      <c r="D3076" s="3" t="str">
        <f>TEXT(Table1[[#This Row],[Admission Date]],"MMMM")</f>
        <v>October</v>
      </c>
      <c r="E3076" s="3">
        <v>44854</v>
      </c>
      <c r="F3076" s="3">
        <v>44854</v>
      </c>
      <c r="G3076" s="2">
        <v>22027938</v>
      </c>
      <c r="H3076" s="2">
        <v>2236821</v>
      </c>
      <c r="I3076" s="2">
        <v>1000961855</v>
      </c>
      <c r="J3076" s="2" t="s">
        <v>439</v>
      </c>
      <c r="K3076" s="10">
        <v>1274</v>
      </c>
      <c r="L3076" s="10">
        <v>0</v>
      </c>
      <c r="M3076" s="10">
        <v>1274</v>
      </c>
      <c r="N3076" s="10">
        <v>0</v>
      </c>
      <c r="O3076" s="10">
        <f>Table1[[#This Row],[NET Amount]]-Table1[[#This Row],[Paid Amount]]</f>
        <v>1274</v>
      </c>
      <c r="P3076" s="2" t="s">
        <v>23</v>
      </c>
      <c r="Q3076" s="2" t="s">
        <v>54</v>
      </c>
      <c r="R3076" s="16">
        <f>(Table1[[#This Row],[NET Amount]]-Table1[[#This Row],[Total Outstanding Amount]])/Table1[[#This Row],[NET Amount]]</f>
        <v>0</v>
      </c>
      <c r="S3076" s="2" t="s">
        <v>97</v>
      </c>
    </row>
    <row r="3077" spans="1:19" x14ac:dyDescent="0.3">
      <c r="A3077" s="4">
        <v>3075</v>
      </c>
      <c r="B3077" s="2" t="s">
        <v>75</v>
      </c>
      <c r="C3077" s="3">
        <v>44851</v>
      </c>
      <c r="D3077" s="3" t="str">
        <f>TEXT(Table1[[#This Row],[Admission Date]],"MMMM")</f>
        <v>October</v>
      </c>
      <c r="E3077" s="3">
        <v>44851</v>
      </c>
      <c r="F3077" s="3">
        <v>44851</v>
      </c>
      <c r="G3077" s="2">
        <v>22027366</v>
      </c>
      <c r="H3077" s="2">
        <v>2236283</v>
      </c>
      <c r="I3077" s="2">
        <v>1001531709</v>
      </c>
      <c r="J3077" s="2" t="s">
        <v>1080</v>
      </c>
      <c r="K3077" s="10">
        <v>1610</v>
      </c>
      <c r="L3077" s="10">
        <v>0</v>
      </c>
      <c r="M3077" s="10">
        <v>1610</v>
      </c>
      <c r="N3077" s="10">
        <v>0</v>
      </c>
      <c r="O3077" s="10">
        <f>Table1[[#This Row],[NET Amount]]-Table1[[#This Row],[Paid Amount]]</f>
        <v>1610</v>
      </c>
      <c r="P3077" s="2" t="s">
        <v>23</v>
      </c>
      <c r="Q3077" s="2" t="s">
        <v>54</v>
      </c>
      <c r="R3077" s="16">
        <f>(Table1[[#This Row],[NET Amount]]-Table1[[#This Row],[Total Outstanding Amount]])/Table1[[#This Row],[NET Amount]]</f>
        <v>0</v>
      </c>
      <c r="S3077" s="2" t="s">
        <v>97</v>
      </c>
    </row>
    <row r="3078" spans="1:19" x14ac:dyDescent="0.3">
      <c r="A3078" s="4">
        <v>3076</v>
      </c>
      <c r="B3078" s="2" t="s">
        <v>380</v>
      </c>
      <c r="C3078" s="3">
        <v>44855</v>
      </c>
      <c r="D3078" s="3" t="str">
        <f>TEXT(Table1[[#This Row],[Admission Date]],"MMMM")</f>
        <v>October</v>
      </c>
      <c r="E3078" s="3">
        <v>44855</v>
      </c>
      <c r="F3078" s="3">
        <v>44855</v>
      </c>
      <c r="G3078" s="2">
        <v>22028098</v>
      </c>
      <c r="H3078" s="2">
        <v>2236944</v>
      </c>
      <c r="I3078" s="2">
        <v>10013520283</v>
      </c>
      <c r="J3078" s="2" t="s">
        <v>402</v>
      </c>
      <c r="K3078" s="10">
        <v>1274</v>
      </c>
      <c r="L3078" s="10">
        <v>0</v>
      </c>
      <c r="M3078" s="10">
        <v>1274</v>
      </c>
      <c r="N3078" s="10">
        <v>0</v>
      </c>
      <c r="O3078" s="10">
        <f>Table1[[#This Row],[NET Amount]]-Table1[[#This Row],[Paid Amount]]</f>
        <v>1274</v>
      </c>
      <c r="P3078" s="2" t="s">
        <v>23</v>
      </c>
      <c r="Q3078" s="2" t="s">
        <v>54</v>
      </c>
      <c r="R3078" s="16">
        <f>(Table1[[#This Row],[NET Amount]]-Table1[[#This Row],[Total Outstanding Amount]])/Table1[[#This Row],[NET Amount]]</f>
        <v>0</v>
      </c>
      <c r="S3078" s="2" t="s">
        <v>97</v>
      </c>
    </row>
    <row r="3079" spans="1:19" x14ac:dyDescent="0.3">
      <c r="A3079" s="4">
        <v>3077</v>
      </c>
      <c r="B3079" s="2" t="s">
        <v>380</v>
      </c>
      <c r="C3079" s="3">
        <v>44853</v>
      </c>
      <c r="D3079" s="3" t="str">
        <f>TEXT(Table1[[#This Row],[Admission Date]],"MMMM")</f>
        <v>October</v>
      </c>
      <c r="E3079" s="3">
        <v>44853</v>
      </c>
      <c r="F3079" s="3">
        <v>44853</v>
      </c>
      <c r="G3079" s="2">
        <v>22027786</v>
      </c>
      <c r="H3079" s="2">
        <v>2236678</v>
      </c>
      <c r="I3079" s="2">
        <v>10013385641</v>
      </c>
      <c r="J3079" s="2" t="s">
        <v>799</v>
      </c>
      <c r="K3079" s="10">
        <v>1274</v>
      </c>
      <c r="L3079" s="10">
        <v>0</v>
      </c>
      <c r="M3079" s="10">
        <v>1274</v>
      </c>
      <c r="N3079" s="10">
        <v>0</v>
      </c>
      <c r="O3079" s="10">
        <f>Table1[[#This Row],[NET Amount]]-Table1[[#This Row],[Paid Amount]]</f>
        <v>1274</v>
      </c>
      <c r="P3079" s="2" t="s">
        <v>23</v>
      </c>
      <c r="Q3079" s="2" t="s">
        <v>54</v>
      </c>
      <c r="R3079" s="16">
        <f>(Table1[[#This Row],[NET Amount]]-Table1[[#This Row],[Total Outstanding Amount]])/Table1[[#This Row],[NET Amount]]</f>
        <v>0</v>
      </c>
      <c r="S3079" s="2" t="s">
        <v>97</v>
      </c>
    </row>
    <row r="3080" spans="1:19" x14ac:dyDescent="0.3">
      <c r="A3080" s="4">
        <v>3078</v>
      </c>
      <c r="B3080" s="2" t="s">
        <v>75</v>
      </c>
      <c r="C3080" s="3">
        <v>44841</v>
      </c>
      <c r="D3080" s="3" t="str">
        <f>TEXT(Table1[[#This Row],[Admission Date]],"MMMM")</f>
        <v>October</v>
      </c>
      <c r="E3080" s="3">
        <v>44841</v>
      </c>
      <c r="F3080" s="3">
        <v>44841</v>
      </c>
      <c r="G3080" s="2">
        <v>22025954</v>
      </c>
      <c r="H3080" s="2">
        <v>2234971</v>
      </c>
      <c r="I3080" s="2">
        <v>10013433515</v>
      </c>
      <c r="J3080" s="2" t="s">
        <v>1798</v>
      </c>
      <c r="K3080" s="10">
        <v>14019</v>
      </c>
      <c r="L3080" s="10">
        <v>0</v>
      </c>
      <c r="M3080" s="10">
        <v>14019</v>
      </c>
      <c r="N3080" s="10">
        <v>0</v>
      </c>
      <c r="O3080" s="10">
        <f>Table1[[#This Row],[NET Amount]]-Table1[[#This Row],[Paid Amount]]</f>
        <v>14019</v>
      </c>
      <c r="P3080" s="2" t="s">
        <v>23</v>
      </c>
      <c r="Q3080" s="2" t="s">
        <v>19</v>
      </c>
      <c r="R3080" s="16">
        <f>(Table1[[#This Row],[NET Amount]]-Table1[[#This Row],[Total Outstanding Amount]])/Table1[[#This Row],[NET Amount]]</f>
        <v>0</v>
      </c>
      <c r="S3080" s="2" t="s">
        <v>39</v>
      </c>
    </row>
    <row r="3081" spans="1:19" x14ac:dyDescent="0.3">
      <c r="A3081" s="4">
        <v>3079</v>
      </c>
      <c r="B3081" s="2" t="s">
        <v>380</v>
      </c>
      <c r="C3081" s="3">
        <v>44842</v>
      </c>
      <c r="D3081" s="3" t="str">
        <f>TEXT(Table1[[#This Row],[Admission Date]],"MMMM")</f>
        <v>October</v>
      </c>
      <c r="E3081" s="3">
        <v>44842</v>
      </c>
      <c r="F3081" s="3">
        <v>44842</v>
      </c>
      <c r="G3081" s="2">
        <v>22026236</v>
      </c>
      <c r="H3081" s="2">
        <v>2235241</v>
      </c>
      <c r="I3081" s="2">
        <v>10013371548</v>
      </c>
      <c r="J3081" s="2" t="s">
        <v>482</v>
      </c>
      <c r="K3081" s="10">
        <v>1274</v>
      </c>
      <c r="L3081" s="10">
        <v>0</v>
      </c>
      <c r="M3081" s="10">
        <v>1274</v>
      </c>
      <c r="N3081" s="10">
        <v>0</v>
      </c>
      <c r="O3081" s="10">
        <f>Table1[[#This Row],[NET Amount]]-Table1[[#This Row],[Paid Amount]]</f>
        <v>1274</v>
      </c>
      <c r="P3081" s="2" t="s">
        <v>23</v>
      </c>
      <c r="Q3081" s="2" t="s">
        <v>54</v>
      </c>
      <c r="R3081" s="16">
        <f>(Table1[[#This Row],[NET Amount]]-Table1[[#This Row],[Total Outstanding Amount]])/Table1[[#This Row],[NET Amount]]</f>
        <v>0</v>
      </c>
      <c r="S3081" s="2" t="s">
        <v>97</v>
      </c>
    </row>
    <row r="3082" spans="1:19" x14ac:dyDescent="0.3">
      <c r="A3082" s="4">
        <v>3080</v>
      </c>
      <c r="B3082" s="2" t="s">
        <v>2263</v>
      </c>
      <c r="C3082" s="3">
        <v>44851</v>
      </c>
      <c r="D3082" s="3" t="str">
        <f>TEXT(Table1[[#This Row],[Admission Date]],"MMMM")</f>
        <v>October</v>
      </c>
      <c r="E3082" s="3">
        <v>44851</v>
      </c>
      <c r="F3082" s="3">
        <v>44851</v>
      </c>
      <c r="G3082" s="2">
        <v>22027481</v>
      </c>
      <c r="H3082" s="2">
        <v>2236384</v>
      </c>
      <c r="I3082" s="2">
        <v>1001657236</v>
      </c>
      <c r="J3082" s="2" t="s">
        <v>798</v>
      </c>
      <c r="K3082" s="10">
        <v>1274</v>
      </c>
      <c r="L3082" s="10">
        <v>0</v>
      </c>
      <c r="M3082" s="10">
        <v>1274</v>
      </c>
      <c r="N3082" s="10">
        <v>0</v>
      </c>
      <c r="O3082" s="10">
        <f>Table1[[#This Row],[NET Amount]]-Table1[[#This Row],[Paid Amount]]</f>
        <v>1274</v>
      </c>
      <c r="P3082" s="2" t="s">
        <v>23</v>
      </c>
      <c r="Q3082" s="2" t="s">
        <v>54</v>
      </c>
      <c r="R3082" s="16">
        <f>(Table1[[#This Row],[NET Amount]]-Table1[[#This Row],[Total Outstanding Amount]])/Table1[[#This Row],[NET Amount]]</f>
        <v>0</v>
      </c>
      <c r="S3082" s="2" t="s">
        <v>97</v>
      </c>
    </row>
    <row r="3083" spans="1:19" x14ac:dyDescent="0.3">
      <c r="A3083" s="4">
        <v>3081</v>
      </c>
      <c r="B3083" s="2" t="s">
        <v>380</v>
      </c>
      <c r="C3083" s="3">
        <v>44846</v>
      </c>
      <c r="D3083" s="3" t="str">
        <f>TEXT(Table1[[#This Row],[Admission Date]],"MMMM")</f>
        <v>October</v>
      </c>
      <c r="E3083" s="3">
        <v>44846</v>
      </c>
      <c r="F3083" s="3">
        <v>44846</v>
      </c>
      <c r="G3083" s="2">
        <v>22026737</v>
      </c>
      <c r="H3083" s="2">
        <v>2235696</v>
      </c>
      <c r="I3083" s="2">
        <v>10013241267</v>
      </c>
      <c r="J3083" s="2" t="s">
        <v>480</v>
      </c>
      <c r="K3083" s="10">
        <v>1274</v>
      </c>
      <c r="L3083" s="10">
        <v>0</v>
      </c>
      <c r="M3083" s="10">
        <v>1274</v>
      </c>
      <c r="N3083" s="10">
        <v>0</v>
      </c>
      <c r="O3083" s="10">
        <f>Table1[[#This Row],[NET Amount]]-Table1[[#This Row],[Paid Amount]]</f>
        <v>1274</v>
      </c>
      <c r="P3083" s="2" t="s">
        <v>23</v>
      </c>
      <c r="Q3083" s="2" t="s">
        <v>54</v>
      </c>
      <c r="R3083" s="16">
        <f>(Table1[[#This Row],[NET Amount]]-Table1[[#This Row],[Total Outstanding Amount]])/Table1[[#This Row],[NET Amount]]</f>
        <v>0</v>
      </c>
      <c r="S3083" s="2" t="s">
        <v>97</v>
      </c>
    </row>
    <row r="3084" spans="1:19" x14ac:dyDescent="0.3">
      <c r="A3084" s="4">
        <v>3082</v>
      </c>
      <c r="B3084" s="2" t="s">
        <v>2258</v>
      </c>
      <c r="C3084" s="3">
        <v>44845</v>
      </c>
      <c r="D3084" s="3" t="str">
        <f>TEXT(Table1[[#This Row],[Admission Date]],"MMMM")</f>
        <v>October</v>
      </c>
      <c r="E3084" s="3">
        <v>44845</v>
      </c>
      <c r="F3084" s="3">
        <v>44845</v>
      </c>
      <c r="G3084" s="2">
        <v>22026495</v>
      </c>
      <c r="H3084" s="2">
        <v>2235504</v>
      </c>
      <c r="I3084" s="2">
        <v>1001763340</v>
      </c>
      <c r="J3084" s="2" t="s">
        <v>121</v>
      </c>
      <c r="K3084" s="10">
        <v>1610</v>
      </c>
      <c r="L3084" s="10">
        <v>0</v>
      </c>
      <c r="M3084" s="10">
        <v>1610</v>
      </c>
      <c r="N3084" s="10">
        <v>0</v>
      </c>
      <c r="O3084" s="10">
        <f>Table1[[#This Row],[NET Amount]]-Table1[[#This Row],[Paid Amount]]</f>
        <v>1610</v>
      </c>
      <c r="P3084" s="2" t="s">
        <v>23</v>
      </c>
      <c r="Q3084" s="2" t="s">
        <v>54</v>
      </c>
      <c r="R3084" s="16">
        <f>(Table1[[#This Row],[NET Amount]]-Table1[[#This Row],[Total Outstanding Amount]])/Table1[[#This Row],[NET Amount]]</f>
        <v>0</v>
      </c>
      <c r="S3084" s="2" t="s">
        <v>97</v>
      </c>
    </row>
    <row r="3085" spans="1:19" x14ac:dyDescent="0.3">
      <c r="A3085" s="4">
        <v>3083</v>
      </c>
      <c r="B3085" s="2" t="s">
        <v>155</v>
      </c>
      <c r="C3085" s="3">
        <v>44851</v>
      </c>
      <c r="D3085" s="3" t="str">
        <f>TEXT(Table1[[#This Row],[Admission Date]],"MMMM")</f>
        <v>October</v>
      </c>
      <c r="E3085" s="3">
        <v>44851</v>
      </c>
      <c r="F3085" s="3">
        <v>44851</v>
      </c>
      <c r="G3085" s="2">
        <v>22027458</v>
      </c>
      <c r="H3085" s="2">
        <v>2236328</v>
      </c>
      <c r="I3085" s="2">
        <v>1000853411</v>
      </c>
      <c r="J3085" s="2" t="s">
        <v>796</v>
      </c>
      <c r="K3085" s="10">
        <v>1610</v>
      </c>
      <c r="L3085" s="10">
        <v>0</v>
      </c>
      <c r="M3085" s="10">
        <v>1610</v>
      </c>
      <c r="N3085" s="10">
        <v>0</v>
      </c>
      <c r="O3085" s="10">
        <f>Table1[[#This Row],[NET Amount]]-Table1[[#This Row],[Paid Amount]]</f>
        <v>1610</v>
      </c>
      <c r="P3085" s="2" t="s">
        <v>23</v>
      </c>
      <c r="Q3085" s="2" t="s">
        <v>54</v>
      </c>
      <c r="R3085" s="16">
        <f>(Table1[[#This Row],[NET Amount]]-Table1[[#This Row],[Total Outstanding Amount]])/Table1[[#This Row],[NET Amount]]</f>
        <v>0</v>
      </c>
      <c r="S3085" s="2" t="s">
        <v>97</v>
      </c>
    </row>
    <row r="3086" spans="1:19" x14ac:dyDescent="0.3">
      <c r="A3086" s="4">
        <v>3084</v>
      </c>
      <c r="B3086" s="2" t="s">
        <v>2253</v>
      </c>
      <c r="C3086" s="3">
        <v>44862</v>
      </c>
      <c r="D3086" s="3" t="str">
        <f>TEXT(Table1[[#This Row],[Admission Date]],"MMMM")</f>
        <v>October</v>
      </c>
      <c r="E3086" s="3">
        <v>44862</v>
      </c>
      <c r="F3086" s="3">
        <v>44862</v>
      </c>
      <c r="G3086" s="2">
        <v>22028924</v>
      </c>
      <c r="H3086" s="2">
        <v>2237804</v>
      </c>
      <c r="I3086" s="2">
        <v>1001736024</v>
      </c>
      <c r="J3086" s="2" t="s">
        <v>442</v>
      </c>
      <c r="K3086" s="10">
        <v>1610</v>
      </c>
      <c r="L3086" s="10">
        <v>0</v>
      </c>
      <c r="M3086" s="10">
        <v>1610</v>
      </c>
      <c r="N3086" s="10">
        <v>0</v>
      </c>
      <c r="O3086" s="10">
        <f>Table1[[#This Row],[NET Amount]]-Table1[[#This Row],[Paid Amount]]</f>
        <v>1610</v>
      </c>
      <c r="P3086" s="2" t="s">
        <v>23</v>
      </c>
      <c r="Q3086" s="2" t="s">
        <v>54</v>
      </c>
      <c r="R3086" s="16">
        <f>(Table1[[#This Row],[NET Amount]]-Table1[[#This Row],[Total Outstanding Amount]])/Table1[[#This Row],[NET Amount]]</f>
        <v>0</v>
      </c>
      <c r="S3086" s="2" t="s">
        <v>97</v>
      </c>
    </row>
    <row r="3087" spans="1:19" x14ac:dyDescent="0.3">
      <c r="A3087" s="4">
        <v>3085</v>
      </c>
      <c r="B3087" s="2" t="s">
        <v>2263</v>
      </c>
      <c r="C3087" s="3">
        <v>44841</v>
      </c>
      <c r="D3087" s="3" t="str">
        <f>TEXT(Table1[[#This Row],[Admission Date]],"MMMM")</f>
        <v>October</v>
      </c>
      <c r="E3087" s="3">
        <v>44841</v>
      </c>
      <c r="F3087" s="3">
        <v>44841</v>
      </c>
      <c r="G3087" s="2">
        <v>22026008</v>
      </c>
      <c r="H3087" s="2">
        <v>2235030</v>
      </c>
      <c r="I3087" s="2">
        <v>1001657236</v>
      </c>
      <c r="J3087" s="2" t="s">
        <v>798</v>
      </c>
      <c r="K3087" s="10">
        <v>1274</v>
      </c>
      <c r="L3087" s="10">
        <v>0</v>
      </c>
      <c r="M3087" s="10">
        <v>1274</v>
      </c>
      <c r="N3087" s="10">
        <v>0</v>
      </c>
      <c r="O3087" s="10">
        <f>Table1[[#This Row],[NET Amount]]-Table1[[#This Row],[Paid Amount]]</f>
        <v>1274</v>
      </c>
      <c r="P3087" s="2" t="s">
        <v>23</v>
      </c>
      <c r="Q3087" s="2" t="s">
        <v>54</v>
      </c>
      <c r="R3087" s="16">
        <f>(Table1[[#This Row],[NET Amount]]-Table1[[#This Row],[Total Outstanding Amount]])/Table1[[#This Row],[NET Amount]]</f>
        <v>0</v>
      </c>
      <c r="S3087" s="2" t="s">
        <v>97</v>
      </c>
    </row>
    <row r="3088" spans="1:19" x14ac:dyDescent="0.3">
      <c r="A3088" s="4">
        <v>3086</v>
      </c>
      <c r="B3088" s="2" t="s">
        <v>2253</v>
      </c>
      <c r="C3088" s="3">
        <v>44853</v>
      </c>
      <c r="D3088" s="3" t="str">
        <f>TEXT(Table1[[#This Row],[Admission Date]],"MMMM")</f>
        <v>October</v>
      </c>
      <c r="E3088" s="3">
        <v>44853</v>
      </c>
      <c r="F3088" s="3">
        <v>44853</v>
      </c>
      <c r="G3088" s="2">
        <v>22027771</v>
      </c>
      <c r="H3088" s="2">
        <v>2236663</v>
      </c>
      <c r="I3088" s="2">
        <v>1001803044</v>
      </c>
      <c r="J3088" s="2" t="s">
        <v>426</v>
      </c>
      <c r="K3088" s="10">
        <v>1610</v>
      </c>
      <c r="L3088" s="10">
        <v>0</v>
      </c>
      <c r="M3088" s="10">
        <v>1610</v>
      </c>
      <c r="N3088" s="10">
        <v>0</v>
      </c>
      <c r="O3088" s="10">
        <f>Table1[[#This Row],[NET Amount]]-Table1[[#This Row],[Paid Amount]]</f>
        <v>1610</v>
      </c>
      <c r="P3088" s="2" t="s">
        <v>23</v>
      </c>
      <c r="Q3088" s="2" t="s">
        <v>54</v>
      </c>
      <c r="R3088" s="16">
        <f>(Table1[[#This Row],[NET Amount]]-Table1[[#This Row],[Total Outstanding Amount]])/Table1[[#This Row],[NET Amount]]</f>
        <v>0</v>
      </c>
      <c r="S3088" s="2" t="s">
        <v>97</v>
      </c>
    </row>
    <row r="3089" spans="1:19" x14ac:dyDescent="0.3">
      <c r="A3089" s="4">
        <v>3087</v>
      </c>
      <c r="B3089" s="2" t="s">
        <v>75</v>
      </c>
      <c r="C3089" s="3">
        <v>44863</v>
      </c>
      <c r="D3089" s="3" t="str">
        <f>TEXT(Table1[[#This Row],[Admission Date]],"MMMM")</f>
        <v>October</v>
      </c>
      <c r="E3089" s="3">
        <v>44863</v>
      </c>
      <c r="F3089" s="3">
        <v>44863</v>
      </c>
      <c r="G3089" s="2">
        <v>22029068</v>
      </c>
      <c r="H3089" s="2">
        <v>2237958</v>
      </c>
      <c r="I3089" s="2">
        <v>10013514225</v>
      </c>
      <c r="J3089" s="2" t="s">
        <v>814</v>
      </c>
      <c r="K3089" s="10">
        <v>1610</v>
      </c>
      <c r="L3089" s="10">
        <v>0</v>
      </c>
      <c r="M3089" s="10">
        <v>1610</v>
      </c>
      <c r="N3089" s="10">
        <v>0</v>
      </c>
      <c r="O3089" s="10">
        <f>Table1[[#This Row],[NET Amount]]-Table1[[#This Row],[Paid Amount]]</f>
        <v>1610</v>
      </c>
      <c r="P3089" s="2" t="s">
        <v>23</v>
      </c>
      <c r="Q3089" s="2" t="s">
        <v>54</v>
      </c>
      <c r="R3089" s="16">
        <f>(Table1[[#This Row],[NET Amount]]-Table1[[#This Row],[Total Outstanding Amount]])/Table1[[#This Row],[NET Amount]]</f>
        <v>0</v>
      </c>
      <c r="S3089" s="2" t="s">
        <v>97</v>
      </c>
    </row>
    <row r="3090" spans="1:19" x14ac:dyDescent="0.3">
      <c r="A3090" s="4">
        <v>3088</v>
      </c>
      <c r="B3090" s="2" t="s">
        <v>2263</v>
      </c>
      <c r="C3090" s="3">
        <v>44841</v>
      </c>
      <c r="D3090" s="3" t="str">
        <f>TEXT(Table1[[#This Row],[Admission Date]],"MMMM")</f>
        <v>October</v>
      </c>
      <c r="E3090" s="3">
        <v>44841</v>
      </c>
      <c r="F3090" s="3">
        <v>44841</v>
      </c>
      <c r="G3090" s="2">
        <v>22026045</v>
      </c>
      <c r="H3090" s="2">
        <v>2235070</v>
      </c>
      <c r="I3090" s="2">
        <v>1001677731</v>
      </c>
      <c r="J3090" s="2" t="s">
        <v>397</v>
      </c>
      <c r="K3090" s="10">
        <v>1274</v>
      </c>
      <c r="L3090" s="10">
        <v>0</v>
      </c>
      <c r="M3090" s="10">
        <v>1274</v>
      </c>
      <c r="N3090" s="10">
        <v>0</v>
      </c>
      <c r="O3090" s="10">
        <f>Table1[[#This Row],[NET Amount]]-Table1[[#This Row],[Paid Amount]]</f>
        <v>1274</v>
      </c>
      <c r="P3090" s="2" t="s">
        <v>23</v>
      </c>
      <c r="Q3090" s="2" t="s">
        <v>54</v>
      </c>
      <c r="R3090" s="16">
        <f>(Table1[[#This Row],[NET Amount]]-Table1[[#This Row],[Total Outstanding Amount]])/Table1[[#This Row],[NET Amount]]</f>
        <v>0</v>
      </c>
      <c r="S3090" s="2" t="s">
        <v>97</v>
      </c>
    </row>
    <row r="3091" spans="1:19" x14ac:dyDescent="0.3">
      <c r="A3091" s="4">
        <v>3089</v>
      </c>
      <c r="B3091" s="2" t="s">
        <v>380</v>
      </c>
      <c r="C3091" s="3">
        <v>44842</v>
      </c>
      <c r="D3091" s="3" t="str">
        <f>TEXT(Table1[[#This Row],[Admission Date]],"MMMM")</f>
        <v>October</v>
      </c>
      <c r="E3091" s="3">
        <v>44842</v>
      </c>
      <c r="F3091" s="3">
        <v>44842</v>
      </c>
      <c r="G3091" s="2">
        <v>22026213</v>
      </c>
      <c r="H3091" s="2">
        <v>2235210</v>
      </c>
      <c r="I3091" s="2">
        <v>10013387247</v>
      </c>
      <c r="J3091" s="2" t="s">
        <v>1330</v>
      </c>
      <c r="K3091" s="10">
        <v>1274</v>
      </c>
      <c r="L3091" s="10">
        <v>0</v>
      </c>
      <c r="M3091" s="10">
        <v>1274</v>
      </c>
      <c r="N3091" s="10">
        <v>0</v>
      </c>
      <c r="O3091" s="10">
        <f>Table1[[#This Row],[NET Amount]]-Table1[[#This Row],[Paid Amount]]</f>
        <v>1274</v>
      </c>
      <c r="P3091" s="2" t="s">
        <v>23</v>
      </c>
      <c r="Q3091" s="2" t="s">
        <v>54</v>
      </c>
      <c r="R3091" s="16">
        <f>(Table1[[#This Row],[NET Amount]]-Table1[[#This Row],[Total Outstanding Amount]])/Table1[[#This Row],[NET Amount]]</f>
        <v>0</v>
      </c>
      <c r="S3091" s="2" t="s">
        <v>97</v>
      </c>
    </row>
    <row r="3092" spans="1:19" x14ac:dyDescent="0.3">
      <c r="A3092" s="4">
        <v>3090</v>
      </c>
      <c r="B3092" s="2" t="s">
        <v>75</v>
      </c>
      <c r="C3092" s="3">
        <v>44851</v>
      </c>
      <c r="D3092" s="3" t="str">
        <f>TEXT(Table1[[#This Row],[Admission Date]],"MMMM")</f>
        <v>October</v>
      </c>
      <c r="E3092" s="3">
        <v>44851</v>
      </c>
      <c r="F3092" s="3">
        <v>44851</v>
      </c>
      <c r="G3092" s="2">
        <v>22027367</v>
      </c>
      <c r="H3092" s="2">
        <v>2236284</v>
      </c>
      <c r="I3092" s="2">
        <v>10013401847</v>
      </c>
      <c r="J3092" s="2" t="s">
        <v>449</v>
      </c>
      <c r="K3092" s="10">
        <v>1610</v>
      </c>
      <c r="L3092" s="10">
        <v>0</v>
      </c>
      <c r="M3092" s="10">
        <v>1610</v>
      </c>
      <c r="N3092" s="10">
        <v>0</v>
      </c>
      <c r="O3092" s="10">
        <f>Table1[[#This Row],[NET Amount]]-Table1[[#This Row],[Paid Amount]]</f>
        <v>1610</v>
      </c>
      <c r="P3092" s="2" t="s">
        <v>23</v>
      </c>
      <c r="Q3092" s="2" t="s">
        <v>54</v>
      </c>
      <c r="R3092" s="16">
        <f>(Table1[[#This Row],[NET Amount]]-Table1[[#This Row],[Total Outstanding Amount]])/Table1[[#This Row],[NET Amount]]</f>
        <v>0</v>
      </c>
      <c r="S3092" s="2" t="s">
        <v>97</v>
      </c>
    </row>
    <row r="3093" spans="1:19" x14ac:dyDescent="0.3">
      <c r="A3093" s="4">
        <v>3091</v>
      </c>
      <c r="B3093" s="2" t="s">
        <v>380</v>
      </c>
      <c r="C3093" s="3">
        <v>44845</v>
      </c>
      <c r="D3093" s="3" t="str">
        <f>TEXT(Table1[[#This Row],[Admission Date]],"MMMM")</f>
        <v>October</v>
      </c>
      <c r="E3093" s="3">
        <v>44845</v>
      </c>
      <c r="F3093" s="3">
        <v>44845</v>
      </c>
      <c r="G3093" s="2">
        <v>22026645</v>
      </c>
      <c r="H3093" s="2">
        <v>2235608</v>
      </c>
      <c r="I3093" s="2">
        <v>10013316109</v>
      </c>
      <c r="J3093" s="2" t="s">
        <v>793</v>
      </c>
      <c r="K3093" s="10">
        <v>1274</v>
      </c>
      <c r="L3093" s="10">
        <v>0</v>
      </c>
      <c r="M3093" s="10">
        <v>1274</v>
      </c>
      <c r="N3093" s="10">
        <v>0</v>
      </c>
      <c r="O3093" s="10">
        <f>Table1[[#This Row],[NET Amount]]-Table1[[#This Row],[Paid Amount]]</f>
        <v>1274</v>
      </c>
      <c r="P3093" s="2" t="s">
        <v>23</v>
      </c>
      <c r="Q3093" s="2" t="s">
        <v>54</v>
      </c>
      <c r="R3093" s="16">
        <f>(Table1[[#This Row],[NET Amount]]-Table1[[#This Row],[Total Outstanding Amount]])/Table1[[#This Row],[NET Amount]]</f>
        <v>0</v>
      </c>
      <c r="S3093" s="2" t="s">
        <v>97</v>
      </c>
    </row>
    <row r="3094" spans="1:19" x14ac:dyDescent="0.3">
      <c r="A3094" s="4">
        <v>3092</v>
      </c>
      <c r="B3094" s="2" t="s">
        <v>2263</v>
      </c>
      <c r="C3094" s="3">
        <v>44863</v>
      </c>
      <c r="D3094" s="3" t="str">
        <f>TEXT(Table1[[#This Row],[Admission Date]],"MMMM")</f>
        <v>October</v>
      </c>
      <c r="E3094" s="3">
        <v>44863</v>
      </c>
      <c r="F3094" s="3">
        <v>44863</v>
      </c>
      <c r="G3094" s="2">
        <v>22029104</v>
      </c>
      <c r="H3094" s="2">
        <v>2237982</v>
      </c>
      <c r="I3094" s="2">
        <v>1001712791</v>
      </c>
      <c r="J3094" s="2" t="s">
        <v>450</v>
      </c>
      <c r="K3094" s="10">
        <v>1274</v>
      </c>
      <c r="L3094" s="10">
        <v>0</v>
      </c>
      <c r="M3094" s="10">
        <v>1274</v>
      </c>
      <c r="N3094" s="10">
        <v>0</v>
      </c>
      <c r="O3094" s="10">
        <f>Table1[[#This Row],[NET Amount]]-Table1[[#This Row],[Paid Amount]]</f>
        <v>1274</v>
      </c>
      <c r="P3094" s="2" t="s">
        <v>23</v>
      </c>
      <c r="Q3094" s="2" t="s">
        <v>54</v>
      </c>
      <c r="R3094" s="16">
        <f>(Table1[[#This Row],[NET Amount]]-Table1[[#This Row],[Total Outstanding Amount]])/Table1[[#This Row],[NET Amount]]</f>
        <v>0</v>
      </c>
      <c r="S3094" s="2" t="s">
        <v>97</v>
      </c>
    </row>
    <row r="3095" spans="1:19" x14ac:dyDescent="0.3">
      <c r="A3095" s="4">
        <v>3093</v>
      </c>
      <c r="B3095" s="2" t="s">
        <v>2253</v>
      </c>
      <c r="C3095" s="3">
        <v>44846</v>
      </c>
      <c r="D3095" s="3" t="str">
        <f>TEXT(Table1[[#This Row],[Admission Date]],"MMMM")</f>
        <v>October</v>
      </c>
      <c r="E3095" s="3">
        <v>44846</v>
      </c>
      <c r="F3095" s="3">
        <v>44846</v>
      </c>
      <c r="G3095" s="2">
        <v>22026664</v>
      </c>
      <c r="H3095" s="2">
        <v>2235657</v>
      </c>
      <c r="I3095" s="2">
        <v>1001722362</v>
      </c>
      <c r="J3095" s="2" t="s">
        <v>418</v>
      </c>
      <c r="K3095" s="10">
        <v>1610</v>
      </c>
      <c r="L3095" s="10">
        <v>0</v>
      </c>
      <c r="M3095" s="10">
        <v>1610</v>
      </c>
      <c r="N3095" s="10">
        <v>0</v>
      </c>
      <c r="O3095" s="10">
        <f>Table1[[#This Row],[NET Amount]]-Table1[[#This Row],[Paid Amount]]</f>
        <v>1610</v>
      </c>
      <c r="P3095" s="2" t="s">
        <v>23</v>
      </c>
      <c r="Q3095" s="2" t="s">
        <v>54</v>
      </c>
      <c r="R3095" s="16">
        <f>(Table1[[#This Row],[NET Amount]]-Table1[[#This Row],[Total Outstanding Amount]])/Table1[[#This Row],[NET Amount]]</f>
        <v>0</v>
      </c>
      <c r="S3095" s="2" t="s">
        <v>97</v>
      </c>
    </row>
    <row r="3096" spans="1:19" x14ac:dyDescent="0.3">
      <c r="A3096" s="4">
        <v>3094</v>
      </c>
      <c r="B3096" s="2" t="s">
        <v>380</v>
      </c>
      <c r="C3096" s="3">
        <v>44844</v>
      </c>
      <c r="D3096" s="3" t="str">
        <f>TEXT(Table1[[#This Row],[Admission Date]],"MMMM")</f>
        <v>October</v>
      </c>
      <c r="E3096" s="3">
        <v>44844</v>
      </c>
      <c r="F3096" s="3">
        <v>44844</v>
      </c>
      <c r="G3096" s="2">
        <v>22026345</v>
      </c>
      <c r="H3096" s="2">
        <v>2235340</v>
      </c>
      <c r="I3096" s="2">
        <v>10013435866</v>
      </c>
      <c r="J3096" s="2" t="s">
        <v>473</v>
      </c>
      <c r="K3096" s="10">
        <v>1274</v>
      </c>
      <c r="L3096" s="10">
        <v>0</v>
      </c>
      <c r="M3096" s="10">
        <v>1274</v>
      </c>
      <c r="N3096" s="10">
        <v>0</v>
      </c>
      <c r="O3096" s="10">
        <f>Table1[[#This Row],[NET Amount]]-Table1[[#This Row],[Paid Amount]]</f>
        <v>1274</v>
      </c>
      <c r="P3096" s="2" t="s">
        <v>23</v>
      </c>
      <c r="Q3096" s="2" t="s">
        <v>54</v>
      </c>
      <c r="R3096" s="16">
        <f>(Table1[[#This Row],[NET Amount]]-Table1[[#This Row],[Total Outstanding Amount]])/Table1[[#This Row],[NET Amount]]</f>
        <v>0</v>
      </c>
      <c r="S3096" s="2" t="s">
        <v>97</v>
      </c>
    </row>
    <row r="3097" spans="1:19" x14ac:dyDescent="0.3">
      <c r="A3097" s="4">
        <v>3095</v>
      </c>
      <c r="B3097" s="2" t="s">
        <v>126</v>
      </c>
      <c r="C3097" s="3">
        <v>44817</v>
      </c>
      <c r="D3097" s="3" t="str">
        <f>TEXT(Table1[[#This Row],[Admission Date]],"MMMM")</f>
        <v>September</v>
      </c>
      <c r="E3097" s="3">
        <v>44837</v>
      </c>
      <c r="F3097" s="3">
        <v>44837</v>
      </c>
      <c r="G3097" s="2">
        <v>22025382</v>
      </c>
      <c r="H3097" s="2">
        <v>2231874</v>
      </c>
      <c r="I3097" s="2">
        <v>10013538492</v>
      </c>
      <c r="J3097" s="2" t="s">
        <v>470</v>
      </c>
      <c r="K3097" s="10">
        <v>823875</v>
      </c>
      <c r="L3097" s="10">
        <v>82679</v>
      </c>
      <c r="M3097" s="10">
        <v>741196</v>
      </c>
      <c r="N3097" s="10">
        <v>741196</v>
      </c>
      <c r="O3097" s="10">
        <f>Table1[[#This Row],[NET Amount]]-Table1[[#This Row],[Paid Amount]]</f>
        <v>0</v>
      </c>
      <c r="P3097" s="2" t="s">
        <v>18</v>
      </c>
      <c r="Q3097" s="2" t="s">
        <v>30</v>
      </c>
      <c r="R3097" s="16">
        <f>(Table1[[#This Row],[NET Amount]]-Table1[[#This Row],[Total Outstanding Amount]])/Table1[[#This Row],[NET Amount]]</f>
        <v>1</v>
      </c>
      <c r="S3097" s="2" t="s">
        <v>20</v>
      </c>
    </row>
    <row r="3098" spans="1:19" x14ac:dyDescent="0.3">
      <c r="A3098" s="4">
        <v>3096</v>
      </c>
      <c r="B3098" s="2" t="s">
        <v>149</v>
      </c>
      <c r="C3098" s="3">
        <v>44851</v>
      </c>
      <c r="D3098" s="3" t="str">
        <f>TEXT(Table1[[#This Row],[Admission Date]],"MMMM")</f>
        <v>October</v>
      </c>
      <c r="E3098" s="3">
        <v>44855</v>
      </c>
      <c r="F3098" s="3">
        <v>44855</v>
      </c>
      <c r="G3098" s="2">
        <v>22027988</v>
      </c>
      <c r="H3098" s="2">
        <v>2236398</v>
      </c>
      <c r="I3098" s="2">
        <v>10013543457</v>
      </c>
      <c r="J3098" s="2" t="s">
        <v>1799</v>
      </c>
      <c r="K3098" s="10">
        <v>56346</v>
      </c>
      <c r="L3098" s="10">
        <v>0</v>
      </c>
      <c r="M3098" s="10">
        <v>56346</v>
      </c>
      <c r="N3098" s="10">
        <v>1500</v>
      </c>
      <c r="O3098" s="10">
        <f>Table1[[#This Row],[NET Amount]]-Table1[[#This Row],[Paid Amount]]</f>
        <v>54846</v>
      </c>
      <c r="P3098" s="2" t="s">
        <v>23</v>
      </c>
      <c r="Q3098" s="2" t="s">
        <v>30</v>
      </c>
      <c r="R3098" s="16">
        <f>(Table1[[#This Row],[NET Amount]]-Table1[[#This Row],[Total Outstanding Amount]])/Table1[[#This Row],[NET Amount]]</f>
        <v>2.6621233095516984E-2</v>
      </c>
      <c r="S3098" s="2" t="s">
        <v>20</v>
      </c>
    </row>
    <row r="3099" spans="1:19" x14ac:dyDescent="0.3">
      <c r="A3099" s="4">
        <v>3097</v>
      </c>
      <c r="B3099" s="2" t="s">
        <v>2279</v>
      </c>
      <c r="C3099" s="3">
        <v>44841</v>
      </c>
      <c r="D3099" s="3" t="str">
        <f>TEXT(Table1[[#This Row],[Admission Date]],"MMMM")</f>
        <v>October</v>
      </c>
      <c r="E3099" s="3">
        <v>44855</v>
      </c>
      <c r="F3099" s="3">
        <v>44855</v>
      </c>
      <c r="G3099" s="2">
        <v>22028056</v>
      </c>
      <c r="H3099" s="2">
        <v>2235050</v>
      </c>
      <c r="I3099" s="2">
        <v>1001668190</v>
      </c>
      <c r="J3099" s="2" t="s">
        <v>1061</v>
      </c>
      <c r="K3099" s="10">
        <v>183425</v>
      </c>
      <c r="L3099" s="10">
        <v>0</v>
      </c>
      <c r="M3099" s="10">
        <v>183425</v>
      </c>
      <c r="N3099" s="10">
        <v>183425</v>
      </c>
      <c r="O3099" s="10">
        <f>Table1[[#This Row],[NET Amount]]-Table1[[#This Row],[Paid Amount]]</f>
        <v>0</v>
      </c>
      <c r="P3099" s="2" t="s">
        <v>18</v>
      </c>
      <c r="Q3099" s="2" t="s">
        <v>24</v>
      </c>
      <c r="R3099" s="16">
        <f>(Table1[[#This Row],[NET Amount]]-Table1[[#This Row],[Total Outstanding Amount]])/Table1[[#This Row],[NET Amount]]</f>
        <v>1</v>
      </c>
      <c r="S3099" s="2" t="s">
        <v>20</v>
      </c>
    </row>
    <row r="3100" spans="1:19" x14ac:dyDescent="0.3">
      <c r="A3100" s="4">
        <v>3098</v>
      </c>
      <c r="B3100" s="2" t="s">
        <v>25</v>
      </c>
      <c r="C3100" s="3">
        <v>44860</v>
      </c>
      <c r="D3100" s="3" t="str">
        <f>TEXT(Table1[[#This Row],[Admission Date]],"MMMM")</f>
        <v>October</v>
      </c>
      <c r="E3100" s="3">
        <v>44863</v>
      </c>
      <c r="F3100" s="3">
        <v>44863</v>
      </c>
      <c r="G3100" s="2">
        <v>22029023</v>
      </c>
      <c r="H3100" s="2">
        <v>2237458</v>
      </c>
      <c r="I3100" s="2">
        <v>10013351858</v>
      </c>
      <c r="J3100" s="2" t="s">
        <v>1800</v>
      </c>
      <c r="K3100" s="10">
        <v>116752</v>
      </c>
      <c r="L3100" s="10">
        <v>14120</v>
      </c>
      <c r="M3100" s="10">
        <v>102631</v>
      </c>
      <c r="N3100" s="10">
        <v>102631</v>
      </c>
      <c r="O3100" s="10">
        <f>Table1[[#This Row],[NET Amount]]-Table1[[#This Row],[Paid Amount]]</f>
        <v>0</v>
      </c>
      <c r="P3100" s="2" t="s">
        <v>18</v>
      </c>
      <c r="Q3100" s="2" t="s">
        <v>104</v>
      </c>
      <c r="R3100" s="16">
        <f>(Table1[[#This Row],[NET Amount]]-Table1[[#This Row],[Total Outstanding Amount]])/Table1[[#This Row],[NET Amount]]</f>
        <v>1</v>
      </c>
      <c r="S3100" s="2" t="s">
        <v>27</v>
      </c>
    </row>
    <row r="3101" spans="1:19" x14ac:dyDescent="0.3">
      <c r="A3101" s="4">
        <v>3099</v>
      </c>
      <c r="B3101" s="2" t="s">
        <v>25</v>
      </c>
      <c r="C3101" s="3">
        <v>44860</v>
      </c>
      <c r="D3101" s="3" t="str">
        <f>TEXT(Table1[[#This Row],[Admission Date]],"MMMM")</f>
        <v>October</v>
      </c>
      <c r="E3101" s="3">
        <v>44862</v>
      </c>
      <c r="F3101" s="3">
        <v>44862</v>
      </c>
      <c r="G3101" s="2">
        <v>22028880</v>
      </c>
      <c r="H3101" s="2">
        <v>2237468</v>
      </c>
      <c r="I3101" s="2">
        <v>1001282665</v>
      </c>
      <c r="J3101" s="2" t="s">
        <v>2286</v>
      </c>
      <c r="K3101" s="10">
        <v>94252</v>
      </c>
      <c r="L3101" s="10">
        <v>11905</v>
      </c>
      <c r="M3101" s="10">
        <v>82347</v>
      </c>
      <c r="N3101" s="10">
        <v>82347</v>
      </c>
      <c r="O3101" s="10">
        <f>Table1[[#This Row],[NET Amount]]-Table1[[#This Row],[Paid Amount]]</f>
        <v>0</v>
      </c>
      <c r="P3101" s="2" t="s">
        <v>18</v>
      </c>
      <c r="Q3101" s="2" t="s">
        <v>30</v>
      </c>
      <c r="R3101" s="16">
        <f>(Table1[[#This Row],[NET Amount]]-Table1[[#This Row],[Total Outstanding Amount]])/Table1[[#This Row],[NET Amount]]</f>
        <v>1</v>
      </c>
      <c r="S3101" s="2" t="s">
        <v>27</v>
      </c>
    </row>
    <row r="3102" spans="1:19" x14ac:dyDescent="0.3">
      <c r="A3102" s="4">
        <v>3100</v>
      </c>
      <c r="B3102" s="2" t="s">
        <v>152</v>
      </c>
      <c r="C3102" s="3">
        <v>44863</v>
      </c>
      <c r="D3102" s="3" t="str">
        <f>TEXT(Table1[[#This Row],[Admission Date]],"MMMM")</f>
        <v>October</v>
      </c>
      <c r="E3102" s="3">
        <v>44865</v>
      </c>
      <c r="F3102" s="3">
        <v>44865</v>
      </c>
      <c r="G3102" s="2">
        <v>22029283</v>
      </c>
      <c r="H3102" s="2">
        <v>2237947</v>
      </c>
      <c r="I3102" s="2">
        <v>1001491537</v>
      </c>
      <c r="J3102" s="2" t="s">
        <v>1801</v>
      </c>
      <c r="K3102" s="10">
        <v>42974</v>
      </c>
      <c r="L3102" s="10">
        <v>0</v>
      </c>
      <c r="M3102" s="10">
        <v>42974</v>
      </c>
      <c r="N3102" s="10">
        <v>1318</v>
      </c>
      <c r="O3102" s="10">
        <f>Table1[[#This Row],[NET Amount]]-Table1[[#This Row],[Paid Amount]]</f>
        <v>41656</v>
      </c>
      <c r="P3102" s="2" t="s">
        <v>23</v>
      </c>
      <c r="Q3102" s="2" t="s">
        <v>19</v>
      </c>
      <c r="R3102" s="16">
        <f>(Table1[[#This Row],[NET Amount]]-Table1[[#This Row],[Total Outstanding Amount]])/Table1[[#This Row],[NET Amount]]</f>
        <v>3.0669707264857821E-2</v>
      </c>
      <c r="S3102" s="2" t="s">
        <v>20</v>
      </c>
    </row>
    <row r="3103" spans="1:19" x14ac:dyDescent="0.3">
      <c r="A3103" s="4">
        <v>3101</v>
      </c>
      <c r="B3103" s="2" t="s">
        <v>25</v>
      </c>
      <c r="C3103" s="3">
        <v>44862</v>
      </c>
      <c r="D3103" s="3" t="str">
        <f>TEXT(Table1[[#This Row],[Admission Date]],"MMMM")</f>
        <v>October</v>
      </c>
      <c r="E3103" s="3">
        <v>44865</v>
      </c>
      <c r="F3103" s="3">
        <v>44865</v>
      </c>
      <c r="G3103" s="2">
        <v>22029300</v>
      </c>
      <c r="H3103" s="2">
        <v>2237811</v>
      </c>
      <c r="I3103" s="2">
        <v>1001806811</v>
      </c>
      <c r="J3103" s="2" t="s">
        <v>1802</v>
      </c>
      <c r="K3103" s="10">
        <v>15216</v>
      </c>
      <c r="L3103" s="10">
        <v>1898</v>
      </c>
      <c r="M3103" s="10">
        <v>13318</v>
      </c>
      <c r="N3103" s="10">
        <v>13318</v>
      </c>
      <c r="O3103" s="10">
        <f>Table1[[#This Row],[NET Amount]]-Table1[[#This Row],[Paid Amount]]</f>
        <v>0</v>
      </c>
      <c r="P3103" s="2" t="s">
        <v>18</v>
      </c>
      <c r="Q3103" s="2" t="s">
        <v>19</v>
      </c>
      <c r="R3103" s="16">
        <f>(Table1[[#This Row],[NET Amount]]-Table1[[#This Row],[Total Outstanding Amount]])/Table1[[#This Row],[NET Amount]]</f>
        <v>1</v>
      </c>
      <c r="S3103" s="2" t="s">
        <v>37</v>
      </c>
    </row>
    <row r="3104" spans="1:19" x14ac:dyDescent="0.3">
      <c r="A3104" s="4">
        <v>3102</v>
      </c>
      <c r="B3104" s="2" t="s">
        <v>117</v>
      </c>
      <c r="C3104" s="3">
        <v>44851</v>
      </c>
      <c r="D3104" s="3" t="str">
        <f>TEXT(Table1[[#This Row],[Admission Date]],"MMMM")</f>
        <v>October</v>
      </c>
      <c r="E3104" s="3">
        <v>44854</v>
      </c>
      <c r="F3104" s="3">
        <v>44854</v>
      </c>
      <c r="G3104" s="2">
        <v>22027919</v>
      </c>
      <c r="H3104" s="2">
        <v>2236319</v>
      </c>
      <c r="I3104" s="2">
        <v>10013537330</v>
      </c>
      <c r="J3104" s="2" t="s">
        <v>440</v>
      </c>
      <c r="K3104" s="10">
        <v>78120</v>
      </c>
      <c r="L3104" s="10">
        <v>0</v>
      </c>
      <c r="M3104" s="10">
        <v>78120</v>
      </c>
      <c r="N3104" s="10">
        <v>78120</v>
      </c>
      <c r="O3104" s="10">
        <f>Table1[[#This Row],[NET Amount]]-Table1[[#This Row],[Paid Amount]]</f>
        <v>0</v>
      </c>
      <c r="P3104" s="2" t="s">
        <v>18</v>
      </c>
      <c r="Q3104" s="2" t="s">
        <v>19</v>
      </c>
      <c r="R3104" s="16">
        <f>(Table1[[#This Row],[NET Amount]]-Table1[[#This Row],[Total Outstanding Amount]])/Table1[[#This Row],[NET Amount]]</f>
        <v>1</v>
      </c>
      <c r="S3104" s="2" t="s">
        <v>43</v>
      </c>
    </row>
    <row r="3105" spans="1:19" x14ac:dyDescent="0.3">
      <c r="A3105" s="4">
        <v>3103</v>
      </c>
      <c r="B3105" s="2" t="s">
        <v>25</v>
      </c>
      <c r="C3105" s="3">
        <v>44851</v>
      </c>
      <c r="D3105" s="3" t="str">
        <f>TEXT(Table1[[#This Row],[Admission Date]],"MMMM")</f>
        <v>October</v>
      </c>
      <c r="E3105" s="3">
        <v>44851</v>
      </c>
      <c r="F3105" s="3">
        <v>44851</v>
      </c>
      <c r="G3105" s="2">
        <v>22027474</v>
      </c>
      <c r="H3105" s="2">
        <v>2236307</v>
      </c>
      <c r="I3105" s="2">
        <v>10013541286</v>
      </c>
      <c r="J3105" s="2" t="s">
        <v>666</v>
      </c>
      <c r="K3105" s="10">
        <v>35174</v>
      </c>
      <c r="L3105" s="10">
        <v>35174</v>
      </c>
      <c r="M3105" s="10">
        <v>0</v>
      </c>
      <c r="N3105" s="10">
        <v>0</v>
      </c>
      <c r="O3105" s="10">
        <f>Table1[[#This Row],[NET Amount]]-Table1[[#This Row],[Paid Amount]]</f>
        <v>0</v>
      </c>
      <c r="P3105" s="2" t="s">
        <v>18</v>
      </c>
      <c r="Q3105" s="2" t="s">
        <v>90</v>
      </c>
      <c r="R3105" s="16" t="e">
        <f>(Table1[[#This Row],[NET Amount]]-Table1[[#This Row],[Total Outstanding Amount]])/Table1[[#This Row],[NET Amount]]</f>
        <v>#DIV/0!</v>
      </c>
      <c r="S3105" s="2" t="s">
        <v>768</v>
      </c>
    </row>
    <row r="3106" spans="1:19" x14ac:dyDescent="0.3">
      <c r="A3106" s="4">
        <v>3104</v>
      </c>
      <c r="B3106" s="2" t="s">
        <v>93</v>
      </c>
      <c r="C3106" s="3">
        <v>44851</v>
      </c>
      <c r="D3106" s="3" t="str">
        <f>TEXT(Table1[[#This Row],[Admission Date]],"MMMM")</f>
        <v>October</v>
      </c>
      <c r="E3106" s="3">
        <v>44851</v>
      </c>
      <c r="F3106" s="3">
        <v>44851</v>
      </c>
      <c r="G3106" s="2">
        <v>22027471</v>
      </c>
      <c r="H3106" s="2">
        <v>2236296</v>
      </c>
      <c r="I3106" s="2">
        <v>10013479174</v>
      </c>
      <c r="J3106" s="2" t="s">
        <v>22</v>
      </c>
      <c r="K3106" s="10">
        <v>31525</v>
      </c>
      <c r="L3106" s="10">
        <v>0</v>
      </c>
      <c r="M3106" s="10">
        <v>31525</v>
      </c>
      <c r="N3106" s="10">
        <v>7525</v>
      </c>
      <c r="O3106" s="10">
        <f>Table1[[#This Row],[NET Amount]]-Table1[[#This Row],[Paid Amount]]</f>
        <v>24000</v>
      </c>
      <c r="P3106" s="2" t="s">
        <v>23</v>
      </c>
      <c r="Q3106" s="2" t="s">
        <v>147</v>
      </c>
      <c r="R3106" s="16">
        <f>(Table1[[#This Row],[NET Amount]]-Table1[[#This Row],[Total Outstanding Amount]])/Table1[[#This Row],[NET Amount]]</f>
        <v>0.23869944488501191</v>
      </c>
      <c r="S3106" s="2" t="s">
        <v>768</v>
      </c>
    </row>
    <row r="3107" spans="1:19" x14ac:dyDescent="0.3">
      <c r="A3107" s="4">
        <v>3105</v>
      </c>
      <c r="B3107" s="2" t="s">
        <v>21</v>
      </c>
      <c r="C3107" s="3">
        <v>44859</v>
      </c>
      <c r="D3107" s="3" t="str">
        <f>TEXT(Table1[[#This Row],[Admission Date]],"MMMM")</f>
        <v>October</v>
      </c>
      <c r="E3107" s="3">
        <v>44861</v>
      </c>
      <c r="F3107" s="3">
        <v>44861</v>
      </c>
      <c r="G3107" s="2">
        <v>22028746</v>
      </c>
      <c r="H3107" s="2">
        <v>2237250</v>
      </c>
      <c r="I3107" s="2">
        <v>1001805993</v>
      </c>
      <c r="J3107" s="2" t="s">
        <v>1803</v>
      </c>
      <c r="K3107" s="10">
        <v>10451</v>
      </c>
      <c r="L3107" s="10">
        <v>0</v>
      </c>
      <c r="M3107" s="10">
        <v>10451</v>
      </c>
      <c r="N3107" s="10">
        <v>10451</v>
      </c>
      <c r="O3107" s="10">
        <f>Table1[[#This Row],[NET Amount]]-Table1[[#This Row],[Paid Amount]]</f>
        <v>0</v>
      </c>
      <c r="P3107" s="2" t="s">
        <v>18</v>
      </c>
      <c r="Q3107" s="2" t="s">
        <v>19</v>
      </c>
      <c r="R3107" s="16">
        <f>(Table1[[#This Row],[NET Amount]]-Table1[[#This Row],[Total Outstanding Amount]])/Table1[[#This Row],[NET Amount]]</f>
        <v>1</v>
      </c>
      <c r="S3107" s="2" t="s">
        <v>37</v>
      </c>
    </row>
    <row r="3108" spans="1:19" x14ac:dyDescent="0.3">
      <c r="A3108" s="4">
        <v>3106</v>
      </c>
      <c r="B3108" s="2" t="s">
        <v>126</v>
      </c>
      <c r="C3108" s="3">
        <v>44846</v>
      </c>
      <c r="D3108" s="3" t="str">
        <f>TEXT(Table1[[#This Row],[Admission Date]],"MMMM")</f>
        <v>October</v>
      </c>
      <c r="E3108" s="3">
        <v>44847</v>
      </c>
      <c r="F3108" s="3">
        <v>44847</v>
      </c>
      <c r="G3108" s="2">
        <v>22026864</v>
      </c>
      <c r="H3108" s="2">
        <v>2235701</v>
      </c>
      <c r="I3108" s="2">
        <v>1001580979</v>
      </c>
      <c r="J3108" s="2" t="s">
        <v>1804</v>
      </c>
      <c r="K3108" s="10">
        <v>261224</v>
      </c>
      <c r="L3108" s="10">
        <v>0</v>
      </c>
      <c r="M3108" s="10">
        <v>261224</v>
      </c>
      <c r="N3108" s="10">
        <v>5340</v>
      </c>
      <c r="O3108" s="10">
        <f>Table1[[#This Row],[NET Amount]]-Table1[[#This Row],[Paid Amount]]</f>
        <v>255884</v>
      </c>
      <c r="P3108" s="2" t="s">
        <v>23</v>
      </c>
      <c r="Q3108" s="2" t="s">
        <v>24</v>
      </c>
      <c r="R3108" s="16">
        <f>(Table1[[#This Row],[NET Amount]]-Table1[[#This Row],[Total Outstanding Amount]])/Table1[[#This Row],[NET Amount]]</f>
        <v>2.0442225829173429E-2</v>
      </c>
      <c r="S3108" s="2" t="s">
        <v>39</v>
      </c>
    </row>
    <row r="3109" spans="1:19" x14ac:dyDescent="0.3">
      <c r="A3109" s="4">
        <v>3107</v>
      </c>
      <c r="B3109" s="2" t="s">
        <v>50</v>
      </c>
      <c r="C3109" s="3">
        <v>44836</v>
      </c>
      <c r="D3109" s="3" t="str">
        <f>TEXT(Table1[[#This Row],[Admission Date]],"MMMM")</f>
        <v>October</v>
      </c>
      <c r="E3109" s="3">
        <v>44838</v>
      </c>
      <c r="F3109" s="3">
        <v>44838</v>
      </c>
      <c r="G3109" s="2">
        <v>22025606</v>
      </c>
      <c r="H3109" s="2">
        <v>2234320</v>
      </c>
      <c r="I3109" s="2">
        <v>10013541239</v>
      </c>
      <c r="J3109" s="2" t="s">
        <v>1805</v>
      </c>
      <c r="K3109" s="10">
        <v>195289</v>
      </c>
      <c r="L3109" s="10">
        <v>23173</v>
      </c>
      <c r="M3109" s="10">
        <v>172116</v>
      </c>
      <c r="N3109" s="10">
        <v>42072</v>
      </c>
      <c r="O3109" s="10">
        <f>Table1[[#This Row],[NET Amount]]-Table1[[#This Row],[Paid Amount]]</f>
        <v>130044</v>
      </c>
      <c r="P3109" s="2" t="s">
        <v>23</v>
      </c>
      <c r="Q3109" s="2" t="s">
        <v>42</v>
      </c>
      <c r="R3109" s="16">
        <f>(Table1[[#This Row],[NET Amount]]-Table1[[#This Row],[Total Outstanding Amount]])/Table1[[#This Row],[NET Amount]]</f>
        <v>0.24443979641637034</v>
      </c>
      <c r="S3109" s="2" t="s">
        <v>20</v>
      </c>
    </row>
    <row r="3110" spans="1:19" x14ac:dyDescent="0.3">
      <c r="A3110" s="4">
        <v>3108</v>
      </c>
      <c r="B3110" s="2" t="s">
        <v>259</v>
      </c>
      <c r="C3110" s="3">
        <v>44854</v>
      </c>
      <c r="D3110" s="3" t="str">
        <f>TEXT(Table1[[#This Row],[Admission Date]],"MMMM")</f>
        <v>October</v>
      </c>
      <c r="E3110" s="3">
        <v>44856</v>
      </c>
      <c r="F3110" s="3">
        <v>44856</v>
      </c>
      <c r="G3110" s="2">
        <v>22028145</v>
      </c>
      <c r="H3110" s="2">
        <v>2236819</v>
      </c>
      <c r="I3110" s="2">
        <v>10013526168</v>
      </c>
      <c r="J3110" s="2" t="s">
        <v>1806</v>
      </c>
      <c r="K3110" s="10">
        <v>107326</v>
      </c>
      <c r="L3110" s="10">
        <v>15148</v>
      </c>
      <c r="M3110" s="10">
        <v>92178</v>
      </c>
      <c r="N3110" s="10">
        <v>3026</v>
      </c>
      <c r="O3110" s="10">
        <f>Table1[[#This Row],[NET Amount]]-Table1[[#This Row],[Paid Amount]]</f>
        <v>89152</v>
      </c>
      <c r="P3110" s="2" t="s">
        <v>23</v>
      </c>
      <c r="Q3110" s="2" t="s">
        <v>30</v>
      </c>
      <c r="R3110" s="16">
        <f>(Table1[[#This Row],[NET Amount]]-Table1[[#This Row],[Total Outstanding Amount]])/Table1[[#This Row],[NET Amount]]</f>
        <v>3.282778971121092E-2</v>
      </c>
      <c r="S3110" s="2" t="s">
        <v>77</v>
      </c>
    </row>
    <row r="3111" spans="1:19" x14ac:dyDescent="0.3">
      <c r="A3111" s="4">
        <v>3109</v>
      </c>
      <c r="B3111" s="2" t="s">
        <v>25</v>
      </c>
      <c r="C3111" s="3">
        <v>44846</v>
      </c>
      <c r="D3111" s="3" t="str">
        <f>TEXT(Table1[[#This Row],[Admission Date]],"MMMM")</f>
        <v>October</v>
      </c>
      <c r="E3111" s="3">
        <v>44848</v>
      </c>
      <c r="F3111" s="3">
        <v>44848</v>
      </c>
      <c r="G3111" s="2">
        <v>22027009</v>
      </c>
      <c r="H3111" s="2">
        <v>2235650</v>
      </c>
      <c r="I3111" s="2">
        <v>10013445946</v>
      </c>
      <c r="J3111" s="2" t="s">
        <v>1807</v>
      </c>
      <c r="K3111" s="10">
        <v>102975</v>
      </c>
      <c r="L3111" s="10">
        <v>12661</v>
      </c>
      <c r="M3111" s="10">
        <v>90314</v>
      </c>
      <c r="N3111" s="10">
        <v>90314</v>
      </c>
      <c r="O3111" s="10">
        <f>Table1[[#This Row],[NET Amount]]-Table1[[#This Row],[Paid Amount]]</f>
        <v>0</v>
      </c>
      <c r="P3111" s="2" t="s">
        <v>18</v>
      </c>
      <c r="Q3111" s="2" t="s">
        <v>30</v>
      </c>
      <c r="R3111" s="16">
        <f>(Table1[[#This Row],[NET Amount]]-Table1[[#This Row],[Total Outstanding Amount]])/Table1[[#This Row],[NET Amount]]</f>
        <v>1</v>
      </c>
      <c r="S3111" s="2" t="s">
        <v>27</v>
      </c>
    </row>
    <row r="3112" spans="1:19" x14ac:dyDescent="0.3">
      <c r="A3112" s="4">
        <v>3110</v>
      </c>
      <c r="B3112" s="2" t="s">
        <v>126</v>
      </c>
      <c r="C3112" s="3">
        <v>44851</v>
      </c>
      <c r="D3112" s="3" t="str">
        <f>TEXT(Table1[[#This Row],[Admission Date]],"MMMM")</f>
        <v>October</v>
      </c>
      <c r="E3112" s="3">
        <v>44855</v>
      </c>
      <c r="F3112" s="3">
        <v>44855</v>
      </c>
      <c r="G3112" s="2">
        <v>22027982</v>
      </c>
      <c r="H3112" s="2">
        <v>2236409</v>
      </c>
      <c r="I3112" s="2">
        <v>1001804922</v>
      </c>
      <c r="J3112" s="2" t="s">
        <v>1808</v>
      </c>
      <c r="K3112" s="10">
        <v>77639</v>
      </c>
      <c r="L3112" s="10">
        <v>10787</v>
      </c>
      <c r="M3112" s="10">
        <v>66852</v>
      </c>
      <c r="N3112" s="10">
        <v>4208</v>
      </c>
      <c r="O3112" s="10">
        <f>Table1[[#This Row],[NET Amount]]-Table1[[#This Row],[Paid Amount]]</f>
        <v>62644</v>
      </c>
      <c r="P3112" s="2" t="s">
        <v>23</v>
      </c>
      <c r="Q3112" s="2" t="s">
        <v>30</v>
      </c>
      <c r="R3112" s="16">
        <f>(Table1[[#This Row],[NET Amount]]-Table1[[#This Row],[Total Outstanding Amount]])/Table1[[#This Row],[NET Amount]]</f>
        <v>6.2945012864237426E-2</v>
      </c>
      <c r="S3112" s="2" t="s">
        <v>37</v>
      </c>
    </row>
    <row r="3113" spans="1:19" x14ac:dyDescent="0.3">
      <c r="A3113" s="4">
        <v>3111</v>
      </c>
      <c r="B3113" s="2" t="s">
        <v>25</v>
      </c>
      <c r="C3113" s="3">
        <v>44851</v>
      </c>
      <c r="D3113" s="3" t="str">
        <f>TEXT(Table1[[#This Row],[Admission Date]],"MMMM")</f>
        <v>October</v>
      </c>
      <c r="E3113" s="3">
        <v>44856</v>
      </c>
      <c r="F3113" s="3">
        <v>44856</v>
      </c>
      <c r="G3113" s="2">
        <v>22028220</v>
      </c>
      <c r="H3113" s="2">
        <v>2236410</v>
      </c>
      <c r="I3113" s="2">
        <v>10013543455</v>
      </c>
      <c r="J3113" s="2" t="s">
        <v>1809</v>
      </c>
      <c r="K3113" s="10">
        <v>196151</v>
      </c>
      <c r="L3113" s="10">
        <v>58506</v>
      </c>
      <c r="M3113" s="10">
        <v>137644</v>
      </c>
      <c r="N3113" s="10">
        <v>137644</v>
      </c>
      <c r="O3113" s="10">
        <f>Table1[[#This Row],[NET Amount]]-Table1[[#This Row],[Paid Amount]]</f>
        <v>0</v>
      </c>
      <c r="P3113" s="2" t="s">
        <v>18</v>
      </c>
      <c r="Q3113" s="2" t="s">
        <v>69</v>
      </c>
      <c r="R3113" s="16">
        <f>(Table1[[#This Row],[NET Amount]]-Table1[[#This Row],[Total Outstanding Amount]])/Table1[[#This Row],[NET Amount]]</f>
        <v>1</v>
      </c>
      <c r="S3113" s="2" t="s">
        <v>20</v>
      </c>
    </row>
    <row r="3114" spans="1:19" x14ac:dyDescent="0.3">
      <c r="A3114" s="4">
        <v>3112</v>
      </c>
      <c r="B3114" s="2" t="s">
        <v>178</v>
      </c>
      <c r="C3114" s="3">
        <v>44839</v>
      </c>
      <c r="D3114" s="3" t="str">
        <f>TEXT(Table1[[#This Row],[Admission Date]],"MMMM")</f>
        <v>October</v>
      </c>
      <c r="E3114" s="3">
        <v>44851</v>
      </c>
      <c r="F3114" s="3">
        <v>44851</v>
      </c>
      <c r="G3114" s="2">
        <v>22027444</v>
      </c>
      <c r="H3114" s="2">
        <v>2234796</v>
      </c>
      <c r="I3114" s="2">
        <v>10013541668</v>
      </c>
      <c r="J3114" s="2" t="s">
        <v>1810</v>
      </c>
      <c r="K3114" s="10">
        <v>391334</v>
      </c>
      <c r="L3114" s="10">
        <v>51653</v>
      </c>
      <c r="M3114" s="10">
        <v>339681</v>
      </c>
      <c r="N3114" s="10">
        <v>54568</v>
      </c>
      <c r="O3114" s="10">
        <f>Table1[[#This Row],[NET Amount]]-Table1[[#This Row],[Paid Amount]]</f>
        <v>285113</v>
      </c>
      <c r="P3114" s="2" t="s">
        <v>23</v>
      </c>
      <c r="Q3114" s="2" t="s">
        <v>42</v>
      </c>
      <c r="R3114" s="16">
        <f>(Table1[[#This Row],[NET Amount]]-Table1[[#This Row],[Total Outstanding Amount]])/Table1[[#This Row],[NET Amount]]</f>
        <v>0.16064484030605186</v>
      </c>
      <c r="S3114" s="2" t="s">
        <v>20</v>
      </c>
    </row>
    <row r="3115" spans="1:19" x14ac:dyDescent="0.3">
      <c r="A3115" s="4">
        <v>3113</v>
      </c>
      <c r="B3115" s="2" t="s">
        <v>35</v>
      </c>
      <c r="C3115" s="3">
        <v>44825</v>
      </c>
      <c r="D3115" s="3" t="str">
        <f>TEXT(Table1[[#This Row],[Admission Date]],"MMMM")</f>
        <v>September</v>
      </c>
      <c r="E3115" s="3">
        <v>44841</v>
      </c>
      <c r="F3115" s="3">
        <v>44841</v>
      </c>
      <c r="G3115" s="2">
        <v>22025983</v>
      </c>
      <c r="H3115" s="2">
        <v>2232862</v>
      </c>
      <c r="I3115" s="2">
        <v>10013539726</v>
      </c>
      <c r="J3115" s="2" t="s">
        <v>1811</v>
      </c>
      <c r="K3115" s="10">
        <v>214952</v>
      </c>
      <c r="L3115" s="10">
        <v>0</v>
      </c>
      <c r="M3115" s="10">
        <v>214952</v>
      </c>
      <c r="N3115" s="10">
        <v>3257</v>
      </c>
      <c r="O3115" s="10">
        <f>Table1[[#This Row],[NET Amount]]-Table1[[#This Row],[Paid Amount]]</f>
        <v>211695</v>
      </c>
      <c r="P3115" s="2" t="s">
        <v>23</v>
      </c>
      <c r="Q3115" s="2" t="s">
        <v>24</v>
      </c>
      <c r="R3115" s="16">
        <f>(Table1[[#This Row],[NET Amount]]-Table1[[#This Row],[Total Outstanding Amount]])/Table1[[#This Row],[NET Amount]]</f>
        <v>1.5152220030518441E-2</v>
      </c>
      <c r="S3115" s="2" t="s">
        <v>20</v>
      </c>
    </row>
    <row r="3116" spans="1:19" x14ac:dyDescent="0.3">
      <c r="A3116" s="4">
        <v>3114</v>
      </c>
      <c r="B3116" s="2" t="s">
        <v>25</v>
      </c>
      <c r="C3116" s="3">
        <v>44841</v>
      </c>
      <c r="D3116" s="3" t="str">
        <f>TEXT(Table1[[#This Row],[Admission Date]],"MMMM")</f>
        <v>October</v>
      </c>
      <c r="E3116" s="3">
        <v>44842</v>
      </c>
      <c r="F3116" s="3">
        <v>44842</v>
      </c>
      <c r="G3116" s="2">
        <v>22026119</v>
      </c>
      <c r="H3116" s="2">
        <v>2235002</v>
      </c>
      <c r="I3116" s="2">
        <v>1001284557</v>
      </c>
      <c r="J3116" s="2" t="s">
        <v>1726</v>
      </c>
      <c r="K3116" s="10">
        <v>43590</v>
      </c>
      <c r="L3116" s="10">
        <v>4977</v>
      </c>
      <c r="M3116" s="10">
        <v>38613</v>
      </c>
      <c r="N3116" s="10">
        <v>38613</v>
      </c>
      <c r="O3116" s="10">
        <f>Table1[[#This Row],[NET Amount]]-Table1[[#This Row],[Paid Amount]]</f>
        <v>0</v>
      </c>
      <c r="P3116" s="2" t="s">
        <v>18</v>
      </c>
      <c r="Q3116" s="2" t="s">
        <v>19</v>
      </c>
      <c r="R3116" s="16">
        <f>(Table1[[#This Row],[NET Amount]]-Table1[[#This Row],[Total Outstanding Amount]])/Table1[[#This Row],[NET Amount]]</f>
        <v>1</v>
      </c>
      <c r="S3116" s="2" t="s">
        <v>27</v>
      </c>
    </row>
    <row r="3117" spans="1:19" x14ac:dyDescent="0.3">
      <c r="A3117" s="4">
        <v>3115</v>
      </c>
      <c r="B3117" s="2" t="s">
        <v>50</v>
      </c>
      <c r="C3117" s="3">
        <v>44850</v>
      </c>
      <c r="D3117" s="3" t="str">
        <f>TEXT(Table1[[#This Row],[Admission Date]],"MMMM")</f>
        <v>October</v>
      </c>
      <c r="E3117" s="3">
        <v>44861</v>
      </c>
      <c r="F3117" s="3">
        <v>44861</v>
      </c>
      <c r="G3117" s="2">
        <v>22028753</v>
      </c>
      <c r="H3117" s="2">
        <v>2236262</v>
      </c>
      <c r="I3117" s="2">
        <v>10013541686</v>
      </c>
      <c r="J3117" s="2" t="s">
        <v>1812</v>
      </c>
      <c r="K3117" s="10">
        <v>133587</v>
      </c>
      <c r="L3117" s="10">
        <v>16198</v>
      </c>
      <c r="M3117" s="10">
        <v>117389</v>
      </c>
      <c r="N3117" s="10">
        <v>1500</v>
      </c>
      <c r="O3117" s="10">
        <f>Table1[[#This Row],[NET Amount]]-Table1[[#This Row],[Paid Amount]]</f>
        <v>115889</v>
      </c>
      <c r="P3117" s="2" t="s">
        <v>23</v>
      </c>
      <c r="Q3117" s="2" t="s">
        <v>42</v>
      </c>
      <c r="R3117" s="16">
        <f>(Table1[[#This Row],[NET Amount]]-Table1[[#This Row],[Total Outstanding Amount]])/Table1[[#This Row],[NET Amount]]</f>
        <v>1.2778028605746705E-2</v>
      </c>
      <c r="S3117" s="2" t="s">
        <v>20</v>
      </c>
    </row>
    <row r="3118" spans="1:19" x14ac:dyDescent="0.3">
      <c r="A3118" s="4">
        <v>3116</v>
      </c>
      <c r="B3118" s="2" t="s">
        <v>25</v>
      </c>
      <c r="C3118" s="3">
        <v>44855</v>
      </c>
      <c r="D3118" s="3" t="str">
        <f>TEXT(Table1[[#This Row],[Admission Date]],"MMMM")</f>
        <v>October</v>
      </c>
      <c r="E3118" s="3">
        <v>44855</v>
      </c>
      <c r="F3118" s="3">
        <v>44855</v>
      </c>
      <c r="G3118" s="2">
        <v>22028092</v>
      </c>
      <c r="H3118" s="2">
        <v>2236945</v>
      </c>
      <c r="I3118" s="2">
        <v>10013352607</v>
      </c>
      <c r="J3118" s="2" t="s">
        <v>305</v>
      </c>
      <c r="K3118" s="10">
        <v>2844</v>
      </c>
      <c r="L3118" s="10">
        <v>308</v>
      </c>
      <c r="M3118" s="10">
        <v>2536</v>
      </c>
      <c r="N3118" s="10">
        <v>2536</v>
      </c>
      <c r="O3118" s="10">
        <f>Table1[[#This Row],[NET Amount]]-Table1[[#This Row],[Paid Amount]]</f>
        <v>0</v>
      </c>
      <c r="P3118" s="2" t="s">
        <v>18</v>
      </c>
      <c r="Q3118" s="2" t="s">
        <v>54</v>
      </c>
      <c r="R3118" s="16">
        <f>(Table1[[#This Row],[NET Amount]]-Table1[[#This Row],[Total Outstanding Amount]])/Table1[[#This Row],[NET Amount]]</f>
        <v>1</v>
      </c>
      <c r="S3118" s="2" t="s">
        <v>97</v>
      </c>
    </row>
    <row r="3119" spans="1:19" x14ac:dyDescent="0.3">
      <c r="A3119" s="4">
        <v>3117</v>
      </c>
      <c r="B3119" s="2" t="s">
        <v>61</v>
      </c>
      <c r="C3119" s="3">
        <v>44847</v>
      </c>
      <c r="D3119" s="3" t="str">
        <f>TEXT(Table1[[#This Row],[Admission Date]],"MMMM")</f>
        <v>October</v>
      </c>
      <c r="E3119" s="3">
        <v>44850</v>
      </c>
      <c r="F3119" s="3">
        <v>44850</v>
      </c>
      <c r="G3119" s="2">
        <v>22027311</v>
      </c>
      <c r="H3119" s="2">
        <v>2235857</v>
      </c>
      <c r="I3119" s="2">
        <v>1001804178</v>
      </c>
      <c r="J3119" s="2" t="s">
        <v>1813</v>
      </c>
      <c r="K3119" s="10">
        <v>22635</v>
      </c>
      <c r="L3119" s="10">
        <v>2998</v>
      </c>
      <c r="M3119" s="10">
        <v>19637</v>
      </c>
      <c r="N3119" s="10">
        <v>4448</v>
      </c>
      <c r="O3119" s="10">
        <f>Table1[[#This Row],[NET Amount]]-Table1[[#This Row],[Paid Amount]]</f>
        <v>15189</v>
      </c>
      <c r="P3119" s="2" t="s">
        <v>23</v>
      </c>
      <c r="Q3119" s="2" t="s">
        <v>42</v>
      </c>
      <c r="R3119" s="16">
        <f>(Table1[[#This Row],[NET Amount]]-Table1[[#This Row],[Total Outstanding Amount]])/Table1[[#This Row],[NET Amount]]</f>
        <v>0.22651117787849467</v>
      </c>
      <c r="S3119" s="2" t="s">
        <v>37</v>
      </c>
    </row>
    <row r="3120" spans="1:19" x14ac:dyDescent="0.3">
      <c r="A3120" s="4">
        <v>3118</v>
      </c>
      <c r="B3120" s="2" t="s">
        <v>91</v>
      </c>
      <c r="C3120" s="3">
        <v>44851</v>
      </c>
      <c r="D3120" s="3" t="str">
        <f>TEXT(Table1[[#This Row],[Admission Date]],"MMMM")</f>
        <v>October</v>
      </c>
      <c r="E3120" s="3">
        <v>44856</v>
      </c>
      <c r="F3120" s="3">
        <v>44856</v>
      </c>
      <c r="G3120" s="2">
        <v>22028157</v>
      </c>
      <c r="H3120" s="2">
        <v>2236422</v>
      </c>
      <c r="I3120" s="2">
        <v>10013543489</v>
      </c>
      <c r="J3120" s="2" t="s">
        <v>1814</v>
      </c>
      <c r="K3120" s="10">
        <v>165477</v>
      </c>
      <c r="L3120" s="10">
        <v>3446</v>
      </c>
      <c r="M3120" s="10">
        <v>162032</v>
      </c>
      <c r="N3120" s="10">
        <v>11827</v>
      </c>
      <c r="O3120" s="10">
        <f>Table1[[#This Row],[NET Amount]]-Table1[[#This Row],[Paid Amount]]</f>
        <v>150205</v>
      </c>
      <c r="P3120" s="2" t="s">
        <v>23</v>
      </c>
      <c r="Q3120" s="2" t="s">
        <v>24</v>
      </c>
      <c r="R3120" s="16">
        <f>(Table1[[#This Row],[NET Amount]]-Table1[[#This Row],[Total Outstanding Amount]])/Table1[[#This Row],[NET Amount]]</f>
        <v>7.2991754715117999E-2</v>
      </c>
      <c r="S3120" s="2" t="s">
        <v>20</v>
      </c>
    </row>
    <row r="3121" spans="1:19" x14ac:dyDescent="0.3">
      <c r="A3121" s="4">
        <v>3119</v>
      </c>
      <c r="B3121" s="2" t="s">
        <v>25</v>
      </c>
      <c r="C3121" s="3">
        <v>44855</v>
      </c>
      <c r="D3121" s="3" t="str">
        <f>TEXT(Table1[[#This Row],[Admission Date]],"MMMM")</f>
        <v>October</v>
      </c>
      <c r="E3121" s="3">
        <v>44856</v>
      </c>
      <c r="F3121" s="3">
        <v>44856</v>
      </c>
      <c r="G3121" s="2">
        <v>22028271</v>
      </c>
      <c r="H3121" s="2">
        <v>2236853</v>
      </c>
      <c r="I3121" s="2">
        <v>10013529861</v>
      </c>
      <c r="J3121" s="2" t="s">
        <v>1137</v>
      </c>
      <c r="K3121" s="10">
        <v>28028</v>
      </c>
      <c r="L3121" s="10">
        <v>3874</v>
      </c>
      <c r="M3121" s="10">
        <v>24154</v>
      </c>
      <c r="N3121" s="10">
        <v>24154</v>
      </c>
      <c r="O3121" s="10">
        <f>Table1[[#This Row],[NET Amount]]-Table1[[#This Row],[Paid Amount]]</f>
        <v>0</v>
      </c>
      <c r="P3121" s="2" t="s">
        <v>18</v>
      </c>
      <c r="Q3121" s="2" t="s">
        <v>24</v>
      </c>
      <c r="R3121" s="16">
        <f>(Table1[[#This Row],[NET Amount]]-Table1[[#This Row],[Total Outstanding Amount]])/Table1[[#This Row],[NET Amount]]</f>
        <v>1</v>
      </c>
      <c r="S3121" s="2" t="s">
        <v>20</v>
      </c>
    </row>
    <row r="3122" spans="1:19" x14ac:dyDescent="0.3">
      <c r="A3122" s="4">
        <v>3120</v>
      </c>
      <c r="B3122" s="2" t="s">
        <v>50</v>
      </c>
      <c r="C3122" s="3">
        <v>44846</v>
      </c>
      <c r="D3122" s="3" t="str">
        <f>TEXT(Table1[[#This Row],[Admission Date]],"MMMM")</f>
        <v>October</v>
      </c>
      <c r="E3122" s="3">
        <v>44849</v>
      </c>
      <c r="F3122" s="3">
        <v>44849</v>
      </c>
      <c r="G3122" s="2">
        <v>22027180</v>
      </c>
      <c r="H3122" s="2">
        <v>2235661</v>
      </c>
      <c r="I3122" s="2">
        <v>10013523299</v>
      </c>
      <c r="J3122" s="2" t="s">
        <v>1815</v>
      </c>
      <c r="K3122" s="10">
        <v>70925</v>
      </c>
      <c r="L3122" s="10">
        <v>0</v>
      </c>
      <c r="M3122" s="10">
        <v>70925</v>
      </c>
      <c r="N3122" s="10">
        <v>3364</v>
      </c>
      <c r="O3122" s="10">
        <f>Table1[[#This Row],[NET Amount]]-Table1[[#This Row],[Paid Amount]]</f>
        <v>67561</v>
      </c>
      <c r="P3122" s="2" t="s">
        <v>23</v>
      </c>
      <c r="Q3122" s="2" t="s">
        <v>30</v>
      </c>
      <c r="R3122" s="16">
        <f>(Table1[[#This Row],[NET Amount]]-Table1[[#This Row],[Total Outstanding Amount]])/Table1[[#This Row],[NET Amount]]</f>
        <v>4.7430384208671128E-2</v>
      </c>
      <c r="S3122" s="2" t="s">
        <v>27</v>
      </c>
    </row>
    <row r="3123" spans="1:19" x14ac:dyDescent="0.3">
      <c r="A3123" s="4">
        <v>3121</v>
      </c>
      <c r="B3123" s="2" t="s">
        <v>178</v>
      </c>
      <c r="C3123" s="3">
        <v>44852</v>
      </c>
      <c r="D3123" s="3" t="str">
        <f>TEXT(Table1[[#This Row],[Admission Date]],"MMMM")</f>
        <v>October</v>
      </c>
      <c r="E3123" s="3">
        <v>44855</v>
      </c>
      <c r="F3123" s="3">
        <v>44855</v>
      </c>
      <c r="G3123" s="2">
        <v>22027998</v>
      </c>
      <c r="H3123" s="2">
        <v>2236515</v>
      </c>
      <c r="I3123" s="2">
        <v>1001460445</v>
      </c>
      <c r="J3123" s="2" t="s">
        <v>1816</v>
      </c>
      <c r="K3123" s="10">
        <v>164077</v>
      </c>
      <c r="L3123" s="10">
        <v>1589</v>
      </c>
      <c r="M3123" s="10">
        <v>162488</v>
      </c>
      <c r="N3123" s="10">
        <v>9235</v>
      </c>
      <c r="O3123" s="10">
        <f>Table1[[#This Row],[NET Amount]]-Table1[[#This Row],[Paid Amount]]</f>
        <v>153253</v>
      </c>
      <c r="P3123" s="2" t="s">
        <v>23</v>
      </c>
      <c r="Q3123" s="2" t="s">
        <v>52</v>
      </c>
      <c r="R3123" s="16">
        <f>(Table1[[#This Row],[NET Amount]]-Table1[[#This Row],[Total Outstanding Amount]])/Table1[[#This Row],[NET Amount]]</f>
        <v>5.6834966274432575E-2</v>
      </c>
      <c r="S3123" s="2" t="s">
        <v>201</v>
      </c>
    </row>
    <row r="3124" spans="1:19" x14ac:dyDescent="0.3">
      <c r="A3124" s="4">
        <v>3122</v>
      </c>
      <c r="B3124" s="2" t="s">
        <v>25</v>
      </c>
      <c r="C3124" s="3">
        <v>44851</v>
      </c>
      <c r="D3124" s="3" t="str">
        <f>TEXT(Table1[[#This Row],[Admission Date]],"MMMM")</f>
        <v>October</v>
      </c>
      <c r="E3124" s="3">
        <v>44855</v>
      </c>
      <c r="F3124" s="3">
        <v>44855</v>
      </c>
      <c r="G3124" s="2">
        <v>22027962</v>
      </c>
      <c r="H3124" s="2">
        <v>2236265</v>
      </c>
      <c r="I3124" s="2">
        <v>10013543306</v>
      </c>
      <c r="J3124" s="2" t="s">
        <v>66</v>
      </c>
      <c r="K3124" s="10">
        <v>256728</v>
      </c>
      <c r="L3124" s="10">
        <v>44499</v>
      </c>
      <c r="M3124" s="10">
        <v>212229</v>
      </c>
      <c r="N3124" s="10">
        <v>212229</v>
      </c>
      <c r="O3124" s="10">
        <f>Table1[[#This Row],[NET Amount]]-Table1[[#This Row],[Paid Amount]]</f>
        <v>0</v>
      </c>
      <c r="P3124" s="2" t="s">
        <v>18</v>
      </c>
      <c r="Q3124" s="2" t="s">
        <v>88</v>
      </c>
      <c r="R3124" s="16">
        <f>(Table1[[#This Row],[NET Amount]]-Table1[[#This Row],[Total Outstanding Amount]])/Table1[[#This Row],[NET Amount]]</f>
        <v>1</v>
      </c>
      <c r="S3124" s="2" t="s">
        <v>20</v>
      </c>
    </row>
    <row r="3125" spans="1:19" x14ac:dyDescent="0.3">
      <c r="A3125" s="4">
        <v>3123</v>
      </c>
      <c r="B3125" s="2" t="s">
        <v>25</v>
      </c>
      <c r="C3125" s="3">
        <v>44853</v>
      </c>
      <c r="D3125" s="3" t="str">
        <f>TEXT(Table1[[#This Row],[Admission Date]],"MMMM")</f>
        <v>October</v>
      </c>
      <c r="E3125" s="3">
        <v>44859</v>
      </c>
      <c r="F3125" s="3">
        <v>44859</v>
      </c>
      <c r="G3125" s="2">
        <v>22028494</v>
      </c>
      <c r="H3125" s="2">
        <v>2236708</v>
      </c>
      <c r="I3125" s="2">
        <v>10013543798</v>
      </c>
      <c r="J3125" s="2" t="s">
        <v>1817</v>
      </c>
      <c r="K3125" s="10">
        <v>108671</v>
      </c>
      <c r="L3125" s="10">
        <v>14370</v>
      </c>
      <c r="M3125" s="10">
        <v>94301</v>
      </c>
      <c r="N3125" s="10">
        <v>94301</v>
      </c>
      <c r="O3125" s="10">
        <f>Table1[[#This Row],[NET Amount]]-Table1[[#This Row],[Paid Amount]]</f>
        <v>0</v>
      </c>
      <c r="P3125" s="2" t="s">
        <v>18</v>
      </c>
      <c r="Q3125" s="2" t="s">
        <v>24</v>
      </c>
      <c r="R3125" s="16">
        <f>(Table1[[#This Row],[NET Amount]]-Table1[[#This Row],[Total Outstanding Amount]])/Table1[[#This Row],[NET Amount]]</f>
        <v>1</v>
      </c>
      <c r="S3125" s="2" t="s">
        <v>32</v>
      </c>
    </row>
    <row r="3126" spans="1:19" x14ac:dyDescent="0.3">
      <c r="A3126" s="4">
        <v>3124</v>
      </c>
      <c r="B3126" s="2" t="s">
        <v>2253</v>
      </c>
      <c r="C3126" s="3">
        <v>44833</v>
      </c>
      <c r="D3126" s="3" t="str">
        <f>TEXT(Table1[[#This Row],[Admission Date]],"MMMM")</f>
        <v>September</v>
      </c>
      <c r="E3126" s="3">
        <v>44848</v>
      </c>
      <c r="F3126" s="3">
        <v>44848</v>
      </c>
      <c r="G3126" s="2">
        <v>22027033</v>
      </c>
      <c r="H3126" s="2">
        <v>2233942</v>
      </c>
      <c r="I3126" s="2">
        <v>1001801510</v>
      </c>
      <c r="J3126" s="2" t="s">
        <v>1286</v>
      </c>
      <c r="K3126" s="10">
        <v>126387</v>
      </c>
      <c r="L3126" s="10">
        <v>0</v>
      </c>
      <c r="M3126" s="10">
        <v>126387</v>
      </c>
      <c r="N3126" s="10">
        <v>6724</v>
      </c>
      <c r="O3126" s="10">
        <f>Table1[[#This Row],[NET Amount]]-Table1[[#This Row],[Paid Amount]]</f>
        <v>119663</v>
      </c>
      <c r="P3126" s="2" t="s">
        <v>23</v>
      </c>
      <c r="Q3126" s="2" t="s">
        <v>24</v>
      </c>
      <c r="R3126" s="16">
        <f>(Table1[[#This Row],[NET Amount]]-Table1[[#This Row],[Total Outstanding Amount]])/Table1[[#This Row],[NET Amount]]</f>
        <v>5.3201674222823549E-2</v>
      </c>
      <c r="S3126" s="2" t="s">
        <v>20</v>
      </c>
    </row>
    <row r="3127" spans="1:19" x14ac:dyDescent="0.3">
      <c r="A3127" s="4">
        <v>3125</v>
      </c>
      <c r="B3127" s="2" t="s">
        <v>853</v>
      </c>
      <c r="C3127" s="3">
        <v>44844</v>
      </c>
      <c r="D3127" s="3" t="str">
        <f>TEXT(Table1[[#This Row],[Admission Date]],"MMMM")</f>
        <v>October</v>
      </c>
      <c r="E3127" s="3">
        <v>44845</v>
      </c>
      <c r="F3127" s="3">
        <v>44845</v>
      </c>
      <c r="G3127" s="2">
        <v>22026507</v>
      </c>
      <c r="H3127" s="2">
        <v>2235354</v>
      </c>
      <c r="I3127" s="2">
        <v>10013538704</v>
      </c>
      <c r="J3127" s="2" t="s">
        <v>1818</v>
      </c>
      <c r="K3127" s="10">
        <v>21821</v>
      </c>
      <c r="L3127" s="10">
        <v>0</v>
      </c>
      <c r="M3127" s="10">
        <v>21821</v>
      </c>
      <c r="N3127" s="10">
        <v>21821</v>
      </c>
      <c r="O3127" s="10">
        <f>Table1[[#This Row],[NET Amount]]-Table1[[#This Row],[Paid Amount]]</f>
        <v>0</v>
      </c>
      <c r="P3127" s="2" t="s">
        <v>18</v>
      </c>
      <c r="Q3127" s="2" t="s">
        <v>19</v>
      </c>
      <c r="R3127" s="16">
        <f>(Table1[[#This Row],[NET Amount]]-Table1[[#This Row],[Total Outstanding Amount]])/Table1[[#This Row],[NET Amount]]</f>
        <v>1</v>
      </c>
      <c r="S3127" s="2" t="s">
        <v>77</v>
      </c>
    </row>
    <row r="3128" spans="1:19" x14ac:dyDescent="0.3">
      <c r="A3128" s="4">
        <v>3126</v>
      </c>
      <c r="B3128" s="2" t="s">
        <v>259</v>
      </c>
      <c r="C3128" s="3">
        <v>44844</v>
      </c>
      <c r="D3128" s="3" t="str">
        <f>TEXT(Table1[[#This Row],[Admission Date]],"MMMM")</f>
        <v>October</v>
      </c>
      <c r="E3128" s="3">
        <v>44850</v>
      </c>
      <c r="F3128" s="3">
        <v>44850</v>
      </c>
      <c r="G3128" s="2">
        <v>22027333</v>
      </c>
      <c r="H3128" s="2">
        <v>2235355</v>
      </c>
      <c r="I3128" s="2">
        <v>10013542272</v>
      </c>
      <c r="J3128" s="2" t="s">
        <v>1819</v>
      </c>
      <c r="K3128" s="10">
        <v>210601</v>
      </c>
      <c r="L3128" s="10">
        <v>22379</v>
      </c>
      <c r="M3128" s="10">
        <v>188222</v>
      </c>
      <c r="N3128" s="10">
        <v>38844</v>
      </c>
      <c r="O3128" s="10">
        <f>Table1[[#This Row],[NET Amount]]-Table1[[#This Row],[Paid Amount]]</f>
        <v>149378</v>
      </c>
      <c r="P3128" s="2" t="s">
        <v>23</v>
      </c>
      <c r="Q3128" s="2" t="s">
        <v>24</v>
      </c>
      <c r="R3128" s="16">
        <f>(Table1[[#This Row],[NET Amount]]-Table1[[#This Row],[Total Outstanding Amount]])/Table1[[#This Row],[NET Amount]]</f>
        <v>0.20637332511608633</v>
      </c>
      <c r="S3128" s="2" t="s">
        <v>20</v>
      </c>
    </row>
    <row r="3129" spans="1:19" x14ac:dyDescent="0.3">
      <c r="A3129" s="4">
        <v>3127</v>
      </c>
      <c r="B3129" s="2" t="s">
        <v>40</v>
      </c>
      <c r="C3129" s="3">
        <v>44844</v>
      </c>
      <c r="D3129" s="3" t="str">
        <f>TEXT(Table1[[#This Row],[Admission Date]],"MMMM")</f>
        <v>October</v>
      </c>
      <c r="E3129" s="3">
        <v>44844</v>
      </c>
      <c r="F3129" s="3">
        <v>44844</v>
      </c>
      <c r="G3129" s="2">
        <v>22026424</v>
      </c>
      <c r="H3129" s="2">
        <v>2235382</v>
      </c>
      <c r="I3129" s="2">
        <v>10013542281</v>
      </c>
      <c r="J3129" s="2" t="s">
        <v>1820</v>
      </c>
      <c r="K3129" s="10">
        <v>22500</v>
      </c>
      <c r="L3129" s="10">
        <v>0</v>
      </c>
      <c r="M3129" s="10">
        <v>22500</v>
      </c>
      <c r="N3129" s="10">
        <v>3600</v>
      </c>
      <c r="O3129" s="10">
        <f>Table1[[#This Row],[NET Amount]]-Table1[[#This Row],[Paid Amount]]</f>
        <v>18900</v>
      </c>
      <c r="P3129" s="2" t="s">
        <v>23</v>
      </c>
      <c r="Q3129" s="2" t="s">
        <v>47</v>
      </c>
      <c r="R3129" s="16">
        <f>(Table1[[#This Row],[NET Amount]]-Table1[[#This Row],[Total Outstanding Amount]])/Table1[[#This Row],[NET Amount]]</f>
        <v>0.16</v>
      </c>
      <c r="S3129" s="2" t="s">
        <v>39</v>
      </c>
    </row>
    <row r="3130" spans="1:19" x14ac:dyDescent="0.3">
      <c r="A3130" s="4">
        <v>3128</v>
      </c>
      <c r="B3130" s="2" t="s">
        <v>1027</v>
      </c>
      <c r="C3130" s="3">
        <v>44845</v>
      </c>
      <c r="D3130" s="3" t="str">
        <f>TEXT(Table1[[#This Row],[Admission Date]],"MMMM")</f>
        <v>October</v>
      </c>
      <c r="E3130" s="3">
        <v>44847</v>
      </c>
      <c r="F3130" s="3">
        <v>44847</v>
      </c>
      <c r="G3130" s="2">
        <v>22026937</v>
      </c>
      <c r="H3130" s="2">
        <v>2235572</v>
      </c>
      <c r="I3130" s="2">
        <v>1001803793</v>
      </c>
      <c r="J3130" s="2" t="s">
        <v>1821</v>
      </c>
      <c r="K3130" s="10">
        <v>11132</v>
      </c>
      <c r="L3130" s="10">
        <v>1368</v>
      </c>
      <c r="M3130" s="10">
        <v>9764</v>
      </c>
      <c r="N3130" s="10">
        <v>0</v>
      </c>
      <c r="O3130" s="10">
        <f>Table1[[#This Row],[NET Amount]]-Table1[[#This Row],[Paid Amount]]</f>
        <v>9764</v>
      </c>
      <c r="P3130" s="2" t="s">
        <v>23</v>
      </c>
      <c r="Q3130" s="2" t="s">
        <v>19</v>
      </c>
      <c r="R3130" s="16">
        <f>(Table1[[#This Row],[NET Amount]]-Table1[[#This Row],[Total Outstanding Amount]])/Table1[[#This Row],[NET Amount]]</f>
        <v>0</v>
      </c>
      <c r="S3130" s="2" t="s">
        <v>37</v>
      </c>
    </row>
    <row r="3131" spans="1:19" x14ac:dyDescent="0.3">
      <c r="A3131" s="4">
        <v>3129</v>
      </c>
      <c r="B3131" s="2" t="s">
        <v>126</v>
      </c>
      <c r="C3131" s="3">
        <v>44859</v>
      </c>
      <c r="D3131" s="3" t="str">
        <f>TEXT(Table1[[#This Row],[Admission Date]],"MMMM")</f>
        <v>October</v>
      </c>
      <c r="E3131" s="3">
        <v>44861</v>
      </c>
      <c r="F3131" s="3">
        <v>44861</v>
      </c>
      <c r="G3131" s="2">
        <v>22028755</v>
      </c>
      <c r="H3131" s="2">
        <v>2237414</v>
      </c>
      <c r="I3131" s="2">
        <v>10013544476</v>
      </c>
      <c r="J3131" s="2" t="s">
        <v>1822</v>
      </c>
      <c r="K3131" s="10">
        <v>261224</v>
      </c>
      <c r="L3131" s="10">
        <v>0</v>
      </c>
      <c r="M3131" s="10">
        <v>261224</v>
      </c>
      <c r="N3131" s="10">
        <v>54500</v>
      </c>
      <c r="O3131" s="10">
        <f>Table1[[#This Row],[NET Amount]]-Table1[[#This Row],[Paid Amount]]</f>
        <v>206724</v>
      </c>
      <c r="P3131" s="2" t="s">
        <v>23</v>
      </c>
      <c r="Q3131" s="2" t="s">
        <v>24</v>
      </c>
      <c r="R3131" s="16">
        <f>(Table1[[#This Row],[NET Amount]]-Table1[[#This Row],[Total Outstanding Amount]])/Table1[[#This Row],[NET Amount]]</f>
        <v>0.20863320368725691</v>
      </c>
      <c r="S3131" s="2" t="s">
        <v>39</v>
      </c>
    </row>
    <row r="3132" spans="1:19" x14ac:dyDescent="0.3">
      <c r="A3132" s="4">
        <v>3130</v>
      </c>
      <c r="B3132" s="2" t="s">
        <v>126</v>
      </c>
      <c r="C3132" s="3">
        <v>44856</v>
      </c>
      <c r="D3132" s="3" t="str">
        <f>TEXT(Table1[[#This Row],[Admission Date]],"MMMM")</f>
        <v>October</v>
      </c>
      <c r="E3132" s="3">
        <v>44861</v>
      </c>
      <c r="F3132" s="3">
        <v>44861</v>
      </c>
      <c r="G3132" s="2">
        <v>22028734</v>
      </c>
      <c r="H3132" s="2">
        <v>2237086</v>
      </c>
      <c r="I3132" s="2">
        <v>10013544186</v>
      </c>
      <c r="J3132" s="2" t="s">
        <v>1823</v>
      </c>
      <c r="K3132" s="10">
        <v>109293</v>
      </c>
      <c r="L3132" s="10">
        <v>15135</v>
      </c>
      <c r="M3132" s="10">
        <v>94158</v>
      </c>
      <c r="N3132" s="10">
        <v>4919</v>
      </c>
      <c r="O3132" s="10">
        <f>Table1[[#This Row],[NET Amount]]-Table1[[#This Row],[Paid Amount]]</f>
        <v>89239</v>
      </c>
      <c r="P3132" s="2" t="s">
        <v>23</v>
      </c>
      <c r="Q3132" s="2" t="s">
        <v>24</v>
      </c>
      <c r="R3132" s="16">
        <f>(Table1[[#This Row],[NET Amount]]-Table1[[#This Row],[Total Outstanding Amount]])/Table1[[#This Row],[NET Amount]]</f>
        <v>5.2241976252681663E-2</v>
      </c>
      <c r="S3132" s="2" t="s">
        <v>37</v>
      </c>
    </row>
    <row r="3133" spans="1:19" x14ac:dyDescent="0.3">
      <c r="A3133" s="4">
        <v>3131</v>
      </c>
      <c r="B3133" s="2" t="s">
        <v>259</v>
      </c>
      <c r="C3133" s="3">
        <v>44860</v>
      </c>
      <c r="D3133" s="3" t="str">
        <f>TEXT(Table1[[#This Row],[Admission Date]],"MMMM")</f>
        <v>October</v>
      </c>
      <c r="E3133" s="3">
        <v>44862</v>
      </c>
      <c r="F3133" s="3">
        <v>44862</v>
      </c>
      <c r="G3133" s="2">
        <v>22028891</v>
      </c>
      <c r="H3133" s="2">
        <v>2237495</v>
      </c>
      <c r="I3133" s="2">
        <v>1001806344</v>
      </c>
      <c r="J3133" s="2" t="s">
        <v>1824</v>
      </c>
      <c r="K3133" s="10">
        <v>6858</v>
      </c>
      <c r="L3133" s="10">
        <v>0</v>
      </c>
      <c r="M3133" s="10">
        <v>6858</v>
      </c>
      <c r="N3133" s="10">
        <v>6858</v>
      </c>
      <c r="O3133" s="10">
        <f>Table1[[#This Row],[NET Amount]]-Table1[[#This Row],[Paid Amount]]</f>
        <v>0</v>
      </c>
      <c r="P3133" s="2" t="s">
        <v>18</v>
      </c>
      <c r="Q3133" s="2" t="s">
        <v>24</v>
      </c>
      <c r="R3133" s="16">
        <f>(Table1[[#This Row],[NET Amount]]-Table1[[#This Row],[Total Outstanding Amount]])/Table1[[#This Row],[NET Amount]]</f>
        <v>1</v>
      </c>
      <c r="S3133" s="2" t="s">
        <v>37</v>
      </c>
    </row>
    <row r="3134" spans="1:19" x14ac:dyDescent="0.3">
      <c r="A3134" s="4">
        <v>3132</v>
      </c>
      <c r="B3134" s="2" t="s">
        <v>25</v>
      </c>
      <c r="C3134" s="3">
        <v>44864</v>
      </c>
      <c r="D3134" s="3" t="str">
        <f>TEXT(Table1[[#This Row],[Admission Date]],"MMMM")</f>
        <v>October</v>
      </c>
      <c r="E3134" s="3">
        <v>44864</v>
      </c>
      <c r="F3134" s="3">
        <v>44864</v>
      </c>
      <c r="G3134" s="2">
        <v>22029211</v>
      </c>
      <c r="H3134" s="2">
        <v>2238073</v>
      </c>
      <c r="I3134" s="2">
        <v>10013545195</v>
      </c>
      <c r="J3134" s="2" t="s">
        <v>1825</v>
      </c>
      <c r="K3134" s="10">
        <v>14000</v>
      </c>
      <c r="L3134" s="10">
        <v>0</v>
      </c>
      <c r="M3134" s="10">
        <v>14000</v>
      </c>
      <c r="N3134" s="10">
        <v>14000</v>
      </c>
      <c r="O3134" s="10">
        <f>Table1[[#This Row],[NET Amount]]-Table1[[#This Row],[Paid Amount]]</f>
        <v>0</v>
      </c>
      <c r="P3134" s="2" t="s">
        <v>18</v>
      </c>
      <c r="Q3134" s="2" t="s">
        <v>54</v>
      </c>
      <c r="R3134" s="16">
        <f>(Table1[[#This Row],[NET Amount]]-Table1[[#This Row],[Total Outstanding Amount]])/Table1[[#This Row],[NET Amount]]</f>
        <v>1</v>
      </c>
      <c r="S3134" s="2" t="s">
        <v>39</v>
      </c>
    </row>
    <row r="3135" spans="1:19" x14ac:dyDescent="0.3">
      <c r="A3135" s="4">
        <v>3133</v>
      </c>
      <c r="B3135" s="2" t="s">
        <v>25</v>
      </c>
      <c r="C3135" s="3">
        <v>44853</v>
      </c>
      <c r="D3135" s="3" t="str">
        <f>TEXT(Table1[[#This Row],[Admission Date]],"MMMM")</f>
        <v>October</v>
      </c>
      <c r="E3135" s="3">
        <v>44853</v>
      </c>
      <c r="F3135" s="3">
        <v>44853</v>
      </c>
      <c r="G3135" s="2">
        <v>22027724</v>
      </c>
      <c r="H3135" s="2">
        <v>2236637</v>
      </c>
      <c r="I3135" s="2">
        <v>10013542866</v>
      </c>
      <c r="J3135" s="2" t="s">
        <v>673</v>
      </c>
      <c r="K3135" s="10">
        <v>4990</v>
      </c>
      <c r="L3135" s="10">
        <v>413</v>
      </c>
      <c r="M3135" s="10">
        <v>4577</v>
      </c>
      <c r="N3135" s="10">
        <v>4577</v>
      </c>
      <c r="O3135" s="10">
        <f>Table1[[#This Row],[NET Amount]]-Table1[[#This Row],[Paid Amount]]</f>
        <v>0</v>
      </c>
      <c r="P3135" s="2" t="s">
        <v>18</v>
      </c>
      <c r="Q3135" s="2" t="s">
        <v>54</v>
      </c>
      <c r="R3135" s="16">
        <f>(Table1[[#This Row],[NET Amount]]-Table1[[#This Row],[Total Outstanding Amount]])/Table1[[#This Row],[NET Amount]]</f>
        <v>1</v>
      </c>
      <c r="S3135" s="2" t="s">
        <v>97</v>
      </c>
    </row>
    <row r="3136" spans="1:19" x14ac:dyDescent="0.3">
      <c r="A3136" s="4">
        <v>3134</v>
      </c>
      <c r="B3136" s="2" t="s">
        <v>25</v>
      </c>
      <c r="C3136" s="3">
        <v>44838</v>
      </c>
      <c r="D3136" s="3" t="str">
        <f>TEXT(Table1[[#This Row],[Admission Date]],"MMMM")</f>
        <v>October</v>
      </c>
      <c r="E3136" s="3">
        <v>44838</v>
      </c>
      <c r="F3136" s="3">
        <v>44838</v>
      </c>
      <c r="G3136" s="2">
        <v>22025597</v>
      </c>
      <c r="H3136" s="2">
        <v>2234554</v>
      </c>
      <c r="I3136" s="2">
        <v>1001802390</v>
      </c>
      <c r="J3136" s="2" t="s">
        <v>129</v>
      </c>
      <c r="K3136" s="10">
        <v>14000</v>
      </c>
      <c r="L3136" s="10">
        <v>2350</v>
      </c>
      <c r="M3136" s="10">
        <v>11650</v>
      </c>
      <c r="N3136" s="10">
        <v>11650</v>
      </c>
      <c r="O3136" s="10">
        <f>Table1[[#This Row],[NET Amount]]-Table1[[#This Row],[Paid Amount]]</f>
        <v>0</v>
      </c>
      <c r="P3136" s="2" t="s">
        <v>18</v>
      </c>
      <c r="Q3136" s="2" t="s">
        <v>69</v>
      </c>
      <c r="R3136" s="16">
        <f>(Table1[[#This Row],[NET Amount]]-Table1[[#This Row],[Total Outstanding Amount]])/Table1[[#This Row],[NET Amount]]</f>
        <v>1</v>
      </c>
      <c r="S3136" s="2" t="s">
        <v>39</v>
      </c>
    </row>
    <row r="3137" spans="1:19" x14ac:dyDescent="0.3">
      <c r="A3137" s="4">
        <v>3135</v>
      </c>
      <c r="B3137" s="2" t="s">
        <v>72</v>
      </c>
      <c r="C3137" s="3">
        <v>44853</v>
      </c>
      <c r="D3137" s="3" t="str">
        <f>TEXT(Table1[[#This Row],[Admission Date]],"MMMM")</f>
        <v>October</v>
      </c>
      <c r="E3137" s="3">
        <v>44857</v>
      </c>
      <c r="F3137" s="3">
        <v>44857</v>
      </c>
      <c r="G3137" s="2">
        <v>22028336</v>
      </c>
      <c r="H3137" s="2">
        <v>2236688</v>
      </c>
      <c r="I3137" s="2">
        <v>10013543783</v>
      </c>
      <c r="J3137" s="2" t="s">
        <v>1826</v>
      </c>
      <c r="K3137" s="10">
        <v>54481</v>
      </c>
      <c r="L3137" s="10">
        <v>6762</v>
      </c>
      <c r="M3137" s="10">
        <v>47719</v>
      </c>
      <c r="N3137" s="10">
        <v>2654</v>
      </c>
      <c r="O3137" s="10">
        <f>Table1[[#This Row],[NET Amount]]-Table1[[#This Row],[Paid Amount]]</f>
        <v>45065</v>
      </c>
      <c r="P3137" s="2" t="s">
        <v>23</v>
      </c>
      <c r="Q3137" s="2" t="s">
        <v>42</v>
      </c>
      <c r="R3137" s="16">
        <f>(Table1[[#This Row],[NET Amount]]-Table1[[#This Row],[Total Outstanding Amount]])/Table1[[#This Row],[NET Amount]]</f>
        <v>5.5617259372576958E-2</v>
      </c>
      <c r="S3137" s="2" t="s">
        <v>20</v>
      </c>
    </row>
    <row r="3138" spans="1:19" x14ac:dyDescent="0.3">
      <c r="A3138" s="4">
        <v>3136</v>
      </c>
      <c r="B3138" s="2" t="s">
        <v>25</v>
      </c>
      <c r="C3138" s="3">
        <v>44854</v>
      </c>
      <c r="D3138" s="3" t="str">
        <f>TEXT(Table1[[#This Row],[Admission Date]],"MMMM")</f>
        <v>October</v>
      </c>
      <c r="E3138" s="3">
        <v>44857</v>
      </c>
      <c r="F3138" s="3">
        <v>44857</v>
      </c>
      <c r="G3138" s="2">
        <v>22028377</v>
      </c>
      <c r="H3138" s="2">
        <v>2236719</v>
      </c>
      <c r="I3138" s="2">
        <v>10013410071</v>
      </c>
      <c r="J3138" s="2" t="s">
        <v>504</v>
      </c>
      <c r="K3138" s="10">
        <v>76713</v>
      </c>
      <c r="L3138" s="10">
        <v>9289</v>
      </c>
      <c r="M3138" s="10">
        <v>67424</v>
      </c>
      <c r="N3138" s="10">
        <v>67424</v>
      </c>
      <c r="O3138" s="10">
        <f>Table1[[#This Row],[NET Amount]]-Table1[[#This Row],[Paid Amount]]</f>
        <v>0</v>
      </c>
      <c r="P3138" s="2" t="s">
        <v>18</v>
      </c>
      <c r="Q3138" s="2" t="s">
        <v>24</v>
      </c>
      <c r="R3138" s="16">
        <f>(Table1[[#This Row],[NET Amount]]-Table1[[#This Row],[Total Outstanding Amount]])/Table1[[#This Row],[NET Amount]]</f>
        <v>1</v>
      </c>
      <c r="S3138" s="2" t="s">
        <v>20</v>
      </c>
    </row>
    <row r="3139" spans="1:19" x14ac:dyDescent="0.3">
      <c r="A3139" s="4">
        <v>3137</v>
      </c>
      <c r="B3139" s="2" t="s">
        <v>25</v>
      </c>
      <c r="C3139" s="3">
        <v>44851</v>
      </c>
      <c r="D3139" s="3" t="str">
        <f>TEXT(Table1[[#This Row],[Admission Date]],"MMMM")</f>
        <v>October</v>
      </c>
      <c r="E3139" s="3">
        <v>44854</v>
      </c>
      <c r="F3139" s="3">
        <v>44854</v>
      </c>
      <c r="G3139" s="2">
        <v>22027845</v>
      </c>
      <c r="H3139" s="2">
        <v>2236317</v>
      </c>
      <c r="I3139" s="2">
        <v>1001804747</v>
      </c>
      <c r="J3139" s="2" t="s">
        <v>580</v>
      </c>
      <c r="K3139" s="10">
        <v>65097</v>
      </c>
      <c r="L3139" s="10">
        <v>8021</v>
      </c>
      <c r="M3139" s="10">
        <v>57075</v>
      </c>
      <c r="N3139" s="10">
        <v>57075</v>
      </c>
      <c r="O3139" s="10">
        <f>Table1[[#This Row],[NET Amount]]-Table1[[#This Row],[Paid Amount]]</f>
        <v>0</v>
      </c>
      <c r="P3139" s="2" t="s">
        <v>18</v>
      </c>
      <c r="Q3139" s="2" t="s">
        <v>24</v>
      </c>
      <c r="R3139" s="16">
        <f>(Table1[[#This Row],[NET Amount]]-Table1[[#This Row],[Total Outstanding Amount]])/Table1[[#This Row],[NET Amount]]</f>
        <v>1</v>
      </c>
      <c r="S3139" s="2" t="s">
        <v>20</v>
      </c>
    </row>
    <row r="3140" spans="1:19" x14ac:dyDescent="0.3">
      <c r="A3140" s="4">
        <v>3138</v>
      </c>
      <c r="B3140" s="2" t="s">
        <v>2254</v>
      </c>
      <c r="C3140" s="3">
        <v>44851</v>
      </c>
      <c r="D3140" s="3" t="str">
        <f>TEXT(Table1[[#This Row],[Admission Date]],"MMMM")</f>
        <v>October</v>
      </c>
      <c r="E3140" s="3">
        <v>44856</v>
      </c>
      <c r="F3140" s="3">
        <v>44856</v>
      </c>
      <c r="G3140" s="2">
        <v>22028195</v>
      </c>
      <c r="H3140" s="2">
        <v>2236353</v>
      </c>
      <c r="I3140" s="2">
        <v>1001281969</v>
      </c>
      <c r="J3140" s="2" t="s">
        <v>1827</v>
      </c>
      <c r="K3140" s="10">
        <v>94226</v>
      </c>
      <c r="L3140" s="10">
        <v>9779</v>
      </c>
      <c r="M3140" s="10">
        <v>84447</v>
      </c>
      <c r="N3140" s="10">
        <v>2897</v>
      </c>
      <c r="O3140" s="10">
        <f>Table1[[#This Row],[NET Amount]]-Table1[[#This Row],[Paid Amount]]</f>
        <v>81550</v>
      </c>
      <c r="P3140" s="2" t="s">
        <v>23</v>
      </c>
      <c r="Q3140" s="2" t="s">
        <v>30</v>
      </c>
      <c r="R3140" s="16">
        <f>(Table1[[#This Row],[NET Amount]]-Table1[[#This Row],[Total Outstanding Amount]])/Table1[[#This Row],[NET Amount]]</f>
        <v>3.4305540753371937E-2</v>
      </c>
      <c r="S3140" s="2" t="s">
        <v>20</v>
      </c>
    </row>
    <row r="3141" spans="1:19" x14ac:dyDescent="0.3">
      <c r="A3141" s="4">
        <v>3139</v>
      </c>
      <c r="B3141" s="2" t="s">
        <v>72</v>
      </c>
      <c r="C3141" s="3">
        <v>44843</v>
      </c>
      <c r="D3141" s="3" t="str">
        <f>TEXT(Table1[[#This Row],[Admission Date]],"MMMM")</f>
        <v>October</v>
      </c>
      <c r="E3141" s="3">
        <v>44845</v>
      </c>
      <c r="F3141" s="3">
        <v>44845</v>
      </c>
      <c r="G3141" s="2">
        <v>22026526</v>
      </c>
      <c r="H3141" s="2">
        <v>2235279</v>
      </c>
      <c r="I3141" s="2">
        <v>1001356066</v>
      </c>
      <c r="J3141" s="2" t="s">
        <v>461</v>
      </c>
      <c r="K3141" s="10">
        <v>53300</v>
      </c>
      <c r="L3141" s="10">
        <v>0</v>
      </c>
      <c r="M3141" s="10">
        <v>53300</v>
      </c>
      <c r="N3141" s="10">
        <v>3300</v>
      </c>
      <c r="O3141" s="10">
        <f>Table1[[#This Row],[NET Amount]]-Table1[[#This Row],[Paid Amount]]</f>
        <v>50000</v>
      </c>
      <c r="P3141" s="2" t="s">
        <v>23</v>
      </c>
      <c r="Q3141" s="2" t="s">
        <v>42</v>
      </c>
      <c r="R3141" s="16">
        <f>(Table1[[#This Row],[NET Amount]]-Table1[[#This Row],[Total Outstanding Amount]])/Table1[[#This Row],[NET Amount]]</f>
        <v>6.1913696060037521E-2</v>
      </c>
      <c r="S3141" s="2" t="s">
        <v>27</v>
      </c>
    </row>
    <row r="3142" spans="1:19" x14ac:dyDescent="0.3">
      <c r="A3142" s="4">
        <v>3140</v>
      </c>
      <c r="B3142" s="2" t="s">
        <v>144</v>
      </c>
      <c r="C3142" s="3">
        <v>44841</v>
      </c>
      <c r="D3142" s="3" t="str">
        <f>TEXT(Table1[[#This Row],[Admission Date]],"MMMM")</f>
        <v>October</v>
      </c>
      <c r="E3142" s="3">
        <v>44845</v>
      </c>
      <c r="F3142" s="3">
        <v>44845</v>
      </c>
      <c r="G3142" s="2">
        <v>22026519</v>
      </c>
      <c r="H3142" s="2">
        <v>2235108</v>
      </c>
      <c r="I3142" s="2">
        <v>10013542094</v>
      </c>
      <c r="J3142" s="2" t="s">
        <v>1828</v>
      </c>
      <c r="K3142" s="10">
        <v>62827</v>
      </c>
      <c r="L3142" s="10">
        <v>0</v>
      </c>
      <c r="M3142" s="10">
        <v>62827</v>
      </c>
      <c r="N3142" s="10">
        <v>6856</v>
      </c>
      <c r="O3142" s="10">
        <f>Table1[[#This Row],[NET Amount]]-Table1[[#This Row],[Paid Amount]]</f>
        <v>55971</v>
      </c>
      <c r="P3142" s="2" t="s">
        <v>23</v>
      </c>
      <c r="Q3142" s="2" t="s">
        <v>42</v>
      </c>
      <c r="R3142" s="16">
        <f>(Table1[[#This Row],[NET Amount]]-Table1[[#This Row],[Total Outstanding Amount]])/Table1[[#This Row],[NET Amount]]</f>
        <v>0.10912505769812342</v>
      </c>
      <c r="S3142" s="2" t="s">
        <v>20</v>
      </c>
    </row>
    <row r="3143" spans="1:19" x14ac:dyDescent="0.3">
      <c r="A3143" s="4">
        <v>3141</v>
      </c>
      <c r="B3143" s="2" t="s">
        <v>25</v>
      </c>
      <c r="C3143" s="3">
        <v>44841</v>
      </c>
      <c r="D3143" s="3" t="str">
        <f>TEXT(Table1[[#This Row],[Admission Date]],"MMMM")</f>
        <v>October</v>
      </c>
      <c r="E3143" s="3">
        <v>44847</v>
      </c>
      <c r="F3143" s="3">
        <v>44847</v>
      </c>
      <c r="G3143" s="2">
        <v>22026903</v>
      </c>
      <c r="H3143" s="2">
        <v>2235076</v>
      </c>
      <c r="I3143" s="2">
        <v>10013542070</v>
      </c>
      <c r="J3143" s="2" t="s">
        <v>1829</v>
      </c>
      <c r="K3143" s="10">
        <v>122543</v>
      </c>
      <c r="L3143" s="10">
        <v>3266</v>
      </c>
      <c r="M3143" s="10">
        <v>119277</v>
      </c>
      <c r="N3143" s="10">
        <v>119277</v>
      </c>
      <c r="O3143" s="10">
        <f>Table1[[#This Row],[NET Amount]]-Table1[[#This Row],[Paid Amount]]</f>
        <v>0</v>
      </c>
      <c r="P3143" s="2" t="s">
        <v>18</v>
      </c>
      <c r="Q3143" s="2" t="s">
        <v>1830</v>
      </c>
      <c r="R3143" s="16">
        <f>(Table1[[#This Row],[NET Amount]]-Table1[[#This Row],[Total Outstanding Amount]])/Table1[[#This Row],[NET Amount]]</f>
        <v>1</v>
      </c>
      <c r="S3143" s="2" t="s">
        <v>37</v>
      </c>
    </row>
    <row r="3144" spans="1:19" x14ac:dyDescent="0.3">
      <c r="A3144" s="4">
        <v>3142</v>
      </c>
      <c r="B3144" s="2" t="s">
        <v>25</v>
      </c>
      <c r="C3144" s="3">
        <v>44845</v>
      </c>
      <c r="D3144" s="3" t="str">
        <f>TEXT(Table1[[#This Row],[Admission Date]],"MMMM")</f>
        <v>October</v>
      </c>
      <c r="E3144" s="3">
        <v>44851</v>
      </c>
      <c r="F3144" s="3">
        <v>44851</v>
      </c>
      <c r="G3144" s="2">
        <v>22027356</v>
      </c>
      <c r="H3144" s="2">
        <v>2235612</v>
      </c>
      <c r="I3144" s="2">
        <v>1001803819</v>
      </c>
      <c r="J3144" s="2" t="s">
        <v>1831</v>
      </c>
      <c r="K3144" s="10">
        <v>123197</v>
      </c>
      <c r="L3144" s="10">
        <v>16997</v>
      </c>
      <c r="M3144" s="10">
        <v>106200</v>
      </c>
      <c r="N3144" s="10">
        <v>106200</v>
      </c>
      <c r="O3144" s="10">
        <f>Table1[[#This Row],[NET Amount]]-Table1[[#This Row],[Paid Amount]]</f>
        <v>0</v>
      </c>
      <c r="P3144" s="2" t="s">
        <v>18</v>
      </c>
      <c r="Q3144" s="2" t="s">
        <v>30</v>
      </c>
      <c r="R3144" s="16">
        <f>(Table1[[#This Row],[NET Amount]]-Table1[[#This Row],[Total Outstanding Amount]])/Table1[[#This Row],[NET Amount]]</f>
        <v>1</v>
      </c>
      <c r="S3144" s="2" t="s">
        <v>37</v>
      </c>
    </row>
    <row r="3145" spans="1:19" x14ac:dyDescent="0.3">
      <c r="A3145" s="4">
        <v>3143</v>
      </c>
      <c r="B3145" s="2" t="s">
        <v>25</v>
      </c>
      <c r="C3145" s="3">
        <v>44854</v>
      </c>
      <c r="D3145" s="3" t="str">
        <f>TEXT(Table1[[#This Row],[Admission Date]],"MMMM")</f>
        <v>October</v>
      </c>
      <c r="E3145" s="3">
        <v>44861</v>
      </c>
      <c r="F3145" s="3">
        <v>44861</v>
      </c>
      <c r="G3145" s="2">
        <v>22028762</v>
      </c>
      <c r="H3145" s="2">
        <v>2236793</v>
      </c>
      <c r="I3145" s="2">
        <v>10013543901</v>
      </c>
      <c r="J3145" s="2" t="s">
        <v>1832</v>
      </c>
      <c r="K3145" s="10">
        <v>95802</v>
      </c>
      <c r="L3145" s="10">
        <v>95802</v>
      </c>
      <c r="M3145" s="10">
        <v>0</v>
      </c>
      <c r="N3145" s="10">
        <v>0</v>
      </c>
      <c r="O3145" s="10">
        <f>Table1[[#This Row],[NET Amount]]-Table1[[#This Row],[Paid Amount]]</f>
        <v>0</v>
      </c>
      <c r="P3145" s="2" t="s">
        <v>18</v>
      </c>
      <c r="Q3145" s="2" t="s">
        <v>90</v>
      </c>
      <c r="R3145" s="16" t="e">
        <f>(Table1[[#This Row],[NET Amount]]-Table1[[#This Row],[Total Outstanding Amount]])/Table1[[#This Row],[NET Amount]]</f>
        <v>#DIV/0!</v>
      </c>
      <c r="S3145" s="2" t="s">
        <v>20</v>
      </c>
    </row>
    <row r="3146" spans="1:19" x14ac:dyDescent="0.3">
      <c r="A3146" s="4">
        <v>3144</v>
      </c>
      <c r="B3146" s="2" t="s">
        <v>25</v>
      </c>
      <c r="C3146" s="3">
        <v>44863</v>
      </c>
      <c r="D3146" s="3" t="str">
        <f>TEXT(Table1[[#This Row],[Admission Date]],"MMMM")</f>
        <v>October</v>
      </c>
      <c r="E3146" s="3">
        <v>44863</v>
      </c>
      <c r="F3146" s="3">
        <v>44863</v>
      </c>
      <c r="G3146" s="2">
        <v>22029109</v>
      </c>
      <c r="H3146" s="2">
        <v>2237971</v>
      </c>
      <c r="I3146" s="2">
        <v>10013526375</v>
      </c>
      <c r="J3146" s="2" t="s">
        <v>241</v>
      </c>
      <c r="K3146" s="10">
        <v>4990</v>
      </c>
      <c r="L3146" s="10">
        <v>433</v>
      </c>
      <c r="M3146" s="10">
        <v>4557</v>
      </c>
      <c r="N3146" s="10">
        <v>4557</v>
      </c>
      <c r="O3146" s="10">
        <f>Table1[[#This Row],[NET Amount]]-Table1[[#This Row],[Paid Amount]]</f>
        <v>0</v>
      </c>
      <c r="P3146" s="2" t="s">
        <v>18</v>
      </c>
      <c r="Q3146" s="2" t="s">
        <v>54</v>
      </c>
      <c r="R3146" s="16">
        <f>(Table1[[#This Row],[NET Amount]]-Table1[[#This Row],[Total Outstanding Amount]])/Table1[[#This Row],[NET Amount]]</f>
        <v>1</v>
      </c>
      <c r="S3146" s="2" t="s">
        <v>97</v>
      </c>
    </row>
    <row r="3147" spans="1:19" x14ac:dyDescent="0.3">
      <c r="A3147" s="4">
        <v>3145</v>
      </c>
      <c r="B3147" s="2" t="s">
        <v>2244</v>
      </c>
      <c r="C3147" s="3">
        <v>44859</v>
      </c>
      <c r="D3147" s="3" t="str">
        <f>TEXT(Table1[[#This Row],[Admission Date]],"MMMM")</f>
        <v>October</v>
      </c>
      <c r="E3147" s="3">
        <v>44859</v>
      </c>
      <c r="F3147" s="3">
        <v>44859</v>
      </c>
      <c r="G3147" s="2">
        <v>22028515</v>
      </c>
      <c r="H3147" s="2">
        <v>2237325</v>
      </c>
      <c r="I3147" s="2">
        <v>1001755099</v>
      </c>
      <c r="J3147" s="2" t="s">
        <v>750</v>
      </c>
      <c r="K3147" s="10">
        <v>2560</v>
      </c>
      <c r="L3147" s="10">
        <v>0</v>
      </c>
      <c r="M3147" s="10">
        <v>2560</v>
      </c>
      <c r="N3147" s="10">
        <v>2560</v>
      </c>
      <c r="O3147" s="10">
        <f>Table1[[#This Row],[NET Amount]]-Table1[[#This Row],[Paid Amount]]</f>
        <v>0</v>
      </c>
      <c r="P3147" s="2" t="s">
        <v>18</v>
      </c>
      <c r="Q3147" s="2" t="s">
        <v>54</v>
      </c>
      <c r="R3147" s="16">
        <f>(Table1[[#This Row],[NET Amount]]-Table1[[#This Row],[Total Outstanding Amount]])/Table1[[#This Row],[NET Amount]]</f>
        <v>1</v>
      </c>
      <c r="S3147" s="2" t="s">
        <v>97</v>
      </c>
    </row>
    <row r="3148" spans="1:19" x14ac:dyDescent="0.3">
      <c r="A3148" s="4">
        <v>3146</v>
      </c>
      <c r="B3148" s="2" t="s">
        <v>61</v>
      </c>
      <c r="C3148" s="3">
        <v>44861</v>
      </c>
      <c r="D3148" s="3" t="str">
        <f>TEXT(Table1[[#This Row],[Admission Date]],"MMMM")</f>
        <v>October</v>
      </c>
      <c r="E3148" s="3">
        <v>44863</v>
      </c>
      <c r="F3148" s="3">
        <v>44863</v>
      </c>
      <c r="G3148" s="2">
        <v>22029067</v>
      </c>
      <c r="H3148" s="2">
        <v>2237664</v>
      </c>
      <c r="I3148" s="2">
        <v>1001342779</v>
      </c>
      <c r="J3148" s="2" t="s">
        <v>1833</v>
      </c>
      <c r="K3148" s="10">
        <v>34303</v>
      </c>
      <c r="L3148" s="10">
        <v>4851</v>
      </c>
      <c r="M3148" s="10">
        <v>29452</v>
      </c>
      <c r="N3148" s="10">
        <v>2478</v>
      </c>
      <c r="O3148" s="10">
        <f>Table1[[#This Row],[NET Amount]]-Table1[[#This Row],[Paid Amount]]</f>
        <v>26974</v>
      </c>
      <c r="P3148" s="2" t="s">
        <v>23</v>
      </c>
      <c r="Q3148" s="2" t="s">
        <v>52</v>
      </c>
      <c r="R3148" s="16">
        <f>(Table1[[#This Row],[NET Amount]]-Table1[[#This Row],[Total Outstanding Amount]])/Table1[[#This Row],[NET Amount]]</f>
        <v>8.4136900719815291E-2</v>
      </c>
      <c r="S3148" s="2" t="s">
        <v>20</v>
      </c>
    </row>
    <row r="3149" spans="1:19" x14ac:dyDescent="0.3">
      <c r="A3149" s="4">
        <v>3147</v>
      </c>
      <c r="B3149" s="2" t="s">
        <v>2243</v>
      </c>
      <c r="C3149" s="3">
        <v>44857</v>
      </c>
      <c r="D3149" s="3" t="str">
        <f>TEXT(Table1[[#This Row],[Admission Date]],"MMMM")</f>
        <v>October</v>
      </c>
      <c r="E3149" s="3">
        <v>44861</v>
      </c>
      <c r="F3149" s="3">
        <v>44861</v>
      </c>
      <c r="G3149" s="2">
        <v>22028709</v>
      </c>
      <c r="H3149" s="2">
        <v>2237138</v>
      </c>
      <c r="I3149" s="2">
        <v>1001722760</v>
      </c>
      <c r="J3149" s="2" t="s">
        <v>1834</v>
      </c>
      <c r="K3149" s="10">
        <v>85175</v>
      </c>
      <c r="L3149" s="10">
        <v>85175</v>
      </c>
      <c r="M3149" s="10">
        <v>0</v>
      </c>
      <c r="N3149" s="10">
        <v>0</v>
      </c>
      <c r="O3149" s="10">
        <f>Table1[[#This Row],[NET Amount]]-Table1[[#This Row],[Paid Amount]]</f>
        <v>0</v>
      </c>
      <c r="P3149" s="2" t="s">
        <v>18</v>
      </c>
      <c r="Q3149" s="2" t="s">
        <v>90</v>
      </c>
      <c r="R3149" s="16" t="e">
        <f>(Table1[[#This Row],[NET Amount]]-Table1[[#This Row],[Total Outstanding Amount]])/Table1[[#This Row],[NET Amount]]</f>
        <v>#DIV/0!</v>
      </c>
      <c r="S3149" s="2" t="s">
        <v>37</v>
      </c>
    </row>
    <row r="3150" spans="1:19" x14ac:dyDescent="0.3">
      <c r="A3150" s="4">
        <v>3148</v>
      </c>
      <c r="B3150" s="2" t="s">
        <v>25</v>
      </c>
      <c r="C3150" s="3">
        <v>44837</v>
      </c>
      <c r="D3150" s="3" t="str">
        <f>TEXT(Table1[[#This Row],[Admission Date]],"MMMM")</f>
        <v>October</v>
      </c>
      <c r="E3150" s="3">
        <v>44839</v>
      </c>
      <c r="F3150" s="3">
        <v>44839</v>
      </c>
      <c r="G3150" s="2">
        <v>22025686</v>
      </c>
      <c r="H3150" s="2">
        <v>2234383</v>
      </c>
      <c r="I3150" s="2">
        <v>10013537349</v>
      </c>
      <c r="J3150" s="2" t="s">
        <v>1835</v>
      </c>
      <c r="K3150" s="10">
        <v>96468</v>
      </c>
      <c r="L3150" s="10">
        <v>15895</v>
      </c>
      <c r="M3150" s="10">
        <v>80573</v>
      </c>
      <c r="N3150" s="10">
        <v>80573</v>
      </c>
      <c r="O3150" s="10">
        <f>Table1[[#This Row],[NET Amount]]-Table1[[#This Row],[Paid Amount]]</f>
        <v>0</v>
      </c>
      <c r="P3150" s="2" t="s">
        <v>18</v>
      </c>
      <c r="Q3150" s="2" t="s">
        <v>30</v>
      </c>
      <c r="R3150" s="16">
        <f>(Table1[[#This Row],[NET Amount]]-Table1[[#This Row],[Total Outstanding Amount]])/Table1[[#This Row],[NET Amount]]</f>
        <v>1</v>
      </c>
      <c r="S3150" s="2" t="s">
        <v>27</v>
      </c>
    </row>
    <row r="3151" spans="1:19" x14ac:dyDescent="0.3">
      <c r="A3151" s="4">
        <v>3149</v>
      </c>
      <c r="B3151" s="2" t="s">
        <v>126</v>
      </c>
      <c r="C3151" s="3">
        <v>44837</v>
      </c>
      <c r="D3151" s="3" t="str">
        <f>TEXT(Table1[[#This Row],[Admission Date]],"MMMM")</f>
        <v>October</v>
      </c>
      <c r="E3151" s="3">
        <v>44855</v>
      </c>
      <c r="F3151" s="3">
        <v>44855</v>
      </c>
      <c r="G3151" s="2">
        <v>22028086</v>
      </c>
      <c r="H3151" s="2">
        <v>2234463</v>
      </c>
      <c r="I3151" s="2">
        <v>10013541411</v>
      </c>
      <c r="J3151" s="2" t="s">
        <v>1836</v>
      </c>
      <c r="K3151" s="10">
        <v>912983</v>
      </c>
      <c r="L3151" s="10">
        <v>78486</v>
      </c>
      <c r="M3151" s="10">
        <v>834497</v>
      </c>
      <c r="N3151" s="10">
        <v>26428</v>
      </c>
      <c r="O3151" s="10">
        <f>Table1[[#This Row],[NET Amount]]-Table1[[#This Row],[Paid Amount]]</f>
        <v>808069</v>
      </c>
      <c r="P3151" s="2" t="s">
        <v>23</v>
      </c>
      <c r="Q3151" s="2" t="s">
        <v>30</v>
      </c>
      <c r="R3151" s="16">
        <f>(Table1[[#This Row],[NET Amount]]-Table1[[#This Row],[Total Outstanding Amount]])/Table1[[#This Row],[NET Amount]]</f>
        <v>3.1669376882121805E-2</v>
      </c>
      <c r="S3151" s="2" t="s">
        <v>201</v>
      </c>
    </row>
    <row r="3152" spans="1:19" x14ac:dyDescent="0.3">
      <c r="A3152" s="4">
        <v>3150</v>
      </c>
      <c r="B3152" s="2" t="s">
        <v>152</v>
      </c>
      <c r="C3152" s="3">
        <v>44854</v>
      </c>
      <c r="D3152" s="3" t="str">
        <f>TEXT(Table1[[#This Row],[Admission Date]],"MMMM")</f>
        <v>October</v>
      </c>
      <c r="E3152" s="3">
        <v>44856</v>
      </c>
      <c r="F3152" s="3">
        <v>44856</v>
      </c>
      <c r="G3152" s="2">
        <v>22028287</v>
      </c>
      <c r="H3152" s="2">
        <v>2236799</v>
      </c>
      <c r="I3152" s="2">
        <v>1001169527</v>
      </c>
      <c r="J3152" s="2" t="s">
        <v>1837</v>
      </c>
      <c r="K3152" s="10">
        <v>25490</v>
      </c>
      <c r="L3152" s="10">
        <v>0</v>
      </c>
      <c r="M3152" s="10">
        <v>25490</v>
      </c>
      <c r="N3152" s="10">
        <v>25490</v>
      </c>
      <c r="O3152" s="10">
        <f>Table1[[#This Row],[NET Amount]]-Table1[[#This Row],[Paid Amount]]</f>
        <v>0</v>
      </c>
      <c r="P3152" s="2" t="s">
        <v>18</v>
      </c>
      <c r="Q3152" s="2" t="s">
        <v>19</v>
      </c>
      <c r="R3152" s="16">
        <f>(Table1[[#This Row],[NET Amount]]-Table1[[#This Row],[Total Outstanding Amount]])/Table1[[#This Row],[NET Amount]]</f>
        <v>1</v>
      </c>
      <c r="S3152" s="2" t="s">
        <v>95</v>
      </c>
    </row>
    <row r="3153" spans="1:19" x14ac:dyDescent="0.3">
      <c r="A3153" s="4">
        <v>3151</v>
      </c>
      <c r="B3153" s="2" t="s">
        <v>139</v>
      </c>
      <c r="C3153" s="3">
        <v>44848</v>
      </c>
      <c r="D3153" s="3" t="str">
        <f>TEXT(Table1[[#This Row],[Admission Date]],"MMMM")</f>
        <v>October</v>
      </c>
      <c r="E3153" s="3">
        <v>44860</v>
      </c>
      <c r="F3153" s="3">
        <v>44860</v>
      </c>
      <c r="G3153" s="2">
        <v>22028665</v>
      </c>
      <c r="H3153" s="2">
        <v>2236061</v>
      </c>
      <c r="I3153" s="2">
        <v>1001131556</v>
      </c>
      <c r="J3153" s="2" t="s">
        <v>1838</v>
      </c>
      <c r="K3153" s="10">
        <v>800178</v>
      </c>
      <c r="L3153" s="10">
        <v>0</v>
      </c>
      <c r="M3153" s="10">
        <v>800178</v>
      </c>
      <c r="N3153" s="10">
        <v>300178</v>
      </c>
      <c r="O3153" s="10">
        <f>Table1[[#This Row],[NET Amount]]-Table1[[#This Row],[Paid Amount]]</f>
        <v>500000</v>
      </c>
      <c r="P3153" s="2" t="s">
        <v>23</v>
      </c>
      <c r="Q3153" s="2" t="s">
        <v>42</v>
      </c>
      <c r="R3153" s="16">
        <f>(Table1[[#This Row],[NET Amount]]-Table1[[#This Row],[Total Outstanding Amount]])/Table1[[#This Row],[NET Amount]]</f>
        <v>0.37513903156547668</v>
      </c>
      <c r="S3153" s="2" t="s">
        <v>95</v>
      </c>
    </row>
    <row r="3154" spans="1:19" x14ac:dyDescent="0.3">
      <c r="A3154" s="4">
        <v>3152</v>
      </c>
      <c r="B3154" s="2" t="s">
        <v>144</v>
      </c>
      <c r="C3154" s="3">
        <v>44859</v>
      </c>
      <c r="D3154" s="3" t="str">
        <f>TEXT(Table1[[#This Row],[Admission Date]],"MMMM")</f>
        <v>October</v>
      </c>
      <c r="E3154" s="3">
        <v>44860</v>
      </c>
      <c r="F3154" s="3">
        <v>44860</v>
      </c>
      <c r="G3154" s="2">
        <v>22028602</v>
      </c>
      <c r="H3154" s="2">
        <v>2237272</v>
      </c>
      <c r="I3154" s="2">
        <v>10013544340</v>
      </c>
      <c r="J3154" s="2" t="s">
        <v>1839</v>
      </c>
      <c r="K3154" s="10">
        <v>238169</v>
      </c>
      <c r="L3154" s="10">
        <v>0</v>
      </c>
      <c r="M3154" s="10">
        <v>238169</v>
      </c>
      <c r="N3154" s="10">
        <v>42750</v>
      </c>
      <c r="O3154" s="10">
        <f>Table1[[#This Row],[NET Amount]]-Table1[[#This Row],[Paid Amount]]</f>
        <v>195419</v>
      </c>
      <c r="P3154" s="2" t="s">
        <v>23</v>
      </c>
      <c r="Q3154" s="2" t="s">
        <v>47</v>
      </c>
      <c r="R3154" s="16">
        <f>(Table1[[#This Row],[NET Amount]]-Table1[[#This Row],[Total Outstanding Amount]])/Table1[[#This Row],[NET Amount]]</f>
        <v>0.17949439263716102</v>
      </c>
      <c r="S3154" s="2" t="s">
        <v>39</v>
      </c>
    </row>
    <row r="3155" spans="1:19" x14ac:dyDescent="0.3">
      <c r="A3155" s="4">
        <v>3153</v>
      </c>
      <c r="B3155" s="2" t="s">
        <v>2269</v>
      </c>
      <c r="C3155" s="3">
        <v>44839</v>
      </c>
      <c r="D3155" s="3" t="str">
        <f>TEXT(Table1[[#This Row],[Admission Date]],"MMMM")</f>
        <v>October</v>
      </c>
      <c r="E3155" s="3">
        <v>44839</v>
      </c>
      <c r="F3155" s="3">
        <v>44839</v>
      </c>
      <c r="G3155" s="2">
        <v>22025767</v>
      </c>
      <c r="H3155" s="2">
        <v>2234764</v>
      </c>
      <c r="I3155" s="2">
        <v>1001753780</v>
      </c>
      <c r="J3155" s="2" t="s">
        <v>772</v>
      </c>
      <c r="K3155" s="10">
        <v>2560</v>
      </c>
      <c r="L3155" s="10">
        <v>0</v>
      </c>
      <c r="M3155" s="10">
        <v>2560</v>
      </c>
      <c r="N3155" s="10">
        <v>2560</v>
      </c>
      <c r="O3155" s="10">
        <f>Table1[[#This Row],[NET Amount]]-Table1[[#This Row],[Paid Amount]]</f>
        <v>0</v>
      </c>
      <c r="P3155" s="2" t="s">
        <v>18</v>
      </c>
      <c r="Q3155" s="2" t="s">
        <v>54</v>
      </c>
      <c r="R3155" s="16">
        <f>(Table1[[#This Row],[NET Amount]]-Table1[[#This Row],[Total Outstanding Amount]])/Table1[[#This Row],[NET Amount]]</f>
        <v>1</v>
      </c>
      <c r="S3155" s="2" t="s">
        <v>97</v>
      </c>
    </row>
    <row r="3156" spans="1:19" x14ac:dyDescent="0.3">
      <c r="A3156" s="4">
        <v>3154</v>
      </c>
      <c r="B3156" s="2" t="s">
        <v>168</v>
      </c>
      <c r="C3156" s="3">
        <v>44863</v>
      </c>
      <c r="D3156" s="3" t="str">
        <f>TEXT(Table1[[#This Row],[Admission Date]],"MMMM")</f>
        <v>October</v>
      </c>
      <c r="E3156" s="3">
        <v>44863</v>
      </c>
      <c r="F3156" s="3">
        <v>44863</v>
      </c>
      <c r="G3156" s="2">
        <v>22029135</v>
      </c>
      <c r="H3156" s="2">
        <v>2237984</v>
      </c>
      <c r="I3156" s="2">
        <v>1001019251</v>
      </c>
      <c r="J3156" s="2" t="s">
        <v>1840</v>
      </c>
      <c r="K3156" s="10">
        <v>22500</v>
      </c>
      <c r="L3156" s="10">
        <v>0</v>
      </c>
      <c r="M3156" s="10">
        <v>22500</v>
      </c>
      <c r="N3156" s="10">
        <v>6750</v>
      </c>
      <c r="O3156" s="10">
        <f>Table1[[#This Row],[NET Amount]]-Table1[[#This Row],[Paid Amount]]</f>
        <v>15750</v>
      </c>
      <c r="P3156" s="2" t="s">
        <v>23</v>
      </c>
      <c r="Q3156" s="2" t="s">
        <v>47</v>
      </c>
      <c r="R3156" s="16">
        <f>(Table1[[#This Row],[NET Amount]]-Table1[[#This Row],[Total Outstanding Amount]])/Table1[[#This Row],[NET Amount]]</f>
        <v>0.3</v>
      </c>
      <c r="S3156" s="2" t="s">
        <v>39</v>
      </c>
    </row>
    <row r="3157" spans="1:19" x14ac:dyDescent="0.3">
      <c r="A3157" s="4">
        <v>3155</v>
      </c>
      <c r="B3157" s="2" t="s">
        <v>898</v>
      </c>
      <c r="C3157" s="3">
        <v>44860</v>
      </c>
      <c r="D3157" s="3" t="str">
        <f>TEXT(Table1[[#This Row],[Admission Date]],"MMMM")</f>
        <v>October</v>
      </c>
      <c r="E3157" s="3">
        <v>44864</v>
      </c>
      <c r="F3157" s="3">
        <v>44864</v>
      </c>
      <c r="G3157" s="2">
        <v>22029178</v>
      </c>
      <c r="H3157" s="2">
        <v>2237547</v>
      </c>
      <c r="I3157" s="2">
        <v>1001806412</v>
      </c>
      <c r="J3157" s="2" t="s">
        <v>1841</v>
      </c>
      <c r="K3157" s="10">
        <v>79497</v>
      </c>
      <c r="L3157" s="10">
        <v>10499</v>
      </c>
      <c r="M3157" s="10">
        <v>68998</v>
      </c>
      <c r="N3157" s="10">
        <v>2505</v>
      </c>
      <c r="O3157" s="10">
        <f>Table1[[#This Row],[NET Amount]]-Table1[[#This Row],[Paid Amount]]</f>
        <v>66493</v>
      </c>
      <c r="P3157" s="2" t="s">
        <v>23</v>
      </c>
      <c r="Q3157" s="2" t="s">
        <v>24</v>
      </c>
      <c r="R3157" s="16">
        <f>(Table1[[#This Row],[NET Amount]]-Table1[[#This Row],[Total Outstanding Amount]])/Table1[[#This Row],[NET Amount]]</f>
        <v>3.6305400156526273E-2</v>
      </c>
      <c r="S3157" s="2" t="s">
        <v>37</v>
      </c>
    </row>
    <row r="3158" spans="1:19" x14ac:dyDescent="0.3">
      <c r="A3158" s="4">
        <v>3156</v>
      </c>
      <c r="B3158" s="2" t="s">
        <v>25</v>
      </c>
      <c r="C3158" s="3">
        <v>44860</v>
      </c>
      <c r="D3158" s="3" t="str">
        <f>TEXT(Table1[[#This Row],[Admission Date]],"MMMM")</f>
        <v>October</v>
      </c>
      <c r="E3158" s="3">
        <v>44864</v>
      </c>
      <c r="F3158" s="3">
        <v>44864</v>
      </c>
      <c r="G3158" s="2">
        <v>22029195</v>
      </c>
      <c r="H3158" s="2">
        <v>2237549</v>
      </c>
      <c r="I3158" s="2">
        <v>10013544637</v>
      </c>
      <c r="J3158" s="2" t="s">
        <v>1842</v>
      </c>
      <c r="K3158" s="10">
        <v>55218</v>
      </c>
      <c r="L3158" s="10">
        <v>6853</v>
      </c>
      <c r="M3158" s="10">
        <v>48365</v>
      </c>
      <c r="N3158" s="10">
        <v>48365</v>
      </c>
      <c r="O3158" s="10">
        <f>Table1[[#This Row],[NET Amount]]-Table1[[#This Row],[Paid Amount]]</f>
        <v>0</v>
      </c>
      <c r="P3158" s="2" t="s">
        <v>18</v>
      </c>
      <c r="Q3158" s="2" t="s">
        <v>24</v>
      </c>
      <c r="R3158" s="16">
        <f>(Table1[[#This Row],[NET Amount]]-Table1[[#This Row],[Total Outstanding Amount]])/Table1[[#This Row],[NET Amount]]</f>
        <v>1</v>
      </c>
      <c r="S3158" s="2" t="s">
        <v>20</v>
      </c>
    </row>
    <row r="3159" spans="1:19" x14ac:dyDescent="0.3">
      <c r="A3159" s="4">
        <v>3157</v>
      </c>
      <c r="B3159" s="2" t="s">
        <v>25</v>
      </c>
      <c r="C3159" s="3">
        <v>44863</v>
      </c>
      <c r="D3159" s="3" t="str">
        <f>TEXT(Table1[[#This Row],[Admission Date]],"MMMM")</f>
        <v>October</v>
      </c>
      <c r="E3159" s="3">
        <v>44864</v>
      </c>
      <c r="F3159" s="3">
        <v>44864</v>
      </c>
      <c r="G3159" s="2">
        <v>22029205</v>
      </c>
      <c r="H3159" s="2">
        <v>2237937</v>
      </c>
      <c r="I3159" s="2">
        <v>10013542742</v>
      </c>
      <c r="J3159" s="2" t="s">
        <v>1843</v>
      </c>
      <c r="K3159" s="10">
        <v>88830</v>
      </c>
      <c r="L3159" s="10">
        <v>12255</v>
      </c>
      <c r="M3159" s="10">
        <v>76575</v>
      </c>
      <c r="N3159" s="10">
        <v>76575</v>
      </c>
      <c r="O3159" s="10">
        <f>Table1[[#This Row],[NET Amount]]-Table1[[#This Row],[Paid Amount]]</f>
        <v>0</v>
      </c>
      <c r="P3159" s="2" t="s">
        <v>18</v>
      </c>
      <c r="Q3159" s="2" t="s">
        <v>24</v>
      </c>
      <c r="R3159" s="16">
        <f>(Table1[[#This Row],[NET Amount]]-Table1[[#This Row],[Total Outstanding Amount]])/Table1[[#This Row],[NET Amount]]</f>
        <v>1</v>
      </c>
      <c r="S3159" s="2" t="s">
        <v>77</v>
      </c>
    </row>
    <row r="3160" spans="1:19" x14ac:dyDescent="0.3">
      <c r="A3160" s="4">
        <v>3158</v>
      </c>
      <c r="B3160" s="2" t="s">
        <v>2287</v>
      </c>
      <c r="C3160" s="3">
        <v>44860</v>
      </c>
      <c r="D3160" s="3" t="str">
        <f>TEXT(Table1[[#This Row],[Admission Date]],"MMMM")</f>
        <v>October</v>
      </c>
      <c r="E3160" s="3">
        <v>44863</v>
      </c>
      <c r="F3160" s="3">
        <v>44863</v>
      </c>
      <c r="G3160" s="2">
        <v>22029121</v>
      </c>
      <c r="H3160" s="2">
        <v>2237518</v>
      </c>
      <c r="I3160" s="2">
        <v>1001570412</v>
      </c>
      <c r="J3160" s="2" t="s">
        <v>1844</v>
      </c>
      <c r="K3160" s="10">
        <v>52996</v>
      </c>
      <c r="L3160" s="10">
        <v>0</v>
      </c>
      <c r="M3160" s="10">
        <v>52996</v>
      </c>
      <c r="N3160" s="10">
        <v>52996</v>
      </c>
      <c r="O3160" s="10">
        <f>Table1[[#This Row],[NET Amount]]-Table1[[#This Row],[Paid Amount]]</f>
        <v>0</v>
      </c>
      <c r="P3160" s="2" t="s">
        <v>18</v>
      </c>
      <c r="Q3160" s="2" t="s">
        <v>19</v>
      </c>
      <c r="R3160" s="16">
        <f>(Table1[[#This Row],[NET Amount]]-Table1[[#This Row],[Total Outstanding Amount]])/Table1[[#This Row],[NET Amount]]</f>
        <v>1</v>
      </c>
      <c r="S3160" s="2" t="s">
        <v>138</v>
      </c>
    </row>
    <row r="3161" spans="1:19" x14ac:dyDescent="0.3">
      <c r="A3161" s="4">
        <v>3159</v>
      </c>
      <c r="B3161" s="2" t="s">
        <v>25</v>
      </c>
      <c r="C3161" s="3">
        <v>44846</v>
      </c>
      <c r="D3161" s="3" t="str">
        <f>TEXT(Table1[[#This Row],[Admission Date]],"MMMM")</f>
        <v>October</v>
      </c>
      <c r="E3161" s="3">
        <v>44848</v>
      </c>
      <c r="F3161" s="3">
        <v>44848</v>
      </c>
      <c r="G3161" s="2">
        <v>22027016</v>
      </c>
      <c r="H3161" s="2">
        <v>2235682</v>
      </c>
      <c r="I3161" s="2">
        <v>1001803940</v>
      </c>
      <c r="J3161" s="2" t="s">
        <v>1845</v>
      </c>
      <c r="K3161" s="10">
        <v>30173</v>
      </c>
      <c r="L3161" s="10">
        <v>5175</v>
      </c>
      <c r="M3161" s="10">
        <v>24998</v>
      </c>
      <c r="N3161" s="10">
        <v>24998</v>
      </c>
      <c r="O3161" s="10">
        <f>Table1[[#This Row],[NET Amount]]-Table1[[#This Row],[Paid Amount]]</f>
        <v>0</v>
      </c>
      <c r="P3161" s="2" t="s">
        <v>18</v>
      </c>
      <c r="Q3161" s="2" t="s">
        <v>24</v>
      </c>
      <c r="R3161" s="16">
        <f>(Table1[[#This Row],[NET Amount]]-Table1[[#This Row],[Total Outstanding Amount]])/Table1[[#This Row],[NET Amount]]</f>
        <v>1</v>
      </c>
      <c r="S3161" s="2" t="s">
        <v>37</v>
      </c>
    </row>
    <row r="3162" spans="1:19" x14ac:dyDescent="0.3">
      <c r="A3162" s="4">
        <v>3160</v>
      </c>
      <c r="B3162" s="2" t="s">
        <v>25</v>
      </c>
      <c r="C3162" s="3">
        <v>44851</v>
      </c>
      <c r="D3162" s="3" t="str">
        <f>TEXT(Table1[[#This Row],[Admission Date]],"MMMM")</f>
        <v>October</v>
      </c>
      <c r="E3162" s="3">
        <v>44851</v>
      </c>
      <c r="F3162" s="3">
        <v>44851</v>
      </c>
      <c r="G3162" s="2">
        <v>22027495</v>
      </c>
      <c r="H3162" s="2">
        <v>2236379</v>
      </c>
      <c r="I3162" s="2">
        <v>1000891310</v>
      </c>
      <c r="J3162" s="2" t="s">
        <v>683</v>
      </c>
      <c r="K3162" s="10">
        <v>3319</v>
      </c>
      <c r="L3162" s="10">
        <v>3319</v>
      </c>
      <c r="M3162" s="10">
        <v>0</v>
      </c>
      <c r="N3162" s="10">
        <v>0</v>
      </c>
      <c r="O3162" s="10">
        <f>Table1[[#This Row],[NET Amount]]-Table1[[#This Row],[Paid Amount]]</f>
        <v>0</v>
      </c>
      <c r="P3162" s="2" t="s">
        <v>18</v>
      </c>
      <c r="Q3162" s="2" t="s">
        <v>90</v>
      </c>
      <c r="R3162" s="16" t="e">
        <f>(Table1[[#This Row],[NET Amount]]-Table1[[#This Row],[Total Outstanding Amount]])/Table1[[#This Row],[NET Amount]]</f>
        <v>#DIV/0!</v>
      </c>
      <c r="S3162" s="2" t="s">
        <v>97</v>
      </c>
    </row>
    <row r="3163" spans="1:19" x14ac:dyDescent="0.3">
      <c r="A3163" s="4">
        <v>3161</v>
      </c>
      <c r="B3163" s="2" t="s">
        <v>25</v>
      </c>
      <c r="C3163" s="3">
        <v>44848</v>
      </c>
      <c r="D3163" s="3" t="str">
        <f>TEXT(Table1[[#This Row],[Admission Date]],"MMMM")</f>
        <v>October</v>
      </c>
      <c r="E3163" s="3">
        <v>44855</v>
      </c>
      <c r="F3163" s="3">
        <v>44855</v>
      </c>
      <c r="G3163" s="2">
        <v>22028044</v>
      </c>
      <c r="H3163" s="2">
        <v>2236028</v>
      </c>
      <c r="I3163" s="2">
        <v>10013543056</v>
      </c>
      <c r="J3163" s="2" t="s">
        <v>1846</v>
      </c>
      <c r="K3163" s="10">
        <v>166159</v>
      </c>
      <c r="L3163" s="10">
        <v>21782</v>
      </c>
      <c r="M3163" s="10">
        <v>144377</v>
      </c>
      <c r="N3163" s="10">
        <v>144377</v>
      </c>
      <c r="O3163" s="10">
        <f>Table1[[#This Row],[NET Amount]]-Table1[[#This Row],[Paid Amount]]</f>
        <v>0</v>
      </c>
      <c r="P3163" s="2" t="s">
        <v>18</v>
      </c>
      <c r="Q3163" s="2" t="s">
        <v>19</v>
      </c>
      <c r="R3163" s="16">
        <f>(Table1[[#This Row],[NET Amount]]-Table1[[#This Row],[Total Outstanding Amount]])/Table1[[#This Row],[NET Amount]]</f>
        <v>1</v>
      </c>
      <c r="S3163" s="2" t="s">
        <v>65</v>
      </c>
    </row>
    <row r="3164" spans="1:19" x14ac:dyDescent="0.3">
      <c r="A3164" s="4">
        <v>3162</v>
      </c>
      <c r="B3164" s="2" t="s">
        <v>25</v>
      </c>
      <c r="C3164" s="3">
        <v>44863</v>
      </c>
      <c r="D3164" s="3" t="str">
        <f>TEXT(Table1[[#This Row],[Admission Date]],"MMMM")</f>
        <v>October</v>
      </c>
      <c r="E3164" s="3">
        <v>44864</v>
      </c>
      <c r="F3164" s="3">
        <v>44864</v>
      </c>
      <c r="G3164" s="2">
        <v>22029192</v>
      </c>
      <c r="H3164" s="2">
        <v>2237985</v>
      </c>
      <c r="I3164" s="2">
        <v>1001807018</v>
      </c>
      <c r="J3164" s="2" t="s">
        <v>1847</v>
      </c>
      <c r="K3164" s="10">
        <v>9158</v>
      </c>
      <c r="L3164" s="10">
        <v>1352</v>
      </c>
      <c r="M3164" s="10">
        <v>7806</v>
      </c>
      <c r="N3164" s="10">
        <v>7806</v>
      </c>
      <c r="O3164" s="10">
        <f>Table1[[#This Row],[NET Amount]]-Table1[[#This Row],[Paid Amount]]</f>
        <v>0</v>
      </c>
      <c r="P3164" s="2" t="s">
        <v>18</v>
      </c>
      <c r="Q3164" s="2" t="s">
        <v>30</v>
      </c>
      <c r="R3164" s="16">
        <f>(Table1[[#This Row],[NET Amount]]-Table1[[#This Row],[Total Outstanding Amount]])/Table1[[#This Row],[NET Amount]]</f>
        <v>1</v>
      </c>
      <c r="S3164" s="2" t="s">
        <v>37</v>
      </c>
    </row>
    <row r="3165" spans="1:19" x14ac:dyDescent="0.3">
      <c r="A3165" s="4">
        <v>3163</v>
      </c>
      <c r="B3165" s="2" t="s">
        <v>2291</v>
      </c>
      <c r="C3165" s="3">
        <v>44862</v>
      </c>
      <c r="D3165" s="3" t="str">
        <f>TEXT(Table1[[#This Row],[Admission Date]],"MMMM")</f>
        <v>October</v>
      </c>
      <c r="E3165" s="3">
        <v>44864</v>
      </c>
      <c r="F3165" s="3">
        <v>44864</v>
      </c>
      <c r="G3165" s="2">
        <v>22029225</v>
      </c>
      <c r="H3165" s="2">
        <v>2237792</v>
      </c>
      <c r="I3165" s="2">
        <v>1001326111</v>
      </c>
      <c r="J3165" s="2" t="s">
        <v>114</v>
      </c>
      <c r="K3165" s="10">
        <v>61342</v>
      </c>
      <c r="L3165" s="10">
        <v>61342</v>
      </c>
      <c r="M3165" s="10">
        <v>0</v>
      </c>
      <c r="N3165" s="10">
        <v>0</v>
      </c>
      <c r="O3165" s="10">
        <f>Table1[[#This Row],[NET Amount]]-Table1[[#This Row],[Paid Amount]]</f>
        <v>0</v>
      </c>
      <c r="P3165" s="2" t="s">
        <v>18</v>
      </c>
      <c r="Q3165" s="2" t="s">
        <v>24</v>
      </c>
      <c r="R3165" s="16" t="e">
        <f>(Table1[[#This Row],[NET Amount]]-Table1[[#This Row],[Total Outstanding Amount]])/Table1[[#This Row],[NET Amount]]</f>
        <v>#DIV/0!</v>
      </c>
      <c r="S3165" s="2" t="s">
        <v>27</v>
      </c>
    </row>
    <row r="3166" spans="1:19" x14ac:dyDescent="0.3">
      <c r="A3166" s="4">
        <v>3164</v>
      </c>
      <c r="B3166" s="2" t="s">
        <v>259</v>
      </c>
      <c r="C3166" s="3">
        <v>44832</v>
      </c>
      <c r="D3166" s="3" t="str">
        <f>TEXT(Table1[[#This Row],[Admission Date]],"MMMM")</f>
        <v>September</v>
      </c>
      <c r="E3166" s="3">
        <v>44835</v>
      </c>
      <c r="F3166" s="3">
        <v>44835</v>
      </c>
      <c r="G3166" s="2">
        <v>22025139</v>
      </c>
      <c r="H3166" s="2">
        <v>2233779</v>
      </c>
      <c r="I3166" s="2">
        <v>10013540570</v>
      </c>
      <c r="J3166" s="2" t="s">
        <v>1848</v>
      </c>
      <c r="K3166" s="10">
        <v>128268</v>
      </c>
      <c r="L3166" s="10">
        <v>0</v>
      </c>
      <c r="M3166" s="10">
        <v>128268</v>
      </c>
      <c r="N3166" s="10">
        <v>1500</v>
      </c>
      <c r="O3166" s="10">
        <f>Table1[[#This Row],[NET Amount]]-Table1[[#This Row],[Paid Amount]]</f>
        <v>126768</v>
      </c>
      <c r="P3166" s="2" t="s">
        <v>23</v>
      </c>
      <c r="Q3166" s="2" t="s">
        <v>24</v>
      </c>
      <c r="R3166" s="16">
        <f>(Table1[[#This Row],[NET Amount]]-Table1[[#This Row],[Total Outstanding Amount]])/Table1[[#This Row],[NET Amount]]</f>
        <v>1.169426513237908E-2</v>
      </c>
      <c r="S3166" s="2" t="s">
        <v>77</v>
      </c>
    </row>
    <row r="3167" spans="1:19" x14ac:dyDescent="0.3">
      <c r="A3167" s="4">
        <v>3165</v>
      </c>
      <c r="B3167" s="2" t="s">
        <v>2256</v>
      </c>
      <c r="C3167" s="3">
        <v>44846</v>
      </c>
      <c r="D3167" s="3" t="str">
        <f>TEXT(Table1[[#This Row],[Admission Date]],"MMMM")</f>
        <v>October</v>
      </c>
      <c r="E3167" s="3">
        <v>44847</v>
      </c>
      <c r="F3167" s="3">
        <v>44847</v>
      </c>
      <c r="G3167" s="2">
        <v>22026932</v>
      </c>
      <c r="H3167" s="2">
        <v>2235735</v>
      </c>
      <c r="I3167" s="2">
        <v>1001798133</v>
      </c>
      <c r="J3167" s="2" t="s">
        <v>1849</v>
      </c>
      <c r="K3167" s="10">
        <v>5627</v>
      </c>
      <c r="L3167" s="10">
        <v>0</v>
      </c>
      <c r="M3167" s="10">
        <v>5627</v>
      </c>
      <c r="N3167" s="10">
        <v>5627</v>
      </c>
      <c r="O3167" s="10">
        <f>Table1[[#This Row],[NET Amount]]-Table1[[#This Row],[Paid Amount]]</f>
        <v>0</v>
      </c>
      <c r="P3167" s="2" t="s">
        <v>18</v>
      </c>
      <c r="Q3167" s="2" t="s">
        <v>42</v>
      </c>
      <c r="R3167" s="16">
        <f>(Table1[[#This Row],[NET Amount]]-Table1[[#This Row],[Total Outstanding Amount]])/Table1[[#This Row],[NET Amount]]</f>
        <v>1</v>
      </c>
      <c r="S3167" s="2" t="s">
        <v>37</v>
      </c>
    </row>
    <row r="3168" spans="1:19" x14ac:dyDescent="0.3">
      <c r="A3168" s="4">
        <v>3166</v>
      </c>
      <c r="B3168" s="2" t="s">
        <v>2256</v>
      </c>
      <c r="C3168" s="3">
        <v>44839</v>
      </c>
      <c r="D3168" s="3" t="str">
        <f>TEXT(Table1[[#This Row],[Admission Date]],"MMMM")</f>
        <v>October</v>
      </c>
      <c r="E3168" s="3">
        <v>44843</v>
      </c>
      <c r="F3168" s="3">
        <v>44843</v>
      </c>
      <c r="G3168" s="2">
        <v>22026287</v>
      </c>
      <c r="H3168" s="2">
        <v>2234730</v>
      </c>
      <c r="I3168" s="2">
        <v>1001551031</v>
      </c>
      <c r="J3168" s="2" t="s">
        <v>1850</v>
      </c>
      <c r="K3168" s="10">
        <v>47283</v>
      </c>
      <c r="L3168" s="10">
        <v>2250</v>
      </c>
      <c r="M3168" s="10">
        <v>45033</v>
      </c>
      <c r="N3168" s="10">
        <v>2070</v>
      </c>
      <c r="O3168" s="10">
        <f>Table1[[#This Row],[NET Amount]]-Table1[[#This Row],[Paid Amount]]</f>
        <v>42963</v>
      </c>
      <c r="P3168" s="2" t="s">
        <v>23</v>
      </c>
      <c r="Q3168" s="2" t="s">
        <v>24</v>
      </c>
      <c r="R3168" s="16">
        <f>(Table1[[#This Row],[NET Amount]]-Table1[[#This Row],[Total Outstanding Amount]])/Table1[[#This Row],[NET Amount]]</f>
        <v>4.59662913863167E-2</v>
      </c>
      <c r="S3168" s="2" t="s">
        <v>37</v>
      </c>
    </row>
    <row r="3169" spans="1:19" x14ac:dyDescent="0.3">
      <c r="A3169" s="4">
        <v>3167</v>
      </c>
      <c r="B3169" s="2" t="s">
        <v>113</v>
      </c>
      <c r="C3169" s="3">
        <v>44842</v>
      </c>
      <c r="D3169" s="3" t="str">
        <f>TEXT(Table1[[#This Row],[Admission Date]],"MMMM")</f>
        <v>October</v>
      </c>
      <c r="E3169" s="3">
        <v>44846</v>
      </c>
      <c r="F3169" s="3">
        <v>44846</v>
      </c>
      <c r="G3169" s="2">
        <v>22026801</v>
      </c>
      <c r="H3169" s="2">
        <v>2235231</v>
      </c>
      <c r="I3169" s="2">
        <v>10013542235</v>
      </c>
      <c r="J3169" s="2" t="s">
        <v>1851</v>
      </c>
      <c r="K3169" s="10">
        <v>162494</v>
      </c>
      <c r="L3169" s="10">
        <v>0</v>
      </c>
      <c r="M3169" s="10">
        <v>162494</v>
      </c>
      <c r="N3169" s="10">
        <v>162494</v>
      </c>
      <c r="O3169" s="10">
        <f>Table1[[#This Row],[NET Amount]]-Table1[[#This Row],[Paid Amount]]</f>
        <v>0</v>
      </c>
      <c r="P3169" s="2" t="s">
        <v>18</v>
      </c>
      <c r="Q3169" s="2" t="s">
        <v>24</v>
      </c>
      <c r="R3169" s="16">
        <f>(Table1[[#This Row],[NET Amount]]-Table1[[#This Row],[Total Outstanding Amount]])/Table1[[#This Row],[NET Amount]]</f>
        <v>1</v>
      </c>
      <c r="S3169" s="2" t="s">
        <v>20</v>
      </c>
    </row>
    <row r="3170" spans="1:19" x14ac:dyDescent="0.3">
      <c r="A3170" s="4">
        <v>3168</v>
      </c>
      <c r="B3170" s="2" t="s">
        <v>35</v>
      </c>
      <c r="C3170" s="3">
        <v>44862</v>
      </c>
      <c r="D3170" s="3" t="str">
        <f>TEXT(Table1[[#This Row],[Admission Date]],"MMMM")</f>
        <v>October</v>
      </c>
      <c r="E3170" s="3">
        <v>44865</v>
      </c>
      <c r="F3170" s="3">
        <v>44865</v>
      </c>
      <c r="G3170" s="2">
        <v>22029307</v>
      </c>
      <c r="H3170" s="2">
        <v>2237782</v>
      </c>
      <c r="I3170" s="2">
        <v>10013328012</v>
      </c>
      <c r="J3170" s="2" t="s">
        <v>1852</v>
      </c>
      <c r="K3170" s="10">
        <v>13642</v>
      </c>
      <c r="L3170" s="10">
        <v>0</v>
      </c>
      <c r="M3170" s="10">
        <v>13642</v>
      </c>
      <c r="N3170" s="10">
        <v>13642</v>
      </c>
      <c r="O3170" s="10">
        <f>Table1[[#This Row],[NET Amount]]-Table1[[#This Row],[Paid Amount]]</f>
        <v>0</v>
      </c>
      <c r="P3170" s="2" t="s">
        <v>18</v>
      </c>
      <c r="Q3170" s="2" t="s">
        <v>19</v>
      </c>
      <c r="R3170" s="16">
        <f>(Table1[[#This Row],[NET Amount]]-Table1[[#This Row],[Total Outstanding Amount]])/Table1[[#This Row],[NET Amount]]</f>
        <v>1</v>
      </c>
      <c r="S3170" s="2" t="s">
        <v>77</v>
      </c>
    </row>
    <row r="3171" spans="1:19" x14ac:dyDescent="0.3">
      <c r="A3171" s="4">
        <v>3169</v>
      </c>
      <c r="B3171" s="2" t="s">
        <v>25</v>
      </c>
      <c r="C3171" s="3">
        <v>44841</v>
      </c>
      <c r="D3171" s="3" t="str">
        <f>TEXT(Table1[[#This Row],[Admission Date]],"MMMM")</f>
        <v>October</v>
      </c>
      <c r="E3171" s="3">
        <v>44845</v>
      </c>
      <c r="F3171" s="3">
        <v>44845</v>
      </c>
      <c r="G3171" s="2">
        <v>22026527</v>
      </c>
      <c r="H3171" s="2">
        <v>2235023</v>
      </c>
      <c r="I3171" s="2">
        <v>1001802585</v>
      </c>
      <c r="J3171" s="2" t="s">
        <v>1853</v>
      </c>
      <c r="K3171" s="10">
        <v>48939</v>
      </c>
      <c r="L3171" s="10">
        <v>5000</v>
      </c>
      <c r="M3171" s="10">
        <v>43939</v>
      </c>
      <c r="N3171" s="10">
        <v>43939</v>
      </c>
      <c r="O3171" s="10">
        <f>Table1[[#This Row],[NET Amount]]-Table1[[#This Row],[Paid Amount]]</f>
        <v>0</v>
      </c>
      <c r="P3171" s="2" t="s">
        <v>18</v>
      </c>
      <c r="Q3171" s="2" t="s">
        <v>24</v>
      </c>
      <c r="R3171" s="16">
        <f>(Table1[[#This Row],[NET Amount]]-Table1[[#This Row],[Total Outstanding Amount]])/Table1[[#This Row],[NET Amount]]</f>
        <v>1</v>
      </c>
      <c r="S3171" s="2" t="s">
        <v>20</v>
      </c>
    </row>
    <row r="3172" spans="1:19" x14ac:dyDescent="0.3">
      <c r="A3172" s="4">
        <v>3170</v>
      </c>
      <c r="B3172" s="2" t="s">
        <v>25</v>
      </c>
      <c r="C3172" s="3">
        <v>44849</v>
      </c>
      <c r="D3172" s="3" t="str">
        <f>TEXT(Table1[[#This Row],[Admission Date]],"MMMM")</f>
        <v>October</v>
      </c>
      <c r="E3172" s="3">
        <v>44852</v>
      </c>
      <c r="F3172" s="3">
        <v>44852</v>
      </c>
      <c r="G3172" s="2">
        <v>22027567</v>
      </c>
      <c r="H3172" s="2">
        <v>2236203</v>
      </c>
      <c r="I3172" s="2">
        <v>10013541596</v>
      </c>
      <c r="J3172" s="2" t="s">
        <v>1854</v>
      </c>
      <c r="K3172" s="10">
        <v>28792</v>
      </c>
      <c r="L3172" s="10">
        <v>3665</v>
      </c>
      <c r="M3172" s="10">
        <v>25127</v>
      </c>
      <c r="N3172" s="10">
        <v>25127</v>
      </c>
      <c r="O3172" s="10">
        <f>Table1[[#This Row],[NET Amount]]-Table1[[#This Row],[Paid Amount]]</f>
        <v>0</v>
      </c>
      <c r="P3172" s="2" t="s">
        <v>18</v>
      </c>
      <c r="Q3172" s="2" t="s">
        <v>69</v>
      </c>
      <c r="R3172" s="16">
        <f>(Table1[[#This Row],[NET Amount]]-Table1[[#This Row],[Total Outstanding Amount]])/Table1[[#This Row],[NET Amount]]</f>
        <v>1</v>
      </c>
      <c r="S3172" s="2" t="s">
        <v>70</v>
      </c>
    </row>
    <row r="3173" spans="1:19" x14ac:dyDescent="0.3">
      <c r="A3173" s="4">
        <v>3171</v>
      </c>
      <c r="B3173" s="2" t="s">
        <v>28</v>
      </c>
      <c r="C3173" s="3">
        <v>44848</v>
      </c>
      <c r="D3173" s="3" t="str">
        <f>TEXT(Table1[[#This Row],[Admission Date]],"MMMM")</f>
        <v>October</v>
      </c>
      <c r="E3173" s="3">
        <v>44852</v>
      </c>
      <c r="F3173" s="3">
        <v>44852</v>
      </c>
      <c r="G3173" s="2">
        <v>22027563</v>
      </c>
      <c r="H3173" s="2">
        <v>2236062</v>
      </c>
      <c r="I3173" s="2">
        <v>10013543079</v>
      </c>
      <c r="J3173" s="2" t="s">
        <v>1855</v>
      </c>
      <c r="K3173" s="10">
        <v>56701</v>
      </c>
      <c r="L3173" s="10">
        <v>5095</v>
      </c>
      <c r="M3173" s="10">
        <v>51606</v>
      </c>
      <c r="N3173" s="10">
        <v>1850</v>
      </c>
      <c r="O3173" s="10">
        <f>Table1[[#This Row],[NET Amount]]-Table1[[#This Row],[Paid Amount]]</f>
        <v>49756</v>
      </c>
      <c r="P3173" s="2" t="s">
        <v>23</v>
      </c>
      <c r="Q3173" s="2" t="s">
        <v>19</v>
      </c>
      <c r="R3173" s="16">
        <f>(Table1[[#This Row],[NET Amount]]-Table1[[#This Row],[Total Outstanding Amount]])/Table1[[#This Row],[NET Amount]]</f>
        <v>3.584854474285936E-2</v>
      </c>
      <c r="S3173" s="2" t="s">
        <v>20</v>
      </c>
    </row>
    <row r="3174" spans="1:19" x14ac:dyDescent="0.3">
      <c r="A3174" s="4">
        <v>3172</v>
      </c>
      <c r="B3174" s="2" t="s">
        <v>1027</v>
      </c>
      <c r="C3174" s="3">
        <v>44860</v>
      </c>
      <c r="D3174" s="3" t="str">
        <f>TEXT(Table1[[#This Row],[Admission Date]],"MMMM")</f>
        <v>October</v>
      </c>
      <c r="E3174" s="3">
        <v>44864</v>
      </c>
      <c r="F3174" s="3">
        <v>44864</v>
      </c>
      <c r="G3174" s="2">
        <v>22029207</v>
      </c>
      <c r="H3174" s="2">
        <v>2237562</v>
      </c>
      <c r="I3174" s="2">
        <v>10013544649</v>
      </c>
      <c r="J3174" s="2" t="s">
        <v>1856</v>
      </c>
      <c r="K3174" s="10">
        <v>54556</v>
      </c>
      <c r="L3174" s="10">
        <v>2457</v>
      </c>
      <c r="M3174" s="10">
        <v>52099</v>
      </c>
      <c r="N3174" s="10">
        <v>1460</v>
      </c>
      <c r="O3174" s="10">
        <f>Table1[[#This Row],[NET Amount]]-Table1[[#This Row],[Paid Amount]]</f>
        <v>50639</v>
      </c>
      <c r="P3174" s="2" t="s">
        <v>23</v>
      </c>
      <c r="Q3174" s="2" t="s">
        <v>30</v>
      </c>
      <c r="R3174" s="16">
        <f>(Table1[[#This Row],[NET Amount]]-Table1[[#This Row],[Total Outstanding Amount]])/Table1[[#This Row],[NET Amount]]</f>
        <v>2.8023570509990596E-2</v>
      </c>
      <c r="S3174" s="2" t="s">
        <v>20</v>
      </c>
    </row>
    <row r="3175" spans="1:19" x14ac:dyDescent="0.3">
      <c r="A3175" s="4">
        <v>3173</v>
      </c>
      <c r="B3175" s="2" t="s">
        <v>139</v>
      </c>
      <c r="C3175" s="3">
        <v>44865</v>
      </c>
      <c r="D3175" s="3" t="str">
        <f>TEXT(Table1[[#This Row],[Admission Date]],"MMMM")</f>
        <v>October</v>
      </c>
      <c r="E3175" s="3">
        <v>44865</v>
      </c>
      <c r="F3175" s="3">
        <v>44865</v>
      </c>
      <c r="G3175" s="2">
        <v>22029346</v>
      </c>
      <c r="H3175" s="2">
        <v>2238210</v>
      </c>
      <c r="I3175" s="2">
        <v>10013545339</v>
      </c>
      <c r="J3175" s="2" t="s">
        <v>1857</v>
      </c>
      <c r="K3175" s="10">
        <v>0</v>
      </c>
      <c r="L3175" s="10">
        <v>0</v>
      </c>
      <c r="M3175" s="10">
        <v>0</v>
      </c>
      <c r="N3175" s="10">
        <v>0</v>
      </c>
      <c r="O3175" s="10">
        <f>Table1[[#This Row],[NET Amount]]-Table1[[#This Row],[Paid Amount]]</f>
        <v>0</v>
      </c>
      <c r="P3175" s="2" t="s">
        <v>18</v>
      </c>
      <c r="Q3175" s="2" t="s">
        <v>47</v>
      </c>
      <c r="R3175" s="16" t="e">
        <f>(Table1[[#This Row],[NET Amount]]-Table1[[#This Row],[Total Outstanding Amount]])/Table1[[#This Row],[NET Amount]]</f>
        <v>#DIV/0!</v>
      </c>
      <c r="S3175" s="2" t="s">
        <v>39</v>
      </c>
    </row>
    <row r="3176" spans="1:19" x14ac:dyDescent="0.3">
      <c r="A3176" s="4">
        <v>3174</v>
      </c>
      <c r="B3176" s="2" t="s">
        <v>25</v>
      </c>
      <c r="C3176" s="3">
        <v>44840</v>
      </c>
      <c r="D3176" s="3" t="str">
        <f>TEXT(Table1[[#This Row],[Admission Date]],"MMMM")</f>
        <v>October</v>
      </c>
      <c r="E3176" s="3">
        <v>44844</v>
      </c>
      <c r="F3176" s="3">
        <v>44844</v>
      </c>
      <c r="G3176" s="2">
        <v>22026419</v>
      </c>
      <c r="H3176" s="2">
        <v>2234966</v>
      </c>
      <c r="I3176" s="2">
        <v>10013541896</v>
      </c>
      <c r="J3176" s="2" t="s">
        <v>1858</v>
      </c>
      <c r="K3176" s="10">
        <v>107984</v>
      </c>
      <c r="L3176" s="10">
        <v>13858</v>
      </c>
      <c r="M3176" s="10">
        <v>94126</v>
      </c>
      <c r="N3176" s="10">
        <v>94126</v>
      </c>
      <c r="O3176" s="10">
        <f>Table1[[#This Row],[NET Amount]]-Table1[[#This Row],[Paid Amount]]</f>
        <v>0</v>
      </c>
      <c r="P3176" s="2" t="s">
        <v>18</v>
      </c>
      <c r="Q3176" s="2" t="s">
        <v>24</v>
      </c>
      <c r="R3176" s="16">
        <f>(Table1[[#This Row],[NET Amount]]-Table1[[#This Row],[Total Outstanding Amount]])/Table1[[#This Row],[NET Amount]]</f>
        <v>1</v>
      </c>
      <c r="S3176" s="2" t="s">
        <v>20</v>
      </c>
    </row>
    <row r="3177" spans="1:19" x14ac:dyDescent="0.3">
      <c r="A3177" s="4">
        <v>3175</v>
      </c>
      <c r="B3177" s="2" t="s">
        <v>25</v>
      </c>
      <c r="C3177" s="3">
        <v>44838</v>
      </c>
      <c r="D3177" s="3" t="str">
        <f>TEXT(Table1[[#This Row],[Admission Date]],"MMMM")</f>
        <v>October</v>
      </c>
      <c r="E3177" s="3">
        <v>44838</v>
      </c>
      <c r="F3177" s="3">
        <v>44838</v>
      </c>
      <c r="G3177" s="2">
        <v>22025634</v>
      </c>
      <c r="H3177" s="2">
        <v>2234648</v>
      </c>
      <c r="I3177" s="2">
        <v>1001164234</v>
      </c>
      <c r="J3177" s="2" t="s">
        <v>1859</v>
      </c>
      <c r="K3177" s="10">
        <v>0</v>
      </c>
      <c r="L3177" s="10">
        <v>0</v>
      </c>
      <c r="M3177" s="10">
        <v>0</v>
      </c>
      <c r="N3177" s="10">
        <v>0</v>
      </c>
      <c r="O3177" s="10">
        <f>Table1[[#This Row],[NET Amount]]-Table1[[#This Row],[Paid Amount]]</f>
        <v>0</v>
      </c>
      <c r="P3177" s="2" t="s">
        <v>18</v>
      </c>
      <c r="Q3177" s="2" t="s">
        <v>24</v>
      </c>
      <c r="R3177" s="16" t="e">
        <f>(Table1[[#This Row],[NET Amount]]-Table1[[#This Row],[Total Outstanding Amount]])/Table1[[#This Row],[NET Amount]]</f>
        <v>#DIV/0!</v>
      </c>
      <c r="S3177" s="2" t="s">
        <v>37</v>
      </c>
    </row>
    <row r="3178" spans="1:19" x14ac:dyDescent="0.3">
      <c r="A3178" s="4">
        <v>3176</v>
      </c>
      <c r="B3178" s="2" t="s">
        <v>50</v>
      </c>
      <c r="C3178" s="3">
        <v>44843</v>
      </c>
      <c r="D3178" s="3" t="str">
        <f>TEXT(Table1[[#This Row],[Admission Date]],"MMMM")</f>
        <v>October</v>
      </c>
      <c r="E3178" s="3">
        <v>44847</v>
      </c>
      <c r="F3178" s="3">
        <v>44847</v>
      </c>
      <c r="G3178" s="2">
        <v>22026882</v>
      </c>
      <c r="H3178" s="2">
        <v>2235302</v>
      </c>
      <c r="I3178" s="2">
        <v>10013478651</v>
      </c>
      <c r="J3178" s="2" t="s">
        <v>1860</v>
      </c>
      <c r="K3178" s="10">
        <v>101349</v>
      </c>
      <c r="L3178" s="10">
        <v>0</v>
      </c>
      <c r="M3178" s="10">
        <v>101349</v>
      </c>
      <c r="N3178" s="10">
        <v>12048</v>
      </c>
      <c r="O3178" s="10">
        <f>Table1[[#This Row],[NET Amount]]-Table1[[#This Row],[Paid Amount]]</f>
        <v>89301</v>
      </c>
      <c r="P3178" s="2" t="s">
        <v>23</v>
      </c>
      <c r="Q3178" s="2" t="s">
        <v>42</v>
      </c>
      <c r="R3178" s="16">
        <f>(Table1[[#This Row],[NET Amount]]-Table1[[#This Row],[Total Outstanding Amount]])/Table1[[#This Row],[NET Amount]]</f>
        <v>0.11887635793150401</v>
      </c>
      <c r="S3178" s="2" t="s">
        <v>20</v>
      </c>
    </row>
    <row r="3179" spans="1:19" x14ac:dyDescent="0.3">
      <c r="A3179" s="4">
        <v>3177</v>
      </c>
      <c r="B3179" s="2" t="s">
        <v>25</v>
      </c>
      <c r="C3179" s="3">
        <v>44848</v>
      </c>
      <c r="D3179" s="3" t="str">
        <f>TEXT(Table1[[#This Row],[Admission Date]],"MMMM")</f>
        <v>October</v>
      </c>
      <c r="E3179" s="3">
        <v>44854</v>
      </c>
      <c r="F3179" s="3">
        <v>44854</v>
      </c>
      <c r="G3179" s="2">
        <v>22027842</v>
      </c>
      <c r="H3179" s="2">
        <v>2236031</v>
      </c>
      <c r="I3179" s="2">
        <v>10013542906</v>
      </c>
      <c r="J3179" s="2" t="s">
        <v>1861</v>
      </c>
      <c r="K3179" s="10">
        <v>124551</v>
      </c>
      <c r="L3179" s="10">
        <v>13690</v>
      </c>
      <c r="M3179" s="10">
        <v>110861</v>
      </c>
      <c r="N3179" s="10">
        <v>110861</v>
      </c>
      <c r="O3179" s="10">
        <f>Table1[[#This Row],[NET Amount]]-Table1[[#This Row],[Paid Amount]]</f>
        <v>0</v>
      </c>
      <c r="P3179" s="2" t="s">
        <v>18</v>
      </c>
      <c r="Q3179" s="2" t="s">
        <v>24</v>
      </c>
      <c r="R3179" s="16">
        <f>(Table1[[#This Row],[NET Amount]]-Table1[[#This Row],[Total Outstanding Amount]])/Table1[[#This Row],[NET Amount]]</f>
        <v>1</v>
      </c>
      <c r="S3179" s="2" t="s">
        <v>20</v>
      </c>
    </row>
    <row r="3180" spans="1:19" x14ac:dyDescent="0.3">
      <c r="A3180" s="4">
        <v>3178</v>
      </c>
      <c r="B3180" s="2" t="s">
        <v>25</v>
      </c>
      <c r="C3180" s="3">
        <v>44832</v>
      </c>
      <c r="D3180" s="3" t="str">
        <f>TEXT(Table1[[#This Row],[Admission Date]],"MMMM")</f>
        <v>September</v>
      </c>
      <c r="E3180" s="3">
        <v>44841</v>
      </c>
      <c r="F3180" s="3">
        <v>44841</v>
      </c>
      <c r="G3180" s="2">
        <v>22025988</v>
      </c>
      <c r="H3180" s="2">
        <v>2233705</v>
      </c>
      <c r="I3180" s="2">
        <v>1001104237</v>
      </c>
      <c r="J3180" s="2" t="s">
        <v>1862</v>
      </c>
      <c r="K3180" s="10">
        <v>263299</v>
      </c>
      <c r="L3180" s="10">
        <v>71392</v>
      </c>
      <c r="M3180" s="10">
        <v>191906</v>
      </c>
      <c r="N3180" s="10">
        <v>191906</v>
      </c>
      <c r="O3180" s="10">
        <f>Table1[[#This Row],[NET Amount]]-Table1[[#This Row],[Paid Amount]]</f>
        <v>0</v>
      </c>
      <c r="P3180" s="2" t="s">
        <v>18</v>
      </c>
      <c r="Q3180" s="2" t="s">
        <v>69</v>
      </c>
      <c r="R3180" s="16">
        <f>(Table1[[#This Row],[NET Amount]]-Table1[[#This Row],[Total Outstanding Amount]])/Table1[[#This Row],[NET Amount]]</f>
        <v>1</v>
      </c>
      <c r="S3180" s="2" t="s">
        <v>39</v>
      </c>
    </row>
    <row r="3181" spans="1:19" x14ac:dyDescent="0.3">
      <c r="A3181" s="4">
        <v>3179</v>
      </c>
      <c r="B3181" s="2" t="s">
        <v>584</v>
      </c>
      <c r="C3181" s="3">
        <v>44842</v>
      </c>
      <c r="D3181" s="3" t="str">
        <f>TEXT(Table1[[#This Row],[Admission Date]],"MMMM")</f>
        <v>October</v>
      </c>
      <c r="E3181" s="3">
        <v>44842</v>
      </c>
      <c r="F3181" s="3">
        <v>44842</v>
      </c>
      <c r="G3181" s="2">
        <v>22026162</v>
      </c>
      <c r="H3181" s="2">
        <v>2235169</v>
      </c>
      <c r="I3181" s="2">
        <v>10013376566</v>
      </c>
      <c r="J3181" s="2" t="s">
        <v>585</v>
      </c>
      <c r="K3181" s="10">
        <v>2200</v>
      </c>
      <c r="L3181" s="10">
        <v>0</v>
      </c>
      <c r="M3181" s="10">
        <v>2200</v>
      </c>
      <c r="N3181" s="10">
        <v>440</v>
      </c>
      <c r="O3181" s="10">
        <f>Table1[[#This Row],[NET Amount]]-Table1[[#This Row],[Paid Amount]]</f>
        <v>1760</v>
      </c>
      <c r="P3181" s="2" t="s">
        <v>23</v>
      </c>
      <c r="Q3181" s="2" t="s">
        <v>147</v>
      </c>
      <c r="R3181" s="16">
        <f>(Table1[[#This Row],[NET Amount]]-Table1[[#This Row],[Total Outstanding Amount]])/Table1[[#This Row],[NET Amount]]</f>
        <v>0.2</v>
      </c>
      <c r="S3181" s="2" t="s">
        <v>97</v>
      </c>
    </row>
    <row r="3182" spans="1:19" x14ac:dyDescent="0.3">
      <c r="A3182" s="4">
        <v>3180</v>
      </c>
      <c r="B3182" s="2" t="s">
        <v>25</v>
      </c>
      <c r="C3182" s="3">
        <v>44844</v>
      </c>
      <c r="D3182" s="3" t="str">
        <f>TEXT(Table1[[#This Row],[Admission Date]],"MMMM")</f>
        <v>October</v>
      </c>
      <c r="E3182" s="3">
        <v>44859</v>
      </c>
      <c r="F3182" s="3">
        <v>44859</v>
      </c>
      <c r="G3182" s="2">
        <v>22028507</v>
      </c>
      <c r="H3182" s="2">
        <v>2235443</v>
      </c>
      <c r="I3182" s="2">
        <v>10013542459</v>
      </c>
      <c r="J3182" s="2" t="s">
        <v>1863</v>
      </c>
      <c r="K3182" s="10">
        <v>767556</v>
      </c>
      <c r="L3182" s="10">
        <v>90068</v>
      </c>
      <c r="M3182" s="10">
        <v>677488</v>
      </c>
      <c r="N3182" s="10">
        <v>677488</v>
      </c>
      <c r="O3182" s="10">
        <f>Table1[[#This Row],[NET Amount]]-Table1[[#This Row],[Paid Amount]]</f>
        <v>0</v>
      </c>
      <c r="P3182" s="2" t="s">
        <v>18</v>
      </c>
      <c r="Q3182" s="2" t="s">
        <v>88</v>
      </c>
      <c r="R3182" s="16">
        <f>(Table1[[#This Row],[NET Amount]]-Table1[[#This Row],[Total Outstanding Amount]])/Table1[[#This Row],[NET Amount]]</f>
        <v>1</v>
      </c>
      <c r="S3182" s="2" t="s">
        <v>32</v>
      </c>
    </row>
    <row r="3183" spans="1:19" x14ac:dyDescent="0.3">
      <c r="A3183" s="4">
        <v>3181</v>
      </c>
      <c r="B3183" s="2" t="s">
        <v>168</v>
      </c>
      <c r="C3183" s="3">
        <v>44857</v>
      </c>
      <c r="D3183" s="3" t="str">
        <f>TEXT(Table1[[#This Row],[Admission Date]],"MMMM")</f>
        <v>October</v>
      </c>
      <c r="E3183" s="3">
        <v>44864</v>
      </c>
      <c r="F3183" s="3">
        <v>44864</v>
      </c>
      <c r="G3183" s="2">
        <v>22029215</v>
      </c>
      <c r="H3183" s="2">
        <v>2237169</v>
      </c>
      <c r="I3183" s="2">
        <v>10013544240</v>
      </c>
      <c r="J3183" s="2" t="s">
        <v>1864</v>
      </c>
      <c r="K3183" s="10">
        <v>381297</v>
      </c>
      <c r="L3183" s="10">
        <v>41442</v>
      </c>
      <c r="M3183" s="10">
        <v>339855</v>
      </c>
      <c r="N3183" s="10">
        <v>95403</v>
      </c>
      <c r="O3183" s="10">
        <f>Table1[[#This Row],[NET Amount]]-Table1[[#This Row],[Paid Amount]]</f>
        <v>244452</v>
      </c>
      <c r="P3183" s="2" t="s">
        <v>23</v>
      </c>
      <c r="Q3183" s="2" t="s">
        <v>30</v>
      </c>
      <c r="R3183" s="16">
        <f>(Table1[[#This Row],[NET Amount]]-Table1[[#This Row],[Total Outstanding Amount]])/Table1[[#This Row],[NET Amount]]</f>
        <v>0.28071677627223374</v>
      </c>
      <c r="S3183" s="2" t="s">
        <v>20</v>
      </c>
    </row>
    <row r="3184" spans="1:19" x14ac:dyDescent="0.3">
      <c r="A3184" s="4">
        <v>3182</v>
      </c>
      <c r="B3184" s="2" t="s">
        <v>25</v>
      </c>
      <c r="C3184" s="3">
        <v>44865</v>
      </c>
      <c r="D3184" s="3" t="str">
        <f>TEXT(Table1[[#This Row],[Admission Date]],"MMMM")</f>
        <v>October</v>
      </c>
      <c r="E3184" s="3">
        <v>44865</v>
      </c>
      <c r="F3184" s="3">
        <v>44865</v>
      </c>
      <c r="G3184" s="2">
        <v>22029320</v>
      </c>
      <c r="H3184" s="2">
        <v>2238180</v>
      </c>
      <c r="I3184" s="2">
        <v>1000919979</v>
      </c>
      <c r="J3184" s="2" t="s">
        <v>319</v>
      </c>
      <c r="K3184" s="10">
        <v>2844</v>
      </c>
      <c r="L3184" s="10">
        <v>286</v>
      </c>
      <c r="M3184" s="10">
        <v>2558</v>
      </c>
      <c r="N3184" s="10">
        <v>2558</v>
      </c>
      <c r="O3184" s="10">
        <f>Table1[[#This Row],[NET Amount]]-Table1[[#This Row],[Paid Amount]]</f>
        <v>0</v>
      </c>
      <c r="P3184" s="2" t="s">
        <v>18</v>
      </c>
      <c r="Q3184" s="2" t="s">
        <v>54</v>
      </c>
      <c r="R3184" s="16">
        <f>(Table1[[#This Row],[NET Amount]]-Table1[[#This Row],[Total Outstanding Amount]])/Table1[[#This Row],[NET Amount]]</f>
        <v>1</v>
      </c>
      <c r="S3184" s="2" t="s">
        <v>97</v>
      </c>
    </row>
    <row r="3185" spans="1:19" x14ac:dyDescent="0.3">
      <c r="A3185" s="4">
        <v>3183</v>
      </c>
      <c r="B3185" s="2" t="s">
        <v>2243</v>
      </c>
      <c r="C3185" s="3">
        <v>44865</v>
      </c>
      <c r="D3185" s="3" t="str">
        <f>TEXT(Table1[[#This Row],[Admission Date]],"MMMM")</f>
        <v>October</v>
      </c>
      <c r="E3185" s="3">
        <v>44865</v>
      </c>
      <c r="F3185" s="3">
        <v>44865</v>
      </c>
      <c r="G3185" s="2">
        <v>22029341</v>
      </c>
      <c r="H3185" s="2">
        <v>2238184</v>
      </c>
      <c r="I3185" s="2">
        <v>1000915528</v>
      </c>
      <c r="J3185" s="2" t="s">
        <v>187</v>
      </c>
      <c r="K3185" s="10">
        <v>3519</v>
      </c>
      <c r="L3185" s="10">
        <v>3519</v>
      </c>
      <c r="M3185" s="10">
        <v>0</v>
      </c>
      <c r="N3185" s="10">
        <v>0</v>
      </c>
      <c r="O3185" s="10">
        <f>Table1[[#This Row],[NET Amount]]-Table1[[#This Row],[Paid Amount]]</f>
        <v>0</v>
      </c>
      <c r="P3185" s="2" t="s">
        <v>18</v>
      </c>
      <c r="Q3185" s="2" t="s">
        <v>54</v>
      </c>
      <c r="R3185" s="16" t="e">
        <f>(Table1[[#This Row],[NET Amount]]-Table1[[#This Row],[Total Outstanding Amount]])/Table1[[#This Row],[NET Amount]]</f>
        <v>#DIV/0!</v>
      </c>
      <c r="S3185" s="2" t="s">
        <v>97</v>
      </c>
    </row>
    <row r="3186" spans="1:19" x14ac:dyDescent="0.3">
      <c r="A3186" s="4">
        <v>3184</v>
      </c>
      <c r="B3186" s="2" t="s">
        <v>25</v>
      </c>
      <c r="C3186" s="3">
        <v>44865</v>
      </c>
      <c r="D3186" s="3" t="str">
        <f>TEXT(Table1[[#This Row],[Admission Date]],"MMMM")</f>
        <v>October</v>
      </c>
      <c r="E3186" s="3">
        <v>44865</v>
      </c>
      <c r="F3186" s="3">
        <v>44865</v>
      </c>
      <c r="G3186" s="2">
        <v>22029323</v>
      </c>
      <c r="H3186" s="2">
        <v>2238190</v>
      </c>
      <c r="I3186" s="2">
        <v>10013527702</v>
      </c>
      <c r="J3186" s="2" t="s">
        <v>553</v>
      </c>
      <c r="K3186" s="10">
        <v>4990</v>
      </c>
      <c r="L3186" s="10">
        <v>433</v>
      </c>
      <c r="M3186" s="10">
        <v>4557</v>
      </c>
      <c r="N3186" s="10">
        <v>4557</v>
      </c>
      <c r="O3186" s="10">
        <f>Table1[[#This Row],[NET Amount]]-Table1[[#This Row],[Paid Amount]]</f>
        <v>0</v>
      </c>
      <c r="P3186" s="2" t="s">
        <v>18</v>
      </c>
      <c r="Q3186" s="2" t="s">
        <v>54</v>
      </c>
      <c r="R3186" s="16">
        <f>(Table1[[#This Row],[NET Amount]]-Table1[[#This Row],[Total Outstanding Amount]])/Table1[[#This Row],[NET Amount]]</f>
        <v>1</v>
      </c>
      <c r="S3186" s="2" t="s">
        <v>97</v>
      </c>
    </row>
    <row r="3187" spans="1:19" x14ac:dyDescent="0.3">
      <c r="A3187" s="4">
        <v>3185</v>
      </c>
      <c r="B3187" s="2" t="s">
        <v>25</v>
      </c>
      <c r="C3187" s="3">
        <v>44841</v>
      </c>
      <c r="D3187" s="3" t="str">
        <f>TEXT(Table1[[#This Row],[Admission Date]],"MMMM")</f>
        <v>October</v>
      </c>
      <c r="E3187" s="3">
        <v>44846</v>
      </c>
      <c r="F3187" s="3">
        <v>44846</v>
      </c>
      <c r="G3187" s="2">
        <v>22026780</v>
      </c>
      <c r="H3187" s="2">
        <v>2235083</v>
      </c>
      <c r="I3187" s="2">
        <v>10013542076</v>
      </c>
      <c r="J3187" s="2" t="s">
        <v>1865</v>
      </c>
      <c r="K3187" s="10">
        <v>146925</v>
      </c>
      <c r="L3187" s="10">
        <v>19219</v>
      </c>
      <c r="M3187" s="10">
        <v>127706</v>
      </c>
      <c r="N3187" s="10">
        <v>127706</v>
      </c>
      <c r="O3187" s="10">
        <f>Table1[[#This Row],[NET Amount]]-Table1[[#This Row],[Paid Amount]]</f>
        <v>0</v>
      </c>
      <c r="P3187" s="2" t="s">
        <v>18</v>
      </c>
      <c r="Q3187" s="2" t="s">
        <v>24</v>
      </c>
      <c r="R3187" s="16">
        <f>(Table1[[#This Row],[NET Amount]]-Table1[[#This Row],[Total Outstanding Amount]])/Table1[[#This Row],[NET Amount]]</f>
        <v>1</v>
      </c>
      <c r="S3187" s="2" t="s">
        <v>39</v>
      </c>
    </row>
    <row r="3188" spans="1:19" x14ac:dyDescent="0.3">
      <c r="A3188" s="4">
        <v>3186</v>
      </c>
      <c r="B3188" s="2" t="s">
        <v>75</v>
      </c>
      <c r="C3188" s="3">
        <v>44803</v>
      </c>
      <c r="D3188" s="3" t="str">
        <f>TEXT(Table1[[#This Row],[Admission Date]],"MMMM")</f>
        <v>August</v>
      </c>
      <c r="E3188" s="3">
        <v>44844</v>
      </c>
      <c r="F3188" s="3">
        <v>44844</v>
      </c>
      <c r="G3188" s="2">
        <v>22026450</v>
      </c>
      <c r="H3188" s="2">
        <v>2229861</v>
      </c>
      <c r="I3188" s="2">
        <v>10013533051</v>
      </c>
      <c r="J3188" s="2" t="s">
        <v>1552</v>
      </c>
      <c r="K3188" s="10">
        <v>713607</v>
      </c>
      <c r="L3188" s="10">
        <v>0</v>
      </c>
      <c r="M3188" s="10">
        <v>713607</v>
      </c>
      <c r="N3188" s="10">
        <v>20608</v>
      </c>
      <c r="O3188" s="10">
        <f>Table1[[#This Row],[NET Amount]]-Table1[[#This Row],[Paid Amount]]</f>
        <v>692999</v>
      </c>
      <c r="P3188" s="2" t="s">
        <v>23</v>
      </c>
      <c r="Q3188" s="2" t="s">
        <v>24</v>
      </c>
      <c r="R3188" s="16">
        <f>(Table1[[#This Row],[NET Amount]]-Table1[[#This Row],[Total Outstanding Amount]])/Table1[[#This Row],[NET Amount]]</f>
        <v>2.8878640484188076E-2</v>
      </c>
      <c r="S3188" s="2" t="s">
        <v>20</v>
      </c>
    </row>
    <row r="3189" spans="1:19" x14ac:dyDescent="0.3">
      <c r="A3189" s="4">
        <v>3187</v>
      </c>
      <c r="B3189" s="2" t="s">
        <v>25</v>
      </c>
      <c r="C3189" s="3">
        <v>44840</v>
      </c>
      <c r="D3189" s="3" t="str">
        <f>TEXT(Table1[[#This Row],[Admission Date]],"MMMM")</f>
        <v>October</v>
      </c>
      <c r="E3189" s="3">
        <v>44848</v>
      </c>
      <c r="F3189" s="3">
        <v>44848</v>
      </c>
      <c r="G3189" s="2">
        <v>22027041</v>
      </c>
      <c r="H3189" s="2">
        <v>2234847</v>
      </c>
      <c r="I3189" s="2">
        <v>1001802738</v>
      </c>
      <c r="J3189" s="2" t="s">
        <v>175</v>
      </c>
      <c r="K3189" s="10">
        <v>305350</v>
      </c>
      <c r="L3189" s="10">
        <v>47250</v>
      </c>
      <c r="M3189" s="10">
        <v>258100</v>
      </c>
      <c r="N3189" s="10">
        <v>258100</v>
      </c>
      <c r="O3189" s="10">
        <f>Table1[[#This Row],[NET Amount]]-Table1[[#This Row],[Paid Amount]]</f>
        <v>0</v>
      </c>
      <c r="P3189" s="2" t="s">
        <v>18</v>
      </c>
      <c r="Q3189" s="2" t="s">
        <v>69</v>
      </c>
      <c r="R3189" s="16">
        <f>(Table1[[#This Row],[NET Amount]]-Table1[[#This Row],[Total Outstanding Amount]])/Table1[[#This Row],[NET Amount]]</f>
        <v>1</v>
      </c>
      <c r="S3189" s="2" t="s">
        <v>70</v>
      </c>
    </row>
    <row r="3190" spans="1:19" x14ac:dyDescent="0.3">
      <c r="A3190" s="4">
        <v>3188</v>
      </c>
      <c r="B3190" s="2" t="s">
        <v>139</v>
      </c>
      <c r="C3190" s="3">
        <v>44842</v>
      </c>
      <c r="D3190" s="3" t="str">
        <f>TEXT(Table1[[#This Row],[Admission Date]],"MMMM")</f>
        <v>October</v>
      </c>
      <c r="E3190" s="3">
        <v>44844</v>
      </c>
      <c r="F3190" s="3">
        <v>44844</v>
      </c>
      <c r="G3190" s="2">
        <v>22026405</v>
      </c>
      <c r="H3190" s="2">
        <v>2235195</v>
      </c>
      <c r="I3190" s="2">
        <v>10013498930</v>
      </c>
      <c r="J3190" s="2" t="s">
        <v>1866</v>
      </c>
      <c r="K3190" s="10">
        <v>89534</v>
      </c>
      <c r="L3190" s="10">
        <v>0</v>
      </c>
      <c r="M3190" s="10">
        <v>89534</v>
      </c>
      <c r="N3190" s="10">
        <v>1500</v>
      </c>
      <c r="O3190" s="10">
        <f>Table1[[#This Row],[NET Amount]]-Table1[[#This Row],[Paid Amount]]</f>
        <v>88034</v>
      </c>
      <c r="P3190" s="2" t="s">
        <v>23</v>
      </c>
      <c r="Q3190" s="2" t="s">
        <v>52</v>
      </c>
      <c r="R3190" s="16">
        <f>(Table1[[#This Row],[NET Amount]]-Table1[[#This Row],[Total Outstanding Amount]])/Table1[[#This Row],[NET Amount]]</f>
        <v>1.6753412111600061E-2</v>
      </c>
      <c r="S3190" s="2" t="s">
        <v>27</v>
      </c>
    </row>
    <row r="3191" spans="1:19" x14ac:dyDescent="0.3">
      <c r="A3191" s="4">
        <v>3189</v>
      </c>
      <c r="B3191" s="2" t="s">
        <v>35</v>
      </c>
      <c r="C3191" s="3">
        <v>44849</v>
      </c>
      <c r="D3191" s="3" t="str">
        <f>TEXT(Table1[[#This Row],[Admission Date]],"MMMM")</f>
        <v>October</v>
      </c>
      <c r="E3191" s="3">
        <v>44849</v>
      </c>
      <c r="F3191" s="3">
        <v>44849</v>
      </c>
      <c r="G3191" s="2">
        <v>22027119</v>
      </c>
      <c r="H3191" s="2">
        <v>2236085</v>
      </c>
      <c r="I3191" s="2">
        <v>10013480632</v>
      </c>
      <c r="J3191" s="2" t="s">
        <v>210</v>
      </c>
      <c r="K3191" s="10">
        <v>1610</v>
      </c>
      <c r="L3191" s="10">
        <v>0</v>
      </c>
      <c r="M3191" s="10">
        <v>1610</v>
      </c>
      <c r="N3191" s="10">
        <v>1610</v>
      </c>
      <c r="O3191" s="10">
        <f>Table1[[#This Row],[NET Amount]]-Table1[[#This Row],[Paid Amount]]</f>
        <v>0</v>
      </c>
      <c r="P3191" s="2" t="s">
        <v>18</v>
      </c>
      <c r="Q3191" s="2" t="s">
        <v>54</v>
      </c>
      <c r="R3191" s="16">
        <f>(Table1[[#This Row],[NET Amount]]-Table1[[#This Row],[Total Outstanding Amount]])/Table1[[#This Row],[NET Amount]]</f>
        <v>1</v>
      </c>
      <c r="S3191" s="2" t="s">
        <v>97</v>
      </c>
    </row>
    <row r="3192" spans="1:19" x14ac:dyDescent="0.3">
      <c r="A3192" s="4">
        <v>3190</v>
      </c>
      <c r="B3192" s="2" t="s">
        <v>25</v>
      </c>
      <c r="C3192" s="3">
        <v>44835</v>
      </c>
      <c r="D3192" s="3" t="str">
        <f>TEXT(Table1[[#This Row],[Admission Date]],"MMMM")</f>
        <v>October</v>
      </c>
      <c r="E3192" s="3">
        <v>44840</v>
      </c>
      <c r="F3192" s="3">
        <v>44840</v>
      </c>
      <c r="G3192" s="2">
        <v>22025846</v>
      </c>
      <c r="H3192" s="2">
        <v>2234238</v>
      </c>
      <c r="I3192" s="2">
        <v>10013531598</v>
      </c>
      <c r="J3192" s="2" t="s">
        <v>372</v>
      </c>
      <c r="K3192" s="10">
        <v>188321</v>
      </c>
      <c r="L3192" s="10">
        <v>39508</v>
      </c>
      <c r="M3192" s="10">
        <v>148813</v>
      </c>
      <c r="N3192" s="10">
        <v>148813</v>
      </c>
      <c r="O3192" s="10">
        <f>Table1[[#This Row],[NET Amount]]-Table1[[#This Row],[Paid Amount]]</f>
        <v>0</v>
      </c>
      <c r="P3192" s="2" t="s">
        <v>18</v>
      </c>
      <c r="Q3192" s="2" t="s">
        <v>24</v>
      </c>
      <c r="R3192" s="16">
        <f>(Table1[[#This Row],[NET Amount]]-Table1[[#This Row],[Total Outstanding Amount]])/Table1[[#This Row],[NET Amount]]</f>
        <v>1</v>
      </c>
      <c r="S3192" s="2" t="s">
        <v>39</v>
      </c>
    </row>
    <row r="3193" spans="1:19" x14ac:dyDescent="0.3">
      <c r="A3193" s="4">
        <v>3191</v>
      </c>
      <c r="B3193" s="2" t="s">
        <v>25</v>
      </c>
      <c r="C3193" s="3">
        <v>44845</v>
      </c>
      <c r="D3193" s="3" t="str">
        <f>TEXT(Table1[[#This Row],[Admission Date]],"MMMM")</f>
        <v>October</v>
      </c>
      <c r="E3193" s="3">
        <v>44846</v>
      </c>
      <c r="F3193" s="3">
        <v>44846</v>
      </c>
      <c r="G3193" s="2">
        <v>22026708</v>
      </c>
      <c r="H3193" s="2">
        <v>2235483</v>
      </c>
      <c r="I3193" s="2">
        <v>10013542495</v>
      </c>
      <c r="J3193" s="2" t="s">
        <v>1867</v>
      </c>
      <c r="K3193" s="10">
        <v>61288</v>
      </c>
      <c r="L3193" s="10">
        <v>13240</v>
      </c>
      <c r="M3193" s="10">
        <v>48048</v>
      </c>
      <c r="N3193" s="10">
        <v>48048</v>
      </c>
      <c r="O3193" s="10">
        <f>Table1[[#This Row],[NET Amount]]-Table1[[#This Row],[Paid Amount]]</f>
        <v>0</v>
      </c>
      <c r="P3193" s="2" t="s">
        <v>18</v>
      </c>
      <c r="Q3193" s="2" t="s">
        <v>88</v>
      </c>
      <c r="R3193" s="16">
        <f>(Table1[[#This Row],[NET Amount]]-Table1[[#This Row],[Total Outstanding Amount]])/Table1[[#This Row],[NET Amount]]</f>
        <v>1</v>
      </c>
      <c r="S3193" s="2" t="s">
        <v>20</v>
      </c>
    </row>
    <row r="3194" spans="1:19" x14ac:dyDescent="0.3">
      <c r="A3194" s="4">
        <v>3192</v>
      </c>
      <c r="B3194" s="2" t="s">
        <v>25</v>
      </c>
      <c r="C3194" s="3">
        <v>44832</v>
      </c>
      <c r="D3194" s="3" t="str">
        <f>TEXT(Table1[[#This Row],[Admission Date]],"MMMM")</f>
        <v>September</v>
      </c>
      <c r="E3194" s="3">
        <v>44836</v>
      </c>
      <c r="F3194" s="3">
        <v>44836</v>
      </c>
      <c r="G3194" s="2">
        <v>22025274</v>
      </c>
      <c r="H3194" s="2">
        <v>2233854</v>
      </c>
      <c r="I3194" s="2">
        <v>1001801343</v>
      </c>
      <c r="J3194" s="2" t="s">
        <v>1089</v>
      </c>
      <c r="K3194" s="10">
        <v>74668</v>
      </c>
      <c r="L3194" s="10">
        <v>8750</v>
      </c>
      <c r="M3194" s="10">
        <v>65918</v>
      </c>
      <c r="N3194" s="10">
        <v>65918</v>
      </c>
      <c r="O3194" s="10">
        <f>Table1[[#This Row],[NET Amount]]-Table1[[#This Row],[Paid Amount]]</f>
        <v>0</v>
      </c>
      <c r="P3194" s="2" t="s">
        <v>18</v>
      </c>
      <c r="Q3194" s="2" t="s">
        <v>24</v>
      </c>
      <c r="R3194" s="16">
        <f>(Table1[[#This Row],[NET Amount]]-Table1[[#This Row],[Total Outstanding Amount]])/Table1[[#This Row],[NET Amount]]</f>
        <v>1</v>
      </c>
      <c r="S3194" s="2" t="s">
        <v>20</v>
      </c>
    </row>
    <row r="3195" spans="1:19" x14ac:dyDescent="0.3">
      <c r="A3195" s="4">
        <v>3193</v>
      </c>
      <c r="B3195" s="2" t="s">
        <v>163</v>
      </c>
      <c r="C3195" s="3">
        <v>44859</v>
      </c>
      <c r="D3195" s="3" t="str">
        <f>TEXT(Table1[[#This Row],[Admission Date]],"MMMM")</f>
        <v>October</v>
      </c>
      <c r="E3195" s="3">
        <v>44861</v>
      </c>
      <c r="F3195" s="3">
        <v>44861</v>
      </c>
      <c r="G3195" s="2">
        <v>22028800</v>
      </c>
      <c r="H3195" s="2">
        <v>2237363</v>
      </c>
      <c r="I3195" s="2">
        <v>10013544445</v>
      </c>
      <c r="J3195" s="2" t="s">
        <v>1868</v>
      </c>
      <c r="K3195" s="10">
        <v>134030</v>
      </c>
      <c r="L3195" s="10">
        <v>0</v>
      </c>
      <c r="M3195" s="10">
        <v>134030</v>
      </c>
      <c r="N3195" s="10">
        <v>0</v>
      </c>
      <c r="O3195" s="10">
        <f>Table1[[#This Row],[NET Amount]]-Table1[[#This Row],[Paid Amount]]</f>
        <v>134030</v>
      </c>
      <c r="P3195" s="2" t="s">
        <v>23</v>
      </c>
      <c r="Q3195" s="2" t="s">
        <v>24</v>
      </c>
      <c r="R3195" s="16">
        <f>(Table1[[#This Row],[NET Amount]]-Table1[[#This Row],[Total Outstanding Amount]])/Table1[[#This Row],[NET Amount]]</f>
        <v>0</v>
      </c>
      <c r="S3195" s="2" t="s">
        <v>201</v>
      </c>
    </row>
    <row r="3196" spans="1:19" x14ac:dyDescent="0.3">
      <c r="A3196" s="4">
        <v>3194</v>
      </c>
      <c r="B3196" s="2" t="s">
        <v>149</v>
      </c>
      <c r="C3196" s="3">
        <v>44837</v>
      </c>
      <c r="D3196" s="3" t="str">
        <f>TEXT(Table1[[#This Row],[Admission Date]],"MMMM")</f>
        <v>October</v>
      </c>
      <c r="E3196" s="3">
        <v>44840</v>
      </c>
      <c r="F3196" s="3">
        <v>44840</v>
      </c>
      <c r="G3196" s="2">
        <v>22025868</v>
      </c>
      <c r="H3196" s="2">
        <v>2234435</v>
      </c>
      <c r="I3196" s="2">
        <v>10013541398</v>
      </c>
      <c r="J3196" s="2" t="s">
        <v>1869</v>
      </c>
      <c r="K3196" s="10">
        <v>33125</v>
      </c>
      <c r="L3196" s="10">
        <v>0</v>
      </c>
      <c r="M3196" s="10">
        <v>33125</v>
      </c>
      <c r="N3196" s="10">
        <v>1752</v>
      </c>
      <c r="O3196" s="10">
        <f>Table1[[#This Row],[NET Amount]]-Table1[[#This Row],[Paid Amount]]</f>
        <v>31373</v>
      </c>
      <c r="P3196" s="2" t="s">
        <v>23</v>
      </c>
      <c r="Q3196" s="2" t="s">
        <v>24</v>
      </c>
      <c r="R3196" s="16">
        <f>(Table1[[#This Row],[NET Amount]]-Table1[[#This Row],[Total Outstanding Amount]])/Table1[[#This Row],[NET Amount]]</f>
        <v>5.2890566037735849E-2</v>
      </c>
      <c r="S3196" s="2" t="s">
        <v>20</v>
      </c>
    </row>
    <row r="3197" spans="1:19" x14ac:dyDescent="0.3">
      <c r="A3197" s="4">
        <v>3195</v>
      </c>
      <c r="B3197" s="2" t="s">
        <v>28</v>
      </c>
      <c r="C3197" s="3">
        <v>44846</v>
      </c>
      <c r="D3197" s="3" t="str">
        <f>TEXT(Table1[[#This Row],[Admission Date]],"MMMM")</f>
        <v>October</v>
      </c>
      <c r="E3197" s="3">
        <v>44852</v>
      </c>
      <c r="F3197" s="3">
        <v>44852</v>
      </c>
      <c r="G3197" s="2">
        <v>22027556</v>
      </c>
      <c r="H3197" s="2">
        <v>2235768</v>
      </c>
      <c r="I3197" s="2">
        <v>10013542760</v>
      </c>
      <c r="J3197" s="2" t="s">
        <v>1870</v>
      </c>
      <c r="K3197" s="10">
        <v>136659</v>
      </c>
      <c r="L3197" s="10">
        <v>15580</v>
      </c>
      <c r="M3197" s="10">
        <v>121079</v>
      </c>
      <c r="N3197" s="10">
        <v>4500</v>
      </c>
      <c r="O3197" s="10">
        <f>Table1[[#This Row],[NET Amount]]-Table1[[#This Row],[Paid Amount]]</f>
        <v>116579</v>
      </c>
      <c r="P3197" s="2" t="s">
        <v>23</v>
      </c>
      <c r="Q3197" s="2" t="s">
        <v>104</v>
      </c>
      <c r="R3197" s="16">
        <f>(Table1[[#This Row],[NET Amount]]-Table1[[#This Row],[Total Outstanding Amount]])/Table1[[#This Row],[NET Amount]]</f>
        <v>3.716581735891443E-2</v>
      </c>
      <c r="S3197" s="2" t="s">
        <v>20</v>
      </c>
    </row>
    <row r="3198" spans="1:19" x14ac:dyDescent="0.3">
      <c r="A3198" s="4">
        <v>3196</v>
      </c>
      <c r="B3198" s="2" t="s">
        <v>25</v>
      </c>
      <c r="C3198" s="3">
        <v>44833</v>
      </c>
      <c r="D3198" s="3" t="str">
        <f>TEXT(Table1[[#This Row],[Admission Date]],"MMMM")</f>
        <v>September</v>
      </c>
      <c r="E3198" s="3">
        <v>44841</v>
      </c>
      <c r="F3198" s="3">
        <v>44841</v>
      </c>
      <c r="G3198" s="2">
        <v>22026017</v>
      </c>
      <c r="H3198" s="2">
        <v>2233971</v>
      </c>
      <c r="I3198" s="2">
        <v>10013539978</v>
      </c>
      <c r="J3198" s="2" t="s">
        <v>1871</v>
      </c>
      <c r="K3198" s="10">
        <v>216259</v>
      </c>
      <c r="L3198" s="10">
        <v>216259</v>
      </c>
      <c r="M3198" s="10">
        <v>0</v>
      </c>
      <c r="N3198" s="10">
        <v>0</v>
      </c>
      <c r="O3198" s="10">
        <f>Table1[[#This Row],[NET Amount]]-Table1[[#This Row],[Paid Amount]]</f>
        <v>0</v>
      </c>
      <c r="P3198" s="2" t="s">
        <v>18</v>
      </c>
      <c r="Q3198" s="2" t="s">
        <v>90</v>
      </c>
      <c r="R3198" s="16" t="e">
        <f>(Table1[[#This Row],[NET Amount]]-Table1[[#This Row],[Total Outstanding Amount]])/Table1[[#This Row],[NET Amount]]</f>
        <v>#DIV/0!</v>
      </c>
      <c r="S3198" s="2" t="s">
        <v>20</v>
      </c>
    </row>
    <row r="3199" spans="1:19" x14ac:dyDescent="0.3">
      <c r="A3199" s="4">
        <v>3197</v>
      </c>
      <c r="B3199" s="2" t="s">
        <v>35</v>
      </c>
      <c r="C3199" s="3">
        <v>44849</v>
      </c>
      <c r="D3199" s="3" t="str">
        <f>TEXT(Table1[[#This Row],[Admission Date]],"MMMM")</f>
        <v>October</v>
      </c>
      <c r="E3199" s="3">
        <v>44849</v>
      </c>
      <c r="F3199" s="3">
        <v>44849</v>
      </c>
      <c r="G3199" s="2">
        <v>22027133</v>
      </c>
      <c r="H3199" s="2">
        <v>2236090</v>
      </c>
      <c r="I3199" s="2">
        <v>10013540183</v>
      </c>
      <c r="J3199" s="2" t="s">
        <v>99</v>
      </c>
      <c r="K3199" s="10">
        <v>1610</v>
      </c>
      <c r="L3199" s="10">
        <v>0</v>
      </c>
      <c r="M3199" s="10">
        <v>1610</v>
      </c>
      <c r="N3199" s="10">
        <v>1610</v>
      </c>
      <c r="O3199" s="10">
        <f>Table1[[#This Row],[NET Amount]]-Table1[[#This Row],[Paid Amount]]</f>
        <v>0</v>
      </c>
      <c r="P3199" s="2" t="s">
        <v>18</v>
      </c>
      <c r="Q3199" s="2" t="s">
        <v>54</v>
      </c>
      <c r="R3199" s="16">
        <f>(Table1[[#This Row],[NET Amount]]-Table1[[#This Row],[Total Outstanding Amount]])/Table1[[#This Row],[NET Amount]]</f>
        <v>1</v>
      </c>
      <c r="S3199" s="2" t="s">
        <v>97</v>
      </c>
    </row>
    <row r="3200" spans="1:19" x14ac:dyDescent="0.3">
      <c r="A3200" s="4">
        <v>3198</v>
      </c>
      <c r="B3200" s="2" t="s">
        <v>25</v>
      </c>
      <c r="C3200" s="3">
        <v>44839</v>
      </c>
      <c r="D3200" s="3" t="str">
        <f>TEXT(Table1[[#This Row],[Admission Date]],"MMMM")</f>
        <v>October</v>
      </c>
      <c r="E3200" s="3">
        <v>44849</v>
      </c>
      <c r="F3200" s="3">
        <v>44849</v>
      </c>
      <c r="G3200" s="2">
        <v>22027205</v>
      </c>
      <c r="H3200" s="2">
        <v>2234781</v>
      </c>
      <c r="I3200" s="2">
        <v>10013471324</v>
      </c>
      <c r="J3200" s="2" t="s">
        <v>1872</v>
      </c>
      <c r="K3200" s="10">
        <v>399571</v>
      </c>
      <c r="L3200" s="10">
        <v>44116</v>
      </c>
      <c r="M3200" s="10">
        <v>355455</v>
      </c>
      <c r="N3200" s="10">
        <v>355455</v>
      </c>
      <c r="O3200" s="10">
        <f>Table1[[#This Row],[NET Amount]]-Table1[[#This Row],[Paid Amount]]</f>
        <v>0</v>
      </c>
      <c r="P3200" s="2" t="s">
        <v>18</v>
      </c>
      <c r="Q3200" s="2" t="s">
        <v>69</v>
      </c>
      <c r="R3200" s="16">
        <f>(Table1[[#This Row],[NET Amount]]-Table1[[#This Row],[Total Outstanding Amount]])/Table1[[#This Row],[NET Amount]]</f>
        <v>1</v>
      </c>
      <c r="S3200" s="2" t="s">
        <v>70</v>
      </c>
    </row>
    <row r="3201" spans="1:19" x14ac:dyDescent="0.3">
      <c r="A3201" s="4">
        <v>3199</v>
      </c>
      <c r="B3201" s="2" t="s">
        <v>206</v>
      </c>
      <c r="C3201" s="3">
        <v>44848</v>
      </c>
      <c r="D3201" s="3" t="str">
        <f>TEXT(Table1[[#This Row],[Admission Date]],"MMMM")</f>
        <v>October</v>
      </c>
      <c r="E3201" s="3">
        <v>44850</v>
      </c>
      <c r="F3201" s="3">
        <v>44850</v>
      </c>
      <c r="G3201" s="2">
        <v>22027321</v>
      </c>
      <c r="H3201" s="2">
        <v>2235987</v>
      </c>
      <c r="I3201" s="2">
        <v>10013543022</v>
      </c>
      <c r="J3201" s="2" t="s">
        <v>1873</v>
      </c>
      <c r="K3201" s="10">
        <v>88649</v>
      </c>
      <c r="L3201" s="10">
        <v>8542</v>
      </c>
      <c r="M3201" s="10">
        <v>80107</v>
      </c>
      <c r="N3201" s="10">
        <v>3376</v>
      </c>
      <c r="O3201" s="10">
        <f>Table1[[#This Row],[NET Amount]]-Table1[[#This Row],[Paid Amount]]</f>
        <v>76731</v>
      </c>
      <c r="P3201" s="2" t="s">
        <v>23</v>
      </c>
      <c r="Q3201" s="2" t="s">
        <v>24</v>
      </c>
      <c r="R3201" s="16">
        <f>(Table1[[#This Row],[NET Amount]]-Table1[[#This Row],[Total Outstanding Amount]])/Table1[[#This Row],[NET Amount]]</f>
        <v>4.2143632891008274E-2</v>
      </c>
      <c r="S3201" s="2" t="s">
        <v>55</v>
      </c>
    </row>
    <row r="3202" spans="1:19" x14ac:dyDescent="0.3">
      <c r="A3202" s="4">
        <v>3200</v>
      </c>
      <c r="B3202" s="2" t="s">
        <v>113</v>
      </c>
      <c r="C3202" s="3">
        <v>44847</v>
      </c>
      <c r="D3202" s="3" t="str">
        <f>TEXT(Table1[[#This Row],[Admission Date]],"MMMM")</f>
        <v>October</v>
      </c>
      <c r="E3202" s="3">
        <v>44847</v>
      </c>
      <c r="F3202" s="3">
        <v>44847</v>
      </c>
      <c r="G3202" s="2">
        <v>22026822</v>
      </c>
      <c r="H3202" s="2">
        <v>2235798</v>
      </c>
      <c r="I3202" s="2">
        <v>10013524248</v>
      </c>
      <c r="J3202" s="2" t="s">
        <v>211</v>
      </c>
      <c r="K3202" s="10">
        <v>1610</v>
      </c>
      <c r="L3202" s="10">
        <v>0</v>
      </c>
      <c r="M3202" s="10">
        <v>1610</v>
      </c>
      <c r="N3202" s="10">
        <v>1610</v>
      </c>
      <c r="O3202" s="10">
        <f>Table1[[#This Row],[NET Amount]]-Table1[[#This Row],[Paid Amount]]</f>
        <v>0</v>
      </c>
      <c r="P3202" s="2" t="s">
        <v>18</v>
      </c>
      <c r="Q3202" s="2" t="s">
        <v>54</v>
      </c>
      <c r="R3202" s="16">
        <f>(Table1[[#This Row],[NET Amount]]-Table1[[#This Row],[Total Outstanding Amount]])/Table1[[#This Row],[NET Amount]]</f>
        <v>1</v>
      </c>
      <c r="S3202" s="2" t="s">
        <v>97</v>
      </c>
    </row>
    <row r="3203" spans="1:19" x14ac:dyDescent="0.3">
      <c r="A3203" s="4">
        <v>3201</v>
      </c>
      <c r="B3203" s="2" t="s">
        <v>25</v>
      </c>
      <c r="C3203" s="3">
        <v>44848</v>
      </c>
      <c r="D3203" s="3" t="str">
        <f>TEXT(Table1[[#This Row],[Admission Date]],"MMMM")</f>
        <v>October</v>
      </c>
      <c r="E3203" s="3">
        <v>44850</v>
      </c>
      <c r="F3203" s="3">
        <v>44850</v>
      </c>
      <c r="G3203" s="2">
        <v>22027310</v>
      </c>
      <c r="H3203" s="2">
        <v>2235956</v>
      </c>
      <c r="I3203" s="2">
        <v>1001804317</v>
      </c>
      <c r="J3203" s="2" t="s">
        <v>1874</v>
      </c>
      <c r="K3203" s="10">
        <v>17210</v>
      </c>
      <c r="L3203" s="10">
        <v>2646</v>
      </c>
      <c r="M3203" s="10">
        <v>14564</v>
      </c>
      <c r="N3203" s="10">
        <v>14564</v>
      </c>
      <c r="O3203" s="10">
        <f>Table1[[#This Row],[NET Amount]]-Table1[[#This Row],[Paid Amount]]</f>
        <v>0</v>
      </c>
      <c r="P3203" s="2" t="s">
        <v>18</v>
      </c>
      <c r="Q3203" s="2" t="s">
        <v>69</v>
      </c>
      <c r="R3203" s="16">
        <f>(Table1[[#This Row],[NET Amount]]-Table1[[#This Row],[Total Outstanding Amount]])/Table1[[#This Row],[NET Amount]]</f>
        <v>1</v>
      </c>
      <c r="S3203" s="2" t="s">
        <v>37</v>
      </c>
    </row>
    <row r="3204" spans="1:19" x14ac:dyDescent="0.3">
      <c r="A3204" s="4">
        <v>3202</v>
      </c>
      <c r="B3204" s="2" t="s">
        <v>25</v>
      </c>
      <c r="C3204" s="3">
        <v>44853</v>
      </c>
      <c r="D3204" s="3" t="str">
        <f>TEXT(Table1[[#This Row],[Admission Date]],"MMMM")</f>
        <v>October</v>
      </c>
      <c r="E3204" s="3">
        <v>44853</v>
      </c>
      <c r="F3204" s="3">
        <v>44853</v>
      </c>
      <c r="G3204" s="2">
        <v>22027780</v>
      </c>
      <c r="H3204" s="2">
        <v>2236648</v>
      </c>
      <c r="I3204" s="2">
        <v>10013531498</v>
      </c>
      <c r="J3204" s="2" t="s">
        <v>992</v>
      </c>
      <c r="K3204" s="10">
        <v>28902</v>
      </c>
      <c r="L3204" s="10">
        <v>3656</v>
      </c>
      <c r="M3204" s="10">
        <v>25247</v>
      </c>
      <c r="N3204" s="10">
        <v>25247</v>
      </c>
      <c r="O3204" s="10">
        <f>Table1[[#This Row],[NET Amount]]-Table1[[#This Row],[Paid Amount]]</f>
        <v>0</v>
      </c>
      <c r="P3204" s="2" t="s">
        <v>18</v>
      </c>
      <c r="Q3204" s="2" t="s">
        <v>54</v>
      </c>
      <c r="R3204" s="16">
        <f>(Table1[[#This Row],[NET Amount]]-Table1[[#This Row],[Total Outstanding Amount]])/Table1[[#This Row],[NET Amount]]</f>
        <v>1</v>
      </c>
      <c r="S3204" s="2" t="s">
        <v>59</v>
      </c>
    </row>
    <row r="3205" spans="1:19" x14ac:dyDescent="0.3">
      <c r="A3205" s="4">
        <v>3203</v>
      </c>
      <c r="B3205" s="2" t="s">
        <v>50</v>
      </c>
      <c r="C3205" s="3">
        <v>44844</v>
      </c>
      <c r="D3205" s="3" t="str">
        <f>TEXT(Table1[[#This Row],[Admission Date]],"MMMM")</f>
        <v>October</v>
      </c>
      <c r="E3205" s="3">
        <v>44853</v>
      </c>
      <c r="F3205" s="3">
        <v>44853</v>
      </c>
      <c r="G3205" s="2">
        <v>22027723</v>
      </c>
      <c r="H3205" s="2">
        <v>2235363</v>
      </c>
      <c r="I3205" s="2">
        <v>10013490796</v>
      </c>
      <c r="J3205" s="2" t="s">
        <v>1875</v>
      </c>
      <c r="K3205" s="10">
        <v>266356</v>
      </c>
      <c r="L3205" s="10">
        <v>0</v>
      </c>
      <c r="M3205" s="10">
        <v>266356</v>
      </c>
      <c r="N3205" s="10">
        <v>31855</v>
      </c>
      <c r="O3205" s="10">
        <f>Table1[[#This Row],[NET Amount]]-Table1[[#This Row],[Paid Amount]]</f>
        <v>234501</v>
      </c>
      <c r="P3205" s="2" t="s">
        <v>23</v>
      </c>
      <c r="Q3205" s="2" t="s">
        <v>30</v>
      </c>
      <c r="R3205" s="16">
        <f>(Table1[[#This Row],[NET Amount]]-Table1[[#This Row],[Total Outstanding Amount]])/Table1[[#This Row],[NET Amount]]</f>
        <v>0.11959557884935951</v>
      </c>
      <c r="S3205" s="2" t="s">
        <v>20</v>
      </c>
    </row>
    <row r="3206" spans="1:19" x14ac:dyDescent="0.3">
      <c r="A3206" s="4">
        <v>3204</v>
      </c>
      <c r="B3206" s="2" t="s">
        <v>117</v>
      </c>
      <c r="C3206" s="3">
        <v>44843</v>
      </c>
      <c r="D3206" s="3" t="str">
        <f>TEXT(Table1[[#This Row],[Admission Date]],"MMMM")</f>
        <v>October</v>
      </c>
      <c r="E3206" s="3">
        <v>44845</v>
      </c>
      <c r="F3206" s="3">
        <v>44845</v>
      </c>
      <c r="G3206" s="2">
        <v>22026558</v>
      </c>
      <c r="H3206" s="2">
        <v>2235300</v>
      </c>
      <c r="I3206" s="2">
        <v>10013542307</v>
      </c>
      <c r="J3206" s="2" t="s">
        <v>507</v>
      </c>
      <c r="K3206" s="10">
        <v>226499</v>
      </c>
      <c r="L3206" s="10">
        <v>0</v>
      </c>
      <c r="M3206" s="10">
        <v>226499</v>
      </c>
      <c r="N3206" s="10">
        <v>226499</v>
      </c>
      <c r="O3206" s="10">
        <f>Table1[[#This Row],[NET Amount]]-Table1[[#This Row],[Paid Amount]]</f>
        <v>0</v>
      </c>
      <c r="P3206" s="2" t="s">
        <v>18</v>
      </c>
      <c r="Q3206" s="2" t="s">
        <v>24</v>
      </c>
      <c r="R3206" s="16">
        <f>(Table1[[#This Row],[NET Amount]]-Table1[[#This Row],[Total Outstanding Amount]])/Table1[[#This Row],[NET Amount]]</f>
        <v>1</v>
      </c>
      <c r="S3206" s="2" t="s">
        <v>39</v>
      </c>
    </row>
    <row r="3207" spans="1:19" x14ac:dyDescent="0.3">
      <c r="A3207" s="4">
        <v>3205</v>
      </c>
      <c r="B3207" s="2" t="s">
        <v>2253</v>
      </c>
      <c r="C3207" s="3">
        <v>44844</v>
      </c>
      <c r="D3207" s="3" t="str">
        <f>TEXT(Table1[[#This Row],[Admission Date]],"MMMM")</f>
        <v>October</v>
      </c>
      <c r="E3207" s="3">
        <v>44846</v>
      </c>
      <c r="F3207" s="3">
        <v>44846</v>
      </c>
      <c r="G3207" s="2">
        <v>22026699</v>
      </c>
      <c r="H3207" s="2">
        <v>2235416</v>
      </c>
      <c r="I3207" s="2">
        <v>1001803568</v>
      </c>
      <c r="J3207" s="2" t="s">
        <v>1876</v>
      </c>
      <c r="K3207" s="10">
        <v>18630</v>
      </c>
      <c r="L3207" s="10">
        <v>0</v>
      </c>
      <c r="M3207" s="10">
        <v>18630</v>
      </c>
      <c r="N3207" s="10">
        <v>0</v>
      </c>
      <c r="O3207" s="10">
        <f>Table1[[#This Row],[NET Amount]]-Table1[[#This Row],[Paid Amount]]</f>
        <v>18630</v>
      </c>
      <c r="P3207" s="2" t="s">
        <v>23</v>
      </c>
      <c r="Q3207" s="2" t="s">
        <v>24</v>
      </c>
      <c r="R3207" s="16">
        <f>(Table1[[#This Row],[NET Amount]]-Table1[[#This Row],[Total Outstanding Amount]])/Table1[[#This Row],[NET Amount]]</f>
        <v>0</v>
      </c>
      <c r="S3207" s="2" t="s">
        <v>77</v>
      </c>
    </row>
    <row r="3208" spans="1:19" x14ac:dyDescent="0.3">
      <c r="A3208" s="4">
        <v>3206</v>
      </c>
      <c r="B3208" s="2" t="s">
        <v>35</v>
      </c>
      <c r="C3208" s="3">
        <v>44848</v>
      </c>
      <c r="D3208" s="3" t="str">
        <f>TEXT(Table1[[#This Row],[Admission Date]],"MMMM")</f>
        <v>October</v>
      </c>
      <c r="E3208" s="3">
        <v>44848</v>
      </c>
      <c r="F3208" s="3">
        <v>44848</v>
      </c>
      <c r="G3208" s="2">
        <v>22027026</v>
      </c>
      <c r="H3208" s="2">
        <v>2235951</v>
      </c>
      <c r="I3208" s="2">
        <v>10013519440</v>
      </c>
      <c r="J3208" s="2" t="s">
        <v>339</v>
      </c>
      <c r="K3208" s="10">
        <v>1610</v>
      </c>
      <c r="L3208" s="10">
        <v>0</v>
      </c>
      <c r="M3208" s="10">
        <v>1610</v>
      </c>
      <c r="N3208" s="10">
        <v>1610</v>
      </c>
      <c r="O3208" s="10">
        <f>Table1[[#This Row],[NET Amount]]-Table1[[#This Row],[Paid Amount]]</f>
        <v>0</v>
      </c>
      <c r="P3208" s="2" t="s">
        <v>18</v>
      </c>
      <c r="Q3208" s="2" t="s">
        <v>54</v>
      </c>
      <c r="R3208" s="16">
        <f>(Table1[[#This Row],[NET Amount]]-Table1[[#This Row],[Total Outstanding Amount]])/Table1[[#This Row],[NET Amount]]</f>
        <v>1</v>
      </c>
      <c r="S3208" s="2" t="s">
        <v>97</v>
      </c>
    </row>
    <row r="3209" spans="1:19" x14ac:dyDescent="0.3">
      <c r="A3209" s="4">
        <v>3207</v>
      </c>
      <c r="B3209" s="2" t="s">
        <v>2255</v>
      </c>
      <c r="C3209" s="3">
        <v>44834</v>
      </c>
      <c r="D3209" s="3" t="str">
        <f>TEXT(Table1[[#This Row],[Admission Date]],"MMMM")</f>
        <v>September</v>
      </c>
      <c r="E3209" s="3">
        <v>44838</v>
      </c>
      <c r="F3209" s="3">
        <v>44838</v>
      </c>
      <c r="G3209" s="2">
        <v>22025589</v>
      </c>
      <c r="H3209" s="2">
        <v>2234004</v>
      </c>
      <c r="I3209" s="2">
        <v>1001485256</v>
      </c>
      <c r="J3209" s="2" t="s">
        <v>425</v>
      </c>
      <c r="K3209" s="10">
        <v>45215</v>
      </c>
      <c r="L3209" s="10">
        <v>2874</v>
      </c>
      <c r="M3209" s="10">
        <v>42341</v>
      </c>
      <c r="N3209" s="10">
        <v>0</v>
      </c>
      <c r="O3209" s="10">
        <f>Table1[[#This Row],[NET Amount]]-Table1[[#This Row],[Paid Amount]]</f>
        <v>42341</v>
      </c>
      <c r="P3209" s="2" t="s">
        <v>23</v>
      </c>
      <c r="Q3209" s="2" t="s">
        <v>24</v>
      </c>
      <c r="R3209" s="16">
        <f>(Table1[[#This Row],[NET Amount]]-Table1[[#This Row],[Total Outstanding Amount]])/Table1[[#This Row],[NET Amount]]</f>
        <v>0</v>
      </c>
      <c r="S3209" s="2" t="s">
        <v>20</v>
      </c>
    </row>
    <row r="3210" spans="1:19" x14ac:dyDescent="0.3">
      <c r="A3210" s="4">
        <v>3208</v>
      </c>
      <c r="B3210" s="2" t="s">
        <v>50</v>
      </c>
      <c r="C3210" s="3">
        <v>44853</v>
      </c>
      <c r="D3210" s="3" t="str">
        <f>TEXT(Table1[[#This Row],[Admission Date]],"MMMM")</f>
        <v>October</v>
      </c>
      <c r="E3210" s="3">
        <v>44854</v>
      </c>
      <c r="F3210" s="3">
        <v>44854</v>
      </c>
      <c r="G3210" s="2">
        <v>22027854</v>
      </c>
      <c r="H3210" s="2">
        <v>2236577</v>
      </c>
      <c r="I3210" s="2">
        <v>1001805175</v>
      </c>
      <c r="J3210" s="2" t="s">
        <v>1877</v>
      </c>
      <c r="K3210" s="10">
        <v>35104</v>
      </c>
      <c r="L3210" s="10">
        <v>4653</v>
      </c>
      <c r="M3210" s="10">
        <v>30451</v>
      </c>
      <c r="N3210" s="10">
        <v>3704</v>
      </c>
      <c r="O3210" s="10">
        <f>Table1[[#This Row],[NET Amount]]-Table1[[#This Row],[Paid Amount]]</f>
        <v>26747</v>
      </c>
      <c r="P3210" s="2" t="s">
        <v>23</v>
      </c>
      <c r="Q3210" s="2" t="s">
        <v>30</v>
      </c>
      <c r="R3210" s="16">
        <f>(Table1[[#This Row],[NET Amount]]-Table1[[#This Row],[Total Outstanding Amount]])/Table1[[#This Row],[NET Amount]]</f>
        <v>0.12163804144363075</v>
      </c>
      <c r="S3210" s="2" t="s">
        <v>27</v>
      </c>
    </row>
    <row r="3211" spans="1:19" x14ac:dyDescent="0.3">
      <c r="A3211" s="4">
        <v>3209</v>
      </c>
      <c r="B3211" s="2" t="s">
        <v>898</v>
      </c>
      <c r="C3211" s="3">
        <v>44844</v>
      </c>
      <c r="D3211" s="3" t="str">
        <f>TEXT(Table1[[#This Row],[Admission Date]],"MMMM")</f>
        <v>October</v>
      </c>
      <c r="E3211" s="3">
        <v>44852</v>
      </c>
      <c r="F3211" s="3">
        <v>44852</v>
      </c>
      <c r="G3211" s="2">
        <v>22027566</v>
      </c>
      <c r="H3211" s="2">
        <v>2235316</v>
      </c>
      <c r="I3211" s="2">
        <v>10013542330</v>
      </c>
      <c r="J3211" s="2" t="s">
        <v>1878</v>
      </c>
      <c r="K3211" s="10">
        <v>275024</v>
      </c>
      <c r="L3211" s="10">
        <v>32970</v>
      </c>
      <c r="M3211" s="10">
        <v>242054</v>
      </c>
      <c r="N3211" s="10">
        <v>31116</v>
      </c>
      <c r="O3211" s="10">
        <f>Table1[[#This Row],[NET Amount]]-Table1[[#This Row],[Paid Amount]]</f>
        <v>210938</v>
      </c>
      <c r="P3211" s="2" t="s">
        <v>23</v>
      </c>
      <c r="Q3211" s="2" t="s">
        <v>30</v>
      </c>
      <c r="R3211" s="16">
        <f>(Table1[[#This Row],[NET Amount]]-Table1[[#This Row],[Total Outstanding Amount]])/Table1[[#This Row],[NET Amount]]</f>
        <v>0.12854982772439208</v>
      </c>
      <c r="S3211" s="2" t="s">
        <v>65</v>
      </c>
    </row>
    <row r="3212" spans="1:19" x14ac:dyDescent="0.3">
      <c r="A3212" s="4">
        <v>3210</v>
      </c>
      <c r="B3212" s="2" t="s">
        <v>152</v>
      </c>
      <c r="C3212" s="3">
        <v>44827</v>
      </c>
      <c r="D3212" s="3" t="str">
        <f>TEXT(Table1[[#This Row],[Admission Date]],"MMMM")</f>
        <v>September</v>
      </c>
      <c r="E3212" s="3">
        <v>44854</v>
      </c>
      <c r="F3212" s="3">
        <v>44854</v>
      </c>
      <c r="G3212" s="2">
        <v>22027950</v>
      </c>
      <c r="H3212" s="2">
        <v>2233169</v>
      </c>
      <c r="I3212" s="2">
        <v>10013533568</v>
      </c>
      <c r="J3212" s="2" t="s">
        <v>1879</v>
      </c>
      <c r="K3212" s="10">
        <v>601673</v>
      </c>
      <c r="L3212" s="10">
        <v>0</v>
      </c>
      <c r="M3212" s="10">
        <v>601673</v>
      </c>
      <c r="N3212" s="10">
        <v>14783</v>
      </c>
      <c r="O3212" s="10">
        <f>Table1[[#This Row],[NET Amount]]-Table1[[#This Row],[Paid Amount]]</f>
        <v>586890</v>
      </c>
      <c r="P3212" s="2" t="s">
        <v>23</v>
      </c>
      <c r="Q3212" s="2" t="s">
        <v>30</v>
      </c>
      <c r="R3212" s="16">
        <f>(Table1[[#This Row],[NET Amount]]-Table1[[#This Row],[Total Outstanding Amount]])/Table1[[#This Row],[NET Amount]]</f>
        <v>2.4569824472761782E-2</v>
      </c>
      <c r="S3212" s="2" t="s">
        <v>20</v>
      </c>
    </row>
    <row r="3213" spans="1:19" x14ac:dyDescent="0.3">
      <c r="A3213" s="4">
        <v>3211</v>
      </c>
      <c r="B3213" s="2" t="s">
        <v>25</v>
      </c>
      <c r="C3213" s="3">
        <v>44850</v>
      </c>
      <c r="D3213" s="3" t="str">
        <f>TEXT(Table1[[#This Row],[Admission Date]],"MMMM")</f>
        <v>October</v>
      </c>
      <c r="E3213" s="3">
        <v>44855</v>
      </c>
      <c r="F3213" s="3">
        <v>44855</v>
      </c>
      <c r="G3213" s="2">
        <v>22028022</v>
      </c>
      <c r="H3213" s="2">
        <v>2236229</v>
      </c>
      <c r="I3213" s="2">
        <v>10013543246</v>
      </c>
      <c r="J3213" s="2" t="s">
        <v>358</v>
      </c>
      <c r="K3213" s="10">
        <v>58938</v>
      </c>
      <c r="L3213" s="10">
        <v>58938</v>
      </c>
      <c r="M3213" s="10">
        <v>0</v>
      </c>
      <c r="N3213" s="10">
        <v>0</v>
      </c>
      <c r="O3213" s="10">
        <f>Table1[[#This Row],[NET Amount]]-Table1[[#This Row],[Paid Amount]]</f>
        <v>0</v>
      </c>
      <c r="P3213" s="2" t="s">
        <v>18</v>
      </c>
      <c r="Q3213" s="2" t="s">
        <v>90</v>
      </c>
      <c r="R3213" s="16" t="e">
        <f>(Table1[[#This Row],[NET Amount]]-Table1[[#This Row],[Total Outstanding Amount]])/Table1[[#This Row],[NET Amount]]</f>
        <v>#DIV/0!</v>
      </c>
      <c r="S3213" s="2" t="s">
        <v>20</v>
      </c>
    </row>
    <row r="3214" spans="1:19" x14ac:dyDescent="0.3">
      <c r="A3214" s="4">
        <v>3212</v>
      </c>
      <c r="B3214" s="2" t="s">
        <v>25</v>
      </c>
      <c r="C3214" s="3">
        <v>44841</v>
      </c>
      <c r="D3214" s="3" t="str">
        <f>TEXT(Table1[[#This Row],[Admission Date]],"MMMM")</f>
        <v>October</v>
      </c>
      <c r="E3214" s="3">
        <v>44841</v>
      </c>
      <c r="F3214" s="3">
        <v>44841</v>
      </c>
      <c r="G3214" s="2">
        <v>22025930</v>
      </c>
      <c r="H3214" s="2">
        <v>2234987</v>
      </c>
      <c r="I3214" s="2">
        <v>1001427466</v>
      </c>
      <c r="J3214" s="2" t="s">
        <v>294</v>
      </c>
      <c r="K3214" s="10">
        <v>2680</v>
      </c>
      <c r="L3214" s="10">
        <v>2680</v>
      </c>
      <c r="M3214" s="10">
        <v>0</v>
      </c>
      <c r="N3214" s="10">
        <v>0</v>
      </c>
      <c r="O3214" s="10">
        <f>Table1[[#This Row],[NET Amount]]-Table1[[#This Row],[Paid Amount]]</f>
        <v>0</v>
      </c>
      <c r="P3214" s="2" t="s">
        <v>18</v>
      </c>
      <c r="Q3214" s="2" t="s">
        <v>90</v>
      </c>
      <c r="R3214" s="16" t="e">
        <f>(Table1[[#This Row],[NET Amount]]-Table1[[#This Row],[Total Outstanding Amount]])/Table1[[#This Row],[NET Amount]]</f>
        <v>#DIV/0!</v>
      </c>
      <c r="S3214" s="2" t="s">
        <v>97</v>
      </c>
    </row>
    <row r="3215" spans="1:19" x14ac:dyDescent="0.3">
      <c r="A3215" s="4">
        <v>3213</v>
      </c>
      <c r="B3215" s="2" t="s">
        <v>35</v>
      </c>
      <c r="C3215" s="3">
        <v>44847</v>
      </c>
      <c r="D3215" s="3" t="str">
        <f>TEXT(Table1[[#This Row],[Admission Date]],"MMMM")</f>
        <v>October</v>
      </c>
      <c r="E3215" s="3">
        <v>44852</v>
      </c>
      <c r="F3215" s="3">
        <v>44852</v>
      </c>
      <c r="G3215" s="2">
        <v>22027573</v>
      </c>
      <c r="H3215" s="2">
        <v>2235852</v>
      </c>
      <c r="I3215" s="2">
        <v>10013542837</v>
      </c>
      <c r="J3215" s="2" t="s">
        <v>1880</v>
      </c>
      <c r="K3215" s="10">
        <v>17931</v>
      </c>
      <c r="L3215" s="10">
        <v>0</v>
      </c>
      <c r="M3215" s="10">
        <v>17931</v>
      </c>
      <c r="N3215" s="10">
        <v>17931</v>
      </c>
      <c r="O3215" s="10">
        <f>Table1[[#This Row],[NET Amount]]-Table1[[#This Row],[Paid Amount]]</f>
        <v>0</v>
      </c>
      <c r="P3215" s="2" t="s">
        <v>18</v>
      </c>
      <c r="Q3215" s="2" t="s">
        <v>24</v>
      </c>
      <c r="R3215" s="16">
        <f>(Table1[[#This Row],[NET Amount]]-Table1[[#This Row],[Total Outstanding Amount]])/Table1[[#This Row],[NET Amount]]</f>
        <v>1</v>
      </c>
      <c r="S3215" s="2" t="s">
        <v>20</v>
      </c>
    </row>
    <row r="3216" spans="1:19" x14ac:dyDescent="0.3">
      <c r="A3216" s="4">
        <v>3214</v>
      </c>
      <c r="B3216" s="2" t="s">
        <v>35</v>
      </c>
      <c r="C3216" s="3">
        <v>44848</v>
      </c>
      <c r="D3216" s="3" t="str">
        <f>TEXT(Table1[[#This Row],[Admission Date]],"MMMM")</f>
        <v>October</v>
      </c>
      <c r="E3216" s="3">
        <v>44848</v>
      </c>
      <c r="F3216" s="3">
        <v>44848</v>
      </c>
      <c r="G3216" s="2">
        <v>22027076</v>
      </c>
      <c r="H3216" s="2">
        <v>2235950</v>
      </c>
      <c r="I3216" s="2">
        <v>10013487696</v>
      </c>
      <c r="J3216" s="2" t="s">
        <v>359</v>
      </c>
      <c r="K3216" s="10">
        <v>1610</v>
      </c>
      <c r="L3216" s="10">
        <v>0</v>
      </c>
      <c r="M3216" s="10">
        <v>1610</v>
      </c>
      <c r="N3216" s="10">
        <v>1610</v>
      </c>
      <c r="O3216" s="10">
        <f>Table1[[#This Row],[NET Amount]]-Table1[[#This Row],[Paid Amount]]</f>
        <v>0</v>
      </c>
      <c r="P3216" s="2" t="s">
        <v>18</v>
      </c>
      <c r="Q3216" s="2" t="s">
        <v>54</v>
      </c>
      <c r="R3216" s="16">
        <f>(Table1[[#This Row],[NET Amount]]-Table1[[#This Row],[Total Outstanding Amount]])/Table1[[#This Row],[NET Amount]]</f>
        <v>1</v>
      </c>
      <c r="S3216" s="2" t="s">
        <v>97</v>
      </c>
    </row>
    <row r="3217" spans="1:19" x14ac:dyDescent="0.3">
      <c r="A3217" s="4">
        <v>3215</v>
      </c>
      <c r="B3217" s="2" t="s">
        <v>244</v>
      </c>
      <c r="C3217" s="3">
        <v>44842</v>
      </c>
      <c r="D3217" s="3" t="str">
        <f>TEXT(Table1[[#This Row],[Admission Date]],"MMMM")</f>
        <v>October</v>
      </c>
      <c r="E3217" s="3">
        <v>44848</v>
      </c>
      <c r="F3217" s="3">
        <v>44848</v>
      </c>
      <c r="G3217" s="2">
        <v>22027050</v>
      </c>
      <c r="H3217" s="2">
        <v>2235157</v>
      </c>
      <c r="I3217" s="2">
        <v>1001803262</v>
      </c>
      <c r="J3217" s="2" t="s">
        <v>1881</v>
      </c>
      <c r="K3217" s="10">
        <v>147704</v>
      </c>
      <c r="L3217" s="10">
        <v>18298</v>
      </c>
      <c r="M3217" s="10">
        <v>129406</v>
      </c>
      <c r="N3217" s="10">
        <v>36061</v>
      </c>
      <c r="O3217" s="10">
        <f>Table1[[#This Row],[NET Amount]]-Table1[[#This Row],[Paid Amount]]</f>
        <v>93345</v>
      </c>
      <c r="P3217" s="2" t="s">
        <v>23</v>
      </c>
      <c r="Q3217" s="2" t="s">
        <v>52</v>
      </c>
      <c r="R3217" s="16">
        <f>(Table1[[#This Row],[NET Amount]]-Table1[[#This Row],[Total Outstanding Amount]])/Table1[[#This Row],[NET Amount]]</f>
        <v>0.27866559510378192</v>
      </c>
      <c r="S3217" s="2" t="s">
        <v>20</v>
      </c>
    </row>
    <row r="3218" spans="1:19" x14ac:dyDescent="0.3">
      <c r="A3218" s="4">
        <v>3216</v>
      </c>
      <c r="B3218" s="2" t="s">
        <v>35</v>
      </c>
      <c r="C3218" s="3">
        <v>44852</v>
      </c>
      <c r="D3218" s="3" t="str">
        <f>TEXT(Table1[[#This Row],[Admission Date]],"MMMM")</f>
        <v>October</v>
      </c>
      <c r="E3218" s="3">
        <v>44856</v>
      </c>
      <c r="F3218" s="3">
        <v>44856</v>
      </c>
      <c r="G3218" s="2">
        <v>22028166</v>
      </c>
      <c r="H3218" s="2">
        <v>2236544</v>
      </c>
      <c r="I3218" s="2">
        <v>1001805122</v>
      </c>
      <c r="J3218" s="2" t="s">
        <v>1882</v>
      </c>
      <c r="K3218" s="10">
        <v>5436</v>
      </c>
      <c r="L3218" s="10">
        <v>0</v>
      </c>
      <c r="M3218" s="10">
        <v>5436</v>
      </c>
      <c r="N3218" s="10">
        <v>5436</v>
      </c>
      <c r="O3218" s="10">
        <f>Table1[[#This Row],[NET Amount]]-Table1[[#This Row],[Paid Amount]]</f>
        <v>0</v>
      </c>
      <c r="P3218" s="2" t="s">
        <v>18</v>
      </c>
      <c r="Q3218" s="2" t="s">
        <v>19</v>
      </c>
      <c r="R3218" s="16">
        <f>(Table1[[#This Row],[NET Amount]]-Table1[[#This Row],[Total Outstanding Amount]])/Table1[[#This Row],[NET Amount]]</f>
        <v>1</v>
      </c>
      <c r="S3218" s="2" t="s">
        <v>37</v>
      </c>
    </row>
    <row r="3219" spans="1:19" x14ac:dyDescent="0.3">
      <c r="A3219" s="4">
        <v>3217</v>
      </c>
      <c r="B3219" s="2" t="s">
        <v>2244</v>
      </c>
      <c r="C3219" s="3">
        <v>44842</v>
      </c>
      <c r="D3219" s="3" t="str">
        <f>TEXT(Table1[[#This Row],[Admission Date]],"MMMM")</f>
        <v>October</v>
      </c>
      <c r="E3219" s="3">
        <v>44842</v>
      </c>
      <c r="F3219" s="3">
        <v>44842</v>
      </c>
      <c r="G3219" s="2">
        <v>22026182</v>
      </c>
      <c r="H3219" s="2">
        <v>2235189</v>
      </c>
      <c r="I3219" s="2">
        <v>1001755099</v>
      </c>
      <c r="J3219" s="2" t="s">
        <v>750</v>
      </c>
      <c r="K3219" s="10">
        <v>1610</v>
      </c>
      <c r="L3219" s="10">
        <v>0</v>
      </c>
      <c r="M3219" s="10">
        <v>1610</v>
      </c>
      <c r="N3219" s="10">
        <v>1610</v>
      </c>
      <c r="O3219" s="10">
        <f>Table1[[#This Row],[NET Amount]]-Table1[[#This Row],[Paid Amount]]</f>
        <v>0</v>
      </c>
      <c r="P3219" s="2" t="s">
        <v>18</v>
      </c>
      <c r="Q3219" s="2" t="s">
        <v>54</v>
      </c>
      <c r="R3219" s="16">
        <f>(Table1[[#This Row],[NET Amount]]-Table1[[#This Row],[Total Outstanding Amount]])/Table1[[#This Row],[NET Amount]]</f>
        <v>1</v>
      </c>
      <c r="S3219" s="2" t="s">
        <v>97</v>
      </c>
    </row>
    <row r="3220" spans="1:19" x14ac:dyDescent="0.3">
      <c r="A3220" s="4">
        <v>3218</v>
      </c>
      <c r="B3220" s="2" t="s">
        <v>91</v>
      </c>
      <c r="C3220" s="3">
        <v>44851</v>
      </c>
      <c r="D3220" s="3" t="str">
        <f>TEXT(Table1[[#This Row],[Admission Date]],"MMMM")</f>
        <v>October</v>
      </c>
      <c r="E3220" s="3">
        <v>44854</v>
      </c>
      <c r="F3220" s="3">
        <v>44854</v>
      </c>
      <c r="G3220" s="2">
        <v>22027844</v>
      </c>
      <c r="H3220" s="2">
        <v>2236310</v>
      </c>
      <c r="I3220" s="2">
        <v>10013539862</v>
      </c>
      <c r="J3220" s="2" t="s">
        <v>1883</v>
      </c>
      <c r="K3220" s="10">
        <v>65454</v>
      </c>
      <c r="L3220" s="10">
        <v>4219</v>
      </c>
      <c r="M3220" s="10">
        <v>61235</v>
      </c>
      <c r="N3220" s="10">
        <v>19801</v>
      </c>
      <c r="O3220" s="10">
        <f>Table1[[#This Row],[NET Amount]]-Table1[[#This Row],[Paid Amount]]</f>
        <v>41434</v>
      </c>
      <c r="P3220" s="2" t="s">
        <v>23</v>
      </c>
      <c r="Q3220" s="2" t="s">
        <v>24</v>
      </c>
      <c r="R3220" s="16">
        <f>(Table1[[#This Row],[NET Amount]]-Table1[[#This Row],[Total Outstanding Amount]])/Table1[[#This Row],[NET Amount]]</f>
        <v>0.32336082305870828</v>
      </c>
      <c r="S3220" s="2" t="s">
        <v>37</v>
      </c>
    </row>
    <row r="3221" spans="1:19" x14ac:dyDescent="0.3">
      <c r="A3221" s="4">
        <v>3219</v>
      </c>
      <c r="B3221" s="2" t="s">
        <v>25</v>
      </c>
      <c r="C3221" s="3">
        <v>44844</v>
      </c>
      <c r="D3221" s="3" t="str">
        <f>TEXT(Table1[[#This Row],[Admission Date]],"MMMM")</f>
        <v>October</v>
      </c>
      <c r="E3221" s="3">
        <v>44851</v>
      </c>
      <c r="F3221" s="3">
        <v>44851</v>
      </c>
      <c r="G3221" s="2">
        <v>22027432</v>
      </c>
      <c r="H3221" s="2">
        <v>2235315</v>
      </c>
      <c r="I3221" s="2">
        <v>1001034734</v>
      </c>
      <c r="J3221" s="2" t="s">
        <v>1884</v>
      </c>
      <c r="K3221" s="10">
        <v>165140</v>
      </c>
      <c r="L3221" s="10">
        <v>31797</v>
      </c>
      <c r="M3221" s="10">
        <v>133343</v>
      </c>
      <c r="N3221" s="10">
        <v>133343</v>
      </c>
      <c r="O3221" s="10">
        <f>Table1[[#This Row],[NET Amount]]-Table1[[#This Row],[Paid Amount]]</f>
        <v>0</v>
      </c>
      <c r="P3221" s="2" t="s">
        <v>18</v>
      </c>
      <c r="Q3221" s="2" t="s">
        <v>24</v>
      </c>
      <c r="R3221" s="16">
        <f>(Table1[[#This Row],[NET Amount]]-Table1[[#This Row],[Total Outstanding Amount]])/Table1[[#This Row],[NET Amount]]</f>
        <v>1</v>
      </c>
      <c r="S3221" s="2" t="s">
        <v>39</v>
      </c>
    </row>
    <row r="3222" spans="1:19" x14ac:dyDescent="0.3">
      <c r="A3222" s="4">
        <v>3220</v>
      </c>
      <c r="B3222" s="2" t="s">
        <v>75</v>
      </c>
      <c r="C3222" s="3">
        <v>44848</v>
      </c>
      <c r="D3222" s="3" t="str">
        <f>TEXT(Table1[[#This Row],[Admission Date]],"MMMM")</f>
        <v>October</v>
      </c>
      <c r="E3222" s="3">
        <v>44851</v>
      </c>
      <c r="F3222" s="3">
        <v>44851</v>
      </c>
      <c r="G3222" s="2">
        <v>22027462</v>
      </c>
      <c r="H3222" s="2">
        <v>2235957</v>
      </c>
      <c r="I3222" s="2">
        <v>10013542937</v>
      </c>
      <c r="J3222" s="2" t="s">
        <v>1885</v>
      </c>
      <c r="K3222" s="10">
        <v>68829</v>
      </c>
      <c r="L3222" s="10">
        <v>0</v>
      </c>
      <c r="M3222" s="10">
        <v>68829</v>
      </c>
      <c r="N3222" s="10">
        <v>600</v>
      </c>
      <c r="O3222" s="10">
        <f>Table1[[#This Row],[NET Amount]]-Table1[[#This Row],[Paid Amount]]</f>
        <v>68229</v>
      </c>
      <c r="P3222" s="2" t="s">
        <v>23</v>
      </c>
      <c r="Q3222" s="2" t="s">
        <v>24</v>
      </c>
      <c r="R3222" s="16">
        <f>(Table1[[#This Row],[NET Amount]]-Table1[[#This Row],[Total Outstanding Amount]])/Table1[[#This Row],[NET Amount]]</f>
        <v>8.7172558078716812E-3</v>
      </c>
      <c r="S3222" s="2" t="s">
        <v>201</v>
      </c>
    </row>
    <row r="3223" spans="1:19" x14ac:dyDescent="0.3">
      <c r="A3223" s="4">
        <v>3221</v>
      </c>
      <c r="B3223" s="2" t="s">
        <v>1389</v>
      </c>
      <c r="C3223" s="3">
        <v>44845</v>
      </c>
      <c r="D3223" s="3" t="str">
        <f>TEXT(Table1[[#This Row],[Admission Date]],"MMMM")</f>
        <v>October</v>
      </c>
      <c r="E3223" s="3">
        <v>44851</v>
      </c>
      <c r="F3223" s="3">
        <v>44851</v>
      </c>
      <c r="G3223" s="2">
        <v>22027390</v>
      </c>
      <c r="H3223" s="2">
        <v>2235528</v>
      </c>
      <c r="I3223" s="2">
        <v>10013542539</v>
      </c>
      <c r="J3223" s="2" t="s">
        <v>1886</v>
      </c>
      <c r="K3223" s="10">
        <v>147063</v>
      </c>
      <c r="L3223" s="10">
        <v>0</v>
      </c>
      <c r="M3223" s="10">
        <v>147063</v>
      </c>
      <c r="N3223" s="10">
        <v>4479</v>
      </c>
      <c r="O3223" s="10">
        <f>Table1[[#This Row],[NET Amount]]-Table1[[#This Row],[Paid Amount]]</f>
        <v>142584</v>
      </c>
      <c r="P3223" s="2" t="s">
        <v>23</v>
      </c>
      <c r="Q3223" s="2" t="s">
        <v>30</v>
      </c>
      <c r="R3223" s="16">
        <f>(Table1[[#This Row],[NET Amount]]-Table1[[#This Row],[Total Outstanding Amount]])/Table1[[#This Row],[NET Amount]]</f>
        <v>3.045633504008486E-2</v>
      </c>
      <c r="S3223" s="2" t="s">
        <v>65</v>
      </c>
    </row>
    <row r="3224" spans="1:19" x14ac:dyDescent="0.3">
      <c r="A3224" s="4">
        <v>3222</v>
      </c>
      <c r="B3224" s="2" t="s">
        <v>25</v>
      </c>
      <c r="C3224" s="3">
        <v>44834</v>
      </c>
      <c r="D3224" s="3" t="str">
        <f>TEXT(Table1[[#This Row],[Admission Date]],"MMMM")</f>
        <v>September</v>
      </c>
      <c r="E3224" s="3">
        <v>44836</v>
      </c>
      <c r="F3224" s="3">
        <v>44836</v>
      </c>
      <c r="G3224" s="2">
        <v>22025286</v>
      </c>
      <c r="H3224" s="2">
        <v>2234011</v>
      </c>
      <c r="I3224" s="2">
        <v>1001800824</v>
      </c>
      <c r="J3224" s="2" t="s">
        <v>1887</v>
      </c>
      <c r="K3224" s="10">
        <v>69757</v>
      </c>
      <c r="L3224" s="10">
        <v>9724</v>
      </c>
      <c r="M3224" s="10">
        <v>60033</v>
      </c>
      <c r="N3224" s="10">
        <v>60033</v>
      </c>
      <c r="O3224" s="10">
        <f>Table1[[#This Row],[NET Amount]]-Table1[[#This Row],[Paid Amount]]</f>
        <v>0</v>
      </c>
      <c r="P3224" s="2" t="s">
        <v>18</v>
      </c>
      <c r="Q3224" s="2" t="s">
        <v>24</v>
      </c>
      <c r="R3224" s="16">
        <f>(Table1[[#This Row],[NET Amount]]-Table1[[#This Row],[Total Outstanding Amount]])/Table1[[#This Row],[NET Amount]]</f>
        <v>1</v>
      </c>
      <c r="S3224" s="2" t="s">
        <v>77</v>
      </c>
    </row>
    <row r="3225" spans="1:19" x14ac:dyDescent="0.3">
      <c r="A3225" s="4">
        <v>3223</v>
      </c>
      <c r="B3225" s="2" t="s">
        <v>25</v>
      </c>
      <c r="C3225" s="3">
        <v>44832</v>
      </c>
      <c r="D3225" s="3" t="str">
        <f>TEXT(Table1[[#This Row],[Admission Date]],"MMMM")</f>
        <v>September</v>
      </c>
      <c r="E3225" s="3">
        <v>44841</v>
      </c>
      <c r="F3225" s="3">
        <v>44841</v>
      </c>
      <c r="G3225" s="2">
        <v>22025962</v>
      </c>
      <c r="H3225" s="2">
        <v>2233859</v>
      </c>
      <c r="I3225" s="2">
        <v>10013540724</v>
      </c>
      <c r="J3225" s="2" t="s">
        <v>1818</v>
      </c>
      <c r="K3225" s="10">
        <v>387781</v>
      </c>
      <c r="L3225" s="10">
        <v>96890</v>
      </c>
      <c r="M3225" s="10">
        <v>290891</v>
      </c>
      <c r="N3225" s="10">
        <v>290891</v>
      </c>
      <c r="O3225" s="10">
        <f>Table1[[#This Row],[NET Amount]]-Table1[[#This Row],[Paid Amount]]</f>
        <v>0</v>
      </c>
      <c r="P3225" s="2" t="s">
        <v>18</v>
      </c>
      <c r="Q3225" s="2" t="s">
        <v>69</v>
      </c>
      <c r="R3225" s="16">
        <f>(Table1[[#This Row],[NET Amount]]-Table1[[#This Row],[Total Outstanding Amount]])/Table1[[#This Row],[NET Amount]]</f>
        <v>1</v>
      </c>
      <c r="S3225" s="2" t="s">
        <v>65</v>
      </c>
    </row>
    <row r="3226" spans="1:19" x14ac:dyDescent="0.3">
      <c r="A3226" s="4">
        <v>3224</v>
      </c>
      <c r="B3226" s="2" t="s">
        <v>168</v>
      </c>
      <c r="C3226" s="3">
        <v>44836</v>
      </c>
      <c r="D3226" s="3" t="str">
        <f>TEXT(Table1[[#This Row],[Admission Date]],"MMMM")</f>
        <v>October</v>
      </c>
      <c r="E3226" s="3">
        <v>44838</v>
      </c>
      <c r="F3226" s="3">
        <v>44838</v>
      </c>
      <c r="G3226" s="2">
        <v>22025481</v>
      </c>
      <c r="H3226" s="2">
        <v>2234324</v>
      </c>
      <c r="I3226" s="2">
        <v>10013541248</v>
      </c>
      <c r="J3226" s="2" t="s">
        <v>1888</v>
      </c>
      <c r="K3226" s="10">
        <v>57209</v>
      </c>
      <c r="L3226" s="10">
        <v>3150</v>
      </c>
      <c r="M3226" s="10">
        <v>54059</v>
      </c>
      <c r="N3226" s="10">
        <v>33046</v>
      </c>
      <c r="O3226" s="10">
        <f>Table1[[#This Row],[NET Amount]]-Table1[[#This Row],[Paid Amount]]</f>
        <v>21013</v>
      </c>
      <c r="P3226" s="2" t="s">
        <v>23</v>
      </c>
      <c r="Q3226" s="2" t="s">
        <v>42</v>
      </c>
      <c r="R3226" s="16">
        <f>(Table1[[#This Row],[NET Amount]]-Table1[[#This Row],[Total Outstanding Amount]])/Table1[[#This Row],[NET Amount]]</f>
        <v>0.61129506650141507</v>
      </c>
      <c r="S3226" s="2" t="s">
        <v>37</v>
      </c>
    </row>
    <row r="3227" spans="1:19" x14ac:dyDescent="0.3">
      <c r="A3227" s="4">
        <v>3225</v>
      </c>
      <c r="B3227" s="2" t="s">
        <v>206</v>
      </c>
      <c r="C3227" s="3">
        <v>44859</v>
      </c>
      <c r="D3227" s="3" t="str">
        <f>TEXT(Table1[[#This Row],[Admission Date]],"MMMM")</f>
        <v>October</v>
      </c>
      <c r="E3227" s="3">
        <v>44863</v>
      </c>
      <c r="F3227" s="3">
        <v>44863</v>
      </c>
      <c r="G3227" s="2">
        <v>22029081</v>
      </c>
      <c r="H3227" s="2">
        <v>2237394</v>
      </c>
      <c r="I3227" s="2">
        <v>1001806179</v>
      </c>
      <c r="J3227" s="2" t="s">
        <v>1889</v>
      </c>
      <c r="K3227" s="10">
        <v>84298</v>
      </c>
      <c r="L3227" s="10">
        <v>8216</v>
      </c>
      <c r="M3227" s="10">
        <v>76082</v>
      </c>
      <c r="N3227" s="10">
        <v>1500</v>
      </c>
      <c r="O3227" s="10">
        <f>Table1[[#This Row],[NET Amount]]-Table1[[#This Row],[Paid Amount]]</f>
        <v>74582</v>
      </c>
      <c r="P3227" s="2" t="s">
        <v>23</v>
      </c>
      <c r="Q3227" s="2" t="s">
        <v>24</v>
      </c>
      <c r="R3227" s="16">
        <f>(Table1[[#This Row],[NET Amount]]-Table1[[#This Row],[Total Outstanding Amount]])/Table1[[#This Row],[NET Amount]]</f>
        <v>1.9715570042848504E-2</v>
      </c>
      <c r="S3227" s="2" t="s">
        <v>37</v>
      </c>
    </row>
    <row r="3228" spans="1:19" x14ac:dyDescent="0.3">
      <c r="A3228" s="4">
        <v>3226</v>
      </c>
      <c r="B3228" s="2" t="s">
        <v>259</v>
      </c>
      <c r="C3228" s="3">
        <v>44845</v>
      </c>
      <c r="D3228" s="3" t="str">
        <f>TEXT(Table1[[#This Row],[Admission Date]],"MMMM")</f>
        <v>October</v>
      </c>
      <c r="E3228" s="3">
        <v>44846</v>
      </c>
      <c r="F3228" s="3">
        <v>44846</v>
      </c>
      <c r="G3228" s="2">
        <v>22026689</v>
      </c>
      <c r="H3228" s="2">
        <v>2235619</v>
      </c>
      <c r="I3228" s="2">
        <v>10013542617</v>
      </c>
      <c r="J3228" s="2" t="s">
        <v>1890</v>
      </c>
      <c r="K3228" s="10">
        <v>48129</v>
      </c>
      <c r="L3228" s="10">
        <v>3704</v>
      </c>
      <c r="M3228" s="10">
        <v>44424</v>
      </c>
      <c r="N3228" s="10">
        <v>5425</v>
      </c>
      <c r="O3228" s="10">
        <f>Table1[[#This Row],[NET Amount]]-Table1[[#This Row],[Paid Amount]]</f>
        <v>38999</v>
      </c>
      <c r="P3228" s="2" t="s">
        <v>23</v>
      </c>
      <c r="Q3228" s="2" t="s">
        <v>47</v>
      </c>
      <c r="R3228" s="16">
        <f>(Table1[[#This Row],[NET Amount]]-Table1[[#This Row],[Total Outstanding Amount]])/Table1[[#This Row],[NET Amount]]</f>
        <v>0.12211867459031155</v>
      </c>
      <c r="S3228" s="2" t="s">
        <v>39</v>
      </c>
    </row>
    <row r="3229" spans="1:19" x14ac:dyDescent="0.3">
      <c r="A3229" s="4">
        <v>3227</v>
      </c>
      <c r="B3229" s="2" t="s">
        <v>2247</v>
      </c>
      <c r="C3229" s="3">
        <v>44849</v>
      </c>
      <c r="D3229" s="3" t="str">
        <f>TEXT(Table1[[#This Row],[Admission Date]],"MMMM")</f>
        <v>October</v>
      </c>
      <c r="E3229" s="3">
        <v>44849</v>
      </c>
      <c r="F3229" s="3">
        <v>44849</v>
      </c>
      <c r="G3229" s="2">
        <v>22027128</v>
      </c>
      <c r="H3229" s="2">
        <v>2236080</v>
      </c>
      <c r="I3229" s="2">
        <v>1001561182</v>
      </c>
      <c r="J3229" s="2" t="s">
        <v>222</v>
      </c>
      <c r="K3229" s="10">
        <v>2000</v>
      </c>
      <c r="L3229" s="10">
        <v>0</v>
      </c>
      <c r="M3229" s="10">
        <v>2000</v>
      </c>
      <c r="N3229" s="10">
        <v>2000</v>
      </c>
      <c r="O3229" s="10">
        <f>Table1[[#This Row],[NET Amount]]-Table1[[#This Row],[Paid Amount]]</f>
        <v>0</v>
      </c>
      <c r="P3229" s="2" t="s">
        <v>18</v>
      </c>
      <c r="Q3229" s="2" t="s">
        <v>147</v>
      </c>
      <c r="R3229" s="16">
        <f>(Table1[[#This Row],[NET Amount]]-Table1[[#This Row],[Total Outstanding Amount]])/Table1[[#This Row],[NET Amount]]</f>
        <v>1</v>
      </c>
      <c r="S3229" s="2" t="s">
        <v>97</v>
      </c>
    </row>
    <row r="3230" spans="1:19" x14ac:dyDescent="0.3">
      <c r="A3230" s="4">
        <v>3228</v>
      </c>
      <c r="B3230" s="2" t="s">
        <v>25</v>
      </c>
      <c r="C3230" s="3">
        <v>44845</v>
      </c>
      <c r="D3230" s="3" t="str">
        <f>TEXT(Table1[[#This Row],[Admission Date]],"MMMM")</f>
        <v>October</v>
      </c>
      <c r="E3230" s="3">
        <v>44845</v>
      </c>
      <c r="F3230" s="3">
        <v>44845</v>
      </c>
      <c r="G3230" s="2">
        <v>22026646</v>
      </c>
      <c r="H3230" s="2">
        <v>2235605</v>
      </c>
      <c r="I3230" s="2">
        <v>1001110018</v>
      </c>
      <c r="J3230" s="2" t="s">
        <v>254</v>
      </c>
      <c r="K3230" s="10">
        <v>8509</v>
      </c>
      <c r="L3230" s="10">
        <v>8509</v>
      </c>
      <c r="M3230" s="10">
        <v>0</v>
      </c>
      <c r="N3230" s="10">
        <v>0</v>
      </c>
      <c r="O3230" s="10">
        <f>Table1[[#This Row],[NET Amount]]-Table1[[#This Row],[Paid Amount]]</f>
        <v>0</v>
      </c>
      <c r="P3230" s="2" t="s">
        <v>18</v>
      </c>
      <c r="Q3230" s="2" t="s">
        <v>90</v>
      </c>
      <c r="R3230" s="16" t="e">
        <f>(Table1[[#This Row],[NET Amount]]-Table1[[#This Row],[Total Outstanding Amount]])/Table1[[#This Row],[NET Amount]]</f>
        <v>#DIV/0!</v>
      </c>
      <c r="S3230" s="2" t="s">
        <v>97</v>
      </c>
    </row>
    <row r="3231" spans="1:19" x14ac:dyDescent="0.3">
      <c r="A3231" s="4">
        <v>3229</v>
      </c>
      <c r="B3231" s="2" t="s">
        <v>139</v>
      </c>
      <c r="C3231" s="3">
        <v>44855</v>
      </c>
      <c r="D3231" s="3" t="str">
        <f>TEXT(Table1[[#This Row],[Admission Date]],"MMMM")</f>
        <v>October</v>
      </c>
      <c r="E3231" s="3">
        <v>44860</v>
      </c>
      <c r="F3231" s="3">
        <v>44860</v>
      </c>
      <c r="G3231" s="2">
        <v>22028648</v>
      </c>
      <c r="H3231" s="2">
        <v>2236937</v>
      </c>
      <c r="I3231" s="2">
        <v>10013543969</v>
      </c>
      <c r="J3231" s="2" t="s">
        <v>1891</v>
      </c>
      <c r="K3231" s="10">
        <v>82454</v>
      </c>
      <c r="L3231" s="10">
        <v>10507</v>
      </c>
      <c r="M3231" s="10">
        <v>71947</v>
      </c>
      <c r="N3231" s="10">
        <v>2049</v>
      </c>
      <c r="O3231" s="10">
        <f>Table1[[#This Row],[NET Amount]]-Table1[[#This Row],[Paid Amount]]</f>
        <v>69898</v>
      </c>
      <c r="P3231" s="2" t="s">
        <v>23</v>
      </c>
      <c r="Q3231" s="2" t="s">
        <v>52</v>
      </c>
      <c r="R3231" s="16">
        <f>(Table1[[#This Row],[NET Amount]]-Table1[[#This Row],[Total Outstanding Amount]])/Table1[[#This Row],[NET Amount]]</f>
        <v>2.847929726048341E-2</v>
      </c>
      <c r="S3231" s="2" t="s">
        <v>77</v>
      </c>
    </row>
    <row r="3232" spans="1:19" x14ac:dyDescent="0.3">
      <c r="A3232" s="4">
        <v>3230</v>
      </c>
      <c r="B3232" s="2" t="s">
        <v>126</v>
      </c>
      <c r="C3232" s="3">
        <v>44839</v>
      </c>
      <c r="D3232" s="3" t="str">
        <f>TEXT(Table1[[#This Row],[Admission Date]],"MMMM")</f>
        <v>October</v>
      </c>
      <c r="E3232" s="3">
        <v>44841</v>
      </c>
      <c r="F3232" s="3">
        <v>44841</v>
      </c>
      <c r="G3232" s="2">
        <v>22026019</v>
      </c>
      <c r="H3232" s="2">
        <v>2234776</v>
      </c>
      <c r="I3232" s="2">
        <v>10013324446</v>
      </c>
      <c r="J3232" s="2" t="s">
        <v>1892</v>
      </c>
      <c r="K3232" s="10">
        <v>112909</v>
      </c>
      <c r="L3232" s="10">
        <v>6253</v>
      </c>
      <c r="M3232" s="10">
        <v>106656</v>
      </c>
      <c r="N3232" s="10">
        <v>2311</v>
      </c>
      <c r="O3232" s="10">
        <f>Table1[[#This Row],[NET Amount]]-Table1[[#This Row],[Paid Amount]]</f>
        <v>104345</v>
      </c>
      <c r="P3232" s="2" t="s">
        <v>23</v>
      </c>
      <c r="Q3232" s="2" t="s">
        <v>19</v>
      </c>
      <c r="R3232" s="16">
        <f>(Table1[[#This Row],[NET Amount]]-Table1[[#This Row],[Total Outstanding Amount]])/Table1[[#This Row],[NET Amount]]</f>
        <v>2.1667791779177919E-2</v>
      </c>
      <c r="S3232" s="2" t="s">
        <v>201</v>
      </c>
    </row>
    <row r="3233" spans="1:19" x14ac:dyDescent="0.3">
      <c r="A3233" s="4">
        <v>3231</v>
      </c>
      <c r="B3233" s="2" t="s">
        <v>40</v>
      </c>
      <c r="C3233" s="3">
        <v>44839</v>
      </c>
      <c r="D3233" s="3" t="str">
        <f>TEXT(Table1[[#This Row],[Admission Date]],"MMMM")</f>
        <v>October</v>
      </c>
      <c r="E3233" s="3">
        <v>44841</v>
      </c>
      <c r="F3233" s="3">
        <v>44841</v>
      </c>
      <c r="G3233" s="2">
        <v>22025948</v>
      </c>
      <c r="H3233" s="2">
        <v>2234739</v>
      </c>
      <c r="I3233" s="2">
        <v>10013486506</v>
      </c>
      <c r="J3233" s="2" t="s">
        <v>1893</v>
      </c>
      <c r="K3233" s="10">
        <v>334838</v>
      </c>
      <c r="L3233" s="10">
        <v>225</v>
      </c>
      <c r="M3233" s="10">
        <v>334613</v>
      </c>
      <c r="N3233" s="10">
        <v>67525</v>
      </c>
      <c r="O3233" s="10">
        <f>Table1[[#This Row],[NET Amount]]-Table1[[#This Row],[Paid Amount]]</f>
        <v>267088</v>
      </c>
      <c r="P3233" s="2" t="s">
        <v>23</v>
      </c>
      <c r="Q3233" s="2" t="s">
        <v>47</v>
      </c>
      <c r="R3233" s="16">
        <f>(Table1[[#This Row],[NET Amount]]-Table1[[#This Row],[Total Outstanding Amount]])/Table1[[#This Row],[NET Amount]]</f>
        <v>0.20180028869171251</v>
      </c>
      <c r="S3233" s="2" t="s">
        <v>39</v>
      </c>
    </row>
    <row r="3234" spans="1:19" x14ac:dyDescent="0.3">
      <c r="A3234" s="4">
        <v>3232</v>
      </c>
      <c r="B3234" s="2" t="s">
        <v>35</v>
      </c>
      <c r="C3234" s="3">
        <v>44852</v>
      </c>
      <c r="D3234" s="3" t="str">
        <f>TEXT(Table1[[#This Row],[Admission Date]],"MMMM")</f>
        <v>October</v>
      </c>
      <c r="E3234" s="3">
        <v>44852</v>
      </c>
      <c r="F3234" s="3">
        <v>44852</v>
      </c>
      <c r="G3234" s="2">
        <v>22027577</v>
      </c>
      <c r="H3234" s="2">
        <v>2236475</v>
      </c>
      <c r="I3234" s="2">
        <v>10013519440</v>
      </c>
      <c r="J3234" s="2" t="s">
        <v>339</v>
      </c>
      <c r="K3234" s="10">
        <v>1610</v>
      </c>
      <c r="L3234" s="10">
        <v>0</v>
      </c>
      <c r="M3234" s="10">
        <v>1610</v>
      </c>
      <c r="N3234" s="10">
        <v>1610</v>
      </c>
      <c r="O3234" s="10">
        <f>Table1[[#This Row],[NET Amount]]-Table1[[#This Row],[Paid Amount]]</f>
        <v>0</v>
      </c>
      <c r="P3234" s="2" t="s">
        <v>18</v>
      </c>
      <c r="Q3234" s="2" t="s">
        <v>54</v>
      </c>
      <c r="R3234" s="16">
        <f>(Table1[[#This Row],[NET Amount]]-Table1[[#This Row],[Total Outstanding Amount]])/Table1[[#This Row],[NET Amount]]</f>
        <v>1</v>
      </c>
      <c r="S3234" s="2" t="s">
        <v>97</v>
      </c>
    </row>
    <row r="3235" spans="1:19" x14ac:dyDescent="0.3">
      <c r="A3235" s="4">
        <v>3233</v>
      </c>
      <c r="B3235" s="2" t="s">
        <v>25</v>
      </c>
      <c r="C3235" s="3">
        <v>44852</v>
      </c>
      <c r="D3235" s="3" t="str">
        <f>TEXT(Table1[[#This Row],[Admission Date]],"MMMM")</f>
        <v>October</v>
      </c>
      <c r="E3235" s="3">
        <v>44852</v>
      </c>
      <c r="F3235" s="3">
        <v>44852</v>
      </c>
      <c r="G3235" s="2">
        <v>22027599</v>
      </c>
      <c r="H3235" s="2">
        <v>2236508</v>
      </c>
      <c r="I3235" s="2">
        <v>1000975940</v>
      </c>
      <c r="J3235" s="2" t="s">
        <v>341</v>
      </c>
      <c r="K3235" s="10">
        <v>4990</v>
      </c>
      <c r="L3235" s="10">
        <v>432</v>
      </c>
      <c r="M3235" s="10">
        <v>4558</v>
      </c>
      <c r="N3235" s="10">
        <v>4558</v>
      </c>
      <c r="O3235" s="10">
        <f>Table1[[#This Row],[NET Amount]]-Table1[[#This Row],[Paid Amount]]</f>
        <v>0</v>
      </c>
      <c r="P3235" s="2" t="s">
        <v>18</v>
      </c>
      <c r="Q3235" s="2" t="s">
        <v>54</v>
      </c>
      <c r="R3235" s="16">
        <f>(Table1[[#This Row],[NET Amount]]-Table1[[#This Row],[Total Outstanding Amount]])/Table1[[#This Row],[NET Amount]]</f>
        <v>1</v>
      </c>
      <c r="S3235" s="2" t="s">
        <v>97</v>
      </c>
    </row>
    <row r="3236" spans="1:19" x14ac:dyDescent="0.3">
      <c r="A3236" s="4">
        <v>3234</v>
      </c>
      <c r="B3236" s="2" t="s">
        <v>259</v>
      </c>
      <c r="C3236" s="3">
        <v>44857</v>
      </c>
      <c r="D3236" s="3" t="str">
        <f>TEXT(Table1[[#This Row],[Admission Date]],"MMMM")</f>
        <v>October</v>
      </c>
      <c r="E3236" s="3">
        <v>44863</v>
      </c>
      <c r="F3236" s="3">
        <v>44863</v>
      </c>
      <c r="G3236" s="2">
        <v>22029040</v>
      </c>
      <c r="H3236" s="2">
        <v>2237168</v>
      </c>
      <c r="I3236" s="2">
        <v>10013544238</v>
      </c>
      <c r="J3236" s="2" t="s">
        <v>1894</v>
      </c>
      <c r="K3236" s="10">
        <v>198776</v>
      </c>
      <c r="L3236" s="10">
        <v>24329</v>
      </c>
      <c r="M3236" s="10">
        <v>174447</v>
      </c>
      <c r="N3236" s="10">
        <v>3941</v>
      </c>
      <c r="O3236" s="10">
        <f>Table1[[#This Row],[NET Amount]]-Table1[[#This Row],[Paid Amount]]</f>
        <v>170506</v>
      </c>
      <c r="P3236" s="2" t="s">
        <v>23</v>
      </c>
      <c r="Q3236" s="2" t="s">
        <v>104</v>
      </c>
      <c r="R3236" s="16">
        <f>(Table1[[#This Row],[NET Amount]]-Table1[[#This Row],[Total Outstanding Amount]])/Table1[[#This Row],[NET Amount]]</f>
        <v>2.2591388788571889E-2</v>
      </c>
      <c r="S3236" s="2" t="s">
        <v>20</v>
      </c>
    </row>
    <row r="3237" spans="1:19" x14ac:dyDescent="0.3">
      <c r="A3237" s="4">
        <v>3235</v>
      </c>
      <c r="B3237" s="2" t="s">
        <v>25</v>
      </c>
      <c r="C3237" s="3">
        <v>44863</v>
      </c>
      <c r="D3237" s="3" t="str">
        <f>TEXT(Table1[[#This Row],[Admission Date]],"MMMM")</f>
        <v>October</v>
      </c>
      <c r="E3237" s="3">
        <v>44863</v>
      </c>
      <c r="F3237" s="3">
        <v>44863</v>
      </c>
      <c r="G3237" s="2">
        <v>22029092</v>
      </c>
      <c r="H3237" s="2">
        <v>2237969</v>
      </c>
      <c r="I3237" s="2">
        <v>1001807004</v>
      </c>
      <c r="J3237" s="2" t="s">
        <v>1895</v>
      </c>
      <c r="K3237" s="10">
        <v>14000</v>
      </c>
      <c r="L3237" s="10">
        <v>0</v>
      </c>
      <c r="M3237" s="10">
        <v>14000</v>
      </c>
      <c r="N3237" s="10">
        <v>14000</v>
      </c>
      <c r="O3237" s="10">
        <f>Table1[[#This Row],[NET Amount]]-Table1[[#This Row],[Paid Amount]]</f>
        <v>0</v>
      </c>
      <c r="P3237" s="2" t="s">
        <v>18</v>
      </c>
      <c r="Q3237" s="2" t="s">
        <v>54</v>
      </c>
      <c r="R3237" s="16">
        <f>(Table1[[#This Row],[NET Amount]]-Table1[[#This Row],[Total Outstanding Amount]])/Table1[[#This Row],[NET Amount]]</f>
        <v>1</v>
      </c>
      <c r="S3237" s="2" t="s">
        <v>39</v>
      </c>
    </row>
    <row r="3238" spans="1:19" x14ac:dyDescent="0.3">
      <c r="A3238" s="4">
        <v>3236</v>
      </c>
      <c r="B3238" s="2" t="s">
        <v>126</v>
      </c>
      <c r="C3238" s="3">
        <v>44838</v>
      </c>
      <c r="D3238" s="3" t="str">
        <f>TEXT(Table1[[#This Row],[Admission Date]],"MMMM")</f>
        <v>October</v>
      </c>
      <c r="E3238" s="3">
        <v>44838</v>
      </c>
      <c r="F3238" s="3">
        <v>44838</v>
      </c>
      <c r="G3238" s="2">
        <v>22025609</v>
      </c>
      <c r="H3238" s="2">
        <v>2234612</v>
      </c>
      <c r="I3238" s="2">
        <v>10013481278</v>
      </c>
      <c r="J3238" s="2" t="s">
        <v>264</v>
      </c>
      <c r="K3238" s="10">
        <v>2500</v>
      </c>
      <c r="L3238" s="10">
        <v>0</v>
      </c>
      <c r="M3238" s="10">
        <v>2500</v>
      </c>
      <c r="N3238" s="10">
        <v>2500</v>
      </c>
      <c r="O3238" s="10">
        <f>Table1[[#This Row],[NET Amount]]-Table1[[#This Row],[Paid Amount]]</f>
        <v>0</v>
      </c>
      <c r="P3238" s="2" t="s">
        <v>18</v>
      </c>
      <c r="Q3238" s="2" t="s">
        <v>54</v>
      </c>
      <c r="R3238" s="16">
        <f>(Table1[[#This Row],[NET Amount]]-Table1[[#This Row],[Total Outstanding Amount]])/Table1[[#This Row],[NET Amount]]</f>
        <v>1</v>
      </c>
      <c r="S3238" s="2" t="s">
        <v>97</v>
      </c>
    </row>
    <row r="3239" spans="1:19" x14ac:dyDescent="0.3">
      <c r="A3239" s="4">
        <v>3237</v>
      </c>
      <c r="B3239" s="2" t="s">
        <v>25</v>
      </c>
      <c r="C3239" s="3">
        <v>44846</v>
      </c>
      <c r="D3239" s="3" t="str">
        <f>TEXT(Table1[[#This Row],[Admission Date]],"MMMM")</f>
        <v>October</v>
      </c>
      <c r="E3239" s="3">
        <v>44847</v>
      </c>
      <c r="F3239" s="3">
        <v>44847</v>
      </c>
      <c r="G3239" s="2">
        <v>22026862</v>
      </c>
      <c r="H3239" s="2">
        <v>2235680</v>
      </c>
      <c r="I3239" s="2">
        <v>10013539745</v>
      </c>
      <c r="J3239" s="2" t="s">
        <v>1896</v>
      </c>
      <c r="K3239" s="10">
        <v>37130</v>
      </c>
      <c r="L3239" s="10">
        <v>5014</v>
      </c>
      <c r="M3239" s="10">
        <v>32116</v>
      </c>
      <c r="N3239" s="10">
        <v>32116</v>
      </c>
      <c r="O3239" s="10">
        <f>Table1[[#This Row],[NET Amount]]-Table1[[#This Row],[Paid Amount]]</f>
        <v>0</v>
      </c>
      <c r="P3239" s="2" t="s">
        <v>18</v>
      </c>
      <c r="Q3239" s="2" t="s">
        <v>24</v>
      </c>
      <c r="R3239" s="16">
        <f>(Table1[[#This Row],[NET Amount]]-Table1[[#This Row],[Total Outstanding Amount]])/Table1[[#This Row],[NET Amount]]</f>
        <v>1</v>
      </c>
      <c r="S3239" s="2" t="s">
        <v>162</v>
      </c>
    </row>
    <row r="3240" spans="1:19" x14ac:dyDescent="0.3">
      <c r="A3240" s="4">
        <v>3238</v>
      </c>
      <c r="B3240" s="2" t="s">
        <v>122</v>
      </c>
      <c r="C3240" s="3">
        <v>44861</v>
      </c>
      <c r="D3240" s="3" t="str">
        <f>TEXT(Table1[[#This Row],[Admission Date]],"MMMM")</f>
        <v>October</v>
      </c>
      <c r="E3240" s="3">
        <v>44861</v>
      </c>
      <c r="F3240" s="3">
        <v>44861</v>
      </c>
      <c r="G3240" s="2">
        <v>22028842</v>
      </c>
      <c r="H3240" s="2">
        <v>2237704</v>
      </c>
      <c r="I3240" s="2">
        <v>1001087967</v>
      </c>
      <c r="J3240" s="2" t="s">
        <v>123</v>
      </c>
      <c r="K3240" s="10">
        <v>3519</v>
      </c>
      <c r="L3240" s="10">
        <v>3519</v>
      </c>
      <c r="M3240" s="10">
        <v>0</v>
      </c>
      <c r="N3240" s="10">
        <v>0</v>
      </c>
      <c r="O3240" s="10">
        <f>Table1[[#This Row],[NET Amount]]-Table1[[#This Row],[Paid Amount]]</f>
        <v>0</v>
      </c>
      <c r="P3240" s="2" t="s">
        <v>18</v>
      </c>
      <c r="Q3240" s="2" t="s">
        <v>54</v>
      </c>
      <c r="R3240" s="16" t="e">
        <f>(Table1[[#This Row],[NET Amount]]-Table1[[#This Row],[Total Outstanding Amount]])/Table1[[#This Row],[NET Amount]]</f>
        <v>#DIV/0!</v>
      </c>
      <c r="S3240" s="2" t="s">
        <v>97</v>
      </c>
    </row>
    <row r="3241" spans="1:19" x14ac:dyDescent="0.3">
      <c r="A3241" s="4">
        <v>3239</v>
      </c>
      <c r="B3241" s="2" t="s">
        <v>139</v>
      </c>
      <c r="C3241" s="3">
        <v>44839</v>
      </c>
      <c r="D3241" s="3" t="str">
        <f>TEXT(Table1[[#This Row],[Admission Date]],"MMMM")</f>
        <v>October</v>
      </c>
      <c r="E3241" s="3">
        <v>44846</v>
      </c>
      <c r="F3241" s="3">
        <v>44846</v>
      </c>
      <c r="G3241" s="2">
        <v>22026704</v>
      </c>
      <c r="H3241" s="2">
        <v>2234777</v>
      </c>
      <c r="I3241" s="2">
        <v>1001024017</v>
      </c>
      <c r="J3241" s="2" t="s">
        <v>1897</v>
      </c>
      <c r="K3241" s="10">
        <v>164744</v>
      </c>
      <c r="L3241" s="10">
        <v>0</v>
      </c>
      <c r="M3241" s="10">
        <v>164744</v>
      </c>
      <c r="N3241" s="10">
        <v>11525</v>
      </c>
      <c r="O3241" s="10">
        <f>Table1[[#This Row],[NET Amount]]-Table1[[#This Row],[Paid Amount]]</f>
        <v>153219</v>
      </c>
      <c r="P3241" s="2" t="s">
        <v>23</v>
      </c>
      <c r="Q3241" s="2" t="s">
        <v>52</v>
      </c>
      <c r="R3241" s="16">
        <f>(Table1[[#This Row],[NET Amount]]-Table1[[#This Row],[Total Outstanding Amount]])/Table1[[#This Row],[NET Amount]]</f>
        <v>6.9957024231534992E-2</v>
      </c>
      <c r="S3241" s="2" t="s">
        <v>20</v>
      </c>
    </row>
    <row r="3242" spans="1:19" x14ac:dyDescent="0.3">
      <c r="A3242" s="4">
        <v>3240</v>
      </c>
      <c r="B3242" s="2" t="s">
        <v>50</v>
      </c>
      <c r="C3242" s="3">
        <v>44852</v>
      </c>
      <c r="D3242" s="3" t="str">
        <f>TEXT(Table1[[#This Row],[Admission Date]],"MMMM")</f>
        <v>October</v>
      </c>
      <c r="E3242" s="3">
        <v>44855</v>
      </c>
      <c r="F3242" s="3">
        <v>44855</v>
      </c>
      <c r="G3242" s="2">
        <v>22028049</v>
      </c>
      <c r="H3242" s="2">
        <v>2236516</v>
      </c>
      <c r="I3242" s="2">
        <v>10013531159</v>
      </c>
      <c r="J3242" s="2" t="s">
        <v>1898</v>
      </c>
      <c r="K3242" s="10">
        <v>89250</v>
      </c>
      <c r="L3242" s="10">
        <v>0</v>
      </c>
      <c r="M3242" s="10">
        <v>89250</v>
      </c>
      <c r="N3242" s="10">
        <v>10275</v>
      </c>
      <c r="O3242" s="10">
        <f>Table1[[#This Row],[NET Amount]]-Table1[[#This Row],[Paid Amount]]</f>
        <v>78975</v>
      </c>
      <c r="P3242" s="2" t="s">
        <v>23</v>
      </c>
      <c r="Q3242" s="2" t="s">
        <v>42</v>
      </c>
      <c r="R3242" s="16">
        <f>(Table1[[#This Row],[NET Amount]]-Table1[[#This Row],[Total Outstanding Amount]])/Table1[[#This Row],[NET Amount]]</f>
        <v>0.11512605042016806</v>
      </c>
      <c r="S3242" s="2" t="s">
        <v>27</v>
      </c>
    </row>
    <row r="3243" spans="1:19" x14ac:dyDescent="0.3">
      <c r="A3243" s="4">
        <v>3241</v>
      </c>
      <c r="B3243" s="2" t="s">
        <v>2266</v>
      </c>
      <c r="C3243" s="3">
        <v>44849</v>
      </c>
      <c r="D3243" s="3" t="str">
        <f>TEXT(Table1[[#This Row],[Admission Date]],"MMMM")</f>
        <v>October</v>
      </c>
      <c r="E3243" s="3">
        <v>44849</v>
      </c>
      <c r="F3243" s="3">
        <v>44849</v>
      </c>
      <c r="G3243" s="2">
        <v>22027245</v>
      </c>
      <c r="H3243" s="2">
        <v>2236108</v>
      </c>
      <c r="I3243" s="2">
        <v>1001803042</v>
      </c>
      <c r="J3243" s="2" t="s">
        <v>1899</v>
      </c>
      <c r="K3243" s="10">
        <v>15700</v>
      </c>
      <c r="L3243" s="10">
        <v>88</v>
      </c>
      <c r="M3243" s="10">
        <v>15612</v>
      </c>
      <c r="N3243" s="10">
        <v>412</v>
      </c>
      <c r="O3243" s="10">
        <f>Table1[[#This Row],[NET Amount]]-Table1[[#This Row],[Paid Amount]]</f>
        <v>15200</v>
      </c>
      <c r="P3243" s="2" t="s">
        <v>23</v>
      </c>
      <c r="Q3243" s="2" t="s">
        <v>54</v>
      </c>
      <c r="R3243" s="16">
        <f>(Table1[[#This Row],[NET Amount]]-Table1[[#This Row],[Total Outstanding Amount]])/Table1[[#This Row],[NET Amount]]</f>
        <v>2.6389956443761211E-2</v>
      </c>
      <c r="S3243" s="2" t="s">
        <v>27</v>
      </c>
    </row>
    <row r="3244" spans="1:19" x14ac:dyDescent="0.3">
      <c r="A3244" s="4">
        <v>3242</v>
      </c>
      <c r="B3244" s="2" t="s">
        <v>61</v>
      </c>
      <c r="C3244" s="3">
        <v>44851</v>
      </c>
      <c r="D3244" s="3" t="str">
        <f>TEXT(Table1[[#This Row],[Admission Date]],"MMMM")</f>
        <v>October</v>
      </c>
      <c r="E3244" s="3">
        <v>44855</v>
      </c>
      <c r="F3244" s="3">
        <v>44855</v>
      </c>
      <c r="G3244" s="2">
        <v>22028033</v>
      </c>
      <c r="H3244" s="2">
        <v>2236336</v>
      </c>
      <c r="I3244" s="2">
        <v>1001801755</v>
      </c>
      <c r="J3244" s="2" t="s">
        <v>1736</v>
      </c>
      <c r="K3244" s="10">
        <v>84470</v>
      </c>
      <c r="L3244" s="10">
        <v>10889</v>
      </c>
      <c r="M3244" s="10">
        <v>73581</v>
      </c>
      <c r="N3244" s="10">
        <v>11492</v>
      </c>
      <c r="O3244" s="10">
        <f>Table1[[#This Row],[NET Amount]]-Table1[[#This Row],[Paid Amount]]</f>
        <v>62089</v>
      </c>
      <c r="P3244" s="2" t="s">
        <v>23</v>
      </c>
      <c r="Q3244" s="2" t="s">
        <v>52</v>
      </c>
      <c r="R3244" s="16">
        <f>(Table1[[#This Row],[NET Amount]]-Table1[[#This Row],[Total Outstanding Amount]])/Table1[[#This Row],[NET Amount]]</f>
        <v>0.15618162297332192</v>
      </c>
      <c r="S3244" s="2" t="s">
        <v>65</v>
      </c>
    </row>
    <row r="3245" spans="1:19" x14ac:dyDescent="0.3">
      <c r="A3245" s="4">
        <v>3243</v>
      </c>
      <c r="B3245" s="2" t="s">
        <v>152</v>
      </c>
      <c r="C3245" s="3">
        <v>44849</v>
      </c>
      <c r="D3245" s="3" t="str">
        <f>TEXT(Table1[[#This Row],[Admission Date]],"MMMM")</f>
        <v>October</v>
      </c>
      <c r="E3245" s="3">
        <v>44849</v>
      </c>
      <c r="F3245" s="3">
        <v>44849</v>
      </c>
      <c r="G3245" s="2">
        <v>22027242</v>
      </c>
      <c r="H3245" s="2">
        <v>2236074</v>
      </c>
      <c r="I3245" s="2">
        <v>10013542152</v>
      </c>
      <c r="J3245" s="2" t="s">
        <v>1900</v>
      </c>
      <c r="K3245" s="10">
        <v>29533</v>
      </c>
      <c r="L3245" s="10">
        <v>0</v>
      </c>
      <c r="M3245" s="10">
        <v>29533</v>
      </c>
      <c r="N3245" s="10">
        <v>29533</v>
      </c>
      <c r="O3245" s="10">
        <f>Table1[[#This Row],[NET Amount]]-Table1[[#This Row],[Paid Amount]]</f>
        <v>0</v>
      </c>
      <c r="P3245" s="2" t="s">
        <v>18</v>
      </c>
      <c r="Q3245" s="2" t="s">
        <v>24</v>
      </c>
      <c r="R3245" s="16">
        <f>(Table1[[#This Row],[NET Amount]]-Table1[[#This Row],[Total Outstanding Amount]])/Table1[[#This Row],[NET Amount]]</f>
        <v>1</v>
      </c>
      <c r="S3245" s="2" t="s">
        <v>768</v>
      </c>
    </row>
    <row r="3246" spans="1:19" x14ac:dyDescent="0.3">
      <c r="A3246" s="4">
        <v>3244</v>
      </c>
      <c r="B3246" s="2" t="s">
        <v>25</v>
      </c>
      <c r="C3246" s="3">
        <v>44840</v>
      </c>
      <c r="D3246" s="3" t="str">
        <f>TEXT(Table1[[#This Row],[Admission Date]],"MMMM")</f>
        <v>October</v>
      </c>
      <c r="E3246" s="3">
        <v>44849</v>
      </c>
      <c r="F3246" s="3">
        <v>44849</v>
      </c>
      <c r="G3246" s="2">
        <v>22027218</v>
      </c>
      <c r="H3246" s="2">
        <v>2234906</v>
      </c>
      <c r="I3246" s="2">
        <v>10013541853</v>
      </c>
      <c r="J3246" s="2" t="s">
        <v>694</v>
      </c>
      <c r="K3246" s="10">
        <v>245935</v>
      </c>
      <c r="L3246" s="10">
        <v>53068</v>
      </c>
      <c r="M3246" s="10">
        <v>192867</v>
      </c>
      <c r="N3246" s="10">
        <v>192867</v>
      </c>
      <c r="O3246" s="10">
        <f>Table1[[#This Row],[NET Amount]]-Table1[[#This Row],[Paid Amount]]</f>
        <v>0</v>
      </c>
      <c r="P3246" s="2" t="s">
        <v>18</v>
      </c>
      <c r="Q3246" s="2" t="s">
        <v>24</v>
      </c>
      <c r="R3246" s="16">
        <f>(Table1[[#This Row],[NET Amount]]-Table1[[#This Row],[Total Outstanding Amount]])/Table1[[#This Row],[NET Amount]]</f>
        <v>1</v>
      </c>
      <c r="S3246" s="2" t="s">
        <v>20</v>
      </c>
    </row>
    <row r="3247" spans="1:19" x14ac:dyDescent="0.3">
      <c r="A3247" s="4">
        <v>3245</v>
      </c>
      <c r="B3247" s="2" t="s">
        <v>40</v>
      </c>
      <c r="C3247" s="3">
        <v>44835</v>
      </c>
      <c r="D3247" s="3" t="str">
        <f>TEXT(Table1[[#This Row],[Admission Date]],"MMMM")</f>
        <v>October</v>
      </c>
      <c r="E3247" s="3">
        <v>44838</v>
      </c>
      <c r="F3247" s="3">
        <v>44838</v>
      </c>
      <c r="G3247" s="2">
        <v>22025526</v>
      </c>
      <c r="H3247" s="2">
        <v>2234186</v>
      </c>
      <c r="I3247" s="2">
        <v>1001801868</v>
      </c>
      <c r="J3247" s="2" t="s">
        <v>1901</v>
      </c>
      <c r="K3247" s="10">
        <v>7868</v>
      </c>
      <c r="L3247" s="10">
        <v>0</v>
      </c>
      <c r="M3247" s="10">
        <v>7868</v>
      </c>
      <c r="N3247" s="10">
        <v>7868</v>
      </c>
      <c r="O3247" s="10">
        <f>Table1[[#This Row],[NET Amount]]-Table1[[#This Row],[Paid Amount]]</f>
        <v>0</v>
      </c>
      <c r="P3247" s="2" t="s">
        <v>18</v>
      </c>
      <c r="Q3247" s="2" t="s">
        <v>396</v>
      </c>
      <c r="R3247" s="16">
        <f>(Table1[[#This Row],[NET Amount]]-Table1[[#This Row],[Total Outstanding Amount]])/Table1[[#This Row],[NET Amount]]</f>
        <v>1</v>
      </c>
      <c r="S3247" s="2" t="s">
        <v>37</v>
      </c>
    </row>
    <row r="3248" spans="1:19" x14ac:dyDescent="0.3">
      <c r="A3248" s="4">
        <v>3246</v>
      </c>
      <c r="B3248" s="2" t="s">
        <v>25</v>
      </c>
      <c r="C3248" s="3">
        <v>44851</v>
      </c>
      <c r="D3248" s="3" t="str">
        <f>TEXT(Table1[[#This Row],[Admission Date]],"MMMM")</f>
        <v>October</v>
      </c>
      <c r="E3248" s="3">
        <v>44851</v>
      </c>
      <c r="F3248" s="3">
        <v>44851</v>
      </c>
      <c r="G3248" s="2">
        <v>22027357</v>
      </c>
      <c r="H3248" s="2">
        <v>2236281</v>
      </c>
      <c r="I3248" s="2">
        <v>10013484177</v>
      </c>
      <c r="J3248" s="2" t="s">
        <v>174</v>
      </c>
      <c r="K3248" s="10">
        <v>2844</v>
      </c>
      <c r="L3248" s="10">
        <v>284</v>
      </c>
      <c r="M3248" s="10">
        <v>2560</v>
      </c>
      <c r="N3248" s="10">
        <v>2560</v>
      </c>
      <c r="O3248" s="10">
        <f>Table1[[#This Row],[NET Amount]]-Table1[[#This Row],[Paid Amount]]</f>
        <v>0</v>
      </c>
      <c r="P3248" s="2" t="s">
        <v>18</v>
      </c>
      <c r="Q3248" s="2" t="s">
        <v>54</v>
      </c>
      <c r="R3248" s="16">
        <f>(Table1[[#This Row],[NET Amount]]-Table1[[#This Row],[Total Outstanding Amount]])/Table1[[#This Row],[NET Amount]]</f>
        <v>1</v>
      </c>
      <c r="S3248" s="2" t="s">
        <v>97</v>
      </c>
    </row>
    <row r="3249" spans="1:19" x14ac:dyDescent="0.3">
      <c r="A3249" s="4">
        <v>3247</v>
      </c>
      <c r="B3249" s="2" t="s">
        <v>155</v>
      </c>
      <c r="C3249" s="3">
        <v>44851</v>
      </c>
      <c r="D3249" s="3" t="str">
        <f>TEXT(Table1[[#This Row],[Admission Date]],"MMMM")</f>
        <v>October</v>
      </c>
      <c r="E3249" s="3">
        <v>44851</v>
      </c>
      <c r="F3249" s="3">
        <v>44851</v>
      </c>
      <c r="G3249" s="2">
        <v>22027360</v>
      </c>
      <c r="H3249" s="2">
        <v>2236277</v>
      </c>
      <c r="I3249" s="2">
        <v>10013521425</v>
      </c>
      <c r="J3249" s="2" t="s">
        <v>156</v>
      </c>
      <c r="K3249" s="10">
        <v>1610</v>
      </c>
      <c r="L3249" s="10">
        <v>0</v>
      </c>
      <c r="M3249" s="10">
        <v>1610</v>
      </c>
      <c r="N3249" s="10">
        <v>1610</v>
      </c>
      <c r="O3249" s="10">
        <f>Table1[[#This Row],[NET Amount]]-Table1[[#This Row],[Paid Amount]]</f>
        <v>0</v>
      </c>
      <c r="P3249" s="2" t="s">
        <v>18</v>
      </c>
      <c r="Q3249" s="2" t="s">
        <v>54</v>
      </c>
      <c r="R3249" s="16">
        <f>(Table1[[#This Row],[NET Amount]]-Table1[[#This Row],[Total Outstanding Amount]])/Table1[[#This Row],[NET Amount]]</f>
        <v>1</v>
      </c>
      <c r="S3249" s="2" t="s">
        <v>97</v>
      </c>
    </row>
    <row r="3250" spans="1:19" x14ac:dyDescent="0.3">
      <c r="A3250" s="4">
        <v>3248</v>
      </c>
      <c r="B3250" s="2" t="s">
        <v>25</v>
      </c>
      <c r="C3250" s="3">
        <v>44851</v>
      </c>
      <c r="D3250" s="3" t="str">
        <f>TEXT(Table1[[#This Row],[Admission Date]],"MMMM")</f>
        <v>October</v>
      </c>
      <c r="E3250" s="3">
        <v>44851</v>
      </c>
      <c r="F3250" s="3">
        <v>44851</v>
      </c>
      <c r="G3250" s="2">
        <v>22027363</v>
      </c>
      <c r="H3250" s="2">
        <v>2236274</v>
      </c>
      <c r="I3250" s="2">
        <v>10013531598</v>
      </c>
      <c r="J3250" s="2" t="s">
        <v>372</v>
      </c>
      <c r="K3250" s="10">
        <v>2844</v>
      </c>
      <c r="L3250" s="10">
        <v>308</v>
      </c>
      <c r="M3250" s="10">
        <v>2536</v>
      </c>
      <c r="N3250" s="10">
        <v>2536</v>
      </c>
      <c r="O3250" s="10">
        <f>Table1[[#This Row],[NET Amount]]-Table1[[#This Row],[Paid Amount]]</f>
        <v>0</v>
      </c>
      <c r="P3250" s="2" t="s">
        <v>18</v>
      </c>
      <c r="Q3250" s="2" t="s">
        <v>54</v>
      </c>
      <c r="R3250" s="16">
        <f>(Table1[[#This Row],[NET Amount]]-Table1[[#This Row],[Total Outstanding Amount]])/Table1[[#This Row],[NET Amount]]</f>
        <v>1</v>
      </c>
      <c r="S3250" s="2" t="s">
        <v>97</v>
      </c>
    </row>
    <row r="3251" spans="1:19" x14ac:dyDescent="0.3">
      <c r="A3251" s="4">
        <v>3249</v>
      </c>
      <c r="B3251" s="2" t="s">
        <v>25</v>
      </c>
      <c r="C3251" s="3">
        <v>44851</v>
      </c>
      <c r="D3251" s="3" t="str">
        <f>TEXT(Table1[[#This Row],[Admission Date]],"MMMM")</f>
        <v>October</v>
      </c>
      <c r="E3251" s="3">
        <v>44851</v>
      </c>
      <c r="F3251" s="3">
        <v>44851</v>
      </c>
      <c r="G3251" s="2">
        <v>22027372</v>
      </c>
      <c r="H3251" s="2">
        <v>2236291</v>
      </c>
      <c r="I3251" s="2">
        <v>10013415573</v>
      </c>
      <c r="J3251" s="2" t="s">
        <v>335</v>
      </c>
      <c r="K3251" s="10">
        <v>4990</v>
      </c>
      <c r="L3251" s="10">
        <v>413</v>
      </c>
      <c r="M3251" s="10">
        <v>4577</v>
      </c>
      <c r="N3251" s="10">
        <v>4577</v>
      </c>
      <c r="O3251" s="10">
        <f>Table1[[#This Row],[NET Amount]]-Table1[[#This Row],[Paid Amount]]</f>
        <v>0</v>
      </c>
      <c r="P3251" s="2" t="s">
        <v>18</v>
      </c>
      <c r="Q3251" s="2" t="s">
        <v>54</v>
      </c>
      <c r="R3251" s="16">
        <f>(Table1[[#This Row],[NET Amount]]-Table1[[#This Row],[Total Outstanding Amount]])/Table1[[#This Row],[NET Amount]]</f>
        <v>1</v>
      </c>
      <c r="S3251" s="2" t="s">
        <v>97</v>
      </c>
    </row>
    <row r="3252" spans="1:19" x14ac:dyDescent="0.3">
      <c r="A3252" s="4">
        <v>3250</v>
      </c>
      <c r="B3252" s="2" t="s">
        <v>35</v>
      </c>
      <c r="C3252" s="3">
        <v>44842</v>
      </c>
      <c r="D3252" s="3" t="str">
        <f>TEXT(Table1[[#This Row],[Admission Date]],"MMMM")</f>
        <v>October</v>
      </c>
      <c r="E3252" s="3">
        <v>44842</v>
      </c>
      <c r="F3252" s="3">
        <v>44842</v>
      </c>
      <c r="G3252" s="2">
        <v>22026080</v>
      </c>
      <c r="H3252" s="2">
        <v>2235128</v>
      </c>
      <c r="I3252" s="2">
        <v>10013514103</v>
      </c>
      <c r="J3252" s="2" t="s">
        <v>173</v>
      </c>
      <c r="K3252" s="10">
        <v>1610</v>
      </c>
      <c r="L3252" s="10">
        <v>0</v>
      </c>
      <c r="M3252" s="10">
        <v>1610</v>
      </c>
      <c r="N3252" s="10">
        <v>1610</v>
      </c>
      <c r="O3252" s="10">
        <f>Table1[[#This Row],[NET Amount]]-Table1[[#This Row],[Paid Amount]]</f>
        <v>0</v>
      </c>
      <c r="P3252" s="2" t="s">
        <v>18</v>
      </c>
      <c r="Q3252" s="2" t="s">
        <v>54</v>
      </c>
      <c r="R3252" s="16">
        <f>(Table1[[#This Row],[NET Amount]]-Table1[[#This Row],[Total Outstanding Amount]])/Table1[[#This Row],[NET Amount]]</f>
        <v>1</v>
      </c>
      <c r="S3252" s="2" t="s">
        <v>97</v>
      </c>
    </row>
    <row r="3253" spans="1:19" x14ac:dyDescent="0.3">
      <c r="A3253" s="4">
        <v>3251</v>
      </c>
      <c r="B3253" s="2" t="s">
        <v>2253</v>
      </c>
      <c r="C3253" s="3">
        <v>44856</v>
      </c>
      <c r="D3253" s="3" t="str">
        <f>TEXT(Table1[[#This Row],[Admission Date]],"MMMM")</f>
        <v>October</v>
      </c>
      <c r="E3253" s="3">
        <v>44858</v>
      </c>
      <c r="F3253" s="3">
        <v>44858</v>
      </c>
      <c r="G3253" s="2">
        <v>22028432</v>
      </c>
      <c r="H3253" s="2">
        <v>2236990</v>
      </c>
      <c r="I3253" s="2">
        <v>1001805715</v>
      </c>
      <c r="J3253" s="2" t="s">
        <v>1557</v>
      </c>
      <c r="K3253" s="10">
        <v>119698</v>
      </c>
      <c r="L3253" s="10">
        <v>0</v>
      </c>
      <c r="M3253" s="10">
        <v>119698</v>
      </c>
      <c r="N3253" s="10">
        <v>500</v>
      </c>
      <c r="O3253" s="10">
        <f>Table1[[#This Row],[NET Amount]]-Table1[[#This Row],[Paid Amount]]</f>
        <v>119198</v>
      </c>
      <c r="P3253" s="2" t="s">
        <v>23</v>
      </c>
      <c r="Q3253" s="2" t="s">
        <v>24</v>
      </c>
      <c r="R3253" s="16">
        <f>(Table1[[#This Row],[NET Amount]]-Table1[[#This Row],[Total Outstanding Amount]])/Table1[[#This Row],[NET Amount]]</f>
        <v>4.1771792344065901E-3</v>
      </c>
      <c r="S3253" s="2" t="s">
        <v>39</v>
      </c>
    </row>
    <row r="3254" spans="1:19" x14ac:dyDescent="0.3">
      <c r="A3254" s="4">
        <v>3252</v>
      </c>
      <c r="B3254" s="2" t="s">
        <v>50</v>
      </c>
      <c r="C3254" s="3">
        <v>44857</v>
      </c>
      <c r="D3254" s="3" t="str">
        <f>TEXT(Table1[[#This Row],[Admission Date]],"MMMM")</f>
        <v>October</v>
      </c>
      <c r="E3254" s="3">
        <v>44857</v>
      </c>
      <c r="F3254" s="3">
        <v>44857</v>
      </c>
      <c r="G3254" s="2">
        <v>22028381</v>
      </c>
      <c r="H3254" s="2">
        <v>2237152</v>
      </c>
      <c r="I3254" s="2">
        <v>1000983811</v>
      </c>
      <c r="J3254" s="2" t="s">
        <v>564</v>
      </c>
      <c r="K3254" s="10">
        <v>2200</v>
      </c>
      <c r="L3254" s="10">
        <v>0</v>
      </c>
      <c r="M3254" s="10">
        <v>2200</v>
      </c>
      <c r="N3254" s="10">
        <v>440</v>
      </c>
      <c r="O3254" s="10">
        <f>Table1[[#This Row],[NET Amount]]-Table1[[#This Row],[Paid Amount]]</f>
        <v>1760</v>
      </c>
      <c r="P3254" s="2" t="s">
        <v>23</v>
      </c>
      <c r="Q3254" s="2" t="s">
        <v>147</v>
      </c>
      <c r="R3254" s="16">
        <f>(Table1[[#This Row],[NET Amount]]-Table1[[#This Row],[Total Outstanding Amount]])/Table1[[#This Row],[NET Amount]]</f>
        <v>0.2</v>
      </c>
      <c r="S3254" s="2" t="s">
        <v>97</v>
      </c>
    </row>
    <row r="3255" spans="1:19" x14ac:dyDescent="0.3">
      <c r="A3255" s="4">
        <v>3253</v>
      </c>
      <c r="B3255" s="2" t="s">
        <v>2251</v>
      </c>
      <c r="C3255" s="3">
        <v>44859</v>
      </c>
      <c r="D3255" s="3" t="str">
        <f>TEXT(Table1[[#This Row],[Admission Date]],"MMMM")</f>
        <v>October</v>
      </c>
      <c r="E3255" s="3">
        <v>44863</v>
      </c>
      <c r="F3255" s="3">
        <v>44863</v>
      </c>
      <c r="G3255" s="2">
        <v>22029069</v>
      </c>
      <c r="H3255" s="2">
        <v>2237389</v>
      </c>
      <c r="I3255" s="2">
        <v>1001806167</v>
      </c>
      <c r="J3255" s="2" t="s">
        <v>221</v>
      </c>
      <c r="K3255" s="10">
        <v>346574</v>
      </c>
      <c r="L3255" s="10">
        <v>458</v>
      </c>
      <c r="M3255" s="10">
        <v>346116</v>
      </c>
      <c r="N3255" s="10">
        <v>4351</v>
      </c>
      <c r="O3255" s="10">
        <f>Table1[[#This Row],[NET Amount]]-Table1[[#This Row],[Paid Amount]]</f>
        <v>341765</v>
      </c>
      <c r="P3255" s="2" t="s">
        <v>23</v>
      </c>
      <c r="Q3255" s="2" t="s">
        <v>30</v>
      </c>
      <c r="R3255" s="16">
        <f>(Table1[[#This Row],[NET Amount]]-Table1[[#This Row],[Total Outstanding Amount]])/Table1[[#This Row],[NET Amount]]</f>
        <v>1.2570929977233067E-2</v>
      </c>
      <c r="S3255" s="2" t="s">
        <v>201</v>
      </c>
    </row>
    <row r="3256" spans="1:19" x14ac:dyDescent="0.3">
      <c r="A3256" s="4">
        <v>3254</v>
      </c>
      <c r="B3256" s="2" t="s">
        <v>126</v>
      </c>
      <c r="C3256" s="3">
        <v>44853</v>
      </c>
      <c r="D3256" s="3" t="str">
        <f>TEXT(Table1[[#This Row],[Admission Date]],"MMMM")</f>
        <v>October</v>
      </c>
      <c r="E3256" s="3">
        <v>44857</v>
      </c>
      <c r="F3256" s="3">
        <v>44857</v>
      </c>
      <c r="G3256" s="2">
        <v>22028352</v>
      </c>
      <c r="H3256" s="2">
        <v>2236673</v>
      </c>
      <c r="I3256" s="2">
        <v>10013256367</v>
      </c>
      <c r="J3256" s="2" t="s">
        <v>1902</v>
      </c>
      <c r="K3256" s="10">
        <v>126626</v>
      </c>
      <c r="L3256" s="10">
        <v>15080</v>
      </c>
      <c r="M3256" s="10">
        <v>111546</v>
      </c>
      <c r="N3256" s="10">
        <v>27697</v>
      </c>
      <c r="O3256" s="10">
        <f>Table1[[#This Row],[NET Amount]]-Table1[[#This Row],[Paid Amount]]</f>
        <v>83849</v>
      </c>
      <c r="P3256" s="2" t="s">
        <v>23</v>
      </c>
      <c r="Q3256" s="2" t="s">
        <v>30</v>
      </c>
      <c r="R3256" s="16">
        <f>(Table1[[#This Row],[NET Amount]]-Table1[[#This Row],[Total Outstanding Amount]])/Table1[[#This Row],[NET Amount]]</f>
        <v>0.24830114930163341</v>
      </c>
      <c r="S3256" s="2" t="s">
        <v>20</v>
      </c>
    </row>
    <row r="3257" spans="1:19" x14ac:dyDescent="0.3">
      <c r="A3257" s="4">
        <v>3255</v>
      </c>
      <c r="B3257" s="2" t="s">
        <v>25</v>
      </c>
      <c r="C3257" s="3">
        <v>44854</v>
      </c>
      <c r="D3257" s="3" t="str">
        <f>TEXT(Table1[[#This Row],[Admission Date]],"MMMM")</f>
        <v>October</v>
      </c>
      <c r="E3257" s="3">
        <v>44856</v>
      </c>
      <c r="F3257" s="3">
        <v>44856</v>
      </c>
      <c r="G3257" s="2">
        <v>22028137</v>
      </c>
      <c r="H3257" s="2">
        <v>2236849</v>
      </c>
      <c r="I3257" s="2">
        <v>10013543954</v>
      </c>
      <c r="J3257" s="2" t="s">
        <v>1903</v>
      </c>
      <c r="K3257" s="10">
        <v>62957</v>
      </c>
      <c r="L3257" s="10">
        <v>13706</v>
      </c>
      <c r="M3257" s="10">
        <v>49251</v>
      </c>
      <c r="N3257" s="10">
        <v>49251</v>
      </c>
      <c r="O3257" s="10">
        <f>Table1[[#This Row],[NET Amount]]-Table1[[#This Row],[Paid Amount]]</f>
        <v>0</v>
      </c>
      <c r="P3257" s="2" t="s">
        <v>18</v>
      </c>
      <c r="Q3257" s="2" t="s">
        <v>24</v>
      </c>
      <c r="R3257" s="16">
        <f>(Table1[[#This Row],[NET Amount]]-Table1[[#This Row],[Total Outstanding Amount]])/Table1[[#This Row],[NET Amount]]</f>
        <v>1</v>
      </c>
      <c r="S3257" s="2" t="s">
        <v>39</v>
      </c>
    </row>
    <row r="3258" spans="1:19" x14ac:dyDescent="0.3">
      <c r="A3258" s="4">
        <v>3256</v>
      </c>
      <c r="B3258" s="2" t="s">
        <v>25</v>
      </c>
      <c r="C3258" s="3">
        <v>44837</v>
      </c>
      <c r="D3258" s="3" t="str">
        <f>TEXT(Table1[[#This Row],[Admission Date]],"MMMM")</f>
        <v>October</v>
      </c>
      <c r="E3258" s="3">
        <v>44837</v>
      </c>
      <c r="F3258" s="3">
        <v>44837</v>
      </c>
      <c r="G3258" s="2">
        <v>22025429</v>
      </c>
      <c r="H3258" s="2">
        <v>2234417</v>
      </c>
      <c r="I3258" s="2">
        <v>10013541362</v>
      </c>
      <c r="J3258" s="2" t="s">
        <v>1904</v>
      </c>
      <c r="K3258" s="10">
        <v>14000</v>
      </c>
      <c r="L3258" s="10">
        <v>0</v>
      </c>
      <c r="M3258" s="10">
        <v>14000</v>
      </c>
      <c r="N3258" s="10">
        <v>14000</v>
      </c>
      <c r="O3258" s="10">
        <f>Table1[[#This Row],[NET Amount]]-Table1[[#This Row],[Paid Amount]]</f>
        <v>0</v>
      </c>
      <c r="P3258" s="2" t="s">
        <v>18</v>
      </c>
      <c r="Q3258" s="2" t="s">
        <v>54</v>
      </c>
      <c r="R3258" s="16">
        <f>(Table1[[#This Row],[NET Amount]]-Table1[[#This Row],[Total Outstanding Amount]])/Table1[[#This Row],[NET Amount]]</f>
        <v>1</v>
      </c>
      <c r="S3258" s="2" t="s">
        <v>39</v>
      </c>
    </row>
    <row r="3259" spans="1:19" x14ac:dyDescent="0.3">
      <c r="A3259" s="4">
        <v>3257</v>
      </c>
      <c r="B3259" s="2" t="s">
        <v>25</v>
      </c>
      <c r="C3259" s="3">
        <v>44840</v>
      </c>
      <c r="D3259" s="3" t="str">
        <f>TEXT(Table1[[#This Row],[Admission Date]],"MMMM")</f>
        <v>October</v>
      </c>
      <c r="E3259" s="3">
        <v>44840</v>
      </c>
      <c r="F3259" s="3">
        <v>44840</v>
      </c>
      <c r="G3259" s="2">
        <v>22025854</v>
      </c>
      <c r="H3259" s="2">
        <v>2234856</v>
      </c>
      <c r="I3259" s="2">
        <v>10013513064</v>
      </c>
      <c r="J3259" s="2" t="s">
        <v>563</v>
      </c>
      <c r="K3259" s="10">
        <v>2844</v>
      </c>
      <c r="L3259" s="10">
        <v>268</v>
      </c>
      <c r="M3259" s="10">
        <v>2576</v>
      </c>
      <c r="N3259" s="10">
        <v>2576</v>
      </c>
      <c r="O3259" s="10">
        <f>Table1[[#This Row],[NET Amount]]-Table1[[#This Row],[Paid Amount]]</f>
        <v>0</v>
      </c>
      <c r="P3259" s="2" t="s">
        <v>18</v>
      </c>
      <c r="Q3259" s="2" t="s">
        <v>54</v>
      </c>
      <c r="R3259" s="16">
        <f>(Table1[[#This Row],[NET Amount]]-Table1[[#This Row],[Total Outstanding Amount]])/Table1[[#This Row],[NET Amount]]</f>
        <v>1</v>
      </c>
      <c r="S3259" s="2" t="s">
        <v>97</v>
      </c>
    </row>
    <row r="3260" spans="1:19" x14ac:dyDescent="0.3">
      <c r="A3260" s="4">
        <v>3258</v>
      </c>
      <c r="B3260" s="2" t="s">
        <v>149</v>
      </c>
      <c r="C3260" s="3">
        <v>44840</v>
      </c>
      <c r="D3260" s="3" t="str">
        <f>TEXT(Table1[[#This Row],[Admission Date]],"MMMM")</f>
        <v>October</v>
      </c>
      <c r="E3260" s="3">
        <v>44840</v>
      </c>
      <c r="F3260" s="3">
        <v>44840</v>
      </c>
      <c r="G3260" s="2">
        <v>22025901</v>
      </c>
      <c r="H3260" s="2">
        <v>2234920</v>
      </c>
      <c r="I3260" s="2">
        <v>10013541394</v>
      </c>
      <c r="J3260" s="2" t="s">
        <v>1905</v>
      </c>
      <c r="K3260" s="10">
        <v>2240</v>
      </c>
      <c r="L3260" s="10">
        <v>0</v>
      </c>
      <c r="M3260" s="10">
        <v>2240</v>
      </c>
      <c r="N3260" s="10">
        <v>2240</v>
      </c>
      <c r="O3260" s="10">
        <f>Table1[[#This Row],[NET Amount]]-Table1[[#This Row],[Paid Amount]]</f>
        <v>0</v>
      </c>
      <c r="P3260" s="2" t="s">
        <v>18</v>
      </c>
      <c r="Q3260" s="2" t="s">
        <v>54</v>
      </c>
      <c r="R3260" s="16">
        <f>(Table1[[#This Row],[NET Amount]]-Table1[[#This Row],[Total Outstanding Amount]])/Table1[[#This Row],[NET Amount]]</f>
        <v>1</v>
      </c>
      <c r="S3260" s="2" t="s">
        <v>97</v>
      </c>
    </row>
    <row r="3261" spans="1:19" x14ac:dyDescent="0.3">
      <c r="A3261" s="4">
        <v>3259</v>
      </c>
      <c r="B3261" s="2" t="s">
        <v>139</v>
      </c>
      <c r="C3261" s="3">
        <v>44840</v>
      </c>
      <c r="D3261" s="3" t="str">
        <f>TEXT(Table1[[#This Row],[Admission Date]],"MMMM")</f>
        <v>October</v>
      </c>
      <c r="E3261" s="3">
        <v>44840</v>
      </c>
      <c r="F3261" s="3">
        <v>44840</v>
      </c>
      <c r="G3261" s="2">
        <v>22025919</v>
      </c>
      <c r="H3261" s="2">
        <v>2234951</v>
      </c>
      <c r="I3261" s="2">
        <v>10013353354</v>
      </c>
      <c r="J3261" s="2" t="s">
        <v>374</v>
      </c>
      <c r="K3261" s="10">
        <v>2200</v>
      </c>
      <c r="L3261" s="10">
        <v>0</v>
      </c>
      <c r="M3261" s="10">
        <v>2200</v>
      </c>
      <c r="N3261" s="10">
        <v>220</v>
      </c>
      <c r="O3261" s="10">
        <f>Table1[[#This Row],[NET Amount]]-Table1[[#This Row],[Paid Amount]]</f>
        <v>1980</v>
      </c>
      <c r="P3261" s="2" t="s">
        <v>23</v>
      </c>
      <c r="Q3261" s="2" t="s">
        <v>147</v>
      </c>
      <c r="R3261" s="16">
        <f>(Table1[[#This Row],[NET Amount]]-Table1[[#This Row],[Total Outstanding Amount]])/Table1[[#This Row],[NET Amount]]</f>
        <v>0.1</v>
      </c>
      <c r="S3261" s="2" t="s">
        <v>97</v>
      </c>
    </row>
    <row r="3262" spans="1:19" x14ac:dyDescent="0.3">
      <c r="A3262" s="4">
        <v>3260</v>
      </c>
      <c r="B3262" s="2" t="s">
        <v>25</v>
      </c>
      <c r="C3262" s="3">
        <v>44856</v>
      </c>
      <c r="D3262" s="3" t="str">
        <f>TEXT(Table1[[#This Row],[Admission Date]],"MMMM")</f>
        <v>October</v>
      </c>
      <c r="E3262" s="3">
        <v>44856</v>
      </c>
      <c r="F3262" s="3">
        <v>44856</v>
      </c>
      <c r="G3262" s="2">
        <v>22028223</v>
      </c>
      <c r="H3262" s="2">
        <v>2237045</v>
      </c>
      <c r="I3262" s="2">
        <v>10013230754</v>
      </c>
      <c r="J3262" s="2" t="s">
        <v>102</v>
      </c>
      <c r="K3262" s="10">
        <v>4990</v>
      </c>
      <c r="L3262" s="10">
        <v>1452</v>
      </c>
      <c r="M3262" s="10">
        <v>3538</v>
      </c>
      <c r="N3262" s="10">
        <v>3538</v>
      </c>
      <c r="O3262" s="10">
        <f>Table1[[#This Row],[NET Amount]]-Table1[[#This Row],[Paid Amount]]</f>
        <v>0</v>
      </c>
      <c r="P3262" s="2" t="s">
        <v>18</v>
      </c>
      <c r="Q3262" s="2" t="s">
        <v>54</v>
      </c>
      <c r="R3262" s="16">
        <f>(Table1[[#This Row],[NET Amount]]-Table1[[#This Row],[Total Outstanding Amount]])/Table1[[#This Row],[NET Amount]]</f>
        <v>1</v>
      </c>
      <c r="S3262" s="2" t="s">
        <v>97</v>
      </c>
    </row>
    <row r="3263" spans="1:19" x14ac:dyDescent="0.3">
      <c r="A3263" s="4">
        <v>3261</v>
      </c>
      <c r="B3263" s="2" t="s">
        <v>25</v>
      </c>
      <c r="C3263" s="3">
        <v>44832</v>
      </c>
      <c r="D3263" s="3" t="str">
        <f>TEXT(Table1[[#This Row],[Admission Date]],"MMMM")</f>
        <v>September</v>
      </c>
      <c r="E3263" s="3">
        <v>44835</v>
      </c>
      <c r="F3263" s="3">
        <v>44835</v>
      </c>
      <c r="G3263" s="2">
        <v>22025160</v>
      </c>
      <c r="H3263" s="2">
        <v>2233793</v>
      </c>
      <c r="I3263" s="2">
        <v>10013252894</v>
      </c>
      <c r="J3263" s="2" t="s">
        <v>1906</v>
      </c>
      <c r="K3263" s="10">
        <v>81936</v>
      </c>
      <c r="L3263" s="10">
        <v>11438</v>
      </c>
      <c r="M3263" s="10">
        <v>70498</v>
      </c>
      <c r="N3263" s="10">
        <v>70498</v>
      </c>
      <c r="O3263" s="10">
        <f>Table1[[#This Row],[NET Amount]]-Table1[[#This Row],[Paid Amount]]</f>
        <v>0</v>
      </c>
      <c r="P3263" s="2" t="s">
        <v>18</v>
      </c>
      <c r="Q3263" s="2" t="s">
        <v>24</v>
      </c>
      <c r="R3263" s="16">
        <f>(Table1[[#This Row],[NET Amount]]-Table1[[#This Row],[Total Outstanding Amount]])/Table1[[#This Row],[NET Amount]]</f>
        <v>1</v>
      </c>
      <c r="S3263" s="2" t="s">
        <v>39</v>
      </c>
    </row>
    <row r="3264" spans="1:19" x14ac:dyDescent="0.3">
      <c r="A3264" s="4">
        <v>3262</v>
      </c>
      <c r="B3264" s="2" t="s">
        <v>75</v>
      </c>
      <c r="C3264" s="3">
        <v>44832</v>
      </c>
      <c r="D3264" s="3" t="str">
        <f>TEXT(Table1[[#This Row],[Admission Date]],"MMMM")</f>
        <v>September</v>
      </c>
      <c r="E3264" s="3">
        <v>44835</v>
      </c>
      <c r="F3264" s="3">
        <v>44835</v>
      </c>
      <c r="G3264" s="2">
        <v>22025218</v>
      </c>
      <c r="H3264" s="2">
        <v>2233828</v>
      </c>
      <c r="I3264" s="2">
        <v>10013261069</v>
      </c>
      <c r="J3264" s="2" t="s">
        <v>1907</v>
      </c>
      <c r="K3264" s="10">
        <v>22668</v>
      </c>
      <c r="L3264" s="10">
        <v>0</v>
      </c>
      <c r="M3264" s="10">
        <v>22668</v>
      </c>
      <c r="N3264" s="10">
        <v>2763</v>
      </c>
      <c r="O3264" s="10">
        <f>Table1[[#This Row],[NET Amount]]-Table1[[#This Row],[Paid Amount]]</f>
        <v>19905</v>
      </c>
      <c r="P3264" s="2" t="s">
        <v>23</v>
      </c>
      <c r="Q3264" s="2" t="s">
        <v>24</v>
      </c>
      <c r="R3264" s="16">
        <f>(Table1[[#This Row],[NET Amount]]-Table1[[#This Row],[Total Outstanding Amount]])/Table1[[#This Row],[NET Amount]]</f>
        <v>0.12188988883006882</v>
      </c>
      <c r="S3264" s="2" t="s">
        <v>39</v>
      </c>
    </row>
    <row r="3265" spans="1:19" x14ac:dyDescent="0.3">
      <c r="A3265" s="4">
        <v>3263</v>
      </c>
      <c r="B3265" s="2" t="s">
        <v>126</v>
      </c>
      <c r="C3265" s="3">
        <v>44836</v>
      </c>
      <c r="D3265" s="3" t="str">
        <f>TEXT(Table1[[#This Row],[Admission Date]],"MMMM")</f>
        <v>October</v>
      </c>
      <c r="E3265" s="3">
        <v>44838</v>
      </c>
      <c r="F3265" s="3">
        <v>44838</v>
      </c>
      <c r="G3265" s="2">
        <v>22025521</v>
      </c>
      <c r="H3265" s="2">
        <v>2234299</v>
      </c>
      <c r="I3265" s="2">
        <v>10013491876</v>
      </c>
      <c r="J3265" s="2" t="s">
        <v>1908</v>
      </c>
      <c r="K3265" s="10">
        <v>58068</v>
      </c>
      <c r="L3265" s="10">
        <v>7876</v>
      </c>
      <c r="M3265" s="10">
        <v>50192</v>
      </c>
      <c r="N3265" s="10">
        <v>50192</v>
      </c>
      <c r="O3265" s="10">
        <f>Table1[[#This Row],[NET Amount]]-Table1[[#This Row],[Paid Amount]]</f>
        <v>0</v>
      </c>
      <c r="P3265" s="2" t="s">
        <v>18</v>
      </c>
      <c r="Q3265" s="2" t="s">
        <v>30</v>
      </c>
      <c r="R3265" s="16">
        <f>(Table1[[#This Row],[NET Amount]]-Table1[[#This Row],[Total Outstanding Amount]])/Table1[[#This Row],[NET Amount]]</f>
        <v>1</v>
      </c>
      <c r="S3265" s="2" t="s">
        <v>37</v>
      </c>
    </row>
    <row r="3266" spans="1:19" x14ac:dyDescent="0.3">
      <c r="A3266" s="4">
        <v>3264</v>
      </c>
      <c r="B3266" s="2" t="s">
        <v>2256</v>
      </c>
      <c r="C3266" s="3">
        <v>44845</v>
      </c>
      <c r="D3266" s="3" t="str">
        <f>TEXT(Table1[[#This Row],[Admission Date]],"MMMM")</f>
        <v>October</v>
      </c>
      <c r="E3266" s="3">
        <v>44845</v>
      </c>
      <c r="F3266" s="3">
        <v>44845</v>
      </c>
      <c r="G3266" s="2">
        <v>22026623</v>
      </c>
      <c r="H3266" s="2">
        <v>2235584</v>
      </c>
      <c r="I3266" s="2">
        <v>1001658205</v>
      </c>
      <c r="J3266" s="2" t="s">
        <v>238</v>
      </c>
      <c r="K3266" s="10">
        <v>2950</v>
      </c>
      <c r="L3266" s="10">
        <v>0</v>
      </c>
      <c r="M3266" s="10">
        <v>2950</v>
      </c>
      <c r="N3266" s="10">
        <v>295</v>
      </c>
      <c r="O3266" s="10">
        <f>Table1[[#This Row],[NET Amount]]-Table1[[#This Row],[Paid Amount]]</f>
        <v>2655</v>
      </c>
      <c r="P3266" s="2" t="s">
        <v>23</v>
      </c>
      <c r="Q3266" s="2" t="s">
        <v>54</v>
      </c>
      <c r="R3266" s="16">
        <f>(Table1[[#This Row],[NET Amount]]-Table1[[#This Row],[Total Outstanding Amount]])/Table1[[#This Row],[NET Amount]]</f>
        <v>0.1</v>
      </c>
      <c r="S3266" s="2" t="s">
        <v>97</v>
      </c>
    </row>
    <row r="3267" spans="1:19" x14ac:dyDescent="0.3">
      <c r="A3267" s="4">
        <v>3265</v>
      </c>
      <c r="B3267" s="2" t="s">
        <v>25</v>
      </c>
      <c r="C3267" s="3">
        <v>44831</v>
      </c>
      <c r="D3267" s="3" t="str">
        <f>TEXT(Table1[[#This Row],[Admission Date]],"MMMM")</f>
        <v>September</v>
      </c>
      <c r="E3267" s="3">
        <v>44842</v>
      </c>
      <c r="F3267" s="3">
        <v>44842</v>
      </c>
      <c r="G3267" s="2">
        <v>22026193</v>
      </c>
      <c r="H3267" s="2">
        <v>2233654</v>
      </c>
      <c r="I3267" s="2">
        <v>10013470495</v>
      </c>
      <c r="J3267" s="2" t="s">
        <v>1909</v>
      </c>
      <c r="K3267" s="10">
        <v>370965</v>
      </c>
      <c r="L3267" s="10">
        <v>32850</v>
      </c>
      <c r="M3267" s="10">
        <v>338115</v>
      </c>
      <c r="N3267" s="10">
        <v>338115</v>
      </c>
      <c r="O3267" s="10">
        <f>Table1[[#This Row],[NET Amount]]-Table1[[#This Row],[Paid Amount]]</f>
        <v>0</v>
      </c>
      <c r="P3267" s="2" t="s">
        <v>18</v>
      </c>
      <c r="Q3267" s="2" t="s">
        <v>30</v>
      </c>
      <c r="R3267" s="16">
        <f>(Table1[[#This Row],[NET Amount]]-Table1[[#This Row],[Total Outstanding Amount]])/Table1[[#This Row],[NET Amount]]</f>
        <v>1</v>
      </c>
      <c r="S3267" s="2" t="s">
        <v>27</v>
      </c>
    </row>
    <row r="3268" spans="1:19" x14ac:dyDescent="0.3">
      <c r="A3268" s="4">
        <v>3266</v>
      </c>
      <c r="B3268" s="2" t="s">
        <v>35</v>
      </c>
      <c r="C3268" s="3">
        <v>44863</v>
      </c>
      <c r="D3268" s="3" t="str">
        <f>TEXT(Table1[[#This Row],[Admission Date]],"MMMM")</f>
        <v>October</v>
      </c>
      <c r="E3268" s="3">
        <v>44863</v>
      </c>
      <c r="F3268" s="3">
        <v>44863</v>
      </c>
      <c r="G3268" s="2">
        <v>22028997</v>
      </c>
      <c r="H3268" s="2">
        <v>2237911</v>
      </c>
      <c r="I3268" s="2">
        <v>10013514103</v>
      </c>
      <c r="J3268" s="2" t="s">
        <v>173</v>
      </c>
      <c r="K3268" s="10">
        <v>1610</v>
      </c>
      <c r="L3268" s="10">
        <v>0</v>
      </c>
      <c r="M3268" s="10">
        <v>1610</v>
      </c>
      <c r="N3268" s="10">
        <v>1610</v>
      </c>
      <c r="O3268" s="10">
        <f>Table1[[#This Row],[NET Amount]]-Table1[[#This Row],[Paid Amount]]</f>
        <v>0</v>
      </c>
      <c r="P3268" s="2" t="s">
        <v>18</v>
      </c>
      <c r="Q3268" s="2" t="s">
        <v>54</v>
      </c>
      <c r="R3268" s="16">
        <f>(Table1[[#This Row],[NET Amount]]-Table1[[#This Row],[Total Outstanding Amount]])/Table1[[#This Row],[NET Amount]]</f>
        <v>1</v>
      </c>
      <c r="S3268" s="2" t="s">
        <v>97</v>
      </c>
    </row>
    <row r="3269" spans="1:19" x14ac:dyDescent="0.3">
      <c r="A3269" s="4">
        <v>3267</v>
      </c>
      <c r="B3269" s="2" t="s">
        <v>25</v>
      </c>
      <c r="C3269" s="3">
        <v>44863</v>
      </c>
      <c r="D3269" s="3" t="str">
        <f>TEXT(Table1[[#This Row],[Admission Date]],"MMMM")</f>
        <v>October</v>
      </c>
      <c r="E3269" s="3">
        <v>44863</v>
      </c>
      <c r="F3269" s="3">
        <v>44863</v>
      </c>
      <c r="G3269" s="2">
        <v>22029000</v>
      </c>
      <c r="H3269" s="2">
        <v>2237910</v>
      </c>
      <c r="I3269" s="2">
        <v>1001575947</v>
      </c>
      <c r="J3269" s="2" t="s">
        <v>919</v>
      </c>
      <c r="K3269" s="10">
        <v>2844</v>
      </c>
      <c r="L3269" s="10">
        <v>286</v>
      </c>
      <c r="M3269" s="10">
        <v>2558</v>
      </c>
      <c r="N3269" s="10">
        <v>2558</v>
      </c>
      <c r="O3269" s="10">
        <f>Table1[[#This Row],[NET Amount]]-Table1[[#This Row],[Paid Amount]]</f>
        <v>0</v>
      </c>
      <c r="P3269" s="2" t="s">
        <v>18</v>
      </c>
      <c r="Q3269" s="2" t="s">
        <v>54</v>
      </c>
      <c r="R3269" s="16">
        <f>(Table1[[#This Row],[NET Amount]]-Table1[[#This Row],[Total Outstanding Amount]])/Table1[[#This Row],[NET Amount]]</f>
        <v>1</v>
      </c>
      <c r="S3269" s="2" t="s">
        <v>97</v>
      </c>
    </row>
    <row r="3270" spans="1:19" x14ac:dyDescent="0.3">
      <c r="A3270" s="4">
        <v>3268</v>
      </c>
      <c r="B3270" s="2" t="s">
        <v>2256</v>
      </c>
      <c r="C3270" s="3">
        <v>44860</v>
      </c>
      <c r="D3270" s="3" t="str">
        <f>TEXT(Table1[[#This Row],[Admission Date]],"MMMM")</f>
        <v>October</v>
      </c>
      <c r="E3270" s="3">
        <v>44865</v>
      </c>
      <c r="F3270" s="3">
        <v>44865</v>
      </c>
      <c r="G3270" s="2">
        <v>22029313</v>
      </c>
      <c r="H3270" s="2">
        <v>2237583</v>
      </c>
      <c r="I3270" s="2">
        <v>1001806438</v>
      </c>
      <c r="J3270" s="2" t="s">
        <v>1910</v>
      </c>
      <c r="K3270" s="10">
        <v>57517</v>
      </c>
      <c r="L3270" s="10">
        <v>6807</v>
      </c>
      <c r="M3270" s="10">
        <v>50710</v>
      </c>
      <c r="N3270" s="10">
        <v>5073</v>
      </c>
      <c r="O3270" s="10">
        <f>Table1[[#This Row],[NET Amount]]-Table1[[#This Row],[Paid Amount]]</f>
        <v>45637</v>
      </c>
      <c r="P3270" s="2" t="s">
        <v>23</v>
      </c>
      <c r="Q3270" s="2" t="s">
        <v>42</v>
      </c>
      <c r="R3270" s="16">
        <f>(Table1[[#This Row],[NET Amount]]-Table1[[#This Row],[Total Outstanding Amount]])/Table1[[#This Row],[NET Amount]]</f>
        <v>0.10003943995267206</v>
      </c>
      <c r="S3270" s="2" t="s">
        <v>20</v>
      </c>
    </row>
    <row r="3271" spans="1:19" x14ac:dyDescent="0.3">
      <c r="A3271" s="4">
        <v>3269</v>
      </c>
      <c r="B3271" s="2" t="s">
        <v>28</v>
      </c>
      <c r="C3271" s="3">
        <v>44835</v>
      </c>
      <c r="D3271" s="3" t="str">
        <f>TEXT(Table1[[#This Row],[Admission Date]],"MMMM")</f>
        <v>October</v>
      </c>
      <c r="E3271" s="3">
        <v>44839</v>
      </c>
      <c r="F3271" s="3">
        <v>44839</v>
      </c>
      <c r="G3271" s="2">
        <v>22025673</v>
      </c>
      <c r="H3271" s="2">
        <v>2234262</v>
      </c>
      <c r="I3271" s="2">
        <v>10013259029</v>
      </c>
      <c r="J3271" s="2" t="s">
        <v>1911</v>
      </c>
      <c r="K3271" s="10">
        <v>49225</v>
      </c>
      <c r="L3271" s="10">
        <v>3205</v>
      </c>
      <c r="M3271" s="10">
        <v>46020</v>
      </c>
      <c r="N3271" s="10">
        <v>1851</v>
      </c>
      <c r="O3271" s="10">
        <f>Table1[[#This Row],[NET Amount]]-Table1[[#This Row],[Paid Amount]]</f>
        <v>44169</v>
      </c>
      <c r="P3271" s="2" t="s">
        <v>23</v>
      </c>
      <c r="Q3271" s="2" t="s">
        <v>24</v>
      </c>
      <c r="R3271" s="16">
        <f>(Table1[[#This Row],[NET Amount]]-Table1[[#This Row],[Total Outstanding Amount]])/Table1[[#This Row],[NET Amount]]</f>
        <v>4.0221642764015644E-2</v>
      </c>
      <c r="S3271" s="2" t="s">
        <v>20</v>
      </c>
    </row>
    <row r="3272" spans="1:19" x14ac:dyDescent="0.3">
      <c r="A3272" s="4">
        <v>3270</v>
      </c>
      <c r="B3272" s="2" t="s">
        <v>584</v>
      </c>
      <c r="C3272" s="3">
        <v>44856</v>
      </c>
      <c r="D3272" s="3" t="str">
        <f>TEXT(Table1[[#This Row],[Admission Date]],"MMMM")</f>
        <v>October</v>
      </c>
      <c r="E3272" s="3">
        <v>44856</v>
      </c>
      <c r="F3272" s="3">
        <v>44856</v>
      </c>
      <c r="G3272" s="2">
        <v>22028235</v>
      </c>
      <c r="H3272" s="2">
        <v>2237034</v>
      </c>
      <c r="I3272" s="2">
        <v>10013376566</v>
      </c>
      <c r="J3272" s="2" t="s">
        <v>585</v>
      </c>
      <c r="K3272" s="10">
        <v>2200</v>
      </c>
      <c r="L3272" s="10">
        <v>0</v>
      </c>
      <c r="M3272" s="10">
        <v>2200</v>
      </c>
      <c r="N3272" s="10">
        <v>440</v>
      </c>
      <c r="O3272" s="10">
        <f>Table1[[#This Row],[NET Amount]]-Table1[[#This Row],[Paid Amount]]</f>
        <v>1760</v>
      </c>
      <c r="P3272" s="2" t="s">
        <v>23</v>
      </c>
      <c r="Q3272" s="2" t="s">
        <v>147</v>
      </c>
      <c r="R3272" s="16">
        <f>(Table1[[#This Row],[NET Amount]]-Table1[[#This Row],[Total Outstanding Amount]])/Table1[[#This Row],[NET Amount]]</f>
        <v>0.2</v>
      </c>
      <c r="S3272" s="2" t="s">
        <v>97</v>
      </c>
    </row>
    <row r="3273" spans="1:19" x14ac:dyDescent="0.3">
      <c r="A3273" s="4">
        <v>3271</v>
      </c>
      <c r="B3273" s="2" t="s">
        <v>2251</v>
      </c>
      <c r="C3273" s="3">
        <v>44854</v>
      </c>
      <c r="D3273" s="3" t="str">
        <f>TEXT(Table1[[#This Row],[Admission Date]],"MMMM")</f>
        <v>October</v>
      </c>
      <c r="E3273" s="3">
        <v>44856</v>
      </c>
      <c r="F3273" s="3">
        <v>44856</v>
      </c>
      <c r="G3273" s="2">
        <v>22028258</v>
      </c>
      <c r="H3273" s="2">
        <v>2236846</v>
      </c>
      <c r="I3273" s="2">
        <v>1001805524</v>
      </c>
      <c r="J3273" s="2" t="s">
        <v>1912</v>
      </c>
      <c r="K3273" s="10">
        <v>101931</v>
      </c>
      <c r="L3273" s="10">
        <v>0</v>
      </c>
      <c r="M3273" s="10">
        <v>101931</v>
      </c>
      <c r="N3273" s="10">
        <v>2350</v>
      </c>
      <c r="O3273" s="10">
        <f>Table1[[#This Row],[NET Amount]]-Table1[[#This Row],[Paid Amount]]</f>
        <v>99581</v>
      </c>
      <c r="P3273" s="2" t="s">
        <v>23</v>
      </c>
      <c r="Q3273" s="2" t="s">
        <v>42</v>
      </c>
      <c r="R3273" s="16">
        <f>(Table1[[#This Row],[NET Amount]]-Table1[[#This Row],[Total Outstanding Amount]])/Table1[[#This Row],[NET Amount]]</f>
        <v>2.3054811588231253E-2</v>
      </c>
      <c r="S3273" s="2" t="s">
        <v>201</v>
      </c>
    </row>
    <row r="3274" spans="1:19" x14ac:dyDescent="0.3">
      <c r="A3274" s="4">
        <v>3272</v>
      </c>
      <c r="B3274" s="2" t="s">
        <v>72</v>
      </c>
      <c r="C3274" s="3">
        <v>44848</v>
      </c>
      <c r="D3274" s="3" t="str">
        <f>TEXT(Table1[[#This Row],[Admission Date]],"MMMM")</f>
        <v>October</v>
      </c>
      <c r="E3274" s="3">
        <v>44857</v>
      </c>
      <c r="F3274" s="3">
        <v>44857</v>
      </c>
      <c r="G3274" s="2">
        <v>22028389</v>
      </c>
      <c r="H3274" s="2">
        <v>2235980</v>
      </c>
      <c r="I3274" s="2">
        <v>10013542496</v>
      </c>
      <c r="J3274" s="2" t="s">
        <v>1913</v>
      </c>
      <c r="K3274" s="10">
        <v>673698</v>
      </c>
      <c r="L3274" s="10">
        <v>22499</v>
      </c>
      <c r="M3274" s="10">
        <v>651199</v>
      </c>
      <c r="N3274" s="10">
        <v>32080</v>
      </c>
      <c r="O3274" s="10">
        <f>Table1[[#This Row],[NET Amount]]-Table1[[#This Row],[Paid Amount]]</f>
        <v>619119</v>
      </c>
      <c r="P3274" s="2" t="s">
        <v>23</v>
      </c>
      <c r="Q3274" s="2" t="s">
        <v>42</v>
      </c>
      <c r="R3274" s="16">
        <f>(Table1[[#This Row],[NET Amount]]-Table1[[#This Row],[Total Outstanding Amount]])/Table1[[#This Row],[NET Amount]]</f>
        <v>4.9262974912430764E-2</v>
      </c>
      <c r="S3274" s="2" t="s">
        <v>494</v>
      </c>
    </row>
    <row r="3275" spans="1:19" x14ac:dyDescent="0.3">
      <c r="A3275" s="4">
        <v>3273</v>
      </c>
      <c r="B3275" s="2" t="s">
        <v>25</v>
      </c>
      <c r="C3275" s="3">
        <v>44858</v>
      </c>
      <c r="D3275" s="3" t="str">
        <f>TEXT(Table1[[#This Row],[Admission Date]],"MMMM")</f>
        <v>October</v>
      </c>
      <c r="E3275" s="3">
        <v>44861</v>
      </c>
      <c r="F3275" s="3">
        <v>44861</v>
      </c>
      <c r="G3275" s="2">
        <v>22028739</v>
      </c>
      <c r="H3275" s="2">
        <v>2237243</v>
      </c>
      <c r="I3275" s="2">
        <v>10013544308</v>
      </c>
      <c r="J3275" s="2" t="s">
        <v>1914</v>
      </c>
      <c r="K3275" s="10">
        <v>149698</v>
      </c>
      <c r="L3275" s="10">
        <v>18087</v>
      </c>
      <c r="M3275" s="10">
        <v>131610</v>
      </c>
      <c r="N3275" s="10">
        <v>131610</v>
      </c>
      <c r="O3275" s="10">
        <f>Table1[[#This Row],[NET Amount]]-Table1[[#This Row],[Paid Amount]]</f>
        <v>0</v>
      </c>
      <c r="P3275" s="2" t="s">
        <v>18</v>
      </c>
      <c r="Q3275" s="2" t="s">
        <v>24</v>
      </c>
      <c r="R3275" s="16">
        <f>(Table1[[#This Row],[NET Amount]]-Table1[[#This Row],[Total Outstanding Amount]])/Table1[[#This Row],[NET Amount]]</f>
        <v>1</v>
      </c>
      <c r="S3275" s="2" t="s">
        <v>201</v>
      </c>
    </row>
    <row r="3276" spans="1:19" x14ac:dyDescent="0.3">
      <c r="A3276" s="4">
        <v>3274</v>
      </c>
      <c r="B3276" s="2" t="s">
        <v>126</v>
      </c>
      <c r="C3276" s="3">
        <v>44858</v>
      </c>
      <c r="D3276" s="3" t="str">
        <f>TEXT(Table1[[#This Row],[Admission Date]],"MMMM")</f>
        <v>October</v>
      </c>
      <c r="E3276" s="3">
        <v>44862</v>
      </c>
      <c r="F3276" s="3">
        <v>44862</v>
      </c>
      <c r="G3276" s="2">
        <v>22028913</v>
      </c>
      <c r="H3276" s="2">
        <v>2237246</v>
      </c>
      <c r="I3276" s="2">
        <v>10013544315</v>
      </c>
      <c r="J3276" s="2" t="s">
        <v>1915</v>
      </c>
      <c r="K3276" s="10">
        <v>103123</v>
      </c>
      <c r="L3276" s="10">
        <v>14286</v>
      </c>
      <c r="M3276" s="10">
        <v>88837</v>
      </c>
      <c r="N3276" s="10">
        <v>6583</v>
      </c>
      <c r="O3276" s="10">
        <f>Table1[[#This Row],[NET Amount]]-Table1[[#This Row],[Paid Amount]]</f>
        <v>82254</v>
      </c>
      <c r="P3276" s="2" t="s">
        <v>23</v>
      </c>
      <c r="Q3276" s="2" t="s">
        <v>104</v>
      </c>
      <c r="R3276" s="16">
        <f>(Table1[[#This Row],[NET Amount]]-Table1[[#This Row],[Total Outstanding Amount]])/Table1[[#This Row],[NET Amount]]</f>
        <v>7.4102007046613461E-2</v>
      </c>
      <c r="S3276" s="2" t="s">
        <v>65</v>
      </c>
    </row>
    <row r="3277" spans="1:19" x14ac:dyDescent="0.3">
      <c r="A3277" s="4">
        <v>3275</v>
      </c>
      <c r="B3277" s="2" t="s">
        <v>25</v>
      </c>
      <c r="C3277" s="3">
        <v>44849</v>
      </c>
      <c r="D3277" s="3" t="str">
        <f>TEXT(Table1[[#This Row],[Admission Date]],"MMMM")</f>
        <v>October</v>
      </c>
      <c r="E3277" s="3">
        <v>44849</v>
      </c>
      <c r="F3277" s="3">
        <v>44849</v>
      </c>
      <c r="G3277" s="2">
        <v>22027197</v>
      </c>
      <c r="H3277" s="2">
        <v>2236144</v>
      </c>
      <c r="I3277" s="2">
        <v>10013230754</v>
      </c>
      <c r="J3277" s="2" t="s">
        <v>102</v>
      </c>
      <c r="K3277" s="10">
        <v>4990</v>
      </c>
      <c r="L3277" s="10">
        <v>1715</v>
      </c>
      <c r="M3277" s="10">
        <v>3275</v>
      </c>
      <c r="N3277" s="10">
        <v>3275</v>
      </c>
      <c r="O3277" s="10">
        <f>Table1[[#This Row],[NET Amount]]-Table1[[#This Row],[Paid Amount]]</f>
        <v>0</v>
      </c>
      <c r="P3277" s="2" t="s">
        <v>18</v>
      </c>
      <c r="Q3277" s="2" t="s">
        <v>54</v>
      </c>
      <c r="R3277" s="16">
        <f>(Table1[[#This Row],[NET Amount]]-Table1[[#This Row],[Total Outstanding Amount]])/Table1[[#This Row],[NET Amount]]</f>
        <v>1</v>
      </c>
      <c r="S3277" s="2" t="s">
        <v>97</v>
      </c>
    </row>
    <row r="3278" spans="1:19" x14ac:dyDescent="0.3">
      <c r="A3278" s="4">
        <v>3276</v>
      </c>
      <c r="B3278" s="2" t="s">
        <v>35</v>
      </c>
      <c r="C3278" s="3">
        <v>44849</v>
      </c>
      <c r="D3278" s="3" t="str">
        <f>TEXT(Table1[[#This Row],[Admission Date]],"MMMM")</f>
        <v>October</v>
      </c>
      <c r="E3278" s="3">
        <v>44849</v>
      </c>
      <c r="F3278" s="3">
        <v>44849</v>
      </c>
      <c r="G3278" s="2">
        <v>22027200</v>
      </c>
      <c r="H3278" s="2">
        <v>2236128</v>
      </c>
      <c r="I3278" s="2">
        <v>1001644664</v>
      </c>
      <c r="J3278" s="2" t="s">
        <v>101</v>
      </c>
      <c r="K3278" s="10">
        <v>1610</v>
      </c>
      <c r="L3278" s="10">
        <v>0</v>
      </c>
      <c r="M3278" s="10">
        <v>1610</v>
      </c>
      <c r="N3278" s="10">
        <v>1610</v>
      </c>
      <c r="O3278" s="10">
        <f>Table1[[#This Row],[NET Amount]]-Table1[[#This Row],[Paid Amount]]</f>
        <v>0</v>
      </c>
      <c r="P3278" s="2" t="s">
        <v>18</v>
      </c>
      <c r="Q3278" s="2" t="s">
        <v>54</v>
      </c>
      <c r="R3278" s="16">
        <f>(Table1[[#This Row],[NET Amount]]-Table1[[#This Row],[Total Outstanding Amount]])/Table1[[#This Row],[NET Amount]]</f>
        <v>1</v>
      </c>
      <c r="S3278" s="2" t="s">
        <v>97</v>
      </c>
    </row>
    <row r="3279" spans="1:19" x14ac:dyDescent="0.3">
      <c r="A3279" s="4">
        <v>3277</v>
      </c>
      <c r="B3279" s="2" t="s">
        <v>126</v>
      </c>
      <c r="C3279" s="3">
        <v>44840</v>
      </c>
      <c r="D3279" s="3" t="str">
        <f>TEXT(Table1[[#This Row],[Admission Date]],"MMMM")</f>
        <v>October</v>
      </c>
      <c r="E3279" s="3">
        <v>44842</v>
      </c>
      <c r="F3279" s="3">
        <v>44842</v>
      </c>
      <c r="G3279" s="2">
        <v>22026139</v>
      </c>
      <c r="H3279" s="2">
        <v>2234814</v>
      </c>
      <c r="I3279" s="2">
        <v>10013531758</v>
      </c>
      <c r="J3279" s="2" t="s">
        <v>1916</v>
      </c>
      <c r="K3279" s="10">
        <v>119950</v>
      </c>
      <c r="L3279" s="10">
        <v>0</v>
      </c>
      <c r="M3279" s="10">
        <v>119950</v>
      </c>
      <c r="N3279" s="10">
        <v>99950</v>
      </c>
      <c r="O3279" s="10">
        <f>Table1[[#This Row],[NET Amount]]-Table1[[#This Row],[Paid Amount]]</f>
        <v>20000</v>
      </c>
      <c r="P3279" s="2" t="s">
        <v>23</v>
      </c>
      <c r="Q3279" s="2" t="s">
        <v>30</v>
      </c>
      <c r="R3279" s="16">
        <f>(Table1[[#This Row],[NET Amount]]-Table1[[#This Row],[Total Outstanding Amount]])/Table1[[#This Row],[NET Amount]]</f>
        <v>0.83326385994164232</v>
      </c>
      <c r="S3279" s="2" t="s">
        <v>27</v>
      </c>
    </row>
    <row r="3280" spans="1:19" x14ac:dyDescent="0.3">
      <c r="A3280" s="4">
        <v>3278</v>
      </c>
      <c r="B3280" s="2" t="s">
        <v>28</v>
      </c>
      <c r="C3280" s="3">
        <v>44859</v>
      </c>
      <c r="D3280" s="3" t="str">
        <f>TEXT(Table1[[#This Row],[Admission Date]],"MMMM")</f>
        <v>October</v>
      </c>
      <c r="E3280" s="3">
        <v>44862</v>
      </c>
      <c r="F3280" s="3">
        <v>44862</v>
      </c>
      <c r="G3280" s="2">
        <v>22028868</v>
      </c>
      <c r="H3280" s="2">
        <v>2237410</v>
      </c>
      <c r="I3280" s="2">
        <v>1001806183</v>
      </c>
      <c r="J3280" s="2" t="s">
        <v>1917</v>
      </c>
      <c r="K3280" s="10">
        <v>48625</v>
      </c>
      <c r="L3280" s="10">
        <v>4827</v>
      </c>
      <c r="M3280" s="10">
        <v>43798</v>
      </c>
      <c r="N3280" s="10">
        <v>3680</v>
      </c>
      <c r="O3280" s="10">
        <f>Table1[[#This Row],[NET Amount]]-Table1[[#This Row],[Paid Amount]]</f>
        <v>40118</v>
      </c>
      <c r="P3280" s="2" t="s">
        <v>23</v>
      </c>
      <c r="Q3280" s="2" t="s">
        <v>30</v>
      </c>
      <c r="R3280" s="16">
        <f>(Table1[[#This Row],[NET Amount]]-Table1[[#This Row],[Total Outstanding Amount]])/Table1[[#This Row],[NET Amount]]</f>
        <v>8.4022101465820356E-2</v>
      </c>
      <c r="S3280" s="2" t="s">
        <v>37</v>
      </c>
    </row>
    <row r="3281" spans="1:19" x14ac:dyDescent="0.3">
      <c r="A3281" s="4">
        <v>3279</v>
      </c>
      <c r="B3281" s="2" t="s">
        <v>25</v>
      </c>
      <c r="C3281" s="3">
        <v>44859</v>
      </c>
      <c r="D3281" s="3" t="str">
        <f>TEXT(Table1[[#This Row],[Admission Date]],"MMMM")</f>
        <v>October</v>
      </c>
      <c r="E3281" s="3">
        <v>44862</v>
      </c>
      <c r="F3281" s="3">
        <v>44862</v>
      </c>
      <c r="G3281" s="2">
        <v>22028914</v>
      </c>
      <c r="H3281" s="2">
        <v>2237419</v>
      </c>
      <c r="I3281" s="2">
        <v>10013544478</v>
      </c>
      <c r="J3281" s="2" t="s">
        <v>1918</v>
      </c>
      <c r="K3281" s="10">
        <v>66091</v>
      </c>
      <c r="L3281" s="10">
        <v>8897</v>
      </c>
      <c r="M3281" s="10">
        <v>57194</v>
      </c>
      <c r="N3281" s="10">
        <v>57194</v>
      </c>
      <c r="O3281" s="10">
        <f>Table1[[#This Row],[NET Amount]]-Table1[[#This Row],[Paid Amount]]</f>
        <v>0</v>
      </c>
      <c r="P3281" s="2" t="s">
        <v>18</v>
      </c>
      <c r="Q3281" s="2" t="s">
        <v>19</v>
      </c>
      <c r="R3281" s="16">
        <f>(Table1[[#This Row],[NET Amount]]-Table1[[#This Row],[Total Outstanding Amount]])/Table1[[#This Row],[NET Amount]]</f>
        <v>1</v>
      </c>
      <c r="S3281" s="2" t="s">
        <v>20</v>
      </c>
    </row>
    <row r="3282" spans="1:19" x14ac:dyDescent="0.3">
      <c r="A3282" s="4">
        <v>3280</v>
      </c>
      <c r="B3282" s="2" t="s">
        <v>407</v>
      </c>
      <c r="C3282" s="3">
        <v>44850</v>
      </c>
      <c r="D3282" s="3" t="str">
        <f>TEXT(Table1[[#This Row],[Admission Date]],"MMMM")</f>
        <v>October</v>
      </c>
      <c r="E3282" s="3">
        <v>44851</v>
      </c>
      <c r="F3282" s="3">
        <v>44851</v>
      </c>
      <c r="G3282" s="2">
        <v>22027419</v>
      </c>
      <c r="H3282" s="2">
        <v>2236223</v>
      </c>
      <c r="I3282" s="2">
        <v>1001440620</v>
      </c>
      <c r="J3282" s="2" t="s">
        <v>1919</v>
      </c>
      <c r="K3282" s="10">
        <v>202298</v>
      </c>
      <c r="L3282" s="10">
        <v>0</v>
      </c>
      <c r="M3282" s="10">
        <v>202298</v>
      </c>
      <c r="N3282" s="10">
        <v>24420</v>
      </c>
      <c r="O3282" s="10">
        <f>Table1[[#This Row],[NET Amount]]-Table1[[#This Row],[Paid Amount]]</f>
        <v>177878</v>
      </c>
      <c r="P3282" s="2" t="s">
        <v>23</v>
      </c>
      <c r="Q3282" s="2" t="s">
        <v>30</v>
      </c>
      <c r="R3282" s="16">
        <f>(Table1[[#This Row],[NET Amount]]-Table1[[#This Row],[Total Outstanding Amount]])/Table1[[#This Row],[NET Amount]]</f>
        <v>0.12071300754332717</v>
      </c>
      <c r="S3282" s="2" t="s">
        <v>39</v>
      </c>
    </row>
    <row r="3283" spans="1:19" x14ac:dyDescent="0.3">
      <c r="A3283" s="4">
        <v>3281</v>
      </c>
      <c r="B3283" s="2" t="s">
        <v>2254</v>
      </c>
      <c r="C3283" s="3">
        <v>44852</v>
      </c>
      <c r="D3283" s="3" t="str">
        <f>TEXT(Table1[[#This Row],[Admission Date]],"MMMM")</f>
        <v>October</v>
      </c>
      <c r="E3283" s="3">
        <v>44854</v>
      </c>
      <c r="F3283" s="3">
        <v>44854</v>
      </c>
      <c r="G3283" s="2">
        <v>22027868</v>
      </c>
      <c r="H3283" s="2">
        <v>2236489</v>
      </c>
      <c r="I3283" s="2">
        <v>1001689839</v>
      </c>
      <c r="J3283" s="2" t="s">
        <v>1920</v>
      </c>
      <c r="K3283" s="10">
        <v>24344</v>
      </c>
      <c r="L3283" s="10">
        <v>2014</v>
      </c>
      <c r="M3283" s="10">
        <v>22330</v>
      </c>
      <c r="N3283" s="10">
        <v>3200</v>
      </c>
      <c r="O3283" s="10">
        <f>Table1[[#This Row],[NET Amount]]-Table1[[#This Row],[Paid Amount]]</f>
        <v>19130</v>
      </c>
      <c r="P3283" s="2" t="s">
        <v>23</v>
      </c>
      <c r="Q3283" s="2" t="s">
        <v>24</v>
      </c>
      <c r="R3283" s="16">
        <f>(Table1[[#This Row],[NET Amount]]-Table1[[#This Row],[Total Outstanding Amount]])/Table1[[#This Row],[NET Amount]]</f>
        <v>0.14330497089117777</v>
      </c>
      <c r="S3283" s="2" t="s">
        <v>20</v>
      </c>
    </row>
    <row r="3284" spans="1:19" x14ac:dyDescent="0.3">
      <c r="A3284" s="4">
        <v>3282</v>
      </c>
      <c r="B3284" s="2" t="s">
        <v>75</v>
      </c>
      <c r="C3284" s="3">
        <v>44851</v>
      </c>
      <c r="D3284" s="3" t="str">
        <f>TEXT(Table1[[#This Row],[Admission Date]],"MMMM")</f>
        <v>October</v>
      </c>
      <c r="E3284" s="3">
        <v>44861</v>
      </c>
      <c r="F3284" s="3">
        <v>44861</v>
      </c>
      <c r="G3284" s="2">
        <v>22028775</v>
      </c>
      <c r="H3284" s="2">
        <v>2236267</v>
      </c>
      <c r="I3284" s="2">
        <v>10013541681</v>
      </c>
      <c r="J3284" s="2" t="s">
        <v>221</v>
      </c>
      <c r="K3284" s="10">
        <v>120339</v>
      </c>
      <c r="L3284" s="10">
        <v>0</v>
      </c>
      <c r="M3284" s="10">
        <v>120339</v>
      </c>
      <c r="N3284" s="10">
        <v>2921</v>
      </c>
      <c r="O3284" s="10">
        <f>Table1[[#This Row],[NET Amount]]-Table1[[#This Row],[Paid Amount]]</f>
        <v>117418</v>
      </c>
      <c r="P3284" s="2" t="s">
        <v>23</v>
      </c>
      <c r="Q3284" s="2" t="s">
        <v>19</v>
      </c>
      <c r="R3284" s="16">
        <f>(Table1[[#This Row],[NET Amount]]-Table1[[#This Row],[Total Outstanding Amount]])/Table1[[#This Row],[NET Amount]]</f>
        <v>2.4273095172803495E-2</v>
      </c>
      <c r="S3284" s="2" t="s">
        <v>20</v>
      </c>
    </row>
    <row r="3285" spans="1:19" x14ac:dyDescent="0.3">
      <c r="A3285" s="4">
        <v>3283</v>
      </c>
      <c r="B3285" s="2" t="s">
        <v>715</v>
      </c>
      <c r="C3285" s="3">
        <v>44854</v>
      </c>
      <c r="D3285" s="3" t="str">
        <f>TEXT(Table1[[#This Row],[Admission Date]],"MMMM")</f>
        <v>October</v>
      </c>
      <c r="E3285" s="3">
        <v>44860</v>
      </c>
      <c r="F3285" s="3">
        <v>44860</v>
      </c>
      <c r="G3285" s="2">
        <v>22028611</v>
      </c>
      <c r="H3285" s="2">
        <v>2236780</v>
      </c>
      <c r="I3285" s="2">
        <v>1001399704</v>
      </c>
      <c r="J3285" s="2" t="s">
        <v>1145</v>
      </c>
      <c r="K3285" s="10">
        <v>67835</v>
      </c>
      <c r="L3285" s="10">
        <v>9051</v>
      </c>
      <c r="M3285" s="10">
        <v>58784</v>
      </c>
      <c r="N3285" s="10">
        <v>3270</v>
      </c>
      <c r="O3285" s="10">
        <f>Table1[[#This Row],[NET Amount]]-Table1[[#This Row],[Paid Amount]]</f>
        <v>55514</v>
      </c>
      <c r="P3285" s="2" t="s">
        <v>23</v>
      </c>
      <c r="Q3285" s="2" t="s">
        <v>42</v>
      </c>
      <c r="R3285" s="16">
        <f>(Table1[[#This Row],[NET Amount]]-Table1[[#This Row],[Total Outstanding Amount]])/Table1[[#This Row],[NET Amount]]</f>
        <v>5.562738160043549E-2</v>
      </c>
      <c r="S3285" s="2" t="s">
        <v>20</v>
      </c>
    </row>
    <row r="3286" spans="1:19" x14ac:dyDescent="0.3">
      <c r="A3286" s="4">
        <v>3284</v>
      </c>
      <c r="B3286" s="2" t="s">
        <v>25</v>
      </c>
      <c r="C3286" s="3">
        <v>44852</v>
      </c>
      <c r="D3286" s="3" t="str">
        <f>TEXT(Table1[[#This Row],[Admission Date]],"MMMM")</f>
        <v>October</v>
      </c>
      <c r="E3286" s="3">
        <v>44854</v>
      </c>
      <c r="F3286" s="3">
        <v>44854</v>
      </c>
      <c r="G3286" s="2">
        <v>22027857</v>
      </c>
      <c r="H3286" s="2">
        <v>2236460</v>
      </c>
      <c r="I3286" s="2">
        <v>1001804990</v>
      </c>
      <c r="J3286" s="2" t="s">
        <v>1921</v>
      </c>
      <c r="K3286" s="10">
        <v>92490</v>
      </c>
      <c r="L3286" s="10">
        <v>11617</v>
      </c>
      <c r="M3286" s="10">
        <v>80873</v>
      </c>
      <c r="N3286" s="10">
        <v>80873</v>
      </c>
      <c r="O3286" s="10">
        <f>Table1[[#This Row],[NET Amount]]-Table1[[#This Row],[Paid Amount]]</f>
        <v>0</v>
      </c>
      <c r="P3286" s="2" t="s">
        <v>18</v>
      </c>
      <c r="Q3286" s="2" t="s">
        <v>30</v>
      </c>
      <c r="R3286" s="16">
        <f>(Table1[[#This Row],[NET Amount]]-Table1[[#This Row],[Total Outstanding Amount]])/Table1[[#This Row],[NET Amount]]</f>
        <v>1</v>
      </c>
      <c r="S3286" s="2" t="s">
        <v>27</v>
      </c>
    </row>
    <row r="3287" spans="1:19" x14ac:dyDescent="0.3">
      <c r="A3287" s="4">
        <v>3285</v>
      </c>
      <c r="B3287" s="2" t="s">
        <v>25</v>
      </c>
      <c r="C3287" s="3">
        <v>44848</v>
      </c>
      <c r="D3287" s="3" t="str">
        <f>TEXT(Table1[[#This Row],[Admission Date]],"MMMM")</f>
        <v>October</v>
      </c>
      <c r="E3287" s="3">
        <v>44848</v>
      </c>
      <c r="F3287" s="3">
        <v>44848</v>
      </c>
      <c r="G3287" s="2">
        <v>22027102</v>
      </c>
      <c r="H3287" s="2">
        <v>2236009</v>
      </c>
      <c r="I3287" s="2">
        <v>10013352607</v>
      </c>
      <c r="J3287" s="2" t="s">
        <v>305</v>
      </c>
      <c r="K3287" s="10">
        <v>2844</v>
      </c>
      <c r="L3287" s="10">
        <v>308</v>
      </c>
      <c r="M3287" s="10">
        <v>2536</v>
      </c>
      <c r="N3287" s="10">
        <v>2536</v>
      </c>
      <c r="O3287" s="10">
        <f>Table1[[#This Row],[NET Amount]]-Table1[[#This Row],[Paid Amount]]</f>
        <v>0</v>
      </c>
      <c r="P3287" s="2" t="s">
        <v>18</v>
      </c>
      <c r="Q3287" s="2" t="s">
        <v>54</v>
      </c>
      <c r="R3287" s="16">
        <f>(Table1[[#This Row],[NET Amount]]-Table1[[#This Row],[Total Outstanding Amount]])/Table1[[#This Row],[NET Amount]]</f>
        <v>1</v>
      </c>
      <c r="S3287" s="2" t="s">
        <v>97</v>
      </c>
    </row>
    <row r="3288" spans="1:19" x14ac:dyDescent="0.3">
      <c r="A3288" s="4">
        <v>3286</v>
      </c>
      <c r="B3288" s="2" t="s">
        <v>25</v>
      </c>
      <c r="C3288" s="3">
        <v>44848</v>
      </c>
      <c r="D3288" s="3" t="str">
        <f>TEXT(Table1[[#This Row],[Admission Date]],"MMMM")</f>
        <v>October</v>
      </c>
      <c r="E3288" s="3">
        <v>44848</v>
      </c>
      <c r="F3288" s="3">
        <v>44848</v>
      </c>
      <c r="G3288" s="2">
        <v>22026980</v>
      </c>
      <c r="H3288" s="2">
        <v>2235914</v>
      </c>
      <c r="I3288" s="2">
        <v>1001427466</v>
      </c>
      <c r="J3288" s="2" t="s">
        <v>294</v>
      </c>
      <c r="K3288" s="10">
        <v>2680</v>
      </c>
      <c r="L3288" s="10">
        <v>2680</v>
      </c>
      <c r="M3288" s="10">
        <v>0</v>
      </c>
      <c r="N3288" s="10">
        <v>0</v>
      </c>
      <c r="O3288" s="10">
        <f>Table1[[#This Row],[NET Amount]]-Table1[[#This Row],[Paid Amount]]</f>
        <v>0</v>
      </c>
      <c r="P3288" s="2" t="s">
        <v>18</v>
      </c>
      <c r="Q3288" s="2" t="s">
        <v>90</v>
      </c>
      <c r="R3288" s="16" t="e">
        <f>(Table1[[#This Row],[NET Amount]]-Table1[[#This Row],[Total Outstanding Amount]])/Table1[[#This Row],[NET Amount]]</f>
        <v>#DIV/0!</v>
      </c>
      <c r="S3288" s="2" t="s">
        <v>97</v>
      </c>
    </row>
    <row r="3289" spans="1:19" x14ac:dyDescent="0.3">
      <c r="A3289" s="4">
        <v>3287</v>
      </c>
      <c r="B3289" s="2" t="s">
        <v>75</v>
      </c>
      <c r="C3289" s="3">
        <v>44858</v>
      </c>
      <c r="D3289" s="3" t="str">
        <f>TEXT(Table1[[#This Row],[Admission Date]],"MMMM")</f>
        <v>October</v>
      </c>
      <c r="E3289" s="3">
        <v>44862</v>
      </c>
      <c r="F3289" s="3">
        <v>44862</v>
      </c>
      <c r="G3289" s="2">
        <v>22028961</v>
      </c>
      <c r="H3289" s="2">
        <v>2237221</v>
      </c>
      <c r="I3289" s="2">
        <v>10013505129</v>
      </c>
      <c r="J3289" s="2" t="s">
        <v>1922</v>
      </c>
      <c r="K3289" s="10">
        <v>68735</v>
      </c>
      <c r="L3289" s="10">
        <v>0</v>
      </c>
      <c r="M3289" s="10">
        <v>68735</v>
      </c>
      <c r="N3289" s="10">
        <v>572</v>
      </c>
      <c r="O3289" s="10">
        <f>Table1[[#This Row],[NET Amount]]-Table1[[#This Row],[Paid Amount]]</f>
        <v>68163</v>
      </c>
      <c r="P3289" s="2" t="s">
        <v>23</v>
      </c>
      <c r="Q3289" s="2" t="s">
        <v>24</v>
      </c>
      <c r="R3289" s="16">
        <f>(Table1[[#This Row],[NET Amount]]-Table1[[#This Row],[Total Outstanding Amount]])/Table1[[#This Row],[NET Amount]]</f>
        <v>8.3218156688732083E-3</v>
      </c>
      <c r="S3289" s="2" t="s">
        <v>20</v>
      </c>
    </row>
    <row r="3290" spans="1:19" x14ac:dyDescent="0.3">
      <c r="A3290" s="4">
        <v>3288</v>
      </c>
      <c r="B3290" s="2" t="s">
        <v>152</v>
      </c>
      <c r="C3290" s="3">
        <v>44852</v>
      </c>
      <c r="D3290" s="3" t="str">
        <f>TEXT(Table1[[#This Row],[Admission Date]],"MMMM")</f>
        <v>October</v>
      </c>
      <c r="E3290" s="3">
        <v>44856</v>
      </c>
      <c r="F3290" s="3">
        <v>44856</v>
      </c>
      <c r="G3290" s="2">
        <v>22028117</v>
      </c>
      <c r="H3290" s="2">
        <v>2236432</v>
      </c>
      <c r="I3290" s="2">
        <v>10013543504</v>
      </c>
      <c r="J3290" s="2" t="s">
        <v>1923</v>
      </c>
      <c r="K3290" s="10">
        <v>152067</v>
      </c>
      <c r="L3290" s="10">
        <v>0</v>
      </c>
      <c r="M3290" s="10">
        <v>152067</v>
      </c>
      <c r="N3290" s="10">
        <v>9074</v>
      </c>
      <c r="O3290" s="10">
        <f>Table1[[#This Row],[NET Amount]]-Table1[[#This Row],[Paid Amount]]</f>
        <v>142993</v>
      </c>
      <c r="P3290" s="2" t="s">
        <v>23</v>
      </c>
      <c r="Q3290" s="2" t="s">
        <v>24</v>
      </c>
      <c r="R3290" s="16">
        <f>(Table1[[#This Row],[NET Amount]]-Table1[[#This Row],[Total Outstanding Amount]])/Table1[[#This Row],[NET Amount]]</f>
        <v>5.9671066043257247E-2</v>
      </c>
      <c r="S3290" s="2" t="s">
        <v>20</v>
      </c>
    </row>
    <row r="3291" spans="1:19" x14ac:dyDescent="0.3">
      <c r="A3291" s="4">
        <v>3289</v>
      </c>
      <c r="B3291" s="2" t="s">
        <v>126</v>
      </c>
      <c r="C3291" s="3">
        <v>44856</v>
      </c>
      <c r="D3291" s="3" t="str">
        <f>TEXT(Table1[[#This Row],[Admission Date]],"MMMM")</f>
        <v>October</v>
      </c>
      <c r="E3291" s="3">
        <v>44856</v>
      </c>
      <c r="F3291" s="3">
        <v>44856</v>
      </c>
      <c r="G3291" s="2">
        <v>22028262</v>
      </c>
      <c r="H3291" s="2">
        <v>2237072</v>
      </c>
      <c r="I3291" s="2">
        <v>10013481278</v>
      </c>
      <c r="J3291" s="2" t="s">
        <v>264</v>
      </c>
      <c r="K3291" s="10">
        <v>2500</v>
      </c>
      <c r="L3291" s="10">
        <v>0</v>
      </c>
      <c r="M3291" s="10">
        <v>2500</v>
      </c>
      <c r="N3291" s="10">
        <v>2500</v>
      </c>
      <c r="O3291" s="10">
        <f>Table1[[#This Row],[NET Amount]]-Table1[[#This Row],[Paid Amount]]</f>
        <v>0</v>
      </c>
      <c r="P3291" s="2" t="s">
        <v>18</v>
      </c>
      <c r="Q3291" s="2" t="s">
        <v>54</v>
      </c>
      <c r="R3291" s="16">
        <f>(Table1[[#This Row],[NET Amount]]-Table1[[#This Row],[Total Outstanding Amount]])/Table1[[#This Row],[NET Amount]]</f>
        <v>1</v>
      </c>
      <c r="S3291" s="2" t="s">
        <v>97</v>
      </c>
    </row>
    <row r="3292" spans="1:19" x14ac:dyDescent="0.3">
      <c r="A3292" s="4">
        <v>3290</v>
      </c>
      <c r="B3292" s="2" t="s">
        <v>25</v>
      </c>
      <c r="C3292" s="3">
        <v>44852</v>
      </c>
      <c r="D3292" s="3" t="str">
        <f>TEXT(Table1[[#This Row],[Admission Date]],"MMMM")</f>
        <v>October</v>
      </c>
      <c r="E3292" s="3">
        <v>44857</v>
      </c>
      <c r="F3292" s="3">
        <v>44857</v>
      </c>
      <c r="G3292" s="2">
        <v>22028306</v>
      </c>
      <c r="H3292" s="2">
        <v>2236519</v>
      </c>
      <c r="I3292" s="2">
        <v>1001805108</v>
      </c>
      <c r="J3292" s="2" t="s">
        <v>523</v>
      </c>
      <c r="K3292" s="10">
        <v>182069</v>
      </c>
      <c r="L3292" s="10">
        <v>48204</v>
      </c>
      <c r="M3292" s="10">
        <v>133865</v>
      </c>
      <c r="N3292" s="10">
        <v>133865</v>
      </c>
      <c r="O3292" s="10">
        <f>Table1[[#This Row],[NET Amount]]-Table1[[#This Row],[Paid Amount]]</f>
        <v>0</v>
      </c>
      <c r="P3292" s="2" t="s">
        <v>18</v>
      </c>
      <c r="Q3292" s="2" t="s">
        <v>24</v>
      </c>
      <c r="R3292" s="16">
        <f>(Table1[[#This Row],[NET Amount]]-Table1[[#This Row],[Total Outstanding Amount]])/Table1[[#This Row],[NET Amount]]</f>
        <v>1</v>
      </c>
      <c r="S3292" s="2" t="s">
        <v>20</v>
      </c>
    </row>
    <row r="3293" spans="1:19" x14ac:dyDescent="0.3">
      <c r="A3293" s="4">
        <v>3291</v>
      </c>
      <c r="B3293" s="2" t="s">
        <v>2244</v>
      </c>
      <c r="C3293" s="3">
        <v>44832</v>
      </c>
      <c r="D3293" s="3" t="str">
        <f>TEXT(Table1[[#This Row],[Admission Date]],"MMMM")</f>
        <v>September</v>
      </c>
      <c r="E3293" s="3">
        <v>44835</v>
      </c>
      <c r="F3293" s="3">
        <v>44835</v>
      </c>
      <c r="G3293" s="2">
        <v>22025157</v>
      </c>
      <c r="H3293" s="2">
        <v>2233706</v>
      </c>
      <c r="I3293" s="2">
        <v>1001801128</v>
      </c>
      <c r="J3293" s="2" t="s">
        <v>1924</v>
      </c>
      <c r="K3293" s="10">
        <v>14673</v>
      </c>
      <c r="L3293" s="10">
        <v>0</v>
      </c>
      <c r="M3293" s="10">
        <v>14673</v>
      </c>
      <c r="N3293" s="10">
        <v>14673</v>
      </c>
      <c r="O3293" s="10">
        <f>Table1[[#This Row],[NET Amount]]-Table1[[#This Row],[Paid Amount]]</f>
        <v>0</v>
      </c>
      <c r="P3293" s="2" t="s">
        <v>18</v>
      </c>
      <c r="Q3293" s="2" t="s">
        <v>24</v>
      </c>
      <c r="R3293" s="16">
        <f>(Table1[[#This Row],[NET Amount]]-Table1[[#This Row],[Total Outstanding Amount]])/Table1[[#This Row],[NET Amount]]</f>
        <v>1</v>
      </c>
      <c r="S3293" s="2" t="s">
        <v>37</v>
      </c>
    </row>
    <row r="3294" spans="1:19" x14ac:dyDescent="0.3">
      <c r="A3294" s="4">
        <v>3292</v>
      </c>
      <c r="B3294" s="2" t="s">
        <v>380</v>
      </c>
      <c r="C3294" s="3">
        <v>44863</v>
      </c>
      <c r="D3294" s="3" t="str">
        <f>TEXT(Table1[[#This Row],[Admission Date]],"MMMM")</f>
        <v>October</v>
      </c>
      <c r="E3294" s="3">
        <v>44863</v>
      </c>
      <c r="F3294" s="3">
        <v>44863</v>
      </c>
      <c r="G3294" s="2">
        <v>22029136</v>
      </c>
      <c r="H3294" s="2">
        <v>2237991</v>
      </c>
      <c r="I3294" s="2">
        <v>10013457170</v>
      </c>
      <c r="J3294" s="2" t="s">
        <v>1075</v>
      </c>
      <c r="K3294" s="10">
        <v>3117</v>
      </c>
      <c r="L3294" s="10">
        <v>0</v>
      </c>
      <c r="M3294" s="10">
        <v>3117</v>
      </c>
      <c r="N3294" s="10">
        <v>1843</v>
      </c>
      <c r="O3294" s="10">
        <f>Table1[[#This Row],[NET Amount]]-Table1[[#This Row],[Paid Amount]]</f>
        <v>1274</v>
      </c>
      <c r="P3294" s="2" t="s">
        <v>23</v>
      </c>
      <c r="Q3294" s="2" t="s">
        <v>54</v>
      </c>
      <c r="R3294" s="16">
        <f>(Table1[[#This Row],[NET Amount]]-Table1[[#This Row],[Total Outstanding Amount]])/Table1[[#This Row],[NET Amount]]</f>
        <v>0.5912736605710619</v>
      </c>
      <c r="S3294" s="2" t="s">
        <v>97</v>
      </c>
    </row>
    <row r="3295" spans="1:19" x14ac:dyDescent="0.3">
      <c r="A3295" s="4">
        <v>3293</v>
      </c>
      <c r="B3295" s="2" t="s">
        <v>117</v>
      </c>
      <c r="C3295" s="3">
        <v>44838</v>
      </c>
      <c r="D3295" s="3" t="str">
        <f>TEXT(Table1[[#This Row],[Admission Date]],"MMMM")</f>
        <v>October</v>
      </c>
      <c r="E3295" s="3">
        <v>44838</v>
      </c>
      <c r="F3295" s="3">
        <v>44838</v>
      </c>
      <c r="G3295" s="2">
        <v>22025545</v>
      </c>
      <c r="H3295" s="2">
        <v>2234550</v>
      </c>
      <c r="I3295" s="2">
        <v>10013383005</v>
      </c>
      <c r="J3295" s="2" t="s">
        <v>184</v>
      </c>
      <c r="K3295" s="10">
        <v>2739</v>
      </c>
      <c r="L3295" s="10">
        <v>0</v>
      </c>
      <c r="M3295" s="10">
        <v>2739</v>
      </c>
      <c r="N3295" s="10">
        <v>2739</v>
      </c>
      <c r="O3295" s="10">
        <f>Table1[[#This Row],[NET Amount]]-Table1[[#This Row],[Paid Amount]]</f>
        <v>0</v>
      </c>
      <c r="P3295" s="2" t="s">
        <v>18</v>
      </c>
      <c r="Q3295" s="2" t="s">
        <v>54</v>
      </c>
      <c r="R3295" s="16">
        <f>(Table1[[#This Row],[NET Amount]]-Table1[[#This Row],[Total Outstanding Amount]])/Table1[[#This Row],[NET Amount]]</f>
        <v>1</v>
      </c>
      <c r="S3295" s="2" t="s">
        <v>97</v>
      </c>
    </row>
    <row r="3296" spans="1:19" x14ac:dyDescent="0.3">
      <c r="A3296" s="4">
        <v>3294</v>
      </c>
      <c r="B3296" s="2" t="s">
        <v>2263</v>
      </c>
      <c r="C3296" s="3">
        <v>44837</v>
      </c>
      <c r="D3296" s="3" t="str">
        <f>TEXT(Table1[[#This Row],[Admission Date]],"MMMM")</f>
        <v>October</v>
      </c>
      <c r="E3296" s="3">
        <v>44839</v>
      </c>
      <c r="F3296" s="3">
        <v>44839</v>
      </c>
      <c r="G3296" s="2">
        <v>22025662</v>
      </c>
      <c r="H3296" s="2">
        <v>2234428</v>
      </c>
      <c r="I3296" s="2">
        <v>1001680001</v>
      </c>
      <c r="J3296" s="2" t="s">
        <v>394</v>
      </c>
      <c r="K3296" s="10">
        <v>0</v>
      </c>
      <c r="L3296" s="10">
        <v>0</v>
      </c>
      <c r="M3296" s="10">
        <v>0</v>
      </c>
      <c r="N3296" s="10">
        <v>0</v>
      </c>
      <c r="O3296" s="10">
        <f>Table1[[#This Row],[NET Amount]]-Table1[[#This Row],[Paid Amount]]</f>
        <v>0</v>
      </c>
      <c r="P3296" s="2" t="s">
        <v>18</v>
      </c>
      <c r="Q3296" s="2" t="s">
        <v>54</v>
      </c>
      <c r="R3296" s="16" t="e">
        <f>(Table1[[#This Row],[NET Amount]]-Table1[[#This Row],[Total Outstanding Amount]])/Table1[[#This Row],[NET Amount]]</f>
        <v>#DIV/0!</v>
      </c>
      <c r="S3296" s="2" t="s">
        <v>97</v>
      </c>
    </row>
    <row r="3297" spans="1:19" x14ac:dyDescent="0.3">
      <c r="A3297" s="4">
        <v>3295</v>
      </c>
      <c r="B3297" s="2" t="s">
        <v>2261</v>
      </c>
      <c r="C3297" s="3">
        <v>44835</v>
      </c>
      <c r="D3297" s="3" t="str">
        <f>TEXT(Table1[[#This Row],[Admission Date]],"MMMM")</f>
        <v>October</v>
      </c>
      <c r="E3297" s="3">
        <v>44838</v>
      </c>
      <c r="F3297" s="3">
        <v>44838</v>
      </c>
      <c r="G3297" s="2">
        <v>22025541</v>
      </c>
      <c r="H3297" s="2">
        <v>2234173</v>
      </c>
      <c r="I3297" s="2">
        <v>1001657019</v>
      </c>
      <c r="J3297" s="2" t="s">
        <v>1925</v>
      </c>
      <c r="K3297" s="10">
        <v>29808</v>
      </c>
      <c r="L3297" s="10">
        <v>1504</v>
      </c>
      <c r="M3297" s="10">
        <v>28304</v>
      </c>
      <c r="N3297" s="10">
        <v>4071</v>
      </c>
      <c r="O3297" s="10">
        <f>Table1[[#This Row],[NET Amount]]-Table1[[#This Row],[Paid Amount]]</f>
        <v>24233</v>
      </c>
      <c r="P3297" s="2" t="s">
        <v>23</v>
      </c>
      <c r="Q3297" s="2" t="s">
        <v>24</v>
      </c>
      <c r="R3297" s="16">
        <f>(Table1[[#This Row],[NET Amount]]-Table1[[#This Row],[Total Outstanding Amount]])/Table1[[#This Row],[NET Amount]]</f>
        <v>0.14383126059920859</v>
      </c>
      <c r="S3297" s="2" t="s">
        <v>37</v>
      </c>
    </row>
    <row r="3298" spans="1:19" x14ac:dyDescent="0.3">
      <c r="A3298" s="4">
        <v>3296</v>
      </c>
      <c r="B3298" s="2" t="s">
        <v>25</v>
      </c>
      <c r="C3298" s="3">
        <v>44848</v>
      </c>
      <c r="D3298" s="3" t="str">
        <f>TEXT(Table1[[#This Row],[Admission Date]],"MMMM")</f>
        <v>October</v>
      </c>
      <c r="E3298" s="3">
        <v>44860</v>
      </c>
      <c r="F3298" s="3">
        <v>44860</v>
      </c>
      <c r="G3298" s="2">
        <v>22028639</v>
      </c>
      <c r="H3298" s="2">
        <v>2236019</v>
      </c>
      <c r="I3298" s="2">
        <v>10013543059</v>
      </c>
      <c r="J3298" s="2" t="s">
        <v>1926</v>
      </c>
      <c r="K3298" s="10">
        <v>644324</v>
      </c>
      <c r="L3298" s="10">
        <v>103238</v>
      </c>
      <c r="M3298" s="10">
        <v>541086</v>
      </c>
      <c r="N3298" s="10">
        <v>150000</v>
      </c>
      <c r="O3298" s="10">
        <f>Table1[[#This Row],[NET Amount]]-Table1[[#This Row],[Paid Amount]]</f>
        <v>391086</v>
      </c>
      <c r="P3298" s="2" t="s">
        <v>23</v>
      </c>
      <c r="Q3298" s="2" t="s">
        <v>695</v>
      </c>
      <c r="R3298" s="16">
        <f>(Table1[[#This Row],[NET Amount]]-Table1[[#This Row],[Total Outstanding Amount]])/Table1[[#This Row],[NET Amount]]</f>
        <v>0.27722025703862235</v>
      </c>
      <c r="S3298" s="2" t="s">
        <v>20</v>
      </c>
    </row>
    <row r="3299" spans="1:19" x14ac:dyDescent="0.3">
      <c r="A3299" s="4">
        <v>3297</v>
      </c>
      <c r="B3299" s="2" t="s">
        <v>25</v>
      </c>
      <c r="C3299" s="3">
        <v>44839</v>
      </c>
      <c r="D3299" s="3" t="str">
        <f>TEXT(Table1[[#This Row],[Admission Date]],"MMMM")</f>
        <v>October</v>
      </c>
      <c r="E3299" s="3">
        <v>44848</v>
      </c>
      <c r="F3299" s="3">
        <v>44848</v>
      </c>
      <c r="G3299" s="2">
        <v>22027044</v>
      </c>
      <c r="H3299" s="2">
        <v>2234744</v>
      </c>
      <c r="I3299" s="2">
        <v>10013541636</v>
      </c>
      <c r="J3299" s="2" t="s">
        <v>1927</v>
      </c>
      <c r="K3299" s="10">
        <v>198434</v>
      </c>
      <c r="L3299" s="10">
        <v>34865</v>
      </c>
      <c r="M3299" s="10">
        <v>163569</v>
      </c>
      <c r="N3299" s="10">
        <v>163569</v>
      </c>
      <c r="O3299" s="10">
        <f>Table1[[#This Row],[NET Amount]]-Table1[[#This Row],[Paid Amount]]</f>
        <v>0</v>
      </c>
      <c r="P3299" s="2" t="s">
        <v>18</v>
      </c>
      <c r="Q3299" s="2" t="s">
        <v>19</v>
      </c>
      <c r="R3299" s="16">
        <f>(Table1[[#This Row],[NET Amount]]-Table1[[#This Row],[Total Outstanding Amount]])/Table1[[#This Row],[NET Amount]]</f>
        <v>1</v>
      </c>
      <c r="S3299" s="2" t="s">
        <v>20</v>
      </c>
    </row>
    <row r="3300" spans="1:19" x14ac:dyDescent="0.3">
      <c r="A3300" s="4">
        <v>3298</v>
      </c>
      <c r="B3300" s="2" t="s">
        <v>93</v>
      </c>
      <c r="C3300" s="3">
        <v>44839</v>
      </c>
      <c r="D3300" s="3" t="str">
        <f>TEXT(Table1[[#This Row],[Admission Date]],"MMMM")</f>
        <v>October</v>
      </c>
      <c r="E3300" s="3">
        <v>44841</v>
      </c>
      <c r="F3300" s="3">
        <v>44841</v>
      </c>
      <c r="G3300" s="2">
        <v>22025942</v>
      </c>
      <c r="H3300" s="2">
        <v>2234745</v>
      </c>
      <c r="I3300" s="2">
        <v>10013411794</v>
      </c>
      <c r="J3300" s="2" t="s">
        <v>1928</v>
      </c>
      <c r="K3300" s="10">
        <v>52450</v>
      </c>
      <c r="L3300" s="10">
        <v>225</v>
      </c>
      <c r="M3300" s="10">
        <v>52225</v>
      </c>
      <c r="N3300" s="10">
        <v>14725</v>
      </c>
      <c r="O3300" s="10">
        <f>Table1[[#This Row],[NET Amount]]-Table1[[#This Row],[Paid Amount]]</f>
        <v>37500</v>
      </c>
      <c r="P3300" s="2" t="s">
        <v>23</v>
      </c>
      <c r="Q3300" s="2" t="s">
        <v>30</v>
      </c>
      <c r="R3300" s="16">
        <f>(Table1[[#This Row],[NET Amount]]-Table1[[#This Row],[Total Outstanding Amount]])/Table1[[#This Row],[NET Amount]]</f>
        <v>0.28195308760172333</v>
      </c>
      <c r="S3300" s="2" t="s">
        <v>27</v>
      </c>
    </row>
    <row r="3301" spans="1:19" x14ac:dyDescent="0.3">
      <c r="A3301" s="4">
        <v>3299</v>
      </c>
      <c r="B3301" s="2" t="s">
        <v>117</v>
      </c>
      <c r="C3301" s="3">
        <v>44839</v>
      </c>
      <c r="D3301" s="3" t="str">
        <f>TEXT(Table1[[#This Row],[Admission Date]],"MMMM")</f>
        <v>October</v>
      </c>
      <c r="E3301" s="3">
        <v>44842</v>
      </c>
      <c r="F3301" s="3">
        <v>44842</v>
      </c>
      <c r="G3301" s="2">
        <v>22026116</v>
      </c>
      <c r="H3301" s="2">
        <v>2234750</v>
      </c>
      <c r="I3301" s="2">
        <v>1000917506</v>
      </c>
      <c r="J3301" s="2" t="s">
        <v>1929</v>
      </c>
      <c r="K3301" s="10">
        <v>43731</v>
      </c>
      <c r="L3301" s="10">
        <v>0</v>
      </c>
      <c r="M3301" s="10">
        <v>43731</v>
      </c>
      <c r="N3301" s="10">
        <v>43731</v>
      </c>
      <c r="O3301" s="10">
        <f>Table1[[#This Row],[NET Amount]]-Table1[[#This Row],[Paid Amount]]</f>
        <v>0</v>
      </c>
      <c r="P3301" s="2" t="s">
        <v>18</v>
      </c>
      <c r="Q3301" s="2" t="s">
        <v>24</v>
      </c>
      <c r="R3301" s="16">
        <f>(Table1[[#This Row],[NET Amount]]-Table1[[#This Row],[Total Outstanding Amount]])/Table1[[#This Row],[NET Amount]]</f>
        <v>1</v>
      </c>
      <c r="S3301" s="2" t="s">
        <v>39</v>
      </c>
    </row>
    <row r="3302" spans="1:19" x14ac:dyDescent="0.3">
      <c r="A3302" s="4">
        <v>3300</v>
      </c>
      <c r="B3302" s="2" t="s">
        <v>25</v>
      </c>
      <c r="C3302" s="3">
        <v>44850</v>
      </c>
      <c r="D3302" s="3" t="str">
        <f>TEXT(Table1[[#This Row],[Admission Date]],"MMMM")</f>
        <v>October</v>
      </c>
      <c r="E3302" s="3">
        <v>44852</v>
      </c>
      <c r="F3302" s="3">
        <v>44852</v>
      </c>
      <c r="G3302" s="2">
        <v>22027543</v>
      </c>
      <c r="H3302" s="2">
        <v>2236232</v>
      </c>
      <c r="I3302" s="2">
        <v>1001803585</v>
      </c>
      <c r="J3302" s="2" t="s">
        <v>1930</v>
      </c>
      <c r="K3302" s="10">
        <v>49115</v>
      </c>
      <c r="L3302" s="10">
        <v>3900</v>
      </c>
      <c r="M3302" s="10">
        <v>45215</v>
      </c>
      <c r="N3302" s="10">
        <v>45215</v>
      </c>
      <c r="O3302" s="10">
        <f>Table1[[#This Row],[NET Amount]]-Table1[[#This Row],[Paid Amount]]</f>
        <v>0</v>
      </c>
      <c r="P3302" s="2" t="s">
        <v>18</v>
      </c>
      <c r="Q3302" s="2" t="s">
        <v>30</v>
      </c>
      <c r="R3302" s="16">
        <f>(Table1[[#This Row],[NET Amount]]-Table1[[#This Row],[Total Outstanding Amount]])/Table1[[#This Row],[NET Amount]]</f>
        <v>1</v>
      </c>
      <c r="S3302" s="2" t="s">
        <v>37</v>
      </c>
    </row>
    <row r="3303" spans="1:19" x14ac:dyDescent="0.3">
      <c r="A3303" s="4">
        <v>3301</v>
      </c>
      <c r="B3303" s="2" t="s">
        <v>2244</v>
      </c>
      <c r="C3303" s="3">
        <v>44835</v>
      </c>
      <c r="D3303" s="3" t="str">
        <f>TEXT(Table1[[#This Row],[Admission Date]],"MMMM")</f>
        <v>October</v>
      </c>
      <c r="E3303" s="3">
        <v>44840</v>
      </c>
      <c r="F3303" s="3">
        <v>44840</v>
      </c>
      <c r="G3303" s="2">
        <v>22025895</v>
      </c>
      <c r="H3303" s="2">
        <v>2234191</v>
      </c>
      <c r="I3303" s="2">
        <v>1001801859</v>
      </c>
      <c r="J3303" s="2" t="s">
        <v>1931</v>
      </c>
      <c r="K3303" s="10">
        <v>24178</v>
      </c>
      <c r="L3303" s="10">
        <v>0</v>
      </c>
      <c r="M3303" s="10">
        <v>24178</v>
      </c>
      <c r="N3303" s="10">
        <v>24178</v>
      </c>
      <c r="O3303" s="10">
        <f>Table1[[#This Row],[NET Amount]]-Table1[[#This Row],[Paid Amount]]</f>
        <v>0</v>
      </c>
      <c r="P3303" s="2" t="s">
        <v>18</v>
      </c>
      <c r="Q3303" s="2" t="s">
        <v>19</v>
      </c>
      <c r="R3303" s="16">
        <f>(Table1[[#This Row],[NET Amount]]-Table1[[#This Row],[Total Outstanding Amount]])/Table1[[#This Row],[NET Amount]]</f>
        <v>1</v>
      </c>
      <c r="S3303" s="2" t="s">
        <v>20</v>
      </c>
    </row>
    <row r="3304" spans="1:19" x14ac:dyDescent="0.3">
      <c r="A3304" s="4">
        <v>3302</v>
      </c>
      <c r="B3304" s="2" t="s">
        <v>50</v>
      </c>
      <c r="C3304" s="3">
        <v>44835</v>
      </c>
      <c r="D3304" s="3" t="str">
        <f>TEXT(Table1[[#This Row],[Admission Date]],"MMMM")</f>
        <v>October</v>
      </c>
      <c r="E3304" s="3">
        <v>44839</v>
      </c>
      <c r="F3304" s="3">
        <v>44839</v>
      </c>
      <c r="G3304" s="2">
        <v>22025753</v>
      </c>
      <c r="H3304" s="2">
        <v>2234272</v>
      </c>
      <c r="I3304" s="2">
        <v>10013541178</v>
      </c>
      <c r="J3304" s="2" t="s">
        <v>1932</v>
      </c>
      <c r="K3304" s="10">
        <v>53915</v>
      </c>
      <c r="L3304" s="10">
        <v>7141</v>
      </c>
      <c r="M3304" s="10">
        <v>46774</v>
      </c>
      <c r="N3304" s="10">
        <v>1634</v>
      </c>
      <c r="O3304" s="10">
        <f>Table1[[#This Row],[NET Amount]]-Table1[[#This Row],[Paid Amount]]</f>
        <v>45140</v>
      </c>
      <c r="P3304" s="2" t="s">
        <v>23</v>
      </c>
      <c r="Q3304" s="2" t="s">
        <v>42</v>
      </c>
      <c r="R3304" s="16">
        <f>(Table1[[#This Row],[NET Amount]]-Table1[[#This Row],[Total Outstanding Amount]])/Table1[[#This Row],[NET Amount]]</f>
        <v>3.4933937657673067E-2</v>
      </c>
      <c r="S3304" s="2" t="s">
        <v>20</v>
      </c>
    </row>
    <row r="3305" spans="1:19" x14ac:dyDescent="0.3">
      <c r="A3305" s="4">
        <v>3303</v>
      </c>
      <c r="B3305" s="2" t="s">
        <v>2288</v>
      </c>
      <c r="C3305" s="3">
        <v>44828</v>
      </c>
      <c r="D3305" s="3" t="str">
        <f>TEXT(Table1[[#This Row],[Admission Date]],"MMMM")</f>
        <v>September</v>
      </c>
      <c r="E3305" s="3">
        <v>44837</v>
      </c>
      <c r="F3305" s="3">
        <v>44837</v>
      </c>
      <c r="G3305" s="2">
        <v>22025374</v>
      </c>
      <c r="H3305" s="2">
        <v>2233304</v>
      </c>
      <c r="I3305" s="2">
        <v>1001646677</v>
      </c>
      <c r="J3305" s="2" t="s">
        <v>1933</v>
      </c>
      <c r="K3305" s="10">
        <v>62788</v>
      </c>
      <c r="L3305" s="10">
        <v>0</v>
      </c>
      <c r="M3305" s="10">
        <v>62788</v>
      </c>
      <c r="N3305" s="10">
        <v>6187</v>
      </c>
      <c r="O3305" s="10">
        <f>Table1[[#This Row],[NET Amount]]-Table1[[#This Row],[Paid Amount]]</f>
        <v>56601</v>
      </c>
      <c r="P3305" s="2" t="s">
        <v>23</v>
      </c>
      <c r="Q3305" s="2" t="s">
        <v>42</v>
      </c>
      <c r="R3305" s="16">
        <f>(Table1[[#This Row],[NET Amount]]-Table1[[#This Row],[Total Outstanding Amount]])/Table1[[#This Row],[NET Amount]]</f>
        <v>9.8537937185449453E-2</v>
      </c>
      <c r="S3305" s="2" t="s">
        <v>20</v>
      </c>
    </row>
    <row r="3306" spans="1:19" x14ac:dyDescent="0.3">
      <c r="A3306" s="4">
        <v>3304</v>
      </c>
      <c r="B3306" s="2" t="s">
        <v>259</v>
      </c>
      <c r="C3306" s="3">
        <v>44854</v>
      </c>
      <c r="D3306" s="3" t="str">
        <f>TEXT(Table1[[#This Row],[Admission Date]],"MMMM")</f>
        <v>October</v>
      </c>
      <c r="E3306" s="3">
        <v>44865</v>
      </c>
      <c r="F3306" s="3">
        <v>44865</v>
      </c>
      <c r="G3306" s="2">
        <v>22029266</v>
      </c>
      <c r="H3306" s="2">
        <v>2236802</v>
      </c>
      <c r="I3306" s="2">
        <v>10013543922</v>
      </c>
      <c r="J3306" s="2" t="s">
        <v>1934</v>
      </c>
      <c r="K3306" s="10">
        <v>218364</v>
      </c>
      <c r="L3306" s="10">
        <v>29931</v>
      </c>
      <c r="M3306" s="10">
        <v>188433</v>
      </c>
      <c r="N3306" s="10">
        <v>12658</v>
      </c>
      <c r="O3306" s="10">
        <f>Table1[[#This Row],[NET Amount]]-Table1[[#This Row],[Paid Amount]]</f>
        <v>175775</v>
      </c>
      <c r="P3306" s="2" t="s">
        <v>23</v>
      </c>
      <c r="Q3306" s="2" t="s">
        <v>24</v>
      </c>
      <c r="R3306" s="16">
        <f>(Table1[[#This Row],[NET Amount]]-Table1[[#This Row],[Total Outstanding Amount]])/Table1[[#This Row],[NET Amount]]</f>
        <v>6.7175070184097269E-2</v>
      </c>
      <c r="S3306" s="2" t="s">
        <v>37</v>
      </c>
    </row>
    <row r="3307" spans="1:19" x14ac:dyDescent="0.3">
      <c r="A3307" s="4">
        <v>3305</v>
      </c>
      <c r="B3307" s="2" t="s">
        <v>25</v>
      </c>
      <c r="C3307" s="3">
        <v>44837</v>
      </c>
      <c r="D3307" s="3" t="str">
        <f>TEXT(Table1[[#This Row],[Admission Date]],"MMMM")</f>
        <v>October</v>
      </c>
      <c r="E3307" s="3">
        <v>44837</v>
      </c>
      <c r="F3307" s="3">
        <v>44837</v>
      </c>
      <c r="G3307" s="2">
        <v>22025391</v>
      </c>
      <c r="H3307" s="2">
        <v>2234385</v>
      </c>
      <c r="I3307" s="2">
        <v>1000919979</v>
      </c>
      <c r="J3307" s="2" t="s">
        <v>319</v>
      </c>
      <c r="K3307" s="10">
        <v>2844</v>
      </c>
      <c r="L3307" s="10">
        <v>311</v>
      </c>
      <c r="M3307" s="10">
        <v>2533</v>
      </c>
      <c r="N3307" s="10">
        <v>2533</v>
      </c>
      <c r="O3307" s="10">
        <f>Table1[[#This Row],[NET Amount]]-Table1[[#This Row],[Paid Amount]]</f>
        <v>0</v>
      </c>
      <c r="P3307" s="2" t="s">
        <v>18</v>
      </c>
      <c r="Q3307" s="2" t="s">
        <v>54</v>
      </c>
      <c r="R3307" s="16">
        <f>(Table1[[#This Row],[NET Amount]]-Table1[[#This Row],[Total Outstanding Amount]])/Table1[[#This Row],[NET Amount]]</f>
        <v>1</v>
      </c>
      <c r="S3307" s="2" t="s">
        <v>97</v>
      </c>
    </row>
    <row r="3308" spans="1:19" x14ac:dyDescent="0.3">
      <c r="A3308" s="4">
        <v>3306</v>
      </c>
      <c r="B3308" s="2" t="s">
        <v>584</v>
      </c>
      <c r="C3308" s="3">
        <v>44837</v>
      </c>
      <c r="D3308" s="3" t="str">
        <f>TEXT(Table1[[#This Row],[Admission Date]],"MMMM")</f>
        <v>October</v>
      </c>
      <c r="E3308" s="3">
        <v>44837</v>
      </c>
      <c r="F3308" s="3">
        <v>44837</v>
      </c>
      <c r="G3308" s="2">
        <v>22025397</v>
      </c>
      <c r="H3308" s="2">
        <v>2234387</v>
      </c>
      <c r="I3308" s="2">
        <v>10013376566</v>
      </c>
      <c r="J3308" s="2" t="s">
        <v>585</v>
      </c>
      <c r="K3308" s="10">
        <v>2200</v>
      </c>
      <c r="L3308" s="10">
        <v>0</v>
      </c>
      <c r="M3308" s="10">
        <v>2200</v>
      </c>
      <c r="N3308" s="10">
        <v>440</v>
      </c>
      <c r="O3308" s="10">
        <f>Table1[[#This Row],[NET Amount]]-Table1[[#This Row],[Paid Amount]]</f>
        <v>1760</v>
      </c>
      <c r="P3308" s="2" t="s">
        <v>23</v>
      </c>
      <c r="Q3308" s="2" t="s">
        <v>147</v>
      </c>
      <c r="R3308" s="16">
        <f>(Table1[[#This Row],[NET Amount]]-Table1[[#This Row],[Total Outstanding Amount]])/Table1[[#This Row],[NET Amount]]</f>
        <v>0.2</v>
      </c>
      <c r="S3308" s="2" t="s">
        <v>97</v>
      </c>
    </row>
    <row r="3309" spans="1:19" x14ac:dyDescent="0.3">
      <c r="A3309" s="4">
        <v>3307</v>
      </c>
      <c r="B3309" s="2" t="s">
        <v>61</v>
      </c>
      <c r="C3309" s="3">
        <v>44846</v>
      </c>
      <c r="D3309" s="3" t="str">
        <f>TEXT(Table1[[#This Row],[Admission Date]],"MMMM")</f>
        <v>October</v>
      </c>
      <c r="E3309" s="3">
        <v>44847</v>
      </c>
      <c r="F3309" s="3">
        <v>44847</v>
      </c>
      <c r="G3309" s="2">
        <v>22026944</v>
      </c>
      <c r="H3309" s="2">
        <v>2235754</v>
      </c>
      <c r="I3309" s="2">
        <v>1001804011</v>
      </c>
      <c r="J3309" s="2" t="s">
        <v>1935</v>
      </c>
      <c r="K3309" s="10">
        <v>52275</v>
      </c>
      <c r="L3309" s="10">
        <v>0</v>
      </c>
      <c r="M3309" s="10">
        <v>52275</v>
      </c>
      <c r="N3309" s="10">
        <v>9775</v>
      </c>
      <c r="O3309" s="10">
        <f>Table1[[#This Row],[NET Amount]]-Table1[[#This Row],[Paid Amount]]</f>
        <v>42500</v>
      </c>
      <c r="P3309" s="2" t="s">
        <v>23</v>
      </c>
      <c r="Q3309" s="2" t="s">
        <v>30</v>
      </c>
      <c r="R3309" s="16">
        <f>(Table1[[#This Row],[NET Amount]]-Table1[[#This Row],[Total Outstanding Amount]])/Table1[[#This Row],[NET Amount]]</f>
        <v>0.18699186991869918</v>
      </c>
      <c r="S3309" s="2" t="s">
        <v>201</v>
      </c>
    </row>
    <row r="3310" spans="1:19" x14ac:dyDescent="0.3">
      <c r="A3310" s="4">
        <v>3308</v>
      </c>
      <c r="B3310" s="2" t="s">
        <v>21</v>
      </c>
      <c r="C3310" s="3">
        <v>44854</v>
      </c>
      <c r="D3310" s="3" t="str">
        <f>TEXT(Table1[[#This Row],[Admission Date]],"MMMM")</f>
        <v>October</v>
      </c>
      <c r="E3310" s="3">
        <v>44856</v>
      </c>
      <c r="F3310" s="3">
        <v>44856</v>
      </c>
      <c r="G3310" s="2">
        <v>22028228</v>
      </c>
      <c r="H3310" s="2">
        <v>2236796</v>
      </c>
      <c r="I3310" s="2">
        <v>1001220590</v>
      </c>
      <c r="J3310" s="2" t="s">
        <v>1936</v>
      </c>
      <c r="K3310" s="10">
        <v>52914</v>
      </c>
      <c r="L3310" s="10">
        <v>0</v>
      </c>
      <c r="M3310" s="10">
        <v>52914</v>
      </c>
      <c r="N3310" s="10">
        <v>52914</v>
      </c>
      <c r="O3310" s="10">
        <f>Table1[[#This Row],[NET Amount]]-Table1[[#This Row],[Paid Amount]]</f>
        <v>0</v>
      </c>
      <c r="P3310" s="2" t="s">
        <v>18</v>
      </c>
      <c r="Q3310" s="2" t="s">
        <v>24</v>
      </c>
      <c r="R3310" s="16">
        <f>(Table1[[#This Row],[NET Amount]]-Table1[[#This Row],[Total Outstanding Amount]])/Table1[[#This Row],[NET Amount]]</f>
        <v>1</v>
      </c>
      <c r="S3310" s="2" t="s">
        <v>201</v>
      </c>
    </row>
    <row r="3311" spans="1:19" x14ac:dyDescent="0.3">
      <c r="A3311" s="4">
        <v>3309</v>
      </c>
      <c r="B3311" s="2" t="s">
        <v>117</v>
      </c>
      <c r="C3311" s="3">
        <v>44839</v>
      </c>
      <c r="D3311" s="3" t="str">
        <f>TEXT(Table1[[#This Row],[Admission Date]],"MMMM")</f>
        <v>October</v>
      </c>
      <c r="E3311" s="3">
        <v>44839</v>
      </c>
      <c r="F3311" s="3">
        <v>44839</v>
      </c>
      <c r="G3311" s="2">
        <v>22025788</v>
      </c>
      <c r="H3311" s="2">
        <v>2234782</v>
      </c>
      <c r="I3311" s="2">
        <v>1001439428</v>
      </c>
      <c r="J3311" s="2" t="s">
        <v>189</v>
      </c>
      <c r="K3311" s="10">
        <v>2758</v>
      </c>
      <c r="L3311" s="10">
        <v>0</v>
      </c>
      <c r="M3311" s="10">
        <v>2758</v>
      </c>
      <c r="N3311" s="10">
        <v>2758</v>
      </c>
      <c r="O3311" s="10">
        <f>Table1[[#This Row],[NET Amount]]-Table1[[#This Row],[Paid Amount]]</f>
        <v>0</v>
      </c>
      <c r="P3311" s="2" t="s">
        <v>18</v>
      </c>
      <c r="Q3311" s="2" t="s">
        <v>54</v>
      </c>
      <c r="R3311" s="16">
        <f>(Table1[[#This Row],[NET Amount]]-Table1[[#This Row],[Total Outstanding Amount]])/Table1[[#This Row],[NET Amount]]</f>
        <v>1</v>
      </c>
      <c r="S3311" s="2" t="s">
        <v>97</v>
      </c>
    </row>
    <row r="3312" spans="1:19" x14ac:dyDescent="0.3">
      <c r="A3312" s="4">
        <v>3310</v>
      </c>
      <c r="B3312" s="2" t="s">
        <v>45</v>
      </c>
      <c r="C3312" s="3">
        <v>44840</v>
      </c>
      <c r="D3312" s="3" t="str">
        <f>TEXT(Table1[[#This Row],[Admission Date]],"MMMM")</f>
        <v>October</v>
      </c>
      <c r="E3312" s="3">
        <v>44843</v>
      </c>
      <c r="F3312" s="3">
        <v>44843</v>
      </c>
      <c r="G3312" s="2">
        <v>22026251</v>
      </c>
      <c r="H3312" s="2">
        <v>2234885</v>
      </c>
      <c r="I3312" s="2">
        <v>10013541832</v>
      </c>
      <c r="J3312" s="2" t="s">
        <v>1937</v>
      </c>
      <c r="K3312" s="10">
        <v>278734</v>
      </c>
      <c r="L3312" s="10">
        <v>0</v>
      </c>
      <c r="M3312" s="10">
        <v>278734</v>
      </c>
      <c r="N3312" s="10">
        <v>111814</v>
      </c>
      <c r="O3312" s="10">
        <f>Table1[[#This Row],[NET Amount]]-Table1[[#This Row],[Paid Amount]]</f>
        <v>166920</v>
      </c>
      <c r="P3312" s="2" t="s">
        <v>23</v>
      </c>
      <c r="Q3312" s="2" t="s">
        <v>47</v>
      </c>
      <c r="R3312" s="16">
        <f>(Table1[[#This Row],[NET Amount]]-Table1[[#This Row],[Total Outstanding Amount]])/Table1[[#This Row],[NET Amount]]</f>
        <v>0.40114948301965314</v>
      </c>
      <c r="S3312" s="2" t="s">
        <v>39</v>
      </c>
    </row>
    <row r="3313" spans="1:19" x14ac:dyDescent="0.3">
      <c r="A3313" s="4">
        <v>3311</v>
      </c>
      <c r="B3313" s="2" t="s">
        <v>168</v>
      </c>
      <c r="C3313" s="3">
        <v>44839</v>
      </c>
      <c r="D3313" s="3" t="str">
        <f>TEXT(Table1[[#This Row],[Admission Date]],"MMMM")</f>
        <v>October</v>
      </c>
      <c r="E3313" s="3">
        <v>44843</v>
      </c>
      <c r="F3313" s="3">
        <v>44843</v>
      </c>
      <c r="G3313" s="2">
        <v>22026256</v>
      </c>
      <c r="H3313" s="2">
        <v>2234742</v>
      </c>
      <c r="I3313" s="2">
        <v>10013541585</v>
      </c>
      <c r="J3313" s="2" t="s">
        <v>1938</v>
      </c>
      <c r="K3313" s="10">
        <v>87609</v>
      </c>
      <c r="L3313" s="10">
        <v>9458</v>
      </c>
      <c r="M3313" s="10">
        <v>78151</v>
      </c>
      <c r="N3313" s="10">
        <v>15349</v>
      </c>
      <c r="O3313" s="10">
        <f>Table1[[#This Row],[NET Amount]]-Table1[[#This Row],[Paid Amount]]</f>
        <v>62802</v>
      </c>
      <c r="P3313" s="2" t="s">
        <v>23</v>
      </c>
      <c r="Q3313" s="2" t="s">
        <v>42</v>
      </c>
      <c r="R3313" s="16">
        <f>(Table1[[#This Row],[NET Amount]]-Table1[[#This Row],[Total Outstanding Amount]])/Table1[[#This Row],[NET Amount]]</f>
        <v>0.19640183746849049</v>
      </c>
      <c r="S3313" s="2" t="s">
        <v>20</v>
      </c>
    </row>
    <row r="3314" spans="1:19" x14ac:dyDescent="0.3">
      <c r="A3314" s="4">
        <v>3312</v>
      </c>
      <c r="B3314" s="2" t="s">
        <v>25</v>
      </c>
      <c r="C3314" s="3">
        <v>44837</v>
      </c>
      <c r="D3314" s="3" t="str">
        <f>TEXT(Table1[[#This Row],[Admission Date]],"MMMM")</f>
        <v>October</v>
      </c>
      <c r="E3314" s="3">
        <v>44839</v>
      </c>
      <c r="F3314" s="3">
        <v>44839</v>
      </c>
      <c r="G3314" s="2">
        <v>22025679</v>
      </c>
      <c r="H3314" s="2">
        <v>2234342</v>
      </c>
      <c r="I3314" s="2">
        <v>1001802063</v>
      </c>
      <c r="J3314" s="2" t="s">
        <v>1939</v>
      </c>
      <c r="K3314" s="10">
        <v>18640</v>
      </c>
      <c r="L3314" s="10">
        <v>2348</v>
      </c>
      <c r="M3314" s="10">
        <v>16292</v>
      </c>
      <c r="N3314" s="10">
        <v>16292</v>
      </c>
      <c r="O3314" s="10">
        <f>Table1[[#This Row],[NET Amount]]-Table1[[#This Row],[Paid Amount]]</f>
        <v>0</v>
      </c>
      <c r="P3314" s="2" t="s">
        <v>18</v>
      </c>
      <c r="Q3314" s="2" t="s">
        <v>30</v>
      </c>
      <c r="R3314" s="16">
        <f>(Table1[[#This Row],[NET Amount]]-Table1[[#This Row],[Total Outstanding Amount]])/Table1[[#This Row],[NET Amount]]</f>
        <v>1</v>
      </c>
      <c r="S3314" s="2" t="s">
        <v>37</v>
      </c>
    </row>
    <row r="3315" spans="1:19" x14ac:dyDescent="0.3">
      <c r="A3315" s="4">
        <v>3313</v>
      </c>
      <c r="B3315" s="2" t="s">
        <v>25</v>
      </c>
      <c r="C3315" s="3">
        <v>44852</v>
      </c>
      <c r="D3315" s="3" t="str">
        <f>TEXT(Table1[[#This Row],[Admission Date]],"MMMM")</f>
        <v>October</v>
      </c>
      <c r="E3315" s="3">
        <v>44855</v>
      </c>
      <c r="F3315" s="3">
        <v>44855</v>
      </c>
      <c r="G3315" s="2">
        <v>22027995</v>
      </c>
      <c r="H3315" s="2">
        <v>2236468</v>
      </c>
      <c r="I3315" s="2">
        <v>1001524735</v>
      </c>
      <c r="J3315" s="2" t="s">
        <v>1940</v>
      </c>
      <c r="K3315" s="10">
        <v>89693</v>
      </c>
      <c r="L3315" s="10">
        <v>11196</v>
      </c>
      <c r="M3315" s="10">
        <v>78497</v>
      </c>
      <c r="N3315" s="10">
        <v>78497</v>
      </c>
      <c r="O3315" s="10">
        <f>Table1[[#This Row],[NET Amount]]-Table1[[#This Row],[Paid Amount]]</f>
        <v>0</v>
      </c>
      <c r="P3315" s="2" t="s">
        <v>18</v>
      </c>
      <c r="Q3315" s="2" t="s">
        <v>19</v>
      </c>
      <c r="R3315" s="16">
        <f>(Table1[[#This Row],[NET Amount]]-Table1[[#This Row],[Total Outstanding Amount]])/Table1[[#This Row],[NET Amount]]</f>
        <v>1</v>
      </c>
      <c r="S3315" s="2" t="s">
        <v>27</v>
      </c>
    </row>
    <row r="3316" spans="1:19" x14ac:dyDescent="0.3">
      <c r="A3316" s="4">
        <v>3314</v>
      </c>
      <c r="B3316" s="2" t="s">
        <v>40</v>
      </c>
      <c r="C3316" s="3">
        <v>44842</v>
      </c>
      <c r="D3316" s="3" t="str">
        <f>TEXT(Table1[[#This Row],[Admission Date]],"MMMM")</f>
        <v>October</v>
      </c>
      <c r="E3316" s="3">
        <v>44843</v>
      </c>
      <c r="F3316" s="3">
        <v>44843</v>
      </c>
      <c r="G3316" s="2">
        <v>22026243</v>
      </c>
      <c r="H3316" s="2">
        <v>2235137</v>
      </c>
      <c r="I3316" s="2">
        <v>1001803192</v>
      </c>
      <c r="J3316" s="2" t="s">
        <v>1941</v>
      </c>
      <c r="K3316" s="10">
        <v>210382</v>
      </c>
      <c r="L3316" s="10">
        <v>546</v>
      </c>
      <c r="M3316" s="10">
        <v>209836</v>
      </c>
      <c r="N3316" s="10">
        <v>50251</v>
      </c>
      <c r="O3316" s="10">
        <f>Table1[[#This Row],[NET Amount]]-Table1[[#This Row],[Paid Amount]]</f>
        <v>159585</v>
      </c>
      <c r="P3316" s="2" t="s">
        <v>23</v>
      </c>
      <c r="Q3316" s="2" t="s">
        <v>47</v>
      </c>
      <c r="R3316" s="16">
        <f>(Table1[[#This Row],[NET Amount]]-Table1[[#This Row],[Total Outstanding Amount]])/Table1[[#This Row],[NET Amount]]</f>
        <v>0.23947749671171772</v>
      </c>
      <c r="S3316" s="2" t="s">
        <v>39</v>
      </c>
    </row>
    <row r="3317" spans="1:19" x14ac:dyDescent="0.3">
      <c r="A3317" s="4">
        <v>3315</v>
      </c>
      <c r="B3317" s="2" t="s">
        <v>2244</v>
      </c>
      <c r="C3317" s="3">
        <v>44835</v>
      </c>
      <c r="D3317" s="3" t="str">
        <f>TEXT(Table1[[#This Row],[Admission Date]],"MMMM")</f>
        <v>October</v>
      </c>
      <c r="E3317" s="3">
        <v>44835</v>
      </c>
      <c r="F3317" s="3">
        <v>44835</v>
      </c>
      <c r="G3317" s="2">
        <v>22025181</v>
      </c>
      <c r="H3317" s="2">
        <v>2234203</v>
      </c>
      <c r="I3317" s="2">
        <v>1001755099</v>
      </c>
      <c r="J3317" s="2" t="s">
        <v>750</v>
      </c>
      <c r="K3317" s="10">
        <v>2560</v>
      </c>
      <c r="L3317" s="10">
        <v>0</v>
      </c>
      <c r="M3317" s="10">
        <v>2560</v>
      </c>
      <c r="N3317" s="10">
        <v>2560</v>
      </c>
      <c r="O3317" s="10">
        <f>Table1[[#This Row],[NET Amount]]-Table1[[#This Row],[Paid Amount]]</f>
        <v>0</v>
      </c>
      <c r="P3317" s="2" t="s">
        <v>18</v>
      </c>
      <c r="Q3317" s="2" t="s">
        <v>54</v>
      </c>
      <c r="R3317" s="16">
        <f>(Table1[[#This Row],[NET Amount]]-Table1[[#This Row],[Total Outstanding Amount]])/Table1[[#This Row],[NET Amount]]</f>
        <v>1</v>
      </c>
      <c r="S3317" s="2" t="s">
        <v>97</v>
      </c>
    </row>
    <row r="3318" spans="1:19" x14ac:dyDescent="0.3">
      <c r="A3318" s="4">
        <v>3316</v>
      </c>
      <c r="B3318" s="2" t="s">
        <v>2265</v>
      </c>
      <c r="C3318" s="3">
        <v>44842</v>
      </c>
      <c r="D3318" s="3" t="str">
        <f>TEXT(Table1[[#This Row],[Admission Date]],"MMMM")</f>
        <v>October</v>
      </c>
      <c r="E3318" s="3">
        <v>44850</v>
      </c>
      <c r="F3318" s="3">
        <v>44850</v>
      </c>
      <c r="G3318" s="2">
        <v>22027353</v>
      </c>
      <c r="H3318" s="2">
        <v>2235252</v>
      </c>
      <c r="I3318" s="2">
        <v>1001803360</v>
      </c>
      <c r="J3318" s="2" t="s">
        <v>1942</v>
      </c>
      <c r="K3318" s="10">
        <v>291713</v>
      </c>
      <c r="L3318" s="10">
        <v>43891</v>
      </c>
      <c r="M3318" s="10">
        <v>247822</v>
      </c>
      <c r="N3318" s="10">
        <v>41500</v>
      </c>
      <c r="O3318" s="10">
        <f>Table1[[#This Row],[NET Amount]]-Table1[[#This Row],[Paid Amount]]</f>
        <v>206322</v>
      </c>
      <c r="P3318" s="2" t="s">
        <v>23</v>
      </c>
      <c r="Q3318" s="2" t="s">
        <v>42</v>
      </c>
      <c r="R3318" s="16">
        <f>(Table1[[#This Row],[NET Amount]]-Table1[[#This Row],[Total Outstanding Amount]])/Table1[[#This Row],[NET Amount]]</f>
        <v>0.16745890195382168</v>
      </c>
      <c r="S3318" s="2" t="s">
        <v>20</v>
      </c>
    </row>
    <row r="3319" spans="1:19" x14ac:dyDescent="0.3">
      <c r="A3319" s="4">
        <v>3317</v>
      </c>
      <c r="B3319" s="2" t="s">
        <v>45</v>
      </c>
      <c r="C3319" s="3">
        <v>44834</v>
      </c>
      <c r="D3319" s="3" t="str">
        <f>TEXT(Table1[[#This Row],[Admission Date]],"MMMM")</f>
        <v>September</v>
      </c>
      <c r="E3319" s="3">
        <v>44843</v>
      </c>
      <c r="F3319" s="3">
        <v>44843</v>
      </c>
      <c r="G3319" s="2">
        <v>22026260</v>
      </c>
      <c r="H3319" s="2">
        <v>2234112</v>
      </c>
      <c r="I3319" s="2">
        <v>1001103382</v>
      </c>
      <c r="J3319" s="2" t="s">
        <v>291</v>
      </c>
      <c r="K3319" s="10">
        <v>157526</v>
      </c>
      <c r="L3319" s="10">
        <v>16576</v>
      </c>
      <c r="M3319" s="10">
        <v>140950</v>
      </c>
      <c r="N3319" s="10">
        <v>6587</v>
      </c>
      <c r="O3319" s="10">
        <f>Table1[[#This Row],[NET Amount]]-Table1[[#This Row],[Paid Amount]]</f>
        <v>134363</v>
      </c>
      <c r="P3319" s="2" t="s">
        <v>23</v>
      </c>
      <c r="Q3319" s="2" t="s">
        <v>42</v>
      </c>
      <c r="R3319" s="16">
        <f>(Table1[[#This Row],[NET Amount]]-Table1[[#This Row],[Total Outstanding Amount]])/Table1[[#This Row],[NET Amount]]</f>
        <v>4.6732884001418944E-2</v>
      </c>
      <c r="S3319" s="2" t="s">
        <v>20</v>
      </c>
    </row>
    <row r="3320" spans="1:19" x14ac:dyDescent="0.3">
      <c r="A3320" s="4">
        <v>3318</v>
      </c>
      <c r="B3320" s="2" t="s">
        <v>25</v>
      </c>
      <c r="C3320" s="3">
        <v>44837</v>
      </c>
      <c r="D3320" s="3" t="str">
        <f>TEXT(Table1[[#This Row],[Admission Date]],"MMMM")</f>
        <v>October</v>
      </c>
      <c r="E3320" s="3">
        <v>44837</v>
      </c>
      <c r="F3320" s="3">
        <v>44837</v>
      </c>
      <c r="G3320" s="2">
        <v>22025467</v>
      </c>
      <c r="H3320" s="2">
        <v>2234473</v>
      </c>
      <c r="I3320" s="2">
        <v>1001263339</v>
      </c>
      <c r="J3320" s="2" t="s">
        <v>1021</v>
      </c>
      <c r="K3320" s="10">
        <v>2844</v>
      </c>
      <c r="L3320" s="10">
        <v>310</v>
      </c>
      <c r="M3320" s="10">
        <v>2534</v>
      </c>
      <c r="N3320" s="10">
        <v>2534</v>
      </c>
      <c r="O3320" s="10">
        <f>Table1[[#This Row],[NET Amount]]-Table1[[#This Row],[Paid Amount]]</f>
        <v>0</v>
      </c>
      <c r="P3320" s="2" t="s">
        <v>18</v>
      </c>
      <c r="Q3320" s="2" t="s">
        <v>54</v>
      </c>
      <c r="R3320" s="16">
        <f>(Table1[[#This Row],[NET Amount]]-Table1[[#This Row],[Total Outstanding Amount]])/Table1[[#This Row],[NET Amount]]</f>
        <v>1</v>
      </c>
      <c r="S3320" s="2" t="s">
        <v>97</v>
      </c>
    </row>
    <row r="3321" spans="1:19" x14ac:dyDescent="0.3">
      <c r="A3321" s="4">
        <v>3319</v>
      </c>
      <c r="B3321" s="2" t="s">
        <v>149</v>
      </c>
      <c r="C3321" s="3">
        <v>44837</v>
      </c>
      <c r="D3321" s="3" t="str">
        <f>TEXT(Table1[[#This Row],[Admission Date]],"MMMM")</f>
        <v>October</v>
      </c>
      <c r="E3321" s="3">
        <v>44837</v>
      </c>
      <c r="F3321" s="3">
        <v>44837</v>
      </c>
      <c r="G3321" s="2">
        <v>22025468</v>
      </c>
      <c r="H3321" s="2">
        <v>2234468</v>
      </c>
      <c r="I3321" s="2">
        <v>10013541394</v>
      </c>
      <c r="J3321" s="2" t="s">
        <v>1905</v>
      </c>
      <c r="K3321" s="10">
        <v>2240</v>
      </c>
      <c r="L3321" s="10">
        <v>0</v>
      </c>
      <c r="M3321" s="10">
        <v>2240</v>
      </c>
      <c r="N3321" s="10">
        <v>2240</v>
      </c>
      <c r="O3321" s="10">
        <f>Table1[[#This Row],[NET Amount]]-Table1[[#This Row],[Paid Amount]]</f>
        <v>0</v>
      </c>
      <c r="P3321" s="2" t="s">
        <v>18</v>
      </c>
      <c r="Q3321" s="2" t="s">
        <v>54</v>
      </c>
      <c r="R3321" s="16">
        <f>(Table1[[#This Row],[NET Amount]]-Table1[[#This Row],[Total Outstanding Amount]])/Table1[[#This Row],[NET Amount]]</f>
        <v>1</v>
      </c>
      <c r="S3321" s="2" t="s">
        <v>97</v>
      </c>
    </row>
    <row r="3322" spans="1:19" x14ac:dyDescent="0.3">
      <c r="A3322" s="4">
        <v>3320</v>
      </c>
      <c r="B3322" s="2" t="s">
        <v>25</v>
      </c>
      <c r="C3322" s="3">
        <v>44844</v>
      </c>
      <c r="D3322" s="3" t="str">
        <f>TEXT(Table1[[#This Row],[Admission Date]],"MMMM")</f>
        <v>October</v>
      </c>
      <c r="E3322" s="3">
        <v>44847</v>
      </c>
      <c r="F3322" s="3">
        <v>44847</v>
      </c>
      <c r="G3322" s="2">
        <v>22026852</v>
      </c>
      <c r="H3322" s="2">
        <v>2235438</v>
      </c>
      <c r="I3322" s="2">
        <v>10013542455</v>
      </c>
      <c r="J3322" s="2" t="s">
        <v>1943</v>
      </c>
      <c r="K3322" s="10">
        <v>34588</v>
      </c>
      <c r="L3322" s="10">
        <v>4112</v>
      </c>
      <c r="M3322" s="10">
        <v>30476</v>
      </c>
      <c r="N3322" s="10">
        <v>30476</v>
      </c>
      <c r="O3322" s="10">
        <f>Table1[[#This Row],[NET Amount]]-Table1[[#This Row],[Paid Amount]]</f>
        <v>0</v>
      </c>
      <c r="P3322" s="2" t="s">
        <v>18</v>
      </c>
      <c r="Q3322" s="2" t="s">
        <v>24</v>
      </c>
      <c r="R3322" s="16">
        <f>(Table1[[#This Row],[NET Amount]]-Table1[[#This Row],[Total Outstanding Amount]])/Table1[[#This Row],[NET Amount]]</f>
        <v>1</v>
      </c>
      <c r="S3322" s="2" t="s">
        <v>20</v>
      </c>
    </row>
    <row r="3323" spans="1:19" x14ac:dyDescent="0.3">
      <c r="A3323" s="4">
        <v>3321</v>
      </c>
      <c r="B3323" s="2" t="s">
        <v>126</v>
      </c>
      <c r="C3323" s="3">
        <v>44845</v>
      </c>
      <c r="D3323" s="3" t="str">
        <f>TEXT(Table1[[#This Row],[Admission Date]],"MMMM")</f>
        <v>October</v>
      </c>
      <c r="E3323" s="3">
        <v>44845</v>
      </c>
      <c r="F3323" s="3">
        <v>44845</v>
      </c>
      <c r="G3323" s="2">
        <v>22026622</v>
      </c>
      <c r="H3323" s="2">
        <v>2235587</v>
      </c>
      <c r="I3323" s="2">
        <v>10013481278</v>
      </c>
      <c r="J3323" s="2" t="s">
        <v>264</v>
      </c>
      <c r="K3323" s="10">
        <v>2500</v>
      </c>
      <c r="L3323" s="10">
        <v>0</v>
      </c>
      <c r="M3323" s="10">
        <v>2500</v>
      </c>
      <c r="N3323" s="10">
        <v>2500</v>
      </c>
      <c r="O3323" s="10">
        <f>Table1[[#This Row],[NET Amount]]-Table1[[#This Row],[Paid Amount]]</f>
        <v>0</v>
      </c>
      <c r="P3323" s="2" t="s">
        <v>18</v>
      </c>
      <c r="Q3323" s="2" t="s">
        <v>54</v>
      </c>
      <c r="R3323" s="16">
        <f>(Table1[[#This Row],[NET Amount]]-Table1[[#This Row],[Total Outstanding Amount]])/Table1[[#This Row],[NET Amount]]</f>
        <v>1</v>
      </c>
      <c r="S3323" s="2" t="s">
        <v>97</v>
      </c>
    </row>
    <row r="3324" spans="1:19" x14ac:dyDescent="0.3">
      <c r="A3324" s="4">
        <v>3322</v>
      </c>
      <c r="B3324" s="2" t="s">
        <v>25</v>
      </c>
      <c r="C3324" s="3">
        <v>44846</v>
      </c>
      <c r="D3324" s="3" t="str">
        <f>TEXT(Table1[[#This Row],[Admission Date]],"MMMM")</f>
        <v>October</v>
      </c>
      <c r="E3324" s="3">
        <v>44847</v>
      </c>
      <c r="F3324" s="3">
        <v>44847</v>
      </c>
      <c r="G3324" s="2">
        <v>22026899</v>
      </c>
      <c r="H3324" s="2">
        <v>2235624</v>
      </c>
      <c r="I3324" s="2">
        <v>1001803845</v>
      </c>
      <c r="J3324" s="2" t="s">
        <v>1944</v>
      </c>
      <c r="K3324" s="10">
        <v>54853</v>
      </c>
      <c r="L3324" s="10">
        <v>6250</v>
      </c>
      <c r="M3324" s="10">
        <v>48603</v>
      </c>
      <c r="N3324" s="10">
        <v>48603</v>
      </c>
      <c r="O3324" s="10">
        <f>Table1[[#This Row],[NET Amount]]-Table1[[#This Row],[Paid Amount]]</f>
        <v>0</v>
      </c>
      <c r="P3324" s="2" t="s">
        <v>18</v>
      </c>
      <c r="Q3324" s="2" t="s">
        <v>24</v>
      </c>
      <c r="R3324" s="16">
        <f>(Table1[[#This Row],[NET Amount]]-Table1[[#This Row],[Total Outstanding Amount]])/Table1[[#This Row],[NET Amount]]</f>
        <v>1</v>
      </c>
      <c r="S3324" s="2" t="s">
        <v>32</v>
      </c>
    </row>
    <row r="3325" spans="1:19" x14ac:dyDescent="0.3">
      <c r="A3325" s="4">
        <v>3323</v>
      </c>
      <c r="B3325" s="2" t="s">
        <v>2279</v>
      </c>
      <c r="C3325" s="3">
        <v>44840</v>
      </c>
      <c r="D3325" s="3" t="str">
        <f>TEXT(Table1[[#This Row],[Admission Date]],"MMMM")</f>
        <v>October</v>
      </c>
      <c r="E3325" s="3">
        <v>44845</v>
      </c>
      <c r="F3325" s="3">
        <v>44845</v>
      </c>
      <c r="G3325" s="2">
        <v>22026579</v>
      </c>
      <c r="H3325" s="2">
        <v>2234931</v>
      </c>
      <c r="I3325" s="2">
        <v>1001802875</v>
      </c>
      <c r="J3325" s="2" t="s">
        <v>1945</v>
      </c>
      <c r="K3325" s="10">
        <v>16164</v>
      </c>
      <c r="L3325" s="10">
        <v>0</v>
      </c>
      <c r="M3325" s="10">
        <v>16164</v>
      </c>
      <c r="N3325" s="10">
        <v>16164</v>
      </c>
      <c r="O3325" s="10">
        <f>Table1[[#This Row],[NET Amount]]-Table1[[#This Row],[Paid Amount]]</f>
        <v>0</v>
      </c>
      <c r="P3325" s="2" t="s">
        <v>18</v>
      </c>
      <c r="Q3325" s="2" t="s">
        <v>24</v>
      </c>
      <c r="R3325" s="16">
        <f>(Table1[[#This Row],[NET Amount]]-Table1[[#This Row],[Total Outstanding Amount]])/Table1[[#This Row],[NET Amount]]</f>
        <v>1</v>
      </c>
      <c r="S3325" s="2" t="s">
        <v>20</v>
      </c>
    </row>
    <row r="3326" spans="1:19" x14ac:dyDescent="0.3">
      <c r="A3326" s="4">
        <v>3324</v>
      </c>
      <c r="B3326" s="2" t="s">
        <v>28</v>
      </c>
      <c r="C3326" s="3">
        <v>44860</v>
      </c>
      <c r="D3326" s="3" t="str">
        <f>TEXT(Table1[[#This Row],[Admission Date]],"MMMM")</f>
        <v>October</v>
      </c>
      <c r="E3326" s="3">
        <v>44863</v>
      </c>
      <c r="F3326" s="3">
        <v>44863</v>
      </c>
      <c r="G3326" s="2">
        <v>22029055</v>
      </c>
      <c r="H3326" s="2">
        <v>2237502</v>
      </c>
      <c r="I3326" s="2">
        <v>1001806356</v>
      </c>
      <c r="J3326" s="2" t="s">
        <v>1946</v>
      </c>
      <c r="K3326" s="10">
        <v>7381</v>
      </c>
      <c r="L3326" s="10">
        <v>0</v>
      </c>
      <c r="M3326" s="10">
        <v>7381</v>
      </c>
      <c r="N3326" s="10">
        <v>7381</v>
      </c>
      <c r="O3326" s="10">
        <f>Table1[[#This Row],[NET Amount]]-Table1[[#This Row],[Paid Amount]]</f>
        <v>0</v>
      </c>
      <c r="P3326" s="2" t="s">
        <v>18</v>
      </c>
      <c r="Q3326" s="2" t="s">
        <v>24</v>
      </c>
      <c r="R3326" s="16">
        <f>(Table1[[#This Row],[NET Amount]]-Table1[[#This Row],[Total Outstanding Amount]])/Table1[[#This Row],[NET Amount]]</f>
        <v>1</v>
      </c>
      <c r="S3326" s="2" t="s">
        <v>37</v>
      </c>
    </row>
    <row r="3327" spans="1:19" x14ac:dyDescent="0.3">
      <c r="A3327" s="4">
        <v>3325</v>
      </c>
      <c r="B3327" s="2" t="s">
        <v>28</v>
      </c>
      <c r="C3327" s="3">
        <v>44861</v>
      </c>
      <c r="D3327" s="3" t="str">
        <f>TEXT(Table1[[#This Row],[Admission Date]],"MMMM")</f>
        <v>October</v>
      </c>
      <c r="E3327" s="3">
        <v>44863</v>
      </c>
      <c r="F3327" s="3">
        <v>44863</v>
      </c>
      <c r="G3327" s="2">
        <v>22029051</v>
      </c>
      <c r="H3327" s="2">
        <v>2237685</v>
      </c>
      <c r="I3327" s="2">
        <v>1001806631</v>
      </c>
      <c r="J3327" s="2" t="s">
        <v>1947</v>
      </c>
      <c r="K3327" s="10">
        <v>61407</v>
      </c>
      <c r="L3327" s="10">
        <v>7360</v>
      </c>
      <c r="M3327" s="10">
        <v>54047</v>
      </c>
      <c r="N3327" s="10">
        <v>4616</v>
      </c>
      <c r="O3327" s="10">
        <f>Table1[[#This Row],[NET Amount]]-Table1[[#This Row],[Paid Amount]]</f>
        <v>49431</v>
      </c>
      <c r="P3327" s="2" t="s">
        <v>23</v>
      </c>
      <c r="Q3327" s="2" t="s">
        <v>30</v>
      </c>
      <c r="R3327" s="16">
        <f>(Table1[[#This Row],[NET Amount]]-Table1[[#This Row],[Total Outstanding Amount]])/Table1[[#This Row],[NET Amount]]</f>
        <v>8.5407145632505038E-2</v>
      </c>
      <c r="S3327" s="2" t="s">
        <v>20</v>
      </c>
    </row>
    <row r="3328" spans="1:19" x14ac:dyDescent="0.3">
      <c r="A3328" s="4">
        <v>3326</v>
      </c>
      <c r="B3328" s="2" t="s">
        <v>155</v>
      </c>
      <c r="C3328" s="3">
        <v>44837</v>
      </c>
      <c r="D3328" s="3" t="str">
        <f>TEXT(Table1[[#This Row],[Admission Date]],"MMMM")</f>
        <v>October</v>
      </c>
      <c r="E3328" s="3">
        <v>44837</v>
      </c>
      <c r="F3328" s="3">
        <v>44837</v>
      </c>
      <c r="G3328" s="2">
        <v>22025329</v>
      </c>
      <c r="H3328" s="2">
        <v>2234354</v>
      </c>
      <c r="I3328" s="2">
        <v>10013269857</v>
      </c>
      <c r="J3328" s="2" t="s">
        <v>175</v>
      </c>
      <c r="K3328" s="10">
        <v>1610</v>
      </c>
      <c r="L3328" s="10">
        <v>0</v>
      </c>
      <c r="M3328" s="10">
        <v>1610</v>
      </c>
      <c r="N3328" s="10">
        <v>1610</v>
      </c>
      <c r="O3328" s="10">
        <f>Table1[[#This Row],[NET Amount]]-Table1[[#This Row],[Paid Amount]]</f>
        <v>0</v>
      </c>
      <c r="P3328" s="2" t="s">
        <v>18</v>
      </c>
      <c r="Q3328" s="2" t="s">
        <v>54</v>
      </c>
      <c r="R3328" s="16">
        <f>(Table1[[#This Row],[NET Amount]]-Table1[[#This Row],[Total Outstanding Amount]])/Table1[[#This Row],[NET Amount]]</f>
        <v>1</v>
      </c>
      <c r="S3328" s="2" t="s">
        <v>97</v>
      </c>
    </row>
    <row r="3329" spans="1:19" x14ac:dyDescent="0.3">
      <c r="A3329" s="4">
        <v>3327</v>
      </c>
      <c r="B3329" s="2" t="s">
        <v>2251</v>
      </c>
      <c r="C3329" s="3">
        <v>44839</v>
      </c>
      <c r="D3329" s="3" t="str">
        <f>TEXT(Table1[[#This Row],[Admission Date]],"MMMM")</f>
        <v>October</v>
      </c>
      <c r="E3329" s="3">
        <v>44841</v>
      </c>
      <c r="F3329" s="3">
        <v>44841</v>
      </c>
      <c r="G3329" s="2">
        <v>22025994</v>
      </c>
      <c r="H3329" s="2">
        <v>2234664</v>
      </c>
      <c r="I3329" s="2">
        <v>1001725897</v>
      </c>
      <c r="J3329" s="2" t="s">
        <v>1948</v>
      </c>
      <c r="K3329" s="10">
        <v>28161</v>
      </c>
      <c r="L3329" s="10">
        <v>3921</v>
      </c>
      <c r="M3329" s="10">
        <v>24240</v>
      </c>
      <c r="N3329" s="10">
        <v>1000</v>
      </c>
      <c r="O3329" s="10">
        <f>Table1[[#This Row],[NET Amount]]-Table1[[#This Row],[Paid Amount]]</f>
        <v>23240</v>
      </c>
      <c r="P3329" s="2" t="s">
        <v>23</v>
      </c>
      <c r="Q3329" s="2" t="s">
        <v>42</v>
      </c>
      <c r="R3329" s="16">
        <f>(Table1[[#This Row],[NET Amount]]-Table1[[#This Row],[Total Outstanding Amount]])/Table1[[#This Row],[NET Amount]]</f>
        <v>4.1254125412541254E-2</v>
      </c>
      <c r="S3329" s="2" t="s">
        <v>20</v>
      </c>
    </row>
    <row r="3330" spans="1:19" x14ac:dyDescent="0.3">
      <c r="A3330" s="4">
        <v>3328</v>
      </c>
      <c r="B3330" s="2" t="s">
        <v>152</v>
      </c>
      <c r="C3330" s="3">
        <v>44842</v>
      </c>
      <c r="D3330" s="3" t="str">
        <f>TEXT(Table1[[#This Row],[Admission Date]],"MMMM")</f>
        <v>October</v>
      </c>
      <c r="E3330" s="3">
        <v>44844</v>
      </c>
      <c r="F3330" s="3">
        <v>44844</v>
      </c>
      <c r="G3330" s="2">
        <v>22026355</v>
      </c>
      <c r="H3330" s="2">
        <v>2235149</v>
      </c>
      <c r="I3330" s="2">
        <v>1001800829</v>
      </c>
      <c r="J3330" s="2" t="s">
        <v>1949</v>
      </c>
      <c r="K3330" s="10">
        <v>186478</v>
      </c>
      <c r="L3330" s="10">
        <v>0</v>
      </c>
      <c r="M3330" s="10">
        <v>186478</v>
      </c>
      <c r="N3330" s="10">
        <v>24420</v>
      </c>
      <c r="O3330" s="10">
        <f>Table1[[#This Row],[NET Amount]]-Table1[[#This Row],[Paid Amount]]</f>
        <v>162058</v>
      </c>
      <c r="P3330" s="2" t="s">
        <v>23</v>
      </c>
      <c r="Q3330" s="2" t="s">
        <v>30</v>
      </c>
      <c r="R3330" s="16">
        <f>(Table1[[#This Row],[NET Amount]]-Table1[[#This Row],[Total Outstanding Amount]])/Table1[[#This Row],[NET Amount]]</f>
        <v>0.13095378543313421</v>
      </c>
      <c r="S3330" s="2" t="s">
        <v>39</v>
      </c>
    </row>
    <row r="3331" spans="1:19" x14ac:dyDescent="0.3">
      <c r="A3331" s="4">
        <v>3329</v>
      </c>
      <c r="B3331" s="2" t="s">
        <v>35</v>
      </c>
      <c r="C3331" s="3">
        <v>44853</v>
      </c>
      <c r="D3331" s="3" t="str">
        <f>TEXT(Table1[[#This Row],[Admission Date]],"MMMM")</f>
        <v>October</v>
      </c>
      <c r="E3331" s="3">
        <v>44853</v>
      </c>
      <c r="F3331" s="3">
        <v>44853</v>
      </c>
      <c r="G3331" s="2">
        <v>22027646</v>
      </c>
      <c r="H3331" s="2">
        <v>2236586</v>
      </c>
      <c r="I3331" s="2">
        <v>10013401198</v>
      </c>
      <c r="J3331" s="2" t="s">
        <v>631</v>
      </c>
      <c r="K3331" s="10">
        <v>1610</v>
      </c>
      <c r="L3331" s="10">
        <v>0</v>
      </c>
      <c r="M3331" s="10">
        <v>1610</v>
      </c>
      <c r="N3331" s="10">
        <v>1610</v>
      </c>
      <c r="O3331" s="10">
        <f>Table1[[#This Row],[NET Amount]]-Table1[[#This Row],[Paid Amount]]</f>
        <v>0</v>
      </c>
      <c r="P3331" s="2" t="s">
        <v>18</v>
      </c>
      <c r="Q3331" s="2" t="s">
        <v>54</v>
      </c>
      <c r="R3331" s="16">
        <f>(Table1[[#This Row],[NET Amount]]-Table1[[#This Row],[Total Outstanding Amount]])/Table1[[#This Row],[NET Amount]]</f>
        <v>1</v>
      </c>
      <c r="S3331" s="2" t="s">
        <v>97</v>
      </c>
    </row>
    <row r="3332" spans="1:19" x14ac:dyDescent="0.3">
      <c r="A3332" s="4">
        <v>3330</v>
      </c>
      <c r="B3332" s="2" t="s">
        <v>122</v>
      </c>
      <c r="C3332" s="3">
        <v>44840</v>
      </c>
      <c r="D3332" s="3" t="str">
        <f>TEXT(Table1[[#This Row],[Admission Date]],"MMMM")</f>
        <v>October</v>
      </c>
      <c r="E3332" s="3">
        <v>44853</v>
      </c>
      <c r="F3332" s="3">
        <v>44853</v>
      </c>
      <c r="G3332" s="2">
        <v>22027731</v>
      </c>
      <c r="H3332" s="2">
        <v>2234873</v>
      </c>
      <c r="I3332" s="2">
        <v>1001135664</v>
      </c>
      <c r="J3332" s="2" t="s">
        <v>1950</v>
      </c>
      <c r="K3332" s="10">
        <v>316888</v>
      </c>
      <c r="L3332" s="10">
        <v>316888</v>
      </c>
      <c r="M3332" s="10">
        <v>0</v>
      </c>
      <c r="N3332" s="10">
        <v>0</v>
      </c>
      <c r="O3332" s="10">
        <f>Table1[[#This Row],[NET Amount]]-Table1[[#This Row],[Paid Amount]]</f>
        <v>0</v>
      </c>
      <c r="P3332" s="2" t="s">
        <v>18</v>
      </c>
      <c r="Q3332" s="2" t="s">
        <v>90</v>
      </c>
      <c r="R3332" s="16" t="e">
        <f>(Table1[[#This Row],[NET Amount]]-Table1[[#This Row],[Total Outstanding Amount]])/Table1[[#This Row],[NET Amount]]</f>
        <v>#DIV/0!</v>
      </c>
      <c r="S3332" s="2" t="s">
        <v>20</v>
      </c>
    </row>
    <row r="3333" spans="1:19" x14ac:dyDescent="0.3">
      <c r="A3333" s="4">
        <v>3331</v>
      </c>
      <c r="B3333" s="2" t="s">
        <v>259</v>
      </c>
      <c r="C3333" s="3">
        <v>44854</v>
      </c>
      <c r="D3333" s="3" t="str">
        <f>TEXT(Table1[[#This Row],[Admission Date]],"MMMM")</f>
        <v>October</v>
      </c>
      <c r="E3333" s="3">
        <v>44858</v>
      </c>
      <c r="F3333" s="3">
        <v>44858</v>
      </c>
      <c r="G3333" s="2">
        <v>22028437</v>
      </c>
      <c r="H3333" s="2">
        <v>2236827</v>
      </c>
      <c r="I3333" s="2">
        <v>10013543940</v>
      </c>
      <c r="J3333" s="2" t="s">
        <v>1951</v>
      </c>
      <c r="K3333" s="10">
        <v>82638</v>
      </c>
      <c r="L3333" s="10">
        <v>9940</v>
      </c>
      <c r="M3333" s="10">
        <v>72698</v>
      </c>
      <c r="N3333" s="10">
        <v>2125</v>
      </c>
      <c r="O3333" s="10">
        <f>Table1[[#This Row],[NET Amount]]-Table1[[#This Row],[Paid Amount]]</f>
        <v>70573</v>
      </c>
      <c r="P3333" s="2" t="s">
        <v>23</v>
      </c>
      <c r="Q3333" s="2" t="s">
        <v>30</v>
      </c>
      <c r="R3333" s="16">
        <f>(Table1[[#This Row],[NET Amount]]-Table1[[#This Row],[Total Outstanding Amount]])/Table1[[#This Row],[NET Amount]]</f>
        <v>2.9230515282401167E-2</v>
      </c>
      <c r="S3333" s="2" t="s">
        <v>20</v>
      </c>
    </row>
    <row r="3334" spans="1:19" x14ac:dyDescent="0.3">
      <c r="A3334" s="4">
        <v>3332</v>
      </c>
      <c r="B3334" s="2" t="s">
        <v>25</v>
      </c>
      <c r="C3334" s="3">
        <v>44840</v>
      </c>
      <c r="D3334" s="3" t="str">
        <f>TEXT(Table1[[#This Row],[Admission Date]],"MMMM")</f>
        <v>October</v>
      </c>
      <c r="E3334" s="3">
        <v>44846</v>
      </c>
      <c r="F3334" s="3">
        <v>44846</v>
      </c>
      <c r="G3334" s="2">
        <v>22026706</v>
      </c>
      <c r="H3334" s="2">
        <v>2234954</v>
      </c>
      <c r="I3334" s="2">
        <v>10013541886</v>
      </c>
      <c r="J3334" s="2" t="s">
        <v>129</v>
      </c>
      <c r="K3334" s="10">
        <v>62568</v>
      </c>
      <c r="L3334" s="10">
        <v>62568</v>
      </c>
      <c r="M3334" s="10">
        <v>0</v>
      </c>
      <c r="N3334" s="10">
        <v>0</v>
      </c>
      <c r="O3334" s="10">
        <f>Table1[[#This Row],[NET Amount]]-Table1[[#This Row],[Paid Amount]]</f>
        <v>0</v>
      </c>
      <c r="P3334" s="2" t="s">
        <v>18</v>
      </c>
      <c r="Q3334" s="2" t="s">
        <v>90</v>
      </c>
      <c r="R3334" s="16" t="e">
        <f>(Table1[[#This Row],[NET Amount]]-Table1[[#This Row],[Total Outstanding Amount]])/Table1[[#This Row],[NET Amount]]</f>
        <v>#DIV/0!</v>
      </c>
      <c r="S3334" s="2" t="s">
        <v>20</v>
      </c>
    </row>
    <row r="3335" spans="1:19" x14ac:dyDescent="0.3">
      <c r="A3335" s="4">
        <v>3333</v>
      </c>
      <c r="B3335" s="2" t="s">
        <v>149</v>
      </c>
      <c r="C3335" s="3">
        <v>44842</v>
      </c>
      <c r="D3335" s="3" t="str">
        <f>TEXT(Table1[[#This Row],[Admission Date]],"MMMM")</f>
        <v>October</v>
      </c>
      <c r="E3335" s="3">
        <v>44846</v>
      </c>
      <c r="F3335" s="3">
        <v>44846</v>
      </c>
      <c r="G3335" s="2">
        <v>22026745</v>
      </c>
      <c r="H3335" s="2">
        <v>2235253</v>
      </c>
      <c r="I3335" s="2">
        <v>10013542247</v>
      </c>
      <c r="J3335" s="2" t="s">
        <v>1952</v>
      </c>
      <c r="K3335" s="10">
        <v>64087</v>
      </c>
      <c r="L3335" s="10">
        <v>0</v>
      </c>
      <c r="M3335" s="10">
        <v>64087</v>
      </c>
      <c r="N3335" s="10">
        <v>2072</v>
      </c>
      <c r="O3335" s="10">
        <f>Table1[[#This Row],[NET Amount]]-Table1[[#This Row],[Paid Amount]]</f>
        <v>62015</v>
      </c>
      <c r="P3335" s="2" t="s">
        <v>23</v>
      </c>
      <c r="Q3335" s="2" t="s">
        <v>30</v>
      </c>
      <c r="R3335" s="16">
        <f>(Table1[[#This Row],[NET Amount]]-Table1[[#This Row],[Total Outstanding Amount]])/Table1[[#This Row],[NET Amount]]</f>
        <v>3.2331049978934885E-2</v>
      </c>
      <c r="S3335" s="2" t="s">
        <v>20</v>
      </c>
    </row>
    <row r="3336" spans="1:19" x14ac:dyDescent="0.3">
      <c r="A3336" s="4">
        <v>3334</v>
      </c>
      <c r="B3336" s="2" t="s">
        <v>25</v>
      </c>
      <c r="C3336" s="3">
        <v>44850</v>
      </c>
      <c r="D3336" s="3" t="str">
        <f>TEXT(Table1[[#This Row],[Admission Date]],"MMMM")</f>
        <v>October</v>
      </c>
      <c r="E3336" s="3">
        <v>44852</v>
      </c>
      <c r="F3336" s="3">
        <v>44852</v>
      </c>
      <c r="G3336" s="2">
        <v>22027547</v>
      </c>
      <c r="H3336" s="2">
        <v>2236233</v>
      </c>
      <c r="I3336" s="2">
        <v>1001804658</v>
      </c>
      <c r="J3336" s="2" t="s">
        <v>1953</v>
      </c>
      <c r="K3336" s="10">
        <v>17977</v>
      </c>
      <c r="L3336" s="10">
        <v>2165</v>
      </c>
      <c r="M3336" s="10">
        <v>15812</v>
      </c>
      <c r="N3336" s="10">
        <v>15812</v>
      </c>
      <c r="O3336" s="10">
        <f>Table1[[#This Row],[NET Amount]]-Table1[[#This Row],[Paid Amount]]</f>
        <v>0</v>
      </c>
      <c r="P3336" s="2" t="s">
        <v>18</v>
      </c>
      <c r="Q3336" s="2" t="s">
        <v>30</v>
      </c>
      <c r="R3336" s="16">
        <f>(Table1[[#This Row],[NET Amount]]-Table1[[#This Row],[Total Outstanding Amount]])/Table1[[#This Row],[NET Amount]]</f>
        <v>1</v>
      </c>
      <c r="S3336" s="2" t="s">
        <v>37</v>
      </c>
    </row>
    <row r="3337" spans="1:19" x14ac:dyDescent="0.3">
      <c r="A3337" s="4">
        <v>3335</v>
      </c>
      <c r="B3337" s="2" t="s">
        <v>25</v>
      </c>
      <c r="C3337" s="3">
        <v>44838</v>
      </c>
      <c r="D3337" s="3" t="str">
        <f>TEXT(Table1[[#This Row],[Admission Date]],"MMMM")</f>
        <v>October</v>
      </c>
      <c r="E3337" s="3">
        <v>44838</v>
      </c>
      <c r="F3337" s="3">
        <v>44838</v>
      </c>
      <c r="G3337" s="2">
        <v>22025558</v>
      </c>
      <c r="H3337" s="2">
        <v>2234572</v>
      </c>
      <c r="I3337" s="2">
        <v>1001735249</v>
      </c>
      <c r="J3337" s="2" t="s">
        <v>857</v>
      </c>
      <c r="K3337" s="10">
        <v>2680</v>
      </c>
      <c r="L3337" s="10">
        <v>500</v>
      </c>
      <c r="M3337" s="10">
        <v>2180</v>
      </c>
      <c r="N3337" s="10">
        <v>2180</v>
      </c>
      <c r="O3337" s="10">
        <f>Table1[[#This Row],[NET Amount]]-Table1[[#This Row],[Paid Amount]]</f>
        <v>0</v>
      </c>
      <c r="P3337" s="2" t="s">
        <v>18</v>
      </c>
      <c r="Q3337" s="2" t="s">
        <v>54</v>
      </c>
      <c r="R3337" s="16">
        <f>(Table1[[#This Row],[NET Amount]]-Table1[[#This Row],[Total Outstanding Amount]])/Table1[[#This Row],[NET Amount]]</f>
        <v>1</v>
      </c>
      <c r="S3337" s="2" t="s">
        <v>97</v>
      </c>
    </row>
    <row r="3338" spans="1:19" x14ac:dyDescent="0.3">
      <c r="A3338" s="4">
        <v>3336</v>
      </c>
      <c r="B3338" s="2" t="s">
        <v>2256</v>
      </c>
      <c r="C3338" s="3">
        <v>44838</v>
      </c>
      <c r="D3338" s="3" t="str">
        <f>TEXT(Table1[[#This Row],[Admission Date]],"MMMM")</f>
        <v>October</v>
      </c>
      <c r="E3338" s="3">
        <v>44838</v>
      </c>
      <c r="F3338" s="3">
        <v>44838</v>
      </c>
      <c r="G3338" s="2">
        <v>22025601</v>
      </c>
      <c r="H3338" s="2">
        <v>2234602</v>
      </c>
      <c r="I3338" s="2">
        <v>1001658205</v>
      </c>
      <c r="J3338" s="2" t="s">
        <v>238</v>
      </c>
      <c r="K3338" s="10">
        <v>2950</v>
      </c>
      <c r="L3338" s="10">
        <v>0</v>
      </c>
      <c r="M3338" s="10">
        <v>2950</v>
      </c>
      <c r="N3338" s="10">
        <v>295</v>
      </c>
      <c r="O3338" s="10">
        <f>Table1[[#This Row],[NET Amount]]-Table1[[#This Row],[Paid Amount]]</f>
        <v>2655</v>
      </c>
      <c r="P3338" s="2" t="s">
        <v>23</v>
      </c>
      <c r="Q3338" s="2" t="s">
        <v>54</v>
      </c>
      <c r="R3338" s="16">
        <f>(Table1[[#This Row],[NET Amount]]-Table1[[#This Row],[Total Outstanding Amount]])/Table1[[#This Row],[NET Amount]]</f>
        <v>0.1</v>
      </c>
      <c r="S3338" s="2" t="s">
        <v>97</v>
      </c>
    </row>
    <row r="3339" spans="1:19" x14ac:dyDescent="0.3">
      <c r="A3339" s="4">
        <v>3337</v>
      </c>
      <c r="B3339" s="2" t="s">
        <v>584</v>
      </c>
      <c r="C3339" s="3">
        <v>44839</v>
      </c>
      <c r="D3339" s="3" t="str">
        <f>TEXT(Table1[[#This Row],[Admission Date]],"MMMM")</f>
        <v>October</v>
      </c>
      <c r="E3339" s="3">
        <v>44839</v>
      </c>
      <c r="F3339" s="3">
        <v>44839</v>
      </c>
      <c r="G3339" s="2">
        <v>22025713</v>
      </c>
      <c r="H3339" s="2">
        <v>2234718</v>
      </c>
      <c r="I3339" s="2">
        <v>10013376566</v>
      </c>
      <c r="J3339" s="2" t="s">
        <v>585</v>
      </c>
      <c r="K3339" s="10">
        <v>2200</v>
      </c>
      <c r="L3339" s="10">
        <v>0</v>
      </c>
      <c r="M3339" s="10">
        <v>2200</v>
      </c>
      <c r="N3339" s="10">
        <v>440</v>
      </c>
      <c r="O3339" s="10">
        <f>Table1[[#This Row],[NET Amount]]-Table1[[#This Row],[Paid Amount]]</f>
        <v>1760</v>
      </c>
      <c r="P3339" s="2" t="s">
        <v>23</v>
      </c>
      <c r="Q3339" s="2" t="s">
        <v>147</v>
      </c>
      <c r="R3339" s="16">
        <f>(Table1[[#This Row],[NET Amount]]-Table1[[#This Row],[Total Outstanding Amount]])/Table1[[#This Row],[NET Amount]]</f>
        <v>0.2</v>
      </c>
      <c r="S3339" s="2" t="s">
        <v>97</v>
      </c>
    </row>
    <row r="3340" spans="1:19" x14ac:dyDescent="0.3">
      <c r="A3340" s="4">
        <v>3338</v>
      </c>
      <c r="B3340" s="2" t="s">
        <v>122</v>
      </c>
      <c r="C3340" s="3">
        <v>44827</v>
      </c>
      <c r="D3340" s="3" t="str">
        <f>TEXT(Table1[[#This Row],[Admission Date]],"MMMM")</f>
        <v>September</v>
      </c>
      <c r="E3340" s="3">
        <v>44840</v>
      </c>
      <c r="F3340" s="3">
        <v>44840</v>
      </c>
      <c r="G3340" s="2">
        <v>22025838</v>
      </c>
      <c r="H3340" s="2">
        <v>2233191</v>
      </c>
      <c r="I3340" s="2">
        <v>1000838860</v>
      </c>
      <c r="J3340" s="2" t="s">
        <v>1954</v>
      </c>
      <c r="K3340" s="10">
        <v>331703</v>
      </c>
      <c r="L3340" s="10">
        <v>331703</v>
      </c>
      <c r="M3340" s="10">
        <v>0</v>
      </c>
      <c r="N3340" s="10">
        <v>0</v>
      </c>
      <c r="O3340" s="10">
        <f>Table1[[#This Row],[NET Amount]]-Table1[[#This Row],[Paid Amount]]</f>
        <v>0</v>
      </c>
      <c r="P3340" s="2" t="s">
        <v>18</v>
      </c>
      <c r="Q3340" s="2" t="s">
        <v>90</v>
      </c>
      <c r="R3340" s="16" t="e">
        <f>(Table1[[#This Row],[NET Amount]]-Table1[[#This Row],[Total Outstanding Amount]])/Table1[[#This Row],[NET Amount]]</f>
        <v>#DIV/0!</v>
      </c>
      <c r="S3340" s="2" t="s">
        <v>77</v>
      </c>
    </row>
    <row r="3341" spans="1:19" x14ac:dyDescent="0.3">
      <c r="A3341" s="4">
        <v>3339</v>
      </c>
      <c r="B3341" s="2" t="s">
        <v>25</v>
      </c>
      <c r="C3341" s="3">
        <v>44823</v>
      </c>
      <c r="D3341" s="3" t="str">
        <f>TEXT(Table1[[#This Row],[Admission Date]],"MMMM")</f>
        <v>September</v>
      </c>
      <c r="E3341" s="3">
        <v>44842</v>
      </c>
      <c r="F3341" s="3">
        <v>44842</v>
      </c>
      <c r="G3341" s="2">
        <v>22026199</v>
      </c>
      <c r="H3341" s="2">
        <v>2232581</v>
      </c>
      <c r="I3341" s="2">
        <v>1001799576</v>
      </c>
      <c r="J3341" s="2" t="s">
        <v>1848</v>
      </c>
      <c r="K3341" s="10">
        <v>22425</v>
      </c>
      <c r="L3341" s="10">
        <v>22425</v>
      </c>
      <c r="M3341" s="10">
        <v>0</v>
      </c>
      <c r="N3341" s="10">
        <v>0</v>
      </c>
      <c r="O3341" s="10">
        <f>Table1[[#This Row],[NET Amount]]-Table1[[#This Row],[Paid Amount]]</f>
        <v>0</v>
      </c>
      <c r="P3341" s="2" t="s">
        <v>18</v>
      </c>
      <c r="Q3341" s="2" t="s">
        <v>90</v>
      </c>
      <c r="R3341" s="16" t="e">
        <f>(Table1[[#This Row],[NET Amount]]-Table1[[#This Row],[Total Outstanding Amount]])/Table1[[#This Row],[NET Amount]]</f>
        <v>#DIV/0!</v>
      </c>
      <c r="S3341" s="2" t="s">
        <v>27</v>
      </c>
    </row>
    <row r="3342" spans="1:19" x14ac:dyDescent="0.3">
      <c r="A3342" s="4">
        <v>3340</v>
      </c>
      <c r="B3342" s="2" t="s">
        <v>152</v>
      </c>
      <c r="C3342" s="3">
        <v>44835</v>
      </c>
      <c r="D3342" s="3" t="str">
        <f>TEXT(Table1[[#This Row],[Admission Date]],"MMMM")</f>
        <v>October</v>
      </c>
      <c r="E3342" s="3">
        <v>44837</v>
      </c>
      <c r="F3342" s="3">
        <v>44837</v>
      </c>
      <c r="G3342" s="2">
        <v>22025396</v>
      </c>
      <c r="H3342" s="2">
        <v>2234288</v>
      </c>
      <c r="I3342" s="2">
        <v>1000869587</v>
      </c>
      <c r="J3342" s="2" t="s">
        <v>1955</v>
      </c>
      <c r="K3342" s="10">
        <v>13272</v>
      </c>
      <c r="L3342" s="10">
        <v>0</v>
      </c>
      <c r="M3342" s="10">
        <v>13272</v>
      </c>
      <c r="N3342" s="10">
        <v>520</v>
      </c>
      <c r="O3342" s="10">
        <f>Table1[[#This Row],[NET Amount]]-Table1[[#This Row],[Paid Amount]]</f>
        <v>12752</v>
      </c>
      <c r="P3342" s="2" t="s">
        <v>23</v>
      </c>
      <c r="Q3342" s="2" t="s">
        <v>24</v>
      </c>
      <c r="R3342" s="16">
        <f>(Table1[[#This Row],[NET Amount]]-Table1[[#This Row],[Total Outstanding Amount]])/Table1[[#This Row],[NET Amount]]</f>
        <v>3.9180229053646778E-2</v>
      </c>
      <c r="S3342" s="2" t="s">
        <v>39</v>
      </c>
    </row>
    <row r="3343" spans="1:19" x14ac:dyDescent="0.3">
      <c r="A3343" s="4">
        <v>3341</v>
      </c>
      <c r="B3343" s="2" t="s">
        <v>25</v>
      </c>
      <c r="C3343" s="3">
        <v>44847</v>
      </c>
      <c r="D3343" s="3" t="str">
        <f>TEXT(Table1[[#This Row],[Admission Date]],"MMMM")</f>
        <v>October</v>
      </c>
      <c r="E3343" s="3">
        <v>44847</v>
      </c>
      <c r="F3343" s="3">
        <v>44847</v>
      </c>
      <c r="G3343" s="2">
        <v>22026836</v>
      </c>
      <c r="H3343" s="2">
        <v>2235801</v>
      </c>
      <c r="I3343" s="2">
        <v>1001561182</v>
      </c>
      <c r="J3343" s="2" t="s">
        <v>222</v>
      </c>
      <c r="K3343" s="10">
        <v>2680</v>
      </c>
      <c r="L3343" s="10">
        <v>0</v>
      </c>
      <c r="M3343" s="10">
        <v>2680</v>
      </c>
      <c r="N3343" s="10">
        <v>2680</v>
      </c>
      <c r="O3343" s="10">
        <f>Table1[[#This Row],[NET Amount]]-Table1[[#This Row],[Paid Amount]]</f>
        <v>0</v>
      </c>
      <c r="P3343" s="2" t="s">
        <v>18</v>
      </c>
      <c r="Q3343" s="2" t="s">
        <v>54</v>
      </c>
      <c r="R3343" s="16">
        <f>(Table1[[#This Row],[NET Amount]]-Table1[[#This Row],[Total Outstanding Amount]])/Table1[[#This Row],[NET Amount]]</f>
        <v>1</v>
      </c>
      <c r="S3343" s="2" t="s">
        <v>97</v>
      </c>
    </row>
    <row r="3344" spans="1:19" x14ac:dyDescent="0.3">
      <c r="A3344" s="4">
        <v>3342</v>
      </c>
      <c r="B3344" s="2" t="s">
        <v>25</v>
      </c>
      <c r="C3344" s="3">
        <v>44847</v>
      </c>
      <c r="D3344" s="3" t="str">
        <f>TEXT(Table1[[#This Row],[Admission Date]],"MMMM")</f>
        <v>October</v>
      </c>
      <c r="E3344" s="3">
        <v>44847</v>
      </c>
      <c r="F3344" s="3">
        <v>44847</v>
      </c>
      <c r="G3344" s="2">
        <v>22026959</v>
      </c>
      <c r="H3344" s="2">
        <v>2235884</v>
      </c>
      <c r="I3344" s="2">
        <v>1001491648</v>
      </c>
      <c r="J3344" s="2" t="s">
        <v>124</v>
      </c>
      <c r="K3344" s="10">
        <v>11374</v>
      </c>
      <c r="L3344" s="10">
        <v>11374</v>
      </c>
      <c r="M3344" s="10">
        <v>0</v>
      </c>
      <c r="N3344" s="10">
        <v>0</v>
      </c>
      <c r="O3344" s="10">
        <f>Table1[[#This Row],[NET Amount]]-Table1[[#This Row],[Paid Amount]]</f>
        <v>0</v>
      </c>
      <c r="P3344" s="2" t="s">
        <v>18</v>
      </c>
      <c r="Q3344" s="2" t="s">
        <v>90</v>
      </c>
      <c r="R3344" s="16" t="e">
        <f>(Table1[[#This Row],[NET Amount]]-Table1[[#This Row],[Total Outstanding Amount]])/Table1[[#This Row],[NET Amount]]</f>
        <v>#DIV/0!</v>
      </c>
      <c r="S3344" s="2" t="s">
        <v>97</v>
      </c>
    </row>
    <row r="3345" spans="1:19" x14ac:dyDescent="0.3">
      <c r="A3345" s="4">
        <v>3343</v>
      </c>
      <c r="B3345" s="2" t="s">
        <v>25</v>
      </c>
      <c r="C3345" s="3">
        <v>44841</v>
      </c>
      <c r="D3345" s="3" t="str">
        <f>TEXT(Table1[[#This Row],[Admission Date]],"MMMM")</f>
        <v>October</v>
      </c>
      <c r="E3345" s="3">
        <v>44841</v>
      </c>
      <c r="F3345" s="3">
        <v>44841</v>
      </c>
      <c r="G3345" s="2">
        <v>22025938</v>
      </c>
      <c r="H3345" s="2">
        <v>2234995</v>
      </c>
      <c r="I3345" s="2">
        <v>1000890994</v>
      </c>
      <c r="J3345" s="2" t="s">
        <v>271</v>
      </c>
      <c r="K3345" s="10">
        <v>3488</v>
      </c>
      <c r="L3345" s="10">
        <v>286</v>
      </c>
      <c r="M3345" s="10">
        <v>3202</v>
      </c>
      <c r="N3345" s="10">
        <v>3202</v>
      </c>
      <c r="O3345" s="10">
        <f>Table1[[#This Row],[NET Amount]]-Table1[[#This Row],[Paid Amount]]</f>
        <v>0</v>
      </c>
      <c r="P3345" s="2" t="s">
        <v>18</v>
      </c>
      <c r="Q3345" s="2" t="s">
        <v>54</v>
      </c>
      <c r="R3345" s="16">
        <f>(Table1[[#This Row],[NET Amount]]-Table1[[#This Row],[Total Outstanding Amount]])/Table1[[#This Row],[NET Amount]]</f>
        <v>1</v>
      </c>
      <c r="S3345" s="2" t="s">
        <v>97</v>
      </c>
    </row>
    <row r="3346" spans="1:19" x14ac:dyDescent="0.3">
      <c r="A3346" s="4">
        <v>3344</v>
      </c>
      <c r="B3346" s="2" t="s">
        <v>35</v>
      </c>
      <c r="C3346" s="3">
        <v>44833</v>
      </c>
      <c r="D3346" s="3" t="str">
        <f>TEXT(Table1[[#This Row],[Admission Date]],"MMMM")</f>
        <v>September</v>
      </c>
      <c r="E3346" s="3">
        <v>44837</v>
      </c>
      <c r="F3346" s="3">
        <v>44837</v>
      </c>
      <c r="G3346" s="2">
        <v>22025379</v>
      </c>
      <c r="H3346" s="2">
        <v>2233949</v>
      </c>
      <c r="I3346" s="2">
        <v>10013530699</v>
      </c>
      <c r="J3346" s="2" t="s">
        <v>356</v>
      </c>
      <c r="K3346" s="10">
        <v>22534</v>
      </c>
      <c r="L3346" s="10">
        <v>0</v>
      </c>
      <c r="M3346" s="10">
        <v>22534</v>
      </c>
      <c r="N3346" s="10">
        <v>22534</v>
      </c>
      <c r="O3346" s="10">
        <f>Table1[[#This Row],[NET Amount]]-Table1[[#This Row],[Paid Amount]]</f>
        <v>0</v>
      </c>
      <c r="P3346" s="2" t="s">
        <v>18</v>
      </c>
      <c r="Q3346" s="2" t="s">
        <v>24</v>
      </c>
      <c r="R3346" s="16">
        <f>(Table1[[#This Row],[NET Amount]]-Table1[[#This Row],[Total Outstanding Amount]])/Table1[[#This Row],[NET Amount]]</f>
        <v>1</v>
      </c>
      <c r="S3346" s="2" t="s">
        <v>43</v>
      </c>
    </row>
    <row r="3347" spans="1:19" x14ac:dyDescent="0.3">
      <c r="A3347" s="4">
        <v>3345</v>
      </c>
      <c r="B3347" s="2" t="s">
        <v>2253</v>
      </c>
      <c r="C3347" s="3">
        <v>44832</v>
      </c>
      <c r="D3347" s="3" t="str">
        <f>TEXT(Table1[[#This Row],[Admission Date]],"MMMM")</f>
        <v>September</v>
      </c>
      <c r="E3347" s="3">
        <v>44841</v>
      </c>
      <c r="F3347" s="3">
        <v>44841</v>
      </c>
      <c r="G3347" s="2">
        <v>22026018</v>
      </c>
      <c r="H3347" s="2">
        <v>2233851</v>
      </c>
      <c r="I3347" s="2">
        <v>1001801333</v>
      </c>
      <c r="J3347" s="2" t="s">
        <v>1956</v>
      </c>
      <c r="K3347" s="10">
        <v>113836</v>
      </c>
      <c r="L3347" s="10">
        <v>0</v>
      </c>
      <c r="M3347" s="10">
        <v>113836</v>
      </c>
      <c r="N3347" s="10">
        <v>6788</v>
      </c>
      <c r="O3347" s="10">
        <f>Table1[[#This Row],[NET Amount]]-Table1[[#This Row],[Paid Amount]]</f>
        <v>107048</v>
      </c>
      <c r="P3347" s="2" t="s">
        <v>23</v>
      </c>
      <c r="Q3347" s="2" t="s">
        <v>24</v>
      </c>
      <c r="R3347" s="16">
        <f>(Table1[[#This Row],[NET Amount]]-Table1[[#This Row],[Total Outstanding Amount]])/Table1[[#This Row],[NET Amount]]</f>
        <v>5.9629642643803368E-2</v>
      </c>
      <c r="S3347" s="2" t="s">
        <v>20</v>
      </c>
    </row>
    <row r="3348" spans="1:19" x14ac:dyDescent="0.3">
      <c r="A3348" s="4">
        <v>3346</v>
      </c>
      <c r="B3348" s="2" t="s">
        <v>2244</v>
      </c>
      <c r="C3348" s="3">
        <v>44841</v>
      </c>
      <c r="D3348" s="3" t="str">
        <f>TEXT(Table1[[#This Row],[Admission Date]],"MMMM")</f>
        <v>October</v>
      </c>
      <c r="E3348" s="3">
        <v>44841</v>
      </c>
      <c r="F3348" s="3">
        <v>44841</v>
      </c>
      <c r="G3348" s="2">
        <v>22026049</v>
      </c>
      <c r="H3348" s="2">
        <v>2235074</v>
      </c>
      <c r="I3348" s="2">
        <v>1001758739</v>
      </c>
      <c r="J3348" s="2" t="s">
        <v>233</v>
      </c>
      <c r="K3348" s="10">
        <v>2560</v>
      </c>
      <c r="L3348" s="10">
        <v>0</v>
      </c>
      <c r="M3348" s="10">
        <v>2560</v>
      </c>
      <c r="N3348" s="10">
        <v>2560</v>
      </c>
      <c r="O3348" s="10">
        <f>Table1[[#This Row],[NET Amount]]-Table1[[#This Row],[Paid Amount]]</f>
        <v>0</v>
      </c>
      <c r="P3348" s="2" t="s">
        <v>18</v>
      </c>
      <c r="Q3348" s="2" t="s">
        <v>54</v>
      </c>
      <c r="R3348" s="16">
        <f>(Table1[[#This Row],[NET Amount]]-Table1[[#This Row],[Total Outstanding Amount]])/Table1[[#This Row],[NET Amount]]</f>
        <v>1</v>
      </c>
      <c r="S3348" s="2" t="s">
        <v>97</v>
      </c>
    </row>
    <row r="3349" spans="1:19" x14ac:dyDescent="0.3">
      <c r="A3349" s="4">
        <v>3347</v>
      </c>
      <c r="B3349" s="2" t="s">
        <v>35</v>
      </c>
      <c r="C3349" s="3">
        <v>44844</v>
      </c>
      <c r="D3349" s="3" t="str">
        <f>TEXT(Table1[[#This Row],[Admission Date]],"MMMM")</f>
        <v>October</v>
      </c>
      <c r="E3349" s="3">
        <v>44845</v>
      </c>
      <c r="F3349" s="3">
        <v>44845</v>
      </c>
      <c r="G3349" s="2">
        <v>22026518</v>
      </c>
      <c r="H3349" s="2">
        <v>2235324</v>
      </c>
      <c r="I3349" s="2">
        <v>1001028367</v>
      </c>
      <c r="J3349" s="2" t="s">
        <v>1957</v>
      </c>
      <c r="K3349" s="10">
        <v>19639</v>
      </c>
      <c r="L3349" s="10">
        <v>0</v>
      </c>
      <c r="M3349" s="10">
        <v>19639</v>
      </c>
      <c r="N3349" s="10">
        <v>19639</v>
      </c>
      <c r="O3349" s="10">
        <f>Table1[[#This Row],[NET Amount]]-Table1[[#This Row],[Paid Amount]]</f>
        <v>0</v>
      </c>
      <c r="P3349" s="2" t="s">
        <v>18</v>
      </c>
      <c r="Q3349" s="2" t="s">
        <v>24</v>
      </c>
      <c r="R3349" s="16">
        <f>(Table1[[#This Row],[NET Amount]]-Table1[[#This Row],[Total Outstanding Amount]])/Table1[[#This Row],[NET Amount]]</f>
        <v>1</v>
      </c>
      <c r="S3349" s="2" t="s">
        <v>77</v>
      </c>
    </row>
    <row r="3350" spans="1:19" x14ac:dyDescent="0.3">
      <c r="A3350" s="4">
        <v>3348</v>
      </c>
      <c r="B3350" s="2" t="s">
        <v>126</v>
      </c>
      <c r="C3350" s="3">
        <v>44849</v>
      </c>
      <c r="D3350" s="3" t="str">
        <f>TEXT(Table1[[#This Row],[Admission Date]],"MMMM")</f>
        <v>October</v>
      </c>
      <c r="E3350" s="3">
        <v>44849</v>
      </c>
      <c r="F3350" s="3">
        <v>44849</v>
      </c>
      <c r="G3350" s="2">
        <v>22027185</v>
      </c>
      <c r="H3350" s="2">
        <v>2236113</v>
      </c>
      <c r="I3350" s="2">
        <v>10013494261</v>
      </c>
      <c r="J3350" s="2" t="s">
        <v>200</v>
      </c>
      <c r="K3350" s="10">
        <v>23500</v>
      </c>
      <c r="L3350" s="10">
        <v>0</v>
      </c>
      <c r="M3350" s="10">
        <v>23500</v>
      </c>
      <c r="N3350" s="10">
        <v>1500</v>
      </c>
      <c r="O3350" s="10">
        <f>Table1[[#This Row],[NET Amount]]-Table1[[#This Row],[Paid Amount]]</f>
        <v>22000</v>
      </c>
      <c r="P3350" s="2" t="s">
        <v>23</v>
      </c>
      <c r="Q3350" s="2" t="s">
        <v>54</v>
      </c>
      <c r="R3350" s="16">
        <f>(Table1[[#This Row],[NET Amount]]-Table1[[#This Row],[Total Outstanding Amount]])/Table1[[#This Row],[NET Amount]]</f>
        <v>6.3829787234042548E-2</v>
      </c>
      <c r="S3350" s="2" t="s">
        <v>39</v>
      </c>
    </row>
    <row r="3351" spans="1:19" x14ac:dyDescent="0.3">
      <c r="A3351" s="4">
        <v>3349</v>
      </c>
      <c r="B3351" s="2" t="s">
        <v>2247</v>
      </c>
      <c r="C3351" s="3">
        <v>44849</v>
      </c>
      <c r="D3351" s="3" t="str">
        <f>TEXT(Table1[[#This Row],[Admission Date]],"MMMM")</f>
        <v>October</v>
      </c>
      <c r="E3351" s="3">
        <v>44850</v>
      </c>
      <c r="F3351" s="3">
        <v>44850</v>
      </c>
      <c r="G3351" s="2">
        <v>22027309</v>
      </c>
      <c r="H3351" s="2">
        <v>2236110</v>
      </c>
      <c r="I3351" s="2">
        <v>1001804499</v>
      </c>
      <c r="J3351" s="2" t="s">
        <v>1214</v>
      </c>
      <c r="K3351" s="10">
        <v>83130</v>
      </c>
      <c r="L3351" s="10">
        <v>0</v>
      </c>
      <c r="M3351" s="10">
        <v>83130</v>
      </c>
      <c r="N3351" s="10">
        <v>2000</v>
      </c>
      <c r="O3351" s="10">
        <f>Table1[[#This Row],[NET Amount]]-Table1[[#This Row],[Paid Amount]]</f>
        <v>81130</v>
      </c>
      <c r="P3351" s="2" t="s">
        <v>23</v>
      </c>
      <c r="Q3351" s="2" t="s">
        <v>30</v>
      </c>
      <c r="R3351" s="16">
        <f>(Table1[[#This Row],[NET Amount]]-Table1[[#This Row],[Total Outstanding Amount]])/Table1[[#This Row],[NET Amount]]</f>
        <v>2.4058703235895585E-2</v>
      </c>
      <c r="S3351" s="2" t="s">
        <v>138</v>
      </c>
    </row>
    <row r="3352" spans="1:19" x14ac:dyDescent="0.3">
      <c r="A3352" s="4">
        <v>3350</v>
      </c>
      <c r="B3352" s="2" t="s">
        <v>50</v>
      </c>
      <c r="C3352" s="3">
        <v>44838</v>
      </c>
      <c r="D3352" s="3" t="str">
        <f>TEXT(Table1[[#This Row],[Admission Date]],"MMMM")</f>
        <v>October</v>
      </c>
      <c r="E3352" s="3">
        <v>44838</v>
      </c>
      <c r="F3352" s="3">
        <v>44838</v>
      </c>
      <c r="G3352" s="2">
        <v>22025482</v>
      </c>
      <c r="H3352" s="2">
        <v>2234516</v>
      </c>
      <c r="I3352" s="2">
        <v>1000891498</v>
      </c>
      <c r="J3352" s="2" t="s">
        <v>299</v>
      </c>
      <c r="K3352" s="10">
        <v>2200</v>
      </c>
      <c r="L3352" s="10">
        <v>0</v>
      </c>
      <c r="M3352" s="10">
        <v>2200</v>
      </c>
      <c r="N3352" s="10">
        <v>440</v>
      </c>
      <c r="O3352" s="10">
        <f>Table1[[#This Row],[NET Amount]]-Table1[[#This Row],[Paid Amount]]</f>
        <v>1760</v>
      </c>
      <c r="P3352" s="2" t="s">
        <v>23</v>
      </c>
      <c r="Q3352" s="2" t="s">
        <v>147</v>
      </c>
      <c r="R3352" s="16">
        <f>(Table1[[#This Row],[NET Amount]]-Table1[[#This Row],[Total Outstanding Amount]])/Table1[[#This Row],[NET Amount]]</f>
        <v>0.2</v>
      </c>
      <c r="S3352" s="2" t="s">
        <v>97</v>
      </c>
    </row>
    <row r="3353" spans="1:19" x14ac:dyDescent="0.3">
      <c r="A3353" s="4">
        <v>3351</v>
      </c>
      <c r="B3353" s="2" t="s">
        <v>25</v>
      </c>
      <c r="C3353" s="3">
        <v>44838</v>
      </c>
      <c r="D3353" s="3" t="str">
        <f>TEXT(Table1[[#This Row],[Admission Date]],"MMMM")</f>
        <v>October</v>
      </c>
      <c r="E3353" s="3">
        <v>44838</v>
      </c>
      <c r="F3353" s="3">
        <v>44838</v>
      </c>
      <c r="G3353" s="2">
        <v>22025484</v>
      </c>
      <c r="H3353" s="2">
        <v>2234519</v>
      </c>
      <c r="I3353" s="2">
        <v>1000975940</v>
      </c>
      <c r="J3353" s="2" t="s">
        <v>341</v>
      </c>
      <c r="K3353" s="10">
        <v>4990</v>
      </c>
      <c r="L3353" s="10">
        <v>442</v>
      </c>
      <c r="M3353" s="10">
        <v>4548</v>
      </c>
      <c r="N3353" s="10">
        <v>4548</v>
      </c>
      <c r="O3353" s="10">
        <f>Table1[[#This Row],[NET Amount]]-Table1[[#This Row],[Paid Amount]]</f>
        <v>0</v>
      </c>
      <c r="P3353" s="2" t="s">
        <v>18</v>
      </c>
      <c r="Q3353" s="2" t="s">
        <v>54</v>
      </c>
      <c r="R3353" s="16">
        <f>(Table1[[#This Row],[NET Amount]]-Table1[[#This Row],[Total Outstanding Amount]])/Table1[[#This Row],[NET Amount]]</f>
        <v>1</v>
      </c>
      <c r="S3353" s="2" t="s">
        <v>97</v>
      </c>
    </row>
    <row r="3354" spans="1:19" x14ac:dyDescent="0.3">
      <c r="A3354" s="4">
        <v>3352</v>
      </c>
      <c r="B3354" s="2" t="s">
        <v>25</v>
      </c>
      <c r="C3354" s="3">
        <v>44859</v>
      </c>
      <c r="D3354" s="3" t="str">
        <f>TEXT(Table1[[#This Row],[Admission Date]],"MMMM")</f>
        <v>October</v>
      </c>
      <c r="E3354" s="3">
        <v>44859</v>
      </c>
      <c r="F3354" s="3">
        <v>44859</v>
      </c>
      <c r="G3354" s="2">
        <v>22028559</v>
      </c>
      <c r="H3354" s="2">
        <v>2237343</v>
      </c>
      <c r="I3354" s="2">
        <v>10013542155</v>
      </c>
      <c r="J3354" s="2" t="s">
        <v>1958</v>
      </c>
      <c r="K3354" s="10">
        <v>6511</v>
      </c>
      <c r="L3354" s="10">
        <v>754</v>
      </c>
      <c r="M3354" s="10">
        <v>5757</v>
      </c>
      <c r="N3354" s="10">
        <v>5757</v>
      </c>
      <c r="O3354" s="10">
        <f>Table1[[#This Row],[NET Amount]]-Table1[[#This Row],[Paid Amount]]</f>
        <v>0</v>
      </c>
      <c r="P3354" s="2" t="s">
        <v>18</v>
      </c>
      <c r="Q3354" s="2" t="s">
        <v>54</v>
      </c>
      <c r="R3354" s="16">
        <f>(Table1[[#This Row],[NET Amount]]-Table1[[#This Row],[Total Outstanding Amount]])/Table1[[#This Row],[NET Amount]]</f>
        <v>1</v>
      </c>
      <c r="S3354" s="2" t="s">
        <v>20</v>
      </c>
    </row>
    <row r="3355" spans="1:19" x14ac:dyDescent="0.3">
      <c r="A3355" s="4">
        <v>3353</v>
      </c>
      <c r="B3355" s="2" t="s">
        <v>25</v>
      </c>
      <c r="C3355" s="3">
        <v>44859</v>
      </c>
      <c r="D3355" s="3" t="str">
        <f>TEXT(Table1[[#This Row],[Admission Date]],"MMMM")</f>
        <v>October</v>
      </c>
      <c r="E3355" s="3">
        <v>44859</v>
      </c>
      <c r="F3355" s="3">
        <v>44859</v>
      </c>
      <c r="G3355" s="2">
        <v>22028562</v>
      </c>
      <c r="H3355" s="2">
        <v>2237406</v>
      </c>
      <c r="I3355" s="2">
        <v>1001012376</v>
      </c>
      <c r="J3355" s="2" t="s">
        <v>541</v>
      </c>
      <c r="K3355" s="10">
        <v>3288</v>
      </c>
      <c r="L3355" s="10">
        <v>3288</v>
      </c>
      <c r="M3355" s="10">
        <v>0</v>
      </c>
      <c r="N3355" s="10">
        <v>0</v>
      </c>
      <c r="O3355" s="10">
        <f>Table1[[#This Row],[NET Amount]]-Table1[[#This Row],[Paid Amount]]</f>
        <v>0</v>
      </c>
      <c r="P3355" s="2" t="s">
        <v>18</v>
      </c>
      <c r="Q3355" s="2" t="s">
        <v>90</v>
      </c>
      <c r="R3355" s="16" t="e">
        <f>(Table1[[#This Row],[NET Amount]]-Table1[[#This Row],[Total Outstanding Amount]])/Table1[[#This Row],[NET Amount]]</f>
        <v>#DIV/0!</v>
      </c>
      <c r="S3355" s="2" t="s">
        <v>97</v>
      </c>
    </row>
    <row r="3356" spans="1:19" x14ac:dyDescent="0.3">
      <c r="A3356" s="4">
        <v>3354</v>
      </c>
      <c r="B3356" s="2" t="s">
        <v>75</v>
      </c>
      <c r="C3356" s="3">
        <v>44848</v>
      </c>
      <c r="D3356" s="3" t="str">
        <f>TEXT(Table1[[#This Row],[Admission Date]],"MMMM")</f>
        <v>October</v>
      </c>
      <c r="E3356" s="3">
        <v>44859</v>
      </c>
      <c r="F3356" s="3">
        <v>44859</v>
      </c>
      <c r="G3356" s="2">
        <v>22028565</v>
      </c>
      <c r="H3356" s="2">
        <v>2235944</v>
      </c>
      <c r="I3356" s="2">
        <v>10013510868</v>
      </c>
      <c r="J3356" s="2" t="s">
        <v>1959</v>
      </c>
      <c r="K3356" s="10">
        <v>203391</v>
      </c>
      <c r="L3356" s="10">
        <v>0</v>
      </c>
      <c r="M3356" s="10">
        <v>203391</v>
      </c>
      <c r="N3356" s="10">
        <v>1692</v>
      </c>
      <c r="O3356" s="10">
        <f>Table1[[#This Row],[NET Amount]]-Table1[[#This Row],[Paid Amount]]</f>
        <v>201699</v>
      </c>
      <c r="P3356" s="2" t="s">
        <v>23</v>
      </c>
      <c r="Q3356" s="2" t="s">
        <v>24</v>
      </c>
      <c r="R3356" s="16">
        <f>(Table1[[#This Row],[NET Amount]]-Table1[[#This Row],[Total Outstanding Amount]])/Table1[[#This Row],[NET Amount]]</f>
        <v>8.3189521660250454E-3</v>
      </c>
      <c r="S3356" s="2" t="s">
        <v>20</v>
      </c>
    </row>
    <row r="3357" spans="1:19" x14ac:dyDescent="0.3">
      <c r="A3357" s="4">
        <v>3355</v>
      </c>
      <c r="B3357" s="2" t="s">
        <v>259</v>
      </c>
      <c r="C3357" s="3">
        <v>44860</v>
      </c>
      <c r="D3357" s="3" t="str">
        <f>TEXT(Table1[[#This Row],[Admission Date]],"MMMM")</f>
        <v>October</v>
      </c>
      <c r="E3357" s="3">
        <v>44861</v>
      </c>
      <c r="F3357" s="3">
        <v>44861</v>
      </c>
      <c r="G3357" s="2">
        <v>22028752</v>
      </c>
      <c r="H3357" s="2">
        <v>2237478</v>
      </c>
      <c r="I3357" s="2">
        <v>10013437651</v>
      </c>
      <c r="J3357" s="2" t="s">
        <v>1960</v>
      </c>
      <c r="K3357" s="10">
        <v>225390</v>
      </c>
      <c r="L3357" s="10">
        <v>0</v>
      </c>
      <c r="M3357" s="10">
        <v>225390</v>
      </c>
      <c r="N3357" s="10">
        <v>38553</v>
      </c>
      <c r="O3357" s="10">
        <f>Table1[[#This Row],[NET Amount]]-Table1[[#This Row],[Paid Amount]]</f>
        <v>186837</v>
      </c>
      <c r="P3357" s="2" t="s">
        <v>23</v>
      </c>
      <c r="Q3357" s="2" t="s">
        <v>47</v>
      </c>
      <c r="R3357" s="16">
        <f>(Table1[[#This Row],[NET Amount]]-Table1[[#This Row],[Total Outstanding Amount]])/Table1[[#This Row],[NET Amount]]</f>
        <v>0.17105017968853986</v>
      </c>
      <c r="S3357" s="2" t="s">
        <v>39</v>
      </c>
    </row>
    <row r="3358" spans="1:19" x14ac:dyDescent="0.3">
      <c r="A3358" s="4">
        <v>3356</v>
      </c>
      <c r="B3358" s="2" t="s">
        <v>117</v>
      </c>
      <c r="C3358" s="3">
        <v>44835</v>
      </c>
      <c r="D3358" s="3" t="str">
        <f>TEXT(Table1[[#This Row],[Admission Date]],"MMMM")</f>
        <v>October</v>
      </c>
      <c r="E3358" s="3">
        <v>44835</v>
      </c>
      <c r="F3358" s="3">
        <v>44835</v>
      </c>
      <c r="G3358" s="2">
        <v>22025262</v>
      </c>
      <c r="H3358" s="2">
        <v>2234271</v>
      </c>
      <c r="I3358" s="2">
        <v>1001439428</v>
      </c>
      <c r="J3358" s="2" t="s">
        <v>189</v>
      </c>
      <c r="K3358" s="10">
        <v>2758</v>
      </c>
      <c r="L3358" s="10">
        <v>0</v>
      </c>
      <c r="M3358" s="10">
        <v>2758</v>
      </c>
      <c r="N3358" s="10">
        <v>2758</v>
      </c>
      <c r="O3358" s="10">
        <f>Table1[[#This Row],[NET Amount]]-Table1[[#This Row],[Paid Amount]]</f>
        <v>0</v>
      </c>
      <c r="P3358" s="2" t="s">
        <v>18</v>
      </c>
      <c r="Q3358" s="2" t="s">
        <v>54</v>
      </c>
      <c r="R3358" s="16">
        <f>(Table1[[#This Row],[NET Amount]]-Table1[[#This Row],[Total Outstanding Amount]])/Table1[[#This Row],[NET Amount]]</f>
        <v>1</v>
      </c>
      <c r="S3358" s="2" t="s">
        <v>97</v>
      </c>
    </row>
    <row r="3359" spans="1:19" x14ac:dyDescent="0.3">
      <c r="A3359" s="4">
        <v>3357</v>
      </c>
      <c r="B3359" s="2" t="s">
        <v>25</v>
      </c>
      <c r="C3359" s="3">
        <v>44842</v>
      </c>
      <c r="D3359" s="3" t="str">
        <f>TEXT(Table1[[#This Row],[Admission Date]],"MMMM")</f>
        <v>October</v>
      </c>
      <c r="E3359" s="3">
        <v>44844</v>
      </c>
      <c r="F3359" s="3">
        <v>44844</v>
      </c>
      <c r="G3359" s="2">
        <v>22026326</v>
      </c>
      <c r="H3359" s="2">
        <v>2235249</v>
      </c>
      <c r="I3359" s="2">
        <v>1001802564</v>
      </c>
      <c r="J3359" s="2" t="s">
        <v>1961</v>
      </c>
      <c r="K3359" s="10">
        <v>23123</v>
      </c>
      <c r="L3359" s="10">
        <v>3312</v>
      </c>
      <c r="M3359" s="10">
        <v>19811</v>
      </c>
      <c r="N3359" s="10">
        <v>19811</v>
      </c>
      <c r="O3359" s="10">
        <f>Table1[[#This Row],[NET Amount]]-Table1[[#This Row],[Paid Amount]]</f>
        <v>0</v>
      </c>
      <c r="P3359" s="2" t="s">
        <v>18</v>
      </c>
      <c r="Q3359" s="2" t="s">
        <v>24</v>
      </c>
      <c r="R3359" s="16">
        <f>(Table1[[#This Row],[NET Amount]]-Table1[[#This Row],[Total Outstanding Amount]])/Table1[[#This Row],[NET Amount]]</f>
        <v>1</v>
      </c>
      <c r="S3359" s="2" t="s">
        <v>37</v>
      </c>
    </row>
    <row r="3360" spans="1:19" x14ac:dyDescent="0.3">
      <c r="A3360" s="4">
        <v>3358</v>
      </c>
      <c r="B3360" s="2" t="s">
        <v>155</v>
      </c>
      <c r="C3360" s="3">
        <v>44846</v>
      </c>
      <c r="D3360" s="3" t="str">
        <f>TEXT(Table1[[#This Row],[Admission Date]],"MMMM")</f>
        <v>October</v>
      </c>
      <c r="E3360" s="3">
        <v>44846</v>
      </c>
      <c r="F3360" s="3">
        <v>44846</v>
      </c>
      <c r="G3360" s="2">
        <v>22026727</v>
      </c>
      <c r="H3360" s="2">
        <v>2235673</v>
      </c>
      <c r="I3360" s="2">
        <v>10013362937</v>
      </c>
      <c r="J3360" s="2" t="s">
        <v>963</v>
      </c>
      <c r="K3360" s="10">
        <v>1610</v>
      </c>
      <c r="L3360" s="10">
        <v>0</v>
      </c>
      <c r="M3360" s="10">
        <v>1610</v>
      </c>
      <c r="N3360" s="10">
        <v>1610</v>
      </c>
      <c r="O3360" s="10">
        <f>Table1[[#This Row],[NET Amount]]-Table1[[#This Row],[Paid Amount]]</f>
        <v>0</v>
      </c>
      <c r="P3360" s="2" t="s">
        <v>18</v>
      </c>
      <c r="Q3360" s="2" t="s">
        <v>54</v>
      </c>
      <c r="R3360" s="16">
        <f>(Table1[[#This Row],[NET Amount]]-Table1[[#This Row],[Total Outstanding Amount]])/Table1[[#This Row],[NET Amount]]</f>
        <v>1</v>
      </c>
      <c r="S3360" s="2" t="s">
        <v>97</v>
      </c>
    </row>
    <row r="3361" spans="1:19" x14ac:dyDescent="0.3">
      <c r="A3361" s="4">
        <v>3359</v>
      </c>
      <c r="B3361" s="2" t="s">
        <v>2247</v>
      </c>
      <c r="C3361" s="3">
        <v>44853</v>
      </c>
      <c r="D3361" s="3" t="str">
        <f>TEXT(Table1[[#This Row],[Admission Date]],"MMMM")</f>
        <v>October</v>
      </c>
      <c r="E3361" s="3">
        <v>44856</v>
      </c>
      <c r="F3361" s="3">
        <v>44856</v>
      </c>
      <c r="G3361" s="2">
        <v>22028175</v>
      </c>
      <c r="H3361" s="2">
        <v>2236652</v>
      </c>
      <c r="I3361" s="2">
        <v>1001805279</v>
      </c>
      <c r="J3361" s="2" t="s">
        <v>1962</v>
      </c>
      <c r="K3361" s="10">
        <v>45794</v>
      </c>
      <c r="L3361" s="10">
        <v>7450</v>
      </c>
      <c r="M3361" s="10">
        <v>38344</v>
      </c>
      <c r="N3361" s="10">
        <v>1000</v>
      </c>
      <c r="O3361" s="10">
        <f>Table1[[#This Row],[NET Amount]]-Table1[[#This Row],[Paid Amount]]</f>
        <v>37344</v>
      </c>
      <c r="P3361" s="2" t="s">
        <v>23</v>
      </c>
      <c r="Q3361" s="2" t="s">
        <v>42</v>
      </c>
      <c r="R3361" s="16">
        <f>(Table1[[#This Row],[NET Amount]]-Table1[[#This Row],[Total Outstanding Amount]])/Table1[[#This Row],[NET Amount]]</f>
        <v>2.6079699561861049E-2</v>
      </c>
      <c r="S3361" s="2" t="s">
        <v>20</v>
      </c>
    </row>
    <row r="3362" spans="1:19" x14ac:dyDescent="0.3">
      <c r="A3362" s="4">
        <v>3360</v>
      </c>
      <c r="B3362" s="2" t="s">
        <v>163</v>
      </c>
      <c r="C3362" s="3">
        <v>44848</v>
      </c>
      <c r="D3362" s="3" t="str">
        <f>TEXT(Table1[[#This Row],[Admission Date]],"MMMM")</f>
        <v>October</v>
      </c>
      <c r="E3362" s="3">
        <v>44854</v>
      </c>
      <c r="F3362" s="3">
        <v>44854</v>
      </c>
      <c r="G3362" s="2">
        <v>22027847</v>
      </c>
      <c r="H3362" s="2">
        <v>2236056</v>
      </c>
      <c r="I3362" s="2">
        <v>10013505442</v>
      </c>
      <c r="J3362" s="2" t="s">
        <v>1963</v>
      </c>
      <c r="K3362" s="10">
        <v>213006</v>
      </c>
      <c r="L3362" s="10">
        <v>0</v>
      </c>
      <c r="M3362" s="10">
        <v>213006</v>
      </c>
      <c r="N3362" s="10">
        <v>69927</v>
      </c>
      <c r="O3362" s="10">
        <f>Table1[[#This Row],[NET Amount]]-Table1[[#This Row],[Paid Amount]]</f>
        <v>143079</v>
      </c>
      <c r="P3362" s="2" t="s">
        <v>23</v>
      </c>
      <c r="Q3362" s="2" t="s">
        <v>24</v>
      </c>
      <c r="R3362" s="16">
        <f>(Table1[[#This Row],[NET Amount]]-Table1[[#This Row],[Total Outstanding Amount]])/Table1[[#This Row],[NET Amount]]</f>
        <v>0.32828652714008055</v>
      </c>
      <c r="S3362" s="2" t="s">
        <v>20</v>
      </c>
    </row>
    <row r="3363" spans="1:19" x14ac:dyDescent="0.3">
      <c r="A3363" s="4">
        <v>3361</v>
      </c>
      <c r="B3363" s="2" t="s">
        <v>25</v>
      </c>
      <c r="C3363" s="3">
        <v>44861</v>
      </c>
      <c r="D3363" s="3" t="str">
        <f>TEXT(Table1[[#This Row],[Admission Date]],"MMMM")</f>
        <v>October</v>
      </c>
      <c r="E3363" s="3">
        <v>44861</v>
      </c>
      <c r="F3363" s="3">
        <v>44861</v>
      </c>
      <c r="G3363" s="2">
        <v>22028797</v>
      </c>
      <c r="H3363" s="2">
        <v>2237670</v>
      </c>
      <c r="I3363" s="2">
        <v>1000891310</v>
      </c>
      <c r="J3363" s="2" t="s">
        <v>683</v>
      </c>
      <c r="K3363" s="10">
        <v>3319</v>
      </c>
      <c r="L3363" s="10">
        <v>3319</v>
      </c>
      <c r="M3363" s="10">
        <v>0</v>
      </c>
      <c r="N3363" s="10">
        <v>0</v>
      </c>
      <c r="O3363" s="10">
        <f>Table1[[#This Row],[NET Amount]]-Table1[[#This Row],[Paid Amount]]</f>
        <v>0</v>
      </c>
      <c r="P3363" s="2" t="s">
        <v>18</v>
      </c>
      <c r="Q3363" s="2" t="s">
        <v>90</v>
      </c>
      <c r="R3363" s="16" t="e">
        <f>(Table1[[#This Row],[NET Amount]]-Table1[[#This Row],[Total Outstanding Amount]])/Table1[[#This Row],[NET Amount]]</f>
        <v>#DIV/0!</v>
      </c>
      <c r="S3363" s="2" t="s">
        <v>97</v>
      </c>
    </row>
    <row r="3364" spans="1:19" x14ac:dyDescent="0.3">
      <c r="A3364" s="4">
        <v>3362</v>
      </c>
      <c r="B3364" s="2" t="s">
        <v>25</v>
      </c>
      <c r="C3364" s="3">
        <v>44837</v>
      </c>
      <c r="D3364" s="3" t="str">
        <f>TEXT(Table1[[#This Row],[Admission Date]],"MMMM")</f>
        <v>October</v>
      </c>
      <c r="E3364" s="3">
        <v>44837</v>
      </c>
      <c r="F3364" s="3">
        <v>44837</v>
      </c>
      <c r="G3364" s="2">
        <v>22025354</v>
      </c>
      <c r="H3364" s="2">
        <v>2234374</v>
      </c>
      <c r="I3364" s="2">
        <v>10013415573</v>
      </c>
      <c r="J3364" s="2" t="s">
        <v>335</v>
      </c>
      <c r="K3364" s="10">
        <v>4990</v>
      </c>
      <c r="L3364" s="10">
        <v>419</v>
      </c>
      <c r="M3364" s="10">
        <v>4571</v>
      </c>
      <c r="N3364" s="10">
        <v>4571</v>
      </c>
      <c r="O3364" s="10">
        <f>Table1[[#This Row],[NET Amount]]-Table1[[#This Row],[Paid Amount]]</f>
        <v>0</v>
      </c>
      <c r="P3364" s="2" t="s">
        <v>18</v>
      </c>
      <c r="Q3364" s="2" t="s">
        <v>54</v>
      </c>
      <c r="R3364" s="16">
        <f>(Table1[[#This Row],[NET Amount]]-Table1[[#This Row],[Total Outstanding Amount]])/Table1[[#This Row],[NET Amount]]</f>
        <v>1</v>
      </c>
      <c r="S3364" s="2" t="s">
        <v>97</v>
      </c>
    </row>
    <row r="3365" spans="1:19" x14ac:dyDescent="0.3">
      <c r="A3365" s="4">
        <v>3363</v>
      </c>
      <c r="B3365" s="2" t="s">
        <v>25</v>
      </c>
      <c r="C3365" s="3">
        <v>44840</v>
      </c>
      <c r="D3365" s="3" t="str">
        <f>TEXT(Table1[[#This Row],[Admission Date]],"MMMM")</f>
        <v>October</v>
      </c>
      <c r="E3365" s="3">
        <v>44840</v>
      </c>
      <c r="F3365" s="3">
        <v>44840</v>
      </c>
      <c r="G3365" s="2">
        <v>22025872</v>
      </c>
      <c r="H3365" s="2">
        <v>2234875</v>
      </c>
      <c r="I3365" s="2">
        <v>1000891310</v>
      </c>
      <c r="J3365" s="2" t="s">
        <v>683</v>
      </c>
      <c r="K3365" s="10">
        <v>3288</v>
      </c>
      <c r="L3365" s="10">
        <v>3288</v>
      </c>
      <c r="M3365" s="10">
        <v>0</v>
      </c>
      <c r="N3365" s="10">
        <v>0</v>
      </c>
      <c r="O3365" s="10">
        <f>Table1[[#This Row],[NET Amount]]-Table1[[#This Row],[Paid Amount]]</f>
        <v>0</v>
      </c>
      <c r="P3365" s="2" t="s">
        <v>18</v>
      </c>
      <c r="Q3365" s="2" t="s">
        <v>90</v>
      </c>
      <c r="R3365" s="16" t="e">
        <f>(Table1[[#This Row],[NET Amount]]-Table1[[#This Row],[Total Outstanding Amount]])/Table1[[#This Row],[NET Amount]]</f>
        <v>#DIV/0!</v>
      </c>
      <c r="S3365" s="2" t="s">
        <v>97</v>
      </c>
    </row>
    <row r="3366" spans="1:19" x14ac:dyDescent="0.3">
      <c r="A3366" s="4">
        <v>3364</v>
      </c>
      <c r="B3366" s="2" t="s">
        <v>50</v>
      </c>
      <c r="C3366" s="3">
        <v>44840</v>
      </c>
      <c r="D3366" s="3" t="str">
        <f>TEXT(Table1[[#This Row],[Admission Date]],"MMMM")</f>
        <v>October</v>
      </c>
      <c r="E3366" s="3">
        <v>44840</v>
      </c>
      <c r="F3366" s="3">
        <v>44840</v>
      </c>
      <c r="G3366" s="2">
        <v>22025850</v>
      </c>
      <c r="H3366" s="2">
        <v>2234853</v>
      </c>
      <c r="I3366" s="2">
        <v>1001206152</v>
      </c>
      <c r="J3366" s="2" t="s">
        <v>375</v>
      </c>
      <c r="K3366" s="10">
        <v>2200</v>
      </c>
      <c r="L3366" s="10">
        <v>0</v>
      </c>
      <c r="M3366" s="10">
        <v>2200</v>
      </c>
      <c r="N3366" s="10">
        <v>440</v>
      </c>
      <c r="O3366" s="10">
        <f>Table1[[#This Row],[NET Amount]]-Table1[[#This Row],[Paid Amount]]</f>
        <v>1760</v>
      </c>
      <c r="P3366" s="2" t="s">
        <v>23</v>
      </c>
      <c r="Q3366" s="2" t="s">
        <v>147</v>
      </c>
      <c r="R3366" s="16">
        <f>(Table1[[#This Row],[NET Amount]]-Table1[[#This Row],[Total Outstanding Amount]])/Table1[[#This Row],[NET Amount]]</f>
        <v>0.2</v>
      </c>
      <c r="S3366" s="2" t="s">
        <v>97</v>
      </c>
    </row>
    <row r="3367" spans="1:19" x14ac:dyDescent="0.3">
      <c r="A3367" s="4">
        <v>3365</v>
      </c>
      <c r="B3367" s="2" t="s">
        <v>25</v>
      </c>
      <c r="C3367" s="3">
        <v>44844</v>
      </c>
      <c r="D3367" s="3" t="str">
        <f>TEXT(Table1[[#This Row],[Admission Date]],"MMMM")</f>
        <v>October</v>
      </c>
      <c r="E3367" s="3">
        <v>44846</v>
      </c>
      <c r="F3367" s="3">
        <v>44846</v>
      </c>
      <c r="G3367" s="2">
        <v>22026678</v>
      </c>
      <c r="H3367" s="2">
        <v>2235447</v>
      </c>
      <c r="I3367" s="2">
        <v>1000929939</v>
      </c>
      <c r="J3367" s="2" t="s">
        <v>1051</v>
      </c>
      <c r="K3367" s="10">
        <v>50930</v>
      </c>
      <c r="L3367" s="10">
        <v>11182</v>
      </c>
      <c r="M3367" s="10">
        <v>39747</v>
      </c>
      <c r="N3367" s="10">
        <v>39747</v>
      </c>
      <c r="O3367" s="10">
        <f>Table1[[#This Row],[NET Amount]]-Table1[[#This Row],[Paid Amount]]</f>
        <v>0</v>
      </c>
      <c r="P3367" s="2" t="s">
        <v>18</v>
      </c>
      <c r="Q3367" s="2" t="s">
        <v>24</v>
      </c>
      <c r="R3367" s="16">
        <f>(Table1[[#This Row],[NET Amount]]-Table1[[#This Row],[Total Outstanding Amount]])/Table1[[#This Row],[NET Amount]]</f>
        <v>1</v>
      </c>
      <c r="S3367" s="2" t="s">
        <v>39</v>
      </c>
    </row>
    <row r="3368" spans="1:19" x14ac:dyDescent="0.3">
      <c r="A3368" s="4">
        <v>3366</v>
      </c>
      <c r="B3368" s="2" t="s">
        <v>25</v>
      </c>
      <c r="C3368" s="3">
        <v>44849</v>
      </c>
      <c r="D3368" s="3" t="str">
        <f>TEXT(Table1[[#This Row],[Admission Date]],"MMMM")</f>
        <v>October</v>
      </c>
      <c r="E3368" s="3">
        <v>44849</v>
      </c>
      <c r="F3368" s="3">
        <v>44849</v>
      </c>
      <c r="G3368" s="2">
        <v>22027237</v>
      </c>
      <c r="H3368" s="2">
        <v>2236156</v>
      </c>
      <c r="I3368" s="2">
        <v>10013543111</v>
      </c>
      <c r="J3368" s="2" t="s">
        <v>1964</v>
      </c>
      <c r="K3368" s="10">
        <v>0</v>
      </c>
      <c r="L3368" s="10">
        <v>0</v>
      </c>
      <c r="M3368" s="10">
        <v>0</v>
      </c>
      <c r="N3368" s="10">
        <v>0</v>
      </c>
      <c r="O3368" s="10">
        <f>Table1[[#This Row],[NET Amount]]-Table1[[#This Row],[Paid Amount]]</f>
        <v>0</v>
      </c>
      <c r="P3368" s="2" t="s">
        <v>18</v>
      </c>
      <c r="Q3368" s="2" t="s">
        <v>24</v>
      </c>
      <c r="R3368" s="16" t="e">
        <f>(Table1[[#This Row],[NET Amount]]-Table1[[#This Row],[Total Outstanding Amount]])/Table1[[#This Row],[NET Amount]]</f>
        <v>#DIV/0!</v>
      </c>
      <c r="S3368" s="2" t="s">
        <v>162</v>
      </c>
    </row>
    <row r="3369" spans="1:19" x14ac:dyDescent="0.3">
      <c r="A3369" s="4">
        <v>3367</v>
      </c>
      <c r="B3369" s="2" t="s">
        <v>25</v>
      </c>
      <c r="C3369" s="3">
        <v>44853</v>
      </c>
      <c r="D3369" s="3" t="str">
        <f>TEXT(Table1[[#This Row],[Admission Date]],"MMMM")</f>
        <v>October</v>
      </c>
      <c r="E3369" s="3">
        <v>44853</v>
      </c>
      <c r="F3369" s="3">
        <v>44853</v>
      </c>
      <c r="G3369" s="2">
        <v>22027686</v>
      </c>
      <c r="H3369" s="2">
        <v>2236569</v>
      </c>
      <c r="I3369" s="2">
        <v>10013502074</v>
      </c>
      <c r="J3369" s="2" t="s">
        <v>1965</v>
      </c>
      <c r="K3369" s="10">
        <v>29973</v>
      </c>
      <c r="L3369" s="10">
        <v>3914</v>
      </c>
      <c r="M3369" s="10">
        <v>26059</v>
      </c>
      <c r="N3369" s="10">
        <v>26059</v>
      </c>
      <c r="O3369" s="10">
        <f>Table1[[#This Row],[NET Amount]]-Table1[[#This Row],[Paid Amount]]</f>
        <v>0</v>
      </c>
      <c r="P3369" s="2" t="s">
        <v>18</v>
      </c>
      <c r="Q3369" s="2" t="s">
        <v>24</v>
      </c>
      <c r="R3369" s="16">
        <f>(Table1[[#This Row],[NET Amount]]-Table1[[#This Row],[Total Outstanding Amount]])/Table1[[#This Row],[NET Amount]]</f>
        <v>1</v>
      </c>
      <c r="S3369" s="2" t="s">
        <v>39</v>
      </c>
    </row>
    <row r="3370" spans="1:19" x14ac:dyDescent="0.3">
      <c r="A3370" s="4">
        <v>3368</v>
      </c>
      <c r="B3370" s="2" t="s">
        <v>93</v>
      </c>
      <c r="C3370" s="3">
        <v>44843</v>
      </c>
      <c r="D3370" s="3" t="str">
        <f>TEXT(Table1[[#This Row],[Admission Date]],"MMMM")</f>
        <v>October</v>
      </c>
      <c r="E3370" s="3">
        <v>44847</v>
      </c>
      <c r="F3370" s="3">
        <v>44847</v>
      </c>
      <c r="G3370" s="2">
        <v>22026866</v>
      </c>
      <c r="H3370" s="2">
        <v>2235308</v>
      </c>
      <c r="I3370" s="2">
        <v>10013542316</v>
      </c>
      <c r="J3370" s="2" t="s">
        <v>634</v>
      </c>
      <c r="K3370" s="10">
        <v>121575</v>
      </c>
      <c r="L3370" s="10">
        <v>0</v>
      </c>
      <c r="M3370" s="10">
        <v>121575</v>
      </c>
      <c r="N3370" s="10">
        <v>2295</v>
      </c>
      <c r="O3370" s="10">
        <f>Table1[[#This Row],[NET Amount]]-Table1[[#This Row],[Paid Amount]]</f>
        <v>119280</v>
      </c>
      <c r="P3370" s="2" t="s">
        <v>23</v>
      </c>
      <c r="Q3370" s="2" t="s">
        <v>52</v>
      </c>
      <c r="R3370" s="16">
        <f>(Table1[[#This Row],[NET Amount]]-Table1[[#This Row],[Total Outstanding Amount]])/Table1[[#This Row],[NET Amount]]</f>
        <v>1.8877236273904998E-2</v>
      </c>
      <c r="S3370" s="2" t="s">
        <v>20</v>
      </c>
    </row>
    <row r="3371" spans="1:19" x14ac:dyDescent="0.3">
      <c r="A3371" s="4">
        <v>3369</v>
      </c>
      <c r="B3371" s="2" t="s">
        <v>25</v>
      </c>
      <c r="C3371" s="3">
        <v>44832</v>
      </c>
      <c r="D3371" s="3" t="str">
        <f>TEXT(Table1[[#This Row],[Admission Date]],"MMMM")</f>
        <v>September</v>
      </c>
      <c r="E3371" s="3">
        <v>44838</v>
      </c>
      <c r="F3371" s="3">
        <v>44838</v>
      </c>
      <c r="G3371" s="2">
        <v>22025531</v>
      </c>
      <c r="H3371" s="2">
        <v>2233855</v>
      </c>
      <c r="I3371" s="2">
        <v>10013540728</v>
      </c>
      <c r="J3371" s="2" t="s">
        <v>1966</v>
      </c>
      <c r="K3371" s="10">
        <v>66323</v>
      </c>
      <c r="L3371" s="10">
        <v>66323</v>
      </c>
      <c r="M3371" s="10">
        <v>0</v>
      </c>
      <c r="N3371" s="10">
        <v>0</v>
      </c>
      <c r="O3371" s="10">
        <f>Table1[[#This Row],[NET Amount]]-Table1[[#This Row],[Paid Amount]]</f>
        <v>0</v>
      </c>
      <c r="P3371" s="2" t="s">
        <v>18</v>
      </c>
      <c r="Q3371" s="2" t="s">
        <v>90</v>
      </c>
      <c r="R3371" s="16" t="e">
        <f>(Table1[[#This Row],[NET Amount]]-Table1[[#This Row],[Total Outstanding Amount]])/Table1[[#This Row],[NET Amount]]</f>
        <v>#DIV/0!</v>
      </c>
      <c r="S3371" s="2" t="s">
        <v>37</v>
      </c>
    </row>
    <row r="3372" spans="1:19" x14ac:dyDescent="0.3">
      <c r="A3372" s="4">
        <v>3370</v>
      </c>
      <c r="B3372" s="2" t="s">
        <v>25</v>
      </c>
      <c r="C3372" s="3">
        <v>44833</v>
      </c>
      <c r="D3372" s="3" t="str">
        <f>TEXT(Table1[[#This Row],[Admission Date]],"MMMM")</f>
        <v>September</v>
      </c>
      <c r="E3372" s="3">
        <v>44838</v>
      </c>
      <c r="F3372" s="3">
        <v>44838</v>
      </c>
      <c r="G3372" s="2">
        <v>22025498</v>
      </c>
      <c r="H3372" s="2">
        <v>2233909</v>
      </c>
      <c r="I3372" s="2">
        <v>10013540806</v>
      </c>
      <c r="J3372" s="2" t="s">
        <v>1967</v>
      </c>
      <c r="K3372" s="10">
        <v>135201</v>
      </c>
      <c r="L3372" s="10">
        <v>43381</v>
      </c>
      <c r="M3372" s="10">
        <v>91820</v>
      </c>
      <c r="N3372" s="10">
        <v>91820</v>
      </c>
      <c r="O3372" s="10">
        <f>Table1[[#This Row],[NET Amount]]-Table1[[#This Row],[Paid Amount]]</f>
        <v>0</v>
      </c>
      <c r="P3372" s="2" t="s">
        <v>18</v>
      </c>
      <c r="Q3372" s="2" t="s">
        <v>69</v>
      </c>
      <c r="R3372" s="16">
        <f>(Table1[[#This Row],[NET Amount]]-Table1[[#This Row],[Total Outstanding Amount]])/Table1[[#This Row],[NET Amount]]</f>
        <v>1</v>
      </c>
      <c r="S3372" s="2" t="s">
        <v>37</v>
      </c>
    </row>
    <row r="3373" spans="1:19" x14ac:dyDescent="0.3">
      <c r="A3373" s="4">
        <v>3371</v>
      </c>
      <c r="B3373" s="2" t="s">
        <v>50</v>
      </c>
      <c r="C3373" s="3">
        <v>44842</v>
      </c>
      <c r="D3373" s="3" t="str">
        <f>TEXT(Table1[[#This Row],[Admission Date]],"MMMM")</f>
        <v>October</v>
      </c>
      <c r="E3373" s="3">
        <v>44847</v>
      </c>
      <c r="F3373" s="3">
        <v>44847</v>
      </c>
      <c r="G3373" s="2">
        <v>22026917</v>
      </c>
      <c r="H3373" s="2">
        <v>2235223</v>
      </c>
      <c r="I3373" s="2">
        <v>10013261666</v>
      </c>
      <c r="J3373" s="2" t="s">
        <v>1968</v>
      </c>
      <c r="K3373" s="10">
        <v>68322</v>
      </c>
      <c r="L3373" s="10">
        <v>7239</v>
      </c>
      <c r="M3373" s="10">
        <v>61083</v>
      </c>
      <c r="N3373" s="10">
        <v>4389</v>
      </c>
      <c r="O3373" s="10">
        <f>Table1[[#This Row],[NET Amount]]-Table1[[#This Row],[Paid Amount]]</f>
        <v>56694</v>
      </c>
      <c r="P3373" s="2" t="s">
        <v>23</v>
      </c>
      <c r="Q3373" s="2" t="s">
        <v>42</v>
      </c>
      <c r="R3373" s="16">
        <f>(Table1[[#This Row],[NET Amount]]-Table1[[#This Row],[Total Outstanding Amount]])/Table1[[#This Row],[NET Amount]]</f>
        <v>7.1853052404105888E-2</v>
      </c>
      <c r="S3373" s="2" t="s">
        <v>20</v>
      </c>
    </row>
    <row r="3374" spans="1:19" x14ac:dyDescent="0.3">
      <c r="A3374" s="4">
        <v>3372</v>
      </c>
      <c r="B3374" s="2" t="s">
        <v>259</v>
      </c>
      <c r="C3374" s="3">
        <v>44859</v>
      </c>
      <c r="D3374" s="3" t="str">
        <f>TEXT(Table1[[#This Row],[Admission Date]],"MMMM")</f>
        <v>October</v>
      </c>
      <c r="E3374" s="3">
        <v>44862</v>
      </c>
      <c r="F3374" s="3">
        <v>44862</v>
      </c>
      <c r="G3374" s="2">
        <v>22028883</v>
      </c>
      <c r="H3374" s="2">
        <v>2237252</v>
      </c>
      <c r="I3374" s="2">
        <v>10013544257</v>
      </c>
      <c r="J3374" s="2" t="s">
        <v>1969</v>
      </c>
      <c r="K3374" s="10">
        <v>93761</v>
      </c>
      <c r="L3374" s="10">
        <v>0</v>
      </c>
      <c r="M3374" s="10">
        <v>93761</v>
      </c>
      <c r="N3374" s="10">
        <v>2125</v>
      </c>
      <c r="O3374" s="10">
        <f>Table1[[#This Row],[NET Amount]]-Table1[[#This Row],[Paid Amount]]</f>
        <v>91636</v>
      </c>
      <c r="P3374" s="2" t="s">
        <v>23</v>
      </c>
      <c r="Q3374" s="2" t="s">
        <v>30</v>
      </c>
      <c r="R3374" s="16">
        <f>(Table1[[#This Row],[NET Amount]]-Table1[[#This Row],[Total Outstanding Amount]])/Table1[[#This Row],[NET Amount]]</f>
        <v>2.2664007423129018E-2</v>
      </c>
      <c r="S3374" s="2" t="s">
        <v>20</v>
      </c>
    </row>
    <row r="3375" spans="1:19" x14ac:dyDescent="0.3">
      <c r="A3375" s="4">
        <v>3373</v>
      </c>
      <c r="B3375" s="2" t="s">
        <v>2279</v>
      </c>
      <c r="C3375" s="3">
        <v>44854</v>
      </c>
      <c r="D3375" s="3" t="str">
        <f>TEXT(Table1[[#This Row],[Admission Date]],"MMMM")</f>
        <v>October</v>
      </c>
      <c r="E3375" s="3">
        <v>44854</v>
      </c>
      <c r="F3375" s="3">
        <v>44854</v>
      </c>
      <c r="G3375" s="2">
        <v>22027925</v>
      </c>
      <c r="H3375" s="2">
        <v>2236748</v>
      </c>
      <c r="I3375" s="2">
        <v>1001804115</v>
      </c>
      <c r="J3375" s="2" t="s">
        <v>1970</v>
      </c>
      <c r="K3375" s="10">
        <v>5434</v>
      </c>
      <c r="L3375" s="10">
        <v>0</v>
      </c>
      <c r="M3375" s="10">
        <v>5434</v>
      </c>
      <c r="N3375" s="10">
        <v>5434</v>
      </c>
      <c r="O3375" s="10">
        <f>Table1[[#This Row],[NET Amount]]-Table1[[#This Row],[Paid Amount]]</f>
        <v>0</v>
      </c>
      <c r="P3375" s="2" t="s">
        <v>18</v>
      </c>
      <c r="Q3375" s="2" t="s">
        <v>24</v>
      </c>
      <c r="R3375" s="16">
        <f>(Table1[[#This Row],[NET Amount]]-Table1[[#This Row],[Total Outstanding Amount]])/Table1[[#This Row],[NET Amount]]</f>
        <v>1</v>
      </c>
      <c r="S3375" s="2" t="s">
        <v>138</v>
      </c>
    </row>
    <row r="3376" spans="1:19" x14ac:dyDescent="0.3">
      <c r="A3376" s="4">
        <v>3374</v>
      </c>
      <c r="B3376" s="2" t="s">
        <v>25</v>
      </c>
      <c r="C3376" s="3">
        <v>44853</v>
      </c>
      <c r="D3376" s="3" t="str">
        <f>TEXT(Table1[[#This Row],[Admission Date]],"MMMM")</f>
        <v>October</v>
      </c>
      <c r="E3376" s="3">
        <v>44854</v>
      </c>
      <c r="F3376" s="3">
        <v>44854</v>
      </c>
      <c r="G3376" s="2">
        <v>22027877</v>
      </c>
      <c r="H3376" s="2">
        <v>2236681</v>
      </c>
      <c r="I3376" s="2">
        <v>10013542805</v>
      </c>
      <c r="J3376" s="2" t="s">
        <v>49</v>
      </c>
      <c r="K3376" s="10">
        <v>38168</v>
      </c>
      <c r="L3376" s="10">
        <v>12595</v>
      </c>
      <c r="M3376" s="10">
        <v>25573</v>
      </c>
      <c r="N3376" s="10">
        <v>25573</v>
      </c>
      <c r="O3376" s="10">
        <f>Table1[[#This Row],[NET Amount]]-Table1[[#This Row],[Paid Amount]]</f>
        <v>0</v>
      </c>
      <c r="P3376" s="2" t="s">
        <v>18</v>
      </c>
      <c r="Q3376" s="2" t="s">
        <v>1010</v>
      </c>
      <c r="R3376" s="16">
        <f>(Table1[[#This Row],[NET Amount]]-Table1[[#This Row],[Total Outstanding Amount]])/Table1[[#This Row],[NET Amount]]</f>
        <v>1</v>
      </c>
      <c r="S3376" s="2" t="s">
        <v>27</v>
      </c>
    </row>
    <row r="3377" spans="1:19" x14ac:dyDescent="0.3">
      <c r="A3377" s="4">
        <v>3375</v>
      </c>
      <c r="B3377" s="2" t="s">
        <v>50</v>
      </c>
      <c r="C3377" s="3">
        <v>44845</v>
      </c>
      <c r="D3377" s="3" t="str">
        <f>TEXT(Table1[[#This Row],[Admission Date]],"MMMM")</f>
        <v>October</v>
      </c>
      <c r="E3377" s="3">
        <v>44849</v>
      </c>
      <c r="F3377" s="3">
        <v>44849</v>
      </c>
      <c r="G3377" s="2">
        <v>22027116</v>
      </c>
      <c r="H3377" s="2">
        <v>2235563</v>
      </c>
      <c r="I3377" s="2">
        <v>10013526161</v>
      </c>
      <c r="J3377" s="2" t="s">
        <v>794</v>
      </c>
      <c r="K3377" s="10">
        <v>52500</v>
      </c>
      <c r="L3377" s="10">
        <v>0</v>
      </c>
      <c r="M3377" s="10">
        <v>52500</v>
      </c>
      <c r="N3377" s="10">
        <v>1500</v>
      </c>
      <c r="O3377" s="10">
        <f>Table1[[#This Row],[NET Amount]]-Table1[[#This Row],[Paid Amount]]</f>
        <v>51000</v>
      </c>
      <c r="P3377" s="2" t="s">
        <v>23</v>
      </c>
      <c r="Q3377" s="2" t="s">
        <v>42</v>
      </c>
      <c r="R3377" s="16">
        <f>(Table1[[#This Row],[NET Amount]]-Table1[[#This Row],[Total Outstanding Amount]])/Table1[[#This Row],[NET Amount]]</f>
        <v>2.8571428571428571E-2</v>
      </c>
      <c r="S3377" s="2" t="s">
        <v>27</v>
      </c>
    </row>
    <row r="3378" spans="1:19" x14ac:dyDescent="0.3">
      <c r="A3378" s="4">
        <v>3376</v>
      </c>
      <c r="B3378" s="2" t="s">
        <v>152</v>
      </c>
      <c r="C3378" s="3">
        <v>44828</v>
      </c>
      <c r="D3378" s="3" t="str">
        <f>TEXT(Table1[[#This Row],[Admission Date]],"MMMM")</f>
        <v>September</v>
      </c>
      <c r="E3378" s="3">
        <v>44835</v>
      </c>
      <c r="F3378" s="3">
        <v>44835</v>
      </c>
      <c r="G3378" s="2">
        <v>22025192</v>
      </c>
      <c r="H3378" s="2">
        <v>2233322</v>
      </c>
      <c r="I3378" s="2">
        <v>10013538985</v>
      </c>
      <c r="J3378" s="2" t="s">
        <v>1971</v>
      </c>
      <c r="K3378" s="10">
        <v>63789</v>
      </c>
      <c r="L3378" s="10">
        <v>0</v>
      </c>
      <c r="M3378" s="10">
        <v>63789</v>
      </c>
      <c r="N3378" s="10">
        <v>4813</v>
      </c>
      <c r="O3378" s="10">
        <f>Table1[[#This Row],[NET Amount]]-Table1[[#This Row],[Paid Amount]]</f>
        <v>58976</v>
      </c>
      <c r="P3378" s="2" t="s">
        <v>23</v>
      </c>
      <c r="Q3378" s="2" t="s">
        <v>30</v>
      </c>
      <c r="R3378" s="16">
        <f>(Table1[[#This Row],[NET Amount]]-Table1[[#This Row],[Total Outstanding Amount]])/Table1[[#This Row],[NET Amount]]</f>
        <v>7.545188041825393E-2</v>
      </c>
      <c r="S3378" s="2" t="s">
        <v>95</v>
      </c>
    </row>
    <row r="3379" spans="1:19" x14ac:dyDescent="0.3">
      <c r="A3379" s="4">
        <v>3377</v>
      </c>
      <c r="B3379" s="2" t="s">
        <v>2265</v>
      </c>
      <c r="C3379" s="3">
        <v>44850</v>
      </c>
      <c r="D3379" s="3" t="str">
        <f>TEXT(Table1[[#This Row],[Admission Date]],"MMMM")</f>
        <v>October</v>
      </c>
      <c r="E3379" s="3">
        <v>44855</v>
      </c>
      <c r="F3379" s="3">
        <v>44855</v>
      </c>
      <c r="G3379" s="2">
        <v>22028008</v>
      </c>
      <c r="H3379" s="2">
        <v>2236243</v>
      </c>
      <c r="I3379" s="2">
        <v>1001804670</v>
      </c>
      <c r="J3379" s="2" t="s">
        <v>1972</v>
      </c>
      <c r="K3379" s="10">
        <v>100951</v>
      </c>
      <c r="L3379" s="10">
        <v>20491</v>
      </c>
      <c r="M3379" s="10">
        <v>80460</v>
      </c>
      <c r="N3379" s="10">
        <v>40500</v>
      </c>
      <c r="O3379" s="10">
        <f>Table1[[#This Row],[NET Amount]]-Table1[[#This Row],[Paid Amount]]</f>
        <v>39960</v>
      </c>
      <c r="P3379" s="2" t="s">
        <v>23</v>
      </c>
      <c r="Q3379" s="2" t="s">
        <v>42</v>
      </c>
      <c r="R3379" s="16">
        <f>(Table1[[#This Row],[NET Amount]]-Table1[[#This Row],[Total Outstanding Amount]])/Table1[[#This Row],[NET Amount]]</f>
        <v>0.50335570469798663</v>
      </c>
      <c r="S3379" s="2" t="s">
        <v>20</v>
      </c>
    </row>
    <row r="3380" spans="1:19" x14ac:dyDescent="0.3">
      <c r="A3380" s="4">
        <v>3378</v>
      </c>
      <c r="B3380" s="2" t="s">
        <v>2259</v>
      </c>
      <c r="C3380" s="3">
        <v>44856</v>
      </c>
      <c r="D3380" s="3" t="str">
        <f>TEXT(Table1[[#This Row],[Admission Date]],"MMMM")</f>
        <v>October</v>
      </c>
      <c r="E3380" s="3">
        <v>44859</v>
      </c>
      <c r="F3380" s="3">
        <v>44859</v>
      </c>
      <c r="G3380" s="2">
        <v>22028500</v>
      </c>
      <c r="H3380" s="2">
        <v>2236984</v>
      </c>
      <c r="I3380" s="2">
        <v>1001383831</v>
      </c>
      <c r="J3380" s="2" t="s">
        <v>1973</v>
      </c>
      <c r="K3380" s="10">
        <v>52539</v>
      </c>
      <c r="L3380" s="10">
        <v>3789</v>
      </c>
      <c r="M3380" s="10">
        <v>48750</v>
      </c>
      <c r="N3380" s="10">
        <v>1500</v>
      </c>
      <c r="O3380" s="10">
        <f>Table1[[#This Row],[NET Amount]]-Table1[[#This Row],[Paid Amount]]</f>
        <v>47250</v>
      </c>
      <c r="P3380" s="2" t="s">
        <v>23</v>
      </c>
      <c r="Q3380" s="2" t="s">
        <v>30</v>
      </c>
      <c r="R3380" s="16">
        <f>(Table1[[#This Row],[NET Amount]]-Table1[[#This Row],[Total Outstanding Amount]])/Table1[[#This Row],[NET Amount]]</f>
        <v>3.0769230769230771E-2</v>
      </c>
      <c r="S3380" s="2" t="s">
        <v>20</v>
      </c>
    </row>
    <row r="3381" spans="1:19" x14ac:dyDescent="0.3">
      <c r="A3381" s="4">
        <v>3379</v>
      </c>
      <c r="B3381" s="2" t="s">
        <v>25</v>
      </c>
      <c r="C3381" s="3">
        <v>44857</v>
      </c>
      <c r="D3381" s="3" t="str">
        <f>TEXT(Table1[[#This Row],[Admission Date]],"MMMM")</f>
        <v>October</v>
      </c>
      <c r="E3381" s="3">
        <v>44860</v>
      </c>
      <c r="F3381" s="3">
        <v>44860</v>
      </c>
      <c r="G3381" s="2">
        <v>22028616</v>
      </c>
      <c r="H3381" s="2">
        <v>2237124</v>
      </c>
      <c r="I3381" s="2">
        <v>1001023765</v>
      </c>
      <c r="J3381" s="2" t="s">
        <v>1974</v>
      </c>
      <c r="K3381" s="10">
        <v>117215</v>
      </c>
      <c r="L3381" s="10">
        <v>14166</v>
      </c>
      <c r="M3381" s="10">
        <v>103049</v>
      </c>
      <c r="N3381" s="10">
        <v>103049</v>
      </c>
      <c r="O3381" s="10">
        <f>Table1[[#This Row],[NET Amount]]-Table1[[#This Row],[Paid Amount]]</f>
        <v>0</v>
      </c>
      <c r="P3381" s="2" t="s">
        <v>18</v>
      </c>
      <c r="Q3381" s="2" t="s">
        <v>30</v>
      </c>
      <c r="R3381" s="16">
        <f>(Table1[[#This Row],[NET Amount]]-Table1[[#This Row],[Total Outstanding Amount]])/Table1[[#This Row],[NET Amount]]</f>
        <v>1</v>
      </c>
      <c r="S3381" s="2" t="s">
        <v>27</v>
      </c>
    </row>
    <row r="3382" spans="1:19" x14ac:dyDescent="0.3">
      <c r="A3382" s="4">
        <v>3380</v>
      </c>
      <c r="B3382" s="2" t="s">
        <v>25</v>
      </c>
      <c r="C3382" s="3">
        <v>44844</v>
      </c>
      <c r="D3382" s="3" t="str">
        <f>TEXT(Table1[[#This Row],[Admission Date]],"MMMM")</f>
        <v>October</v>
      </c>
      <c r="E3382" s="3">
        <v>44844</v>
      </c>
      <c r="F3382" s="3">
        <v>44844</v>
      </c>
      <c r="G3382" s="2">
        <v>22026329</v>
      </c>
      <c r="H3382" s="2">
        <v>2235327</v>
      </c>
      <c r="I3382" s="2">
        <v>10013415573</v>
      </c>
      <c r="J3382" s="2" t="s">
        <v>335</v>
      </c>
      <c r="K3382" s="10">
        <v>4990</v>
      </c>
      <c r="L3382" s="10">
        <v>413</v>
      </c>
      <c r="M3382" s="10">
        <v>4577</v>
      </c>
      <c r="N3382" s="10">
        <v>4577</v>
      </c>
      <c r="O3382" s="10">
        <f>Table1[[#This Row],[NET Amount]]-Table1[[#This Row],[Paid Amount]]</f>
        <v>0</v>
      </c>
      <c r="P3382" s="2" t="s">
        <v>18</v>
      </c>
      <c r="Q3382" s="2" t="s">
        <v>54</v>
      </c>
      <c r="R3382" s="16">
        <f>(Table1[[#This Row],[NET Amount]]-Table1[[#This Row],[Total Outstanding Amount]])/Table1[[#This Row],[NET Amount]]</f>
        <v>1</v>
      </c>
      <c r="S3382" s="2" t="s">
        <v>97</v>
      </c>
    </row>
    <row r="3383" spans="1:19" x14ac:dyDescent="0.3">
      <c r="A3383" s="4">
        <v>3381</v>
      </c>
      <c r="B3383" s="2" t="s">
        <v>144</v>
      </c>
      <c r="C3383" s="3">
        <v>44859</v>
      </c>
      <c r="D3383" s="3" t="str">
        <f>TEXT(Table1[[#This Row],[Admission Date]],"MMMM")</f>
        <v>October</v>
      </c>
      <c r="E3383" s="3">
        <v>44863</v>
      </c>
      <c r="F3383" s="3">
        <v>44863</v>
      </c>
      <c r="G3383" s="2">
        <v>22029016</v>
      </c>
      <c r="H3383" s="2">
        <v>2237417</v>
      </c>
      <c r="I3383" s="2">
        <v>1001079461</v>
      </c>
      <c r="J3383" s="2" t="s">
        <v>1975</v>
      </c>
      <c r="K3383" s="10">
        <v>145489</v>
      </c>
      <c r="L3383" s="10">
        <v>19908</v>
      </c>
      <c r="M3383" s="10">
        <v>125581</v>
      </c>
      <c r="N3383" s="10">
        <v>51517</v>
      </c>
      <c r="O3383" s="10">
        <f>Table1[[#This Row],[NET Amount]]-Table1[[#This Row],[Paid Amount]]</f>
        <v>74064</v>
      </c>
      <c r="P3383" s="2" t="s">
        <v>23</v>
      </c>
      <c r="Q3383" s="2" t="s">
        <v>52</v>
      </c>
      <c r="R3383" s="16">
        <f>(Table1[[#This Row],[NET Amount]]-Table1[[#This Row],[Total Outstanding Amount]])/Table1[[#This Row],[NET Amount]]</f>
        <v>0.41022925442543062</v>
      </c>
      <c r="S3383" s="2" t="s">
        <v>20</v>
      </c>
    </row>
    <row r="3384" spans="1:19" x14ac:dyDescent="0.3">
      <c r="A3384" s="4">
        <v>3382</v>
      </c>
      <c r="B3384" s="2" t="s">
        <v>2244</v>
      </c>
      <c r="C3384" s="3">
        <v>44840</v>
      </c>
      <c r="D3384" s="3" t="str">
        <f>TEXT(Table1[[#This Row],[Admission Date]],"MMMM")</f>
        <v>October</v>
      </c>
      <c r="E3384" s="3">
        <v>44840</v>
      </c>
      <c r="F3384" s="3">
        <v>44840</v>
      </c>
      <c r="G3384" s="2">
        <v>22025892</v>
      </c>
      <c r="H3384" s="2">
        <v>2234898</v>
      </c>
      <c r="I3384" s="2">
        <v>1001797549</v>
      </c>
      <c r="J3384" s="2" t="s">
        <v>121</v>
      </c>
      <c r="K3384" s="10">
        <v>1610</v>
      </c>
      <c r="L3384" s="10">
        <v>0</v>
      </c>
      <c r="M3384" s="10">
        <v>1610</v>
      </c>
      <c r="N3384" s="10">
        <v>1610</v>
      </c>
      <c r="O3384" s="10">
        <f>Table1[[#This Row],[NET Amount]]-Table1[[#This Row],[Paid Amount]]</f>
        <v>0</v>
      </c>
      <c r="P3384" s="2" t="s">
        <v>18</v>
      </c>
      <c r="Q3384" s="2" t="s">
        <v>54</v>
      </c>
      <c r="R3384" s="16">
        <f>(Table1[[#This Row],[NET Amount]]-Table1[[#This Row],[Total Outstanding Amount]])/Table1[[#This Row],[NET Amount]]</f>
        <v>1</v>
      </c>
      <c r="S3384" s="2" t="s">
        <v>97</v>
      </c>
    </row>
    <row r="3385" spans="1:19" x14ac:dyDescent="0.3">
      <c r="A3385" s="4">
        <v>3383</v>
      </c>
      <c r="B3385" s="2" t="s">
        <v>25</v>
      </c>
      <c r="C3385" s="3">
        <v>44844</v>
      </c>
      <c r="D3385" s="3" t="str">
        <f>TEXT(Table1[[#This Row],[Admission Date]],"MMMM")</f>
        <v>October</v>
      </c>
      <c r="E3385" s="3">
        <v>44850</v>
      </c>
      <c r="F3385" s="3">
        <v>44850</v>
      </c>
      <c r="G3385" s="2">
        <v>22027290</v>
      </c>
      <c r="H3385" s="2">
        <v>2235414</v>
      </c>
      <c r="I3385" s="2">
        <v>1001309320</v>
      </c>
      <c r="J3385" s="2" t="s">
        <v>1976</v>
      </c>
      <c r="K3385" s="10">
        <v>125463</v>
      </c>
      <c r="L3385" s="10">
        <v>17513</v>
      </c>
      <c r="M3385" s="10">
        <v>107950</v>
      </c>
      <c r="N3385" s="10">
        <v>107950</v>
      </c>
      <c r="O3385" s="10">
        <f>Table1[[#This Row],[NET Amount]]-Table1[[#This Row],[Paid Amount]]</f>
        <v>0</v>
      </c>
      <c r="P3385" s="2" t="s">
        <v>18</v>
      </c>
      <c r="Q3385" s="2" t="s">
        <v>24</v>
      </c>
      <c r="R3385" s="16">
        <f>(Table1[[#This Row],[NET Amount]]-Table1[[#This Row],[Total Outstanding Amount]])/Table1[[#This Row],[NET Amount]]</f>
        <v>1</v>
      </c>
      <c r="S3385" s="2" t="s">
        <v>37</v>
      </c>
    </row>
    <row r="3386" spans="1:19" x14ac:dyDescent="0.3">
      <c r="A3386" s="4">
        <v>3384</v>
      </c>
      <c r="B3386" s="2" t="s">
        <v>25</v>
      </c>
      <c r="C3386" s="3">
        <v>44832</v>
      </c>
      <c r="D3386" s="3" t="str">
        <f>TEXT(Table1[[#This Row],[Admission Date]],"MMMM")</f>
        <v>September</v>
      </c>
      <c r="E3386" s="3">
        <v>44835</v>
      </c>
      <c r="F3386" s="3">
        <v>44835</v>
      </c>
      <c r="G3386" s="2">
        <v>22025161</v>
      </c>
      <c r="H3386" s="2">
        <v>2233753</v>
      </c>
      <c r="I3386" s="2">
        <v>10013533226</v>
      </c>
      <c r="J3386" s="2" t="s">
        <v>1028</v>
      </c>
      <c r="K3386" s="10">
        <v>53851</v>
      </c>
      <c r="L3386" s="10">
        <v>6689</v>
      </c>
      <c r="M3386" s="10">
        <v>47162</v>
      </c>
      <c r="N3386" s="10">
        <v>47162</v>
      </c>
      <c r="O3386" s="10">
        <f>Table1[[#This Row],[NET Amount]]-Table1[[#This Row],[Paid Amount]]</f>
        <v>0</v>
      </c>
      <c r="P3386" s="2" t="s">
        <v>18</v>
      </c>
      <c r="Q3386" s="2" t="s">
        <v>24</v>
      </c>
      <c r="R3386" s="16">
        <f>(Table1[[#This Row],[NET Amount]]-Table1[[#This Row],[Total Outstanding Amount]])/Table1[[#This Row],[NET Amount]]</f>
        <v>1</v>
      </c>
      <c r="S3386" s="2" t="s">
        <v>27</v>
      </c>
    </row>
    <row r="3387" spans="1:19" x14ac:dyDescent="0.3">
      <c r="A3387" s="4">
        <v>3385</v>
      </c>
      <c r="B3387" s="2" t="s">
        <v>35</v>
      </c>
      <c r="C3387" s="3">
        <v>44850</v>
      </c>
      <c r="D3387" s="3" t="str">
        <f>TEXT(Table1[[#This Row],[Admission Date]],"MMMM")</f>
        <v>October</v>
      </c>
      <c r="E3387" s="3">
        <v>44857</v>
      </c>
      <c r="F3387" s="3">
        <v>44857</v>
      </c>
      <c r="G3387" s="2">
        <v>22028328</v>
      </c>
      <c r="H3387" s="2">
        <v>2236257</v>
      </c>
      <c r="I3387" s="2">
        <v>10013519666</v>
      </c>
      <c r="J3387" s="2" t="s">
        <v>1977</v>
      </c>
      <c r="K3387" s="10">
        <v>31358</v>
      </c>
      <c r="L3387" s="10">
        <v>0</v>
      </c>
      <c r="M3387" s="10">
        <v>31358</v>
      </c>
      <c r="N3387" s="10">
        <v>31358</v>
      </c>
      <c r="O3387" s="10">
        <f>Table1[[#This Row],[NET Amount]]-Table1[[#This Row],[Paid Amount]]</f>
        <v>0</v>
      </c>
      <c r="P3387" s="2" t="s">
        <v>18</v>
      </c>
      <c r="Q3387" s="2" t="s">
        <v>24</v>
      </c>
      <c r="R3387" s="16">
        <f>(Table1[[#This Row],[NET Amount]]-Table1[[#This Row],[Total Outstanding Amount]])/Table1[[#This Row],[NET Amount]]</f>
        <v>1</v>
      </c>
      <c r="S3387" s="2" t="s">
        <v>27</v>
      </c>
    </row>
    <row r="3388" spans="1:19" x14ac:dyDescent="0.3">
      <c r="A3388" s="4">
        <v>3386</v>
      </c>
      <c r="B3388" s="2" t="s">
        <v>25</v>
      </c>
      <c r="C3388" s="3">
        <v>44826</v>
      </c>
      <c r="D3388" s="3" t="str">
        <f>TEXT(Table1[[#This Row],[Admission Date]],"MMMM")</f>
        <v>September</v>
      </c>
      <c r="E3388" s="3">
        <v>44844</v>
      </c>
      <c r="F3388" s="3">
        <v>44844</v>
      </c>
      <c r="G3388" s="2">
        <v>22026343</v>
      </c>
      <c r="H3388" s="2">
        <v>2233060</v>
      </c>
      <c r="I3388" s="2">
        <v>1001800316</v>
      </c>
      <c r="J3388" s="2" t="s">
        <v>1978</v>
      </c>
      <c r="K3388" s="10">
        <v>0</v>
      </c>
      <c r="L3388" s="10">
        <v>0</v>
      </c>
      <c r="M3388" s="10">
        <v>0</v>
      </c>
      <c r="N3388" s="10">
        <v>0</v>
      </c>
      <c r="O3388" s="10">
        <f>Table1[[#This Row],[NET Amount]]-Table1[[#This Row],[Paid Amount]]</f>
        <v>0</v>
      </c>
      <c r="P3388" s="2" t="s">
        <v>18</v>
      </c>
      <c r="Q3388" s="2" t="s">
        <v>54</v>
      </c>
      <c r="R3388" s="16" t="e">
        <f>(Table1[[#This Row],[NET Amount]]-Table1[[#This Row],[Total Outstanding Amount]])/Table1[[#This Row],[NET Amount]]</f>
        <v>#DIV/0!</v>
      </c>
      <c r="S3388" s="2" t="s">
        <v>1979</v>
      </c>
    </row>
    <row r="3389" spans="1:19" x14ac:dyDescent="0.3">
      <c r="A3389" s="4">
        <v>3387</v>
      </c>
      <c r="B3389" s="2" t="s">
        <v>168</v>
      </c>
      <c r="C3389" s="3">
        <v>44844</v>
      </c>
      <c r="D3389" s="3" t="str">
        <f>TEXT(Table1[[#This Row],[Admission Date]],"MMMM")</f>
        <v>October</v>
      </c>
      <c r="E3389" s="3">
        <v>44854</v>
      </c>
      <c r="F3389" s="3">
        <v>44854</v>
      </c>
      <c r="G3389" s="2">
        <v>22027898</v>
      </c>
      <c r="H3389" s="2">
        <v>2235445</v>
      </c>
      <c r="I3389" s="2">
        <v>10013542460</v>
      </c>
      <c r="J3389" s="2" t="s">
        <v>1980</v>
      </c>
      <c r="K3389" s="10">
        <v>344760</v>
      </c>
      <c r="L3389" s="10">
        <v>41271</v>
      </c>
      <c r="M3389" s="10">
        <v>303489</v>
      </c>
      <c r="N3389" s="10">
        <v>26758</v>
      </c>
      <c r="O3389" s="10">
        <f>Table1[[#This Row],[NET Amount]]-Table1[[#This Row],[Paid Amount]]</f>
        <v>276731</v>
      </c>
      <c r="P3389" s="2" t="s">
        <v>23</v>
      </c>
      <c r="Q3389" s="2" t="s">
        <v>42</v>
      </c>
      <c r="R3389" s="16">
        <f>(Table1[[#This Row],[NET Amount]]-Table1[[#This Row],[Total Outstanding Amount]])/Table1[[#This Row],[NET Amount]]</f>
        <v>8.8167940188936006E-2</v>
      </c>
      <c r="S3389" s="2" t="s">
        <v>20</v>
      </c>
    </row>
    <row r="3390" spans="1:19" x14ac:dyDescent="0.3">
      <c r="A3390" s="4">
        <v>3388</v>
      </c>
      <c r="B3390" s="2" t="s">
        <v>25</v>
      </c>
      <c r="C3390" s="3">
        <v>44855</v>
      </c>
      <c r="D3390" s="3" t="str">
        <f>TEXT(Table1[[#This Row],[Admission Date]],"MMMM")</f>
        <v>October</v>
      </c>
      <c r="E3390" s="3">
        <v>44855</v>
      </c>
      <c r="F3390" s="3">
        <v>44855</v>
      </c>
      <c r="G3390" s="2">
        <v>22028040</v>
      </c>
      <c r="H3390" s="2">
        <v>2236926</v>
      </c>
      <c r="I3390" s="2">
        <v>10013372212</v>
      </c>
      <c r="J3390" s="2" t="s">
        <v>338</v>
      </c>
      <c r="K3390" s="10">
        <v>4990</v>
      </c>
      <c r="L3390" s="10">
        <v>413</v>
      </c>
      <c r="M3390" s="10">
        <v>4577</v>
      </c>
      <c r="N3390" s="10">
        <v>4577</v>
      </c>
      <c r="O3390" s="10">
        <f>Table1[[#This Row],[NET Amount]]-Table1[[#This Row],[Paid Amount]]</f>
        <v>0</v>
      </c>
      <c r="P3390" s="2" t="s">
        <v>18</v>
      </c>
      <c r="Q3390" s="2" t="s">
        <v>54</v>
      </c>
      <c r="R3390" s="16">
        <f>(Table1[[#This Row],[NET Amount]]-Table1[[#This Row],[Total Outstanding Amount]])/Table1[[#This Row],[NET Amount]]</f>
        <v>1</v>
      </c>
      <c r="S3390" s="2" t="s">
        <v>97</v>
      </c>
    </row>
    <row r="3391" spans="1:19" x14ac:dyDescent="0.3">
      <c r="A3391" s="4">
        <v>3389</v>
      </c>
      <c r="B3391" s="2" t="s">
        <v>122</v>
      </c>
      <c r="C3391" s="3">
        <v>44844</v>
      </c>
      <c r="D3391" s="3" t="str">
        <f>TEXT(Table1[[#This Row],[Admission Date]],"MMMM")</f>
        <v>October</v>
      </c>
      <c r="E3391" s="3">
        <v>44847</v>
      </c>
      <c r="F3391" s="3">
        <v>44847</v>
      </c>
      <c r="G3391" s="2">
        <v>22026935</v>
      </c>
      <c r="H3391" s="2">
        <v>2235314</v>
      </c>
      <c r="I3391" s="2">
        <v>1000960549</v>
      </c>
      <c r="J3391" s="2" t="s">
        <v>1981</v>
      </c>
      <c r="K3391" s="10">
        <v>125495</v>
      </c>
      <c r="L3391" s="10">
        <v>125495</v>
      </c>
      <c r="M3391" s="10">
        <v>0</v>
      </c>
      <c r="N3391" s="10">
        <v>0</v>
      </c>
      <c r="O3391" s="10">
        <f>Table1[[#This Row],[NET Amount]]-Table1[[#This Row],[Paid Amount]]</f>
        <v>0</v>
      </c>
      <c r="P3391" s="2" t="s">
        <v>18</v>
      </c>
      <c r="Q3391" s="2" t="s">
        <v>90</v>
      </c>
      <c r="R3391" s="16" t="e">
        <f>(Table1[[#This Row],[NET Amount]]-Table1[[#This Row],[Total Outstanding Amount]])/Table1[[#This Row],[NET Amount]]</f>
        <v>#DIV/0!</v>
      </c>
      <c r="S3391" s="2" t="s">
        <v>20</v>
      </c>
    </row>
    <row r="3392" spans="1:19" x14ac:dyDescent="0.3">
      <c r="A3392" s="4">
        <v>3390</v>
      </c>
      <c r="B3392" s="2" t="s">
        <v>25</v>
      </c>
      <c r="C3392" s="3">
        <v>44861</v>
      </c>
      <c r="D3392" s="3" t="str">
        <f>TEXT(Table1[[#This Row],[Admission Date]],"MMMM")</f>
        <v>October</v>
      </c>
      <c r="E3392" s="3">
        <v>44861</v>
      </c>
      <c r="F3392" s="3">
        <v>44861</v>
      </c>
      <c r="G3392" s="2">
        <v>22028794</v>
      </c>
      <c r="H3392" s="2">
        <v>2237654</v>
      </c>
      <c r="I3392" s="2">
        <v>10013526375</v>
      </c>
      <c r="J3392" s="2" t="s">
        <v>241</v>
      </c>
      <c r="K3392" s="10">
        <v>4990</v>
      </c>
      <c r="L3392" s="10">
        <v>416</v>
      </c>
      <c r="M3392" s="10">
        <v>4574</v>
      </c>
      <c r="N3392" s="10">
        <v>4574</v>
      </c>
      <c r="O3392" s="10">
        <f>Table1[[#This Row],[NET Amount]]-Table1[[#This Row],[Paid Amount]]</f>
        <v>0</v>
      </c>
      <c r="P3392" s="2" t="s">
        <v>18</v>
      </c>
      <c r="Q3392" s="2" t="s">
        <v>54</v>
      </c>
      <c r="R3392" s="16">
        <f>(Table1[[#This Row],[NET Amount]]-Table1[[#This Row],[Total Outstanding Amount]])/Table1[[#This Row],[NET Amount]]</f>
        <v>1</v>
      </c>
      <c r="S3392" s="2" t="s">
        <v>97</v>
      </c>
    </row>
    <row r="3393" spans="1:19" x14ac:dyDescent="0.3">
      <c r="A3393" s="4">
        <v>3391</v>
      </c>
      <c r="B3393" s="2" t="s">
        <v>25</v>
      </c>
      <c r="C3393" s="3">
        <v>44862</v>
      </c>
      <c r="D3393" s="3" t="str">
        <f>TEXT(Table1[[#This Row],[Admission Date]],"MMMM")</f>
        <v>October</v>
      </c>
      <c r="E3393" s="3">
        <v>44862</v>
      </c>
      <c r="F3393" s="3">
        <v>44862</v>
      </c>
      <c r="G3393" s="2">
        <v>22028969</v>
      </c>
      <c r="H3393" s="2">
        <v>2237863</v>
      </c>
      <c r="I3393" s="2">
        <v>10013352607</v>
      </c>
      <c r="J3393" s="2" t="s">
        <v>305</v>
      </c>
      <c r="K3393" s="10">
        <v>2844</v>
      </c>
      <c r="L3393" s="10">
        <v>279</v>
      </c>
      <c r="M3393" s="10">
        <v>2565</v>
      </c>
      <c r="N3393" s="10">
        <v>2565</v>
      </c>
      <c r="O3393" s="10">
        <f>Table1[[#This Row],[NET Amount]]-Table1[[#This Row],[Paid Amount]]</f>
        <v>0</v>
      </c>
      <c r="P3393" s="2" t="s">
        <v>18</v>
      </c>
      <c r="Q3393" s="2" t="s">
        <v>54</v>
      </c>
      <c r="R3393" s="16">
        <f>(Table1[[#This Row],[NET Amount]]-Table1[[#This Row],[Total Outstanding Amount]])/Table1[[#This Row],[NET Amount]]</f>
        <v>1</v>
      </c>
      <c r="S3393" s="2" t="s">
        <v>97</v>
      </c>
    </row>
    <row r="3394" spans="1:19" x14ac:dyDescent="0.3">
      <c r="A3394" s="4">
        <v>3392</v>
      </c>
      <c r="B3394" s="2" t="s">
        <v>126</v>
      </c>
      <c r="C3394" s="3">
        <v>44852</v>
      </c>
      <c r="D3394" s="3" t="str">
        <f>TEXT(Table1[[#This Row],[Admission Date]],"MMMM")</f>
        <v>October</v>
      </c>
      <c r="E3394" s="3">
        <v>44854</v>
      </c>
      <c r="F3394" s="3">
        <v>44854</v>
      </c>
      <c r="G3394" s="2">
        <v>22027837</v>
      </c>
      <c r="H3394" s="2">
        <v>2236564</v>
      </c>
      <c r="I3394" s="2">
        <v>1001553932</v>
      </c>
      <c r="J3394" s="2" t="s">
        <v>1671</v>
      </c>
      <c r="K3394" s="10">
        <v>56967</v>
      </c>
      <c r="L3394" s="10">
        <v>4323</v>
      </c>
      <c r="M3394" s="10">
        <v>52645</v>
      </c>
      <c r="N3394" s="10">
        <v>2125</v>
      </c>
      <c r="O3394" s="10">
        <f>Table1[[#This Row],[NET Amount]]-Table1[[#This Row],[Paid Amount]]</f>
        <v>50520</v>
      </c>
      <c r="P3394" s="2" t="s">
        <v>23</v>
      </c>
      <c r="Q3394" s="2" t="s">
        <v>24</v>
      </c>
      <c r="R3394" s="16">
        <f>(Table1[[#This Row],[NET Amount]]-Table1[[#This Row],[Total Outstanding Amount]])/Table1[[#This Row],[NET Amount]]</f>
        <v>4.0364706999715075E-2</v>
      </c>
      <c r="S3394" s="2" t="s">
        <v>27</v>
      </c>
    </row>
    <row r="3395" spans="1:19" x14ac:dyDescent="0.3">
      <c r="A3395" s="4">
        <v>3393</v>
      </c>
      <c r="B3395" s="2" t="s">
        <v>2289</v>
      </c>
      <c r="C3395" s="3">
        <v>44859</v>
      </c>
      <c r="D3395" s="3" t="str">
        <f>TEXT(Table1[[#This Row],[Admission Date]],"MMMM")</f>
        <v>October</v>
      </c>
      <c r="E3395" s="3">
        <v>44865</v>
      </c>
      <c r="F3395" s="3">
        <v>44865</v>
      </c>
      <c r="G3395" s="2">
        <v>22029302</v>
      </c>
      <c r="H3395" s="2">
        <v>2237327</v>
      </c>
      <c r="I3395" s="2">
        <v>1001789869</v>
      </c>
      <c r="J3395" s="2" t="s">
        <v>1982</v>
      </c>
      <c r="K3395" s="10">
        <v>76941</v>
      </c>
      <c r="L3395" s="10">
        <v>9866</v>
      </c>
      <c r="M3395" s="10">
        <v>67075</v>
      </c>
      <c r="N3395" s="10">
        <v>17918</v>
      </c>
      <c r="O3395" s="10">
        <f>Table1[[#This Row],[NET Amount]]-Table1[[#This Row],[Paid Amount]]</f>
        <v>49157</v>
      </c>
      <c r="P3395" s="2" t="s">
        <v>23</v>
      </c>
      <c r="Q3395" s="2" t="s">
        <v>42</v>
      </c>
      <c r="R3395" s="16">
        <f>(Table1[[#This Row],[NET Amount]]-Table1[[#This Row],[Total Outstanding Amount]])/Table1[[#This Row],[NET Amount]]</f>
        <v>0.26713380544166976</v>
      </c>
      <c r="S3395" s="2" t="s">
        <v>20</v>
      </c>
    </row>
    <row r="3396" spans="1:19" x14ac:dyDescent="0.3">
      <c r="A3396" s="4">
        <v>3394</v>
      </c>
      <c r="B3396" s="2" t="s">
        <v>520</v>
      </c>
      <c r="C3396" s="3">
        <v>44860</v>
      </c>
      <c r="D3396" s="3" t="str">
        <f>TEXT(Table1[[#This Row],[Admission Date]],"MMMM")</f>
        <v>October</v>
      </c>
      <c r="E3396" s="3">
        <v>44860</v>
      </c>
      <c r="F3396" s="3">
        <v>44860</v>
      </c>
      <c r="G3396" s="2">
        <v>22028680</v>
      </c>
      <c r="H3396" s="2">
        <v>2237528</v>
      </c>
      <c r="I3396" s="2">
        <v>10013540903</v>
      </c>
      <c r="J3396" s="2" t="s">
        <v>521</v>
      </c>
      <c r="K3396" s="10">
        <v>1610</v>
      </c>
      <c r="L3396" s="10">
        <v>0</v>
      </c>
      <c r="M3396" s="10">
        <v>1610</v>
      </c>
      <c r="N3396" s="10">
        <v>1610</v>
      </c>
      <c r="O3396" s="10">
        <f>Table1[[#This Row],[NET Amount]]-Table1[[#This Row],[Paid Amount]]</f>
        <v>0</v>
      </c>
      <c r="P3396" s="2" t="s">
        <v>18</v>
      </c>
      <c r="Q3396" s="2" t="s">
        <v>54</v>
      </c>
      <c r="R3396" s="16">
        <f>(Table1[[#This Row],[NET Amount]]-Table1[[#This Row],[Total Outstanding Amount]])/Table1[[#This Row],[NET Amount]]</f>
        <v>1</v>
      </c>
      <c r="S3396" s="2" t="s">
        <v>97</v>
      </c>
    </row>
    <row r="3397" spans="1:19" x14ac:dyDescent="0.3">
      <c r="A3397" s="4">
        <v>3395</v>
      </c>
      <c r="B3397" s="2" t="s">
        <v>155</v>
      </c>
      <c r="C3397" s="3">
        <v>44861</v>
      </c>
      <c r="D3397" s="3" t="str">
        <f>TEXT(Table1[[#This Row],[Admission Date]],"MMMM")</f>
        <v>October</v>
      </c>
      <c r="E3397" s="3">
        <v>44861</v>
      </c>
      <c r="F3397" s="3">
        <v>44861</v>
      </c>
      <c r="G3397" s="2">
        <v>22028713</v>
      </c>
      <c r="H3397" s="2">
        <v>2237605</v>
      </c>
      <c r="I3397" s="2">
        <v>10013537888</v>
      </c>
      <c r="J3397" s="2" t="s">
        <v>358</v>
      </c>
      <c r="K3397" s="10">
        <v>1610</v>
      </c>
      <c r="L3397" s="10">
        <v>0</v>
      </c>
      <c r="M3397" s="10">
        <v>1610</v>
      </c>
      <c r="N3397" s="10">
        <v>1610</v>
      </c>
      <c r="O3397" s="10">
        <f>Table1[[#This Row],[NET Amount]]-Table1[[#This Row],[Paid Amount]]</f>
        <v>0</v>
      </c>
      <c r="P3397" s="2" t="s">
        <v>18</v>
      </c>
      <c r="Q3397" s="2" t="s">
        <v>54</v>
      </c>
      <c r="R3397" s="16">
        <f>(Table1[[#This Row],[NET Amount]]-Table1[[#This Row],[Total Outstanding Amount]])/Table1[[#This Row],[NET Amount]]</f>
        <v>1</v>
      </c>
      <c r="S3397" s="2" t="s">
        <v>97</v>
      </c>
    </row>
    <row r="3398" spans="1:19" x14ac:dyDescent="0.3">
      <c r="A3398" s="4">
        <v>3396</v>
      </c>
      <c r="B3398" s="2" t="s">
        <v>50</v>
      </c>
      <c r="C3398" s="3">
        <v>44851</v>
      </c>
      <c r="D3398" s="3" t="str">
        <f>TEXT(Table1[[#This Row],[Admission Date]],"MMMM")</f>
        <v>October</v>
      </c>
      <c r="E3398" s="3">
        <v>44854</v>
      </c>
      <c r="F3398" s="3">
        <v>44854</v>
      </c>
      <c r="G3398" s="2">
        <v>22027820</v>
      </c>
      <c r="H3398" s="2">
        <v>2236429</v>
      </c>
      <c r="I3398" s="2">
        <v>1001097019</v>
      </c>
      <c r="J3398" s="2" t="s">
        <v>1983</v>
      </c>
      <c r="K3398" s="10">
        <v>52925</v>
      </c>
      <c r="L3398" s="10">
        <v>0</v>
      </c>
      <c r="M3398" s="10">
        <v>52925</v>
      </c>
      <c r="N3398" s="10">
        <v>2925</v>
      </c>
      <c r="O3398" s="10">
        <f>Table1[[#This Row],[NET Amount]]-Table1[[#This Row],[Paid Amount]]</f>
        <v>50000</v>
      </c>
      <c r="P3398" s="2" t="s">
        <v>23</v>
      </c>
      <c r="Q3398" s="2" t="s">
        <v>30</v>
      </c>
      <c r="R3398" s="16">
        <f>(Table1[[#This Row],[NET Amount]]-Table1[[#This Row],[Total Outstanding Amount]])/Table1[[#This Row],[NET Amount]]</f>
        <v>5.5266887104393009E-2</v>
      </c>
      <c r="S3398" s="2" t="s">
        <v>27</v>
      </c>
    </row>
    <row r="3399" spans="1:19" x14ac:dyDescent="0.3">
      <c r="A3399" s="4">
        <v>3397</v>
      </c>
      <c r="B3399" s="2" t="s">
        <v>25</v>
      </c>
      <c r="C3399" s="3">
        <v>44848</v>
      </c>
      <c r="D3399" s="3" t="str">
        <f>TEXT(Table1[[#This Row],[Admission Date]],"MMMM")</f>
        <v>October</v>
      </c>
      <c r="E3399" s="3">
        <v>44848</v>
      </c>
      <c r="F3399" s="3">
        <v>44848</v>
      </c>
      <c r="G3399" s="2">
        <v>22027061</v>
      </c>
      <c r="H3399" s="2">
        <v>2235985</v>
      </c>
      <c r="I3399" s="2">
        <v>1000890994</v>
      </c>
      <c r="J3399" s="2" t="s">
        <v>271</v>
      </c>
      <c r="K3399" s="10">
        <v>3488</v>
      </c>
      <c r="L3399" s="10">
        <v>341</v>
      </c>
      <c r="M3399" s="10">
        <v>3147</v>
      </c>
      <c r="N3399" s="10">
        <v>3147</v>
      </c>
      <c r="O3399" s="10">
        <f>Table1[[#This Row],[NET Amount]]-Table1[[#This Row],[Paid Amount]]</f>
        <v>0</v>
      </c>
      <c r="P3399" s="2" t="s">
        <v>18</v>
      </c>
      <c r="Q3399" s="2" t="s">
        <v>54</v>
      </c>
      <c r="R3399" s="16">
        <f>(Table1[[#This Row],[NET Amount]]-Table1[[#This Row],[Total Outstanding Amount]])/Table1[[#This Row],[NET Amount]]</f>
        <v>1</v>
      </c>
      <c r="S3399" s="2" t="s">
        <v>97</v>
      </c>
    </row>
    <row r="3400" spans="1:19" x14ac:dyDescent="0.3">
      <c r="A3400" s="4">
        <v>3398</v>
      </c>
      <c r="B3400" s="2" t="s">
        <v>522</v>
      </c>
      <c r="C3400" s="3">
        <v>44846</v>
      </c>
      <c r="D3400" s="3" t="str">
        <f>TEXT(Table1[[#This Row],[Admission Date]],"MMMM")</f>
        <v>October</v>
      </c>
      <c r="E3400" s="3">
        <v>44848</v>
      </c>
      <c r="F3400" s="3">
        <v>44848</v>
      </c>
      <c r="G3400" s="2">
        <v>22027082</v>
      </c>
      <c r="H3400" s="2">
        <v>2235691</v>
      </c>
      <c r="I3400" s="2">
        <v>10013542179</v>
      </c>
      <c r="J3400" s="2" t="s">
        <v>1984</v>
      </c>
      <c r="K3400" s="10">
        <v>18251</v>
      </c>
      <c r="L3400" s="10">
        <v>0</v>
      </c>
      <c r="M3400" s="10">
        <v>18251</v>
      </c>
      <c r="N3400" s="10">
        <v>288</v>
      </c>
      <c r="O3400" s="10">
        <f>Table1[[#This Row],[NET Amount]]-Table1[[#This Row],[Paid Amount]]</f>
        <v>17963</v>
      </c>
      <c r="P3400" s="2" t="s">
        <v>23</v>
      </c>
      <c r="Q3400" s="2" t="s">
        <v>24</v>
      </c>
      <c r="R3400" s="16">
        <f>(Table1[[#This Row],[NET Amount]]-Table1[[#This Row],[Total Outstanding Amount]])/Table1[[#This Row],[NET Amount]]</f>
        <v>1.5779957262615746E-2</v>
      </c>
      <c r="S3400" s="2" t="s">
        <v>20</v>
      </c>
    </row>
    <row r="3401" spans="1:19" x14ac:dyDescent="0.3">
      <c r="A3401" s="4">
        <v>3399</v>
      </c>
      <c r="B3401" s="2" t="s">
        <v>25</v>
      </c>
      <c r="C3401" s="3">
        <v>44861</v>
      </c>
      <c r="D3401" s="3" t="str">
        <f>TEXT(Table1[[#This Row],[Admission Date]],"MMMM")</f>
        <v>October</v>
      </c>
      <c r="E3401" s="3">
        <v>44861</v>
      </c>
      <c r="F3401" s="3">
        <v>44861</v>
      </c>
      <c r="G3401" s="2">
        <v>22028721</v>
      </c>
      <c r="H3401" s="2">
        <v>2237621</v>
      </c>
      <c r="I3401" s="2">
        <v>10013415573</v>
      </c>
      <c r="J3401" s="2" t="s">
        <v>335</v>
      </c>
      <c r="K3401" s="10">
        <v>4990</v>
      </c>
      <c r="L3401" s="10">
        <v>418</v>
      </c>
      <c r="M3401" s="10">
        <v>4572</v>
      </c>
      <c r="N3401" s="10">
        <v>4572</v>
      </c>
      <c r="O3401" s="10">
        <f>Table1[[#This Row],[NET Amount]]-Table1[[#This Row],[Paid Amount]]</f>
        <v>0</v>
      </c>
      <c r="P3401" s="2" t="s">
        <v>18</v>
      </c>
      <c r="Q3401" s="2" t="s">
        <v>54</v>
      </c>
      <c r="R3401" s="16">
        <f>(Table1[[#This Row],[NET Amount]]-Table1[[#This Row],[Total Outstanding Amount]])/Table1[[#This Row],[NET Amount]]</f>
        <v>1</v>
      </c>
      <c r="S3401" s="2" t="s">
        <v>97</v>
      </c>
    </row>
    <row r="3402" spans="1:19" x14ac:dyDescent="0.3">
      <c r="A3402" s="4">
        <v>3400</v>
      </c>
      <c r="B3402" s="2" t="s">
        <v>2250</v>
      </c>
      <c r="C3402" s="3">
        <v>44837</v>
      </c>
      <c r="D3402" s="3" t="str">
        <f>TEXT(Table1[[#This Row],[Admission Date]],"MMMM")</f>
        <v>October</v>
      </c>
      <c r="E3402" s="3">
        <v>44842</v>
      </c>
      <c r="F3402" s="3">
        <v>44842</v>
      </c>
      <c r="G3402" s="2">
        <v>22026126</v>
      </c>
      <c r="H3402" s="2">
        <v>2234416</v>
      </c>
      <c r="I3402" s="2">
        <v>1001742478</v>
      </c>
      <c r="J3402" s="2" t="s">
        <v>1985</v>
      </c>
      <c r="K3402" s="10">
        <v>101682</v>
      </c>
      <c r="L3402" s="10">
        <v>12246</v>
      </c>
      <c r="M3402" s="10">
        <v>89436</v>
      </c>
      <c r="N3402" s="10">
        <v>10000</v>
      </c>
      <c r="O3402" s="10">
        <f>Table1[[#This Row],[NET Amount]]-Table1[[#This Row],[Paid Amount]]</f>
        <v>79436</v>
      </c>
      <c r="P3402" s="2" t="s">
        <v>23</v>
      </c>
      <c r="Q3402" s="2" t="s">
        <v>24</v>
      </c>
      <c r="R3402" s="16">
        <f>(Table1[[#This Row],[NET Amount]]-Table1[[#This Row],[Total Outstanding Amount]])/Table1[[#This Row],[NET Amount]]</f>
        <v>0.11181179838096517</v>
      </c>
      <c r="S3402" s="2" t="s">
        <v>20</v>
      </c>
    </row>
    <row r="3403" spans="1:19" x14ac:dyDescent="0.3">
      <c r="A3403" s="4">
        <v>3401</v>
      </c>
      <c r="B3403" s="2" t="s">
        <v>2257</v>
      </c>
      <c r="C3403" s="3">
        <v>44840</v>
      </c>
      <c r="D3403" s="3" t="str">
        <f>TEXT(Table1[[#This Row],[Admission Date]],"MMMM")</f>
        <v>October</v>
      </c>
      <c r="E3403" s="3">
        <v>44840</v>
      </c>
      <c r="F3403" s="3">
        <v>44840</v>
      </c>
      <c r="G3403" s="2">
        <v>22025894</v>
      </c>
      <c r="H3403" s="2">
        <v>2234893</v>
      </c>
      <c r="I3403" s="2">
        <v>1001689981</v>
      </c>
      <c r="J3403" s="2" t="s">
        <v>253</v>
      </c>
      <c r="K3403" s="10">
        <v>2950</v>
      </c>
      <c r="L3403" s="10">
        <v>0</v>
      </c>
      <c r="M3403" s="10">
        <v>2950</v>
      </c>
      <c r="N3403" s="10">
        <v>167</v>
      </c>
      <c r="O3403" s="10">
        <f>Table1[[#This Row],[NET Amount]]-Table1[[#This Row],[Paid Amount]]</f>
        <v>2783</v>
      </c>
      <c r="P3403" s="2" t="s">
        <v>23</v>
      </c>
      <c r="Q3403" s="2" t="s">
        <v>54</v>
      </c>
      <c r="R3403" s="16">
        <f>(Table1[[#This Row],[NET Amount]]-Table1[[#This Row],[Total Outstanding Amount]])/Table1[[#This Row],[NET Amount]]</f>
        <v>5.6610169491525426E-2</v>
      </c>
      <c r="S3403" s="2" t="s">
        <v>97</v>
      </c>
    </row>
    <row r="3404" spans="1:19" x14ac:dyDescent="0.3">
      <c r="A3404" s="4">
        <v>3402</v>
      </c>
      <c r="B3404" s="2" t="s">
        <v>25</v>
      </c>
      <c r="C3404" s="3">
        <v>44861</v>
      </c>
      <c r="D3404" s="3" t="str">
        <f>TEXT(Table1[[#This Row],[Admission Date]],"MMMM")</f>
        <v>October</v>
      </c>
      <c r="E3404" s="3">
        <v>44863</v>
      </c>
      <c r="F3404" s="3">
        <v>44863</v>
      </c>
      <c r="G3404" s="2">
        <v>22029061</v>
      </c>
      <c r="H3404" s="2">
        <v>2237673</v>
      </c>
      <c r="I3404" s="2">
        <v>10013277134</v>
      </c>
      <c r="J3404" s="2" t="s">
        <v>1986</v>
      </c>
      <c r="K3404" s="10">
        <v>69348</v>
      </c>
      <c r="L3404" s="10">
        <v>11563</v>
      </c>
      <c r="M3404" s="10">
        <v>57785</v>
      </c>
      <c r="N3404" s="10">
        <v>57785</v>
      </c>
      <c r="O3404" s="10">
        <f>Table1[[#This Row],[NET Amount]]-Table1[[#This Row],[Paid Amount]]</f>
        <v>0</v>
      </c>
      <c r="P3404" s="2" t="s">
        <v>18</v>
      </c>
      <c r="Q3404" s="2" t="s">
        <v>24</v>
      </c>
      <c r="R3404" s="16">
        <f>(Table1[[#This Row],[NET Amount]]-Table1[[#This Row],[Total Outstanding Amount]])/Table1[[#This Row],[NET Amount]]</f>
        <v>1</v>
      </c>
      <c r="S3404" s="2" t="s">
        <v>27</v>
      </c>
    </row>
    <row r="3405" spans="1:19" x14ac:dyDescent="0.3">
      <c r="A3405" s="4">
        <v>3403</v>
      </c>
      <c r="B3405" s="2" t="s">
        <v>2254</v>
      </c>
      <c r="C3405" s="3">
        <v>44846</v>
      </c>
      <c r="D3405" s="3" t="str">
        <f>TEXT(Table1[[#This Row],[Admission Date]],"MMMM")</f>
        <v>October</v>
      </c>
      <c r="E3405" s="3">
        <v>44846</v>
      </c>
      <c r="F3405" s="3">
        <v>44846</v>
      </c>
      <c r="G3405" s="2">
        <v>22026794</v>
      </c>
      <c r="H3405" s="2">
        <v>2235664</v>
      </c>
      <c r="I3405" s="2">
        <v>1001801835</v>
      </c>
      <c r="J3405" s="2" t="s">
        <v>1241</v>
      </c>
      <c r="K3405" s="10">
        <v>19925</v>
      </c>
      <c r="L3405" s="10">
        <v>1764</v>
      </c>
      <c r="M3405" s="10">
        <v>18161</v>
      </c>
      <c r="N3405" s="10">
        <v>1000</v>
      </c>
      <c r="O3405" s="10">
        <f>Table1[[#This Row],[NET Amount]]-Table1[[#This Row],[Paid Amount]]</f>
        <v>17161</v>
      </c>
      <c r="P3405" s="2" t="s">
        <v>23</v>
      </c>
      <c r="Q3405" s="2" t="s">
        <v>24</v>
      </c>
      <c r="R3405" s="16">
        <f>(Table1[[#This Row],[NET Amount]]-Table1[[#This Row],[Total Outstanding Amount]])/Table1[[#This Row],[NET Amount]]</f>
        <v>5.506304718903144E-2</v>
      </c>
      <c r="S3405" s="2" t="s">
        <v>77</v>
      </c>
    </row>
    <row r="3406" spans="1:19" x14ac:dyDescent="0.3">
      <c r="A3406" s="4">
        <v>3404</v>
      </c>
      <c r="B3406" s="2" t="s">
        <v>2253</v>
      </c>
      <c r="C3406" s="3">
        <v>44846</v>
      </c>
      <c r="D3406" s="3" t="str">
        <f>TEXT(Table1[[#This Row],[Admission Date]],"MMMM")</f>
        <v>October</v>
      </c>
      <c r="E3406" s="3">
        <v>44850</v>
      </c>
      <c r="F3406" s="3">
        <v>44850</v>
      </c>
      <c r="G3406" s="2">
        <v>22027312</v>
      </c>
      <c r="H3406" s="2">
        <v>2235636</v>
      </c>
      <c r="I3406" s="2">
        <v>1001271192</v>
      </c>
      <c r="J3406" s="2" t="s">
        <v>1987</v>
      </c>
      <c r="K3406" s="10">
        <v>27618</v>
      </c>
      <c r="L3406" s="10">
        <v>0</v>
      </c>
      <c r="M3406" s="10">
        <v>27618</v>
      </c>
      <c r="N3406" s="10">
        <v>545</v>
      </c>
      <c r="O3406" s="10">
        <f>Table1[[#This Row],[NET Amount]]-Table1[[#This Row],[Paid Amount]]</f>
        <v>27073</v>
      </c>
      <c r="P3406" s="2" t="s">
        <v>23</v>
      </c>
      <c r="Q3406" s="2" t="s">
        <v>24</v>
      </c>
      <c r="R3406" s="16">
        <f>(Table1[[#This Row],[NET Amount]]-Table1[[#This Row],[Total Outstanding Amount]])/Table1[[#This Row],[NET Amount]]</f>
        <v>1.9733507133029182E-2</v>
      </c>
      <c r="S3406" s="2" t="s">
        <v>20</v>
      </c>
    </row>
    <row r="3407" spans="1:19" x14ac:dyDescent="0.3">
      <c r="A3407" s="4">
        <v>3405</v>
      </c>
      <c r="B3407" s="2" t="s">
        <v>2242</v>
      </c>
      <c r="C3407" s="3">
        <v>44843</v>
      </c>
      <c r="D3407" s="3" t="str">
        <f>TEXT(Table1[[#This Row],[Admission Date]],"MMMM")</f>
        <v>October</v>
      </c>
      <c r="E3407" s="3">
        <v>44850</v>
      </c>
      <c r="F3407" s="3">
        <v>44850</v>
      </c>
      <c r="G3407" s="2">
        <v>22027344</v>
      </c>
      <c r="H3407" s="2">
        <v>2235267</v>
      </c>
      <c r="I3407" s="2">
        <v>10013500237</v>
      </c>
      <c r="J3407" s="2" t="s">
        <v>26</v>
      </c>
      <c r="K3407" s="10">
        <v>150156</v>
      </c>
      <c r="L3407" s="10">
        <v>150156</v>
      </c>
      <c r="M3407" s="10">
        <v>0</v>
      </c>
      <c r="N3407" s="10">
        <v>0</v>
      </c>
      <c r="O3407" s="10">
        <f>Table1[[#This Row],[NET Amount]]-Table1[[#This Row],[Paid Amount]]</f>
        <v>0</v>
      </c>
      <c r="P3407" s="2" t="s">
        <v>18</v>
      </c>
      <c r="Q3407" s="2" t="s">
        <v>24</v>
      </c>
      <c r="R3407" s="16" t="e">
        <f>(Table1[[#This Row],[NET Amount]]-Table1[[#This Row],[Total Outstanding Amount]])/Table1[[#This Row],[NET Amount]]</f>
        <v>#DIV/0!</v>
      </c>
      <c r="S3407" s="2" t="s">
        <v>20</v>
      </c>
    </row>
    <row r="3408" spans="1:19" x14ac:dyDescent="0.3">
      <c r="A3408" s="4">
        <v>3406</v>
      </c>
      <c r="B3408" s="2" t="s">
        <v>25</v>
      </c>
      <c r="C3408" s="3">
        <v>44845</v>
      </c>
      <c r="D3408" s="3" t="str">
        <f>TEXT(Table1[[#This Row],[Admission Date]],"MMMM")</f>
        <v>October</v>
      </c>
      <c r="E3408" s="3">
        <v>44850</v>
      </c>
      <c r="F3408" s="3">
        <v>44850</v>
      </c>
      <c r="G3408" s="2">
        <v>22027351</v>
      </c>
      <c r="H3408" s="2">
        <v>2235549</v>
      </c>
      <c r="I3408" s="2">
        <v>10013542546</v>
      </c>
      <c r="J3408" s="2" t="s">
        <v>1988</v>
      </c>
      <c r="K3408" s="10">
        <v>279669</v>
      </c>
      <c r="L3408" s="10">
        <v>279669</v>
      </c>
      <c r="M3408" s="10">
        <v>0</v>
      </c>
      <c r="N3408" s="10">
        <v>0</v>
      </c>
      <c r="O3408" s="10">
        <f>Table1[[#This Row],[NET Amount]]-Table1[[#This Row],[Paid Amount]]</f>
        <v>0</v>
      </c>
      <c r="P3408" s="2" t="s">
        <v>18</v>
      </c>
      <c r="Q3408" s="2" t="s">
        <v>90</v>
      </c>
      <c r="R3408" s="16" t="e">
        <f>(Table1[[#This Row],[NET Amount]]-Table1[[#This Row],[Total Outstanding Amount]])/Table1[[#This Row],[NET Amount]]</f>
        <v>#DIV/0!</v>
      </c>
      <c r="S3408" s="2" t="s">
        <v>20</v>
      </c>
    </row>
    <row r="3409" spans="1:19" x14ac:dyDescent="0.3">
      <c r="A3409" s="4">
        <v>3407</v>
      </c>
      <c r="B3409" s="2" t="s">
        <v>35</v>
      </c>
      <c r="C3409" s="3">
        <v>44853</v>
      </c>
      <c r="D3409" s="3" t="str">
        <f>TEXT(Table1[[#This Row],[Admission Date]],"MMMM")</f>
        <v>October</v>
      </c>
      <c r="E3409" s="3">
        <v>44853</v>
      </c>
      <c r="F3409" s="3">
        <v>44853</v>
      </c>
      <c r="G3409" s="2">
        <v>22027654</v>
      </c>
      <c r="H3409" s="2">
        <v>2236585</v>
      </c>
      <c r="I3409" s="2">
        <v>10013514103</v>
      </c>
      <c r="J3409" s="2" t="s">
        <v>173</v>
      </c>
      <c r="K3409" s="10">
        <v>1610</v>
      </c>
      <c r="L3409" s="10">
        <v>0</v>
      </c>
      <c r="M3409" s="10">
        <v>1610</v>
      </c>
      <c r="N3409" s="10">
        <v>1610</v>
      </c>
      <c r="O3409" s="10">
        <f>Table1[[#This Row],[NET Amount]]-Table1[[#This Row],[Paid Amount]]</f>
        <v>0</v>
      </c>
      <c r="P3409" s="2" t="s">
        <v>18</v>
      </c>
      <c r="Q3409" s="2" t="s">
        <v>54</v>
      </c>
      <c r="R3409" s="16">
        <f>(Table1[[#This Row],[NET Amount]]-Table1[[#This Row],[Total Outstanding Amount]])/Table1[[#This Row],[NET Amount]]</f>
        <v>1</v>
      </c>
      <c r="S3409" s="2" t="s">
        <v>97</v>
      </c>
    </row>
    <row r="3410" spans="1:19" x14ac:dyDescent="0.3">
      <c r="A3410" s="4">
        <v>3408</v>
      </c>
      <c r="B3410" s="2" t="s">
        <v>25</v>
      </c>
      <c r="C3410" s="3">
        <v>44851</v>
      </c>
      <c r="D3410" s="3" t="str">
        <f>TEXT(Table1[[#This Row],[Admission Date]],"MMMM")</f>
        <v>October</v>
      </c>
      <c r="E3410" s="3">
        <v>44851</v>
      </c>
      <c r="F3410" s="3">
        <v>44851</v>
      </c>
      <c r="G3410" s="2">
        <v>22027375</v>
      </c>
      <c r="H3410" s="2">
        <v>2236298</v>
      </c>
      <c r="I3410" s="2">
        <v>1001314823</v>
      </c>
      <c r="J3410" s="2" t="s">
        <v>129</v>
      </c>
      <c r="K3410" s="10">
        <v>3630</v>
      </c>
      <c r="L3410" s="10">
        <v>365</v>
      </c>
      <c r="M3410" s="10">
        <v>3265</v>
      </c>
      <c r="N3410" s="10">
        <v>3265</v>
      </c>
      <c r="O3410" s="10">
        <f>Table1[[#This Row],[NET Amount]]-Table1[[#This Row],[Paid Amount]]</f>
        <v>0</v>
      </c>
      <c r="P3410" s="2" t="s">
        <v>18</v>
      </c>
      <c r="Q3410" s="2" t="s">
        <v>54</v>
      </c>
      <c r="R3410" s="16">
        <f>(Table1[[#This Row],[NET Amount]]-Table1[[#This Row],[Total Outstanding Amount]])/Table1[[#This Row],[NET Amount]]</f>
        <v>1</v>
      </c>
      <c r="S3410" s="2" t="s">
        <v>97</v>
      </c>
    </row>
    <row r="3411" spans="1:19" x14ac:dyDescent="0.3">
      <c r="A3411" s="4">
        <v>3409</v>
      </c>
      <c r="B3411" s="2" t="s">
        <v>25</v>
      </c>
      <c r="C3411" s="3">
        <v>44840</v>
      </c>
      <c r="D3411" s="3" t="str">
        <f>TEXT(Table1[[#This Row],[Admission Date]],"MMMM")</f>
        <v>October</v>
      </c>
      <c r="E3411" s="3">
        <v>44840</v>
      </c>
      <c r="F3411" s="3">
        <v>44840</v>
      </c>
      <c r="G3411" s="2">
        <v>22025887</v>
      </c>
      <c r="H3411" s="2">
        <v>2234815</v>
      </c>
      <c r="I3411" s="2">
        <v>10013538726</v>
      </c>
      <c r="J3411" s="2" t="s">
        <v>1989</v>
      </c>
      <c r="K3411" s="10">
        <v>18204</v>
      </c>
      <c r="L3411" s="10">
        <v>2236</v>
      </c>
      <c r="M3411" s="10">
        <v>15967</v>
      </c>
      <c r="N3411" s="10">
        <v>15967</v>
      </c>
      <c r="O3411" s="10">
        <f>Table1[[#This Row],[NET Amount]]-Table1[[#This Row],[Paid Amount]]</f>
        <v>0</v>
      </c>
      <c r="P3411" s="2" t="s">
        <v>18</v>
      </c>
      <c r="Q3411" s="2" t="s">
        <v>54</v>
      </c>
      <c r="R3411" s="16">
        <f>(Table1[[#This Row],[NET Amount]]-Table1[[#This Row],[Total Outstanding Amount]])/Table1[[#This Row],[NET Amount]]</f>
        <v>1</v>
      </c>
      <c r="S3411" s="2" t="s">
        <v>27</v>
      </c>
    </row>
    <row r="3412" spans="1:19" x14ac:dyDescent="0.3">
      <c r="A3412" s="4">
        <v>3410</v>
      </c>
      <c r="B3412" s="2" t="s">
        <v>75</v>
      </c>
      <c r="C3412" s="3">
        <v>44848</v>
      </c>
      <c r="D3412" s="3" t="str">
        <f>TEXT(Table1[[#This Row],[Admission Date]],"MMMM")</f>
        <v>October</v>
      </c>
      <c r="E3412" s="3">
        <v>44861</v>
      </c>
      <c r="F3412" s="3">
        <v>44861</v>
      </c>
      <c r="G3412" s="2">
        <v>22028820</v>
      </c>
      <c r="H3412" s="2">
        <v>2236049</v>
      </c>
      <c r="I3412" s="2">
        <v>10013543070</v>
      </c>
      <c r="J3412" s="2" t="s">
        <v>1990</v>
      </c>
      <c r="K3412" s="10">
        <v>315301</v>
      </c>
      <c r="L3412" s="10">
        <v>0</v>
      </c>
      <c r="M3412" s="10">
        <v>315301</v>
      </c>
      <c r="N3412" s="10">
        <v>11771</v>
      </c>
      <c r="O3412" s="10">
        <f>Table1[[#This Row],[NET Amount]]-Table1[[#This Row],[Paid Amount]]</f>
        <v>303530</v>
      </c>
      <c r="P3412" s="2" t="s">
        <v>23</v>
      </c>
      <c r="Q3412" s="2" t="s">
        <v>24</v>
      </c>
      <c r="R3412" s="16">
        <f>(Table1[[#This Row],[NET Amount]]-Table1[[#This Row],[Total Outstanding Amount]])/Table1[[#This Row],[NET Amount]]</f>
        <v>3.7332580613445562E-2</v>
      </c>
      <c r="S3412" s="2" t="s">
        <v>77</v>
      </c>
    </row>
    <row r="3413" spans="1:19" x14ac:dyDescent="0.3">
      <c r="A3413" s="4">
        <v>3411</v>
      </c>
      <c r="B3413" s="2" t="s">
        <v>35</v>
      </c>
      <c r="C3413" s="3">
        <v>44855</v>
      </c>
      <c r="D3413" s="3" t="str">
        <f>TEXT(Table1[[#This Row],[Admission Date]],"MMMM")</f>
        <v>October</v>
      </c>
      <c r="E3413" s="3">
        <v>44861</v>
      </c>
      <c r="F3413" s="3">
        <v>44861</v>
      </c>
      <c r="G3413" s="2">
        <v>22028809</v>
      </c>
      <c r="H3413" s="2">
        <v>2236958</v>
      </c>
      <c r="I3413" s="2">
        <v>10013544064</v>
      </c>
      <c r="J3413" s="2" t="s">
        <v>1812</v>
      </c>
      <c r="K3413" s="10">
        <v>82515</v>
      </c>
      <c r="L3413" s="10">
        <v>0</v>
      </c>
      <c r="M3413" s="10">
        <v>82515</v>
      </c>
      <c r="N3413" s="10">
        <v>1881</v>
      </c>
      <c r="O3413" s="10">
        <f>Table1[[#This Row],[NET Amount]]-Table1[[#This Row],[Paid Amount]]</f>
        <v>80634</v>
      </c>
      <c r="P3413" s="2" t="s">
        <v>23</v>
      </c>
      <c r="Q3413" s="2" t="s">
        <v>24</v>
      </c>
      <c r="R3413" s="16">
        <f>(Table1[[#This Row],[NET Amount]]-Table1[[#This Row],[Total Outstanding Amount]])/Table1[[#This Row],[NET Amount]]</f>
        <v>2.2795855299036539E-2</v>
      </c>
      <c r="S3413" s="2" t="s">
        <v>20</v>
      </c>
    </row>
    <row r="3414" spans="1:19" x14ac:dyDescent="0.3">
      <c r="A3414" s="4">
        <v>3412</v>
      </c>
      <c r="B3414" s="2" t="s">
        <v>25</v>
      </c>
      <c r="C3414" s="3">
        <v>44862</v>
      </c>
      <c r="D3414" s="3" t="str">
        <f>TEXT(Table1[[#This Row],[Admission Date]],"MMMM")</f>
        <v>October</v>
      </c>
      <c r="E3414" s="3">
        <v>44862</v>
      </c>
      <c r="F3414" s="3">
        <v>44862</v>
      </c>
      <c r="G3414" s="2">
        <v>22028872</v>
      </c>
      <c r="H3414" s="2">
        <v>2237771</v>
      </c>
      <c r="I3414" s="2">
        <v>1001365680</v>
      </c>
      <c r="J3414" s="2" t="s">
        <v>1097</v>
      </c>
      <c r="K3414" s="10">
        <v>14000</v>
      </c>
      <c r="L3414" s="10">
        <v>0</v>
      </c>
      <c r="M3414" s="10">
        <v>14000</v>
      </c>
      <c r="N3414" s="10">
        <v>14000</v>
      </c>
      <c r="O3414" s="10">
        <f>Table1[[#This Row],[NET Amount]]-Table1[[#This Row],[Paid Amount]]</f>
        <v>0</v>
      </c>
      <c r="P3414" s="2" t="s">
        <v>18</v>
      </c>
      <c r="Q3414" s="2" t="s">
        <v>54</v>
      </c>
      <c r="R3414" s="16">
        <f>(Table1[[#This Row],[NET Amount]]-Table1[[#This Row],[Total Outstanding Amount]])/Table1[[#This Row],[NET Amount]]</f>
        <v>1</v>
      </c>
      <c r="S3414" s="2" t="s">
        <v>39</v>
      </c>
    </row>
    <row r="3415" spans="1:19" x14ac:dyDescent="0.3">
      <c r="A3415" s="4">
        <v>3413</v>
      </c>
      <c r="B3415" s="2" t="s">
        <v>25</v>
      </c>
      <c r="C3415" s="3">
        <v>44846</v>
      </c>
      <c r="D3415" s="3" t="str">
        <f>TEXT(Table1[[#This Row],[Admission Date]],"MMMM")</f>
        <v>October</v>
      </c>
      <c r="E3415" s="3">
        <v>44847</v>
      </c>
      <c r="F3415" s="3">
        <v>44847</v>
      </c>
      <c r="G3415" s="2">
        <v>22026905</v>
      </c>
      <c r="H3415" s="2">
        <v>2235737</v>
      </c>
      <c r="I3415" s="2">
        <v>1001804009</v>
      </c>
      <c r="J3415" s="2" t="s">
        <v>1991</v>
      </c>
      <c r="K3415" s="10">
        <v>10244</v>
      </c>
      <c r="L3415" s="10">
        <v>1267</v>
      </c>
      <c r="M3415" s="10">
        <v>8977</v>
      </c>
      <c r="N3415" s="10">
        <v>8977</v>
      </c>
      <c r="O3415" s="10">
        <f>Table1[[#This Row],[NET Amount]]-Table1[[#This Row],[Paid Amount]]</f>
        <v>0</v>
      </c>
      <c r="P3415" s="2" t="s">
        <v>18</v>
      </c>
      <c r="Q3415" s="2" t="s">
        <v>30</v>
      </c>
      <c r="R3415" s="16">
        <f>(Table1[[#This Row],[NET Amount]]-Table1[[#This Row],[Total Outstanding Amount]])/Table1[[#This Row],[NET Amount]]</f>
        <v>1</v>
      </c>
      <c r="S3415" s="2" t="s">
        <v>37</v>
      </c>
    </row>
    <row r="3416" spans="1:19" x14ac:dyDescent="0.3">
      <c r="A3416" s="4">
        <v>3414</v>
      </c>
      <c r="B3416" s="2" t="s">
        <v>117</v>
      </c>
      <c r="C3416" s="3">
        <v>44835</v>
      </c>
      <c r="D3416" s="3" t="str">
        <f>TEXT(Table1[[#This Row],[Admission Date]],"MMMM")</f>
        <v>October</v>
      </c>
      <c r="E3416" s="3">
        <v>44835</v>
      </c>
      <c r="F3416" s="3">
        <v>44835</v>
      </c>
      <c r="G3416" s="2">
        <v>22025096</v>
      </c>
      <c r="H3416" s="2">
        <v>2234151</v>
      </c>
      <c r="I3416" s="2">
        <v>1000891454</v>
      </c>
      <c r="J3416" s="2" t="s">
        <v>232</v>
      </c>
      <c r="K3416" s="10">
        <v>2810</v>
      </c>
      <c r="L3416" s="10">
        <v>0</v>
      </c>
      <c r="M3416" s="10">
        <v>2810</v>
      </c>
      <c r="N3416" s="10">
        <v>2810</v>
      </c>
      <c r="O3416" s="10">
        <f>Table1[[#This Row],[NET Amount]]-Table1[[#This Row],[Paid Amount]]</f>
        <v>0</v>
      </c>
      <c r="P3416" s="2" t="s">
        <v>18</v>
      </c>
      <c r="Q3416" s="2" t="s">
        <v>54</v>
      </c>
      <c r="R3416" s="16">
        <f>(Table1[[#This Row],[NET Amount]]-Table1[[#This Row],[Total Outstanding Amount]])/Table1[[#This Row],[NET Amount]]</f>
        <v>1</v>
      </c>
      <c r="S3416" s="2" t="s">
        <v>97</v>
      </c>
    </row>
    <row r="3417" spans="1:19" x14ac:dyDescent="0.3">
      <c r="A3417" s="4">
        <v>3415</v>
      </c>
      <c r="B3417" s="2" t="s">
        <v>25</v>
      </c>
      <c r="C3417" s="3">
        <v>44835</v>
      </c>
      <c r="D3417" s="3" t="str">
        <f>TEXT(Table1[[#This Row],[Admission Date]],"MMMM")</f>
        <v>October</v>
      </c>
      <c r="E3417" s="3">
        <v>44835</v>
      </c>
      <c r="F3417" s="3">
        <v>44835</v>
      </c>
      <c r="G3417" s="2">
        <v>22025105</v>
      </c>
      <c r="H3417" s="2">
        <v>2234158</v>
      </c>
      <c r="I3417" s="2">
        <v>1001105051</v>
      </c>
      <c r="J3417" s="2" t="s">
        <v>275</v>
      </c>
      <c r="K3417" s="10">
        <v>4990</v>
      </c>
      <c r="L3417" s="10">
        <v>419</v>
      </c>
      <c r="M3417" s="10">
        <v>4571</v>
      </c>
      <c r="N3417" s="10">
        <v>4571</v>
      </c>
      <c r="O3417" s="10">
        <f>Table1[[#This Row],[NET Amount]]-Table1[[#This Row],[Paid Amount]]</f>
        <v>0</v>
      </c>
      <c r="P3417" s="2" t="s">
        <v>18</v>
      </c>
      <c r="Q3417" s="2" t="s">
        <v>54</v>
      </c>
      <c r="R3417" s="16">
        <f>(Table1[[#This Row],[NET Amount]]-Table1[[#This Row],[Total Outstanding Amount]])/Table1[[#This Row],[NET Amount]]</f>
        <v>1</v>
      </c>
      <c r="S3417" s="2" t="s">
        <v>97</v>
      </c>
    </row>
    <row r="3418" spans="1:19" x14ac:dyDescent="0.3">
      <c r="A3418" s="4">
        <v>3416</v>
      </c>
      <c r="B3418" s="2" t="s">
        <v>155</v>
      </c>
      <c r="C3418" s="3">
        <v>44835</v>
      </c>
      <c r="D3418" s="3" t="str">
        <f>TEXT(Table1[[#This Row],[Admission Date]],"MMMM")</f>
        <v>October</v>
      </c>
      <c r="E3418" s="3">
        <v>44835</v>
      </c>
      <c r="F3418" s="3">
        <v>44835</v>
      </c>
      <c r="G3418" s="2">
        <v>22025184</v>
      </c>
      <c r="H3418" s="2">
        <v>2234198</v>
      </c>
      <c r="I3418" s="2">
        <v>10013362937</v>
      </c>
      <c r="J3418" s="2" t="s">
        <v>963</v>
      </c>
      <c r="K3418" s="10">
        <v>1610</v>
      </c>
      <c r="L3418" s="10">
        <v>0</v>
      </c>
      <c r="M3418" s="10">
        <v>1610</v>
      </c>
      <c r="N3418" s="10">
        <v>1610</v>
      </c>
      <c r="O3418" s="10">
        <f>Table1[[#This Row],[NET Amount]]-Table1[[#This Row],[Paid Amount]]</f>
        <v>0</v>
      </c>
      <c r="P3418" s="2" t="s">
        <v>18</v>
      </c>
      <c r="Q3418" s="2" t="s">
        <v>54</v>
      </c>
      <c r="R3418" s="16">
        <f>(Table1[[#This Row],[NET Amount]]-Table1[[#This Row],[Total Outstanding Amount]])/Table1[[#This Row],[NET Amount]]</f>
        <v>1</v>
      </c>
      <c r="S3418" s="2" t="s">
        <v>97</v>
      </c>
    </row>
    <row r="3419" spans="1:19" x14ac:dyDescent="0.3">
      <c r="A3419" s="4">
        <v>3417</v>
      </c>
      <c r="B3419" s="2" t="s">
        <v>25</v>
      </c>
      <c r="C3419" s="3">
        <v>44835</v>
      </c>
      <c r="D3419" s="3" t="str">
        <f>TEXT(Table1[[#This Row],[Admission Date]],"MMMM")</f>
        <v>October</v>
      </c>
      <c r="E3419" s="3">
        <v>44835</v>
      </c>
      <c r="F3419" s="3">
        <v>44835</v>
      </c>
      <c r="G3419" s="2">
        <v>22025172</v>
      </c>
      <c r="H3419" s="2">
        <v>2234192</v>
      </c>
      <c r="I3419" s="2">
        <v>10013460950</v>
      </c>
      <c r="J3419" s="2" t="s">
        <v>248</v>
      </c>
      <c r="K3419" s="10">
        <v>2844</v>
      </c>
      <c r="L3419" s="10">
        <v>310</v>
      </c>
      <c r="M3419" s="10">
        <v>2534</v>
      </c>
      <c r="N3419" s="10">
        <v>2534</v>
      </c>
      <c r="O3419" s="10">
        <f>Table1[[#This Row],[NET Amount]]-Table1[[#This Row],[Paid Amount]]</f>
        <v>0</v>
      </c>
      <c r="P3419" s="2" t="s">
        <v>18</v>
      </c>
      <c r="Q3419" s="2" t="s">
        <v>54</v>
      </c>
      <c r="R3419" s="16">
        <f>(Table1[[#This Row],[NET Amount]]-Table1[[#This Row],[Total Outstanding Amount]])/Table1[[#This Row],[NET Amount]]</f>
        <v>1</v>
      </c>
      <c r="S3419" s="2" t="s">
        <v>97</v>
      </c>
    </row>
    <row r="3420" spans="1:19" x14ac:dyDescent="0.3">
      <c r="A3420" s="4">
        <v>3418</v>
      </c>
      <c r="B3420" s="2" t="s">
        <v>25</v>
      </c>
      <c r="C3420" s="3">
        <v>44837</v>
      </c>
      <c r="D3420" s="3" t="str">
        <f>TEXT(Table1[[#This Row],[Admission Date]],"MMMM")</f>
        <v>October</v>
      </c>
      <c r="E3420" s="3">
        <v>44837</v>
      </c>
      <c r="F3420" s="3">
        <v>44837</v>
      </c>
      <c r="G3420" s="2">
        <v>22025436</v>
      </c>
      <c r="H3420" s="2">
        <v>2234441</v>
      </c>
      <c r="I3420" s="2">
        <v>10013534480</v>
      </c>
      <c r="J3420" s="2" t="s">
        <v>1992</v>
      </c>
      <c r="K3420" s="10">
        <v>2844</v>
      </c>
      <c r="L3420" s="10">
        <v>291</v>
      </c>
      <c r="M3420" s="10">
        <v>2553</v>
      </c>
      <c r="N3420" s="10">
        <v>2553</v>
      </c>
      <c r="O3420" s="10">
        <f>Table1[[#This Row],[NET Amount]]-Table1[[#This Row],[Paid Amount]]</f>
        <v>0</v>
      </c>
      <c r="P3420" s="2" t="s">
        <v>18</v>
      </c>
      <c r="Q3420" s="2" t="s">
        <v>54</v>
      </c>
      <c r="R3420" s="16">
        <f>(Table1[[#This Row],[NET Amount]]-Table1[[#This Row],[Total Outstanding Amount]])/Table1[[#This Row],[NET Amount]]</f>
        <v>1</v>
      </c>
      <c r="S3420" s="2" t="s">
        <v>97</v>
      </c>
    </row>
    <row r="3421" spans="1:19" x14ac:dyDescent="0.3">
      <c r="A3421" s="4">
        <v>3419</v>
      </c>
      <c r="B3421" s="2" t="s">
        <v>122</v>
      </c>
      <c r="C3421" s="3">
        <v>44837</v>
      </c>
      <c r="D3421" s="3" t="str">
        <f>TEXT(Table1[[#This Row],[Admission Date]],"MMMM")</f>
        <v>October</v>
      </c>
      <c r="E3421" s="3">
        <v>44837</v>
      </c>
      <c r="F3421" s="3">
        <v>44837</v>
      </c>
      <c r="G3421" s="2">
        <v>22025456</v>
      </c>
      <c r="H3421" s="2">
        <v>2234454</v>
      </c>
      <c r="I3421" s="2">
        <v>1001087967</v>
      </c>
      <c r="J3421" s="2" t="s">
        <v>123</v>
      </c>
      <c r="K3421" s="10">
        <v>3488</v>
      </c>
      <c r="L3421" s="10">
        <v>3488</v>
      </c>
      <c r="M3421" s="10">
        <v>0</v>
      </c>
      <c r="N3421" s="10">
        <v>0</v>
      </c>
      <c r="O3421" s="10">
        <f>Table1[[#This Row],[NET Amount]]-Table1[[#This Row],[Paid Amount]]</f>
        <v>0</v>
      </c>
      <c r="P3421" s="2" t="s">
        <v>18</v>
      </c>
      <c r="Q3421" s="2" t="s">
        <v>54</v>
      </c>
      <c r="R3421" s="16" t="e">
        <f>(Table1[[#This Row],[NET Amount]]-Table1[[#This Row],[Total Outstanding Amount]])/Table1[[#This Row],[NET Amount]]</f>
        <v>#DIV/0!</v>
      </c>
      <c r="S3421" s="2" t="s">
        <v>97</v>
      </c>
    </row>
    <row r="3422" spans="1:19" x14ac:dyDescent="0.3">
      <c r="A3422" s="4">
        <v>3420</v>
      </c>
      <c r="B3422" s="2" t="s">
        <v>2247</v>
      </c>
      <c r="C3422" s="3">
        <v>44852</v>
      </c>
      <c r="D3422" s="3" t="str">
        <f>TEXT(Table1[[#This Row],[Admission Date]],"MMMM")</f>
        <v>October</v>
      </c>
      <c r="E3422" s="3">
        <v>44855</v>
      </c>
      <c r="F3422" s="3">
        <v>44855</v>
      </c>
      <c r="G3422" s="2">
        <v>22028082</v>
      </c>
      <c r="H3422" s="2">
        <v>2236538</v>
      </c>
      <c r="I3422" s="2">
        <v>1001805117</v>
      </c>
      <c r="J3422" s="2" t="s">
        <v>1993</v>
      </c>
      <c r="K3422" s="10">
        <v>28278</v>
      </c>
      <c r="L3422" s="10">
        <v>3767</v>
      </c>
      <c r="M3422" s="10">
        <v>24511</v>
      </c>
      <c r="N3422" s="10">
        <v>3254</v>
      </c>
      <c r="O3422" s="10">
        <f>Table1[[#This Row],[NET Amount]]-Table1[[#This Row],[Paid Amount]]</f>
        <v>21257</v>
      </c>
      <c r="P3422" s="2" t="s">
        <v>23</v>
      </c>
      <c r="Q3422" s="2" t="s">
        <v>24</v>
      </c>
      <c r="R3422" s="16">
        <f>(Table1[[#This Row],[NET Amount]]-Table1[[#This Row],[Total Outstanding Amount]])/Table1[[#This Row],[NET Amount]]</f>
        <v>0.13275672147199216</v>
      </c>
      <c r="S3422" s="2" t="s">
        <v>20</v>
      </c>
    </row>
    <row r="3423" spans="1:19" x14ac:dyDescent="0.3">
      <c r="A3423" s="4">
        <v>3421</v>
      </c>
      <c r="B3423" s="2" t="s">
        <v>35</v>
      </c>
      <c r="C3423" s="3">
        <v>44863</v>
      </c>
      <c r="D3423" s="3" t="str">
        <f>TEXT(Table1[[#This Row],[Admission Date]],"MMMM")</f>
        <v>October</v>
      </c>
      <c r="E3423" s="3">
        <v>44863</v>
      </c>
      <c r="F3423" s="3">
        <v>44863</v>
      </c>
      <c r="G3423" s="2">
        <v>22029071</v>
      </c>
      <c r="H3423" s="2">
        <v>2237946</v>
      </c>
      <c r="I3423" s="2">
        <v>10013293767</v>
      </c>
      <c r="J3423" s="2" t="s">
        <v>1994</v>
      </c>
      <c r="K3423" s="10">
        <v>0</v>
      </c>
      <c r="L3423" s="10">
        <v>0</v>
      </c>
      <c r="M3423" s="10">
        <v>0</v>
      </c>
      <c r="N3423" s="10">
        <v>0</v>
      </c>
      <c r="O3423" s="10">
        <f>Table1[[#This Row],[NET Amount]]-Table1[[#This Row],[Paid Amount]]</f>
        <v>0</v>
      </c>
      <c r="P3423" s="2" t="s">
        <v>18</v>
      </c>
      <c r="Q3423" s="2" t="s">
        <v>19</v>
      </c>
      <c r="R3423" s="16" t="e">
        <f>(Table1[[#This Row],[NET Amount]]-Table1[[#This Row],[Total Outstanding Amount]])/Table1[[#This Row],[NET Amount]]</f>
        <v>#DIV/0!</v>
      </c>
      <c r="S3423" s="2" t="s">
        <v>20</v>
      </c>
    </row>
    <row r="3424" spans="1:19" x14ac:dyDescent="0.3">
      <c r="A3424" s="4">
        <v>3422</v>
      </c>
      <c r="B3424" s="2" t="s">
        <v>2256</v>
      </c>
      <c r="C3424" s="3">
        <v>44849</v>
      </c>
      <c r="D3424" s="3" t="str">
        <f>TEXT(Table1[[#This Row],[Admission Date]],"MMMM")</f>
        <v>October</v>
      </c>
      <c r="E3424" s="3">
        <v>44849</v>
      </c>
      <c r="F3424" s="3">
        <v>44849</v>
      </c>
      <c r="G3424" s="2">
        <v>22027226</v>
      </c>
      <c r="H3424" s="2">
        <v>2236151</v>
      </c>
      <c r="I3424" s="2">
        <v>1001658205</v>
      </c>
      <c r="J3424" s="2" t="s">
        <v>238</v>
      </c>
      <c r="K3424" s="10">
        <v>2950</v>
      </c>
      <c r="L3424" s="10">
        <v>0</v>
      </c>
      <c r="M3424" s="10">
        <v>2950</v>
      </c>
      <c r="N3424" s="10">
        <v>295</v>
      </c>
      <c r="O3424" s="10">
        <f>Table1[[#This Row],[NET Amount]]-Table1[[#This Row],[Paid Amount]]</f>
        <v>2655</v>
      </c>
      <c r="P3424" s="2" t="s">
        <v>23</v>
      </c>
      <c r="Q3424" s="2" t="s">
        <v>54</v>
      </c>
      <c r="R3424" s="16">
        <f>(Table1[[#This Row],[NET Amount]]-Table1[[#This Row],[Total Outstanding Amount]])/Table1[[#This Row],[NET Amount]]</f>
        <v>0.1</v>
      </c>
      <c r="S3424" s="2" t="s">
        <v>97</v>
      </c>
    </row>
    <row r="3425" spans="1:19" x14ac:dyDescent="0.3">
      <c r="A3425" s="4">
        <v>3423</v>
      </c>
      <c r="B3425" s="2" t="s">
        <v>25</v>
      </c>
      <c r="C3425" s="3">
        <v>44853</v>
      </c>
      <c r="D3425" s="3" t="str">
        <f>TEXT(Table1[[#This Row],[Admission Date]],"MMMM")</f>
        <v>October</v>
      </c>
      <c r="E3425" s="3">
        <v>44853</v>
      </c>
      <c r="F3425" s="3">
        <v>44853</v>
      </c>
      <c r="G3425" s="2">
        <v>22027712</v>
      </c>
      <c r="H3425" s="2">
        <v>2236627</v>
      </c>
      <c r="I3425" s="2">
        <v>10013513064</v>
      </c>
      <c r="J3425" s="2" t="s">
        <v>563</v>
      </c>
      <c r="K3425" s="10">
        <v>2844</v>
      </c>
      <c r="L3425" s="10">
        <v>286</v>
      </c>
      <c r="M3425" s="10">
        <v>2558</v>
      </c>
      <c r="N3425" s="10">
        <v>2558</v>
      </c>
      <c r="O3425" s="10">
        <f>Table1[[#This Row],[NET Amount]]-Table1[[#This Row],[Paid Amount]]</f>
        <v>0</v>
      </c>
      <c r="P3425" s="2" t="s">
        <v>18</v>
      </c>
      <c r="Q3425" s="2" t="s">
        <v>54</v>
      </c>
      <c r="R3425" s="16">
        <f>(Table1[[#This Row],[NET Amount]]-Table1[[#This Row],[Total Outstanding Amount]])/Table1[[#This Row],[NET Amount]]</f>
        <v>1</v>
      </c>
      <c r="S3425" s="2" t="s">
        <v>97</v>
      </c>
    </row>
    <row r="3426" spans="1:19" x14ac:dyDescent="0.3">
      <c r="A3426" s="4">
        <v>3424</v>
      </c>
      <c r="B3426" s="2" t="s">
        <v>584</v>
      </c>
      <c r="C3426" s="3">
        <v>44862</v>
      </c>
      <c r="D3426" s="3" t="str">
        <f>TEXT(Table1[[#This Row],[Admission Date]],"MMMM")</f>
        <v>October</v>
      </c>
      <c r="E3426" s="3">
        <v>44862</v>
      </c>
      <c r="F3426" s="3">
        <v>44862</v>
      </c>
      <c r="G3426" s="2">
        <v>22028943</v>
      </c>
      <c r="H3426" s="2">
        <v>2237797</v>
      </c>
      <c r="I3426" s="2">
        <v>10013376566</v>
      </c>
      <c r="J3426" s="2" t="s">
        <v>585</v>
      </c>
      <c r="K3426" s="10">
        <v>2200</v>
      </c>
      <c r="L3426" s="10">
        <v>0</v>
      </c>
      <c r="M3426" s="10">
        <v>2200</v>
      </c>
      <c r="N3426" s="10">
        <v>440</v>
      </c>
      <c r="O3426" s="10">
        <f>Table1[[#This Row],[NET Amount]]-Table1[[#This Row],[Paid Amount]]</f>
        <v>1760</v>
      </c>
      <c r="P3426" s="2" t="s">
        <v>23</v>
      </c>
      <c r="Q3426" s="2" t="s">
        <v>147</v>
      </c>
      <c r="R3426" s="16">
        <f>(Table1[[#This Row],[NET Amount]]-Table1[[#This Row],[Total Outstanding Amount]])/Table1[[#This Row],[NET Amount]]</f>
        <v>0.2</v>
      </c>
      <c r="S3426" s="2" t="s">
        <v>97</v>
      </c>
    </row>
    <row r="3427" spans="1:19" x14ac:dyDescent="0.3">
      <c r="A3427" s="4">
        <v>3425</v>
      </c>
      <c r="B3427" s="2" t="s">
        <v>2244</v>
      </c>
      <c r="C3427" s="3">
        <v>44849</v>
      </c>
      <c r="D3427" s="3" t="str">
        <f>TEXT(Table1[[#This Row],[Admission Date]],"MMMM")</f>
        <v>October</v>
      </c>
      <c r="E3427" s="3">
        <v>44849</v>
      </c>
      <c r="F3427" s="3">
        <v>44849</v>
      </c>
      <c r="G3427" s="2">
        <v>22027228</v>
      </c>
      <c r="H3427" s="2">
        <v>2236146</v>
      </c>
      <c r="I3427" s="2">
        <v>1001797549</v>
      </c>
      <c r="J3427" s="2" t="s">
        <v>121</v>
      </c>
      <c r="K3427" s="10">
        <v>1610</v>
      </c>
      <c r="L3427" s="10">
        <v>0</v>
      </c>
      <c r="M3427" s="10">
        <v>1610</v>
      </c>
      <c r="N3427" s="10">
        <v>1610</v>
      </c>
      <c r="O3427" s="10">
        <f>Table1[[#This Row],[NET Amount]]-Table1[[#This Row],[Paid Amount]]</f>
        <v>0</v>
      </c>
      <c r="P3427" s="2" t="s">
        <v>18</v>
      </c>
      <c r="Q3427" s="2" t="s">
        <v>54</v>
      </c>
      <c r="R3427" s="16">
        <f>(Table1[[#This Row],[NET Amount]]-Table1[[#This Row],[Total Outstanding Amount]])/Table1[[#This Row],[NET Amount]]</f>
        <v>1</v>
      </c>
      <c r="S3427" s="2" t="s">
        <v>97</v>
      </c>
    </row>
    <row r="3428" spans="1:19" x14ac:dyDescent="0.3">
      <c r="A3428" s="4">
        <v>3426</v>
      </c>
      <c r="B3428" s="2" t="s">
        <v>25</v>
      </c>
      <c r="C3428" s="3">
        <v>44856</v>
      </c>
      <c r="D3428" s="3" t="str">
        <f>TEXT(Table1[[#This Row],[Admission Date]],"MMMM")</f>
        <v>October</v>
      </c>
      <c r="E3428" s="3">
        <v>44857</v>
      </c>
      <c r="F3428" s="3">
        <v>44857</v>
      </c>
      <c r="G3428" s="2">
        <v>22028341</v>
      </c>
      <c r="H3428" s="2">
        <v>2237051</v>
      </c>
      <c r="I3428" s="2">
        <v>10013544061</v>
      </c>
      <c r="J3428" s="2" t="s">
        <v>1995</v>
      </c>
      <c r="K3428" s="10">
        <v>111464</v>
      </c>
      <c r="L3428" s="10">
        <v>34352</v>
      </c>
      <c r="M3428" s="10">
        <v>77112</v>
      </c>
      <c r="N3428" s="10">
        <v>77112</v>
      </c>
      <c r="O3428" s="10">
        <f>Table1[[#This Row],[NET Amount]]-Table1[[#This Row],[Paid Amount]]</f>
        <v>0</v>
      </c>
      <c r="P3428" s="2" t="s">
        <v>18</v>
      </c>
      <c r="Q3428" s="2" t="s">
        <v>69</v>
      </c>
      <c r="R3428" s="16">
        <f>(Table1[[#This Row],[NET Amount]]-Table1[[#This Row],[Total Outstanding Amount]])/Table1[[#This Row],[NET Amount]]</f>
        <v>1</v>
      </c>
      <c r="S3428" s="2" t="s">
        <v>55</v>
      </c>
    </row>
    <row r="3429" spans="1:19" x14ac:dyDescent="0.3">
      <c r="A3429" s="4">
        <v>3427</v>
      </c>
      <c r="B3429" s="2" t="s">
        <v>117</v>
      </c>
      <c r="C3429" s="3">
        <v>44848</v>
      </c>
      <c r="D3429" s="3" t="str">
        <f>TEXT(Table1[[#This Row],[Admission Date]],"MMMM")</f>
        <v>October</v>
      </c>
      <c r="E3429" s="3">
        <v>44849</v>
      </c>
      <c r="F3429" s="3">
        <v>44849</v>
      </c>
      <c r="G3429" s="2">
        <v>22027162</v>
      </c>
      <c r="H3429" s="2">
        <v>2235919</v>
      </c>
      <c r="I3429" s="2">
        <v>10013542881</v>
      </c>
      <c r="J3429" s="2" t="s">
        <v>1996</v>
      </c>
      <c r="K3429" s="10">
        <v>39420</v>
      </c>
      <c r="L3429" s="10">
        <v>0</v>
      </c>
      <c r="M3429" s="10">
        <v>39420</v>
      </c>
      <c r="N3429" s="10">
        <v>39420</v>
      </c>
      <c r="O3429" s="10">
        <f>Table1[[#This Row],[NET Amount]]-Table1[[#This Row],[Paid Amount]]</f>
        <v>0</v>
      </c>
      <c r="P3429" s="2" t="s">
        <v>18</v>
      </c>
      <c r="Q3429" s="2" t="s">
        <v>24</v>
      </c>
      <c r="R3429" s="16">
        <f>(Table1[[#This Row],[NET Amount]]-Table1[[#This Row],[Total Outstanding Amount]])/Table1[[#This Row],[NET Amount]]</f>
        <v>1</v>
      </c>
      <c r="S3429" s="2" t="s">
        <v>138</v>
      </c>
    </row>
    <row r="3430" spans="1:19" x14ac:dyDescent="0.3">
      <c r="A3430" s="4">
        <v>3428</v>
      </c>
      <c r="B3430" s="2" t="s">
        <v>25</v>
      </c>
      <c r="C3430" s="3">
        <v>44840</v>
      </c>
      <c r="D3430" s="3" t="str">
        <f>TEXT(Table1[[#This Row],[Admission Date]],"MMMM")</f>
        <v>October</v>
      </c>
      <c r="E3430" s="3">
        <v>44845</v>
      </c>
      <c r="F3430" s="3">
        <v>44845</v>
      </c>
      <c r="G3430" s="2">
        <v>22026508</v>
      </c>
      <c r="H3430" s="2">
        <v>2234924</v>
      </c>
      <c r="I3430" s="2">
        <v>10013541866</v>
      </c>
      <c r="J3430" s="2" t="s">
        <v>1997</v>
      </c>
      <c r="K3430" s="10">
        <v>53349</v>
      </c>
      <c r="L3430" s="10">
        <v>53349</v>
      </c>
      <c r="M3430" s="10">
        <v>0</v>
      </c>
      <c r="N3430" s="10">
        <v>0</v>
      </c>
      <c r="O3430" s="10">
        <f>Table1[[#This Row],[NET Amount]]-Table1[[#This Row],[Paid Amount]]</f>
        <v>0</v>
      </c>
      <c r="P3430" s="2" t="s">
        <v>18</v>
      </c>
      <c r="Q3430" s="2" t="s">
        <v>90</v>
      </c>
      <c r="R3430" s="16" t="e">
        <f>(Table1[[#This Row],[NET Amount]]-Table1[[#This Row],[Total Outstanding Amount]])/Table1[[#This Row],[NET Amount]]</f>
        <v>#DIV/0!</v>
      </c>
      <c r="S3430" s="2" t="s">
        <v>20</v>
      </c>
    </row>
    <row r="3431" spans="1:19" x14ac:dyDescent="0.3">
      <c r="A3431" s="4">
        <v>3429</v>
      </c>
      <c r="B3431" s="2" t="s">
        <v>2254</v>
      </c>
      <c r="C3431" s="3">
        <v>44841</v>
      </c>
      <c r="D3431" s="3" t="str">
        <f>TEXT(Table1[[#This Row],[Admission Date]],"MMMM")</f>
        <v>October</v>
      </c>
      <c r="E3431" s="3">
        <v>44846</v>
      </c>
      <c r="F3431" s="3">
        <v>44846</v>
      </c>
      <c r="G3431" s="2">
        <v>22026735</v>
      </c>
      <c r="H3431" s="2">
        <v>2235044</v>
      </c>
      <c r="I3431" s="2">
        <v>1001803022</v>
      </c>
      <c r="J3431" s="2" t="s">
        <v>1998</v>
      </c>
      <c r="K3431" s="10">
        <v>47022</v>
      </c>
      <c r="L3431" s="10">
        <v>6116</v>
      </c>
      <c r="M3431" s="10">
        <v>40906</v>
      </c>
      <c r="N3431" s="10">
        <v>1720</v>
      </c>
      <c r="O3431" s="10">
        <f>Table1[[#This Row],[NET Amount]]-Table1[[#This Row],[Paid Amount]]</f>
        <v>39186</v>
      </c>
      <c r="P3431" s="2" t="s">
        <v>23</v>
      </c>
      <c r="Q3431" s="2" t="s">
        <v>19</v>
      </c>
      <c r="R3431" s="16">
        <f>(Table1[[#This Row],[NET Amount]]-Table1[[#This Row],[Total Outstanding Amount]])/Table1[[#This Row],[NET Amount]]</f>
        <v>4.2047621375837285E-2</v>
      </c>
      <c r="S3431" s="2" t="s">
        <v>20</v>
      </c>
    </row>
    <row r="3432" spans="1:19" x14ac:dyDescent="0.3">
      <c r="A3432" s="4">
        <v>3430</v>
      </c>
      <c r="B3432" s="2" t="s">
        <v>25</v>
      </c>
      <c r="C3432" s="3">
        <v>44856</v>
      </c>
      <c r="D3432" s="3" t="str">
        <f>TEXT(Table1[[#This Row],[Admission Date]],"MMMM")</f>
        <v>October</v>
      </c>
      <c r="E3432" s="3">
        <v>44857</v>
      </c>
      <c r="F3432" s="3">
        <v>44857</v>
      </c>
      <c r="G3432" s="2">
        <v>22028342</v>
      </c>
      <c r="H3432" s="2">
        <v>2237050</v>
      </c>
      <c r="I3432" s="2">
        <v>10013227964</v>
      </c>
      <c r="J3432" s="2" t="s">
        <v>1999</v>
      </c>
      <c r="K3432" s="10">
        <v>15189</v>
      </c>
      <c r="L3432" s="10">
        <v>2179</v>
      </c>
      <c r="M3432" s="10">
        <v>13011</v>
      </c>
      <c r="N3432" s="10">
        <v>13011</v>
      </c>
      <c r="O3432" s="10">
        <f>Table1[[#This Row],[NET Amount]]-Table1[[#This Row],[Paid Amount]]</f>
        <v>0</v>
      </c>
      <c r="P3432" s="2" t="s">
        <v>18</v>
      </c>
      <c r="Q3432" s="2" t="s">
        <v>24</v>
      </c>
      <c r="R3432" s="16">
        <f>(Table1[[#This Row],[NET Amount]]-Table1[[#This Row],[Total Outstanding Amount]])/Table1[[#This Row],[NET Amount]]</f>
        <v>1</v>
      </c>
      <c r="S3432" s="2" t="s">
        <v>20</v>
      </c>
    </row>
    <row r="3433" spans="1:19" x14ac:dyDescent="0.3">
      <c r="A3433" s="4">
        <v>3431</v>
      </c>
      <c r="B3433" s="2" t="s">
        <v>25</v>
      </c>
      <c r="C3433" s="3">
        <v>44865</v>
      </c>
      <c r="D3433" s="3" t="str">
        <f>TEXT(Table1[[#This Row],[Admission Date]],"MMMM")</f>
        <v>October</v>
      </c>
      <c r="E3433" s="3">
        <v>44865</v>
      </c>
      <c r="F3433" s="3">
        <v>44865</v>
      </c>
      <c r="G3433" s="2">
        <v>22029251</v>
      </c>
      <c r="H3433" s="2">
        <v>2238151</v>
      </c>
      <c r="I3433" s="2">
        <v>10013415573</v>
      </c>
      <c r="J3433" s="2" t="s">
        <v>335</v>
      </c>
      <c r="K3433" s="10">
        <v>4990</v>
      </c>
      <c r="L3433" s="10">
        <v>415</v>
      </c>
      <c r="M3433" s="10">
        <v>4575</v>
      </c>
      <c r="N3433" s="10">
        <v>4575</v>
      </c>
      <c r="O3433" s="10">
        <f>Table1[[#This Row],[NET Amount]]-Table1[[#This Row],[Paid Amount]]</f>
        <v>0</v>
      </c>
      <c r="P3433" s="2" t="s">
        <v>18</v>
      </c>
      <c r="Q3433" s="2" t="s">
        <v>54</v>
      </c>
      <c r="R3433" s="16">
        <f>(Table1[[#This Row],[NET Amount]]-Table1[[#This Row],[Total Outstanding Amount]])/Table1[[#This Row],[NET Amount]]</f>
        <v>1</v>
      </c>
      <c r="S3433" s="2" t="s">
        <v>97</v>
      </c>
    </row>
    <row r="3434" spans="1:19" x14ac:dyDescent="0.3">
      <c r="A3434" s="4">
        <v>3432</v>
      </c>
      <c r="B3434" s="2" t="s">
        <v>25</v>
      </c>
      <c r="C3434" s="3">
        <v>44865</v>
      </c>
      <c r="D3434" s="3" t="str">
        <f>TEXT(Table1[[#This Row],[Admission Date]],"MMMM")</f>
        <v>October</v>
      </c>
      <c r="E3434" s="3">
        <v>44865</v>
      </c>
      <c r="F3434" s="3">
        <v>44865</v>
      </c>
      <c r="G3434" s="2">
        <v>22029258</v>
      </c>
      <c r="H3434" s="2">
        <v>2238149</v>
      </c>
      <c r="I3434" s="2">
        <v>10013531598</v>
      </c>
      <c r="J3434" s="2" t="s">
        <v>372</v>
      </c>
      <c r="K3434" s="10">
        <v>2844</v>
      </c>
      <c r="L3434" s="10">
        <v>286</v>
      </c>
      <c r="M3434" s="10">
        <v>2558</v>
      </c>
      <c r="N3434" s="10">
        <v>2558</v>
      </c>
      <c r="O3434" s="10">
        <f>Table1[[#This Row],[NET Amount]]-Table1[[#This Row],[Paid Amount]]</f>
        <v>0</v>
      </c>
      <c r="P3434" s="2" t="s">
        <v>18</v>
      </c>
      <c r="Q3434" s="2" t="s">
        <v>54</v>
      </c>
      <c r="R3434" s="16">
        <f>(Table1[[#This Row],[NET Amount]]-Table1[[#This Row],[Total Outstanding Amount]])/Table1[[#This Row],[NET Amount]]</f>
        <v>1</v>
      </c>
      <c r="S3434" s="2" t="s">
        <v>97</v>
      </c>
    </row>
    <row r="3435" spans="1:19" x14ac:dyDescent="0.3">
      <c r="A3435" s="4">
        <v>3433</v>
      </c>
      <c r="B3435" s="2" t="s">
        <v>117</v>
      </c>
      <c r="C3435" s="3">
        <v>44856</v>
      </c>
      <c r="D3435" s="3" t="str">
        <f>TEXT(Table1[[#This Row],[Admission Date]],"MMMM")</f>
        <v>October</v>
      </c>
      <c r="E3435" s="3">
        <v>44856</v>
      </c>
      <c r="F3435" s="3">
        <v>44856</v>
      </c>
      <c r="G3435" s="2">
        <v>22028298</v>
      </c>
      <c r="H3435" s="2">
        <v>2237098</v>
      </c>
      <c r="I3435" s="2">
        <v>1001439428</v>
      </c>
      <c r="J3435" s="2" t="s">
        <v>189</v>
      </c>
      <c r="K3435" s="10">
        <v>2758</v>
      </c>
      <c r="L3435" s="10">
        <v>0</v>
      </c>
      <c r="M3435" s="10">
        <v>2758</v>
      </c>
      <c r="N3435" s="10">
        <v>2758</v>
      </c>
      <c r="O3435" s="10">
        <f>Table1[[#This Row],[NET Amount]]-Table1[[#This Row],[Paid Amount]]</f>
        <v>0</v>
      </c>
      <c r="P3435" s="2" t="s">
        <v>18</v>
      </c>
      <c r="Q3435" s="2" t="s">
        <v>54</v>
      </c>
      <c r="R3435" s="16">
        <f>(Table1[[#This Row],[NET Amount]]-Table1[[#This Row],[Total Outstanding Amount]])/Table1[[#This Row],[NET Amount]]</f>
        <v>1</v>
      </c>
      <c r="S3435" s="2" t="s">
        <v>97</v>
      </c>
    </row>
    <row r="3436" spans="1:19" x14ac:dyDescent="0.3">
      <c r="A3436" s="4">
        <v>3434</v>
      </c>
      <c r="B3436" s="2" t="s">
        <v>25</v>
      </c>
      <c r="C3436" s="3">
        <v>44861</v>
      </c>
      <c r="D3436" s="3" t="str">
        <f>TEXT(Table1[[#This Row],[Admission Date]],"MMMM")</f>
        <v>October</v>
      </c>
      <c r="E3436" s="3">
        <v>44862</v>
      </c>
      <c r="F3436" s="3">
        <v>44862</v>
      </c>
      <c r="G3436" s="2">
        <v>22028879</v>
      </c>
      <c r="H3436" s="2">
        <v>2237698</v>
      </c>
      <c r="I3436" s="2">
        <v>1001806639</v>
      </c>
      <c r="J3436" s="2" t="s">
        <v>2000</v>
      </c>
      <c r="K3436" s="10">
        <v>10128</v>
      </c>
      <c r="L3436" s="10">
        <v>1267</v>
      </c>
      <c r="M3436" s="10">
        <v>8861</v>
      </c>
      <c r="N3436" s="10">
        <v>8861</v>
      </c>
      <c r="O3436" s="10">
        <f>Table1[[#This Row],[NET Amount]]-Table1[[#This Row],[Paid Amount]]</f>
        <v>0</v>
      </c>
      <c r="P3436" s="2" t="s">
        <v>18</v>
      </c>
      <c r="Q3436" s="2" t="s">
        <v>30</v>
      </c>
      <c r="R3436" s="16">
        <f>(Table1[[#This Row],[NET Amount]]-Table1[[#This Row],[Total Outstanding Amount]])/Table1[[#This Row],[NET Amount]]</f>
        <v>1</v>
      </c>
      <c r="S3436" s="2" t="s">
        <v>37</v>
      </c>
    </row>
    <row r="3437" spans="1:19" x14ac:dyDescent="0.3">
      <c r="A3437" s="4">
        <v>3435</v>
      </c>
      <c r="B3437" s="2" t="s">
        <v>25</v>
      </c>
      <c r="C3437" s="3">
        <v>44854</v>
      </c>
      <c r="D3437" s="3" t="str">
        <f>TEXT(Table1[[#This Row],[Admission Date]],"MMMM")</f>
        <v>October</v>
      </c>
      <c r="E3437" s="3">
        <v>44854</v>
      </c>
      <c r="F3437" s="3">
        <v>44854</v>
      </c>
      <c r="G3437" s="2">
        <v>22027949</v>
      </c>
      <c r="H3437" s="2">
        <v>2236816</v>
      </c>
      <c r="I3437" s="2">
        <v>10013440543</v>
      </c>
      <c r="J3437" s="2" t="s">
        <v>96</v>
      </c>
      <c r="K3437" s="10">
        <v>2794</v>
      </c>
      <c r="L3437" s="10">
        <v>2794</v>
      </c>
      <c r="M3437" s="10">
        <v>0</v>
      </c>
      <c r="N3437" s="10">
        <v>0</v>
      </c>
      <c r="O3437" s="10">
        <f>Table1[[#This Row],[NET Amount]]-Table1[[#This Row],[Paid Amount]]</f>
        <v>0</v>
      </c>
      <c r="P3437" s="2" t="s">
        <v>18</v>
      </c>
      <c r="Q3437" s="2" t="s">
        <v>90</v>
      </c>
      <c r="R3437" s="16" t="e">
        <f>(Table1[[#This Row],[NET Amount]]-Table1[[#This Row],[Total Outstanding Amount]])/Table1[[#This Row],[NET Amount]]</f>
        <v>#DIV/0!</v>
      </c>
      <c r="S3437" s="2" t="s">
        <v>97</v>
      </c>
    </row>
    <row r="3438" spans="1:19" x14ac:dyDescent="0.3">
      <c r="A3438" s="4">
        <v>3436</v>
      </c>
      <c r="B3438" s="2" t="s">
        <v>25</v>
      </c>
      <c r="C3438" s="3">
        <v>44854</v>
      </c>
      <c r="D3438" s="3" t="str">
        <f>TEXT(Table1[[#This Row],[Admission Date]],"MMMM")</f>
        <v>October</v>
      </c>
      <c r="E3438" s="3">
        <v>44854</v>
      </c>
      <c r="F3438" s="3">
        <v>44854</v>
      </c>
      <c r="G3438" s="2">
        <v>22027948</v>
      </c>
      <c r="H3438" s="2">
        <v>2236817</v>
      </c>
      <c r="I3438" s="2">
        <v>1001130529</v>
      </c>
      <c r="J3438" s="2" t="s">
        <v>302</v>
      </c>
      <c r="K3438" s="10">
        <v>3319</v>
      </c>
      <c r="L3438" s="10">
        <v>3319</v>
      </c>
      <c r="M3438" s="10">
        <v>0</v>
      </c>
      <c r="N3438" s="10">
        <v>0</v>
      </c>
      <c r="O3438" s="10">
        <f>Table1[[#This Row],[NET Amount]]-Table1[[#This Row],[Paid Amount]]</f>
        <v>0</v>
      </c>
      <c r="P3438" s="2" t="s">
        <v>18</v>
      </c>
      <c r="Q3438" s="2" t="s">
        <v>90</v>
      </c>
      <c r="R3438" s="16" t="e">
        <f>(Table1[[#This Row],[NET Amount]]-Table1[[#This Row],[Total Outstanding Amount]])/Table1[[#This Row],[NET Amount]]</f>
        <v>#DIV/0!</v>
      </c>
      <c r="S3438" s="2" t="s">
        <v>97</v>
      </c>
    </row>
    <row r="3439" spans="1:19" x14ac:dyDescent="0.3">
      <c r="A3439" s="4">
        <v>3437</v>
      </c>
      <c r="B3439" s="2" t="s">
        <v>25</v>
      </c>
      <c r="C3439" s="3">
        <v>44854</v>
      </c>
      <c r="D3439" s="3" t="str">
        <f>TEXT(Table1[[#This Row],[Admission Date]],"MMMM")</f>
        <v>October</v>
      </c>
      <c r="E3439" s="3">
        <v>44854</v>
      </c>
      <c r="F3439" s="3">
        <v>44854</v>
      </c>
      <c r="G3439" s="2">
        <v>22027960</v>
      </c>
      <c r="H3439" s="2">
        <v>2236843</v>
      </c>
      <c r="I3439" s="2">
        <v>1001491648</v>
      </c>
      <c r="J3439" s="2" t="s">
        <v>124</v>
      </c>
      <c r="K3439" s="10">
        <v>2794</v>
      </c>
      <c r="L3439" s="10">
        <v>2794</v>
      </c>
      <c r="M3439" s="10">
        <v>0</v>
      </c>
      <c r="N3439" s="10">
        <v>0</v>
      </c>
      <c r="O3439" s="10">
        <f>Table1[[#This Row],[NET Amount]]-Table1[[#This Row],[Paid Amount]]</f>
        <v>0</v>
      </c>
      <c r="P3439" s="2" t="s">
        <v>18</v>
      </c>
      <c r="Q3439" s="2" t="s">
        <v>90</v>
      </c>
      <c r="R3439" s="16" t="e">
        <f>(Table1[[#This Row],[NET Amount]]-Table1[[#This Row],[Total Outstanding Amount]])/Table1[[#This Row],[NET Amount]]</f>
        <v>#DIV/0!</v>
      </c>
      <c r="S3439" s="2" t="s">
        <v>97</v>
      </c>
    </row>
    <row r="3440" spans="1:19" x14ac:dyDescent="0.3">
      <c r="A3440" s="4">
        <v>3438</v>
      </c>
      <c r="B3440" s="2" t="s">
        <v>25</v>
      </c>
      <c r="C3440" s="3">
        <v>44848</v>
      </c>
      <c r="D3440" s="3" t="str">
        <f>TEXT(Table1[[#This Row],[Admission Date]],"MMMM")</f>
        <v>October</v>
      </c>
      <c r="E3440" s="3">
        <v>44848</v>
      </c>
      <c r="F3440" s="3">
        <v>44848</v>
      </c>
      <c r="G3440" s="2">
        <v>22026967</v>
      </c>
      <c r="H3440" s="2">
        <v>2235928</v>
      </c>
      <c r="I3440" s="2">
        <v>10013451851</v>
      </c>
      <c r="J3440" s="2" t="s">
        <v>300</v>
      </c>
      <c r="K3440" s="10">
        <v>4990</v>
      </c>
      <c r="L3440" s="10">
        <v>444</v>
      </c>
      <c r="M3440" s="10">
        <v>4546</v>
      </c>
      <c r="N3440" s="10">
        <v>4546</v>
      </c>
      <c r="O3440" s="10">
        <f>Table1[[#This Row],[NET Amount]]-Table1[[#This Row],[Paid Amount]]</f>
        <v>0</v>
      </c>
      <c r="P3440" s="2" t="s">
        <v>18</v>
      </c>
      <c r="Q3440" s="2" t="s">
        <v>54</v>
      </c>
      <c r="R3440" s="16">
        <f>(Table1[[#This Row],[NET Amount]]-Table1[[#This Row],[Total Outstanding Amount]])/Table1[[#This Row],[NET Amount]]</f>
        <v>1</v>
      </c>
      <c r="S3440" s="2" t="s">
        <v>97</v>
      </c>
    </row>
    <row r="3441" spans="1:19" x14ac:dyDescent="0.3">
      <c r="A3441" s="4">
        <v>3439</v>
      </c>
      <c r="B3441" s="2" t="s">
        <v>126</v>
      </c>
      <c r="C3441" s="3">
        <v>44852</v>
      </c>
      <c r="D3441" s="3" t="str">
        <f>TEXT(Table1[[#This Row],[Admission Date]],"MMMM")</f>
        <v>October</v>
      </c>
      <c r="E3441" s="3">
        <v>44852</v>
      </c>
      <c r="F3441" s="3">
        <v>44852</v>
      </c>
      <c r="G3441" s="2">
        <v>22027624</v>
      </c>
      <c r="H3441" s="2">
        <v>2236526</v>
      </c>
      <c r="I3441" s="2">
        <v>10013481278</v>
      </c>
      <c r="J3441" s="2" t="s">
        <v>264</v>
      </c>
      <c r="K3441" s="10">
        <v>2500</v>
      </c>
      <c r="L3441" s="10">
        <v>0</v>
      </c>
      <c r="M3441" s="10">
        <v>2500</v>
      </c>
      <c r="N3441" s="10">
        <v>2500</v>
      </c>
      <c r="O3441" s="10">
        <f>Table1[[#This Row],[NET Amount]]-Table1[[#This Row],[Paid Amount]]</f>
        <v>0</v>
      </c>
      <c r="P3441" s="2" t="s">
        <v>18</v>
      </c>
      <c r="Q3441" s="2" t="s">
        <v>54</v>
      </c>
      <c r="R3441" s="16">
        <f>(Table1[[#This Row],[NET Amount]]-Table1[[#This Row],[Total Outstanding Amount]])/Table1[[#This Row],[NET Amount]]</f>
        <v>1</v>
      </c>
      <c r="S3441" s="2" t="s">
        <v>97</v>
      </c>
    </row>
    <row r="3442" spans="1:19" x14ac:dyDescent="0.3">
      <c r="A3442" s="4">
        <v>3440</v>
      </c>
      <c r="B3442" s="2" t="s">
        <v>2246</v>
      </c>
      <c r="C3442" s="3">
        <v>44855</v>
      </c>
      <c r="D3442" s="3" t="str">
        <f>TEXT(Table1[[#This Row],[Admission Date]],"MMMM")</f>
        <v>October</v>
      </c>
      <c r="E3442" s="3">
        <v>44855</v>
      </c>
      <c r="F3442" s="3">
        <v>44855</v>
      </c>
      <c r="G3442" s="2">
        <v>22028062</v>
      </c>
      <c r="H3442" s="2">
        <v>2236925</v>
      </c>
      <c r="I3442" s="2">
        <v>1001788579</v>
      </c>
      <c r="J3442" s="2" t="s">
        <v>107</v>
      </c>
      <c r="K3442" s="10">
        <v>2172</v>
      </c>
      <c r="L3442" s="10">
        <v>0</v>
      </c>
      <c r="M3442" s="10">
        <v>2172</v>
      </c>
      <c r="N3442" s="10">
        <v>2172</v>
      </c>
      <c r="O3442" s="10">
        <f>Table1[[#This Row],[NET Amount]]-Table1[[#This Row],[Paid Amount]]</f>
        <v>0</v>
      </c>
      <c r="P3442" s="2" t="s">
        <v>18</v>
      </c>
      <c r="Q3442" s="2" t="s">
        <v>54</v>
      </c>
      <c r="R3442" s="16">
        <f>(Table1[[#This Row],[NET Amount]]-Table1[[#This Row],[Total Outstanding Amount]])/Table1[[#This Row],[NET Amount]]</f>
        <v>1</v>
      </c>
      <c r="S3442" s="2" t="s">
        <v>97</v>
      </c>
    </row>
    <row r="3443" spans="1:19" x14ac:dyDescent="0.3">
      <c r="A3443" s="4">
        <v>3441</v>
      </c>
      <c r="B3443" s="2" t="s">
        <v>25</v>
      </c>
      <c r="C3443" s="3">
        <v>44854</v>
      </c>
      <c r="D3443" s="3" t="str">
        <f>TEXT(Table1[[#This Row],[Admission Date]],"MMMM")</f>
        <v>October</v>
      </c>
      <c r="E3443" s="3">
        <v>44857</v>
      </c>
      <c r="F3443" s="3">
        <v>44857</v>
      </c>
      <c r="G3443" s="2">
        <v>22028322</v>
      </c>
      <c r="H3443" s="2">
        <v>2236766</v>
      </c>
      <c r="I3443" s="2">
        <v>10013543788</v>
      </c>
      <c r="J3443" s="2" t="s">
        <v>2001</v>
      </c>
      <c r="K3443" s="10">
        <v>27864</v>
      </c>
      <c r="L3443" s="10">
        <v>27864</v>
      </c>
      <c r="M3443" s="10">
        <v>0</v>
      </c>
      <c r="N3443" s="10">
        <v>0</v>
      </c>
      <c r="O3443" s="10">
        <f>Table1[[#This Row],[NET Amount]]-Table1[[#This Row],[Paid Amount]]</f>
        <v>0</v>
      </c>
      <c r="P3443" s="2" t="s">
        <v>18</v>
      </c>
      <c r="Q3443" s="2" t="s">
        <v>90</v>
      </c>
      <c r="R3443" s="16" t="e">
        <f>(Table1[[#This Row],[NET Amount]]-Table1[[#This Row],[Total Outstanding Amount]])/Table1[[#This Row],[NET Amount]]</f>
        <v>#DIV/0!</v>
      </c>
      <c r="S3443" s="2" t="s">
        <v>37</v>
      </c>
    </row>
    <row r="3444" spans="1:19" x14ac:dyDescent="0.3">
      <c r="A3444" s="4">
        <v>3442</v>
      </c>
      <c r="B3444" s="2" t="s">
        <v>25</v>
      </c>
      <c r="C3444" s="3">
        <v>44859</v>
      </c>
      <c r="D3444" s="3" t="str">
        <f>TEXT(Table1[[#This Row],[Admission Date]],"MMMM")</f>
        <v>October</v>
      </c>
      <c r="E3444" s="3">
        <v>44859</v>
      </c>
      <c r="F3444" s="3">
        <v>44859</v>
      </c>
      <c r="G3444" s="2">
        <v>22028485</v>
      </c>
      <c r="H3444" s="2">
        <v>2237289</v>
      </c>
      <c r="I3444" s="2">
        <v>1000975940</v>
      </c>
      <c r="J3444" s="2" t="s">
        <v>341</v>
      </c>
      <c r="K3444" s="10">
        <v>4990</v>
      </c>
      <c r="L3444" s="10">
        <v>452</v>
      </c>
      <c r="M3444" s="10">
        <v>4538</v>
      </c>
      <c r="N3444" s="10">
        <v>4538</v>
      </c>
      <c r="O3444" s="10">
        <f>Table1[[#This Row],[NET Amount]]-Table1[[#This Row],[Paid Amount]]</f>
        <v>0</v>
      </c>
      <c r="P3444" s="2" t="s">
        <v>18</v>
      </c>
      <c r="Q3444" s="2" t="s">
        <v>54</v>
      </c>
      <c r="R3444" s="16">
        <f>(Table1[[#This Row],[NET Amount]]-Table1[[#This Row],[Total Outstanding Amount]])/Table1[[#This Row],[NET Amount]]</f>
        <v>1</v>
      </c>
      <c r="S3444" s="2" t="s">
        <v>97</v>
      </c>
    </row>
    <row r="3445" spans="1:19" x14ac:dyDescent="0.3">
      <c r="A3445" s="4">
        <v>3443</v>
      </c>
      <c r="B3445" s="2" t="s">
        <v>75</v>
      </c>
      <c r="C3445" s="3">
        <v>44789</v>
      </c>
      <c r="D3445" s="3" t="str">
        <f>TEXT(Table1[[#This Row],[Admission Date]],"MMMM")</f>
        <v>August</v>
      </c>
      <c r="E3445" s="3">
        <v>44838</v>
      </c>
      <c r="F3445" s="3">
        <v>44842</v>
      </c>
      <c r="G3445" s="2">
        <v>22026198</v>
      </c>
      <c r="H3445" s="2">
        <v>2227954</v>
      </c>
      <c r="I3445" s="2">
        <v>1001298155</v>
      </c>
      <c r="J3445" s="2" t="s">
        <v>2002</v>
      </c>
      <c r="K3445" s="10">
        <v>1653245</v>
      </c>
      <c r="L3445" s="10">
        <v>0</v>
      </c>
      <c r="M3445" s="10">
        <v>1653245</v>
      </c>
      <c r="N3445" s="10">
        <v>86221</v>
      </c>
      <c r="O3445" s="10">
        <f>Table1[[#This Row],[NET Amount]]-Table1[[#This Row],[Paid Amount]]</f>
        <v>1567024</v>
      </c>
      <c r="P3445" s="2" t="s">
        <v>23</v>
      </c>
      <c r="Q3445" s="2" t="s">
        <v>24</v>
      </c>
      <c r="R3445" s="16">
        <f>(Table1[[#This Row],[NET Amount]]-Table1[[#This Row],[Total Outstanding Amount]])/Table1[[#This Row],[NET Amount]]</f>
        <v>5.2152584765113461E-2</v>
      </c>
      <c r="S3445" s="2" t="s">
        <v>20</v>
      </c>
    </row>
    <row r="3446" spans="1:19" x14ac:dyDescent="0.3">
      <c r="A3446" s="4">
        <v>3444</v>
      </c>
      <c r="B3446" s="2" t="s">
        <v>35</v>
      </c>
      <c r="C3446" s="3">
        <v>44839</v>
      </c>
      <c r="D3446" s="3" t="str">
        <f>TEXT(Table1[[#This Row],[Admission Date]],"MMMM")</f>
        <v>October</v>
      </c>
      <c r="E3446" s="3">
        <v>44839</v>
      </c>
      <c r="F3446" s="3">
        <v>44839</v>
      </c>
      <c r="G3446" s="2">
        <v>22025638</v>
      </c>
      <c r="H3446" s="2">
        <v>2234675</v>
      </c>
      <c r="I3446" s="2">
        <v>10013514103</v>
      </c>
      <c r="J3446" s="2" t="s">
        <v>173</v>
      </c>
      <c r="K3446" s="10">
        <v>1610</v>
      </c>
      <c r="L3446" s="10">
        <v>0</v>
      </c>
      <c r="M3446" s="10">
        <v>1610</v>
      </c>
      <c r="N3446" s="10">
        <v>1610</v>
      </c>
      <c r="O3446" s="10">
        <f>Table1[[#This Row],[NET Amount]]-Table1[[#This Row],[Paid Amount]]</f>
        <v>0</v>
      </c>
      <c r="P3446" s="2" t="s">
        <v>18</v>
      </c>
      <c r="Q3446" s="2" t="s">
        <v>54</v>
      </c>
      <c r="R3446" s="16">
        <f>(Table1[[#This Row],[NET Amount]]-Table1[[#This Row],[Total Outstanding Amount]])/Table1[[#This Row],[NET Amount]]</f>
        <v>1</v>
      </c>
      <c r="S3446" s="2" t="s">
        <v>97</v>
      </c>
    </row>
    <row r="3447" spans="1:19" x14ac:dyDescent="0.3">
      <c r="A3447" s="4">
        <v>3445</v>
      </c>
      <c r="B3447" s="2" t="s">
        <v>25</v>
      </c>
      <c r="C3447" s="3">
        <v>44841</v>
      </c>
      <c r="D3447" s="3" t="str">
        <f>TEXT(Table1[[#This Row],[Admission Date]],"MMMM")</f>
        <v>October</v>
      </c>
      <c r="E3447" s="3">
        <v>44841</v>
      </c>
      <c r="F3447" s="3">
        <v>44841</v>
      </c>
      <c r="G3447" s="2">
        <v>22026015</v>
      </c>
      <c r="H3447" s="2">
        <v>2235017</v>
      </c>
      <c r="I3447" s="2">
        <v>10013339576</v>
      </c>
      <c r="J3447" s="2" t="s">
        <v>242</v>
      </c>
      <c r="K3447" s="10">
        <v>2794</v>
      </c>
      <c r="L3447" s="10">
        <v>2794</v>
      </c>
      <c r="M3447" s="10">
        <v>0</v>
      </c>
      <c r="N3447" s="10">
        <v>0</v>
      </c>
      <c r="O3447" s="10">
        <f>Table1[[#This Row],[NET Amount]]-Table1[[#This Row],[Paid Amount]]</f>
        <v>0</v>
      </c>
      <c r="P3447" s="2" t="s">
        <v>18</v>
      </c>
      <c r="Q3447" s="2" t="s">
        <v>90</v>
      </c>
      <c r="R3447" s="16" t="e">
        <f>(Table1[[#This Row],[NET Amount]]-Table1[[#This Row],[Total Outstanding Amount]])/Table1[[#This Row],[NET Amount]]</f>
        <v>#DIV/0!</v>
      </c>
      <c r="S3447" s="2" t="s">
        <v>97</v>
      </c>
    </row>
    <row r="3448" spans="1:19" x14ac:dyDescent="0.3">
      <c r="A3448" s="4">
        <v>3446</v>
      </c>
      <c r="B3448" s="2" t="s">
        <v>139</v>
      </c>
      <c r="C3448" s="3">
        <v>44838</v>
      </c>
      <c r="D3448" s="3" t="str">
        <f>TEXT(Table1[[#This Row],[Admission Date]],"MMMM")</f>
        <v>October</v>
      </c>
      <c r="E3448" s="3">
        <v>44838</v>
      </c>
      <c r="F3448" s="3">
        <v>44838</v>
      </c>
      <c r="G3448" s="2">
        <v>22025559</v>
      </c>
      <c r="H3448" s="2">
        <v>2234545</v>
      </c>
      <c r="I3448" s="2">
        <v>1001199995</v>
      </c>
      <c r="J3448" s="2" t="s">
        <v>386</v>
      </c>
      <c r="K3448" s="10">
        <v>2200</v>
      </c>
      <c r="L3448" s="10">
        <v>0</v>
      </c>
      <c r="M3448" s="10">
        <v>2200</v>
      </c>
      <c r="N3448" s="10">
        <v>0</v>
      </c>
      <c r="O3448" s="10">
        <f>Table1[[#This Row],[NET Amount]]-Table1[[#This Row],[Paid Amount]]</f>
        <v>2200</v>
      </c>
      <c r="P3448" s="2" t="s">
        <v>23</v>
      </c>
      <c r="Q3448" s="2" t="s">
        <v>147</v>
      </c>
      <c r="R3448" s="16">
        <f>(Table1[[#This Row],[NET Amount]]-Table1[[#This Row],[Total Outstanding Amount]])/Table1[[#This Row],[NET Amount]]</f>
        <v>0</v>
      </c>
      <c r="S3448" s="2" t="s">
        <v>97</v>
      </c>
    </row>
    <row r="3449" spans="1:19" x14ac:dyDescent="0.3">
      <c r="A3449" s="4">
        <v>3447</v>
      </c>
      <c r="B3449" s="2" t="s">
        <v>2271</v>
      </c>
      <c r="C3449" s="3">
        <v>44860</v>
      </c>
      <c r="D3449" s="3" t="str">
        <f>TEXT(Table1[[#This Row],[Admission Date]],"MMMM")</f>
        <v>October</v>
      </c>
      <c r="E3449" s="3">
        <v>44860</v>
      </c>
      <c r="F3449" s="3">
        <v>44860</v>
      </c>
      <c r="G3449" s="2">
        <v>22028636</v>
      </c>
      <c r="H3449" s="2">
        <v>2237511</v>
      </c>
      <c r="I3449" s="2">
        <v>1001729640</v>
      </c>
      <c r="J3449" s="2" t="s">
        <v>470</v>
      </c>
      <c r="K3449" s="10">
        <v>1610</v>
      </c>
      <c r="L3449" s="10">
        <v>0</v>
      </c>
      <c r="M3449" s="10">
        <v>1610</v>
      </c>
      <c r="N3449" s="10">
        <v>0</v>
      </c>
      <c r="O3449" s="10">
        <f>Table1[[#This Row],[NET Amount]]-Table1[[#This Row],[Paid Amount]]</f>
        <v>1610</v>
      </c>
      <c r="P3449" s="2" t="s">
        <v>23</v>
      </c>
      <c r="Q3449" s="2" t="s">
        <v>54</v>
      </c>
      <c r="R3449" s="16">
        <f>(Table1[[#This Row],[NET Amount]]-Table1[[#This Row],[Total Outstanding Amount]])/Table1[[#This Row],[NET Amount]]</f>
        <v>0</v>
      </c>
      <c r="S3449" s="2" t="s">
        <v>97</v>
      </c>
    </row>
    <row r="3450" spans="1:19" x14ac:dyDescent="0.3">
      <c r="A3450" s="4">
        <v>3448</v>
      </c>
      <c r="B3450" s="2" t="s">
        <v>139</v>
      </c>
      <c r="C3450" s="3">
        <v>44862</v>
      </c>
      <c r="D3450" s="3" t="str">
        <f>TEXT(Table1[[#This Row],[Admission Date]],"MMMM")</f>
        <v>October</v>
      </c>
      <c r="E3450" s="3">
        <v>44862</v>
      </c>
      <c r="F3450" s="3">
        <v>44862</v>
      </c>
      <c r="G3450" s="2">
        <v>22028942</v>
      </c>
      <c r="H3450" s="2">
        <v>2237786</v>
      </c>
      <c r="I3450" s="2">
        <v>1001199995</v>
      </c>
      <c r="J3450" s="2" t="s">
        <v>386</v>
      </c>
      <c r="K3450" s="10">
        <v>2200</v>
      </c>
      <c r="L3450" s="10">
        <v>0</v>
      </c>
      <c r="M3450" s="10">
        <v>2200</v>
      </c>
      <c r="N3450" s="10">
        <v>0</v>
      </c>
      <c r="O3450" s="10">
        <f>Table1[[#This Row],[NET Amount]]-Table1[[#This Row],[Paid Amount]]</f>
        <v>2200</v>
      </c>
      <c r="P3450" s="2" t="s">
        <v>23</v>
      </c>
      <c r="Q3450" s="2" t="s">
        <v>147</v>
      </c>
      <c r="R3450" s="16">
        <f>(Table1[[#This Row],[NET Amount]]-Table1[[#This Row],[Total Outstanding Amount]])/Table1[[#This Row],[NET Amount]]</f>
        <v>0</v>
      </c>
      <c r="S3450" s="2" t="s">
        <v>97</v>
      </c>
    </row>
    <row r="3451" spans="1:19" x14ac:dyDescent="0.3">
      <c r="A3451" s="4">
        <v>3449</v>
      </c>
      <c r="B3451" s="2" t="s">
        <v>75</v>
      </c>
      <c r="C3451" s="3">
        <v>44853</v>
      </c>
      <c r="D3451" s="3" t="str">
        <f>TEXT(Table1[[#This Row],[Admission Date]],"MMMM")</f>
        <v>October</v>
      </c>
      <c r="E3451" s="3">
        <v>44853</v>
      </c>
      <c r="F3451" s="3">
        <v>44853</v>
      </c>
      <c r="G3451" s="2">
        <v>22027737</v>
      </c>
      <c r="H3451" s="2">
        <v>2236622</v>
      </c>
      <c r="I3451" s="2">
        <v>1001300172</v>
      </c>
      <c r="J3451" s="2" t="s">
        <v>400</v>
      </c>
      <c r="K3451" s="10">
        <v>1610</v>
      </c>
      <c r="L3451" s="10">
        <v>0</v>
      </c>
      <c r="M3451" s="10">
        <v>1610</v>
      </c>
      <c r="N3451" s="10">
        <v>0</v>
      </c>
      <c r="O3451" s="10">
        <f>Table1[[#This Row],[NET Amount]]-Table1[[#This Row],[Paid Amount]]</f>
        <v>1610</v>
      </c>
      <c r="P3451" s="2" t="s">
        <v>23</v>
      </c>
      <c r="Q3451" s="2" t="s">
        <v>54</v>
      </c>
      <c r="R3451" s="16">
        <f>(Table1[[#This Row],[NET Amount]]-Table1[[#This Row],[Total Outstanding Amount]])/Table1[[#This Row],[NET Amount]]</f>
        <v>0</v>
      </c>
      <c r="S3451" s="2" t="s">
        <v>97</v>
      </c>
    </row>
    <row r="3452" spans="1:19" x14ac:dyDescent="0.3">
      <c r="A3452" s="4">
        <v>3450</v>
      </c>
      <c r="B3452" s="2" t="s">
        <v>2253</v>
      </c>
      <c r="C3452" s="3">
        <v>44839</v>
      </c>
      <c r="D3452" s="3" t="str">
        <f>TEXT(Table1[[#This Row],[Admission Date]],"MMMM")</f>
        <v>October</v>
      </c>
      <c r="E3452" s="3">
        <v>44839</v>
      </c>
      <c r="F3452" s="3">
        <v>44839</v>
      </c>
      <c r="G3452" s="2">
        <v>22025669</v>
      </c>
      <c r="H3452" s="2">
        <v>2234702</v>
      </c>
      <c r="I3452" s="2">
        <v>1001801530</v>
      </c>
      <c r="J3452" s="2" t="s">
        <v>392</v>
      </c>
      <c r="K3452" s="10">
        <v>1610</v>
      </c>
      <c r="L3452" s="10">
        <v>0</v>
      </c>
      <c r="M3452" s="10">
        <v>1610</v>
      </c>
      <c r="N3452" s="10">
        <v>0</v>
      </c>
      <c r="O3452" s="10">
        <f>Table1[[#This Row],[NET Amount]]-Table1[[#This Row],[Paid Amount]]</f>
        <v>1610</v>
      </c>
      <c r="P3452" s="2" t="s">
        <v>23</v>
      </c>
      <c r="Q3452" s="2" t="s">
        <v>54</v>
      </c>
      <c r="R3452" s="16">
        <f>(Table1[[#This Row],[NET Amount]]-Table1[[#This Row],[Total Outstanding Amount]])/Table1[[#This Row],[NET Amount]]</f>
        <v>0</v>
      </c>
      <c r="S3452" s="2" t="s">
        <v>97</v>
      </c>
    </row>
    <row r="3453" spans="1:19" x14ac:dyDescent="0.3">
      <c r="A3453" s="4">
        <v>3451</v>
      </c>
      <c r="B3453" s="2" t="s">
        <v>2263</v>
      </c>
      <c r="C3453" s="3">
        <v>44862</v>
      </c>
      <c r="D3453" s="3" t="str">
        <f>TEXT(Table1[[#This Row],[Admission Date]],"MMMM")</f>
        <v>October</v>
      </c>
      <c r="E3453" s="3">
        <v>44862</v>
      </c>
      <c r="F3453" s="3">
        <v>44862</v>
      </c>
      <c r="G3453" s="2">
        <v>22028863</v>
      </c>
      <c r="H3453" s="2">
        <v>2237746</v>
      </c>
      <c r="I3453" s="2">
        <v>1001367923</v>
      </c>
      <c r="J3453" s="2" t="s">
        <v>391</v>
      </c>
      <c r="K3453" s="10">
        <v>1274</v>
      </c>
      <c r="L3453" s="10">
        <v>0</v>
      </c>
      <c r="M3453" s="10">
        <v>1274</v>
      </c>
      <c r="N3453" s="10">
        <v>0</v>
      </c>
      <c r="O3453" s="10">
        <f>Table1[[#This Row],[NET Amount]]-Table1[[#This Row],[Paid Amount]]</f>
        <v>1274</v>
      </c>
      <c r="P3453" s="2" t="s">
        <v>23</v>
      </c>
      <c r="Q3453" s="2" t="s">
        <v>54</v>
      </c>
      <c r="R3453" s="16">
        <f>(Table1[[#This Row],[NET Amount]]-Table1[[#This Row],[Total Outstanding Amount]])/Table1[[#This Row],[NET Amount]]</f>
        <v>0</v>
      </c>
      <c r="S3453" s="2" t="s">
        <v>97</v>
      </c>
    </row>
    <row r="3454" spans="1:19" x14ac:dyDescent="0.3">
      <c r="A3454" s="4">
        <v>3452</v>
      </c>
      <c r="B3454" s="2" t="s">
        <v>2253</v>
      </c>
      <c r="C3454" s="3">
        <v>44835</v>
      </c>
      <c r="D3454" s="3" t="str">
        <f>TEXT(Table1[[#This Row],[Admission Date]],"MMMM")</f>
        <v>October</v>
      </c>
      <c r="E3454" s="3">
        <v>44835</v>
      </c>
      <c r="F3454" s="3">
        <v>44835</v>
      </c>
      <c r="G3454" s="2">
        <v>22025249</v>
      </c>
      <c r="H3454" s="2">
        <v>2234195</v>
      </c>
      <c r="I3454" s="2">
        <v>1001793813</v>
      </c>
      <c r="J3454" s="2" t="s">
        <v>2003</v>
      </c>
      <c r="K3454" s="10">
        <v>21069</v>
      </c>
      <c r="L3454" s="10">
        <v>0</v>
      </c>
      <c r="M3454" s="10">
        <v>21069</v>
      </c>
      <c r="N3454" s="10">
        <v>0</v>
      </c>
      <c r="O3454" s="10">
        <f>Table1[[#This Row],[NET Amount]]-Table1[[#This Row],[Paid Amount]]</f>
        <v>21069</v>
      </c>
      <c r="P3454" s="2" t="s">
        <v>23</v>
      </c>
      <c r="Q3454" s="2" t="s">
        <v>54</v>
      </c>
      <c r="R3454" s="16">
        <f>(Table1[[#This Row],[NET Amount]]-Table1[[#This Row],[Total Outstanding Amount]])/Table1[[#This Row],[NET Amount]]</f>
        <v>0</v>
      </c>
      <c r="S3454" s="2" t="s">
        <v>201</v>
      </c>
    </row>
    <row r="3455" spans="1:19" x14ac:dyDescent="0.3">
      <c r="A3455" s="4">
        <v>3453</v>
      </c>
      <c r="B3455" s="2" t="s">
        <v>2253</v>
      </c>
      <c r="C3455" s="3">
        <v>44840</v>
      </c>
      <c r="D3455" s="3" t="str">
        <f>TEXT(Table1[[#This Row],[Admission Date]],"MMMM")</f>
        <v>October</v>
      </c>
      <c r="E3455" s="3">
        <v>44840</v>
      </c>
      <c r="F3455" s="3">
        <v>44840</v>
      </c>
      <c r="G3455" s="2">
        <v>22025824</v>
      </c>
      <c r="H3455" s="2">
        <v>2234834</v>
      </c>
      <c r="I3455" s="2">
        <v>1001626180</v>
      </c>
      <c r="J3455" s="2" t="s">
        <v>389</v>
      </c>
      <c r="K3455" s="10">
        <v>1610</v>
      </c>
      <c r="L3455" s="10">
        <v>0</v>
      </c>
      <c r="M3455" s="10">
        <v>1610</v>
      </c>
      <c r="N3455" s="10">
        <v>0</v>
      </c>
      <c r="O3455" s="10">
        <f>Table1[[#This Row],[NET Amount]]-Table1[[#This Row],[Paid Amount]]</f>
        <v>1610</v>
      </c>
      <c r="P3455" s="2" t="s">
        <v>23</v>
      </c>
      <c r="Q3455" s="2" t="s">
        <v>54</v>
      </c>
      <c r="R3455" s="16">
        <f>(Table1[[#This Row],[NET Amount]]-Table1[[#This Row],[Total Outstanding Amount]])/Table1[[#This Row],[NET Amount]]</f>
        <v>0</v>
      </c>
      <c r="S3455" s="2" t="s">
        <v>97</v>
      </c>
    </row>
    <row r="3456" spans="1:19" x14ac:dyDescent="0.3">
      <c r="A3456" s="4">
        <v>3454</v>
      </c>
      <c r="B3456" s="2" t="s">
        <v>40</v>
      </c>
      <c r="C3456" s="3">
        <v>44859</v>
      </c>
      <c r="D3456" s="3" t="str">
        <f>TEXT(Table1[[#This Row],[Admission Date]],"MMMM")</f>
        <v>October</v>
      </c>
      <c r="E3456" s="3">
        <v>44859</v>
      </c>
      <c r="F3456" s="3">
        <v>44859</v>
      </c>
      <c r="G3456" s="2">
        <v>22028505</v>
      </c>
      <c r="H3456" s="2">
        <v>2237312</v>
      </c>
      <c r="I3456" s="2">
        <v>10013436915</v>
      </c>
      <c r="J3456" s="2" t="s">
        <v>773</v>
      </c>
      <c r="K3456" s="10">
        <v>2200</v>
      </c>
      <c r="L3456" s="10">
        <v>0</v>
      </c>
      <c r="M3456" s="10">
        <v>2200</v>
      </c>
      <c r="N3456" s="10">
        <v>0</v>
      </c>
      <c r="O3456" s="10">
        <f>Table1[[#This Row],[NET Amount]]-Table1[[#This Row],[Paid Amount]]</f>
        <v>2200</v>
      </c>
      <c r="P3456" s="2" t="s">
        <v>23</v>
      </c>
      <c r="Q3456" s="2" t="s">
        <v>147</v>
      </c>
      <c r="R3456" s="16">
        <f>(Table1[[#This Row],[NET Amount]]-Table1[[#This Row],[Total Outstanding Amount]])/Table1[[#This Row],[NET Amount]]</f>
        <v>0</v>
      </c>
      <c r="S3456" s="2" t="s">
        <v>97</v>
      </c>
    </row>
    <row r="3457" spans="1:19" x14ac:dyDescent="0.3">
      <c r="A3457" s="4">
        <v>3455</v>
      </c>
      <c r="B3457" s="2" t="s">
        <v>2258</v>
      </c>
      <c r="C3457" s="3">
        <v>44858</v>
      </c>
      <c r="D3457" s="3" t="str">
        <f>TEXT(Table1[[#This Row],[Admission Date]],"MMMM")</f>
        <v>October</v>
      </c>
      <c r="E3457" s="3">
        <v>44863</v>
      </c>
      <c r="F3457" s="3">
        <v>44863</v>
      </c>
      <c r="G3457" s="2">
        <v>22029126</v>
      </c>
      <c r="H3457" s="2">
        <v>2237242</v>
      </c>
      <c r="I3457" s="2">
        <v>1001803247</v>
      </c>
      <c r="J3457" s="2" t="s">
        <v>2004</v>
      </c>
      <c r="K3457" s="10">
        <v>40059</v>
      </c>
      <c r="L3457" s="10">
        <v>0</v>
      </c>
      <c r="M3457" s="10">
        <v>40059</v>
      </c>
      <c r="N3457" s="10">
        <v>0</v>
      </c>
      <c r="O3457" s="10">
        <f>Table1[[#This Row],[NET Amount]]-Table1[[#This Row],[Paid Amount]]</f>
        <v>40059</v>
      </c>
      <c r="P3457" s="2" t="s">
        <v>23</v>
      </c>
      <c r="Q3457" s="2" t="s">
        <v>30</v>
      </c>
      <c r="R3457" s="16">
        <f>(Table1[[#This Row],[NET Amount]]-Table1[[#This Row],[Total Outstanding Amount]])/Table1[[#This Row],[NET Amount]]</f>
        <v>0</v>
      </c>
      <c r="S3457" s="2" t="s">
        <v>20</v>
      </c>
    </row>
    <row r="3458" spans="1:19" x14ac:dyDescent="0.3">
      <c r="A3458" s="4">
        <v>3456</v>
      </c>
      <c r="B3458" s="2" t="s">
        <v>2263</v>
      </c>
      <c r="C3458" s="3">
        <v>44865</v>
      </c>
      <c r="D3458" s="3" t="str">
        <f>TEXT(Table1[[#This Row],[Admission Date]],"MMMM")</f>
        <v>October</v>
      </c>
      <c r="E3458" s="3">
        <v>44865</v>
      </c>
      <c r="F3458" s="3">
        <v>44865</v>
      </c>
      <c r="G3458" s="2">
        <v>22029366</v>
      </c>
      <c r="H3458" s="2">
        <v>2238235</v>
      </c>
      <c r="I3458" s="2">
        <v>1001699417</v>
      </c>
      <c r="J3458" s="2" t="s">
        <v>472</v>
      </c>
      <c r="K3458" s="10">
        <v>1274</v>
      </c>
      <c r="L3458" s="10">
        <v>0</v>
      </c>
      <c r="M3458" s="10">
        <v>1274</v>
      </c>
      <c r="N3458" s="10">
        <v>0</v>
      </c>
      <c r="O3458" s="10">
        <f>Table1[[#This Row],[NET Amount]]-Table1[[#This Row],[Paid Amount]]</f>
        <v>1274</v>
      </c>
      <c r="P3458" s="2" t="s">
        <v>23</v>
      </c>
      <c r="Q3458" s="2" t="s">
        <v>54</v>
      </c>
      <c r="R3458" s="16">
        <f>(Table1[[#This Row],[NET Amount]]-Table1[[#This Row],[Total Outstanding Amount]])/Table1[[#This Row],[NET Amount]]</f>
        <v>0</v>
      </c>
      <c r="S3458" s="2" t="s">
        <v>97</v>
      </c>
    </row>
    <row r="3459" spans="1:19" x14ac:dyDescent="0.3">
      <c r="A3459" s="4">
        <v>3457</v>
      </c>
      <c r="B3459" s="2" t="s">
        <v>2263</v>
      </c>
      <c r="C3459" s="3">
        <v>44841</v>
      </c>
      <c r="D3459" s="3" t="str">
        <f>TEXT(Table1[[#This Row],[Admission Date]],"MMMM")</f>
        <v>October</v>
      </c>
      <c r="E3459" s="3">
        <v>44841</v>
      </c>
      <c r="F3459" s="3">
        <v>44841</v>
      </c>
      <c r="G3459" s="2">
        <v>22026054</v>
      </c>
      <c r="H3459" s="2">
        <v>2235068</v>
      </c>
      <c r="I3459" s="2">
        <v>1001527101</v>
      </c>
      <c r="J3459" s="2" t="s">
        <v>795</v>
      </c>
      <c r="K3459" s="10">
        <v>1274</v>
      </c>
      <c r="L3459" s="10">
        <v>0</v>
      </c>
      <c r="M3459" s="10">
        <v>1274</v>
      </c>
      <c r="N3459" s="10">
        <v>0</v>
      </c>
      <c r="O3459" s="10">
        <f>Table1[[#This Row],[NET Amount]]-Table1[[#This Row],[Paid Amount]]</f>
        <v>1274</v>
      </c>
      <c r="P3459" s="2" t="s">
        <v>23</v>
      </c>
      <c r="Q3459" s="2" t="s">
        <v>54</v>
      </c>
      <c r="R3459" s="16">
        <f>(Table1[[#This Row],[NET Amount]]-Table1[[#This Row],[Total Outstanding Amount]])/Table1[[#This Row],[NET Amount]]</f>
        <v>0</v>
      </c>
      <c r="S3459" s="2" t="s">
        <v>97</v>
      </c>
    </row>
    <row r="3460" spans="1:19" x14ac:dyDescent="0.3">
      <c r="A3460" s="4">
        <v>3458</v>
      </c>
      <c r="B3460" s="2" t="s">
        <v>2257</v>
      </c>
      <c r="C3460" s="3">
        <v>44863</v>
      </c>
      <c r="D3460" s="3" t="str">
        <f>TEXT(Table1[[#This Row],[Admission Date]],"MMMM")</f>
        <v>October</v>
      </c>
      <c r="E3460" s="3">
        <v>44863</v>
      </c>
      <c r="F3460" s="3">
        <v>44863</v>
      </c>
      <c r="G3460" s="2">
        <v>22029094</v>
      </c>
      <c r="H3460" s="2">
        <v>2237970</v>
      </c>
      <c r="I3460" s="2">
        <v>1001689981</v>
      </c>
      <c r="J3460" s="2" t="s">
        <v>253</v>
      </c>
      <c r="K3460" s="10">
        <v>2950</v>
      </c>
      <c r="L3460" s="10">
        <v>0</v>
      </c>
      <c r="M3460" s="10">
        <v>2950</v>
      </c>
      <c r="N3460" s="10">
        <v>0</v>
      </c>
      <c r="O3460" s="10">
        <f>Table1[[#This Row],[NET Amount]]-Table1[[#This Row],[Paid Amount]]</f>
        <v>2950</v>
      </c>
      <c r="P3460" s="2" t="s">
        <v>23</v>
      </c>
      <c r="Q3460" s="2" t="s">
        <v>54</v>
      </c>
      <c r="R3460" s="16">
        <f>(Table1[[#This Row],[NET Amount]]-Table1[[#This Row],[Total Outstanding Amount]])/Table1[[#This Row],[NET Amount]]</f>
        <v>0</v>
      </c>
      <c r="S3460" s="2" t="s">
        <v>97</v>
      </c>
    </row>
    <row r="3461" spans="1:19" x14ac:dyDescent="0.3">
      <c r="A3461" s="4">
        <v>3459</v>
      </c>
      <c r="B3461" s="2" t="s">
        <v>75</v>
      </c>
      <c r="C3461" s="3">
        <v>44835</v>
      </c>
      <c r="D3461" s="3" t="str">
        <f>TEXT(Table1[[#This Row],[Admission Date]],"MMMM")</f>
        <v>October</v>
      </c>
      <c r="E3461" s="3">
        <v>44835</v>
      </c>
      <c r="F3461" s="3">
        <v>44835</v>
      </c>
      <c r="G3461" s="2">
        <v>22025207</v>
      </c>
      <c r="H3461" s="2">
        <v>2234193</v>
      </c>
      <c r="I3461" s="2">
        <v>10013514225</v>
      </c>
      <c r="J3461" s="2" t="s">
        <v>814</v>
      </c>
      <c r="K3461" s="10">
        <v>1610</v>
      </c>
      <c r="L3461" s="10">
        <v>0</v>
      </c>
      <c r="M3461" s="10">
        <v>1610</v>
      </c>
      <c r="N3461" s="10">
        <v>0</v>
      </c>
      <c r="O3461" s="10">
        <f>Table1[[#This Row],[NET Amount]]-Table1[[#This Row],[Paid Amount]]</f>
        <v>1610</v>
      </c>
      <c r="P3461" s="2" t="s">
        <v>23</v>
      </c>
      <c r="Q3461" s="2" t="s">
        <v>54</v>
      </c>
      <c r="R3461" s="16">
        <f>(Table1[[#This Row],[NET Amount]]-Table1[[#This Row],[Total Outstanding Amount]])/Table1[[#This Row],[NET Amount]]</f>
        <v>0</v>
      </c>
      <c r="S3461" s="2" t="s">
        <v>97</v>
      </c>
    </row>
    <row r="3462" spans="1:19" x14ac:dyDescent="0.3">
      <c r="A3462" s="4">
        <v>3460</v>
      </c>
      <c r="B3462" s="2" t="s">
        <v>380</v>
      </c>
      <c r="C3462" s="3">
        <v>44860</v>
      </c>
      <c r="D3462" s="3" t="str">
        <f>TEXT(Table1[[#This Row],[Admission Date]],"MMMM")</f>
        <v>October</v>
      </c>
      <c r="E3462" s="3">
        <v>44860</v>
      </c>
      <c r="F3462" s="3">
        <v>44860</v>
      </c>
      <c r="G3462" s="2">
        <v>22028657</v>
      </c>
      <c r="H3462" s="2">
        <v>2237463</v>
      </c>
      <c r="I3462" s="2">
        <v>1001590721</v>
      </c>
      <c r="J3462" s="2" t="s">
        <v>461</v>
      </c>
      <c r="K3462" s="10">
        <v>1274</v>
      </c>
      <c r="L3462" s="10">
        <v>0</v>
      </c>
      <c r="M3462" s="10">
        <v>1274</v>
      </c>
      <c r="N3462" s="10">
        <v>0</v>
      </c>
      <c r="O3462" s="10">
        <f>Table1[[#This Row],[NET Amount]]-Table1[[#This Row],[Paid Amount]]</f>
        <v>1274</v>
      </c>
      <c r="P3462" s="2" t="s">
        <v>23</v>
      </c>
      <c r="Q3462" s="2" t="s">
        <v>54</v>
      </c>
      <c r="R3462" s="16">
        <f>(Table1[[#This Row],[NET Amount]]-Table1[[#This Row],[Total Outstanding Amount]])/Table1[[#This Row],[NET Amount]]</f>
        <v>0</v>
      </c>
      <c r="S3462" s="2" t="s">
        <v>97</v>
      </c>
    </row>
    <row r="3463" spans="1:19" x14ac:dyDescent="0.3">
      <c r="A3463" s="4">
        <v>3461</v>
      </c>
      <c r="B3463" s="2" t="s">
        <v>380</v>
      </c>
      <c r="C3463" s="3">
        <v>44842</v>
      </c>
      <c r="D3463" s="3" t="str">
        <f>TEXT(Table1[[#This Row],[Admission Date]],"MMMM")</f>
        <v>October</v>
      </c>
      <c r="E3463" s="3">
        <v>44842</v>
      </c>
      <c r="F3463" s="3">
        <v>44842</v>
      </c>
      <c r="G3463" s="2">
        <v>22026132</v>
      </c>
      <c r="H3463" s="2">
        <v>2235143</v>
      </c>
      <c r="I3463" s="2">
        <v>10013475917</v>
      </c>
      <c r="J3463" s="2" t="s">
        <v>429</v>
      </c>
      <c r="K3463" s="10">
        <v>1274</v>
      </c>
      <c r="L3463" s="10">
        <v>0</v>
      </c>
      <c r="M3463" s="10">
        <v>1274</v>
      </c>
      <c r="N3463" s="10">
        <v>0</v>
      </c>
      <c r="O3463" s="10">
        <f>Table1[[#This Row],[NET Amount]]-Table1[[#This Row],[Paid Amount]]</f>
        <v>1274</v>
      </c>
      <c r="P3463" s="2" t="s">
        <v>23</v>
      </c>
      <c r="Q3463" s="2" t="s">
        <v>54</v>
      </c>
      <c r="R3463" s="16">
        <f>(Table1[[#This Row],[NET Amount]]-Table1[[#This Row],[Total Outstanding Amount]])/Table1[[#This Row],[NET Amount]]</f>
        <v>0</v>
      </c>
      <c r="S3463" s="2" t="s">
        <v>97</v>
      </c>
    </row>
    <row r="3464" spans="1:19" x14ac:dyDescent="0.3">
      <c r="A3464" s="4">
        <v>3462</v>
      </c>
      <c r="B3464" s="2" t="s">
        <v>139</v>
      </c>
      <c r="C3464" s="3">
        <v>44841</v>
      </c>
      <c r="D3464" s="3" t="str">
        <f>TEXT(Table1[[#This Row],[Admission Date]],"MMMM")</f>
        <v>October</v>
      </c>
      <c r="E3464" s="3">
        <v>44841</v>
      </c>
      <c r="F3464" s="3">
        <v>44841</v>
      </c>
      <c r="G3464" s="2">
        <v>22025964</v>
      </c>
      <c r="H3464" s="2">
        <v>2235013</v>
      </c>
      <c r="I3464" s="2">
        <v>1000947591</v>
      </c>
      <c r="J3464" s="2" t="s">
        <v>146</v>
      </c>
      <c r="K3464" s="10">
        <v>2200</v>
      </c>
      <c r="L3464" s="10">
        <v>0</v>
      </c>
      <c r="M3464" s="10">
        <v>2200</v>
      </c>
      <c r="N3464" s="10">
        <v>0</v>
      </c>
      <c r="O3464" s="10">
        <f>Table1[[#This Row],[NET Amount]]-Table1[[#This Row],[Paid Amount]]</f>
        <v>2200</v>
      </c>
      <c r="P3464" s="2" t="s">
        <v>23</v>
      </c>
      <c r="Q3464" s="2" t="s">
        <v>147</v>
      </c>
      <c r="R3464" s="16">
        <f>(Table1[[#This Row],[NET Amount]]-Table1[[#This Row],[Total Outstanding Amount]])/Table1[[#This Row],[NET Amount]]</f>
        <v>0</v>
      </c>
      <c r="S3464" s="2" t="s">
        <v>97</v>
      </c>
    </row>
    <row r="3465" spans="1:19" x14ac:dyDescent="0.3">
      <c r="A3465" s="4">
        <v>3463</v>
      </c>
      <c r="B3465" s="2" t="s">
        <v>75</v>
      </c>
      <c r="C3465" s="3">
        <v>44849</v>
      </c>
      <c r="D3465" s="3" t="str">
        <f>TEXT(Table1[[#This Row],[Admission Date]],"MMMM")</f>
        <v>October</v>
      </c>
      <c r="E3465" s="3">
        <v>44849</v>
      </c>
      <c r="F3465" s="3">
        <v>44849</v>
      </c>
      <c r="G3465" s="2">
        <v>22027150</v>
      </c>
      <c r="H3465" s="2">
        <v>2236094</v>
      </c>
      <c r="I3465" s="2">
        <v>10013373132</v>
      </c>
      <c r="J3465" s="2" t="s">
        <v>402</v>
      </c>
      <c r="K3465" s="10">
        <v>1610</v>
      </c>
      <c r="L3465" s="10">
        <v>0</v>
      </c>
      <c r="M3465" s="10">
        <v>1610</v>
      </c>
      <c r="N3465" s="10">
        <v>0</v>
      </c>
      <c r="O3465" s="10">
        <f>Table1[[#This Row],[NET Amount]]-Table1[[#This Row],[Paid Amount]]</f>
        <v>1610</v>
      </c>
      <c r="P3465" s="2" t="s">
        <v>23</v>
      </c>
      <c r="Q3465" s="2" t="s">
        <v>54</v>
      </c>
      <c r="R3465" s="16">
        <f>(Table1[[#This Row],[NET Amount]]-Table1[[#This Row],[Total Outstanding Amount]])/Table1[[#This Row],[NET Amount]]</f>
        <v>0</v>
      </c>
      <c r="S3465" s="2" t="s">
        <v>97</v>
      </c>
    </row>
    <row r="3466" spans="1:19" x14ac:dyDescent="0.3">
      <c r="A3466" s="4">
        <v>3464</v>
      </c>
      <c r="B3466" s="2" t="s">
        <v>2264</v>
      </c>
      <c r="C3466" s="3">
        <v>44849</v>
      </c>
      <c r="D3466" s="3" t="str">
        <f>TEXT(Table1[[#This Row],[Admission Date]],"MMMM")</f>
        <v>October</v>
      </c>
      <c r="E3466" s="3">
        <v>44849</v>
      </c>
      <c r="F3466" s="3">
        <v>44849</v>
      </c>
      <c r="G3466" s="2">
        <v>22027264</v>
      </c>
      <c r="H3466" s="2">
        <v>2236183</v>
      </c>
      <c r="I3466" s="2">
        <v>1001445916</v>
      </c>
      <c r="J3466" s="2" t="s">
        <v>445</v>
      </c>
      <c r="K3466" s="10">
        <v>2000</v>
      </c>
      <c r="L3466" s="10">
        <v>0</v>
      </c>
      <c r="M3466" s="10">
        <v>2000</v>
      </c>
      <c r="N3466" s="10">
        <v>0</v>
      </c>
      <c r="O3466" s="10">
        <f>Table1[[#This Row],[NET Amount]]-Table1[[#This Row],[Paid Amount]]</f>
        <v>2000</v>
      </c>
      <c r="P3466" s="2" t="s">
        <v>23</v>
      </c>
      <c r="Q3466" s="2" t="s">
        <v>54</v>
      </c>
      <c r="R3466" s="16">
        <f>(Table1[[#This Row],[NET Amount]]-Table1[[#This Row],[Total Outstanding Amount]])/Table1[[#This Row],[NET Amount]]</f>
        <v>0</v>
      </c>
      <c r="S3466" s="2" t="s">
        <v>97</v>
      </c>
    </row>
    <row r="3467" spans="1:19" x14ac:dyDescent="0.3">
      <c r="A3467" s="4">
        <v>3465</v>
      </c>
      <c r="B3467" s="2" t="s">
        <v>2263</v>
      </c>
      <c r="C3467" s="3">
        <v>44852</v>
      </c>
      <c r="D3467" s="3" t="str">
        <f>TEXT(Table1[[#This Row],[Admission Date]],"MMMM")</f>
        <v>October</v>
      </c>
      <c r="E3467" s="3">
        <v>44852</v>
      </c>
      <c r="F3467" s="3">
        <v>44852</v>
      </c>
      <c r="G3467" s="2">
        <v>22027534</v>
      </c>
      <c r="H3467" s="2">
        <v>2236449</v>
      </c>
      <c r="I3467" s="2">
        <v>1001711925</v>
      </c>
      <c r="J3467" s="2" t="s">
        <v>302</v>
      </c>
      <c r="K3467" s="10">
        <v>1274</v>
      </c>
      <c r="L3467" s="10">
        <v>0</v>
      </c>
      <c r="M3467" s="10">
        <v>1274</v>
      </c>
      <c r="N3467" s="10">
        <v>0</v>
      </c>
      <c r="O3467" s="10">
        <f>Table1[[#This Row],[NET Amount]]-Table1[[#This Row],[Paid Amount]]</f>
        <v>1274</v>
      </c>
      <c r="P3467" s="2" t="s">
        <v>23</v>
      </c>
      <c r="Q3467" s="2" t="s">
        <v>54</v>
      </c>
      <c r="R3467" s="16">
        <f>(Table1[[#This Row],[NET Amount]]-Table1[[#This Row],[Total Outstanding Amount]])/Table1[[#This Row],[NET Amount]]</f>
        <v>0</v>
      </c>
      <c r="S3467" s="2" t="s">
        <v>97</v>
      </c>
    </row>
    <row r="3468" spans="1:19" x14ac:dyDescent="0.3">
      <c r="A3468" s="4">
        <v>3466</v>
      </c>
      <c r="B3468" s="2" t="s">
        <v>2258</v>
      </c>
      <c r="C3468" s="3">
        <v>44852</v>
      </c>
      <c r="D3468" s="3" t="str">
        <f>TEXT(Table1[[#This Row],[Admission Date]],"MMMM")</f>
        <v>October</v>
      </c>
      <c r="E3468" s="3">
        <v>44852</v>
      </c>
      <c r="F3468" s="3">
        <v>44852</v>
      </c>
      <c r="G3468" s="2">
        <v>22027535</v>
      </c>
      <c r="H3468" s="2">
        <v>2236446</v>
      </c>
      <c r="I3468" s="2">
        <v>1001781083</v>
      </c>
      <c r="J3468" s="2" t="s">
        <v>777</v>
      </c>
      <c r="K3468" s="10">
        <v>1610</v>
      </c>
      <c r="L3468" s="10">
        <v>0</v>
      </c>
      <c r="M3468" s="10">
        <v>1610</v>
      </c>
      <c r="N3468" s="10">
        <v>0</v>
      </c>
      <c r="O3468" s="10">
        <f>Table1[[#This Row],[NET Amount]]-Table1[[#This Row],[Paid Amount]]</f>
        <v>1610</v>
      </c>
      <c r="P3468" s="2" t="s">
        <v>23</v>
      </c>
      <c r="Q3468" s="2" t="s">
        <v>54</v>
      </c>
      <c r="R3468" s="16">
        <f>(Table1[[#This Row],[NET Amount]]-Table1[[#This Row],[Total Outstanding Amount]])/Table1[[#This Row],[NET Amount]]</f>
        <v>0</v>
      </c>
      <c r="S3468" s="2" t="s">
        <v>97</v>
      </c>
    </row>
    <row r="3469" spans="1:19" x14ac:dyDescent="0.3">
      <c r="A3469" s="4">
        <v>3467</v>
      </c>
      <c r="B3469" s="2" t="s">
        <v>380</v>
      </c>
      <c r="C3469" s="3">
        <v>44835</v>
      </c>
      <c r="D3469" s="3" t="str">
        <f>TEXT(Table1[[#This Row],[Admission Date]],"MMMM")</f>
        <v>October</v>
      </c>
      <c r="E3469" s="3">
        <v>44840</v>
      </c>
      <c r="F3469" s="3">
        <v>44840</v>
      </c>
      <c r="G3469" s="2">
        <v>22025880</v>
      </c>
      <c r="H3469" s="2">
        <v>2234201</v>
      </c>
      <c r="I3469" s="2">
        <v>10013540883</v>
      </c>
      <c r="J3469" s="2" t="s">
        <v>209</v>
      </c>
      <c r="K3469" s="10">
        <v>197203</v>
      </c>
      <c r="L3469" s="10">
        <v>0</v>
      </c>
      <c r="M3469" s="10">
        <v>197203</v>
      </c>
      <c r="N3469" s="10">
        <v>0</v>
      </c>
      <c r="O3469" s="10">
        <f>Table1[[#This Row],[NET Amount]]-Table1[[#This Row],[Paid Amount]]</f>
        <v>197203</v>
      </c>
      <c r="P3469" s="2" t="s">
        <v>23</v>
      </c>
      <c r="Q3469" s="2" t="s">
        <v>406</v>
      </c>
      <c r="R3469" s="16">
        <f>(Table1[[#This Row],[NET Amount]]-Table1[[#This Row],[Total Outstanding Amount]])/Table1[[#This Row],[NET Amount]]</f>
        <v>0</v>
      </c>
      <c r="S3469" s="2" t="s">
        <v>70</v>
      </c>
    </row>
    <row r="3470" spans="1:19" x14ac:dyDescent="0.3">
      <c r="A3470" s="4">
        <v>3468</v>
      </c>
      <c r="B3470" s="2" t="s">
        <v>380</v>
      </c>
      <c r="C3470" s="3">
        <v>44859</v>
      </c>
      <c r="D3470" s="3" t="str">
        <f>TEXT(Table1[[#This Row],[Admission Date]],"MMMM")</f>
        <v>October</v>
      </c>
      <c r="E3470" s="3">
        <v>44859</v>
      </c>
      <c r="F3470" s="3">
        <v>44859</v>
      </c>
      <c r="G3470" s="2">
        <v>22028553</v>
      </c>
      <c r="H3470" s="2">
        <v>2237372</v>
      </c>
      <c r="I3470" s="2">
        <v>1001074266</v>
      </c>
      <c r="J3470" s="2" t="s">
        <v>776</v>
      </c>
      <c r="K3470" s="10">
        <v>1274</v>
      </c>
      <c r="L3470" s="10">
        <v>0</v>
      </c>
      <c r="M3470" s="10">
        <v>1274</v>
      </c>
      <c r="N3470" s="10">
        <v>0</v>
      </c>
      <c r="O3470" s="10">
        <f>Table1[[#This Row],[NET Amount]]-Table1[[#This Row],[Paid Amount]]</f>
        <v>1274</v>
      </c>
      <c r="P3470" s="2" t="s">
        <v>23</v>
      </c>
      <c r="Q3470" s="2" t="s">
        <v>54</v>
      </c>
      <c r="R3470" s="16">
        <f>(Table1[[#This Row],[NET Amount]]-Table1[[#This Row],[Total Outstanding Amount]])/Table1[[#This Row],[NET Amount]]</f>
        <v>0</v>
      </c>
      <c r="S3470" s="2" t="s">
        <v>97</v>
      </c>
    </row>
    <row r="3471" spans="1:19" x14ac:dyDescent="0.3">
      <c r="A3471" s="4">
        <v>3469</v>
      </c>
      <c r="B3471" s="2" t="s">
        <v>380</v>
      </c>
      <c r="C3471" s="3">
        <v>44848</v>
      </c>
      <c r="D3471" s="3" t="str">
        <f>TEXT(Table1[[#This Row],[Admission Date]],"MMMM")</f>
        <v>October</v>
      </c>
      <c r="E3471" s="3">
        <v>44848</v>
      </c>
      <c r="F3471" s="3">
        <v>44848</v>
      </c>
      <c r="G3471" s="2">
        <v>22027100</v>
      </c>
      <c r="H3471" s="2">
        <v>2236020</v>
      </c>
      <c r="I3471" s="2">
        <v>1001581259</v>
      </c>
      <c r="J3471" s="2" t="s">
        <v>381</v>
      </c>
      <c r="K3471" s="10">
        <v>1274</v>
      </c>
      <c r="L3471" s="10">
        <v>0</v>
      </c>
      <c r="M3471" s="10">
        <v>1274</v>
      </c>
      <c r="N3471" s="10">
        <v>0</v>
      </c>
      <c r="O3471" s="10">
        <f>Table1[[#This Row],[NET Amount]]-Table1[[#This Row],[Paid Amount]]</f>
        <v>1274</v>
      </c>
      <c r="P3471" s="2" t="s">
        <v>23</v>
      </c>
      <c r="Q3471" s="2" t="s">
        <v>54</v>
      </c>
      <c r="R3471" s="16">
        <f>(Table1[[#This Row],[NET Amount]]-Table1[[#This Row],[Total Outstanding Amount]])/Table1[[#This Row],[NET Amount]]</f>
        <v>0</v>
      </c>
      <c r="S3471" s="2" t="s">
        <v>97</v>
      </c>
    </row>
    <row r="3472" spans="1:19" x14ac:dyDescent="0.3">
      <c r="A3472" s="4">
        <v>3470</v>
      </c>
      <c r="B3472" s="2" t="s">
        <v>380</v>
      </c>
      <c r="C3472" s="3">
        <v>44862</v>
      </c>
      <c r="D3472" s="3" t="str">
        <f>TEXT(Table1[[#This Row],[Admission Date]],"MMMM")</f>
        <v>October</v>
      </c>
      <c r="E3472" s="3">
        <v>44862</v>
      </c>
      <c r="F3472" s="3">
        <v>44862</v>
      </c>
      <c r="G3472" s="2">
        <v>22028976</v>
      </c>
      <c r="H3472" s="2">
        <v>2237866</v>
      </c>
      <c r="I3472" s="2">
        <v>10013449380</v>
      </c>
      <c r="J3472" s="2" t="s">
        <v>453</v>
      </c>
      <c r="K3472" s="10">
        <v>1274</v>
      </c>
      <c r="L3472" s="10">
        <v>0</v>
      </c>
      <c r="M3472" s="10">
        <v>1274</v>
      </c>
      <c r="N3472" s="10">
        <v>0</v>
      </c>
      <c r="O3472" s="10">
        <f>Table1[[#This Row],[NET Amount]]-Table1[[#This Row],[Paid Amount]]</f>
        <v>1274</v>
      </c>
      <c r="P3472" s="2" t="s">
        <v>23</v>
      </c>
      <c r="Q3472" s="2" t="s">
        <v>54</v>
      </c>
      <c r="R3472" s="16">
        <f>(Table1[[#This Row],[NET Amount]]-Table1[[#This Row],[Total Outstanding Amount]])/Table1[[#This Row],[NET Amount]]</f>
        <v>0</v>
      </c>
      <c r="S3472" s="2" t="s">
        <v>97</v>
      </c>
    </row>
    <row r="3473" spans="1:19" x14ac:dyDescent="0.3">
      <c r="A3473" s="4">
        <v>3471</v>
      </c>
      <c r="B3473" s="2" t="s">
        <v>380</v>
      </c>
      <c r="C3473" s="3">
        <v>44865</v>
      </c>
      <c r="D3473" s="3" t="str">
        <f>TEXT(Table1[[#This Row],[Admission Date]],"MMMM")</f>
        <v>October</v>
      </c>
      <c r="E3473" s="3">
        <v>44865</v>
      </c>
      <c r="F3473" s="3">
        <v>44865</v>
      </c>
      <c r="G3473" s="2">
        <v>22029390</v>
      </c>
      <c r="H3473" s="2">
        <v>2238249</v>
      </c>
      <c r="I3473" s="2">
        <v>1001208331</v>
      </c>
      <c r="J3473" s="2" t="s">
        <v>430</v>
      </c>
      <c r="K3473" s="10">
        <v>1274</v>
      </c>
      <c r="L3473" s="10">
        <v>0</v>
      </c>
      <c r="M3473" s="10">
        <v>1274</v>
      </c>
      <c r="N3473" s="10">
        <v>0</v>
      </c>
      <c r="O3473" s="10">
        <f>Table1[[#This Row],[NET Amount]]-Table1[[#This Row],[Paid Amount]]</f>
        <v>1274</v>
      </c>
      <c r="P3473" s="2" t="s">
        <v>23</v>
      </c>
      <c r="Q3473" s="2" t="s">
        <v>54</v>
      </c>
      <c r="R3473" s="16">
        <f>(Table1[[#This Row],[NET Amount]]-Table1[[#This Row],[Total Outstanding Amount]])/Table1[[#This Row],[NET Amount]]</f>
        <v>0</v>
      </c>
      <c r="S3473" s="2" t="s">
        <v>97</v>
      </c>
    </row>
    <row r="3474" spans="1:19" x14ac:dyDescent="0.3">
      <c r="A3474" s="4">
        <v>3472</v>
      </c>
      <c r="B3474" s="2" t="s">
        <v>2263</v>
      </c>
      <c r="C3474" s="3">
        <v>44840</v>
      </c>
      <c r="D3474" s="3" t="str">
        <f>TEXT(Table1[[#This Row],[Admission Date]],"MMMM")</f>
        <v>October</v>
      </c>
      <c r="E3474" s="3">
        <v>44840</v>
      </c>
      <c r="F3474" s="3">
        <v>44840</v>
      </c>
      <c r="G3474" s="2">
        <v>22025823</v>
      </c>
      <c r="H3474" s="2">
        <v>2234833</v>
      </c>
      <c r="I3474" s="2">
        <v>1001666089</v>
      </c>
      <c r="J3474" s="2" t="s">
        <v>809</v>
      </c>
      <c r="K3474" s="10">
        <v>1274</v>
      </c>
      <c r="L3474" s="10">
        <v>0</v>
      </c>
      <c r="M3474" s="10">
        <v>1274</v>
      </c>
      <c r="N3474" s="10">
        <v>0</v>
      </c>
      <c r="O3474" s="10">
        <f>Table1[[#This Row],[NET Amount]]-Table1[[#This Row],[Paid Amount]]</f>
        <v>1274</v>
      </c>
      <c r="P3474" s="2" t="s">
        <v>23</v>
      </c>
      <c r="Q3474" s="2" t="s">
        <v>54</v>
      </c>
      <c r="R3474" s="16">
        <f>(Table1[[#This Row],[NET Amount]]-Table1[[#This Row],[Total Outstanding Amount]])/Table1[[#This Row],[NET Amount]]</f>
        <v>0</v>
      </c>
      <c r="S3474" s="2" t="s">
        <v>97</v>
      </c>
    </row>
    <row r="3475" spans="1:19" x14ac:dyDescent="0.3">
      <c r="A3475" s="4">
        <v>3473</v>
      </c>
      <c r="B3475" s="2" t="s">
        <v>75</v>
      </c>
      <c r="C3475" s="3">
        <v>44851</v>
      </c>
      <c r="D3475" s="3" t="str">
        <f>TEXT(Table1[[#This Row],[Admission Date]],"MMMM")</f>
        <v>October</v>
      </c>
      <c r="E3475" s="3">
        <v>44854</v>
      </c>
      <c r="F3475" s="3">
        <v>44854</v>
      </c>
      <c r="G3475" s="2">
        <v>22027879</v>
      </c>
      <c r="H3475" s="2">
        <v>2236362</v>
      </c>
      <c r="I3475" s="2">
        <v>10013537002</v>
      </c>
      <c r="J3475" s="2" t="s">
        <v>1315</v>
      </c>
      <c r="K3475" s="10">
        <v>15355</v>
      </c>
      <c r="L3475" s="10">
        <v>0</v>
      </c>
      <c r="M3475" s="10">
        <v>15355</v>
      </c>
      <c r="N3475" s="10">
        <v>0</v>
      </c>
      <c r="O3475" s="10">
        <f>Table1[[#This Row],[NET Amount]]-Table1[[#This Row],[Paid Amount]]</f>
        <v>15355</v>
      </c>
      <c r="P3475" s="2" t="s">
        <v>23</v>
      </c>
      <c r="Q3475" s="2" t="s">
        <v>24</v>
      </c>
      <c r="R3475" s="16">
        <f>(Table1[[#This Row],[NET Amount]]-Table1[[#This Row],[Total Outstanding Amount]])/Table1[[#This Row],[NET Amount]]</f>
        <v>0</v>
      </c>
      <c r="S3475" s="2" t="s">
        <v>55</v>
      </c>
    </row>
    <row r="3476" spans="1:19" x14ac:dyDescent="0.3">
      <c r="A3476" s="4">
        <v>3474</v>
      </c>
      <c r="B3476" s="2" t="s">
        <v>61</v>
      </c>
      <c r="C3476" s="3">
        <v>44857</v>
      </c>
      <c r="D3476" s="3" t="str">
        <f>TEXT(Table1[[#This Row],[Admission Date]],"MMMM")</f>
        <v>October</v>
      </c>
      <c r="E3476" s="3">
        <v>44857</v>
      </c>
      <c r="F3476" s="3">
        <v>44857</v>
      </c>
      <c r="G3476" s="2">
        <v>22028412</v>
      </c>
      <c r="H3476" s="2">
        <v>2237199</v>
      </c>
      <c r="I3476" s="2">
        <v>10013497993</v>
      </c>
      <c r="J3476" s="2" t="s">
        <v>1077</v>
      </c>
      <c r="K3476" s="10">
        <v>2200</v>
      </c>
      <c r="L3476" s="10">
        <v>0</v>
      </c>
      <c r="M3476" s="10">
        <v>2200</v>
      </c>
      <c r="N3476" s="10">
        <v>0</v>
      </c>
      <c r="O3476" s="10">
        <f>Table1[[#This Row],[NET Amount]]-Table1[[#This Row],[Paid Amount]]</f>
        <v>2200</v>
      </c>
      <c r="P3476" s="2" t="s">
        <v>23</v>
      </c>
      <c r="Q3476" s="2" t="s">
        <v>147</v>
      </c>
      <c r="R3476" s="16">
        <f>(Table1[[#This Row],[NET Amount]]-Table1[[#This Row],[Total Outstanding Amount]])/Table1[[#This Row],[NET Amount]]</f>
        <v>0</v>
      </c>
      <c r="S3476" s="2" t="s">
        <v>97</v>
      </c>
    </row>
    <row r="3477" spans="1:19" x14ac:dyDescent="0.3">
      <c r="A3477" s="4">
        <v>3475</v>
      </c>
      <c r="B3477" s="2" t="s">
        <v>2253</v>
      </c>
      <c r="C3477" s="3">
        <v>44861</v>
      </c>
      <c r="D3477" s="3" t="str">
        <f>TEXT(Table1[[#This Row],[Admission Date]],"MMMM")</f>
        <v>October</v>
      </c>
      <c r="E3477" s="3">
        <v>44861</v>
      </c>
      <c r="F3477" s="3">
        <v>44861</v>
      </c>
      <c r="G3477" s="2">
        <v>22028783</v>
      </c>
      <c r="H3477" s="2">
        <v>2237663</v>
      </c>
      <c r="I3477" s="2">
        <v>1001772963</v>
      </c>
      <c r="J3477" s="2" t="s">
        <v>569</v>
      </c>
      <c r="K3477" s="10">
        <v>1610</v>
      </c>
      <c r="L3477" s="10">
        <v>0</v>
      </c>
      <c r="M3477" s="10">
        <v>1610</v>
      </c>
      <c r="N3477" s="10">
        <v>0</v>
      </c>
      <c r="O3477" s="10">
        <f>Table1[[#This Row],[NET Amount]]-Table1[[#This Row],[Paid Amount]]</f>
        <v>1610</v>
      </c>
      <c r="P3477" s="2" t="s">
        <v>23</v>
      </c>
      <c r="Q3477" s="2" t="s">
        <v>54</v>
      </c>
      <c r="R3477" s="16">
        <f>(Table1[[#This Row],[NET Amount]]-Table1[[#This Row],[Total Outstanding Amount]])/Table1[[#This Row],[NET Amount]]</f>
        <v>0</v>
      </c>
      <c r="S3477" s="2" t="s">
        <v>97</v>
      </c>
    </row>
    <row r="3478" spans="1:19" x14ac:dyDescent="0.3">
      <c r="A3478" s="4">
        <v>3476</v>
      </c>
      <c r="B3478" s="2" t="s">
        <v>380</v>
      </c>
      <c r="C3478" s="3">
        <v>44845</v>
      </c>
      <c r="D3478" s="3" t="str">
        <f>TEXT(Table1[[#This Row],[Admission Date]],"MMMM")</f>
        <v>October</v>
      </c>
      <c r="E3478" s="3">
        <v>44845</v>
      </c>
      <c r="F3478" s="3">
        <v>44845</v>
      </c>
      <c r="G3478" s="2">
        <v>22026561</v>
      </c>
      <c r="H3478" s="2">
        <v>2235541</v>
      </c>
      <c r="I3478" s="2">
        <v>1001082290</v>
      </c>
      <c r="J3478" s="2" t="s">
        <v>436</v>
      </c>
      <c r="K3478" s="10">
        <v>1274</v>
      </c>
      <c r="L3478" s="10">
        <v>0</v>
      </c>
      <c r="M3478" s="10">
        <v>1274</v>
      </c>
      <c r="N3478" s="10">
        <v>0</v>
      </c>
      <c r="O3478" s="10">
        <f>Table1[[#This Row],[NET Amount]]-Table1[[#This Row],[Paid Amount]]</f>
        <v>1274</v>
      </c>
      <c r="P3478" s="2" t="s">
        <v>23</v>
      </c>
      <c r="Q3478" s="2" t="s">
        <v>54</v>
      </c>
      <c r="R3478" s="16">
        <f>(Table1[[#This Row],[NET Amount]]-Table1[[#This Row],[Total Outstanding Amount]])/Table1[[#This Row],[NET Amount]]</f>
        <v>0</v>
      </c>
      <c r="S3478" s="2" t="s">
        <v>97</v>
      </c>
    </row>
    <row r="3479" spans="1:19" x14ac:dyDescent="0.3">
      <c r="A3479" s="4">
        <v>3477</v>
      </c>
      <c r="B3479" s="2" t="s">
        <v>149</v>
      </c>
      <c r="C3479" s="3">
        <v>44859</v>
      </c>
      <c r="D3479" s="3" t="str">
        <f>TEXT(Table1[[#This Row],[Admission Date]],"MMMM")</f>
        <v>October</v>
      </c>
      <c r="E3479" s="3">
        <v>44862</v>
      </c>
      <c r="F3479" s="3">
        <v>44862</v>
      </c>
      <c r="G3479" s="2">
        <v>22028890</v>
      </c>
      <c r="H3479" s="2">
        <v>2237355</v>
      </c>
      <c r="I3479" s="2">
        <v>1001152176</v>
      </c>
      <c r="J3479" s="2" t="s">
        <v>2005</v>
      </c>
      <c r="K3479" s="10">
        <v>68803</v>
      </c>
      <c r="L3479" s="10">
        <v>4494</v>
      </c>
      <c r="M3479" s="10">
        <v>64309</v>
      </c>
      <c r="N3479" s="10">
        <v>0</v>
      </c>
      <c r="O3479" s="10">
        <f>Table1[[#This Row],[NET Amount]]-Table1[[#This Row],[Paid Amount]]</f>
        <v>64309</v>
      </c>
      <c r="P3479" s="2" t="s">
        <v>23</v>
      </c>
      <c r="Q3479" s="2" t="s">
        <v>30</v>
      </c>
      <c r="R3479" s="16">
        <f>(Table1[[#This Row],[NET Amount]]-Table1[[#This Row],[Total Outstanding Amount]])/Table1[[#This Row],[NET Amount]]</f>
        <v>0</v>
      </c>
      <c r="S3479" s="2" t="s">
        <v>20</v>
      </c>
    </row>
    <row r="3480" spans="1:19" x14ac:dyDescent="0.3">
      <c r="A3480" s="4">
        <v>3478</v>
      </c>
      <c r="B3480" s="2" t="s">
        <v>2264</v>
      </c>
      <c r="C3480" s="3">
        <v>44835</v>
      </c>
      <c r="D3480" s="3" t="str">
        <f>TEXT(Table1[[#This Row],[Admission Date]],"MMMM")</f>
        <v>October</v>
      </c>
      <c r="E3480" s="3">
        <v>44835</v>
      </c>
      <c r="F3480" s="3">
        <v>44835</v>
      </c>
      <c r="G3480" s="2">
        <v>22025236</v>
      </c>
      <c r="H3480" s="2">
        <v>2234246</v>
      </c>
      <c r="I3480" s="2">
        <v>1001445916</v>
      </c>
      <c r="J3480" s="2" t="s">
        <v>445</v>
      </c>
      <c r="K3480" s="10">
        <v>2000</v>
      </c>
      <c r="L3480" s="10">
        <v>0</v>
      </c>
      <c r="M3480" s="10">
        <v>2000</v>
      </c>
      <c r="N3480" s="10">
        <v>0</v>
      </c>
      <c r="O3480" s="10">
        <f>Table1[[#This Row],[NET Amount]]-Table1[[#This Row],[Paid Amount]]</f>
        <v>2000</v>
      </c>
      <c r="P3480" s="2" t="s">
        <v>23</v>
      </c>
      <c r="Q3480" s="2" t="s">
        <v>54</v>
      </c>
      <c r="R3480" s="16">
        <f>(Table1[[#This Row],[NET Amount]]-Table1[[#This Row],[Total Outstanding Amount]])/Table1[[#This Row],[NET Amount]]</f>
        <v>0</v>
      </c>
      <c r="S3480" s="2" t="s">
        <v>97</v>
      </c>
    </row>
    <row r="3481" spans="1:19" x14ac:dyDescent="0.3">
      <c r="A3481" s="4">
        <v>3479</v>
      </c>
      <c r="B3481" s="2" t="s">
        <v>380</v>
      </c>
      <c r="C3481" s="3">
        <v>44846</v>
      </c>
      <c r="D3481" s="3" t="str">
        <f>TEXT(Table1[[#This Row],[Admission Date]],"MMMM")</f>
        <v>October</v>
      </c>
      <c r="E3481" s="3">
        <v>44846</v>
      </c>
      <c r="F3481" s="3">
        <v>44846</v>
      </c>
      <c r="G3481" s="2">
        <v>22026788</v>
      </c>
      <c r="H3481" s="2">
        <v>2235745</v>
      </c>
      <c r="I3481" s="2">
        <v>10013387247</v>
      </c>
      <c r="J3481" s="2" t="s">
        <v>1330</v>
      </c>
      <c r="K3481" s="10">
        <v>1274</v>
      </c>
      <c r="L3481" s="10">
        <v>0</v>
      </c>
      <c r="M3481" s="10">
        <v>1274</v>
      </c>
      <c r="N3481" s="10">
        <v>0</v>
      </c>
      <c r="O3481" s="10">
        <f>Table1[[#This Row],[NET Amount]]-Table1[[#This Row],[Paid Amount]]</f>
        <v>1274</v>
      </c>
      <c r="P3481" s="2" t="s">
        <v>23</v>
      </c>
      <c r="Q3481" s="2" t="s">
        <v>54</v>
      </c>
      <c r="R3481" s="16">
        <f>(Table1[[#This Row],[NET Amount]]-Table1[[#This Row],[Total Outstanding Amount]])/Table1[[#This Row],[NET Amount]]</f>
        <v>0</v>
      </c>
      <c r="S3481" s="2" t="s">
        <v>97</v>
      </c>
    </row>
    <row r="3482" spans="1:19" x14ac:dyDescent="0.3">
      <c r="A3482" s="4">
        <v>3480</v>
      </c>
      <c r="B3482" s="2" t="s">
        <v>40</v>
      </c>
      <c r="C3482" s="3">
        <v>44855</v>
      </c>
      <c r="D3482" s="3" t="str">
        <f>TEXT(Table1[[#This Row],[Admission Date]],"MMMM")</f>
        <v>October</v>
      </c>
      <c r="E3482" s="3">
        <v>44855</v>
      </c>
      <c r="F3482" s="3">
        <v>44855</v>
      </c>
      <c r="G3482" s="2">
        <v>22028067</v>
      </c>
      <c r="H3482" s="2">
        <v>2236905</v>
      </c>
      <c r="I3482" s="2">
        <v>10013436915</v>
      </c>
      <c r="J3482" s="2" t="s">
        <v>773</v>
      </c>
      <c r="K3482" s="10">
        <v>2200</v>
      </c>
      <c r="L3482" s="10">
        <v>0</v>
      </c>
      <c r="M3482" s="10">
        <v>2200</v>
      </c>
      <c r="N3482" s="10">
        <v>0</v>
      </c>
      <c r="O3482" s="10">
        <f>Table1[[#This Row],[NET Amount]]-Table1[[#This Row],[Paid Amount]]</f>
        <v>2200</v>
      </c>
      <c r="P3482" s="2" t="s">
        <v>23</v>
      </c>
      <c r="Q3482" s="2" t="s">
        <v>147</v>
      </c>
      <c r="R3482" s="16">
        <f>(Table1[[#This Row],[NET Amount]]-Table1[[#This Row],[Total Outstanding Amount]])/Table1[[#This Row],[NET Amount]]</f>
        <v>0</v>
      </c>
      <c r="S3482" s="2" t="s">
        <v>97</v>
      </c>
    </row>
    <row r="3483" spans="1:19" x14ac:dyDescent="0.3">
      <c r="A3483" s="4">
        <v>3481</v>
      </c>
      <c r="B3483" s="2" t="s">
        <v>2263</v>
      </c>
      <c r="C3483" s="3">
        <v>44844</v>
      </c>
      <c r="D3483" s="3" t="str">
        <f>TEXT(Table1[[#This Row],[Admission Date]],"MMMM")</f>
        <v>October</v>
      </c>
      <c r="E3483" s="3">
        <v>44844</v>
      </c>
      <c r="F3483" s="3">
        <v>44844</v>
      </c>
      <c r="G3483" s="2">
        <v>22026353</v>
      </c>
      <c r="H3483" s="2">
        <v>2235342</v>
      </c>
      <c r="I3483" s="2">
        <v>1001367923</v>
      </c>
      <c r="J3483" s="2" t="s">
        <v>391</v>
      </c>
      <c r="K3483" s="10">
        <v>1274</v>
      </c>
      <c r="L3483" s="10">
        <v>0</v>
      </c>
      <c r="M3483" s="10">
        <v>1274</v>
      </c>
      <c r="N3483" s="10">
        <v>0</v>
      </c>
      <c r="O3483" s="10">
        <f>Table1[[#This Row],[NET Amount]]-Table1[[#This Row],[Paid Amount]]</f>
        <v>1274</v>
      </c>
      <c r="P3483" s="2" t="s">
        <v>23</v>
      </c>
      <c r="Q3483" s="2" t="s">
        <v>54</v>
      </c>
      <c r="R3483" s="16">
        <f>(Table1[[#This Row],[NET Amount]]-Table1[[#This Row],[Total Outstanding Amount]])/Table1[[#This Row],[NET Amount]]</f>
        <v>0</v>
      </c>
      <c r="S3483" s="2" t="s">
        <v>97</v>
      </c>
    </row>
    <row r="3484" spans="1:19" x14ac:dyDescent="0.3">
      <c r="A3484" s="4">
        <v>3482</v>
      </c>
      <c r="B3484" s="2" t="s">
        <v>380</v>
      </c>
      <c r="C3484" s="3">
        <v>44856</v>
      </c>
      <c r="D3484" s="3" t="str">
        <f>TEXT(Table1[[#This Row],[Admission Date]],"MMMM")</f>
        <v>October</v>
      </c>
      <c r="E3484" s="3">
        <v>44856</v>
      </c>
      <c r="F3484" s="3">
        <v>44856</v>
      </c>
      <c r="G3484" s="2">
        <v>22028150</v>
      </c>
      <c r="H3484" s="2">
        <v>2237014</v>
      </c>
      <c r="I3484" s="2">
        <v>10013475917</v>
      </c>
      <c r="J3484" s="2" t="s">
        <v>429</v>
      </c>
      <c r="K3484" s="10">
        <v>1274</v>
      </c>
      <c r="L3484" s="10">
        <v>0</v>
      </c>
      <c r="M3484" s="10">
        <v>1274</v>
      </c>
      <c r="N3484" s="10">
        <v>0</v>
      </c>
      <c r="O3484" s="10">
        <f>Table1[[#This Row],[NET Amount]]-Table1[[#This Row],[Paid Amount]]</f>
        <v>1274</v>
      </c>
      <c r="P3484" s="2" t="s">
        <v>23</v>
      </c>
      <c r="Q3484" s="2" t="s">
        <v>54</v>
      </c>
      <c r="R3484" s="16">
        <f>(Table1[[#This Row],[NET Amount]]-Table1[[#This Row],[Total Outstanding Amount]])/Table1[[#This Row],[NET Amount]]</f>
        <v>0</v>
      </c>
      <c r="S3484" s="2" t="s">
        <v>97</v>
      </c>
    </row>
    <row r="3485" spans="1:19" x14ac:dyDescent="0.3">
      <c r="A3485" s="4">
        <v>3483</v>
      </c>
      <c r="B3485" s="2" t="s">
        <v>2263</v>
      </c>
      <c r="C3485" s="3">
        <v>44854</v>
      </c>
      <c r="D3485" s="3" t="str">
        <f>TEXT(Table1[[#This Row],[Admission Date]],"MMMM")</f>
        <v>October</v>
      </c>
      <c r="E3485" s="3">
        <v>44854</v>
      </c>
      <c r="F3485" s="3">
        <v>44854</v>
      </c>
      <c r="G3485" s="2">
        <v>22027926</v>
      </c>
      <c r="H3485" s="2">
        <v>2236800</v>
      </c>
      <c r="I3485" s="2">
        <v>1001686545</v>
      </c>
      <c r="J3485" s="2" t="s">
        <v>425</v>
      </c>
      <c r="K3485" s="10">
        <v>1274</v>
      </c>
      <c r="L3485" s="10">
        <v>0</v>
      </c>
      <c r="M3485" s="10">
        <v>1274</v>
      </c>
      <c r="N3485" s="10">
        <v>0</v>
      </c>
      <c r="O3485" s="10">
        <f>Table1[[#This Row],[NET Amount]]-Table1[[#This Row],[Paid Amount]]</f>
        <v>1274</v>
      </c>
      <c r="P3485" s="2" t="s">
        <v>23</v>
      </c>
      <c r="Q3485" s="2" t="s">
        <v>54</v>
      </c>
      <c r="R3485" s="16">
        <f>(Table1[[#This Row],[NET Amount]]-Table1[[#This Row],[Total Outstanding Amount]])/Table1[[#This Row],[NET Amount]]</f>
        <v>0</v>
      </c>
      <c r="S3485" s="2" t="s">
        <v>97</v>
      </c>
    </row>
    <row r="3486" spans="1:19" x14ac:dyDescent="0.3">
      <c r="A3486" s="4">
        <v>3484</v>
      </c>
      <c r="B3486" s="2" t="s">
        <v>75</v>
      </c>
      <c r="C3486" s="3">
        <v>44861</v>
      </c>
      <c r="D3486" s="3" t="str">
        <f>TEXT(Table1[[#This Row],[Admission Date]],"MMMM")</f>
        <v>October</v>
      </c>
      <c r="E3486" s="3">
        <v>44861</v>
      </c>
      <c r="F3486" s="3">
        <v>44861</v>
      </c>
      <c r="G3486" s="2">
        <v>22028715</v>
      </c>
      <c r="H3486" s="2">
        <v>2237607</v>
      </c>
      <c r="I3486" s="2">
        <v>10013480632</v>
      </c>
      <c r="J3486" s="2" t="s">
        <v>210</v>
      </c>
      <c r="K3486" s="10">
        <v>1610</v>
      </c>
      <c r="L3486" s="10">
        <v>0</v>
      </c>
      <c r="M3486" s="10">
        <v>1610</v>
      </c>
      <c r="N3486" s="10">
        <v>0</v>
      </c>
      <c r="O3486" s="10">
        <f>Table1[[#This Row],[NET Amount]]-Table1[[#This Row],[Paid Amount]]</f>
        <v>1610</v>
      </c>
      <c r="P3486" s="2" t="s">
        <v>23</v>
      </c>
      <c r="Q3486" s="2" t="s">
        <v>54</v>
      </c>
      <c r="R3486" s="16">
        <f>(Table1[[#This Row],[NET Amount]]-Table1[[#This Row],[Total Outstanding Amount]])/Table1[[#This Row],[NET Amount]]</f>
        <v>0</v>
      </c>
      <c r="S3486" s="2" t="s">
        <v>97</v>
      </c>
    </row>
    <row r="3487" spans="1:19" x14ac:dyDescent="0.3">
      <c r="A3487" s="4">
        <v>3485</v>
      </c>
      <c r="B3487" s="2" t="s">
        <v>380</v>
      </c>
      <c r="C3487" s="3">
        <v>44862</v>
      </c>
      <c r="D3487" s="3" t="str">
        <f>TEXT(Table1[[#This Row],[Admission Date]],"MMMM")</f>
        <v>October</v>
      </c>
      <c r="E3487" s="3">
        <v>44862</v>
      </c>
      <c r="F3487" s="3">
        <v>44862</v>
      </c>
      <c r="G3487" s="2">
        <v>22028988</v>
      </c>
      <c r="H3487" s="2">
        <v>2237876</v>
      </c>
      <c r="I3487" s="2">
        <v>10013316109</v>
      </c>
      <c r="J3487" s="2" t="s">
        <v>793</v>
      </c>
      <c r="K3487" s="10">
        <v>1274</v>
      </c>
      <c r="L3487" s="10">
        <v>0</v>
      </c>
      <c r="M3487" s="10">
        <v>1274</v>
      </c>
      <c r="N3487" s="10">
        <v>0</v>
      </c>
      <c r="O3487" s="10">
        <f>Table1[[#This Row],[NET Amount]]-Table1[[#This Row],[Paid Amount]]</f>
        <v>1274</v>
      </c>
      <c r="P3487" s="2" t="s">
        <v>23</v>
      </c>
      <c r="Q3487" s="2" t="s">
        <v>54</v>
      </c>
      <c r="R3487" s="16">
        <f>(Table1[[#This Row],[NET Amount]]-Table1[[#This Row],[Total Outstanding Amount]])/Table1[[#This Row],[NET Amount]]</f>
        <v>0</v>
      </c>
      <c r="S3487" s="2" t="s">
        <v>97</v>
      </c>
    </row>
    <row r="3488" spans="1:19" x14ac:dyDescent="0.3">
      <c r="A3488" s="4">
        <v>3486</v>
      </c>
      <c r="B3488" s="2" t="s">
        <v>155</v>
      </c>
      <c r="C3488" s="3">
        <v>44863</v>
      </c>
      <c r="D3488" s="3" t="str">
        <f>TEXT(Table1[[#This Row],[Admission Date]],"MMMM")</f>
        <v>October</v>
      </c>
      <c r="E3488" s="3">
        <v>44863</v>
      </c>
      <c r="F3488" s="3">
        <v>44863</v>
      </c>
      <c r="G3488" s="2">
        <v>22029058</v>
      </c>
      <c r="H3488" s="2">
        <v>2237952</v>
      </c>
      <c r="I3488" s="2">
        <v>1000853411</v>
      </c>
      <c r="J3488" s="2" t="s">
        <v>796</v>
      </c>
      <c r="K3488" s="10">
        <v>1610</v>
      </c>
      <c r="L3488" s="10">
        <v>0</v>
      </c>
      <c r="M3488" s="10">
        <v>1610</v>
      </c>
      <c r="N3488" s="10">
        <v>0</v>
      </c>
      <c r="O3488" s="10">
        <f>Table1[[#This Row],[NET Amount]]-Table1[[#This Row],[Paid Amount]]</f>
        <v>1610</v>
      </c>
      <c r="P3488" s="2" t="s">
        <v>23</v>
      </c>
      <c r="Q3488" s="2" t="s">
        <v>54</v>
      </c>
      <c r="R3488" s="16">
        <f>(Table1[[#This Row],[NET Amount]]-Table1[[#This Row],[Total Outstanding Amount]])/Table1[[#This Row],[NET Amount]]</f>
        <v>0</v>
      </c>
      <c r="S3488" s="2" t="s">
        <v>97</v>
      </c>
    </row>
    <row r="3489" spans="1:19" x14ac:dyDescent="0.3">
      <c r="A3489" s="4">
        <v>3487</v>
      </c>
      <c r="B3489" s="2" t="s">
        <v>380</v>
      </c>
      <c r="C3489" s="3">
        <v>44862</v>
      </c>
      <c r="D3489" s="3" t="str">
        <f>TEXT(Table1[[#This Row],[Admission Date]],"MMMM")</f>
        <v>October</v>
      </c>
      <c r="E3489" s="3">
        <v>44862</v>
      </c>
      <c r="F3489" s="3">
        <v>44862</v>
      </c>
      <c r="G3489" s="2">
        <v>22028979</v>
      </c>
      <c r="H3489" s="2">
        <v>2237867</v>
      </c>
      <c r="I3489" s="2">
        <v>10013520283</v>
      </c>
      <c r="J3489" s="2" t="s">
        <v>402</v>
      </c>
      <c r="K3489" s="10">
        <v>1274</v>
      </c>
      <c r="L3489" s="10">
        <v>0</v>
      </c>
      <c r="M3489" s="10">
        <v>1274</v>
      </c>
      <c r="N3489" s="10">
        <v>0</v>
      </c>
      <c r="O3489" s="10">
        <f>Table1[[#This Row],[NET Amount]]-Table1[[#This Row],[Paid Amount]]</f>
        <v>1274</v>
      </c>
      <c r="P3489" s="2" t="s">
        <v>23</v>
      </c>
      <c r="Q3489" s="2" t="s">
        <v>54</v>
      </c>
      <c r="R3489" s="16">
        <f>(Table1[[#This Row],[NET Amount]]-Table1[[#This Row],[Total Outstanding Amount]])/Table1[[#This Row],[NET Amount]]</f>
        <v>0</v>
      </c>
      <c r="S3489" s="2" t="s">
        <v>97</v>
      </c>
    </row>
    <row r="3490" spans="1:19" x14ac:dyDescent="0.3">
      <c r="A3490" s="4">
        <v>3488</v>
      </c>
      <c r="B3490" s="2" t="s">
        <v>75</v>
      </c>
      <c r="C3490" s="3">
        <v>44839</v>
      </c>
      <c r="D3490" s="3" t="str">
        <f>TEXT(Table1[[#This Row],[Admission Date]],"MMMM")</f>
        <v>October</v>
      </c>
      <c r="E3490" s="3">
        <v>44839</v>
      </c>
      <c r="F3490" s="3">
        <v>44839</v>
      </c>
      <c r="G3490" s="2">
        <v>22025717</v>
      </c>
      <c r="H3490" s="2">
        <v>2234715</v>
      </c>
      <c r="I3490" s="2">
        <v>10013514225</v>
      </c>
      <c r="J3490" s="2" t="s">
        <v>814</v>
      </c>
      <c r="K3490" s="10">
        <v>1610</v>
      </c>
      <c r="L3490" s="10">
        <v>0</v>
      </c>
      <c r="M3490" s="10">
        <v>1610</v>
      </c>
      <c r="N3490" s="10">
        <v>0</v>
      </c>
      <c r="O3490" s="10">
        <f>Table1[[#This Row],[NET Amount]]-Table1[[#This Row],[Paid Amount]]</f>
        <v>1610</v>
      </c>
      <c r="P3490" s="2" t="s">
        <v>23</v>
      </c>
      <c r="Q3490" s="2" t="s">
        <v>54</v>
      </c>
      <c r="R3490" s="16">
        <f>(Table1[[#This Row],[NET Amount]]-Table1[[#This Row],[Total Outstanding Amount]])/Table1[[#This Row],[NET Amount]]</f>
        <v>0</v>
      </c>
      <c r="S3490" s="2" t="s">
        <v>97</v>
      </c>
    </row>
    <row r="3491" spans="1:19" x14ac:dyDescent="0.3">
      <c r="A3491" s="4">
        <v>3489</v>
      </c>
      <c r="B3491" s="2" t="s">
        <v>50</v>
      </c>
      <c r="C3491" s="3">
        <v>44845</v>
      </c>
      <c r="D3491" s="3" t="str">
        <f>TEXT(Table1[[#This Row],[Admission Date]],"MMMM")</f>
        <v>October</v>
      </c>
      <c r="E3491" s="3">
        <v>44845</v>
      </c>
      <c r="F3491" s="3">
        <v>44845</v>
      </c>
      <c r="G3491" s="2">
        <v>22026560</v>
      </c>
      <c r="H3491" s="2">
        <v>2235540</v>
      </c>
      <c r="I3491" s="2">
        <v>10013511637</v>
      </c>
      <c r="J3491" s="2" t="s">
        <v>476</v>
      </c>
      <c r="K3491" s="10">
        <v>2200</v>
      </c>
      <c r="L3491" s="10">
        <v>0</v>
      </c>
      <c r="M3491" s="10">
        <v>2200</v>
      </c>
      <c r="N3491" s="10">
        <v>0</v>
      </c>
      <c r="O3491" s="10">
        <f>Table1[[#This Row],[NET Amount]]-Table1[[#This Row],[Paid Amount]]</f>
        <v>2200</v>
      </c>
      <c r="P3491" s="2" t="s">
        <v>23</v>
      </c>
      <c r="Q3491" s="2" t="s">
        <v>147</v>
      </c>
      <c r="R3491" s="16">
        <f>(Table1[[#This Row],[NET Amount]]-Table1[[#This Row],[Total Outstanding Amount]])/Table1[[#This Row],[NET Amount]]</f>
        <v>0</v>
      </c>
      <c r="S3491" s="2" t="s">
        <v>97</v>
      </c>
    </row>
    <row r="3492" spans="1:19" x14ac:dyDescent="0.3">
      <c r="A3492" s="4">
        <v>3490</v>
      </c>
      <c r="B3492" s="2" t="s">
        <v>380</v>
      </c>
      <c r="C3492" s="3">
        <v>44839</v>
      </c>
      <c r="D3492" s="3" t="str">
        <f>TEXT(Table1[[#This Row],[Admission Date]],"MMMM")</f>
        <v>October</v>
      </c>
      <c r="E3492" s="3">
        <v>44839</v>
      </c>
      <c r="F3492" s="3">
        <v>44839</v>
      </c>
      <c r="G3492" s="2">
        <v>22025728</v>
      </c>
      <c r="H3492" s="2">
        <v>2234729</v>
      </c>
      <c r="I3492" s="2">
        <v>1000933464</v>
      </c>
      <c r="J3492" s="2" t="s">
        <v>437</v>
      </c>
      <c r="K3492" s="10">
        <v>1274</v>
      </c>
      <c r="L3492" s="10">
        <v>0</v>
      </c>
      <c r="M3492" s="10">
        <v>1274</v>
      </c>
      <c r="N3492" s="10">
        <v>0</v>
      </c>
      <c r="O3492" s="10">
        <f>Table1[[#This Row],[NET Amount]]-Table1[[#This Row],[Paid Amount]]</f>
        <v>1274</v>
      </c>
      <c r="P3492" s="2" t="s">
        <v>23</v>
      </c>
      <c r="Q3492" s="2" t="s">
        <v>54</v>
      </c>
      <c r="R3492" s="16">
        <f>(Table1[[#This Row],[NET Amount]]-Table1[[#This Row],[Total Outstanding Amount]])/Table1[[#This Row],[NET Amount]]</f>
        <v>0</v>
      </c>
      <c r="S3492" s="2" t="s">
        <v>97</v>
      </c>
    </row>
    <row r="3493" spans="1:19" x14ac:dyDescent="0.3">
      <c r="A3493" s="4">
        <v>3491</v>
      </c>
      <c r="B3493" s="2" t="s">
        <v>2006</v>
      </c>
      <c r="C3493" s="3">
        <v>44840</v>
      </c>
      <c r="D3493" s="3" t="str">
        <f>TEXT(Table1[[#This Row],[Admission Date]],"MMMM")</f>
        <v>October</v>
      </c>
      <c r="E3493" s="3">
        <v>44842</v>
      </c>
      <c r="F3493" s="3">
        <v>44842</v>
      </c>
      <c r="G3493" s="2">
        <v>22026121</v>
      </c>
      <c r="H3493" s="2">
        <v>2234936</v>
      </c>
      <c r="I3493" s="2">
        <v>10013528165</v>
      </c>
      <c r="J3493" s="2" t="s">
        <v>2007</v>
      </c>
      <c r="K3493" s="10">
        <v>29103</v>
      </c>
      <c r="L3493" s="10">
        <v>0</v>
      </c>
      <c r="M3493" s="10">
        <v>29103</v>
      </c>
      <c r="N3493" s="10">
        <v>0</v>
      </c>
      <c r="O3493" s="10">
        <f>Table1[[#This Row],[NET Amount]]-Table1[[#This Row],[Paid Amount]]</f>
        <v>29103</v>
      </c>
      <c r="P3493" s="2" t="s">
        <v>23</v>
      </c>
      <c r="Q3493" s="2" t="s">
        <v>24</v>
      </c>
      <c r="R3493" s="16">
        <f>(Table1[[#This Row],[NET Amount]]-Table1[[#This Row],[Total Outstanding Amount]])/Table1[[#This Row],[NET Amount]]</f>
        <v>0</v>
      </c>
      <c r="S3493" s="2" t="s">
        <v>43</v>
      </c>
    </row>
    <row r="3494" spans="1:19" x14ac:dyDescent="0.3">
      <c r="A3494" s="4">
        <v>3492</v>
      </c>
      <c r="B3494" s="2" t="s">
        <v>168</v>
      </c>
      <c r="C3494" s="3">
        <v>44839</v>
      </c>
      <c r="D3494" s="3" t="str">
        <f>TEXT(Table1[[#This Row],[Admission Date]],"MMMM")</f>
        <v>October</v>
      </c>
      <c r="E3494" s="3">
        <v>44846</v>
      </c>
      <c r="F3494" s="3">
        <v>44846</v>
      </c>
      <c r="G3494" s="2">
        <v>22026711</v>
      </c>
      <c r="H3494" s="2">
        <v>2234794</v>
      </c>
      <c r="I3494" s="2">
        <v>10013341016</v>
      </c>
      <c r="J3494" s="2" t="s">
        <v>2008</v>
      </c>
      <c r="K3494" s="10">
        <v>148528</v>
      </c>
      <c r="L3494" s="10">
        <v>7121</v>
      </c>
      <c r="M3494" s="10">
        <v>141407</v>
      </c>
      <c r="N3494" s="10">
        <v>0</v>
      </c>
      <c r="O3494" s="10">
        <f>Table1[[#This Row],[NET Amount]]-Table1[[#This Row],[Paid Amount]]</f>
        <v>141407</v>
      </c>
      <c r="P3494" s="2" t="s">
        <v>23</v>
      </c>
      <c r="Q3494" s="2" t="s">
        <v>30</v>
      </c>
      <c r="R3494" s="16">
        <f>(Table1[[#This Row],[NET Amount]]-Table1[[#This Row],[Total Outstanding Amount]])/Table1[[#This Row],[NET Amount]]</f>
        <v>0</v>
      </c>
      <c r="S3494" s="2" t="s">
        <v>20</v>
      </c>
    </row>
    <row r="3495" spans="1:19" x14ac:dyDescent="0.3">
      <c r="A3495" s="4">
        <v>3493</v>
      </c>
      <c r="B3495" s="2" t="s">
        <v>2253</v>
      </c>
      <c r="C3495" s="3">
        <v>44848</v>
      </c>
      <c r="D3495" s="3" t="str">
        <f>TEXT(Table1[[#This Row],[Admission Date]],"MMMM")</f>
        <v>October</v>
      </c>
      <c r="E3495" s="3">
        <v>44848</v>
      </c>
      <c r="F3495" s="3">
        <v>44848</v>
      </c>
      <c r="G3495" s="2">
        <v>22026979</v>
      </c>
      <c r="H3495" s="2">
        <v>2235909</v>
      </c>
      <c r="I3495" s="2">
        <v>1001802447</v>
      </c>
      <c r="J3495" s="2" t="s">
        <v>1778</v>
      </c>
      <c r="K3495" s="10">
        <v>1610</v>
      </c>
      <c r="L3495" s="10">
        <v>0</v>
      </c>
      <c r="M3495" s="10">
        <v>1610</v>
      </c>
      <c r="N3495" s="10">
        <v>0</v>
      </c>
      <c r="O3495" s="10">
        <f>Table1[[#This Row],[NET Amount]]-Table1[[#This Row],[Paid Amount]]</f>
        <v>1610</v>
      </c>
      <c r="P3495" s="2" t="s">
        <v>23</v>
      </c>
      <c r="Q3495" s="2" t="s">
        <v>54</v>
      </c>
      <c r="R3495" s="16">
        <f>(Table1[[#This Row],[NET Amount]]-Table1[[#This Row],[Total Outstanding Amount]])/Table1[[#This Row],[NET Amount]]</f>
        <v>0</v>
      </c>
      <c r="S3495" s="2" t="s">
        <v>97</v>
      </c>
    </row>
    <row r="3496" spans="1:19" x14ac:dyDescent="0.3">
      <c r="A3496" s="4">
        <v>3494</v>
      </c>
      <c r="B3496" s="2" t="s">
        <v>2253</v>
      </c>
      <c r="C3496" s="3">
        <v>44842</v>
      </c>
      <c r="D3496" s="3" t="str">
        <f>TEXT(Table1[[#This Row],[Admission Date]],"MMMM")</f>
        <v>October</v>
      </c>
      <c r="E3496" s="3">
        <v>44842</v>
      </c>
      <c r="F3496" s="3">
        <v>44842</v>
      </c>
      <c r="G3496" s="2">
        <v>22026075</v>
      </c>
      <c r="H3496" s="2">
        <v>2235120</v>
      </c>
      <c r="I3496" s="2">
        <v>1001749543</v>
      </c>
      <c r="J3496" s="2" t="s">
        <v>810</v>
      </c>
      <c r="K3496" s="10">
        <v>1610</v>
      </c>
      <c r="L3496" s="10">
        <v>0</v>
      </c>
      <c r="M3496" s="10">
        <v>1610</v>
      </c>
      <c r="N3496" s="10">
        <v>0</v>
      </c>
      <c r="O3496" s="10">
        <f>Table1[[#This Row],[NET Amount]]-Table1[[#This Row],[Paid Amount]]</f>
        <v>1610</v>
      </c>
      <c r="P3496" s="2" t="s">
        <v>23</v>
      </c>
      <c r="Q3496" s="2" t="s">
        <v>54</v>
      </c>
      <c r="R3496" s="16">
        <f>(Table1[[#This Row],[NET Amount]]-Table1[[#This Row],[Total Outstanding Amount]])/Table1[[#This Row],[NET Amount]]</f>
        <v>0</v>
      </c>
      <c r="S3496" s="2" t="s">
        <v>97</v>
      </c>
    </row>
    <row r="3497" spans="1:19" x14ac:dyDescent="0.3">
      <c r="A3497" s="4">
        <v>3495</v>
      </c>
      <c r="B3497" s="2" t="s">
        <v>380</v>
      </c>
      <c r="C3497" s="3">
        <v>44849</v>
      </c>
      <c r="D3497" s="3" t="str">
        <f>TEXT(Table1[[#This Row],[Admission Date]],"MMMM")</f>
        <v>October</v>
      </c>
      <c r="E3497" s="3">
        <v>44849</v>
      </c>
      <c r="F3497" s="3">
        <v>44849</v>
      </c>
      <c r="G3497" s="2">
        <v>22027255</v>
      </c>
      <c r="H3497" s="2">
        <v>2236170</v>
      </c>
      <c r="I3497" s="2">
        <v>10013387247</v>
      </c>
      <c r="J3497" s="2" t="s">
        <v>1330</v>
      </c>
      <c r="K3497" s="10">
        <v>1274</v>
      </c>
      <c r="L3497" s="10">
        <v>0</v>
      </c>
      <c r="M3497" s="10">
        <v>1274</v>
      </c>
      <c r="N3497" s="10">
        <v>0</v>
      </c>
      <c r="O3497" s="10">
        <f>Table1[[#This Row],[NET Amount]]-Table1[[#This Row],[Paid Amount]]</f>
        <v>1274</v>
      </c>
      <c r="P3497" s="2" t="s">
        <v>23</v>
      </c>
      <c r="Q3497" s="2" t="s">
        <v>54</v>
      </c>
      <c r="R3497" s="16">
        <f>(Table1[[#This Row],[NET Amount]]-Table1[[#This Row],[Total Outstanding Amount]])/Table1[[#This Row],[NET Amount]]</f>
        <v>0</v>
      </c>
      <c r="S3497" s="2" t="s">
        <v>97</v>
      </c>
    </row>
    <row r="3498" spans="1:19" x14ac:dyDescent="0.3">
      <c r="A3498" s="4">
        <v>3496</v>
      </c>
      <c r="B3498" s="2" t="s">
        <v>155</v>
      </c>
      <c r="C3498" s="3">
        <v>44853</v>
      </c>
      <c r="D3498" s="3" t="str">
        <f>TEXT(Table1[[#This Row],[Admission Date]],"MMMM")</f>
        <v>October</v>
      </c>
      <c r="E3498" s="3">
        <v>44853</v>
      </c>
      <c r="F3498" s="3">
        <v>44853</v>
      </c>
      <c r="G3498" s="2">
        <v>22027732</v>
      </c>
      <c r="H3498" s="2">
        <v>2236614</v>
      </c>
      <c r="I3498" s="2">
        <v>10013502614</v>
      </c>
      <c r="J3498" s="2" t="s">
        <v>484</v>
      </c>
      <c r="K3498" s="10">
        <v>1610</v>
      </c>
      <c r="L3498" s="10">
        <v>0</v>
      </c>
      <c r="M3498" s="10">
        <v>1610</v>
      </c>
      <c r="N3498" s="10">
        <v>0</v>
      </c>
      <c r="O3498" s="10">
        <f>Table1[[#This Row],[NET Amount]]-Table1[[#This Row],[Paid Amount]]</f>
        <v>1610</v>
      </c>
      <c r="P3498" s="2" t="s">
        <v>23</v>
      </c>
      <c r="Q3498" s="2" t="s">
        <v>54</v>
      </c>
      <c r="R3498" s="16">
        <f>(Table1[[#This Row],[NET Amount]]-Table1[[#This Row],[Total Outstanding Amount]])/Table1[[#This Row],[NET Amount]]</f>
        <v>0</v>
      </c>
      <c r="S3498" s="2" t="s">
        <v>97</v>
      </c>
    </row>
    <row r="3499" spans="1:19" x14ac:dyDescent="0.3">
      <c r="A3499" s="4">
        <v>3497</v>
      </c>
      <c r="B3499" s="2" t="s">
        <v>407</v>
      </c>
      <c r="C3499" s="3">
        <v>44841</v>
      </c>
      <c r="D3499" s="3" t="str">
        <f>TEXT(Table1[[#This Row],[Admission Date]],"MMMM")</f>
        <v>October</v>
      </c>
      <c r="E3499" s="3">
        <v>44848</v>
      </c>
      <c r="F3499" s="3">
        <v>44848</v>
      </c>
      <c r="G3499" s="2">
        <v>22027013</v>
      </c>
      <c r="H3499" s="2">
        <v>2235029</v>
      </c>
      <c r="I3499" s="2">
        <v>10013248162</v>
      </c>
      <c r="J3499" s="2" t="s">
        <v>2009</v>
      </c>
      <c r="K3499" s="10">
        <v>66588</v>
      </c>
      <c r="L3499" s="10">
        <v>0</v>
      </c>
      <c r="M3499" s="10">
        <v>66588</v>
      </c>
      <c r="N3499" s="10">
        <v>0</v>
      </c>
      <c r="O3499" s="10">
        <f>Table1[[#This Row],[NET Amount]]-Table1[[#This Row],[Paid Amount]]</f>
        <v>66588</v>
      </c>
      <c r="P3499" s="2" t="s">
        <v>23</v>
      </c>
      <c r="Q3499" s="2" t="s">
        <v>19</v>
      </c>
      <c r="R3499" s="16">
        <f>(Table1[[#This Row],[NET Amount]]-Table1[[#This Row],[Total Outstanding Amount]])/Table1[[#This Row],[NET Amount]]</f>
        <v>0</v>
      </c>
      <c r="S3499" s="2" t="s">
        <v>20</v>
      </c>
    </row>
    <row r="3500" spans="1:19" x14ac:dyDescent="0.3">
      <c r="A3500" s="4">
        <v>3498</v>
      </c>
      <c r="B3500" s="2" t="s">
        <v>380</v>
      </c>
      <c r="C3500" s="3">
        <v>44846</v>
      </c>
      <c r="D3500" s="3" t="str">
        <f>TEXT(Table1[[#This Row],[Admission Date]],"MMMM")</f>
        <v>October</v>
      </c>
      <c r="E3500" s="3">
        <v>44846</v>
      </c>
      <c r="F3500" s="3">
        <v>44846</v>
      </c>
      <c r="G3500" s="2">
        <v>22026810</v>
      </c>
      <c r="H3500" s="2">
        <v>2235770</v>
      </c>
      <c r="I3500" s="2">
        <v>10013451090</v>
      </c>
      <c r="J3500" s="2" t="s">
        <v>808</v>
      </c>
      <c r="K3500" s="10">
        <v>1274</v>
      </c>
      <c r="L3500" s="10">
        <v>0</v>
      </c>
      <c r="M3500" s="10">
        <v>1274</v>
      </c>
      <c r="N3500" s="10">
        <v>0</v>
      </c>
      <c r="O3500" s="10">
        <f>Table1[[#This Row],[NET Amount]]-Table1[[#This Row],[Paid Amount]]</f>
        <v>1274</v>
      </c>
      <c r="P3500" s="2" t="s">
        <v>23</v>
      </c>
      <c r="Q3500" s="2" t="s">
        <v>54</v>
      </c>
      <c r="R3500" s="16">
        <f>(Table1[[#This Row],[NET Amount]]-Table1[[#This Row],[Total Outstanding Amount]])/Table1[[#This Row],[NET Amount]]</f>
        <v>0</v>
      </c>
      <c r="S3500" s="2" t="s">
        <v>97</v>
      </c>
    </row>
    <row r="3501" spans="1:19" x14ac:dyDescent="0.3">
      <c r="A3501" s="4">
        <v>3499</v>
      </c>
      <c r="B3501" s="2" t="s">
        <v>2263</v>
      </c>
      <c r="C3501" s="3">
        <v>44852</v>
      </c>
      <c r="D3501" s="3" t="str">
        <f>TEXT(Table1[[#This Row],[Admission Date]],"MMMM")</f>
        <v>October</v>
      </c>
      <c r="E3501" s="3">
        <v>44852</v>
      </c>
      <c r="F3501" s="3">
        <v>44852</v>
      </c>
      <c r="G3501" s="2">
        <v>22027620</v>
      </c>
      <c r="H3501" s="2">
        <v>2236524</v>
      </c>
      <c r="I3501" s="2">
        <v>1001777331</v>
      </c>
      <c r="J3501" s="2" t="s">
        <v>791</v>
      </c>
      <c r="K3501" s="10">
        <v>1274</v>
      </c>
      <c r="L3501" s="10">
        <v>0</v>
      </c>
      <c r="M3501" s="10">
        <v>1274</v>
      </c>
      <c r="N3501" s="10">
        <v>0</v>
      </c>
      <c r="O3501" s="10">
        <f>Table1[[#This Row],[NET Amount]]-Table1[[#This Row],[Paid Amount]]</f>
        <v>1274</v>
      </c>
      <c r="P3501" s="2" t="s">
        <v>23</v>
      </c>
      <c r="Q3501" s="2" t="s">
        <v>54</v>
      </c>
      <c r="R3501" s="16">
        <f>(Table1[[#This Row],[NET Amount]]-Table1[[#This Row],[Total Outstanding Amount]])/Table1[[#This Row],[NET Amount]]</f>
        <v>0</v>
      </c>
      <c r="S3501" s="2" t="s">
        <v>97</v>
      </c>
    </row>
    <row r="3502" spans="1:19" x14ac:dyDescent="0.3">
      <c r="A3502" s="4">
        <v>3500</v>
      </c>
      <c r="B3502" s="2" t="s">
        <v>75</v>
      </c>
      <c r="C3502" s="3">
        <v>44849</v>
      </c>
      <c r="D3502" s="3" t="str">
        <f>TEXT(Table1[[#This Row],[Admission Date]],"MMMM")</f>
        <v>October</v>
      </c>
      <c r="E3502" s="3">
        <v>44854</v>
      </c>
      <c r="F3502" s="3">
        <v>44854</v>
      </c>
      <c r="G3502" s="2">
        <v>22027884</v>
      </c>
      <c r="H3502" s="2">
        <v>2236199</v>
      </c>
      <c r="I3502" s="2">
        <v>10013543217</v>
      </c>
      <c r="J3502" s="2" t="s">
        <v>2010</v>
      </c>
      <c r="K3502" s="10">
        <v>80452</v>
      </c>
      <c r="L3502" s="10">
        <v>0</v>
      </c>
      <c r="M3502" s="10">
        <v>80452</v>
      </c>
      <c r="N3502" s="10">
        <v>0</v>
      </c>
      <c r="O3502" s="10">
        <f>Table1[[#This Row],[NET Amount]]-Table1[[#This Row],[Paid Amount]]</f>
        <v>80452</v>
      </c>
      <c r="P3502" s="2" t="s">
        <v>23</v>
      </c>
      <c r="Q3502" s="2" t="s">
        <v>19</v>
      </c>
      <c r="R3502" s="16">
        <f>(Table1[[#This Row],[NET Amount]]-Table1[[#This Row],[Total Outstanding Amount]])/Table1[[#This Row],[NET Amount]]</f>
        <v>0</v>
      </c>
      <c r="S3502" s="2" t="s">
        <v>20</v>
      </c>
    </row>
    <row r="3503" spans="1:19" x14ac:dyDescent="0.3">
      <c r="A3503" s="4">
        <v>3501</v>
      </c>
      <c r="B3503" s="2" t="s">
        <v>2263</v>
      </c>
      <c r="C3503" s="3">
        <v>44846</v>
      </c>
      <c r="D3503" s="3" t="str">
        <f>TEXT(Table1[[#This Row],[Admission Date]],"MMMM")</f>
        <v>October</v>
      </c>
      <c r="E3503" s="3">
        <v>44846</v>
      </c>
      <c r="F3503" s="3">
        <v>44846</v>
      </c>
      <c r="G3503" s="2">
        <v>22026767</v>
      </c>
      <c r="H3503" s="2">
        <v>2235722</v>
      </c>
      <c r="I3503" s="2">
        <v>1001657236</v>
      </c>
      <c r="J3503" s="2" t="s">
        <v>798</v>
      </c>
      <c r="K3503" s="10">
        <v>1274</v>
      </c>
      <c r="L3503" s="10">
        <v>0</v>
      </c>
      <c r="M3503" s="10">
        <v>1274</v>
      </c>
      <c r="N3503" s="10">
        <v>0</v>
      </c>
      <c r="O3503" s="10">
        <f>Table1[[#This Row],[NET Amount]]-Table1[[#This Row],[Paid Amount]]</f>
        <v>1274</v>
      </c>
      <c r="P3503" s="2" t="s">
        <v>23</v>
      </c>
      <c r="Q3503" s="2" t="s">
        <v>54</v>
      </c>
      <c r="R3503" s="16">
        <f>(Table1[[#This Row],[NET Amount]]-Table1[[#This Row],[Total Outstanding Amount]])/Table1[[#This Row],[NET Amount]]</f>
        <v>0</v>
      </c>
      <c r="S3503" s="2" t="s">
        <v>97</v>
      </c>
    </row>
    <row r="3504" spans="1:19" x14ac:dyDescent="0.3">
      <c r="A3504" s="4">
        <v>3502</v>
      </c>
      <c r="B3504" s="2" t="s">
        <v>2253</v>
      </c>
      <c r="C3504" s="3">
        <v>44863</v>
      </c>
      <c r="D3504" s="3" t="str">
        <f>TEXT(Table1[[#This Row],[Admission Date]],"MMMM")</f>
        <v>October</v>
      </c>
      <c r="E3504" s="3">
        <v>44863</v>
      </c>
      <c r="F3504" s="3">
        <v>44863</v>
      </c>
      <c r="G3504" s="2">
        <v>22029009</v>
      </c>
      <c r="H3504" s="2">
        <v>2237938</v>
      </c>
      <c r="I3504" s="2">
        <v>1001749543</v>
      </c>
      <c r="J3504" s="2" t="s">
        <v>810</v>
      </c>
      <c r="K3504" s="10">
        <v>1610</v>
      </c>
      <c r="L3504" s="10">
        <v>0</v>
      </c>
      <c r="M3504" s="10">
        <v>1610</v>
      </c>
      <c r="N3504" s="10">
        <v>0</v>
      </c>
      <c r="O3504" s="10">
        <f>Table1[[#This Row],[NET Amount]]-Table1[[#This Row],[Paid Amount]]</f>
        <v>1610</v>
      </c>
      <c r="P3504" s="2" t="s">
        <v>23</v>
      </c>
      <c r="Q3504" s="2" t="s">
        <v>54</v>
      </c>
      <c r="R3504" s="16">
        <f>(Table1[[#This Row],[NET Amount]]-Table1[[#This Row],[Total Outstanding Amount]])/Table1[[#This Row],[NET Amount]]</f>
        <v>0</v>
      </c>
      <c r="S3504" s="2" t="s">
        <v>97</v>
      </c>
    </row>
    <row r="3505" spans="1:19" x14ac:dyDescent="0.3">
      <c r="A3505" s="4">
        <v>3503</v>
      </c>
      <c r="B3505" s="2" t="s">
        <v>2257</v>
      </c>
      <c r="C3505" s="3">
        <v>44846</v>
      </c>
      <c r="D3505" s="3" t="str">
        <f>TEXT(Table1[[#This Row],[Admission Date]],"MMMM")</f>
        <v>October</v>
      </c>
      <c r="E3505" s="3">
        <v>44847</v>
      </c>
      <c r="F3505" s="3">
        <v>44847</v>
      </c>
      <c r="G3505" s="2">
        <v>22026892</v>
      </c>
      <c r="H3505" s="2">
        <v>2235694</v>
      </c>
      <c r="I3505" s="2">
        <v>1001802528</v>
      </c>
      <c r="J3505" s="2" t="s">
        <v>1231</v>
      </c>
      <c r="K3505" s="10">
        <v>27675</v>
      </c>
      <c r="L3505" s="10">
        <v>0</v>
      </c>
      <c r="M3505" s="10">
        <v>27675</v>
      </c>
      <c r="N3505" s="10">
        <v>0</v>
      </c>
      <c r="O3505" s="10">
        <f>Table1[[#This Row],[NET Amount]]-Table1[[#This Row],[Paid Amount]]</f>
        <v>27675</v>
      </c>
      <c r="P3505" s="2" t="s">
        <v>23</v>
      </c>
      <c r="Q3505" s="2" t="s">
        <v>52</v>
      </c>
      <c r="R3505" s="16">
        <f>(Table1[[#This Row],[NET Amount]]-Table1[[#This Row],[Total Outstanding Amount]])/Table1[[#This Row],[NET Amount]]</f>
        <v>0</v>
      </c>
      <c r="S3505" s="2" t="s">
        <v>43</v>
      </c>
    </row>
    <row r="3506" spans="1:19" x14ac:dyDescent="0.3">
      <c r="A3506" s="4">
        <v>3504</v>
      </c>
      <c r="B3506" s="2" t="s">
        <v>2263</v>
      </c>
      <c r="C3506" s="3">
        <v>44847</v>
      </c>
      <c r="D3506" s="3" t="str">
        <f>TEXT(Table1[[#This Row],[Admission Date]],"MMMM")</f>
        <v>October</v>
      </c>
      <c r="E3506" s="3">
        <v>44847</v>
      </c>
      <c r="F3506" s="3">
        <v>44847</v>
      </c>
      <c r="G3506" s="2">
        <v>22026824</v>
      </c>
      <c r="H3506" s="2">
        <v>2235808</v>
      </c>
      <c r="I3506" s="2">
        <v>1001680001</v>
      </c>
      <c r="J3506" s="2" t="s">
        <v>394</v>
      </c>
      <c r="K3506" s="10">
        <v>1274</v>
      </c>
      <c r="L3506" s="10">
        <v>0</v>
      </c>
      <c r="M3506" s="10">
        <v>1274</v>
      </c>
      <c r="N3506" s="10">
        <v>0</v>
      </c>
      <c r="O3506" s="10">
        <f>Table1[[#This Row],[NET Amount]]-Table1[[#This Row],[Paid Amount]]</f>
        <v>1274</v>
      </c>
      <c r="P3506" s="2" t="s">
        <v>23</v>
      </c>
      <c r="Q3506" s="2" t="s">
        <v>54</v>
      </c>
      <c r="R3506" s="16">
        <f>(Table1[[#This Row],[NET Amount]]-Table1[[#This Row],[Total Outstanding Amount]])/Table1[[#This Row],[NET Amount]]</f>
        <v>0</v>
      </c>
      <c r="S3506" s="2" t="s">
        <v>97</v>
      </c>
    </row>
    <row r="3507" spans="1:19" x14ac:dyDescent="0.3">
      <c r="A3507" s="4">
        <v>3505</v>
      </c>
      <c r="B3507" s="2" t="s">
        <v>149</v>
      </c>
      <c r="C3507" s="3">
        <v>44856</v>
      </c>
      <c r="D3507" s="3" t="str">
        <f>TEXT(Table1[[#This Row],[Admission Date]],"MMMM")</f>
        <v>October</v>
      </c>
      <c r="E3507" s="3">
        <v>44856</v>
      </c>
      <c r="F3507" s="3">
        <v>44856</v>
      </c>
      <c r="G3507" s="2">
        <v>22028173</v>
      </c>
      <c r="H3507" s="2">
        <v>2237013</v>
      </c>
      <c r="I3507" s="2">
        <v>10013477952</v>
      </c>
      <c r="J3507" s="2" t="s">
        <v>781</v>
      </c>
      <c r="K3507" s="10">
        <v>2240</v>
      </c>
      <c r="L3507" s="10">
        <v>0</v>
      </c>
      <c r="M3507" s="10">
        <v>2240</v>
      </c>
      <c r="N3507" s="10">
        <v>0</v>
      </c>
      <c r="O3507" s="10">
        <f>Table1[[#This Row],[NET Amount]]-Table1[[#This Row],[Paid Amount]]</f>
        <v>2240</v>
      </c>
      <c r="P3507" s="2" t="s">
        <v>23</v>
      </c>
      <c r="Q3507" s="2" t="s">
        <v>54</v>
      </c>
      <c r="R3507" s="16">
        <f>(Table1[[#This Row],[NET Amount]]-Table1[[#This Row],[Total Outstanding Amount]])/Table1[[#This Row],[NET Amount]]</f>
        <v>0</v>
      </c>
      <c r="S3507" s="2" t="s">
        <v>97</v>
      </c>
    </row>
    <row r="3508" spans="1:19" x14ac:dyDescent="0.3">
      <c r="A3508" s="4">
        <v>3506</v>
      </c>
      <c r="B3508" s="2" t="s">
        <v>2258</v>
      </c>
      <c r="C3508" s="3">
        <v>44842</v>
      </c>
      <c r="D3508" s="3" t="str">
        <f>TEXT(Table1[[#This Row],[Admission Date]],"MMMM")</f>
        <v>October</v>
      </c>
      <c r="E3508" s="3">
        <v>44842</v>
      </c>
      <c r="F3508" s="3">
        <v>44842</v>
      </c>
      <c r="G3508" s="2">
        <v>22026072</v>
      </c>
      <c r="H3508" s="2">
        <v>2235123</v>
      </c>
      <c r="I3508" s="2">
        <v>1001781083</v>
      </c>
      <c r="J3508" s="2" t="s">
        <v>777</v>
      </c>
      <c r="K3508" s="10">
        <v>1610</v>
      </c>
      <c r="L3508" s="10">
        <v>0</v>
      </c>
      <c r="M3508" s="10">
        <v>1610</v>
      </c>
      <c r="N3508" s="10">
        <v>0</v>
      </c>
      <c r="O3508" s="10">
        <f>Table1[[#This Row],[NET Amount]]-Table1[[#This Row],[Paid Amount]]</f>
        <v>1610</v>
      </c>
      <c r="P3508" s="2" t="s">
        <v>23</v>
      </c>
      <c r="Q3508" s="2" t="s">
        <v>54</v>
      </c>
      <c r="R3508" s="16">
        <f>(Table1[[#This Row],[NET Amount]]-Table1[[#This Row],[Total Outstanding Amount]])/Table1[[#This Row],[NET Amount]]</f>
        <v>0</v>
      </c>
      <c r="S3508" s="2" t="s">
        <v>97</v>
      </c>
    </row>
    <row r="3509" spans="1:19" x14ac:dyDescent="0.3">
      <c r="A3509" s="4">
        <v>3507</v>
      </c>
      <c r="B3509" s="2" t="s">
        <v>380</v>
      </c>
      <c r="C3509" s="3">
        <v>44840</v>
      </c>
      <c r="D3509" s="3" t="str">
        <f>TEXT(Table1[[#This Row],[Admission Date]],"MMMM")</f>
        <v>October</v>
      </c>
      <c r="E3509" s="3">
        <v>44840</v>
      </c>
      <c r="F3509" s="3">
        <v>44840</v>
      </c>
      <c r="G3509" s="2">
        <v>22025904</v>
      </c>
      <c r="H3509" s="2">
        <v>2234917</v>
      </c>
      <c r="I3509" s="2">
        <v>1001208331</v>
      </c>
      <c r="J3509" s="2" t="s">
        <v>430</v>
      </c>
      <c r="K3509" s="10">
        <v>1274</v>
      </c>
      <c r="L3509" s="10">
        <v>0</v>
      </c>
      <c r="M3509" s="10">
        <v>1274</v>
      </c>
      <c r="N3509" s="10">
        <v>0</v>
      </c>
      <c r="O3509" s="10">
        <f>Table1[[#This Row],[NET Amount]]-Table1[[#This Row],[Paid Amount]]</f>
        <v>1274</v>
      </c>
      <c r="P3509" s="2" t="s">
        <v>23</v>
      </c>
      <c r="Q3509" s="2" t="s">
        <v>54</v>
      </c>
      <c r="R3509" s="16">
        <f>(Table1[[#This Row],[NET Amount]]-Table1[[#This Row],[Total Outstanding Amount]])/Table1[[#This Row],[NET Amount]]</f>
        <v>0</v>
      </c>
      <c r="S3509" s="2" t="s">
        <v>97</v>
      </c>
    </row>
    <row r="3510" spans="1:19" x14ac:dyDescent="0.3">
      <c r="A3510" s="4">
        <v>3508</v>
      </c>
      <c r="B3510" s="2" t="s">
        <v>115</v>
      </c>
      <c r="C3510" s="3">
        <v>44839</v>
      </c>
      <c r="D3510" s="3" t="str">
        <f>TEXT(Table1[[#This Row],[Admission Date]],"MMMM")</f>
        <v>October</v>
      </c>
      <c r="E3510" s="3">
        <v>44839</v>
      </c>
      <c r="F3510" s="3">
        <v>44839</v>
      </c>
      <c r="G3510" s="2">
        <v>22025790</v>
      </c>
      <c r="H3510" s="2">
        <v>2234799</v>
      </c>
      <c r="I3510" s="2">
        <v>1001456152</v>
      </c>
      <c r="J3510" s="2" t="s">
        <v>404</v>
      </c>
      <c r="K3510" s="10">
        <v>2200</v>
      </c>
      <c r="L3510" s="10">
        <v>0</v>
      </c>
      <c r="M3510" s="10">
        <v>2200</v>
      </c>
      <c r="N3510" s="10">
        <v>0</v>
      </c>
      <c r="O3510" s="10">
        <f>Table1[[#This Row],[NET Amount]]-Table1[[#This Row],[Paid Amount]]</f>
        <v>2200</v>
      </c>
      <c r="P3510" s="2" t="s">
        <v>23</v>
      </c>
      <c r="Q3510" s="2" t="s">
        <v>147</v>
      </c>
      <c r="R3510" s="16">
        <f>(Table1[[#This Row],[NET Amount]]-Table1[[#This Row],[Total Outstanding Amount]])/Table1[[#This Row],[NET Amount]]</f>
        <v>0</v>
      </c>
      <c r="S3510" s="2" t="s">
        <v>97</v>
      </c>
    </row>
    <row r="3511" spans="1:19" x14ac:dyDescent="0.3">
      <c r="A3511" s="4">
        <v>3509</v>
      </c>
      <c r="B3511" s="2" t="s">
        <v>2253</v>
      </c>
      <c r="C3511" s="3">
        <v>44862</v>
      </c>
      <c r="D3511" s="3" t="str">
        <f>TEXT(Table1[[#This Row],[Admission Date]],"MMMM")</f>
        <v>October</v>
      </c>
      <c r="E3511" s="3">
        <v>44862</v>
      </c>
      <c r="F3511" s="3">
        <v>44862</v>
      </c>
      <c r="G3511" s="2">
        <v>22028919</v>
      </c>
      <c r="H3511" s="2">
        <v>2237816</v>
      </c>
      <c r="I3511" s="2">
        <v>1001692673</v>
      </c>
      <c r="J3511" s="2" t="s">
        <v>383</v>
      </c>
      <c r="K3511" s="10">
        <v>1610</v>
      </c>
      <c r="L3511" s="10">
        <v>0</v>
      </c>
      <c r="M3511" s="10">
        <v>1610</v>
      </c>
      <c r="N3511" s="10">
        <v>0</v>
      </c>
      <c r="O3511" s="10">
        <f>Table1[[#This Row],[NET Amount]]-Table1[[#This Row],[Paid Amount]]</f>
        <v>1610</v>
      </c>
      <c r="P3511" s="2" t="s">
        <v>23</v>
      </c>
      <c r="Q3511" s="2" t="s">
        <v>54</v>
      </c>
      <c r="R3511" s="16">
        <f>(Table1[[#This Row],[NET Amount]]-Table1[[#This Row],[Total Outstanding Amount]])/Table1[[#This Row],[NET Amount]]</f>
        <v>0</v>
      </c>
      <c r="S3511" s="2" t="s">
        <v>97</v>
      </c>
    </row>
    <row r="3512" spans="1:19" x14ac:dyDescent="0.3">
      <c r="A3512" s="4">
        <v>3510</v>
      </c>
      <c r="B3512" s="2" t="s">
        <v>380</v>
      </c>
      <c r="C3512" s="3">
        <v>44862</v>
      </c>
      <c r="D3512" s="3" t="str">
        <f>TEXT(Table1[[#This Row],[Admission Date]],"MMMM")</f>
        <v>October</v>
      </c>
      <c r="E3512" s="3">
        <v>44862</v>
      </c>
      <c r="F3512" s="3">
        <v>44862</v>
      </c>
      <c r="G3512" s="2">
        <v>22028980</v>
      </c>
      <c r="H3512" s="2">
        <v>2237868</v>
      </c>
      <c r="I3512" s="2">
        <v>1001039513</v>
      </c>
      <c r="J3512" s="2" t="s">
        <v>444</v>
      </c>
      <c r="K3512" s="10">
        <v>1274</v>
      </c>
      <c r="L3512" s="10">
        <v>0</v>
      </c>
      <c r="M3512" s="10">
        <v>1274</v>
      </c>
      <c r="N3512" s="10">
        <v>0</v>
      </c>
      <c r="O3512" s="10">
        <f>Table1[[#This Row],[NET Amount]]-Table1[[#This Row],[Paid Amount]]</f>
        <v>1274</v>
      </c>
      <c r="P3512" s="2" t="s">
        <v>23</v>
      </c>
      <c r="Q3512" s="2" t="s">
        <v>54</v>
      </c>
      <c r="R3512" s="16">
        <f>(Table1[[#This Row],[NET Amount]]-Table1[[#This Row],[Total Outstanding Amount]])/Table1[[#This Row],[NET Amount]]</f>
        <v>0</v>
      </c>
      <c r="S3512" s="2" t="s">
        <v>97</v>
      </c>
    </row>
    <row r="3513" spans="1:19" x14ac:dyDescent="0.3">
      <c r="A3513" s="4">
        <v>3511</v>
      </c>
      <c r="B3513" s="2" t="s">
        <v>2258</v>
      </c>
      <c r="C3513" s="3">
        <v>44852</v>
      </c>
      <c r="D3513" s="3" t="str">
        <f>TEXT(Table1[[#This Row],[Admission Date]],"MMMM")</f>
        <v>October</v>
      </c>
      <c r="E3513" s="3">
        <v>44856</v>
      </c>
      <c r="F3513" s="3">
        <v>44856</v>
      </c>
      <c r="G3513" s="2">
        <v>22028247</v>
      </c>
      <c r="H3513" s="2">
        <v>2236559</v>
      </c>
      <c r="I3513" s="2">
        <v>1001160810</v>
      </c>
      <c r="J3513" s="2" t="s">
        <v>2011</v>
      </c>
      <c r="K3513" s="10">
        <v>24787</v>
      </c>
      <c r="L3513" s="10">
        <v>0</v>
      </c>
      <c r="M3513" s="10">
        <v>24787</v>
      </c>
      <c r="N3513" s="10">
        <v>0</v>
      </c>
      <c r="O3513" s="10">
        <f>Table1[[#This Row],[NET Amount]]-Table1[[#This Row],[Paid Amount]]</f>
        <v>24787</v>
      </c>
      <c r="P3513" s="2" t="s">
        <v>23</v>
      </c>
      <c r="Q3513" s="2" t="s">
        <v>24</v>
      </c>
      <c r="R3513" s="16">
        <f>(Table1[[#This Row],[NET Amount]]-Table1[[#This Row],[Total Outstanding Amount]])/Table1[[#This Row],[NET Amount]]</f>
        <v>0</v>
      </c>
      <c r="S3513" s="2" t="s">
        <v>20</v>
      </c>
    </row>
    <row r="3514" spans="1:19" x14ac:dyDescent="0.3">
      <c r="A3514" s="4">
        <v>3512</v>
      </c>
      <c r="B3514" s="2" t="s">
        <v>380</v>
      </c>
      <c r="C3514" s="3">
        <v>44844</v>
      </c>
      <c r="D3514" s="3" t="str">
        <f>TEXT(Table1[[#This Row],[Admission Date]],"MMMM")</f>
        <v>October</v>
      </c>
      <c r="E3514" s="3">
        <v>44844</v>
      </c>
      <c r="F3514" s="3">
        <v>44844</v>
      </c>
      <c r="G3514" s="2">
        <v>22026482</v>
      </c>
      <c r="H3514" s="2">
        <v>2235453</v>
      </c>
      <c r="I3514" s="2">
        <v>10013437822</v>
      </c>
      <c r="J3514" s="2" t="s">
        <v>441</v>
      </c>
      <c r="K3514" s="10">
        <v>1274</v>
      </c>
      <c r="L3514" s="10">
        <v>0</v>
      </c>
      <c r="M3514" s="10">
        <v>1274</v>
      </c>
      <c r="N3514" s="10">
        <v>0</v>
      </c>
      <c r="O3514" s="10">
        <f>Table1[[#This Row],[NET Amount]]-Table1[[#This Row],[Paid Amount]]</f>
        <v>1274</v>
      </c>
      <c r="P3514" s="2" t="s">
        <v>23</v>
      </c>
      <c r="Q3514" s="2" t="s">
        <v>54</v>
      </c>
      <c r="R3514" s="16">
        <f>(Table1[[#This Row],[NET Amount]]-Table1[[#This Row],[Total Outstanding Amount]])/Table1[[#This Row],[NET Amount]]</f>
        <v>0</v>
      </c>
      <c r="S3514" s="2" t="s">
        <v>97</v>
      </c>
    </row>
    <row r="3515" spans="1:19" x14ac:dyDescent="0.3">
      <c r="A3515" s="4">
        <v>3513</v>
      </c>
      <c r="B3515" s="2" t="s">
        <v>2263</v>
      </c>
      <c r="C3515" s="3">
        <v>44854</v>
      </c>
      <c r="D3515" s="3" t="str">
        <f>TEXT(Table1[[#This Row],[Admission Date]],"MMMM")</f>
        <v>October</v>
      </c>
      <c r="E3515" s="3">
        <v>44854</v>
      </c>
      <c r="F3515" s="3">
        <v>44854</v>
      </c>
      <c r="G3515" s="2">
        <v>22027806</v>
      </c>
      <c r="H3515" s="2">
        <v>2236735</v>
      </c>
      <c r="I3515" s="2">
        <v>1001711925</v>
      </c>
      <c r="J3515" s="2" t="s">
        <v>302</v>
      </c>
      <c r="K3515" s="10">
        <v>1274</v>
      </c>
      <c r="L3515" s="10">
        <v>0</v>
      </c>
      <c r="M3515" s="10">
        <v>1274</v>
      </c>
      <c r="N3515" s="10">
        <v>0</v>
      </c>
      <c r="O3515" s="10">
        <f>Table1[[#This Row],[NET Amount]]-Table1[[#This Row],[Paid Amount]]</f>
        <v>1274</v>
      </c>
      <c r="P3515" s="2" t="s">
        <v>23</v>
      </c>
      <c r="Q3515" s="2" t="s">
        <v>54</v>
      </c>
      <c r="R3515" s="16">
        <f>(Table1[[#This Row],[NET Amount]]-Table1[[#This Row],[Total Outstanding Amount]])/Table1[[#This Row],[NET Amount]]</f>
        <v>0</v>
      </c>
      <c r="S3515" s="2" t="s">
        <v>97</v>
      </c>
    </row>
    <row r="3516" spans="1:19" x14ac:dyDescent="0.3">
      <c r="A3516" s="4">
        <v>3514</v>
      </c>
      <c r="B3516" s="2" t="s">
        <v>168</v>
      </c>
      <c r="C3516" s="3">
        <v>44851</v>
      </c>
      <c r="D3516" s="3" t="str">
        <f>TEXT(Table1[[#This Row],[Admission Date]],"MMMM")</f>
        <v>October</v>
      </c>
      <c r="E3516" s="3">
        <v>44851</v>
      </c>
      <c r="F3516" s="3">
        <v>44851</v>
      </c>
      <c r="G3516" s="2">
        <v>22027451</v>
      </c>
      <c r="H3516" s="2">
        <v>2236324</v>
      </c>
      <c r="I3516" s="2">
        <v>1001468779</v>
      </c>
      <c r="J3516" s="2" t="s">
        <v>387</v>
      </c>
      <c r="K3516" s="10">
        <v>2200</v>
      </c>
      <c r="L3516" s="10">
        <v>0</v>
      </c>
      <c r="M3516" s="10">
        <v>2200</v>
      </c>
      <c r="N3516" s="10">
        <v>0</v>
      </c>
      <c r="O3516" s="10">
        <f>Table1[[#This Row],[NET Amount]]-Table1[[#This Row],[Paid Amount]]</f>
        <v>2200</v>
      </c>
      <c r="P3516" s="2" t="s">
        <v>23</v>
      </c>
      <c r="Q3516" s="2" t="s">
        <v>147</v>
      </c>
      <c r="R3516" s="16">
        <f>(Table1[[#This Row],[NET Amount]]-Table1[[#This Row],[Total Outstanding Amount]])/Table1[[#This Row],[NET Amount]]</f>
        <v>0</v>
      </c>
      <c r="S3516" s="2" t="s">
        <v>97</v>
      </c>
    </row>
    <row r="3517" spans="1:19" x14ac:dyDescent="0.3">
      <c r="A3517" s="4">
        <v>3515</v>
      </c>
      <c r="B3517" s="2" t="s">
        <v>2253</v>
      </c>
      <c r="C3517" s="3">
        <v>44858</v>
      </c>
      <c r="D3517" s="3" t="str">
        <f>TEXT(Table1[[#This Row],[Admission Date]],"MMMM")</f>
        <v>October</v>
      </c>
      <c r="E3517" s="3">
        <v>44858</v>
      </c>
      <c r="F3517" s="3">
        <v>44858</v>
      </c>
      <c r="G3517" s="2">
        <v>22028448</v>
      </c>
      <c r="H3517" s="2">
        <v>2237229</v>
      </c>
      <c r="I3517" s="2">
        <v>1001692673</v>
      </c>
      <c r="J3517" s="2" t="s">
        <v>383</v>
      </c>
      <c r="K3517" s="10">
        <v>1610</v>
      </c>
      <c r="L3517" s="10">
        <v>0</v>
      </c>
      <c r="M3517" s="10">
        <v>1610</v>
      </c>
      <c r="N3517" s="10">
        <v>0</v>
      </c>
      <c r="O3517" s="10">
        <f>Table1[[#This Row],[NET Amount]]-Table1[[#This Row],[Paid Amount]]</f>
        <v>1610</v>
      </c>
      <c r="P3517" s="2" t="s">
        <v>23</v>
      </c>
      <c r="Q3517" s="2" t="s">
        <v>54</v>
      </c>
      <c r="R3517" s="16">
        <f>(Table1[[#This Row],[NET Amount]]-Table1[[#This Row],[Total Outstanding Amount]])/Table1[[#This Row],[NET Amount]]</f>
        <v>0</v>
      </c>
      <c r="S3517" s="2" t="s">
        <v>97</v>
      </c>
    </row>
    <row r="3518" spans="1:19" x14ac:dyDescent="0.3">
      <c r="A3518" s="4">
        <v>3516</v>
      </c>
      <c r="B3518" s="2" t="s">
        <v>380</v>
      </c>
      <c r="C3518" s="3">
        <v>44846</v>
      </c>
      <c r="D3518" s="3" t="str">
        <f>TEXT(Table1[[#This Row],[Admission Date]],"MMMM")</f>
        <v>October</v>
      </c>
      <c r="E3518" s="3">
        <v>44847</v>
      </c>
      <c r="F3518" s="3">
        <v>44847</v>
      </c>
      <c r="G3518" s="2">
        <v>22026845</v>
      </c>
      <c r="H3518" s="2">
        <v>2235686</v>
      </c>
      <c r="I3518" s="2">
        <v>10013542611</v>
      </c>
      <c r="J3518" s="2" t="s">
        <v>723</v>
      </c>
      <c r="K3518" s="10">
        <v>99394</v>
      </c>
      <c r="L3518" s="10">
        <v>0</v>
      </c>
      <c r="M3518" s="10">
        <v>99394</v>
      </c>
      <c r="N3518" s="10">
        <v>0</v>
      </c>
      <c r="O3518" s="10">
        <f>Table1[[#This Row],[NET Amount]]-Table1[[#This Row],[Paid Amount]]</f>
        <v>99394</v>
      </c>
      <c r="P3518" s="2" t="s">
        <v>23</v>
      </c>
      <c r="Q3518" s="2" t="s">
        <v>406</v>
      </c>
      <c r="R3518" s="16">
        <f>(Table1[[#This Row],[NET Amount]]-Table1[[#This Row],[Total Outstanding Amount]])/Table1[[#This Row],[NET Amount]]</f>
        <v>0</v>
      </c>
      <c r="S3518" s="2" t="s">
        <v>39</v>
      </c>
    </row>
    <row r="3519" spans="1:19" x14ac:dyDescent="0.3">
      <c r="A3519" s="4">
        <v>3517</v>
      </c>
      <c r="B3519" s="2" t="s">
        <v>61</v>
      </c>
      <c r="C3519" s="3">
        <v>44861</v>
      </c>
      <c r="D3519" s="3" t="str">
        <f>TEXT(Table1[[#This Row],[Admission Date]],"MMMM")</f>
        <v>October</v>
      </c>
      <c r="E3519" s="3">
        <v>44861</v>
      </c>
      <c r="F3519" s="3">
        <v>44861</v>
      </c>
      <c r="G3519" s="2">
        <v>22028802</v>
      </c>
      <c r="H3519" s="2">
        <v>2237608</v>
      </c>
      <c r="I3519" s="2">
        <v>10013497993</v>
      </c>
      <c r="J3519" s="2" t="s">
        <v>1077</v>
      </c>
      <c r="K3519" s="10">
        <v>2200</v>
      </c>
      <c r="L3519" s="10">
        <v>0</v>
      </c>
      <c r="M3519" s="10">
        <v>2200</v>
      </c>
      <c r="N3519" s="10">
        <v>0</v>
      </c>
      <c r="O3519" s="10">
        <f>Table1[[#This Row],[NET Amount]]-Table1[[#This Row],[Paid Amount]]</f>
        <v>2200</v>
      </c>
      <c r="P3519" s="2" t="s">
        <v>23</v>
      </c>
      <c r="Q3519" s="2" t="s">
        <v>147</v>
      </c>
      <c r="R3519" s="16">
        <f>(Table1[[#This Row],[NET Amount]]-Table1[[#This Row],[Total Outstanding Amount]])/Table1[[#This Row],[NET Amount]]</f>
        <v>0</v>
      </c>
      <c r="S3519" s="2" t="s">
        <v>97</v>
      </c>
    </row>
    <row r="3520" spans="1:19" x14ac:dyDescent="0.3">
      <c r="A3520" s="4">
        <v>3518</v>
      </c>
      <c r="B3520" s="2" t="s">
        <v>2258</v>
      </c>
      <c r="C3520" s="3">
        <v>44838</v>
      </c>
      <c r="D3520" s="3" t="str">
        <f>TEXT(Table1[[#This Row],[Admission Date]],"MMMM")</f>
        <v>October</v>
      </c>
      <c r="E3520" s="3">
        <v>44838</v>
      </c>
      <c r="F3520" s="3">
        <v>44838</v>
      </c>
      <c r="G3520" s="2">
        <v>22025490</v>
      </c>
      <c r="H3520" s="2">
        <v>2234504</v>
      </c>
      <c r="I3520" s="2">
        <v>1001781083</v>
      </c>
      <c r="J3520" s="2" t="s">
        <v>777</v>
      </c>
      <c r="K3520" s="10">
        <v>1610</v>
      </c>
      <c r="L3520" s="10">
        <v>0</v>
      </c>
      <c r="M3520" s="10">
        <v>1610</v>
      </c>
      <c r="N3520" s="10">
        <v>0</v>
      </c>
      <c r="O3520" s="10">
        <f>Table1[[#This Row],[NET Amount]]-Table1[[#This Row],[Paid Amount]]</f>
        <v>1610</v>
      </c>
      <c r="P3520" s="2" t="s">
        <v>23</v>
      </c>
      <c r="Q3520" s="2" t="s">
        <v>54</v>
      </c>
      <c r="R3520" s="16">
        <f>(Table1[[#This Row],[NET Amount]]-Table1[[#This Row],[Total Outstanding Amount]])/Table1[[#This Row],[NET Amount]]</f>
        <v>0</v>
      </c>
      <c r="S3520" s="2" t="s">
        <v>97</v>
      </c>
    </row>
    <row r="3521" spans="1:19" x14ac:dyDescent="0.3">
      <c r="A3521" s="4">
        <v>3519</v>
      </c>
      <c r="B3521" s="2" t="s">
        <v>380</v>
      </c>
      <c r="C3521" s="3">
        <v>44848</v>
      </c>
      <c r="D3521" s="3" t="str">
        <f>TEXT(Table1[[#This Row],[Admission Date]],"MMMM")</f>
        <v>October</v>
      </c>
      <c r="E3521" s="3">
        <v>44848</v>
      </c>
      <c r="F3521" s="3">
        <v>44848</v>
      </c>
      <c r="G3521" s="2">
        <v>22027042</v>
      </c>
      <c r="H3521" s="2">
        <v>2235969</v>
      </c>
      <c r="I3521" s="2">
        <v>10013457170</v>
      </c>
      <c r="J3521" s="2" t="s">
        <v>1075</v>
      </c>
      <c r="K3521" s="10">
        <v>1274</v>
      </c>
      <c r="L3521" s="10">
        <v>0</v>
      </c>
      <c r="M3521" s="10">
        <v>1274</v>
      </c>
      <c r="N3521" s="10">
        <v>0</v>
      </c>
      <c r="O3521" s="10">
        <f>Table1[[#This Row],[NET Amount]]-Table1[[#This Row],[Paid Amount]]</f>
        <v>1274</v>
      </c>
      <c r="P3521" s="2" t="s">
        <v>23</v>
      </c>
      <c r="Q3521" s="2" t="s">
        <v>54</v>
      </c>
      <c r="R3521" s="16">
        <f>(Table1[[#This Row],[NET Amount]]-Table1[[#This Row],[Total Outstanding Amount]])/Table1[[#This Row],[NET Amount]]</f>
        <v>0</v>
      </c>
      <c r="S3521" s="2" t="s">
        <v>97</v>
      </c>
    </row>
    <row r="3522" spans="1:19" x14ac:dyDescent="0.3">
      <c r="A3522" s="4">
        <v>3520</v>
      </c>
      <c r="B3522" s="2" t="s">
        <v>380</v>
      </c>
      <c r="C3522" s="3">
        <v>44863</v>
      </c>
      <c r="D3522" s="3" t="str">
        <f>TEXT(Table1[[#This Row],[Admission Date]],"MMMM")</f>
        <v>October</v>
      </c>
      <c r="E3522" s="3">
        <v>44863</v>
      </c>
      <c r="F3522" s="3">
        <v>44863</v>
      </c>
      <c r="G3522" s="2">
        <v>22029166</v>
      </c>
      <c r="H3522" s="2">
        <v>2238043</v>
      </c>
      <c r="I3522" s="2">
        <v>1000857532</v>
      </c>
      <c r="J3522" s="2" t="s">
        <v>416</v>
      </c>
      <c r="K3522" s="10">
        <v>1274</v>
      </c>
      <c r="L3522" s="10">
        <v>0</v>
      </c>
      <c r="M3522" s="10">
        <v>1274</v>
      </c>
      <c r="N3522" s="10">
        <v>0</v>
      </c>
      <c r="O3522" s="10">
        <f>Table1[[#This Row],[NET Amount]]-Table1[[#This Row],[Paid Amount]]</f>
        <v>1274</v>
      </c>
      <c r="P3522" s="2" t="s">
        <v>23</v>
      </c>
      <c r="Q3522" s="2" t="s">
        <v>54</v>
      </c>
      <c r="R3522" s="16">
        <f>(Table1[[#This Row],[NET Amount]]-Table1[[#This Row],[Total Outstanding Amount]])/Table1[[#This Row],[NET Amount]]</f>
        <v>0</v>
      </c>
      <c r="S3522" s="2" t="s">
        <v>97</v>
      </c>
    </row>
    <row r="3523" spans="1:19" x14ac:dyDescent="0.3">
      <c r="A3523" s="4">
        <v>3521</v>
      </c>
      <c r="B3523" s="2" t="s">
        <v>380</v>
      </c>
      <c r="C3523" s="3">
        <v>44855</v>
      </c>
      <c r="D3523" s="3" t="str">
        <f>TEXT(Table1[[#This Row],[Admission Date]],"MMMM")</f>
        <v>October</v>
      </c>
      <c r="E3523" s="3">
        <v>44855</v>
      </c>
      <c r="F3523" s="3">
        <v>44855</v>
      </c>
      <c r="G3523" s="2">
        <v>22028112</v>
      </c>
      <c r="H3523" s="2">
        <v>2236966</v>
      </c>
      <c r="I3523" s="2">
        <v>1000891068</v>
      </c>
      <c r="J3523" s="2" t="s">
        <v>1082</v>
      </c>
      <c r="K3523" s="10">
        <v>1274</v>
      </c>
      <c r="L3523" s="10">
        <v>0</v>
      </c>
      <c r="M3523" s="10">
        <v>1274</v>
      </c>
      <c r="N3523" s="10">
        <v>0</v>
      </c>
      <c r="O3523" s="10">
        <f>Table1[[#This Row],[NET Amount]]-Table1[[#This Row],[Paid Amount]]</f>
        <v>1274</v>
      </c>
      <c r="P3523" s="2" t="s">
        <v>23</v>
      </c>
      <c r="Q3523" s="2" t="s">
        <v>54</v>
      </c>
      <c r="R3523" s="16">
        <f>(Table1[[#This Row],[NET Amount]]-Table1[[#This Row],[Total Outstanding Amount]])/Table1[[#This Row],[NET Amount]]</f>
        <v>0</v>
      </c>
      <c r="S3523" s="2" t="s">
        <v>97</v>
      </c>
    </row>
    <row r="3524" spans="1:19" x14ac:dyDescent="0.3">
      <c r="A3524" s="4">
        <v>3522</v>
      </c>
      <c r="B3524" s="2" t="s">
        <v>2263</v>
      </c>
      <c r="C3524" s="3">
        <v>44844</v>
      </c>
      <c r="D3524" s="3" t="str">
        <f>TEXT(Table1[[#This Row],[Admission Date]],"MMMM")</f>
        <v>October</v>
      </c>
      <c r="E3524" s="3">
        <v>44844</v>
      </c>
      <c r="F3524" s="3">
        <v>44844</v>
      </c>
      <c r="G3524" s="2">
        <v>22026351</v>
      </c>
      <c r="H3524" s="2">
        <v>2235348</v>
      </c>
      <c r="I3524" s="2">
        <v>1001680001</v>
      </c>
      <c r="J3524" s="2" t="s">
        <v>394</v>
      </c>
      <c r="K3524" s="10">
        <v>1274</v>
      </c>
      <c r="L3524" s="10">
        <v>0</v>
      </c>
      <c r="M3524" s="10">
        <v>1274</v>
      </c>
      <c r="N3524" s="10">
        <v>0</v>
      </c>
      <c r="O3524" s="10">
        <f>Table1[[#This Row],[NET Amount]]-Table1[[#This Row],[Paid Amount]]</f>
        <v>1274</v>
      </c>
      <c r="P3524" s="2" t="s">
        <v>23</v>
      </c>
      <c r="Q3524" s="2" t="s">
        <v>54</v>
      </c>
      <c r="R3524" s="16">
        <f>(Table1[[#This Row],[NET Amount]]-Table1[[#This Row],[Total Outstanding Amount]])/Table1[[#This Row],[NET Amount]]</f>
        <v>0</v>
      </c>
      <c r="S3524" s="2" t="s">
        <v>97</v>
      </c>
    </row>
    <row r="3525" spans="1:19" x14ac:dyDescent="0.3">
      <c r="A3525" s="4">
        <v>3523</v>
      </c>
      <c r="B3525" s="2" t="s">
        <v>2263</v>
      </c>
      <c r="C3525" s="3">
        <v>44856</v>
      </c>
      <c r="D3525" s="3" t="str">
        <f>TEXT(Table1[[#This Row],[Admission Date]],"MMMM")</f>
        <v>October</v>
      </c>
      <c r="E3525" s="3">
        <v>44856</v>
      </c>
      <c r="F3525" s="3">
        <v>44856</v>
      </c>
      <c r="G3525" s="2">
        <v>22028203</v>
      </c>
      <c r="H3525" s="2">
        <v>2237042</v>
      </c>
      <c r="I3525" s="2">
        <v>1001712791</v>
      </c>
      <c r="J3525" s="2" t="s">
        <v>450</v>
      </c>
      <c r="K3525" s="10">
        <v>1274</v>
      </c>
      <c r="L3525" s="10">
        <v>0</v>
      </c>
      <c r="M3525" s="10">
        <v>1274</v>
      </c>
      <c r="N3525" s="10">
        <v>0</v>
      </c>
      <c r="O3525" s="10">
        <f>Table1[[#This Row],[NET Amount]]-Table1[[#This Row],[Paid Amount]]</f>
        <v>1274</v>
      </c>
      <c r="P3525" s="2" t="s">
        <v>23</v>
      </c>
      <c r="Q3525" s="2" t="s">
        <v>54</v>
      </c>
      <c r="R3525" s="16">
        <f>(Table1[[#This Row],[NET Amount]]-Table1[[#This Row],[Total Outstanding Amount]])/Table1[[#This Row],[NET Amount]]</f>
        <v>0</v>
      </c>
      <c r="S3525" s="2" t="s">
        <v>97</v>
      </c>
    </row>
    <row r="3526" spans="1:19" x14ac:dyDescent="0.3">
      <c r="A3526" s="4">
        <v>3524</v>
      </c>
      <c r="B3526" s="2" t="s">
        <v>2253</v>
      </c>
      <c r="C3526" s="3">
        <v>44852</v>
      </c>
      <c r="D3526" s="3" t="str">
        <f>TEXT(Table1[[#This Row],[Admission Date]],"MMMM")</f>
        <v>October</v>
      </c>
      <c r="E3526" s="3">
        <v>44852</v>
      </c>
      <c r="F3526" s="3">
        <v>44852</v>
      </c>
      <c r="G3526" s="2">
        <v>22027587</v>
      </c>
      <c r="H3526" s="2">
        <v>2236492</v>
      </c>
      <c r="I3526" s="2">
        <v>1001681903</v>
      </c>
      <c r="J3526" s="2" t="s">
        <v>471</v>
      </c>
      <c r="K3526" s="10">
        <v>1610</v>
      </c>
      <c r="L3526" s="10">
        <v>0</v>
      </c>
      <c r="M3526" s="10">
        <v>1610</v>
      </c>
      <c r="N3526" s="10">
        <v>0</v>
      </c>
      <c r="O3526" s="10">
        <f>Table1[[#This Row],[NET Amount]]-Table1[[#This Row],[Paid Amount]]</f>
        <v>1610</v>
      </c>
      <c r="P3526" s="2" t="s">
        <v>23</v>
      </c>
      <c r="Q3526" s="2" t="s">
        <v>54</v>
      </c>
      <c r="R3526" s="16">
        <f>(Table1[[#This Row],[NET Amount]]-Table1[[#This Row],[Total Outstanding Amount]])/Table1[[#This Row],[NET Amount]]</f>
        <v>0</v>
      </c>
      <c r="S3526" s="2" t="s">
        <v>97</v>
      </c>
    </row>
    <row r="3527" spans="1:19" x14ac:dyDescent="0.3">
      <c r="A3527" s="4">
        <v>3525</v>
      </c>
      <c r="B3527" s="2" t="s">
        <v>380</v>
      </c>
      <c r="C3527" s="3">
        <v>44847</v>
      </c>
      <c r="D3527" s="3" t="str">
        <f>TEXT(Table1[[#This Row],[Admission Date]],"MMMM")</f>
        <v>October</v>
      </c>
      <c r="E3527" s="3">
        <v>44847</v>
      </c>
      <c r="F3527" s="3">
        <v>44847</v>
      </c>
      <c r="G3527" s="2">
        <v>22026837</v>
      </c>
      <c r="H3527" s="2">
        <v>2235812</v>
      </c>
      <c r="I3527" s="2">
        <v>10013435866</v>
      </c>
      <c r="J3527" s="2" t="s">
        <v>473</v>
      </c>
      <c r="K3527" s="10">
        <v>1274</v>
      </c>
      <c r="L3527" s="10">
        <v>0</v>
      </c>
      <c r="M3527" s="10">
        <v>1274</v>
      </c>
      <c r="N3527" s="10">
        <v>0</v>
      </c>
      <c r="O3527" s="10">
        <f>Table1[[#This Row],[NET Amount]]-Table1[[#This Row],[Paid Amount]]</f>
        <v>1274</v>
      </c>
      <c r="P3527" s="2" t="s">
        <v>23</v>
      </c>
      <c r="Q3527" s="2" t="s">
        <v>54</v>
      </c>
      <c r="R3527" s="16">
        <f>(Table1[[#This Row],[NET Amount]]-Table1[[#This Row],[Total Outstanding Amount]])/Table1[[#This Row],[NET Amount]]</f>
        <v>0</v>
      </c>
      <c r="S3527" s="2" t="s">
        <v>97</v>
      </c>
    </row>
    <row r="3528" spans="1:19" x14ac:dyDescent="0.3">
      <c r="A3528" s="4">
        <v>3526</v>
      </c>
      <c r="B3528" s="2" t="s">
        <v>380</v>
      </c>
      <c r="C3528" s="3">
        <v>44853</v>
      </c>
      <c r="D3528" s="3" t="str">
        <f>TEXT(Table1[[#This Row],[Admission Date]],"MMMM")</f>
        <v>October</v>
      </c>
      <c r="E3528" s="3">
        <v>44853</v>
      </c>
      <c r="F3528" s="3">
        <v>44853</v>
      </c>
      <c r="G3528" s="2">
        <v>22027801</v>
      </c>
      <c r="H3528" s="2">
        <v>2236692</v>
      </c>
      <c r="I3528" s="2">
        <v>10013528076</v>
      </c>
      <c r="J3528" s="2" t="s">
        <v>420</v>
      </c>
      <c r="K3528" s="10">
        <v>1274</v>
      </c>
      <c r="L3528" s="10">
        <v>0</v>
      </c>
      <c r="M3528" s="10">
        <v>1274</v>
      </c>
      <c r="N3528" s="10">
        <v>0</v>
      </c>
      <c r="O3528" s="10">
        <f>Table1[[#This Row],[NET Amount]]-Table1[[#This Row],[Paid Amount]]</f>
        <v>1274</v>
      </c>
      <c r="P3528" s="2" t="s">
        <v>23</v>
      </c>
      <c r="Q3528" s="2" t="s">
        <v>54</v>
      </c>
      <c r="R3528" s="16">
        <f>(Table1[[#This Row],[NET Amount]]-Table1[[#This Row],[Total Outstanding Amount]])/Table1[[#This Row],[NET Amount]]</f>
        <v>0</v>
      </c>
      <c r="S3528" s="2" t="s">
        <v>97</v>
      </c>
    </row>
    <row r="3529" spans="1:19" x14ac:dyDescent="0.3">
      <c r="A3529" s="4">
        <v>3527</v>
      </c>
      <c r="B3529" s="2" t="s">
        <v>380</v>
      </c>
      <c r="C3529" s="3">
        <v>44854</v>
      </c>
      <c r="D3529" s="3" t="str">
        <f>TEXT(Table1[[#This Row],[Admission Date]],"MMMM")</f>
        <v>October</v>
      </c>
      <c r="E3529" s="3">
        <v>44854</v>
      </c>
      <c r="F3529" s="3">
        <v>44854</v>
      </c>
      <c r="G3529" s="2">
        <v>22027891</v>
      </c>
      <c r="H3529" s="2">
        <v>2236789</v>
      </c>
      <c r="I3529" s="2">
        <v>1000933464</v>
      </c>
      <c r="J3529" s="2" t="s">
        <v>437</v>
      </c>
      <c r="K3529" s="10">
        <v>1274</v>
      </c>
      <c r="L3529" s="10">
        <v>0</v>
      </c>
      <c r="M3529" s="10">
        <v>1274</v>
      </c>
      <c r="N3529" s="10">
        <v>0</v>
      </c>
      <c r="O3529" s="10">
        <f>Table1[[#This Row],[NET Amount]]-Table1[[#This Row],[Paid Amount]]</f>
        <v>1274</v>
      </c>
      <c r="P3529" s="2" t="s">
        <v>23</v>
      </c>
      <c r="Q3529" s="2" t="s">
        <v>54</v>
      </c>
      <c r="R3529" s="16">
        <f>(Table1[[#This Row],[NET Amount]]-Table1[[#This Row],[Total Outstanding Amount]])/Table1[[#This Row],[NET Amount]]</f>
        <v>0</v>
      </c>
      <c r="S3529" s="2" t="s">
        <v>97</v>
      </c>
    </row>
    <row r="3530" spans="1:19" x14ac:dyDescent="0.3">
      <c r="A3530" s="4">
        <v>3528</v>
      </c>
      <c r="B3530" s="2" t="s">
        <v>2277</v>
      </c>
      <c r="C3530" s="3">
        <v>44841</v>
      </c>
      <c r="D3530" s="3" t="str">
        <f>TEXT(Table1[[#This Row],[Admission Date]],"MMMM")</f>
        <v>October</v>
      </c>
      <c r="E3530" s="3">
        <v>44844</v>
      </c>
      <c r="F3530" s="3">
        <v>44844</v>
      </c>
      <c r="G3530" s="2">
        <v>22026422</v>
      </c>
      <c r="H3530" s="2">
        <v>2235106</v>
      </c>
      <c r="I3530" s="2">
        <v>1001803147</v>
      </c>
      <c r="J3530" s="2" t="s">
        <v>1280</v>
      </c>
      <c r="K3530" s="10">
        <v>24044</v>
      </c>
      <c r="L3530" s="10">
        <v>0</v>
      </c>
      <c r="M3530" s="10">
        <v>24044</v>
      </c>
      <c r="N3530" s="10">
        <v>0</v>
      </c>
      <c r="O3530" s="10">
        <f>Table1[[#This Row],[NET Amount]]-Table1[[#This Row],[Paid Amount]]</f>
        <v>24044</v>
      </c>
      <c r="P3530" s="2" t="s">
        <v>23</v>
      </c>
      <c r="Q3530" s="2" t="s">
        <v>24</v>
      </c>
      <c r="R3530" s="16">
        <f>(Table1[[#This Row],[NET Amount]]-Table1[[#This Row],[Total Outstanding Amount]])/Table1[[#This Row],[NET Amount]]</f>
        <v>0</v>
      </c>
      <c r="S3530" s="2" t="s">
        <v>201</v>
      </c>
    </row>
    <row r="3531" spans="1:19" x14ac:dyDescent="0.3">
      <c r="A3531" s="4">
        <v>3529</v>
      </c>
      <c r="B3531" s="2" t="s">
        <v>45</v>
      </c>
      <c r="C3531" s="3">
        <v>44859</v>
      </c>
      <c r="D3531" s="3" t="str">
        <f>TEXT(Table1[[#This Row],[Admission Date]],"MMMM")</f>
        <v>October</v>
      </c>
      <c r="E3531" s="3">
        <v>44859</v>
      </c>
      <c r="F3531" s="3">
        <v>44859</v>
      </c>
      <c r="G3531" s="2">
        <v>22028531</v>
      </c>
      <c r="H3531" s="2">
        <v>2237299</v>
      </c>
      <c r="I3531" s="2">
        <v>1001020879</v>
      </c>
      <c r="J3531" s="2" t="s">
        <v>462</v>
      </c>
      <c r="K3531" s="10">
        <v>2200</v>
      </c>
      <c r="L3531" s="10">
        <v>0</v>
      </c>
      <c r="M3531" s="10">
        <v>2200</v>
      </c>
      <c r="N3531" s="10">
        <v>0</v>
      </c>
      <c r="O3531" s="10">
        <f>Table1[[#This Row],[NET Amount]]-Table1[[#This Row],[Paid Amount]]</f>
        <v>2200</v>
      </c>
      <c r="P3531" s="2" t="s">
        <v>23</v>
      </c>
      <c r="Q3531" s="2" t="s">
        <v>147</v>
      </c>
      <c r="R3531" s="16">
        <f>(Table1[[#This Row],[NET Amount]]-Table1[[#This Row],[Total Outstanding Amount]])/Table1[[#This Row],[NET Amount]]</f>
        <v>0</v>
      </c>
      <c r="S3531" s="2" t="s">
        <v>97</v>
      </c>
    </row>
    <row r="3532" spans="1:19" x14ac:dyDescent="0.3">
      <c r="A3532" s="4">
        <v>3530</v>
      </c>
      <c r="B3532" s="2" t="s">
        <v>2258</v>
      </c>
      <c r="C3532" s="3">
        <v>44862</v>
      </c>
      <c r="D3532" s="3" t="str">
        <f>TEXT(Table1[[#This Row],[Admission Date]],"MMMM")</f>
        <v>October</v>
      </c>
      <c r="E3532" s="3">
        <v>44862</v>
      </c>
      <c r="F3532" s="3">
        <v>44862</v>
      </c>
      <c r="G3532" s="2">
        <v>22028966</v>
      </c>
      <c r="H3532" s="2">
        <v>2237851</v>
      </c>
      <c r="I3532" s="2">
        <v>1001763340</v>
      </c>
      <c r="J3532" s="2" t="s">
        <v>121</v>
      </c>
      <c r="K3532" s="10">
        <v>1610</v>
      </c>
      <c r="L3532" s="10">
        <v>0</v>
      </c>
      <c r="M3532" s="10">
        <v>1610</v>
      </c>
      <c r="N3532" s="10">
        <v>0</v>
      </c>
      <c r="O3532" s="10">
        <f>Table1[[#This Row],[NET Amount]]-Table1[[#This Row],[Paid Amount]]</f>
        <v>1610</v>
      </c>
      <c r="P3532" s="2" t="s">
        <v>23</v>
      </c>
      <c r="Q3532" s="2" t="s">
        <v>54</v>
      </c>
      <c r="R3532" s="16">
        <f>(Table1[[#This Row],[NET Amount]]-Table1[[#This Row],[Total Outstanding Amount]])/Table1[[#This Row],[NET Amount]]</f>
        <v>0</v>
      </c>
      <c r="S3532" s="2" t="s">
        <v>97</v>
      </c>
    </row>
    <row r="3533" spans="1:19" x14ac:dyDescent="0.3">
      <c r="A3533" s="4">
        <v>3531</v>
      </c>
      <c r="B3533" s="2" t="s">
        <v>407</v>
      </c>
      <c r="C3533" s="3">
        <v>44861</v>
      </c>
      <c r="D3533" s="3" t="str">
        <f>TEXT(Table1[[#This Row],[Admission Date]],"MMMM")</f>
        <v>October</v>
      </c>
      <c r="E3533" s="3">
        <v>44862</v>
      </c>
      <c r="F3533" s="3">
        <v>44862</v>
      </c>
      <c r="G3533" s="2">
        <v>22028907</v>
      </c>
      <c r="H3533" s="2">
        <v>2237597</v>
      </c>
      <c r="I3533" s="2">
        <v>1001206243</v>
      </c>
      <c r="J3533" s="2" t="s">
        <v>2012</v>
      </c>
      <c r="K3533" s="10">
        <v>129428</v>
      </c>
      <c r="L3533" s="10">
        <v>0</v>
      </c>
      <c r="M3533" s="10">
        <v>129428</v>
      </c>
      <c r="N3533" s="10">
        <v>0</v>
      </c>
      <c r="O3533" s="10">
        <f>Table1[[#This Row],[NET Amount]]-Table1[[#This Row],[Paid Amount]]</f>
        <v>129428</v>
      </c>
      <c r="P3533" s="2" t="s">
        <v>23</v>
      </c>
      <c r="Q3533" s="2" t="s">
        <v>24</v>
      </c>
      <c r="R3533" s="16">
        <f>(Table1[[#This Row],[NET Amount]]-Table1[[#This Row],[Total Outstanding Amount]])/Table1[[#This Row],[NET Amount]]</f>
        <v>0</v>
      </c>
      <c r="S3533" s="2" t="s">
        <v>39</v>
      </c>
    </row>
    <row r="3534" spans="1:19" x14ac:dyDescent="0.3">
      <c r="A3534" s="4">
        <v>3532</v>
      </c>
      <c r="B3534" s="2" t="s">
        <v>75</v>
      </c>
      <c r="C3534" s="3">
        <v>44837</v>
      </c>
      <c r="D3534" s="3" t="str">
        <f>TEXT(Table1[[#This Row],[Admission Date]],"MMMM")</f>
        <v>October</v>
      </c>
      <c r="E3534" s="3">
        <v>44837</v>
      </c>
      <c r="F3534" s="3">
        <v>44837</v>
      </c>
      <c r="G3534" s="2">
        <v>22025335</v>
      </c>
      <c r="H3534" s="2">
        <v>2234360</v>
      </c>
      <c r="I3534" s="2">
        <v>10013401847</v>
      </c>
      <c r="J3534" s="2" t="s">
        <v>449</v>
      </c>
      <c r="K3534" s="10">
        <v>1610</v>
      </c>
      <c r="L3534" s="10">
        <v>0</v>
      </c>
      <c r="M3534" s="10">
        <v>1610</v>
      </c>
      <c r="N3534" s="10">
        <v>0</v>
      </c>
      <c r="O3534" s="10">
        <f>Table1[[#This Row],[NET Amount]]-Table1[[#This Row],[Paid Amount]]</f>
        <v>1610</v>
      </c>
      <c r="P3534" s="2" t="s">
        <v>23</v>
      </c>
      <c r="Q3534" s="2" t="s">
        <v>54</v>
      </c>
      <c r="R3534" s="16">
        <f>(Table1[[#This Row],[NET Amount]]-Table1[[#This Row],[Total Outstanding Amount]])/Table1[[#This Row],[NET Amount]]</f>
        <v>0</v>
      </c>
      <c r="S3534" s="2" t="s">
        <v>97</v>
      </c>
    </row>
    <row r="3535" spans="1:19" x14ac:dyDescent="0.3">
      <c r="A3535" s="4">
        <v>3533</v>
      </c>
      <c r="B3535" s="2" t="s">
        <v>2258</v>
      </c>
      <c r="C3535" s="3">
        <v>44849</v>
      </c>
      <c r="D3535" s="3" t="str">
        <f>TEXT(Table1[[#This Row],[Admission Date]],"MMMM")</f>
        <v>October</v>
      </c>
      <c r="E3535" s="3">
        <v>44849</v>
      </c>
      <c r="F3535" s="3">
        <v>44849</v>
      </c>
      <c r="G3535" s="2">
        <v>22027227</v>
      </c>
      <c r="H3535" s="2">
        <v>2236150</v>
      </c>
      <c r="I3535" s="2">
        <v>1001797077</v>
      </c>
      <c r="J3535" s="2" t="s">
        <v>468</v>
      </c>
      <c r="K3535" s="10">
        <v>1610</v>
      </c>
      <c r="L3535" s="10">
        <v>0</v>
      </c>
      <c r="M3535" s="10">
        <v>1610</v>
      </c>
      <c r="N3535" s="10">
        <v>0</v>
      </c>
      <c r="O3535" s="10">
        <f>Table1[[#This Row],[NET Amount]]-Table1[[#This Row],[Paid Amount]]</f>
        <v>1610</v>
      </c>
      <c r="P3535" s="2" t="s">
        <v>23</v>
      </c>
      <c r="Q3535" s="2" t="s">
        <v>54</v>
      </c>
      <c r="R3535" s="16">
        <f>(Table1[[#This Row],[NET Amount]]-Table1[[#This Row],[Total Outstanding Amount]])/Table1[[#This Row],[NET Amount]]</f>
        <v>0</v>
      </c>
      <c r="S3535" s="2" t="s">
        <v>97</v>
      </c>
    </row>
    <row r="3536" spans="1:19" x14ac:dyDescent="0.3">
      <c r="A3536" s="4">
        <v>3534</v>
      </c>
      <c r="B3536" s="2" t="s">
        <v>2253</v>
      </c>
      <c r="C3536" s="3">
        <v>44845</v>
      </c>
      <c r="D3536" s="3" t="str">
        <f>TEXT(Table1[[#This Row],[Admission Date]],"MMMM")</f>
        <v>October</v>
      </c>
      <c r="E3536" s="3">
        <v>44845</v>
      </c>
      <c r="F3536" s="3">
        <v>44845</v>
      </c>
      <c r="G3536" s="2">
        <v>22026613</v>
      </c>
      <c r="H3536" s="2">
        <v>2235568</v>
      </c>
      <c r="I3536" s="2">
        <v>1001802852</v>
      </c>
      <c r="J3536" s="2" t="s">
        <v>1548</v>
      </c>
      <c r="K3536" s="10">
        <v>1610</v>
      </c>
      <c r="L3536" s="10">
        <v>0</v>
      </c>
      <c r="M3536" s="10">
        <v>1610</v>
      </c>
      <c r="N3536" s="10">
        <v>0</v>
      </c>
      <c r="O3536" s="10">
        <f>Table1[[#This Row],[NET Amount]]-Table1[[#This Row],[Paid Amount]]</f>
        <v>1610</v>
      </c>
      <c r="P3536" s="2" t="s">
        <v>23</v>
      </c>
      <c r="Q3536" s="2" t="s">
        <v>54</v>
      </c>
      <c r="R3536" s="16">
        <f>(Table1[[#This Row],[NET Amount]]-Table1[[#This Row],[Total Outstanding Amount]])/Table1[[#This Row],[NET Amount]]</f>
        <v>0</v>
      </c>
      <c r="S3536" s="2" t="s">
        <v>97</v>
      </c>
    </row>
    <row r="3537" spans="1:19" x14ac:dyDescent="0.3">
      <c r="A3537" s="4">
        <v>3535</v>
      </c>
      <c r="B3537" s="2" t="s">
        <v>380</v>
      </c>
      <c r="C3537" s="3">
        <v>44842</v>
      </c>
      <c r="D3537" s="3" t="str">
        <f>TEXT(Table1[[#This Row],[Admission Date]],"MMMM")</f>
        <v>October</v>
      </c>
      <c r="E3537" s="3">
        <v>44842</v>
      </c>
      <c r="F3537" s="3">
        <v>44842</v>
      </c>
      <c r="G3537" s="2">
        <v>22026212</v>
      </c>
      <c r="H3537" s="2">
        <v>2235209</v>
      </c>
      <c r="I3537" s="2">
        <v>10013506167</v>
      </c>
      <c r="J3537" s="2" t="s">
        <v>467</v>
      </c>
      <c r="K3537" s="10">
        <v>1274</v>
      </c>
      <c r="L3537" s="10">
        <v>0</v>
      </c>
      <c r="M3537" s="10">
        <v>1274</v>
      </c>
      <c r="N3537" s="10">
        <v>0</v>
      </c>
      <c r="O3537" s="10">
        <f>Table1[[#This Row],[NET Amount]]-Table1[[#This Row],[Paid Amount]]</f>
        <v>1274</v>
      </c>
      <c r="P3537" s="2" t="s">
        <v>23</v>
      </c>
      <c r="Q3537" s="2" t="s">
        <v>54</v>
      </c>
      <c r="R3537" s="16">
        <f>(Table1[[#This Row],[NET Amount]]-Table1[[#This Row],[Total Outstanding Amount]])/Table1[[#This Row],[NET Amount]]</f>
        <v>0</v>
      </c>
      <c r="S3537" s="2" t="s">
        <v>97</v>
      </c>
    </row>
    <row r="3538" spans="1:19" x14ac:dyDescent="0.3">
      <c r="A3538" s="4">
        <v>3536</v>
      </c>
      <c r="B3538" s="2" t="s">
        <v>75</v>
      </c>
      <c r="C3538" s="3">
        <v>44835</v>
      </c>
      <c r="D3538" s="3" t="str">
        <f>TEXT(Table1[[#This Row],[Admission Date]],"MMMM")</f>
        <v>October</v>
      </c>
      <c r="E3538" s="3">
        <v>44835</v>
      </c>
      <c r="F3538" s="3">
        <v>44835</v>
      </c>
      <c r="G3538" s="2">
        <v>22025202</v>
      </c>
      <c r="H3538" s="2">
        <v>2234224</v>
      </c>
      <c r="I3538" s="2">
        <v>1001300172</v>
      </c>
      <c r="J3538" s="2" t="s">
        <v>400</v>
      </c>
      <c r="K3538" s="10">
        <v>1610</v>
      </c>
      <c r="L3538" s="10">
        <v>0</v>
      </c>
      <c r="M3538" s="10">
        <v>1610</v>
      </c>
      <c r="N3538" s="10">
        <v>0</v>
      </c>
      <c r="O3538" s="10">
        <f>Table1[[#This Row],[NET Amount]]-Table1[[#This Row],[Paid Amount]]</f>
        <v>1610</v>
      </c>
      <c r="P3538" s="2" t="s">
        <v>23</v>
      </c>
      <c r="Q3538" s="2" t="s">
        <v>54</v>
      </c>
      <c r="R3538" s="16">
        <f>(Table1[[#This Row],[NET Amount]]-Table1[[#This Row],[Total Outstanding Amount]])/Table1[[#This Row],[NET Amount]]</f>
        <v>0</v>
      </c>
      <c r="S3538" s="2" t="s">
        <v>97</v>
      </c>
    </row>
    <row r="3539" spans="1:19" x14ac:dyDescent="0.3">
      <c r="A3539" s="4">
        <v>3537</v>
      </c>
      <c r="B3539" s="2" t="s">
        <v>2244</v>
      </c>
      <c r="C3539" s="3">
        <v>44863</v>
      </c>
      <c r="D3539" s="3" t="str">
        <f>TEXT(Table1[[#This Row],[Admission Date]],"MMMM")</f>
        <v>October</v>
      </c>
      <c r="E3539" s="3">
        <v>44863</v>
      </c>
      <c r="F3539" s="3">
        <v>44863</v>
      </c>
      <c r="G3539" s="2">
        <v>22029142</v>
      </c>
      <c r="H3539" s="2">
        <v>2237977</v>
      </c>
      <c r="I3539" s="2">
        <v>1001783673</v>
      </c>
      <c r="J3539" s="2" t="s">
        <v>647</v>
      </c>
      <c r="K3539" s="10">
        <v>0</v>
      </c>
      <c r="L3539" s="10">
        <v>0</v>
      </c>
      <c r="M3539" s="10">
        <v>0</v>
      </c>
      <c r="N3539" s="10">
        <v>0</v>
      </c>
      <c r="O3539" s="10">
        <f>Table1[[#This Row],[NET Amount]]-Table1[[#This Row],[Paid Amount]]</f>
        <v>0</v>
      </c>
      <c r="P3539" s="2" t="s">
        <v>23</v>
      </c>
      <c r="Q3539" s="2" t="s">
        <v>54</v>
      </c>
      <c r="R3539" s="16" t="e">
        <f>(Table1[[#This Row],[NET Amount]]-Table1[[#This Row],[Total Outstanding Amount]])/Table1[[#This Row],[NET Amount]]</f>
        <v>#DIV/0!</v>
      </c>
      <c r="S3539" s="2" t="s">
        <v>97</v>
      </c>
    </row>
    <row r="3540" spans="1:19" x14ac:dyDescent="0.3">
      <c r="A3540" s="4">
        <v>3538</v>
      </c>
      <c r="B3540" s="2" t="s">
        <v>380</v>
      </c>
      <c r="C3540" s="3">
        <v>44856</v>
      </c>
      <c r="D3540" s="3" t="str">
        <f>TEXT(Table1[[#This Row],[Admission Date]],"MMMM")</f>
        <v>October</v>
      </c>
      <c r="E3540" s="3">
        <v>44856</v>
      </c>
      <c r="F3540" s="3">
        <v>44856</v>
      </c>
      <c r="G3540" s="2">
        <v>22028295</v>
      </c>
      <c r="H3540" s="2">
        <v>2237095</v>
      </c>
      <c r="I3540" s="2">
        <v>10013507516</v>
      </c>
      <c r="J3540" s="2" t="s">
        <v>481</v>
      </c>
      <c r="K3540" s="10">
        <v>1274</v>
      </c>
      <c r="L3540" s="10">
        <v>0</v>
      </c>
      <c r="M3540" s="10">
        <v>1274</v>
      </c>
      <c r="N3540" s="10">
        <v>0</v>
      </c>
      <c r="O3540" s="10">
        <f>Table1[[#This Row],[NET Amount]]-Table1[[#This Row],[Paid Amount]]</f>
        <v>1274</v>
      </c>
      <c r="P3540" s="2" t="s">
        <v>23</v>
      </c>
      <c r="Q3540" s="2" t="s">
        <v>54</v>
      </c>
      <c r="R3540" s="16">
        <f>(Table1[[#This Row],[NET Amount]]-Table1[[#This Row],[Total Outstanding Amount]])/Table1[[#This Row],[NET Amount]]</f>
        <v>0</v>
      </c>
      <c r="S3540" s="2" t="s">
        <v>97</v>
      </c>
    </row>
    <row r="3541" spans="1:19" x14ac:dyDescent="0.3">
      <c r="A3541" s="4">
        <v>3539</v>
      </c>
      <c r="B3541" s="2" t="s">
        <v>380</v>
      </c>
      <c r="C3541" s="3">
        <v>44857</v>
      </c>
      <c r="D3541" s="3" t="str">
        <f>TEXT(Table1[[#This Row],[Admission Date]],"MMMM")</f>
        <v>October</v>
      </c>
      <c r="E3541" s="3">
        <v>44857</v>
      </c>
      <c r="F3541" s="3">
        <v>44857</v>
      </c>
      <c r="G3541" s="2">
        <v>22028396</v>
      </c>
      <c r="H3541" s="2">
        <v>2237177</v>
      </c>
      <c r="I3541" s="2">
        <v>1000961855</v>
      </c>
      <c r="J3541" s="2" t="s">
        <v>439</v>
      </c>
      <c r="K3541" s="10">
        <v>1274</v>
      </c>
      <c r="L3541" s="10">
        <v>0</v>
      </c>
      <c r="M3541" s="10">
        <v>1274</v>
      </c>
      <c r="N3541" s="10">
        <v>0</v>
      </c>
      <c r="O3541" s="10">
        <f>Table1[[#This Row],[NET Amount]]-Table1[[#This Row],[Paid Amount]]</f>
        <v>1274</v>
      </c>
      <c r="P3541" s="2" t="s">
        <v>23</v>
      </c>
      <c r="Q3541" s="2" t="s">
        <v>54</v>
      </c>
      <c r="R3541" s="16">
        <f>(Table1[[#This Row],[NET Amount]]-Table1[[#This Row],[Total Outstanding Amount]])/Table1[[#This Row],[NET Amount]]</f>
        <v>0</v>
      </c>
      <c r="S3541" s="2" t="s">
        <v>97</v>
      </c>
    </row>
    <row r="3542" spans="1:19" x14ac:dyDescent="0.3">
      <c r="A3542" s="4">
        <v>3540</v>
      </c>
      <c r="B3542" s="2" t="s">
        <v>2253</v>
      </c>
      <c r="C3542" s="3">
        <v>44845</v>
      </c>
      <c r="D3542" s="3" t="str">
        <f>TEXT(Table1[[#This Row],[Admission Date]],"MMMM")</f>
        <v>October</v>
      </c>
      <c r="E3542" s="3">
        <v>44845</v>
      </c>
      <c r="F3542" s="3">
        <v>44845</v>
      </c>
      <c r="G3542" s="2">
        <v>22026610</v>
      </c>
      <c r="H3542" s="2">
        <v>2235569</v>
      </c>
      <c r="I3542" s="2">
        <v>1001681903</v>
      </c>
      <c r="J3542" s="2" t="s">
        <v>471</v>
      </c>
      <c r="K3542" s="10">
        <v>1610</v>
      </c>
      <c r="L3542" s="10">
        <v>0</v>
      </c>
      <c r="M3542" s="10">
        <v>1610</v>
      </c>
      <c r="N3542" s="10">
        <v>0</v>
      </c>
      <c r="O3542" s="10">
        <f>Table1[[#This Row],[NET Amount]]-Table1[[#This Row],[Paid Amount]]</f>
        <v>1610</v>
      </c>
      <c r="P3542" s="2" t="s">
        <v>23</v>
      </c>
      <c r="Q3542" s="2" t="s">
        <v>54</v>
      </c>
      <c r="R3542" s="16">
        <f>(Table1[[#This Row],[NET Amount]]-Table1[[#This Row],[Total Outstanding Amount]])/Table1[[#This Row],[NET Amount]]</f>
        <v>0</v>
      </c>
      <c r="S3542" s="2" t="s">
        <v>97</v>
      </c>
    </row>
    <row r="3543" spans="1:19" x14ac:dyDescent="0.3">
      <c r="A3543" s="4">
        <v>3541</v>
      </c>
      <c r="B3543" s="2" t="s">
        <v>380</v>
      </c>
      <c r="C3543" s="3">
        <v>44839</v>
      </c>
      <c r="D3543" s="3" t="str">
        <f>TEXT(Table1[[#This Row],[Admission Date]],"MMMM")</f>
        <v>October</v>
      </c>
      <c r="E3543" s="3">
        <v>44839</v>
      </c>
      <c r="F3543" s="3">
        <v>44839</v>
      </c>
      <c r="G3543" s="2">
        <v>22025649</v>
      </c>
      <c r="H3543" s="2">
        <v>2234690</v>
      </c>
      <c r="I3543" s="2">
        <v>10013475917</v>
      </c>
      <c r="J3543" s="2" t="s">
        <v>429</v>
      </c>
      <c r="K3543" s="10">
        <v>1274</v>
      </c>
      <c r="L3543" s="10">
        <v>0</v>
      </c>
      <c r="M3543" s="10">
        <v>1274</v>
      </c>
      <c r="N3543" s="10">
        <v>0</v>
      </c>
      <c r="O3543" s="10">
        <f>Table1[[#This Row],[NET Amount]]-Table1[[#This Row],[Paid Amount]]</f>
        <v>1274</v>
      </c>
      <c r="P3543" s="2" t="s">
        <v>23</v>
      </c>
      <c r="Q3543" s="2" t="s">
        <v>54</v>
      </c>
      <c r="R3543" s="16">
        <f>(Table1[[#This Row],[NET Amount]]-Table1[[#This Row],[Total Outstanding Amount]])/Table1[[#This Row],[NET Amount]]</f>
        <v>0</v>
      </c>
      <c r="S3543" s="2" t="s">
        <v>97</v>
      </c>
    </row>
    <row r="3544" spans="1:19" x14ac:dyDescent="0.3">
      <c r="A3544" s="4">
        <v>3542</v>
      </c>
      <c r="B3544" s="2" t="s">
        <v>380</v>
      </c>
      <c r="C3544" s="3">
        <v>44852</v>
      </c>
      <c r="D3544" s="3" t="str">
        <f>TEXT(Table1[[#This Row],[Admission Date]],"MMMM")</f>
        <v>October</v>
      </c>
      <c r="E3544" s="3">
        <v>44852</v>
      </c>
      <c r="F3544" s="3">
        <v>44852</v>
      </c>
      <c r="G3544" s="2">
        <v>22027533</v>
      </c>
      <c r="H3544" s="2">
        <v>2236454</v>
      </c>
      <c r="I3544" s="2">
        <v>1001307852</v>
      </c>
      <c r="J3544" s="2" t="s">
        <v>309</v>
      </c>
      <c r="K3544" s="10">
        <v>1274</v>
      </c>
      <c r="L3544" s="10">
        <v>0</v>
      </c>
      <c r="M3544" s="10">
        <v>1274</v>
      </c>
      <c r="N3544" s="10">
        <v>0</v>
      </c>
      <c r="O3544" s="10">
        <f>Table1[[#This Row],[NET Amount]]-Table1[[#This Row],[Paid Amount]]</f>
        <v>1274</v>
      </c>
      <c r="P3544" s="2" t="s">
        <v>23</v>
      </c>
      <c r="Q3544" s="2" t="s">
        <v>54</v>
      </c>
      <c r="R3544" s="16">
        <f>(Table1[[#This Row],[NET Amount]]-Table1[[#This Row],[Total Outstanding Amount]])/Table1[[#This Row],[NET Amount]]</f>
        <v>0</v>
      </c>
      <c r="S3544" s="2" t="s">
        <v>97</v>
      </c>
    </row>
    <row r="3545" spans="1:19" x14ac:dyDescent="0.3">
      <c r="A3545" s="4">
        <v>3543</v>
      </c>
      <c r="B3545" s="2" t="s">
        <v>2263</v>
      </c>
      <c r="C3545" s="3">
        <v>44835</v>
      </c>
      <c r="D3545" s="3" t="str">
        <f>TEXT(Table1[[#This Row],[Admission Date]],"MMMM")</f>
        <v>October</v>
      </c>
      <c r="E3545" s="3">
        <v>44835</v>
      </c>
      <c r="F3545" s="3">
        <v>44835</v>
      </c>
      <c r="G3545" s="2">
        <v>22025232</v>
      </c>
      <c r="H3545" s="2">
        <v>2234251</v>
      </c>
      <c r="I3545" s="2">
        <v>1001777331</v>
      </c>
      <c r="J3545" s="2" t="s">
        <v>791</v>
      </c>
      <c r="K3545" s="10">
        <v>1274</v>
      </c>
      <c r="L3545" s="10">
        <v>0</v>
      </c>
      <c r="M3545" s="10">
        <v>1274</v>
      </c>
      <c r="N3545" s="10">
        <v>0</v>
      </c>
      <c r="O3545" s="10">
        <f>Table1[[#This Row],[NET Amount]]-Table1[[#This Row],[Paid Amount]]</f>
        <v>1274</v>
      </c>
      <c r="P3545" s="2" t="s">
        <v>23</v>
      </c>
      <c r="Q3545" s="2" t="s">
        <v>54</v>
      </c>
      <c r="R3545" s="16">
        <f>(Table1[[#This Row],[NET Amount]]-Table1[[#This Row],[Total Outstanding Amount]])/Table1[[#This Row],[NET Amount]]</f>
        <v>0</v>
      </c>
      <c r="S3545" s="2" t="s">
        <v>97</v>
      </c>
    </row>
    <row r="3546" spans="1:19" x14ac:dyDescent="0.3">
      <c r="A3546" s="4">
        <v>3544</v>
      </c>
      <c r="B3546" s="2" t="s">
        <v>380</v>
      </c>
      <c r="C3546" s="3">
        <v>44851</v>
      </c>
      <c r="D3546" s="3" t="str">
        <f>TEXT(Table1[[#This Row],[Admission Date]],"MMMM")</f>
        <v>October</v>
      </c>
      <c r="E3546" s="3">
        <v>44851</v>
      </c>
      <c r="F3546" s="3">
        <v>44851</v>
      </c>
      <c r="G3546" s="2">
        <v>22027505</v>
      </c>
      <c r="H3546" s="2">
        <v>2236414</v>
      </c>
      <c r="I3546" s="2">
        <v>1001237257</v>
      </c>
      <c r="J3546" s="2" t="s">
        <v>419</v>
      </c>
      <c r="K3546" s="10">
        <v>1274</v>
      </c>
      <c r="L3546" s="10">
        <v>0</v>
      </c>
      <c r="M3546" s="10">
        <v>1274</v>
      </c>
      <c r="N3546" s="10">
        <v>0</v>
      </c>
      <c r="O3546" s="10">
        <f>Table1[[#This Row],[NET Amount]]-Table1[[#This Row],[Paid Amount]]</f>
        <v>1274</v>
      </c>
      <c r="P3546" s="2" t="s">
        <v>23</v>
      </c>
      <c r="Q3546" s="2" t="s">
        <v>54</v>
      </c>
      <c r="R3546" s="16">
        <f>(Table1[[#This Row],[NET Amount]]-Table1[[#This Row],[Total Outstanding Amount]])/Table1[[#This Row],[NET Amount]]</f>
        <v>0</v>
      </c>
      <c r="S3546" s="2" t="s">
        <v>97</v>
      </c>
    </row>
    <row r="3547" spans="1:19" x14ac:dyDescent="0.3">
      <c r="A3547" s="4">
        <v>3545</v>
      </c>
      <c r="B3547" s="2" t="s">
        <v>2254</v>
      </c>
      <c r="C3547" s="3">
        <v>44837</v>
      </c>
      <c r="D3547" s="3" t="str">
        <f>TEXT(Table1[[#This Row],[Admission Date]],"MMMM")</f>
        <v>October</v>
      </c>
      <c r="E3547" s="3">
        <v>44839</v>
      </c>
      <c r="F3547" s="3">
        <v>44839</v>
      </c>
      <c r="G3547" s="2">
        <v>22025730</v>
      </c>
      <c r="H3547" s="2">
        <v>2234433</v>
      </c>
      <c r="I3547" s="2">
        <v>1001680175</v>
      </c>
      <c r="J3547" s="2" t="s">
        <v>2013</v>
      </c>
      <c r="K3547" s="10">
        <v>15445</v>
      </c>
      <c r="L3547" s="10">
        <v>0</v>
      </c>
      <c r="M3547" s="10">
        <v>15445</v>
      </c>
      <c r="N3547" s="10">
        <v>0</v>
      </c>
      <c r="O3547" s="10">
        <f>Table1[[#This Row],[NET Amount]]-Table1[[#This Row],[Paid Amount]]</f>
        <v>15445</v>
      </c>
      <c r="P3547" s="2" t="s">
        <v>23</v>
      </c>
      <c r="Q3547" s="2" t="s">
        <v>24</v>
      </c>
      <c r="R3547" s="16">
        <f>(Table1[[#This Row],[NET Amount]]-Table1[[#This Row],[Total Outstanding Amount]])/Table1[[#This Row],[NET Amount]]</f>
        <v>0</v>
      </c>
      <c r="S3547" s="2" t="s">
        <v>20</v>
      </c>
    </row>
    <row r="3548" spans="1:19" x14ac:dyDescent="0.3">
      <c r="A3548" s="4">
        <v>3546</v>
      </c>
      <c r="B3548" s="2" t="s">
        <v>2271</v>
      </c>
      <c r="C3548" s="3">
        <v>44839</v>
      </c>
      <c r="D3548" s="3" t="str">
        <f>TEXT(Table1[[#This Row],[Admission Date]],"MMMM")</f>
        <v>October</v>
      </c>
      <c r="E3548" s="3">
        <v>44839</v>
      </c>
      <c r="F3548" s="3">
        <v>44839</v>
      </c>
      <c r="G3548" s="2">
        <v>22025737</v>
      </c>
      <c r="H3548" s="2">
        <v>2234721</v>
      </c>
      <c r="I3548" s="2">
        <v>1001729640</v>
      </c>
      <c r="J3548" s="2" t="s">
        <v>470</v>
      </c>
      <c r="K3548" s="10">
        <v>1610</v>
      </c>
      <c r="L3548" s="10">
        <v>0</v>
      </c>
      <c r="M3548" s="10">
        <v>1610</v>
      </c>
      <c r="N3548" s="10">
        <v>0</v>
      </c>
      <c r="O3548" s="10">
        <f>Table1[[#This Row],[NET Amount]]-Table1[[#This Row],[Paid Amount]]</f>
        <v>1610</v>
      </c>
      <c r="P3548" s="2" t="s">
        <v>23</v>
      </c>
      <c r="Q3548" s="2" t="s">
        <v>54</v>
      </c>
      <c r="R3548" s="16">
        <f>(Table1[[#This Row],[NET Amount]]-Table1[[#This Row],[Total Outstanding Amount]])/Table1[[#This Row],[NET Amount]]</f>
        <v>0</v>
      </c>
      <c r="S3548" s="2" t="s">
        <v>97</v>
      </c>
    </row>
    <row r="3549" spans="1:19" x14ac:dyDescent="0.3">
      <c r="A3549" s="4">
        <v>3547</v>
      </c>
      <c r="B3549" s="2" t="s">
        <v>178</v>
      </c>
      <c r="C3549" s="3">
        <v>44856</v>
      </c>
      <c r="D3549" s="3" t="str">
        <f>TEXT(Table1[[#This Row],[Admission Date]],"MMMM")</f>
        <v>October</v>
      </c>
      <c r="E3549" s="3">
        <v>44856</v>
      </c>
      <c r="F3549" s="3">
        <v>44856</v>
      </c>
      <c r="G3549" s="2">
        <v>22028264</v>
      </c>
      <c r="H3549" s="2">
        <v>2237067</v>
      </c>
      <c r="I3549" s="2">
        <v>10013519562</v>
      </c>
      <c r="J3549" s="2" t="s">
        <v>479</v>
      </c>
      <c r="K3549" s="10">
        <v>2200</v>
      </c>
      <c r="L3549" s="10">
        <v>0</v>
      </c>
      <c r="M3549" s="10">
        <v>2200</v>
      </c>
      <c r="N3549" s="10">
        <v>0</v>
      </c>
      <c r="O3549" s="10">
        <f>Table1[[#This Row],[NET Amount]]-Table1[[#This Row],[Paid Amount]]</f>
        <v>2200</v>
      </c>
      <c r="P3549" s="2" t="s">
        <v>23</v>
      </c>
      <c r="Q3549" s="2" t="s">
        <v>147</v>
      </c>
      <c r="R3549" s="16">
        <f>(Table1[[#This Row],[NET Amount]]-Table1[[#This Row],[Total Outstanding Amount]])/Table1[[#This Row],[NET Amount]]</f>
        <v>0</v>
      </c>
      <c r="S3549" s="2" t="s">
        <v>97</v>
      </c>
    </row>
    <row r="3550" spans="1:19" x14ac:dyDescent="0.3">
      <c r="A3550" s="4">
        <v>3548</v>
      </c>
      <c r="B3550" s="2" t="s">
        <v>380</v>
      </c>
      <c r="C3550" s="3">
        <v>44838</v>
      </c>
      <c r="D3550" s="3" t="str">
        <f>TEXT(Table1[[#This Row],[Admission Date]],"MMMM")</f>
        <v>October</v>
      </c>
      <c r="E3550" s="3">
        <v>44838</v>
      </c>
      <c r="F3550" s="3">
        <v>44838</v>
      </c>
      <c r="G3550" s="2">
        <v>22025610</v>
      </c>
      <c r="H3550" s="2">
        <v>2234609</v>
      </c>
      <c r="I3550" s="2">
        <v>10013449380</v>
      </c>
      <c r="J3550" s="2" t="s">
        <v>453</v>
      </c>
      <c r="K3550" s="10">
        <v>1274</v>
      </c>
      <c r="L3550" s="10">
        <v>0</v>
      </c>
      <c r="M3550" s="10">
        <v>1274</v>
      </c>
      <c r="N3550" s="10">
        <v>0</v>
      </c>
      <c r="O3550" s="10">
        <f>Table1[[#This Row],[NET Amount]]-Table1[[#This Row],[Paid Amount]]</f>
        <v>1274</v>
      </c>
      <c r="P3550" s="2" t="s">
        <v>23</v>
      </c>
      <c r="Q3550" s="2" t="s">
        <v>54</v>
      </c>
      <c r="R3550" s="16">
        <f>(Table1[[#This Row],[NET Amount]]-Table1[[#This Row],[Total Outstanding Amount]])/Table1[[#This Row],[NET Amount]]</f>
        <v>0</v>
      </c>
      <c r="S3550" s="2" t="s">
        <v>97</v>
      </c>
    </row>
    <row r="3551" spans="1:19" x14ac:dyDescent="0.3">
      <c r="A3551" s="4">
        <v>3549</v>
      </c>
      <c r="B3551" s="2" t="s">
        <v>2258</v>
      </c>
      <c r="C3551" s="3">
        <v>44841</v>
      </c>
      <c r="D3551" s="3" t="str">
        <f>TEXT(Table1[[#This Row],[Admission Date]],"MMMM")</f>
        <v>October</v>
      </c>
      <c r="E3551" s="3">
        <v>44841</v>
      </c>
      <c r="F3551" s="3">
        <v>44841</v>
      </c>
      <c r="G3551" s="2">
        <v>22026005</v>
      </c>
      <c r="H3551" s="2">
        <v>2235037</v>
      </c>
      <c r="I3551" s="2">
        <v>1001765693</v>
      </c>
      <c r="J3551" s="2" t="s">
        <v>401</v>
      </c>
      <c r="K3551" s="10">
        <v>1610</v>
      </c>
      <c r="L3551" s="10">
        <v>0</v>
      </c>
      <c r="M3551" s="10">
        <v>1610</v>
      </c>
      <c r="N3551" s="10">
        <v>0</v>
      </c>
      <c r="O3551" s="10">
        <f>Table1[[#This Row],[NET Amount]]-Table1[[#This Row],[Paid Amount]]</f>
        <v>1610</v>
      </c>
      <c r="P3551" s="2" t="s">
        <v>23</v>
      </c>
      <c r="Q3551" s="2" t="s">
        <v>54</v>
      </c>
      <c r="R3551" s="16">
        <f>(Table1[[#This Row],[NET Amount]]-Table1[[#This Row],[Total Outstanding Amount]])/Table1[[#This Row],[NET Amount]]</f>
        <v>0</v>
      </c>
      <c r="S3551" s="2" t="s">
        <v>97</v>
      </c>
    </row>
    <row r="3552" spans="1:19" x14ac:dyDescent="0.3">
      <c r="A3552" s="4">
        <v>3550</v>
      </c>
      <c r="B3552" s="2" t="s">
        <v>407</v>
      </c>
      <c r="C3552" s="3">
        <v>44845</v>
      </c>
      <c r="D3552" s="3" t="str">
        <f>TEXT(Table1[[#This Row],[Admission Date]],"MMMM")</f>
        <v>October</v>
      </c>
      <c r="E3552" s="3">
        <v>44848</v>
      </c>
      <c r="F3552" s="3">
        <v>44848</v>
      </c>
      <c r="G3552" s="2">
        <v>22027036</v>
      </c>
      <c r="H3552" s="2">
        <v>2235479</v>
      </c>
      <c r="I3552" s="2">
        <v>1001390589</v>
      </c>
      <c r="J3552" s="2" t="s">
        <v>2014</v>
      </c>
      <c r="K3552" s="10">
        <v>49087</v>
      </c>
      <c r="L3552" s="10">
        <v>0</v>
      </c>
      <c r="M3552" s="10">
        <v>49087</v>
      </c>
      <c r="N3552" s="10">
        <v>0</v>
      </c>
      <c r="O3552" s="10">
        <f>Table1[[#This Row],[NET Amount]]-Table1[[#This Row],[Paid Amount]]</f>
        <v>49087</v>
      </c>
      <c r="P3552" s="2" t="s">
        <v>23</v>
      </c>
      <c r="Q3552" s="2" t="s">
        <v>19</v>
      </c>
      <c r="R3552" s="16">
        <f>(Table1[[#This Row],[NET Amount]]-Table1[[#This Row],[Total Outstanding Amount]])/Table1[[#This Row],[NET Amount]]</f>
        <v>0</v>
      </c>
      <c r="S3552" s="2" t="s">
        <v>39</v>
      </c>
    </row>
    <row r="3553" spans="1:19" x14ac:dyDescent="0.3">
      <c r="A3553" s="4">
        <v>3551</v>
      </c>
      <c r="B3553" s="2" t="s">
        <v>168</v>
      </c>
      <c r="C3553" s="3">
        <v>44851</v>
      </c>
      <c r="D3553" s="3" t="str">
        <f>TEXT(Table1[[#This Row],[Admission Date]],"MMMM")</f>
        <v>October</v>
      </c>
      <c r="E3553" s="3">
        <v>44851</v>
      </c>
      <c r="F3553" s="3">
        <v>44851</v>
      </c>
      <c r="G3553" s="2">
        <v>22027453</v>
      </c>
      <c r="H3553" s="2">
        <v>2236326</v>
      </c>
      <c r="I3553" s="2">
        <v>10013359873</v>
      </c>
      <c r="J3553" s="2" t="s">
        <v>774</v>
      </c>
      <c r="K3553" s="10">
        <v>2200</v>
      </c>
      <c r="L3553" s="10">
        <v>0</v>
      </c>
      <c r="M3553" s="10">
        <v>2200</v>
      </c>
      <c r="N3553" s="10">
        <v>0</v>
      </c>
      <c r="O3553" s="10">
        <f>Table1[[#This Row],[NET Amount]]-Table1[[#This Row],[Paid Amount]]</f>
        <v>2200</v>
      </c>
      <c r="P3553" s="2" t="s">
        <v>23</v>
      </c>
      <c r="Q3553" s="2" t="s">
        <v>147</v>
      </c>
      <c r="R3553" s="16">
        <f>(Table1[[#This Row],[NET Amount]]-Table1[[#This Row],[Total Outstanding Amount]])/Table1[[#This Row],[NET Amount]]</f>
        <v>0</v>
      </c>
      <c r="S3553" s="2" t="s">
        <v>97</v>
      </c>
    </row>
    <row r="3554" spans="1:19" x14ac:dyDescent="0.3">
      <c r="A3554" s="4">
        <v>3552</v>
      </c>
      <c r="B3554" s="2" t="s">
        <v>2263</v>
      </c>
      <c r="C3554" s="3">
        <v>44845</v>
      </c>
      <c r="D3554" s="3" t="str">
        <f>TEXT(Table1[[#This Row],[Admission Date]],"MMMM")</f>
        <v>October</v>
      </c>
      <c r="E3554" s="3">
        <v>44845</v>
      </c>
      <c r="F3554" s="3">
        <v>44845</v>
      </c>
      <c r="G3554" s="2">
        <v>22026492</v>
      </c>
      <c r="H3554" s="2">
        <v>2235496</v>
      </c>
      <c r="I3554" s="2">
        <v>1001666089</v>
      </c>
      <c r="J3554" s="2" t="s">
        <v>809</v>
      </c>
      <c r="K3554" s="10">
        <v>1274</v>
      </c>
      <c r="L3554" s="10">
        <v>0</v>
      </c>
      <c r="M3554" s="10">
        <v>1274</v>
      </c>
      <c r="N3554" s="10">
        <v>0</v>
      </c>
      <c r="O3554" s="10">
        <f>Table1[[#This Row],[NET Amount]]-Table1[[#This Row],[Paid Amount]]</f>
        <v>1274</v>
      </c>
      <c r="P3554" s="2" t="s">
        <v>23</v>
      </c>
      <c r="Q3554" s="2" t="s">
        <v>54</v>
      </c>
      <c r="R3554" s="16">
        <f>(Table1[[#This Row],[NET Amount]]-Table1[[#This Row],[Total Outstanding Amount]])/Table1[[#This Row],[NET Amount]]</f>
        <v>0</v>
      </c>
      <c r="S3554" s="2" t="s">
        <v>97</v>
      </c>
    </row>
    <row r="3555" spans="1:19" x14ac:dyDescent="0.3">
      <c r="A3555" s="4">
        <v>3553</v>
      </c>
      <c r="B3555" s="2" t="s">
        <v>75</v>
      </c>
      <c r="C3555" s="3">
        <v>44841</v>
      </c>
      <c r="D3555" s="3" t="str">
        <f>TEXT(Table1[[#This Row],[Admission Date]],"MMMM")</f>
        <v>October</v>
      </c>
      <c r="E3555" s="3">
        <v>44841</v>
      </c>
      <c r="F3555" s="3">
        <v>44841</v>
      </c>
      <c r="G3555" s="2">
        <v>22026040</v>
      </c>
      <c r="H3555" s="2">
        <v>2235061</v>
      </c>
      <c r="I3555" s="2">
        <v>10013442733</v>
      </c>
      <c r="J3555" s="2" t="s">
        <v>109</v>
      </c>
      <c r="K3555" s="10">
        <v>1610</v>
      </c>
      <c r="L3555" s="10">
        <v>0</v>
      </c>
      <c r="M3555" s="10">
        <v>1610</v>
      </c>
      <c r="N3555" s="10">
        <v>0</v>
      </c>
      <c r="O3555" s="10">
        <f>Table1[[#This Row],[NET Amount]]-Table1[[#This Row],[Paid Amount]]</f>
        <v>1610</v>
      </c>
      <c r="P3555" s="2" t="s">
        <v>23</v>
      </c>
      <c r="Q3555" s="2" t="s">
        <v>54</v>
      </c>
      <c r="R3555" s="16">
        <f>(Table1[[#This Row],[NET Amount]]-Table1[[#This Row],[Total Outstanding Amount]])/Table1[[#This Row],[NET Amount]]</f>
        <v>0</v>
      </c>
      <c r="S3555" s="2" t="s">
        <v>97</v>
      </c>
    </row>
    <row r="3556" spans="1:19" x14ac:dyDescent="0.3">
      <c r="A3556" s="4">
        <v>3554</v>
      </c>
      <c r="B3556" s="2" t="s">
        <v>380</v>
      </c>
      <c r="C3556" s="3">
        <v>44852</v>
      </c>
      <c r="D3556" s="3" t="str">
        <f>TEXT(Table1[[#This Row],[Admission Date]],"MMMM")</f>
        <v>October</v>
      </c>
      <c r="E3556" s="3">
        <v>44852</v>
      </c>
      <c r="F3556" s="3">
        <v>44852</v>
      </c>
      <c r="G3556" s="2">
        <v>22027540</v>
      </c>
      <c r="H3556" s="2">
        <v>2236447</v>
      </c>
      <c r="I3556" s="2">
        <v>1001033406</v>
      </c>
      <c r="J3556" s="2" t="s">
        <v>388</v>
      </c>
      <c r="K3556" s="10">
        <v>1274</v>
      </c>
      <c r="L3556" s="10">
        <v>0</v>
      </c>
      <c r="M3556" s="10">
        <v>1274</v>
      </c>
      <c r="N3556" s="10">
        <v>0</v>
      </c>
      <c r="O3556" s="10">
        <f>Table1[[#This Row],[NET Amount]]-Table1[[#This Row],[Paid Amount]]</f>
        <v>1274</v>
      </c>
      <c r="P3556" s="2" t="s">
        <v>23</v>
      </c>
      <c r="Q3556" s="2" t="s">
        <v>54</v>
      </c>
      <c r="R3556" s="16">
        <f>(Table1[[#This Row],[NET Amount]]-Table1[[#This Row],[Total Outstanding Amount]])/Table1[[#This Row],[NET Amount]]</f>
        <v>0</v>
      </c>
      <c r="S3556" s="2" t="s">
        <v>97</v>
      </c>
    </row>
    <row r="3557" spans="1:19" x14ac:dyDescent="0.3">
      <c r="A3557" s="4">
        <v>3555</v>
      </c>
      <c r="B3557" s="2" t="s">
        <v>380</v>
      </c>
      <c r="C3557" s="3">
        <v>44839</v>
      </c>
      <c r="D3557" s="3" t="str">
        <f>TEXT(Table1[[#This Row],[Admission Date]],"MMMM")</f>
        <v>October</v>
      </c>
      <c r="E3557" s="3">
        <v>44839</v>
      </c>
      <c r="F3557" s="3">
        <v>44839</v>
      </c>
      <c r="G3557" s="2">
        <v>22025786</v>
      </c>
      <c r="H3557" s="2">
        <v>2234785</v>
      </c>
      <c r="I3557" s="2">
        <v>10013528076</v>
      </c>
      <c r="J3557" s="2" t="s">
        <v>420</v>
      </c>
      <c r="K3557" s="10">
        <v>1274</v>
      </c>
      <c r="L3557" s="10">
        <v>0</v>
      </c>
      <c r="M3557" s="10">
        <v>1274</v>
      </c>
      <c r="N3557" s="10">
        <v>0</v>
      </c>
      <c r="O3557" s="10">
        <f>Table1[[#This Row],[NET Amount]]-Table1[[#This Row],[Paid Amount]]</f>
        <v>1274</v>
      </c>
      <c r="P3557" s="2" t="s">
        <v>23</v>
      </c>
      <c r="Q3557" s="2" t="s">
        <v>54</v>
      </c>
      <c r="R3557" s="16">
        <f>(Table1[[#This Row],[NET Amount]]-Table1[[#This Row],[Total Outstanding Amount]])/Table1[[#This Row],[NET Amount]]</f>
        <v>0</v>
      </c>
      <c r="S3557" s="2" t="s">
        <v>97</v>
      </c>
    </row>
    <row r="3558" spans="1:19" x14ac:dyDescent="0.3">
      <c r="A3558" s="4">
        <v>3556</v>
      </c>
      <c r="B3558" s="2" t="s">
        <v>2258</v>
      </c>
      <c r="C3558" s="3">
        <v>44855</v>
      </c>
      <c r="D3558" s="3" t="str">
        <f>TEXT(Table1[[#This Row],[Admission Date]],"MMMM")</f>
        <v>October</v>
      </c>
      <c r="E3558" s="3">
        <v>44855</v>
      </c>
      <c r="F3558" s="3">
        <v>44855</v>
      </c>
      <c r="G3558" s="2">
        <v>22028069</v>
      </c>
      <c r="H3558" s="2">
        <v>2236920</v>
      </c>
      <c r="I3558" s="2">
        <v>1001765693</v>
      </c>
      <c r="J3558" s="2" t="s">
        <v>401</v>
      </c>
      <c r="K3558" s="10">
        <v>1610</v>
      </c>
      <c r="L3558" s="10">
        <v>0</v>
      </c>
      <c r="M3558" s="10">
        <v>1610</v>
      </c>
      <c r="N3558" s="10">
        <v>0</v>
      </c>
      <c r="O3558" s="10">
        <f>Table1[[#This Row],[NET Amount]]-Table1[[#This Row],[Paid Amount]]</f>
        <v>1610</v>
      </c>
      <c r="P3558" s="2" t="s">
        <v>23</v>
      </c>
      <c r="Q3558" s="2" t="s">
        <v>54</v>
      </c>
      <c r="R3558" s="16">
        <f>(Table1[[#This Row],[NET Amount]]-Table1[[#This Row],[Total Outstanding Amount]])/Table1[[#This Row],[NET Amount]]</f>
        <v>0</v>
      </c>
      <c r="S3558" s="2" t="s">
        <v>97</v>
      </c>
    </row>
    <row r="3559" spans="1:19" x14ac:dyDescent="0.3">
      <c r="A3559" s="4">
        <v>3557</v>
      </c>
      <c r="B3559" s="2" t="s">
        <v>2263</v>
      </c>
      <c r="C3559" s="3">
        <v>44861</v>
      </c>
      <c r="D3559" s="3" t="str">
        <f>TEXT(Table1[[#This Row],[Admission Date]],"MMMM")</f>
        <v>October</v>
      </c>
      <c r="E3559" s="3">
        <v>44861</v>
      </c>
      <c r="F3559" s="3">
        <v>44861</v>
      </c>
      <c r="G3559" s="2">
        <v>22028778</v>
      </c>
      <c r="H3559" s="2">
        <v>2237657</v>
      </c>
      <c r="I3559" s="2">
        <v>1001657236</v>
      </c>
      <c r="J3559" s="2" t="s">
        <v>798</v>
      </c>
      <c r="K3559" s="10">
        <v>1274</v>
      </c>
      <c r="L3559" s="10">
        <v>0</v>
      </c>
      <c r="M3559" s="10">
        <v>1274</v>
      </c>
      <c r="N3559" s="10">
        <v>0</v>
      </c>
      <c r="O3559" s="10">
        <f>Table1[[#This Row],[NET Amount]]-Table1[[#This Row],[Paid Amount]]</f>
        <v>1274</v>
      </c>
      <c r="P3559" s="2" t="s">
        <v>23</v>
      </c>
      <c r="Q3559" s="2" t="s">
        <v>54</v>
      </c>
      <c r="R3559" s="16">
        <f>(Table1[[#This Row],[NET Amount]]-Table1[[#This Row],[Total Outstanding Amount]])/Table1[[#This Row],[NET Amount]]</f>
        <v>0</v>
      </c>
      <c r="S3559" s="2" t="s">
        <v>97</v>
      </c>
    </row>
    <row r="3560" spans="1:19" x14ac:dyDescent="0.3">
      <c r="A3560" s="4">
        <v>3558</v>
      </c>
      <c r="B3560" s="2" t="s">
        <v>178</v>
      </c>
      <c r="C3560" s="3">
        <v>44853</v>
      </c>
      <c r="D3560" s="3" t="str">
        <f>TEXT(Table1[[#This Row],[Admission Date]],"MMMM")</f>
        <v>October</v>
      </c>
      <c r="E3560" s="3">
        <v>44853</v>
      </c>
      <c r="F3560" s="3">
        <v>44853</v>
      </c>
      <c r="G3560" s="2">
        <v>22027733</v>
      </c>
      <c r="H3560" s="2">
        <v>2236623</v>
      </c>
      <c r="I3560" s="2">
        <v>10013469159</v>
      </c>
      <c r="J3560" s="2" t="s">
        <v>790</v>
      </c>
      <c r="K3560" s="10">
        <v>2200</v>
      </c>
      <c r="L3560" s="10">
        <v>0</v>
      </c>
      <c r="M3560" s="10">
        <v>2200</v>
      </c>
      <c r="N3560" s="10">
        <v>0</v>
      </c>
      <c r="O3560" s="10">
        <f>Table1[[#This Row],[NET Amount]]-Table1[[#This Row],[Paid Amount]]</f>
        <v>2200</v>
      </c>
      <c r="P3560" s="2" t="s">
        <v>23</v>
      </c>
      <c r="Q3560" s="2" t="s">
        <v>147</v>
      </c>
      <c r="R3560" s="16">
        <f>(Table1[[#This Row],[NET Amount]]-Table1[[#This Row],[Total Outstanding Amount]])/Table1[[#This Row],[NET Amount]]</f>
        <v>0</v>
      </c>
      <c r="S3560" s="2" t="s">
        <v>97</v>
      </c>
    </row>
    <row r="3561" spans="1:19" x14ac:dyDescent="0.3">
      <c r="A3561" s="4">
        <v>3559</v>
      </c>
      <c r="B3561" s="2" t="s">
        <v>2263</v>
      </c>
      <c r="C3561" s="3">
        <v>44841</v>
      </c>
      <c r="D3561" s="3" t="str">
        <f>TEXT(Table1[[#This Row],[Admission Date]],"MMMM")</f>
        <v>October</v>
      </c>
      <c r="E3561" s="3">
        <v>44841</v>
      </c>
      <c r="F3561" s="3">
        <v>44841</v>
      </c>
      <c r="G3561" s="2">
        <v>22026007</v>
      </c>
      <c r="H3561" s="2">
        <v>2235033</v>
      </c>
      <c r="I3561" s="2">
        <v>1001647517</v>
      </c>
      <c r="J3561" s="2" t="s">
        <v>802</v>
      </c>
      <c r="K3561" s="10">
        <v>1274</v>
      </c>
      <c r="L3561" s="10">
        <v>0</v>
      </c>
      <c r="M3561" s="10">
        <v>1274</v>
      </c>
      <c r="N3561" s="10">
        <v>0</v>
      </c>
      <c r="O3561" s="10">
        <f>Table1[[#This Row],[NET Amount]]-Table1[[#This Row],[Paid Amount]]</f>
        <v>1274</v>
      </c>
      <c r="P3561" s="2" t="s">
        <v>23</v>
      </c>
      <c r="Q3561" s="2" t="s">
        <v>54</v>
      </c>
      <c r="R3561" s="16">
        <f>(Table1[[#This Row],[NET Amount]]-Table1[[#This Row],[Total Outstanding Amount]])/Table1[[#This Row],[NET Amount]]</f>
        <v>0</v>
      </c>
      <c r="S3561" s="2" t="s">
        <v>97</v>
      </c>
    </row>
    <row r="3562" spans="1:19" x14ac:dyDescent="0.3">
      <c r="A3562" s="4">
        <v>3560</v>
      </c>
      <c r="B3562" s="2" t="s">
        <v>2258</v>
      </c>
      <c r="C3562" s="3">
        <v>44848</v>
      </c>
      <c r="D3562" s="3" t="str">
        <f>TEXT(Table1[[#This Row],[Admission Date]],"MMMM")</f>
        <v>October</v>
      </c>
      <c r="E3562" s="3">
        <v>44848</v>
      </c>
      <c r="F3562" s="3">
        <v>44848</v>
      </c>
      <c r="G3562" s="2">
        <v>22027088</v>
      </c>
      <c r="H3562" s="2">
        <v>2236005</v>
      </c>
      <c r="I3562" s="2">
        <v>1001763340</v>
      </c>
      <c r="J3562" s="2" t="s">
        <v>121</v>
      </c>
      <c r="K3562" s="10">
        <v>1610</v>
      </c>
      <c r="L3562" s="10">
        <v>0</v>
      </c>
      <c r="M3562" s="10">
        <v>1610</v>
      </c>
      <c r="N3562" s="10">
        <v>0</v>
      </c>
      <c r="O3562" s="10">
        <f>Table1[[#This Row],[NET Amount]]-Table1[[#This Row],[Paid Amount]]</f>
        <v>1610</v>
      </c>
      <c r="P3562" s="2" t="s">
        <v>23</v>
      </c>
      <c r="Q3562" s="2" t="s">
        <v>54</v>
      </c>
      <c r="R3562" s="16">
        <f>(Table1[[#This Row],[NET Amount]]-Table1[[#This Row],[Total Outstanding Amount]])/Table1[[#This Row],[NET Amount]]</f>
        <v>0</v>
      </c>
      <c r="S3562" s="2" t="s">
        <v>97</v>
      </c>
    </row>
    <row r="3563" spans="1:19" x14ac:dyDescent="0.3">
      <c r="A3563" s="4">
        <v>3561</v>
      </c>
      <c r="B3563" s="2" t="s">
        <v>380</v>
      </c>
      <c r="C3563" s="3">
        <v>44854</v>
      </c>
      <c r="D3563" s="3" t="str">
        <f>TEXT(Table1[[#This Row],[Admission Date]],"MMMM")</f>
        <v>October</v>
      </c>
      <c r="E3563" s="3">
        <v>44854</v>
      </c>
      <c r="F3563" s="3">
        <v>44854</v>
      </c>
      <c r="G3563" s="2">
        <v>22027937</v>
      </c>
      <c r="H3563" s="2">
        <v>2236822</v>
      </c>
      <c r="I3563" s="2">
        <v>10013299539</v>
      </c>
      <c r="J3563" s="2" t="s">
        <v>487</v>
      </c>
      <c r="K3563" s="10">
        <v>1274</v>
      </c>
      <c r="L3563" s="10">
        <v>0</v>
      </c>
      <c r="M3563" s="10">
        <v>1274</v>
      </c>
      <c r="N3563" s="10">
        <v>0</v>
      </c>
      <c r="O3563" s="10">
        <f>Table1[[#This Row],[NET Amount]]-Table1[[#This Row],[Paid Amount]]</f>
        <v>1274</v>
      </c>
      <c r="P3563" s="2" t="s">
        <v>23</v>
      </c>
      <c r="Q3563" s="2" t="s">
        <v>54</v>
      </c>
      <c r="R3563" s="16">
        <f>(Table1[[#This Row],[NET Amount]]-Table1[[#This Row],[Total Outstanding Amount]])/Table1[[#This Row],[NET Amount]]</f>
        <v>0</v>
      </c>
      <c r="S3563" s="2" t="s">
        <v>97</v>
      </c>
    </row>
    <row r="3564" spans="1:19" x14ac:dyDescent="0.3">
      <c r="A3564" s="4">
        <v>3562</v>
      </c>
      <c r="B3564" s="2" t="s">
        <v>380</v>
      </c>
      <c r="C3564" s="3">
        <v>44855</v>
      </c>
      <c r="D3564" s="3" t="str">
        <f>TEXT(Table1[[#This Row],[Admission Date]],"MMMM")</f>
        <v>October</v>
      </c>
      <c r="E3564" s="3">
        <v>44855</v>
      </c>
      <c r="F3564" s="3">
        <v>44855</v>
      </c>
      <c r="G3564" s="2">
        <v>22028053</v>
      </c>
      <c r="H3564" s="2">
        <v>2236915</v>
      </c>
      <c r="I3564" s="2">
        <v>1001397167</v>
      </c>
      <c r="J3564" s="2" t="s">
        <v>443</v>
      </c>
      <c r="K3564" s="10">
        <v>1274</v>
      </c>
      <c r="L3564" s="10">
        <v>0</v>
      </c>
      <c r="M3564" s="10">
        <v>1274</v>
      </c>
      <c r="N3564" s="10">
        <v>0</v>
      </c>
      <c r="O3564" s="10">
        <f>Table1[[#This Row],[NET Amount]]-Table1[[#This Row],[Paid Amount]]</f>
        <v>1274</v>
      </c>
      <c r="P3564" s="2" t="s">
        <v>23</v>
      </c>
      <c r="Q3564" s="2" t="s">
        <v>54</v>
      </c>
      <c r="R3564" s="16">
        <f>(Table1[[#This Row],[NET Amount]]-Table1[[#This Row],[Total Outstanding Amount]])/Table1[[#This Row],[NET Amount]]</f>
        <v>0</v>
      </c>
      <c r="S3564" s="2" t="s">
        <v>97</v>
      </c>
    </row>
    <row r="3565" spans="1:19" x14ac:dyDescent="0.3">
      <c r="A3565" s="4">
        <v>3563</v>
      </c>
      <c r="B3565" s="2" t="s">
        <v>380</v>
      </c>
      <c r="C3565" s="3">
        <v>44853</v>
      </c>
      <c r="D3565" s="3" t="str">
        <f>TEXT(Table1[[#This Row],[Admission Date]],"MMMM")</f>
        <v>October</v>
      </c>
      <c r="E3565" s="3">
        <v>44853</v>
      </c>
      <c r="F3565" s="3">
        <v>44853</v>
      </c>
      <c r="G3565" s="2">
        <v>22027796</v>
      </c>
      <c r="H3565" s="2">
        <v>2236693</v>
      </c>
      <c r="I3565" s="2">
        <v>10013499172</v>
      </c>
      <c r="J3565" s="2" t="s">
        <v>369</v>
      </c>
      <c r="K3565" s="10">
        <v>1274</v>
      </c>
      <c r="L3565" s="10">
        <v>0</v>
      </c>
      <c r="M3565" s="10">
        <v>1274</v>
      </c>
      <c r="N3565" s="10">
        <v>0</v>
      </c>
      <c r="O3565" s="10">
        <f>Table1[[#This Row],[NET Amount]]-Table1[[#This Row],[Paid Amount]]</f>
        <v>1274</v>
      </c>
      <c r="P3565" s="2" t="s">
        <v>23</v>
      </c>
      <c r="Q3565" s="2" t="s">
        <v>54</v>
      </c>
      <c r="R3565" s="16">
        <f>(Table1[[#This Row],[NET Amount]]-Table1[[#This Row],[Total Outstanding Amount]])/Table1[[#This Row],[NET Amount]]</f>
        <v>0</v>
      </c>
      <c r="S3565" s="2" t="s">
        <v>97</v>
      </c>
    </row>
    <row r="3566" spans="1:19" x14ac:dyDescent="0.3">
      <c r="A3566" s="4">
        <v>3564</v>
      </c>
      <c r="B3566" s="2" t="s">
        <v>380</v>
      </c>
      <c r="C3566" s="3">
        <v>44837</v>
      </c>
      <c r="D3566" s="3" t="str">
        <f>TEXT(Table1[[#This Row],[Admission Date]],"MMMM")</f>
        <v>October</v>
      </c>
      <c r="E3566" s="3">
        <v>44837</v>
      </c>
      <c r="F3566" s="3">
        <v>44837</v>
      </c>
      <c r="G3566" s="2">
        <v>22025352</v>
      </c>
      <c r="H3566" s="2">
        <v>2234369</v>
      </c>
      <c r="I3566" s="2">
        <v>1000899251</v>
      </c>
      <c r="J3566" s="2" t="s">
        <v>789</v>
      </c>
      <c r="K3566" s="10">
        <v>1274</v>
      </c>
      <c r="L3566" s="10">
        <v>0</v>
      </c>
      <c r="M3566" s="10">
        <v>1274</v>
      </c>
      <c r="N3566" s="10">
        <v>0</v>
      </c>
      <c r="O3566" s="10">
        <f>Table1[[#This Row],[NET Amount]]-Table1[[#This Row],[Paid Amount]]</f>
        <v>1274</v>
      </c>
      <c r="P3566" s="2" t="s">
        <v>23</v>
      </c>
      <c r="Q3566" s="2" t="s">
        <v>54</v>
      </c>
      <c r="R3566" s="16">
        <f>(Table1[[#This Row],[NET Amount]]-Table1[[#This Row],[Total Outstanding Amount]])/Table1[[#This Row],[NET Amount]]</f>
        <v>0</v>
      </c>
      <c r="S3566" s="2" t="s">
        <v>97</v>
      </c>
    </row>
    <row r="3567" spans="1:19" x14ac:dyDescent="0.3">
      <c r="A3567" s="4">
        <v>3565</v>
      </c>
      <c r="B3567" s="2" t="s">
        <v>2263</v>
      </c>
      <c r="C3567" s="3">
        <v>44838</v>
      </c>
      <c r="D3567" s="3" t="str">
        <f>TEXT(Table1[[#This Row],[Admission Date]],"MMMM")</f>
        <v>October</v>
      </c>
      <c r="E3567" s="3">
        <v>44838</v>
      </c>
      <c r="F3567" s="3">
        <v>44838</v>
      </c>
      <c r="G3567" s="2">
        <v>22025602</v>
      </c>
      <c r="H3567" s="2">
        <v>2234601</v>
      </c>
      <c r="I3567" s="2">
        <v>1001777331</v>
      </c>
      <c r="J3567" s="2" t="s">
        <v>791</v>
      </c>
      <c r="K3567" s="10">
        <v>1274</v>
      </c>
      <c r="L3567" s="10">
        <v>0</v>
      </c>
      <c r="M3567" s="10">
        <v>1274</v>
      </c>
      <c r="N3567" s="10">
        <v>0</v>
      </c>
      <c r="O3567" s="10">
        <f>Table1[[#This Row],[NET Amount]]-Table1[[#This Row],[Paid Amount]]</f>
        <v>1274</v>
      </c>
      <c r="P3567" s="2" t="s">
        <v>23</v>
      </c>
      <c r="Q3567" s="2" t="s">
        <v>54</v>
      </c>
      <c r="R3567" s="16">
        <f>(Table1[[#This Row],[NET Amount]]-Table1[[#This Row],[Total Outstanding Amount]])/Table1[[#This Row],[NET Amount]]</f>
        <v>0</v>
      </c>
      <c r="S3567" s="2" t="s">
        <v>97</v>
      </c>
    </row>
    <row r="3568" spans="1:19" x14ac:dyDescent="0.3">
      <c r="A3568" s="4">
        <v>3566</v>
      </c>
      <c r="B3568" s="2" t="s">
        <v>2263</v>
      </c>
      <c r="C3568" s="3">
        <v>44852</v>
      </c>
      <c r="D3568" s="3" t="str">
        <f>TEXT(Table1[[#This Row],[Admission Date]],"MMMM")</f>
        <v>October</v>
      </c>
      <c r="E3568" s="3">
        <v>44852</v>
      </c>
      <c r="F3568" s="3">
        <v>44852</v>
      </c>
      <c r="G3568" s="2">
        <v>22027529</v>
      </c>
      <c r="H3568" s="2">
        <v>2236442</v>
      </c>
      <c r="I3568" s="2">
        <v>1001751950</v>
      </c>
      <c r="J3568" s="2" t="s">
        <v>786</v>
      </c>
      <c r="K3568" s="10">
        <v>1274</v>
      </c>
      <c r="L3568" s="10">
        <v>0</v>
      </c>
      <c r="M3568" s="10">
        <v>1274</v>
      </c>
      <c r="N3568" s="10">
        <v>0</v>
      </c>
      <c r="O3568" s="10">
        <f>Table1[[#This Row],[NET Amount]]-Table1[[#This Row],[Paid Amount]]</f>
        <v>1274</v>
      </c>
      <c r="P3568" s="2" t="s">
        <v>23</v>
      </c>
      <c r="Q3568" s="2" t="s">
        <v>54</v>
      </c>
      <c r="R3568" s="16">
        <f>(Table1[[#This Row],[NET Amount]]-Table1[[#This Row],[Total Outstanding Amount]])/Table1[[#This Row],[NET Amount]]</f>
        <v>0</v>
      </c>
      <c r="S3568" s="2" t="s">
        <v>97</v>
      </c>
    </row>
    <row r="3569" spans="1:19" x14ac:dyDescent="0.3">
      <c r="A3569" s="4">
        <v>3567</v>
      </c>
      <c r="B3569" s="2" t="s">
        <v>2270</v>
      </c>
      <c r="C3569" s="3">
        <v>44848</v>
      </c>
      <c r="D3569" s="3" t="str">
        <f>TEXT(Table1[[#This Row],[Admission Date]],"MMMM")</f>
        <v>October</v>
      </c>
      <c r="E3569" s="3">
        <v>44850</v>
      </c>
      <c r="F3569" s="3">
        <v>44850</v>
      </c>
      <c r="G3569" s="2">
        <v>22027294</v>
      </c>
      <c r="H3569" s="2">
        <v>2235930</v>
      </c>
      <c r="I3569" s="2">
        <v>10013541339</v>
      </c>
      <c r="J3569" s="2" t="s">
        <v>1417</v>
      </c>
      <c r="K3569" s="10">
        <v>12650</v>
      </c>
      <c r="L3569" s="10">
        <v>0</v>
      </c>
      <c r="M3569" s="10">
        <v>12650</v>
      </c>
      <c r="N3569" s="10">
        <v>0</v>
      </c>
      <c r="O3569" s="10">
        <f>Table1[[#This Row],[NET Amount]]-Table1[[#This Row],[Paid Amount]]</f>
        <v>12650</v>
      </c>
      <c r="P3569" s="2" t="s">
        <v>23</v>
      </c>
      <c r="Q3569" s="2" t="s">
        <v>24</v>
      </c>
      <c r="R3569" s="16">
        <f>(Table1[[#This Row],[NET Amount]]-Table1[[#This Row],[Total Outstanding Amount]])/Table1[[#This Row],[NET Amount]]</f>
        <v>0</v>
      </c>
      <c r="S3569" s="2" t="s">
        <v>77</v>
      </c>
    </row>
    <row r="3570" spans="1:19" x14ac:dyDescent="0.3">
      <c r="A3570" s="4">
        <v>3568</v>
      </c>
      <c r="B3570" s="2" t="s">
        <v>380</v>
      </c>
      <c r="C3570" s="3">
        <v>44860</v>
      </c>
      <c r="D3570" s="3" t="str">
        <f>TEXT(Table1[[#This Row],[Admission Date]],"MMMM")</f>
        <v>October</v>
      </c>
      <c r="E3570" s="3">
        <v>44860</v>
      </c>
      <c r="F3570" s="3">
        <v>44860</v>
      </c>
      <c r="G3570" s="2">
        <v>22028663</v>
      </c>
      <c r="H3570" s="2">
        <v>2237505</v>
      </c>
      <c r="I3570" s="2">
        <v>10013241267</v>
      </c>
      <c r="J3570" s="2" t="s">
        <v>480</v>
      </c>
      <c r="K3570" s="10">
        <v>1274</v>
      </c>
      <c r="L3570" s="10">
        <v>0</v>
      </c>
      <c r="M3570" s="10">
        <v>1274</v>
      </c>
      <c r="N3570" s="10">
        <v>0</v>
      </c>
      <c r="O3570" s="10">
        <f>Table1[[#This Row],[NET Amount]]-Table1[[#This Row],[Paid Amount]]</f>
        <v>1274</v>
      </c>
      <c r="P3570" s="2" t="s">
        <v>23</v>
      </c>
      <c r="Q3570" s="2" t="s">
        <v>54</v>
      </c>
      <c r="R3570" s="16">
        <f>(Table1[[#This Row],[NET Amount]]-Table1[[#This Row],[Total Outstanding Amount]])/Table1[[#This Row],[NET Amount]]</f>
        <v>0</v>
      </c>
      <c r="S3570" s="2" t="s">
        <v>97</v>
      </c>
    </row>
    <row r="3571" spans="1:19" x14ac:dyDescent="0.3">
      <c r="A3571" s="4">
        <v>3569</v>
      </c>
      <c r="B3571" s="2" t="s">
        <v>380</v>
      </c>
      <c r="C3571" s="3">
        <v>44864</v>
      </c>
      <c r="D3571" s="3" t="str">
        <f>TEXT(Table1[[#This Row],[Admission Date]],"MMMM")</f>
        <v>October</v>
      </c>
      <c r="E3571" s="3">
        <v>44865</v>
      </c>
      <c r="F3571" s="3">
        <v>44865</v>
      </c>
      <c r="G3571" s="2">
        <v>22029256</v>
      </c>
      <c r="H3571" s="2">
        <v>2238083</v>
      </c>
      <c r="I3571" s="2">
        <v>1001807134</v>
      </c>
      <c r="J3571" s="2" t="s">
        <v>84</v>
      </c>
      <c r="K3571" s="10">
        <v>99394</v>
      </c>
      <c r="L3571" s="10">
        <v>0</v>
      </c>
      <c r="M3571" s="10">
        <v>99394</v>
      </c>
      <c r="N3571" s="10">
        <v>0</v>
      </c>
      <c r="O3571" s="10">
        <f>Table1[[#This Row],[NET Amount]]-Table1[[#This Row],[Paid Amount]]</f>
        <v>99394</v>
      </c>
      <c r="P3571" s="2" t="s">
        <v>23</v>
      </c>
      <c r="Q3571" s="2" t="s">
        <v>406</v>
      </c>
      <c r="R3571" s="16">
        <f>(Table1[[#This Row],[NET Amount]]-Table1[[#This Row],[Total Outstanding Amount]])/Table1[[#This Row],[NET Amount]]</f>
        <v>0</v>
      </c>
      <c r="S3571" s="2" t="s">
        <v>39</v>
      </c>
    </row>
    <row r="3572" spans="1:19" x14ac:dyDescent="0.3">
      <c r="A3572" s="4">
        <v>3570</v>
      </c>
      <c r="B3572" s="2" t="s">
        <v>2263</v>
      </c>
      <c r="C3572" s="3">
        <v>44846</v>
      </c>
      <c r="D3572" s="3" t="str">
        <f>TEXT(Table1[[#This Row],[Admission Date]],"MMMM")</f>
        <v>October</v>
      </c>
      <c r="E3572" s="3">
        <v>44846</v>
      </c>
      <c r="F3572" s="3">
        <v>44846</v>
      </c>
      <c r="G3572" s="2">
        <v>22026658</v>
      </c>
      <c r="H3572" s="2">
        <v>2235646</v>
      </c>
      <c r="I3572" s="2">
        <v>1001367923</v>
      </c>
      <c r="J3572" s="2" t="s">
        <v>391</v>
      </c>
      <c r="K3572" s="10">
        <v>1274</v>
      </c>
      <c r="L3572" s="10">
        <v>0</v>
      </c>
      <c r="M3572" s="10">
        <v>1274</v>
      </c>
      <c r="N3572" s="10">
        <v>0</v>
      </c>
      <c r="O3572" s="10">
        <f>Table1[[#This Row],[NET Amount]]-Table1[[#This Row],[Paid Amount]]</f>
        <v>1274</v>
      </c>
      <c r="P3572" s="2" t="s">
        <v>23</v>
      </c>
      <c r="Q3572" s="2" t="s">
        <v>54</v>
      </c>
      <c r="R3572" s="16">
        <f>(Table1[[#This Row],[NET Amount]]-Table1[[#This Row],[Total Outstanding Amount]])/Table1[[#This Row],[NET Amount]]</f>
        <v>0</v>
      </c>
      <c r="S3572" s="2" t="s">
        <v>97</v>
      </c>
    </row>
    <row r="3573" spans="1:19" x14ac:dyDescent="0.3">
      <c r="A3573" s="4">
        <v>3571</v>
      </c>
      <c r="B3573" s="2" t="s">
        <v>380</v>
      </c>
      <c r="C3573" s="3">
        <v>44841</v>
      </c>
      <c r="D3573" s="3" t="str">
        <f>TEXT(Table1[[#This Row],[Admission Date]],"MMMM")</f>
        <v>October</v>
      </c>
      <c r="E3573" s="3">
        <v>44841</v>
      </c>
      <c r="F3573" s="3">
        <v>44841</v>
      </c>
      <c r="G3573" s="2">
        <v>22025939</v>
      </c>
      <c r="H3573" s="2">
        <v>2234997</v>
      </c>
      <c r="I3573" s="2">
        <v>1000889533</v>
      </c>
      <c r="J3573" s="2" t="s">
        <v>466</v>
      </c>
      <c r="K3573" s="10">
        <v>1274</v>
      </c>
      <c r="L3573" s="10">
        <v>0</v>
      </c>
      <c r="M3573" s="10">
        <v>1274</v>
      </c>
      <c r="N3573" s="10">
        <v>0</v>
      </c>
      <c r="O3573" s="10">
        <f>Table1[[#This Row],[NET Amount]]-Table1[[#This Row],[Paid Amount]]</f>
        <v>1274</v>
      </c>
      <c r="P3573" s="2" t="s">
        <v>23</v>
      </c>
      <c r="Q3573" s="2" t="s">
        <v>54</v>
      </c>
      <c r="R3573" s="16">
        <f>(Table1[[#This Row],[NET Amount]]-Table1[[#This Row],[Total Outstanding Amount]])/Table1[[#This Row],[NET Amount]]</f>
        <v>0</v>
      </c>
      <c r="S3573" s="2" t="s">
        <v>97</v>
      </c>
    </row>
    <row r="3574" spans="1:19" x14ac:dyDescent="0.3">
      <c r="A3574" s="4">
        <v>3572</v>
      </c>
      <c r="B3574" s="2" t="s">
        <v>45</v>
      </c>
      <c r="C3574" s="3">
        <v>44848</v>
      </c>
      <c r="D3574" s="3" t="str">
        <f>TEXT(Table1[[#This Row],[Admission Date]],"MMMM")</f>
        <v>October</v>
      </c>
      <c r="E3574" s="3">
        <v>44848</v>
      </c>
      <c r="F3574" s="3">
        <v>44848</v>
      </c>
      <c r="G3574" s="2">
        <v>22026971</v>
      </c>
      <c r="H3574" s="2">
        <v>2235920</v>
      </c>
      <c r="I3574" s="2">
        <v>1001020879</v>
      </c>
      <c r="J3574" s="2" t="s">
        <v>462</v>
      </c>
      <c r="K3574" s="10">
        <v>2200</v>
      </c>
      <c r="L3574" s="10">
        <v>0</v>
      </c>
      <c r="M3574" s="10">
        <v>2200</v>
      </c>
      <c r="N3574" s="10">
        <v>0</v>
      </c>
      <c r="O3574" s="10">
        <f>Table1[[#This Row],[NET Amount]]-Table1[[#This Row],[Paid Amount]]</f>
        <v>2200</v>
      </c>
      <c r="P3574" s="2" t="s">
        <v>23</v>
      </c>
      <c r="Q3574" s="2" t="s">
        <v>147</v>
      </c>
      <c r="R3574" s="16">
        <f>(Table1[[#This Row],[NET Amount]]-Table1[[#This Row],[Total Outstanding Amount]])/Table1[[#This Row],[NET Amount]]</f>
        <v>0</v>
      </c>
      <c r="S3574" s="2" t="s">
        <v>97</v>
      </c>
    </row>
    <row r="3575" spans="1:19" x14ac:dyDescent="0.3">
      <c r="A3575" s="4">
        <v>3573</v>
      </c>
      <c r="B3575" s="2" t="s">
        <v>380</v>
      </c>
      <c r="C3575" s="3">
        <v>44862</v>
      </c>
      <c r="D3575" s="3" t="str">
        <f>TEXT(Table1[[#This Row],[Admission Date]],"MMMM")</f>
        <v>October</v>
      </c>
      <c r="E3575" s="3">
        <v>44862</v>
      </c>
      <c r="F3575" s="3">
        <v>44862</v>
      </c>
      <c r="G3575" s="2">
        <v>22028866</v>
      </c>
      <c r="H3575" s="2">
        <v>2237764</v>
      </c>
      <c r="I3575" s="2">
        <v>1000889533</v>
      </c>
      <c r="J3575" s="2" t="s">
        <v>466</v>
      </c>
      <c r="K3575" s="10">
        <v>1274</v>
      </c>
      <c r="L3575" s="10">
        <v>0</v>
      </c>
      <c r="M3575" s="10">
        <v>1274</v>
      </c>
      <c r="N3575" s="10">
        <v>0</v>
      </c>
      <c r="O3575" s="10">
        <f>Table1[[#This Row],[NET Amount]]-Table1[[#This Row],[Paid Amount]]</f>
        <v>1274</v>
      </c>
      <c r="P3575" s="2" t="s">
        <v>23</v>
      </c>
      <c r="Q3575" s="2" t="s">
        <v>54</v>
      </c>
      <c r="R3575" s="16">
        <f>(Table1[[#This Row],[NET Amount]]-Table1[[#This Row],[Total Outstanding Amount]])/Table1[[#This Row],[NET Amount]]</f>
        <v>0</v>
      </c>
      <c r="S3575" s="2" t="s">
        <v>97</v>
      </c>
    </row>
    <row r="3576" spans="1:19" x14ac:dyDescent="0.3">
      <c r="A3576" s="4">
        <v>3574</v>
      </c>
      <c r="B3576" s="2" t="s">
        <v>380</v>
      </c>
      <c r="C3576" s="3">
        <v>44860</v>
      </c>
      <c r="D3576" s="3" t="str">
        <f>TEXT(Table1[[#This Row],[Admission Date]],"MMMM")</f>
        <v>October</v>
      </c>
      <c r="E3576" s="3">
        <v>44860</v>
      </c>
      <c r="F3576" s="3">
        <v>44860</v>
      </c>
      <c r="G3576" s="2">
        <v>22028687</v>
      </c>
      <c r="H3576" s="2">
        <v>2237533</v>
      </c>
      <c r="I3576" s="2">
        <v>10013385641</v>
      </c>
      <c r="J3576" s="2" t="s">
        <v>799</v>
      </c>
      <c r="K3576" s="10">
        <v>1274</v>
      </c>
      <c r="L3576" s="10">
        <v>0</v>
      </c>
      <c r="M3576" s="10">
        <v>1274</v>
      </c>
      <c r="N3576" s="10">
        <v>0</v>
      </c>
      <c r="O3576" s="10">
        <f>Table1[[#This Row],[NET Amount]]-Table1[[#This Row],[Paid Amount]]</f>
        <v>1274</v>
      </c>
      <c r="P3576" s="2" t="s">
        <v>23</v>
      </c>
      <c r="Q3576" s="2" t="s">
        <v>54</v>
      </c>
      <c r="R3576" s="16">
        <f>(Table1[[#This Row],[NET Amount]]-Table1[[#This Row],[Total Outstanding Amount]])/Table1[[#This Row],[NET Amount]]</f>
        <v>0</v>
      </c>
      <c r="S3576" s="2" t="s">
        <v>97</v>
      </c>
    </row>
    <row r="3577" spans="1:19" x14ac:dyDescent="0.3">
      <c r="A3577" s="4">
        <v>3575</v>
      </c>
      <c r="B3577" s="2" t="s">
        <v>2260</v>
      </c>
      <c r="C3577" s="3">
        <v>44847</v>
      </c>
      <c r="D3577" s="3" t="str">
        <f>TEXT(Table1[[#This Row],[Admission Date]],"MMMM")</f>
        <v>October</v>
      </c>
      <c r="E3577" s="3">
        <v>44847</v>
      </c>
      <c r="F3577" s="3">
        <v>44847</v>
      </c>
      <c r="G3577" s="2">
        <v>22026921</v>
      </c>
      <c r="H3577" s="2">
        <v>2235849</v>
      </c>
      <c r="I3577" s="2">
        <v>1001756832</v>
      </c>
      <c r="J3577" s="2" t="s">
        <v>326</v>
      </c>
      <c r="K3577" s="10">
        <v>1610</v>
      </c>
      <c r="L3577" s="10">
        <v>0</v>
      </c>
      <c r="M3577" s="10">
        <v>1610</v>
      </c>
      <c r="N3577" s="10">
        <v>0</v>
      </c>
      <c r="O3577" s="10">
        <f>Table1[[#This Row],[NET Amount]]-Table1[[#This Row],[Paid Amount]]</f>
        <v>1610</v>
      </c>
      <c r="P3577" s="2" t="s">
        <v>23</v>
      </c>
      <c r="Q3577" s="2" t="s">
        <v>54</v>
      </c>
      <c r="R3577" s="16">
        <f>(Table1[[#This Row],[NET Amount]]-Table1[[#This Row],[Total Outstanding Amount]])/Table1[[#This Row],[NET Amount]]</f>
        <v>0</v>
      </c>
      <c r="S3577" s="2" t="s">
        <v>97</v>
      </c>
    </row>
    <row r="3578" spans="1:19" x14ac:dyDescent="0.3">
      <c r="A3578" s="4">
        <v>3576</v>
      </c>
      <c r="B3578" s="2" t="s">
        <v>2273</v>
      </c>
      <c r="C3578" s="3">
        <v>44849</v>
      </c>
      <c r="D3578" s="3" t="str">
        <f>TEXT(Table1[[#This Row],[Admission Date]],"MMMM")</f>
        <v>October</v>
      </c>
      <c r="E3578" s="3">
        <v>44849</v>
      </c>
      <c r="F3578" s="3">
        <v>44849</v>
      </c>
      <c r="G3578" s="2">
        <v>22027263</v>
      </c>
      <c r="H3578" s="2">
        <v>2236164</v>
      </c>
      <c r="I3578" s="2">
        <v>1001753780</v>
      </c>
      <c r="J3578" s="2" t="s">
        <v>772</v>
      </c>
      <c r="K3578" s="10">
        <v>2950</v>
      </c>
      <c r="L3578" s="10">
        <v>0</v>
      </c>
      <c r="M3578" s="10">
        <v>2950</v>
      </c>
      <c r="N3578" s="10">
        <v>0</v>
      </c>
      <c r="O3578" s="10">
        <f>Table1[[#This Row],[NET Amount]]-Table1[[#This Row],[Paid Amount]]</f>
        <v>2950</v>
      </c>
      <c r="P3578" s="2" t="s">
        <v>23</v>
      </c>
      <c r="Q3578" s="2" t="s">
        <v>54</v>
      </c>
      <c r="R3578" s="16">
        <f>(Table1[[#This Row],[NET Amount]]-Table1[[#This Row],[Total Outstanding Amount]])/Table1[[#This Row],[NET Amount]]</f>
        <v>0</v>
      </c>
      <c r="S3578" s="2" t="s">
        <v>97</v>
      </c>
    </row>
    <row r="3579" spans="1:19" x14ac:dyDescent="0.3">
      <c r="A3579" s="4">
        <v>3577</v>
      </c>
      <c r="B3579" s="2" t="s">
        <v>407</v>
      </c>
      <c r="C3579" s="3">
        <v>44846</v>
      </c>
      <c r="D3579" s="3" t="str">
        <f>TEXT(Table1[[#This Row],[Admission Date]],"MMMM")</f>
        <v>October</v>
      </c>
      <c r="E3579" s="3">
        <v>44849</v>
      </c>
      <c r="F3579" s="3">
        <v>44849</v>
      </c>
      <c r="G3579" s="2">
        <v>22027183</v>
      </c>
      <c r="H3579" s="2">
        <v>2235733</v>
      </c>
      <c r="I3579" s="2">
        <v>1000881577</v>
      </c>
      <c r="J3579" s="2" t="s">
        <v>188</v>
      </c>
      <c r="K3579" s="10">
        <v>31583</v>
      </c>
      <c r="L3579" s="10">
        <v>0</v>
      </c>
      <c r="M3579" s="10">
        <v>31583</v>
      </c>
      <c r="N3579" s="10">
        <v>0</v>
      </c>
      <c r="O3579" s="10">
        <f>Table1[[#This Row],[NET Amount]]-Table1[[#This Row],[Paid Amount]]</f>
        <v>31583</v>
      </c>
      <c r="P3579" s="2" t="s">
        <v>23</v>
      </c>
      <c r="Q3579" s="2" t="s">
        <v>24</v>
      </c>
      <c r="R3579" s="16">
        <f>(Table1[[#This Row],[NET Amount]]-Table1[[#This Row],[Total Outstanding Amount]])/Table1[[#This Row],[NET Amount]]</f>
        <v>0</v>
      </c>
      <c r="S3579" s="2" t="s">
        <v>20</v>
      </c>
    </row>
    <row r="3580" spans="1:19" x14ac:dyDescent="0.3">
      <c r="A3580" s="4">
        <v>3578</v>
      </c>
      <c r="B3580" s="2" t="s">
        <v>380</v>
      </c>
      <c r="C3580" s="3">
        <v>44838</v>
      </c>
      <c r="D3580" s="3" t="str">
        <f>TEXT(Table1[[#This Row],[Admission Date]],"MMMM")</f>
        <v>October</v>
      </c>
      <c r="E3580" s="3">
        <v>44838</v>
      </c>
      <c r="F3580" s="3">
        <v>44838</v>
      </c>
      <c r="G3580" s="2">
        <v>22025614</v>
      </c>
      <c r="H3580" s="2">
        <v>2234614</v>
      </c>
      <c r="I3580" s="2">
        <v>1001039513</v>
      </c>
      <c r="J3580" s="2" t="s">
        <v>444</v>
      </c>
      <c r="K3580" s="10">
        <v>1274</v>
      </c>
      <c r="L3580" s="10">
        <v>0</v>
      </c>
      <c r="M3580" s="10">
        <v>1274</v>
      </c>
      <c r="N3580" s="10">
        <v>0</v>
      </c>
      <c r="O3580" s="10">
        <f>Table1[[#This Row],[NET Amount]]-Table1[[#This Row],[Paid Amount]]</f>
        <v>1274</v>
      </c>
      <c r="P3580" s="2" t="s">
        <v>23</v>
      </c>
      <c r="Q3580" s="2" t="s">
        <v>54</v>
      </c>
      <c r="R3580" s="16">
        <f>(Table1[[#This Row],[NET Amount]]-Table1[[#This Row],[Total Outstanding Amount]])/Table1[[#This Row],[NET Amount]]</f>
        <v>0</v>
      </c>
      <c r="S3580" s="2" t="s">
        <v>97</v>
      </c>
    </row>
    <row r="3581" spans="1:19" x14ac:dyDescent="0.3">
      <c r="A3581" s="4">
        <v>3579</v>
      </c>
      <c r="B3581" s="2" t="s">
        <v>2263</v>
      </c>
      <c r="C3581" s="3">
        <v>44844</v>
      </c>
      <c r="D3581" s="3" t="str">
        <f>TEXT(Table1[[#This Row],[Admission Date]],"MMMM")</f>
        <v>October</v>
      </c>
      <c r="E3581" s="3">
        <v>44844</v>
      </c>
      <c r="F3581" s="3">
        <v>44844</v>
      </c>
      <c r="G3581" s="2">
        <v>22026433</v>
      </c>
      <c r="H3581" s="2">
        <v>2235402</v>
      </c>
      <c r="I3581" s="2">
        <v>1001647517</v>
      </c>
      <c r="J3581" s="2" t="s">
        <v>802</v>
      </c>
      <c r="K3581" s="10">
        <v>1274</v>
      </c>
      <c r="L3581" s="10">
        <v>0</v>
      </c>
      <c r="M3581" s="10">
        <v>1274</v>
      </c>
      <c r="N3581" s="10">
        <v>0</v>
      </c>
      <c r="O3581" s="10">
        <f>Table1[[#This Row],[NET Amount]]-Table1[[#This Row],[Paid Amount]]</f>
        <v>1274</v>
      </c>
      <c r="P3581" s="2" t="s">
        <v>23</v>
      </c>
      <c r="Q3581" s="2" t="s">
        <v>54</v>
      </c>
      <c r="R3581" s="16">
        <f>(Table1[[#This Row],[NET Amount]]-Table1[[#This Row],[Total Outstanding Amount]])/Table1[[#This Row],[NET Amount]]</f>
        <v>0</v>
      </c>
      <c r="S3581" s="2" t="s">
        <v>97</v>
      </c>
    </row>
    <row r="3582" spans="1:19" x14ac:dyDescent="0.3">
      <c r="A3582" s="4">
        <v>3580</v>
      </c>
      <c r="B3582" s="2" t="s">
        <v>380</v>
      </c>
      <c r="C3582" s="3">
        <v>44838</v>
      </c>
      <c r="D3582" s="3" t="str">
        <f>TEXT(Table1[[#This Row],[Admission Date]],"MMMM")</f>
        <v>October</v>
      </c>
      <c r="E3582" s="3">
        <v>44838</v>
      </c>
      <c r="F3582" s="3">
        <v>44838</v>
      </c>
      <c r="G3582" s="2">
        <v>22025627</v>
      </c>
      <c r="H3582" s="2">
        <v>2234637</v>
      </c>
      <c r="I3582" s="2">
        <v>10013316109</v>
      </c>
      <c r="J3582" s="2" t="s">
        <v>793</v>
      </c>
      <c r="K3582" s="10">
        <v>1274</v>
      </c>
      <c r="L3582" s="10">
        <v>0</v>
      </c>
      <c r="M3582" s="10">
        <v>1274</v>
      </c>
      <c r="N3582" s="10">
        <v>0</v>
      </c>
      <c r="O3582" s="10">
        <f>Table1[[#This Row],[NET Amount]]-Table1[[#This Row],[Paid Amount]]</f>
        <v>1274</v>
      </c>
      <c r="P3582" s="2" t="s">
        <v>23</v>
      </c>
      <c r="Q3582" s="2" t="s">
        <v>54</v>
      </c>
      <c r="R3582" s="16">
        <f>(Table1[[#This Row],[NET Amount]]-Table1[[#This Row],[Total Outstanding Amount]])/Table1[[#This Row],[NET Amount]]</f>
        <v>0</v>
      </c>
      <c r="S3582" s="2" t="s">
        <v>97</v>
      </c>
    </row>
    <row r="3583" spans="1:19" x14ac:dyDescent="0.3">
      <c r="A3583" s="4">
        <v>3581</v>
      </c>
      <c r="B3583" s="2" t="s">
        <v>380</v>
      </c>
      <c r="C3583" s="3">
        <v>44838</v>
      </c>
      <c r="D3583" s="3" t="str">
        <f>TEXT(Table1[[#This Row],[Admission Date]],"MMMM")</f>
        <v>October</v>
      </c>
      <c r="E3583" s="3">
        <v>44838</v>
      </c>
      <c r="F3583" s="3">
        <v>44838</v>
      </c>
      <c r="G3583" s="2">
        <v>22025491</v>
      </c>
      <c r="H3583" s="2">
        <v>2234522</v>
      </c>
      <c r="I3583" s="2">
        <v>10013471316</v>
      </c>
      <c r="J3583" s="2" t="s">
        <v>2015</v>
      </c>
      <c r="K3583" s="10">
        <v>1274</v>
      </c>
      <c r="L3583" s="10">
        <v>0</v>
      </c>
      <c r="M3583" s="10">
        <v>1274</v>
      </c>
      <c r="N3583" s="10">
        <v>0</v>
      </c>
      <c r="O3583" s="10">
        <f>Table1[[#This Row],[NET Amount]]-Table1[[#This Row],[Paid Amount]]</f>
        <v>1274</v>
      </c>
      <c r="P3583" s="2" t="s">
        <v>23</v>
      </c>
      <c r="Q3583" s="2" t="s">
        <v>54</v>
      </c>
      <c r="R3583" s="16">
        <f>(Table1[[#This Row],[NET Amount]]-Table1[[#This Row],[Total Outstanding Amount]])/Table1[[#This Row],[NET Amount]]</f>
        <v>0</v>
      </c>
      <c r="S3583" s="2" t="s">
        <v>97</v>
      </c>
    </row>
    <row r="3584" spans="1:19" x14ac:dyDescent="0.3">
      <c r="A3584" s="4">
        <v>3582</v>
      </c>
      <c r="B3584" s="2" t="s">
        <v>380</v>
      </c>
      <c r="C3584" s="3">
        <v>44851</v>
      </c>
      <c r="D3584" s="3" t="str">
        <f>TEXT(Table1[[#This Row],[Admission Date]],"MMMM")</f>
        <v>October</v>
      </c>
      <c r="E3584" s="3">
        <v>44851</v>
      </c>
      <c r="F3584" s="3">
        <v>44851</v>
      </c>
      <c r="G3584" s="2">
        <v>22027491</v>
      </c>
      <c r="H3584" s="2">
        <v>2236381</v>
      </c>
      <c r="I3584" s="2">
        <v>10013513950</v>
      </c>
      <c r="J3584" s="2" t="s">
        <v>491</v>
      </c>
      <c r="K3584" s="10">
        <v>1274</v>
      </c>
      <c r="L3584" s="10">
        <v>0</v>
      </c>
      <c r="M3584" s="10">
        <v>1274</v>
      </c>
      <c r="N3584" s="10">
        <v>0</v>
      </c>
      <c r="O3584" s="10">
        <f>Table1[[#This Row],[NET Amount]]-Table1[[#This Row],[Paid Amount]]</f>
        <v>1274</v>
      </c>
      <c r="P3584" s="2" t="s">
        <v>23</v>
      </c>
      <c r="Q3584" s="2" t="s">
        <v>54</v>
      </c>
      <c r="R3584" s="16">
        <f>(Table1[[#This Row],[NET Amount]]-Table1[[#This Row],[Total Outstanding Amount]])/Table1[[#This Row],[NET Amount]]</f>
        <v>0</v>
      </c>
      <c r="S3584" s="2" t="s">
        <v>97</v>
      </c>
    </row>
    <row r="3585" spans="1:19" x14ac:dyDescent="0.3">
      <c r="A3585" s="4">
        <v>3583</v>
      </c>
      <c r="B3585" s="2" t="s">
        <v>380</v>
      </c>
      <c r="C3585" s="3">
        <v>44852</v>
      </c>
      <c r="D3585" s="3" t="str">
        <f>TEXT(Table1[[#This Row],[Admission Date]],"MMMM")</f>
        <v>October</v>
      </c>
      <c r="E3585" s="3">
        <v>44852</v>
      </c>
      <c r="F3585" s="3">
        <v>44852</v>
      </c>
      <c r="G3585" s="2">
        <v>22027635</v>
      </c>
      <c r="H3585" s="2">
        <v>2236545</v>
      </c>
      <c r="I3585" s="2">
        <v>1000891355</v>
      </c>
      <c r="J3585" s="2" t="s">
        <v>792</v>
      </c>
      <c r="K3585" s="10">
        <v>1274</v>
      </c>
      <c r="L3585" s="10">
        <v>0</v>
      </c>
      <c r="M3585" s="10">
        <v>1274</v>
      </c>
      <c r="N3585" s="10">
        <v>0</v>
      </c>
      <c r="O3585" s="10">
        <f>Table1[[#This Row],[NET Amount]]-Table1[[#This Row],[Paid Amount]]</f>
        <v>1274</v>
      </c>
      <c r="P3585" s="2" t="s">
        <v>23</v>
      </c>
      <c r="Q3585" s="2" t="s">
        <v>54</v>
      </c>
      <c r="R3585" s="16">
        <f>(Table1[[#This Row],[NET Amount]]-Table1[[#This Row],[Total Outstanding Amount]])/Table1[[#This Row],[NET Amount]]</f>
        <v>0</v>
      </c>
      <c r="S3585" s="2" t="s">
        <v>97</v>
      </c>
    </row>
    <row r="3586" spans="1:19" x14ac:dyDescent="0.3">
      <c r="A3586" s="4">
        <v>3584</v>
      </c>
      <c r="B3586" s="2" t="s">
        <v>2253</v>
      </c>
      <c r="C3586" s="3">
        <v>44837</v>
      </c>
      <c r="D3586" s="3" t="str">
        <f>TEXT(Table1[[#This Row],[Admission Date]],"MMMM")</f>
        <v>October</v>
      </c>
      <c r="E3586" s="3">
        <v>44837</v>
      </c>
      <c r="F3586" s="3">
        <v>44837</v>
      </c>
      <c r="G3586" s="2">
        <v>22025442</v>
      </c>
      <c r="H3586" s="2">
        <v>2234444</v>
      </c>
      <c r="I3586" s="2">
        <v>1001789044</v>
      </c>
      <c r="J3586" s="2" t="s">
        <v>1069</v>
      </c>
      <c r="K3586" s="10">
        <v>1610</v>
      </c>
      <c r="L3586" s="10">
        <v>0</v>
      </c>
      <c r="M3586" s="10">
        <v>1610</v>
      </c>
      <c r="N3586" s="10">
        <v>0</v>
      </c>
      <c r="O3586" s="10">
        <f>Table1[[#This Row],[NET Amount]]-Table1[[#This Row],[Paid Amount]]</f>
        <v>1610</v>
      </c>
      <c r="P3586" s="2" t="s">
        <v>23</v>
      </c>
      <c r="Q3586" s="2" t="s">
        <v>54</v>
      </c>
      <c r="R3586" s="16">
        <f>(Table1[[#This Row],[NET Amount]]-Table1[[#This Row],[Total Outstanding Amount]])/Table1[[#This Row],[NET Amount]]</f>
        <v>0</v>
      </c>
      <c r="S3586" s="2" t="s">
        <v>97</v>
      </c>
    </row>
    <row r="3587" spans="1:19" x14ac:dyDescent="0.3">
      <c r="A3587" s="4">
        <v>3585</v>
      </c>
      <c r="B3587" s="2" t="s">
        <v>380</v>
      </c>
      <c r="C3587" s="3">
        <v>44860</v>
      </c>
      <c r="D3587" s="3" t="str">
        <f>TEXT(Table1[[#This Row],[Admission Date]],"MMMM")</f>
        <v>October</v>
      </c>
      <c r="E3587" s="3">
        <v>44860</v>
      </c>
      <c r="F3587" s="3">
        <v>44860</v>
      </c>
      <c r="G3587" s="2">
        <v>22028699</v>
      </c>
      <c r="H3587" s="2">
        <v>2237569</v>
      </c>
      <c r="I3587" s="2">
        <v>10013453025</v>
      </c>
      <c r="J3587" s="2" t="s">
        <v>435</v>
      </c>
      <c r="K3587" s="10">
        <v>1274</v>
      </c>
      <c r="L3587" s="10">
        <v>0</v>
      </c>
      <c r="M3587" s="10">
        <v>1274</v>
      </c>
      <c r="N3587" s="10">
        <v>0</v>
      </c>
      <c r="O3587" s="10">
        <f>Table1[[#This Row],[NET Amount]]-Table1[[#This Row],[Paid Amount]]</f>
        <v>1274</v>
      </c>
      <c r="P3587" s="2" t="s">
        <v>23</v>
      </c>
      <c r="Q3587" s="2" t="s">
        <v>54</v>
      </c>
      <c r="R3587" s="16">
        <f>(Table1[[#This Row],[NET Amount]]-Table1[[#This Row],[Total Outstanding Amount]])/Table1[[#This Row],[NET Amount]]</f>
        <v>0</v>
      </c>
      <c r="S3587" s="2" t="s">
        <v>97</v>
      </c>
    </row>
    <row r="3588" spans="1:19" x14ac:dyDescent="0.3">
      <c r="A3588" s="4">
        <v>3586</v>
      </c>
      <c r="B3588" s="2" t="s">
        <v>178</v>
      </c>
      <c r="C3588" s="3">
        <v>44851</v>
      </c>
      <c r="D3588" s="3" t="str">
        <f>TEXT(Table1[[#This Row],[Admission Date]],"MMMM")</f>
        <v>October</v>
      </c>
      <c r="E3588" s="3">
        <v>44851</v>
      </c>
      <c r="F3588" s="3">
        <v>44851</v>
      </c>
      <c r="G3588" s="2">
        <v>22027497</v>
      </c>
      <c r="H3588" s="2">
        <v>2236382</v>
      </c>
      <c r="I3588" s="2">
        <v>10013332282</v>
      </c>
      <c r="J3588" s="2" t="s">
        <v>415</v>
      </c>
      <c r="K3588" s="10">
        <v>2200</v>
      </c>
      <c r="L3588" s="10">
        <v>0</v>
      </c>
      <c r="M3588" s="10">
        <v>2200</v>
      </c>
      <c r="N3588" s="10">
        <v>0</v>
      </c>
      <c r="O3588" s="10">
        <f>Table1[[#This Row],[NET Amount]]-Table1[[#This Row],[Paid Amount]]</f>
        <v>2200</v>
      </c>
      <c r="P3588" s="2" t="s">
        <v>23</v>
      </c>
      <c r="Q3588" s="2" t="s">
        <v>147</v>
      </c>
      <c r="R3588" s="16">
        <f>(Table1[[#This Row],[NET Amount]]-Table1[[#This Row],[Total Outstanding Amount]])/Table1[[#This Row],[NET Amount]]</f>
        <v>0</v>
      </c>
      <c r="S3588" s="2" t="s">
        <v>97</v>
      </c>
    </row>
    <row r="3589" spans="1:19" x14ac:dyDescent="0.3">
      <c r="A3589" s="4">
        <v>3587</v>
      </c>
      <c r="B3589" s="2" t="s">
        <v>380</v>
      </c>
      <c r="C3589" s="3">
        <v>44860</v>
      </c>
      <c r="D3589" s="3" t="str">
        <f>TEXT(Table1[[#This Row],[Admission Date]],"MMMM")</f>
        <v>October</v>
      </c>
      <c r="E3589" s="3">
        <v>44860</v>
      </c>
      <c r="F3589" s="3">
        <v>44860</v>
      </c>
      <c r="G3589" s="2">
        <v>22028689</v>
      </c>
      <c r="H3589" s="2">
        <v>2237534</v>
      </c>
      <c r="I3589" s="2">
        <v>10013387247</v>
      </c>
      <c r="J3589" s="2" t="s">
        <v>1330</v>
      </c>
      <c r="K3589" s="10">
        <v>1274</v>
      </c>
      <c r="L3589" s="10">
        <v>0</v>
      </c>
      <c r="M3589" s="10">
        <v>1274</v>
      </c>
      <c r="N3589" s="10">
        <v>0</v>
      </c>
      <c r="O3589" s="10">
        <f>Table1[[#This Row],[NET Amount]]-Table1[[#This Row],[Paid Amount]]</f>
        <v>1274</v>
      </c>
      <c r="P3589" s="2" t="s">
        <v>23</v>
      </c>
      <c r="Q3589" s="2" t="s">
        <v>54</v>
      </c>
      <c r="R3589" s="16">
        <f>(Table1[[#This Row],[NET Amount]]-Table1[[#This Row],[Total Outstanding Amount]])/Table1[[#This Row],[NET Amount]]</f>
        <v>0</v>
      </c>
      <c r="S3589" s="2" t="s">
        <v>97</v>
      </c>
    </row>
    <row r="3590" spans="1:19" x14ac:dyDescent="0.3">
      <c r="A3590" s="4">
        <v>3588</v>
      </c>
      <c r="B3590" s="2" t="s">
        <v>2263</v>
      </c>
      <c r="C3590" s="3">
        <v>44852</v>
      </c>
      <c r="D3590" s="3" t="str">
        <f>TEXT(Table1[[#This Row],[Admission Date]],"MMMM")</f>
        <v>October</v>
      </c>
      <c r="E3590" s="3">
        <v>44852</v>
      </c>
      <c r="F3590" s="3">
        <v>44852</v>
      </c>
      <c r="G3590" s="2">
        <v>22027617</v>
      </c>
      <c r="H3590" s="2">
        <v>2236520</v>
      </c>
      <c r="I3590" s="2">
        <v>1001527101</v>
      </c>
      <c r="J3590" s="2" t="s">
        <v>795</v>
      </c>
      <c r="K3590" s="10">
        <v>1274</v>
      </c>
      <c r="L3590" s="10">
        <v>0</v>
      </c>
      <c r="M3590" s="10">
        <v>1274</v>
      </c>
      <c r="N3590" s="10">
        <v>0</v>
      </c>
      <c r="O3590" s="10">
        <f>Table1[[#This Row],[NET Amount]]-Table1[[#This Row],[Paid Amount]]</f>
        <v>1274</v>
      </c>
      <c r="P3590" s="2" t="s">
        <v>23</v>
      </c>
      <c r="Q3590" s="2" t="s">
        <v>54</v>
      </c>
      <c r="R3590" s="16">
        <f>(Table1[[#This Row],[NET Amount]]-Table1[[#This Row],[Total Outstanding Amount]])/Table1[[#This Row],[NET Amount]]</f>
        <v>0</v>
      </c>
      <c r="S3590" s="2" t="s">
        <v>97</v>
      </c>
    </row>
    <row r="3591" spans="1:19" x14ac:dyDescent="0.3">
      <c r="A3591" s="4">
        <v>3589</v>
      </c>
      <c r="B3591" s="2" t="s">
        <v>2253</v>
      </c>
      <c r="C3591" s="3">
        <v>44841</v>
      </c>
      <c r="D3591" s="3" t="str">
        <f>TEXT(Table1[[#This Row],[Admission Date]],"MMMM")</f>
        <v>October</v>
      </c>
      <c r="E3591" s="3">
        <v>44841</v>
      </c>
      <c r="F3591" s="3">
        <v>44841</v>
      </c>
      <c r="G3591" s="2">
        <v>22026016</v>
      </c>
      <c r="H3591" s="2">
        <v>2235022</v>
      </c>
      <c r="I3591" s="2">
        <v>1001681903</v>
      </c>
      <c r="J3591" s="2" t="s">
        <v>471</v>
      </c>
      <c r="K3591" s="10">
        <v>1610</v>
      </c>
      <c r="L3591" s="10">
        <v>0</v>
      </c>
      <c r="M3591" s="10">
        <v>1610</v>
      </c>
      <c r="N3591" s="10">
        <v>0</v>
      </c>
      <c r="O3591" s="10">
        <f>Table1[[#This Row],[NET Amount]]-Table1[[#This Row],[Paid Amount]]</f>
        <v>1610</v>
      </c>
      <c r="P3591" s="2" t="s">
        <v>23</v>
      </c>
      <c r="Q3591" s="2" t="s">
        <v>54</v>
      </c>
      <c r="R3591" s="16">
        <f>(Table1[[#This Row],[NET Amount]]-Table1[[#This Row],[Total Outstanding Amount]])/Table1[[#This Row],[NET Amount]]</f>
        <v>0</v>
      </c>
      <c r="S3591" s="2" t="s">
        <v>97</v>
      </c>
    </row>
    <row r="3592" spans="1:19" x14ac:dyDescent="0.3">
      <c r="A3592" s="4">
        <v>3590</v>
      </c>
      <c r="B3592" s="2" t="s">
        <v>2271</v>
      </c>
      <c r="C3592" s="3">
        <v>44865</v>
      </c>
      <c r="D3592" s="3" t="str">
        <f>TEXT(Table1[[#This Row],[Admission Date]],"MMMM")</f>
        <v>October</v>
      </c>
      <c r="E3592" s="3">
        <v>44865</v>
      </c>
      <c r="F3592" s="3">
        <v>44865</v>
      </c>
      <c r="G3592" s="2">
        <v>22029350</v>
      </c>
      <c r="H3592" s="2">
        <v>2238213</v>
      </c>
      <c r="I3592" s="2">
        <v>1001729640</v>
      </c>
      <c r="J3592" s="2" t="s">
        <v>470</v>
      </c>
      <c r="K3592" s="10">
        <v>1610</v>
      </c>
      <c r="L3592" s="10">
        <v>0</v>
      </c>
      <c r="M3592" s="10">
        <v>1610</v>
      </c>
      <c r="N3592" s="10">
        <v>0</v>
      </c>
      <c r="O3592" s="10">
        <f>Table1[[#This Row],[NET Amount]]-Table1[[#This Row],[Paid Amount]]</f>
        <v>1610</v>
      </c>
      <c r="P3592" s="2" t="s">
        <v>23</v>
      </c>
      <c r="Q3592" s="2" t="s">
        <v>54</v>
      </c>
      <c r="R3592" s="16">
        <f>(Table1[[#This Row],[NET Amount]]-Table1[[#This Row],[Total Outstanding Amount]])/Table1[[#This Row],[NET Amount]]</f>
        <v>0</v>
      </c>
      <c r="S3592" s="2" t="s">
        <v>97</v>
      </c>
    </row>
    <row r="3593" spans="1:19" x14ac:dyDescent="0.3">
      <c r="A3593" s="4">
        <v>3591</v>
      </c>
      <c r="B3593" s="2" t="s">
        <v>380</v>
      </c>
      <c r="C3593" s="3">
        <v>44838</v>
      </c>
      <c r="D3593" s="3" t="str">
        <f>TEXT(Table1[[#This Row],[Admission Date]],"MMMM")</f>
        <v>October</v>
      </c>
      <c r="E3593" s="3">
        <v>44838</v>
      </c>
      <c r="F3593" s="3">
        <v>44838</v>
      </c>
      <c r="G3593" s="2">
        <v>22025628</v>
      </c>
      <c r="H3593" s="2">
        <v>2234640</v>
      </c>
      <c r="I3593" s="2">
        <v>1000891068</v>
      </c>
      <c r="J3593" s="2" t="s">
        <v>1082</v>
      </c>
      <c r="K3593" s="10">
        <v>1274</v>
      </c>
      <c r="L3593" s="10">
        <v>0</v>
      </c>
      <c r="M3593" s="10">
        <v>1274</v>
      </c>
      <c r="N3593" s="10">
        <v>0</v>
      </c>
      <c r="O3593" s="10">
        <f>Table1[[#This Row],[NET Amount]]-Table1[[#This Row],[Paid Amount]]</f>
        <v>1274</v>
      </c>
      <c r="P3593" s="2" t="s">
        <v>23</v>
      </c>
      <c r="Q3593" s="2" t="s">
        <v>54</v>
      </c>
      <c r="R3593" s="16">
        <f>(Table1[[#This Row],[NET Amount]]-Table1[[#This Row],[Total Outstanding Amount]])/Table1[[#This Row],[NET Amount]]</f>
        <v>0</v>
      </c>
      <c r="S3593" s="2" t="s">
        <v>97</v>
      </c>
    </row>
    <row r="3594" spans="1:19" x14ac:dyDescent="0.3">
      <c r="A3594" s="4">
        <v>3592</v>
      </c>
      <c r="B3594" s="2" t="s">
        <v>380</v>
      </c>
      <c r="C3594" s="3">
        <v>44837</v>
      </c>
      <c r="D3594" s="3" t="str">
        <f>TEXT(Table1[[#This Row],[Admission Date]],"MMMM")</f>
        <v>October</v>
      </c>
      <c r="E3594" s="3">
        <v>44837</v>
      </c>
      <c r="F3594" s="3">
        <v>44837</v>
      </c>
      <c r="G3594" s="2">
        <v>22025438</v>
      </c>
      <c r="H3594" s="2">
        <v>2234450</v>
      </c>
      <c r="I3594" s="2">
        <v>1000961855</v>
      </c>
      <c r="J3594" s="2" t="s">
        <v>439</v>
      </c>
      <c r="K3594" s="10">
        <v>1274</v>
      </c>
      <c r="L3594" s="10">
        <v>0</v>
      </c>
      <c r="M3594" s="10">
        <v>1274</v>
      </c>
      <c r="N3594" s="10">
        <v>0</v>
      </c>
      <c r="O3594" s="10">
        <f>Table1[[#This Row],[NET Amount]]-Table1[[#This Row],[Paid Amount]]</f>
        <v>1274</v>
      </c>
      <c r="P3594" s="2" t="s">
        <v>23</v>
      </c>
      <c r="Q3594" s="2" t="s">
        <v>54</v>
      </c>
      <c r="R3594" s="16">
        <f>(Table1[[#This Row],[NET Amount]]-Table1[[#This Row],[Total Outstanding Amount]])/Table1[[#This Row],[NET Amount]]</f>
        <v>0</v>
      </c>
      <c r="S3594" s="2" t="s">
        <v>97</v>
      </c>
    </row>
    <row r="3595" spans="1:19" x14ac:dyDescent="0.3">
      <c r="A3595" s="4">
        <v>3593</v>
      </c>
      <c r="B3595" s="2" t="s">
        <v>61</v>
      </c>
      <c r="C3595" s="3">
        <v>44844</v>
      </c>
      <c r="D3595" s="3" t="str">
        <f>TEXT(Table1[[#This Row],[Admission Date]],"MMMM")</f>
        <v>October</v>
      </c>
      <c r="E3595" s="3">
        <v>44844</v>
      </c>
      <c r="F3595" s="3">
        <v>44844</v>
      </c>
      <c r="G3595" s="2">
        <v>22026334</v>
      </c>
      <c r="H3595" s="2">
        <v>2235335</v>
      </c>
      <c r="I3595" s="2">
        <v>10013497993</v>
      </c>
      <c r="J3595" s="2" t="s">
        <v>1077</v>
      </c>
      <c r="K3595" s="10">
        <v>2200</v>
      </c>
      <c r="L3595" s="10">
        <v>0</v>
      </c>
      <c r="M3595" s="10">
        <v>2200</v>
      </c>
      <c r="N3595" s="10">
        <v>0</v>
      </c>
      <c r="O3595" s="10">
        <f>Table1[[#This Row],[NET Amount]]-Table1[[#This Row],[Paid Amount]]</f>
        <v>2200</v>
      </c>
      <c r="P3595" s="2" t="s">
        <v>23</v>
      </c>
      <c r="Q3595" s="2" t="s">
        <v>147</v>
      </c>
      <c r="R3595" s="16">
        <f>(Table1[[#This Row],[NET Amount]]-Table1[[#This Row],[Total Outstanding Amount]])/Table1[[#This Row],[NET Amount]]</f>
        <v>0</v>
      </c>
      <c r="S3595" s="2" t="s">
        <v>97</v>
      </c>
    </row>
    <row r="3596" spans="1:19" x14ac:dyDescent="0.3">
      <c r="A3596" s="4">
        <v>3594</v>
      </c>
      <c r="B3596" s="2" t="s">
        <v>2263</v>
      </c>
      <c r="C3596" s="3">
        <v>44851</v>
      </c>
      <c r="D3596" s="3" t="str">
        <f>TEXT(Table1[[#This Row],[Admission Date]],"MMMM")</f>
        <v>October</v>
      </c>
      <c r="E3596" s="3">
        <v>44851</v>
      </c>
      <c r="F3596" s="3">
        <v>44851</v>
      </c>
      <c r="G3596" s="2">
        <v>22027486</v>
      </c>
      <c r="H3596" s="2">
        <v>2236387</v>
      </c>
      <c r="I3596" s="2">
        <v>1001684202</v>
      </c>
      <c r="J3596" s="2" t="s">
        <v>446</v>
      </c>
      <c r="K3596" s="10">
        <v>1274</v>
      </c>
      <c r="L3596" s="10">
        <v>0</v>
      </c>
      <c r="M3596" s="10">
        <v>1274</v>
      </c>
      <c r="N3596" s="10">
        <v>0</v>
      </c>
      <c r="O3596" s="10">
        <f>Table1[[#This Row],[NET Amount]]-Table1[[#This Row],[Paid Amount]]</f>
        <v>1274</v>
      </c>
      <c r="P3596" s="2" t="s">
        <v>23</v>
      </c>
      <c r="Q3596" s="2" t="s">
        <v>54</v>
      </c>
      <c r="R3596" s="16">
        <f>(Table1[[#This Row],[NET Amount]]-Table1[[#This Row],[Total Outstanding Amount]])/Table1[[#This Row],[NET Amount]]</f>
        <v>0</v>
      </c>
      <c r="S3596" s="2" t="s">
        <v>97</v>
      </c>
    </row>
    <row r="3597" spans="1:19" x14ac:dyDescent="0.3">
      <c r="A3597" s="4">
        <v>3595</v>
      </c>
      <c r="B3597" s="2" t="s">
        <v>149</v>
      </c>
      <c r="C3597" s="3">
        <v>44851</v>
      </c>
      <c r="D3597" s="3" t="str">
        <f>TEXT(Table1[[#This Row],[Admission Date]],"MMMM")</f>
        <v>October</v>
      </c>
      <c r="E3597" s="3">
        <v>44851</v>
      </c>
      <c r="F3597" s="3">
        <v>44851</v>
      </c>
      <c r="G3597" s="2">
        <v>22027374</v>
      </c>
      <c r="H3597" s="2">
        <v>2236295</v>
      </c>
      <c r="I3597" s="2">
        <v>10013477952</v>
      </c>
      <c r="J3597" s="2" t="s">
        <v>781</v>
      </c>
      <c r="K3597" s="10">
        <v>2240</v>
      </c>
      <c r="L3597" s="10">
        <v>0</v>
      </c>
      <c r="M3597" s="10">
        <v>2240</v>
      </c>
      <c r="N3597" s="10">
        <v>0</v>
      </c>
      <c r="O3597" s="10">
        <f>Table1[[#This Row],[NET Amount]]-Table1[[#This Row],[Paid Amount]]</f>
        <v>2240</v>
      </c>
      <c r="P3597" s="2" t="s">
        <v>23</v>
      </c>
      <c r="Q3597" s="2" t="s">
        <v>54</v>
      </c>
      <c r="R3597" s="16">
        <f>(Table1[[#This Row],[NET Amount]]-Table1[[#This Row],[Total Outstanding Amount]])/Table1[[#This Row],[NET Amount]]</f>
        <v>0</v>
      </c>
      <c r="S3597" s="2" t="s">
        <v>97</v>
      </c>
    </row>
    <row r="3598" spans="1:19" x14ac:dyDescent="0.3">
      <c r="A3598" s="4">
        <v>3596</v>
      </c>
      <c r="B3598" s="2" t="s">
        <v>155</v>
      </c>
      <c r="C3598" s="3">
        <v>44863</v>
      </c>
      <c r="D3598" s="3" t="str">
        <f>TEXT(Table1[[#This Row],[Admission Date]],"MMMM")</f>
        <v>October</v>
      </c>
      <c r="E3598" s="3">
        <v>44863</v>
      </c>
      <c r="F3598" s="3">
        <v>44863</v>
      </c>
      <c r="G3598" s="2">
        <v>22029070</v>
      </c>
      <c r="H3598" s="2">
        <v>2237956</v>
      </c>
      <c r="I3598" s="2">
        <v>1000979923</v>
      </c>
      <c r="J3598" s="2" t="s">
        <v>785</v>
      </c>
      <c r="K3598" s="10">
        <v>1610</v>
      </c>
      <c r="L3598" s="10">
        <v>0</v>
      </c>
      <c r="M3598" s="10">
        <v>1610</v>
      </c>
      <c r="N3598" s="10">
        <v>0</v>
      </c>
      <c r="O3598" s="10">
        <f>Table1[[#This Row],[NET Amount]]-Table1[[#This Row],[Paid Amount]]</f>
        <v>1610</v>
      </c>
      <c r="P3598" s="2" t="s">
        <v>23</v>
      </c>
      <c r="Q3598" s="2" t="s">
        <v>54</v>
      </c>
      <c r="R3598" s="16">
        <f>(Table1[[#This Row],[NET Amount]]-Table1[[#This Row],[Total Outstanding Amount]])/Table1[[#This Row],[NET Amount]]</f>
        <v>0</v>
      </c>
      <c r="S3598" s="2" t="s">
        <v>97</v>
      </c>
    </row>
    <row r="3599" spans="1:19" x14ac:dyDescent="0.3">
      <c r="A3599" s="4">
        <v>3597</v>
      </c>
      <c r="B3599" s="2" t="s">
        <v>75</v>
      </c>
      <c r="C3599" s="3">
        <v>44838</v>
      </c>
      <c r="D3599" s="3" t="str">
        <f>TEXT(Table1[[#This Row],[Admission Date]],"MMMM")</f>
        <v>October</v>
      </c>
      <c r="E3599" s="3">
        <v>44838</v>
      </c>
      <c r="F3599" s="3">
        <v>44838</v>
      </c>
      <c r="G3599" s="2">
        <v>22025563</v>
      </c>
      <c r="H3599" s="2">
        <v>2234546</v>
      </c>
      <c r="I3599" s="2">
        <v>10013335004</v>
      </c>
      <c r="J3599" s="2" t="s">
        <v>344</v>
      </c>
      <c r="K3599" s="10">
        <v>1610</v>
      </c>
      <c r="L3599" s="10">
        <v>0</v>
      </c>
      <c r="M3599" s="10">
        <v>1610</v>
      </c>
      <c r="N3599" s="10">
        <v>0</v>
      </c>
      <c r="O3599" s="10">
        <f>Table1[[#This Row],[NET Amount]]-Table1[[#This Row],[Paid Amount]]</f>
        <v>1610</v>
      </c>
      <c r="P3599" s="2" t="s">
        <v>23</v>
      </c>
      <c r="Q3599" s="2" t="s">
        <v>54</v>
      </c>
      <c r="R3599" s="16">
        <f>(Table1[[#This Row],[NET Amount]]-Table1[[#This Row],[Total Outstanding Amount]])/Table1[[#This Row],[NET Amount]]</f>
        <v>0</v>
      </c>
      <c r="S3599" s="2" t="s">
        <v>97</v>
      </c>
    </row>
    <row r="3600" spans="1:19" x14ac:dyDescent="0.3">
      <c r="A3600" s="4">
        <v>3598</v>
      </c>
      <c r="B3600" s="2" t="s">
        <v>380</v>
      </c>
      <c r="C3600" s="3">
        <v>44863</v>
      </c>
      <c r="D3600" s="3" t="str">
        <f>TEXT(Table1[[#This Row],[Admission Date]],"MMMM")</f>
        <v>October</v>
      </c>
      <c r="E3600" s="3">
        <v>44863</v>
      </c>
      <c r="F3600" s="3">
        <v>44863</v>
      </c>
      <c r="G3600" s="2">
        <v>22029155</v>
      </c>
      <c r="H3600" s="2">
        <v>2238011</v>
      </c>
      <c r="I3600" s="2">
        <v>10013422914</v>
      </c>
      <c r="J3600" s="2" t="s">
        <v>816</v>
      </c>
      <c r="K3600" s="10">
        <v>1274</v>
      </c>
      <c r="L3600" s="10">
        <v>0</v>
      </c>
      <c r="M3600" s="10">
        <v>1274</v>
      </c>
      <c r="N3600" s="10">
        <v>0</v>
      </c>
      <c r="O3600" s="10">
        <f>Table1[[#This Row],[NET Amount]]-Table1[[#This Row],[Paid Amount]]</f>
        <v>1274</v>
      </c>
      <c r="P3600" s="2" t="s">
        <v>23</v>
      </c>
      <c r="Q3600" s="2" t="s">
        <v>54</v>
      </c>
      <c r="R3600" s="16">
        <f>(Table1[[#This Row],[NET Amount]]-Table1[[#This Row],[Total Outstanding Amount]])/Table1[[#This Row],[NET Amount]]</f>
        <v>0</v>
      </c>
      <c r="S3600" s="2" t="s">
        <v>97</v>
      </c>
    </row>
    <row r="3601" spans="1:19" x14ac:dyDescent="0.3">
      <c r="A3601" s="4">
        <v>3599</v>
      </c>
      <c r="B3601" s="2" t="s">
        <v>2263</v>
      </c>
      <c r="C3601" s="3">
        <v>44863</v>
      </c>
      <c r="D3601" s="3" t="str">
        <f>TEXT(Table1[[#This Row],[Admission Date]],"MMMM")</f>
        <v>October</v>
      </c>
      <c r="E3601" s="3">
        <v>44863</v>
      </c>
      <c r="F3601" s="3">
        <v>44863</v>
      </c>
      <c r="G3601" s="2">
        <v>22029100</v>
      </c>
      <c r="H3601" s="2">
        <v>2237983</v>
      </c>
      <c r="I3601" s="2">
        <v>1001657236</v>
      </c>
      <c r="J3601" s="2" t="s">
        <v>798</v>
      </c>
      <c r="K3601" s="10">
        <v>1274</v>
      </c>
      <c r="L3601" s="10">
        <v>0</v>
      </c>
      <c r="M3601" s="10">
        <v>1274</v>
      </c>
      <c r="N3601" s="10">
        <v>0</v>
      </c>
      <c r="O3601" s="10">
        <f>Table1[[#This Row],[NET Amount]]-Table1[[#This Row],[Paid Amount]]</f>
        <v>1274</v>
      </c>
      <c r="P3601" s="2" t="s">
        <v>23</v>
      </c>
      <c r="Q3601" s="2" t="s">
        <v>54</v>
      </c>
      <c r="R3601" s="16">
        <f>(Table1[[#This Row],[NET Amount]]-Table1[[#This Row],[Total Outstanding Amount]])/Table1[[#This Row],[NET Amount]]</f>
        <v>0</v>
      </c>
      <c r="S3601" s="2" t="s">
        <v>97</v>
      </c>
    </row>
    <row r="3602" spans="1:19" x14ac:dyDescent="0.3">
      <c r="A3602" s="4">
        <v>3600</v>
      </c>
      <c r="B3602" s="2" t="s">
        <v>75</v>
      </c>
      <c r="C3602" s="3">
        <v>44859</v>
      </c>
      <c r="D3602" s="3" t="str">
        <f>TEXT(Table1[[#This Row],[Admission Date]],"MMMM")</f>
        <v>October</v>
      </c>
      <c r="E3602" s="3">
        <v>44859</v>
      </c>
      <c r="F3602" s="3">
        <v>44859</v>
      </c>
      <c r="G3602" s="2">
        <v>22028468</v>
      </c>
      <c r="H3602" s="2">
        <v>2237266</v>
      </c>
      <c r="I3602" s="2">
        <v>10013453991</v>
      </c>
      <c r="J3602" s="2" t="s">
        <v>465</v>
      </c>
      <c r="K3602" s="10">
        <v>1610</v>
      </c>
      <c r="L3602" s="10">
        <v>0</v>
      </c>
      <c r="M3602" s="10">
        <v>1610</v>
      </c>
      <c r="N3602" s="10">
        <v>0</v>
      </c>
      <c r="O3602" s="10">
        <f>Table1[[#This Row],[NET Amount]]-Table1[[#This Row],[Paid Amount]]</f>
        <v>1610</v>
      </c>
      <c r="P3602" s="2" t="s">
        <v>23</v>
      </c>
      <c r="Q3602" s="2" t="s">
        <v>54</v>
      </c>
      <c r="R3602" s="16">
        <f>(Table1[[#This Row],[NET Amount]]-Table1[[#This Row],[Total Outstanding Amount]])/Table1[[#This Row],[NET Amount]]</f>
        <v>0</v>
      </c>
      <c r="S3602" s="2" t="s">
        <v>97</v>
      </c>
    </row>
    <row r="3603" spans="1:19" x14ac:dyDescent="0.3">
      <c r="A3603" s="4">
        <v>3601</v>
      </c>
      <c r="B3603" s="2" t="s">
        <v>380</v>
      </c>
      <c r="C3603" s="3">
        <v>44845</v>
      </c>
      <c r="D3603" s="3" t="str">
        <f>TEXT(Table1[[#This Row],[Admission Date]],"MMMM")</f>
        <v>October</v>
      </c>
      <c r="E3603" s="3">
        <v>44845</v>
      </c>
      <c r="F3603" s="3">
        <v>44845</v>
      </c>
      <c r="G3603" s="2">
        <v>22026612</v>
      </c>
      <c r="H3603" s="2">
        <v>2235592</v>
      </c>
      <c r="I3603" s="2">
        <v>1001074266</v>
      </c>
      <c r="J3603" s="2" t="s">
        <v>776</v>
      </c>
      <c r="K3603" s="10">
        <v>1274</v>
      </c>
      <c r="L3603" s="10">
        <v>0</v>
      </c>
      <c r="M3603" s="10">
        <v>1274</v>
      </c>
      <c r="N3603" s="10">
        <v>0</v>
      </c>
      <c r="O3603" s="10">
        <f>Table1[[#This Row],[NET Amount]]-Table1[[#This Row],[Paid Amount]]</f>
        <v>1274</v>
      </c>
      <c r="P3603" s="2" t="s">
        <v>23</v>
      </c>
      <c r="Q3603" s="2" t="s">
        <v>54</v>
      </c>
      <c r="R3603" s="16">
        <f>(Table1[[#This Row],[NET Amount]]-Table1[[#This Row],[Total Outstanding Amount]])/Table1[[#This Row],[NET Amount]]</f>
        <v>0</v>
      </c>
      <c r="S3603" s="2" t="s">
        <v>97</v>
      </c>
    </row>
    <row r="3604" spans="1:19" x14ac:dyDescent="0.3">
      <c r="A3604" s="4">
        <v>3602</v>
      </c>
      <c r="B3604" s="2" t="s">
        <v>75</v>
      </c>
      <c r="C3604" s="3">
        <v>44842</v>
      </c>
      <c r="D3604" s="3" t="str">
        <f>TEXT(Table1[[#This Row],[Admission Date]],"MMMM")</f>
        <v>October</v>
      </c>
      <c r="E3604" s="3">
        <v>44848</v>
      </c>
      <c r="F3604" s="3">
        <v>44848</v>
      </c>
      <c r="G3604" s="2">
        <v>22027069</v>
      </c>
      <c r="H3604" s="2">
        <v>2235218</v>
      </c>
      <c r="I3604" s="2">
        <v>10013542213</v>
      </c>
      <c r="J3604" s="2" t="s">
        <v>2016</v>
      </c>
      <c r="K3604" s="10">
        <v>64305</v>
      </c>
      <c r="L3604" s="10">
        <v>0</v>
      </c>
      <c r="M3604" s="10">
        <v>64305</v>
      </c>
      <c r="N3604" s="10">
        <v>0</v>
      </c>
      <c r="O3604" s="10">
        <f>Table1[[#This Row],[NET Amount]]-Table1[[#This Row],[Paid Amount]]</f>
        <v>64305</v>
      </c>
      <c r="P3604" s="2" t="s">
        <v>23</v>
      </c>
      <c r="Q3604" s="2" t="s">
        <v>30</v>
      </c>
      <c r="R3604" s="16">
        <f>(Table1[[#This Row],[NET Amount]]-Table1[[#This Row],[Total Outstanding Amount]])/Table1[[#This Row],[NET Amount]]</f>
        <v>0</v>
      </c>
      <c r="S3604" s="2" t="s">
        <v>20</v>
      </c>
    </row>
    <row r="3605" spans="1:19" x14ac:dyDescent="0.3">
      <c r="A3605" s="4">
        <v>3603</v>
      </c>
      <c r="B3605" s="2" t="s">
        <v>380</v>
      </c>
      <c r="C3605" s="3">
        <v>44861</v>
      </c>
      <c r="D3605" s="3" t="str">
        <f>TEXT(Table1[[#This Row],[Admission Date]],"MMMM")</f>
        <v>October</v>
      </c>
      <c r="E3605" s="3">
        <v>44861</v>
      </c>
      <c r="F3605" s="3">
        <v>44861</v>
      </c>
      <c r="G3605" s="2">
        <v>22028833</v>
      </c>
      <c r="H3605" s="2">
        <v>2237705</v>
      </c>
      <c r="I3605" s="2">
        <v>1001004027</v>
      </c>
      <c r="J3605" s="2" t="s">
        <v>454</v>
      </c>
      <c r="K3605" s="10">
        <v>1274</v>
      </c>
      <c r="L3605" s="10">
        <v>0</v>
      </c>
      <c r="M3605" s="10">
        <v>1274</v>
      </c>
      <c r="N3605" s="10">
        <v>0</v>
      </c>
      <c r="O3605" s="10">
        <f>Table1[[#This Row],[NET Amount]]-Table1[[#This Row],[Paid Amount]]</f>
        <v>1274</v>
      </c>
      <c r="P3605" s="2" t="s">
        <v>23</v>
      </c>
      <c r="Q3605" s="2" t="s">
        <v>54</v>
      </c>
      <c r="R3605" s="16">
        <f>(Table1[[#This Row],[NET Amount]]-Table1[[#This Row],[Total Outstanding Amount]])/Table1[[#This Row],[NET Amount]]</f>
        <v>0</v>
      </c>
      <c r="S3605" s="2" t="s">
        <v>97</v>
      </c>
    </row>
    <row r="3606" spans="1:19" x14ac:dyDescent="0.3">
      <c r="A3606" s="4">
        <v>3604</v>
      </c>
      <c r="B3606" s="2" t="s">
        <v>380</v>
      </c>
      <c r="C3606" s="3">
        <v>44847</v>
      </c>
      <c r="D3606" s="3" t="str">
        <f>TEXT(Table1[[#This Row],[Admission Date]],"MMMM")</f>
        <v>October</v>
      </c>
      <c r="E3606" s="3">
        <v>44847</v>
      </c>
      <c r="F3606" s="3">
        <v>44847</v>
      </c>
      <c r="G3606" s="2">
        <v>22026953</v>
      </c>
      <c r="H3606" s="2">
        <v>2235879</v>
      </c>
      <c r="I3606" s="2">
        <v>1001004027</v>
      </c>
      <c r="J3606" s="2" t="s">
        <v>454</v>
      </c>
      <c r="K3606" s="10">
        <v>1274</v>
      </c>
      <c r="L3606" s="10">
        <v>0</v>
      </c>
      <c r="M3606" s="10">
        <v>1274</v>
      </c>
      <c r="N3606" s="10">
        <v>0</v>
      </c>
      <c r="O3606" s="10">
        <f>Table1[[#This Row],[NET Amount]]-Table1[[#This Row],[Paid Amount]]</f>
        <v>1274</v>
      </c>
      <c r="P3606" s="2" t="s">
        <v>23</v>
      </c>
      <c r="Q3606" s="2" t="s">
        <v>54</v>
      </c>
      <c r="R3606" s="16">
        <f>(Table1[[#This Row],[NET Amount]]-Table1[[#This Row],[Total Outstanding Amount]])/Table1[[#This Row],[NET Amount]]</f>
        <v>0</v>
      </c>
      <c r="S3606" s="2" t="s">
        <v>97</v>
      </c>
    </row>
    <row r="3607" spans="1:19" x14ac:dyDescent="0.3">
      <c r="A3607" s="4">
        <v>3605</v>
      </c>
      <c r="B3607" s="2" t="s">
        <v>380</v>
      </c>
      <c r="C3607" s="3">
        <v>44854</v>
      </c>
      <c r="D3607" s="3" t="str">
        <f>TEXT(Table1[[#This Row],[Admission Date]],"MMMM")</f>
        <v>October</v>
      </c>
      <c r="E3607" s="3">
        <v>44856</v>
      </c>
      <c r="F3607" s="3">
        <v>44856</v>
      </c>
      <c r="G3607" s="2">
        <v>22028158</v>
      </c>
      <c r="H3607" s="2">
        <v>2236814</v>
      </c>
      <c r="I3607" s="2">
        <v>1001805416</v>
      </c>
      <c r="J3607" s="2" t="s">
        <v>2017</v>
      </c>
      <c r="K3607" s="10">
        <v>130994</v>
      </c>
      <c r="L3607" s="10">
        <v>0</v>
      </c>
      <c r="M3607" s="10">
        <v>130994</v>
      </c>
      <c r="N3607" s="10">
        <v>0</v>
      </c>
      <c r="O3607" s="10">
        <f>Table1[[#This Row],[NET Amount]]-Table1[[#This Row],[Paid Amount]]</f>
        <v>130994</v>
      </c>
      <c r="P3607" s="2" t="s">
        <v>23</v>
      </c>
      <c r="Q3607" s="2" t="s">
        <v>406</v>
      </c>
      <c r="R3607" s="16">
        <f>(Table1[[#This Row],[NET Amount]]-Table1[[#This Row],[Total Outstanding Amount]])/Table1[[#This Row],[NET Amount]]</f>
        <v>0</v>
      </c>
      <c r="S3607" s="2" t="s">
        <v>39</v>
      </c>
    </row>
    <row r="3608" spans="1:19" x14ac:dyDescent="0.3">
      <c r="A3608" s="4">
        <v>3606</v>
      </c>
      <c r="B3608" s="2" t="s">
        <v>2257</v>
      </c>
      <c r="C3608" s="3">
        <v>44849</v>
      </c>
      <c r="D3608" s="3" t="str">
        <f>TEXT(Table1[[#This Row],[Admission Date]],"MMMM")</f>
        <v>October</v>
      </c>
      <c r="E3608" s="3">
        <v>44849</v>
      </c>
      <c r="F3608" s="3">
        <v>44849</v>
      </c>
      <c r="G3608" s="2">
        <v>22027231</v>
      </c>
      <c r="H3608" s="2">
        <v>2236148</v>
      </c>
      <c r="I3608" s="2">
        <v>1001689981</v>
      </c>
      <c r="J3608" s="2" t="s">
        <v>253</v>
      </c>
      <c r="K3608" s="10">
        <v>2950</v>
      </c>
      <c r="L3608" s="10">
        <v>0</v>
      </c>
      <c r="M3608" s="10">
        <v>2950</v>
      </c>
      <c r="N3608" s="10">
        <v>0</v>
      </c>
      <c r="O3608" s="10">
        <f>Table1[[#This Row],[NET Amount]]-Table1[[#This Row],[Paid Amount]]</f>
        <v>2950</v>
      </c>
      <c r="P3608" s="2" t="s">
        <v>23</v>
      </c>
      <c r="Q3608" s="2" t="s">
        <v>54</v>
      </c>
      <c r="R3608" s="16">
        <f>(Table1[[#This Row],[NET Amount]]-Table1[[#This Row],[Total Outstanding Amount]])/Table1[[#This Row],[NET Amount]]</f>
        <v>0</v>
      </c>
      <c r="S3608" s="2" t="s">
        <v>97</v>
      </c>
    </row>
    <row r="3609" spans="1:19" x14ac:dyDescent="0.3">
      <c r="A3609" s="4">
        <v>3607</v>
      </c>
      <c r="B3609" s="2" t="s">
        <v>380</v>
      </c>
      <c r="C3609" s="3">
        <v>44837</v>
      </c>
      <c r="D3609" s="3" t="str">
        <f>TEXT(Table1[[#This Row],[Admission Date]],"MMMM")</f>
        <v>October</v>
      </c>
      <c r="E3609" s="3">
        <v>44837</v>
      </c>
      <c r="F3609" s="3">
        <v>44837</v>
      </c>
      <c r="G3609" s="2">
        <v>22025466</v>
      </c>
      <c r="H3609" s="2">
        <v>2234477</v>
      </c>
      <c r="I3609" s="2">
        <v>1001004027</v>
      </c>
      <c r="J3609" s="2" t="s">
        <v>454</v>
      </c>
      <c r="K3609" s="10">
        <v>1274</v>
      </c>
      <c r="L3609" s="10">
        <v>0</v>
      </c>
      <c r="M3609" s="10">
        <v>1274</v>
      </c>
      <c r="N3609" s="10">
        <v>0</v>
      </c>
      <c r="O3609" s="10">
        <f>Table1[[#This Row],[NET Amount]]-Table1[[#This Row],[Paid Amount]]</f>
        <v>1274</v>
      </c>
      <c r="P3609" s="2" t="s">
        <v>23</v>
      </c>
      <c r="Q3609" s="2" t="s">
        <v>54</v>
      </c>
      <c r="R3609" s="16">
        <f>(Table1[[#This Row],[NET Amount]]-Table1[[#This Row],[Total Outstanding Amount]])/Table1[[#This Row],[NET Amount]]</f>
        <v>0</v>
      </c>
      <c r="S3609" s="2" t="s">
        <v>97</v>
      </c>
    </row>
    <row r="3610" spans="1:19" x14ac:dyDescent="0.3">
      <c r="A3610" s="4">
        <v>3608</v>
      </c>
      <c r="B3610" s="2" t="s">
        <v>2263</v>
      </c>
      <c r="C3610" s="3">
        <v>44854</v>
      </c>
      <c r="D3610" s="3" t="str">
        <f>TEXT(Table1[[#This Row],[Admission Date]],"MMMM")</f>
        <v>October</v>
      </c>
      <c r="E3610" s="3">
        <v>44854</v>
      </c>
      <c r="F3610" s="3">
        <v>44854</v>
      </c>
      <c r="G3610" s="2">
        <v>22027934</v>
      </c>
      <c r="H3610" s="2">
        <v>2236767</v>
      </c>
      <c r="I3610" s="2">
        <v>1001648223</v>
      </c>
      <c r="J3610" s="2" t="s">
        <v>458</v>
      </c>
      <c r="K3610" s="10">
        <v>1274</v>
      </c>
      <c r="L3610" s="10">
        <v>0</v>
      </c>
      <c r="M3610" s="10">
        <v>1274</v>
      </c>
      <c r="N3610" s="10">
        <v>0</v>
      </c>
      <c r="O3610" s="10">
        <f>Table1[[#This Row],[NET Amount]]-Table1[[#This Row],[Paid Amount]]</f>
        <v>1274</v>
      </c>
      <c r="P3610" s="2" t="s">
        <v>23</v>
      </c>
      <c r="Q3610" s="2" t="s">
        <v>54</v>
      </c>
      <c r="R3610" s="16">
        <f>(Table1[[#This Row],[NET Amount]]-Table1[[#This Row],[Total Outstanding Amount]])/Table1[[#This Row],[NET Amount]]</f>
        <v>0</v>
      </c>
      <c r="S3610" s="2" t="s">
        <v>97</v>
      </c>
    </row>
    <row r="3611" spans="1:19" x14ac:dyDescent="0.3">
      <c r="A3611" s="4">
        <v>3609</v>
      </c>
      <c r="B3611" s="2" t="s">
        <v>380</v>
      </c>
      <c r="C3611" s="3">
        <v>44840</v>
      </c>
      <c r="D3611" s="3" t="str">
        <f>TEXT(Table1[[#This Row],[Admission Date]],"MMMM")</f>
        <v>October</v>
      </c>
      <c r="E3611" s="3">
        <v>44848</v>
      </c>
      <c r="F3611" s="3">
        <v>44848</v>
      </c>
      <c r="G3611" s="2">
        <v>22027080</v>
      </c>
      <c r="H3611" s="2">
        <v>2234914</v>
      </c>
      <c r="I3611" s="2">
        <v>10013541413</v>
      </c>
      <c r="J3611" s="2" t="s">
        <v>2018</v>
      </c>
      <c r="K3611" s="10">
        <v>55607</v>
      </c>
      <c r="L3611" s="10">
        <v>0</v>
      </c>
      <c r="M3611" s="10">
        <v>55607</v>
      </c>
      <c r="N3611" s="10">
        <v>0</v>
      </c>
      <c r="O3611" s="10">
        <f>Table1[[#This Row],[NET Amount]]-Table1[[#This Row],[Paid Amount]]</f>
        <v>55607</v>
      </c>
      <c r="P3611" s="2" t="s">
        <v>23</v>
      </c>
      <c r="Q3611" s="2" t="s">
        <v>406</v>
      </c>
      <c r="R3611" s="16">
        <f>(Table1[[#This Row],[NET Amount]]-Table1[[#This Row],[Total Outstanding Amount]])/Table1[[#This Row],[NET Amount]]</f>
        <v>0</v>
      </c>
      <c r="S3611" s="2" t="s">
        <v>65</v>
      </c>
    </row>
    <row r="3612" spans="1:19" x14ac:dyDescent="0.3">
      <c r="A3612" s="4">
        <v>3610</v>
      </c>
      <c r="B3612" s="2" t="s">
        <v>149</v>
      </c>
      <c r="C3612" s="3">
        <v>44852</v>
      </c>
      <c r="D3612" s="3" t="str">
        <f>TEXT(Table1[[#This Row],[Admission Date]],"MMMM")</f>
        <v>October</v>
      </c>
      <c r="E3612" s="3">
        <v>44856</v>
      </c>
      <c r="F3612" s="3">
        <v>44856</v>
      </c>
      <c r="G3612" s="2">
        <v>22028129</v>
      </c>
      <c r="H3612" s="2">
        <v>2236562</v>
      </c>
      <c r="I3612" s="2">
        <v>10013543626</v>
      </c>
      <c r="J3612" s="2" t="s">
        <v>2019</v>
      </c>
      <c r="K3612" s="10">
        <v>53527</v>
      </c>
      <c r="L3612" s="10">
        <v>0</v>
      </c>
      <c r="M3612" s="10">
        <v>53527</v>
      </c>
      <c r="N3612" s="10">
        <v>0</v>
      </c>
      <c r="O3612" s="10">
        <f>Table1[[#This Row],[NET Amount]]-Table1[[#This Row],[Paid Amount]]</f>
        <v>53527</v>
      </c>
      <c r="P3612" s="2" t="s">
        <v>23</v>
      </c>
      <c r="Q3612" s="2" t="s">
        <v>30</v>
      </c>
      <c r="R3612" s="16">
        <f>(Table1[[#This Row],[NET Amount]]-Table1[[#This Row],[Total Outstanding Amount]])/Table1[[#This Row],[NET Amount]]</f>
        <v>0</v>
      </c>
      <c r="S3612" s="2" t="s">
        <v>37</v>
      </c>
    </row>
    <row r="3613" spans="1:19" x14ac:dyDescent="0.3">
      <c r="A3613" s="4">
        <v>3611</v>
      </c>
      <c r="B3613" s="2" t="s">
        <v>380</v>
      </c>
      <c r="C3613" s="3">
        <v>44852</v>
      </c>
      <c r="D3613" s="3" t="str">
        <f>TEXT(Table1[[#This Row],[Admission Date]],"MMMM")</f>
        <v>October</v>
      </c>
      <c r="E3613" s="3">
        <v>44852</v>
      </c>
      <c r="F3613" s="3">
        <v>44852</v>
      </c>
      <c r="G3613" s="2">
        <v>22027631</v>
      </c>
      <c r="H3613" s="2">
        <v>2236532</v>
      </c>
      <c r="I3613" s="2">
        <v>1001581259</v>
      </c>
      <c r="J3613" s="2" t="s">
        <v>381</v>
      </c>
      <c r="K3613" s="10">
        <v>1274</v>
      </c>
      <c r="L3613" s="10">
        <v>0</v>
      </c>
      <c r="M3613" s="10">
        <v>1274</v>
      </c>
      <c r="N3613" s="10">
        <v>0</v>
      </c>
      <c r="O3613" s="10">
        <f>Table1[[#This Row],[NET Amount]]-Table1[[#This Row],[Paid Amount]]</f>
        <v>1274</v>
      </c>
      <c r="P3613" s="2" t="s">
        <v>23</v>
      </c>
      <c r="Q3613" s="2" t="s">
        <v>54</v>
      </c>
      <c r="R3613" s="16">
        <f>(Table1[[#This Row],[NET Amount]]-Table1[[#This Row],[Total Outstanding Amount]])/Table1[[#This Row],[NET Amount]]</f>
        <v>0</v>
      </c>
      <c r="S3613" s="2" t="s">
        <v>97</v>
      </c>
    </row>
    <row r="3614" spans="1:19" x14ac:dyDescent="0.3">
      <c r="A3614" s="4">
        <v>3612</v>
      </c>
      <c r="B3614" s="2" t="s">
        <v>2258</v>
      </c>
      <c r="C3614" s="3">
        <v>44844</v>
      </c>
      <c r="D3614" s="3" t="str">
        <f>TEXT(Table1[[#This Row],[Admission Date]],"MMMM")</f>
        <v>October</v>
      </c>
      <c r="E3614" s="3">
        <v>44846</v>
      </c>
      <c r="F3614" s="3">
        <v>44846</v>
      </c>
      <c r="G3614" s="2">
        <v>22026676</v>
      </c>
      <c r="H3614" s="2">
        <v>2235322</v>
      </c>
      <c r="I3614" s="2">
        <v>1001597587</v>
      </c>
      <c r="J3614" s="2" t="s">
        <v>2020</v>
      </c>
      <c r="K3614" s="10">
        <v>21522</v>
      </c>
      <c r="L3614" s="10">
        <v>0</v>
      </c>
      <c r="M3614" s="10">
        <v>21522</v>
      </c>
      <c r="N3614" s="10">
        <v>0</v>
      </c>
      <c r="O3614" s="10">
        <f>Table1[[#This Row],[NET Amount]]-Table1[[#This Row],[Paid Amount]]</f>
        <v>21522</v>
      </c>
      <c r="P3614" s="2" t="s">
        <v>23</v>
      </c>
      <c r="Q3614" s="2" t="s">
        <v>19</v>
      </c>
      <c r="R3614" s="16">
        <f>(Table1[[#This Row],[NET Amount]]-Table1[[#This Row],[Total Outstanding Amount]])/Table1[[#This Row],[NET Amount]]</f>
        <v>0</v>
      </c>
      <c r="S3614" s="2" t="s">
        <v>77</v>
      </c>
    </row>
    <row r="3615" spans="1:19" x14ac:dyDescent="0.3">
      <c r="A3615" s="4">
        <v>3613</v>
      </c>
      <c r="B3615" s="2" t="s">
        <v>75</v>
      </c>
      <c r="C3615" s="3">
        <v>44865</v>
      </c>
      <c r="D3615" s="3" t="str">
        <f>TEXT(Table1[[#This Row],[Admission Date]],"MMMM")</f>
        <v>October</v>
      </c>
      <c r="E3615" s="3">
        <v>44865</v>
      </c>
      <c r="F3615" s="3">
        <v>44865</v>
      </c>
      <c r="G3615" s="2">
        <v>22029268</v>
      </c>
      <c r="H3615" s="2">
        <v>2238157</v>
      </c>
      <c r="I3615" s="2">
        <v>1001531709</v>
      </c>
      <c r="J3615" s="2" t="s">
        <v>1080</v>
      </c>
      <c r="K3615" s="10">
        <v>1610</v>
      </c>
      <c r="L3615" s="10">
        <v>0</v>
      </c>
      <c r="M3615" s="10">
        <v>1610</v>
      </c>
      <c r="N3615" s="10">
        <v>0</v>
      </c>
      <c r="O3615" s="10">
        <f>Table1[[#This Row],[NET Amount]]-Table1[[#This Row],[Paid Amount]]</f>
        <v>1610</v>
      </c>
      <c r="P3615" s="2" t="s">
        <v>23</v>
      </c>
      <c r="Q3615" s="2" t="s">
        <v>54</v>
      </c>
      <c r="R3615" s="16">
        <f>(Table1[[#This Row],[NET Amount]]-Table1[[#This Row],[Total Outstanding Amount]])/Table1[[#This Row],[NET Amount]]</f>
        <v>0</v>
      </c>
      <c r="S3615" s="2" t="s">
        <v>97</v>
      </c>
    </row>
    <row r="3616" spans="1:19" x14ac:dyDescent="0.3">
      <c r="A3616" s="4">
        <v>3614</v>
      </c>
      <c r="B3616" s="2" t="s">
        <v>2263</v>
      </c>
      <c r="C3616" s="3">
        <v>44849</v>
      </c>
      <c r="D3616" s="3" t="str">
        <f>TEXT(Table1[[#This Row],[Admission Date]],"MMMM")</f>
        <v>October</v>
      </c>
      <c r="E3616" s="3">
        <v>44849</v>
      </c>
      <c r="F3616" s="3">
        <v>44849</v>
      </c>
      <c r="G3616" s="2">
        <v>22027132</v>
      </c>
      <c r="H3616" s="2">
        <v>2236075</v>
      </c>
      <c r="I3616" s="2">
        <v>1001711925</v>
      </c>
      <c r="J3616" s="2" t="s">
        <v>302</v>
      </c>
      <c r="K3616" s="10">
        <v>1274</v>
      </c>
      <c r="L3616" s="10">
        <v>0</v>
      </c>
      <c r="M3616" s="10">
        <v>1274</v>
      </c>
      <c r="N3616" s="10">
        <v>0</v>
      </c>
      <c r="O3616" s="10">
        <f>Table1[[#This Row],[NET Amount]]-Table1[[#This Row],[Paid Amount]]</f>
        <v>1274</v>
      </c>
      <c r="P3616" s="2" t="s">
        <v>23</v>
      </c>
      <c r="Q3616" s="2" t="s">
        <v>54</v>
      </c>
      <c r="R3616" s="16">
        <f>(Table1[[#This Row],[NET Amount]]-Table1[[#This Row],[Total Outstanding Amount]])/Table1[[#This Row],[NET Amount]]</f>
        <v>0</v>
      </c>
      <c r="S3616" s="2" t="s">
        <v>97</v>
      </c>
    </row>
    <row r="3617" spans="1:19" x14ac:dyDescent="0.3">
      <c r="A3617" s="4">
        <v>3615</v>
      </c>
      <c r="B3617" s="2" t="s">
        <v>2253</v>
      </c>
      <c r="C3617" s="3">
        <v>44856</v>
      </c>
      <c r="D3617" s="3" t="str">
        <f>TEXT(Table1[[#This Row],[Admission Date]],"MMMM")</f>
        <v>October</v>
      </c>
      <c r="E3617" s="3">
        <v>44856</v>
      </c>
      <c r="F3617" s="3">
        <v>44856</v>
      </c>
      <c r="G3617" s="2">
        <v>22028141</v>
      </c>
      <c r="H3617" s="2">
        <v>2237004</v>
      </c>
      <c r="I3617" s="2">
        <v>1001626180</v>
      </c>
      <c r="J3617" s="2" t="s">
        <v>389</v>
      </c>
      <c r="K3617" s="10">
        <v>1610</v>
      </c>
      <c r="L3617" s="10">
        <v>0</v>
      </c>
      <c r="M3617" s="10">
        <v>1610</v>
      </c>
      <c r="N3617" s="10">
        <v>0</v>
      </c>
      <c r="O3617" s="10">
        <f>Table1[[#This Row],[NET Amount]]-Table1[[#This Row],[Paid Amount]]</f>
        <v>1610</v>
      </c>
      <c r="P3617" s="2" t="s">
        <v>23</v>
      </c>
      <c r="Q3617" s="2" t="s">
        <v>54</v>
      </c>
      <c r="R3617" s="16">
        <f>(Table1[[#This Row],[NET Amount]]-Table1[[#This Row],[Total Outstanding Amount]])/Table1[[#This Row],[NET Amount]]</f>
        <v>0</v>
      </c>
      <c r="S3617" s="2" t="s">
        <v>97</v>
      </c>
    </row>
    <row r="3618" spans="1:19" x14ac:dyDescent="0.3">
      <c r="A3618" s="4">
        <v>3616</v>
      </c>
      <c r="B3618" s="2" t="s">
        <v>2253</v>
      </c>
      <c r="C3618" s="3">
        <v>44839</v>
      </c>
      <c r="D3618" s="3" t="str">
        <f>TEXT(Table1[[#This Row],[Admission Date]],"MMMM")</f>
        <v>October</v>
      </c>
      <c r="E3618" s="3">
        <v>44839</v>
      </c>
      <c r="F3618" s="3">
        <v>44839</v>
      </c>
      <c r="G3618" s="2">
        <v>22025732</v>
      </c>
      <c r="H3618" s="2">
        <v>2234722</v>
      </c>
      <c r="I3618" s="2">
        <v>1001692673</v>
      </c>
      <c r="J3618" s="2" t="s">
        <v>383</v>
      </c>
      <c r="K3618" s="10">
        <v>1610</v>
      </c>
      <c r="L3618" s="10">
        <v>0</v>
      </c>
      <c r="M3618" s="10">
        <v>1610</v>
      </c>
      <c r="N3618" s="10">
        <v>0</v>
      </c>
      <c r="O3618" s="10">
        <f>Table1[[#This Row],[NET Amount]]-Table1[[#This Row],[Paid Amount]]</f>
        <v>1610</v>
      </c>
      <c r="P3618" s="2" t="s">
        <v>23</v>
      </c>
      <c r="Q3618" s="2" t="s">
        <v>54</v>
      </c>
      <c r="R3618" s="16">
        <f>(Table1[[#This Row],[NET Amount]]-Table1[[#This Row],[Total Outstanding Amount]])/Table1[[#This Row],[NET Amount]]</f>
        <v>0</v>
      </c>
      <c r="S3618" s="2" t="s">
        <v>97</v>
      </c>
    </row>
    <row r="3619" spans="1:19" x14ac:dyDescent="0.3">
      <c r="A3619" s="4">
        <v>3617</v>
      </c>
      <c r="B3619" s="2" t="s">
        <v>2263</v>
      </c>
      <c r="C3619" s="3">
        <v>44856</v>
      </c>
      <c r="D3619" s="3" t="str">
        <f>TEXT(Table1[[#This Row],[Admission Date]],"MMMM")</f>
        <v>October</v>
      </c>
      <c r="E3619" s="3">
        <v>44856</v>
      </c>
      <c r="F3619" s="3">
        <v>44856</v>
      </c>
      <c r="G3619" s="2">
        <v>22028208</v>
      </c>
      <c r="H3619" s="2">
        <v>2237040</v>
      </c>
      <c r="I3619" s="2">
        <v>1001648223</v>
      </c>
      <c r="J3619" s="2" t="s">
        <v>458</v>
      </c>
      <c r="K3619" s="10">
        <v>1274</v>
      </c>
      <c r="L3619" s="10">
        <v>0</v>
      </c>
      <c r="M3619" s="10">
        <v>1274</v>
      </c>
      <c r="N3619" s="10">
        <v>0</v>
      </c>
      <c r="O3619" s="10">
        <f>Table1[[#This Row],[NET Amount]]-Table1[[#This Row],[Paid Amount]]</f>
        <v>1274</v>
      </c>
      <c r="P3619" s="2" t="s">
        <v>23</v>
      </c>
      <c r="Q3619" s="2" t="s">
        <v>54</v>
      </c>
      <c r="R3619" s="16">
        <f>(Table1[[#This Row],[NET Amount]]-Table1[[#This Row],[Total Outstanding Amount]])/Table1[[#This Row],[NET Amount]]</f>
        <v>0</v>
      </c>
      <c r="S3619" s="2" t="s">
        <v>97</v>
      </c>
    </row>
    <row r="3620" spans="1:19" x14ac:dyDescent="0.3">
      <c r="A3620" s="4">
        <v>3618</v>
      </c>
      <c r="B3620" s="2" t="s">
        <v>380</v>
      </c>
      <c r="C3620" s="3">
        <v>44854</v>
      </c>
      <c r="D3620" s="3" t="str">
        <f>TEXT(Table1[[#This Row],[Admission Date]],"MMMM")</f>
        <v>October</v>
      </c>
      <c r="E3620" s="3">
        <v>44854</v>
      </c>
      <c r="F3620" s="3">
        <v>44854</v>
      </c>
      <c r="G3620" s="2">
        <v>22027957</v>
      </c>
      <c r="H3620" s="2">
        <v>2236839</v>
      </c>
      <c r="I3620" s="2">
        <v>10013413542</v>
      </c>
      <c r="J3620" s="2" t="s">
        <v>389</v>
      </c>
      <c r="K3620" s="10">
        <v>1274</v>
      </c>
      <c r="L3620" s="10">
        <v>0</v>
      </c>
      <c r="M3620" s="10">
        <v>1274</v>
      </c>
      <c r="N3620" s="10">
        <v>0</v>
      </c>
      <c r="O3620" s="10">
        <f>Table1[[#This Row],[NET Amount]]-Table1[[#This Row],[Paid Amount]]</f>
        <v>1274</v>
      </c>
      <c r="P3620" s="2" t="s">
        <v>23</v>
      </c>
      <c r="Q3620" s="2" t="s">
        <v>54</v>
      </c>
      <c r="R3620" s="16">
        <f>(Table1[[#This Row],[NET Amount]]-Table1[[#This Row],[Total Outstanding Amount]])/Table1[[#This Row],[NET Amount]]</f>
        <v>0</v>
      </c>
      <c r="S3620" s="2" t="s">
        <v>97</v>
      </c>
    </row>
    <row r="3621" spans="1:19" x14ac:dyDescent="0.3">
      <c r="A3621" s="4">
        <v>3619</v>
      </c>
      <c r="B3621" s="2" t="s">
        <v>2263</v>
      </c>
      <c r="C3621" s="3">
        <v>44838</v>
      </c>
      <c r="D3621" s="3" t="str">
        <f>TEXT(Table1[[#This Row],[Admission Date]],"MMMM")</f>
        <v>October</v>
      </c>
      <c r="E3621" s="3">
        <v>44838</v>
      </c>
      <c r="F3621" s="3">
        <v>44838</v>
      </c>
      <c r="G3621" s="2">
        <v>22025568</v>
      </c>
      <c r="H3621" s="2">
        <v>2234571</v>
      </c>
      <c r="I3621" s="2">
        <v>1001711925</v>
      </c>
      <c r="J3621" s="2" t="s">
        <v>302</v>
      </c>
      <c r="K3621" s="10">
        <v>1274</v>
      </c>
      <c r="L3621" s="10">
        <v>0</v>
      </c>
      <c r="M3621" s="10">
        <v>1274</v>
      </c>
      <c r="N3621" s="10">
        <v>0</v>
      </c>
      <c r="O3621" s="10">
        <f>Table1[[#This Row],[NET Amount]]-Table1[[#This Row],[Paid Amount]]</f>
        <v>1274</v>
      </c>
      <c r="P3621" s="2" t="s">
        <v>23</v>
      </c>
      <c r="Q3621" s="2" t="s">
        <v>54</v>
      </c>
      <c r="R3621" s="16">
        <f>(Table1[[#This Row],[NET Amount]]-Table1[[#This Row],[Total Outstanding Amount]])/Table1[[#This Row],[NET Amount]]</f>
        <v>0</v>
      </c>
      <c r="S3621" s="2" t="s">
        <v>97</v>
      </c>
    </row>
    <row r="3622" spans="1:19" x14ac:dyDescent="0.3">
      <c r="A3622" s="4">
        <v>3620</v>
      </c>
      <c r="B3622" s="2" t="s">
        <v>2263</v>
      </c>
      <c r="C3622" s="3">
        <v>44860</v>
      </c>
      <c r="D3622" s="3" t="str">
        <f>TEXT(Table1[[#This Row],[Admission Date]],"MMMM")</f>
        <v>October</v>
      </c>
      <c r="E3622" s="3">
        <v>44860</v>
      </c>
      <c r="F3622" s="3">
        <v>44860</v>
      </c>
      <c r="G3622" s="2">
        <v>22028584</v>
      </c>
      <c r="H3622" s="2">
        <v>2237448</v>
      </c>
      <c r="I3622" s="2">
        <v>1001647517</v>
      </c>
      <c r="J3622" s="2" t="s">
        <v>802</v>
      </c>
      <c r="K3622" s="10">
        <v>1274</v>
      </c>
      <c r="L3622" s="10">
        <v>0</v>
      </c>
      <c r="M3622" s="10">
        <v>1274</v>
      </c>
      <c r="N3622" s="10">
        <v>0</v>
      </c>
      <c r="O3622" s="10">
        <f>Table1[[#This Row],[NET Amount]]-Table1[[#This Row],[Paid Amount]]</f>
        <v>1274</v>
      </c>
      <c r="P3622" s="2" t="s">
        <v>23</v>
      </c>
      <c r="Q3622" s="2" t="s">
        <v>54</v>
      </c>
      <c r="R3622" s="16">
        <f>(Table1[[#This Row],[NET Amount]]-Table1[[#This Row],[Total Outstanding Amount]])/Table1[[#This Row],[NET Amount]]</f>
        <v>0</v>
      </c>
      <c r="S3622" s="2" t="s">
        <v>97</v>
      </c>
    </row>
    <row r="3623" spans="1:19" x14ac:dyDescent="0.3">
      <c r="A3623" s="4">
        <v>3621</v>
      </c>
      <c r="B3623" s="2" t="s">
        <v>2263</v>
      </c>
      <c r="C3623" s="3">
        <v>44856</v>
      </c>
      <c r="D3623" s="3" t="str">
        <f>TEXT(Table1[[#This Row],[Admission Date]],"MMMM")</f>
        <v>October</v>
      </c>
      <c r="E3623" s="3">
        <v>44856</v>
      </c>
      <c r="F3623" s="3">
        <v>44856</v>
      </c>
      <c r="G3623" s="2">
        <v>22028259</v>
      </c>
      <c r="H3623" s="2">
        <v>2237053</v>
      </c>
      <c r="I3623" s="2">
        <v>1001686545</v>
      </c>
      <c r="J3623" s="2" t="s">
        <v>425</v>
      </c>
      <c r="K3623" s="10">
        <v>1274</v>
      </c>
      <c r="L3623" s="10">
        <v>0</v>
      </c>
      <c r="M3623" s="10">
        <v>1274</v>
      </c>
      <c r="N3623" s="10">
        <v>0</v>
      </c>
      <c r="O3623" s="10">
        <f>Table1[[#This Row],[NET Amount]]-Table1[[#This Row],[Paid Amount]]</f>
        <v>1274</v>
      </c>
      <c r="P3623" s="2" t="s">
        <v>23</v>
      </c>
      <c r="Q3623" s="2" t="s">
        <v>54</v>
      </c>
      <c r="R3623" s="16">
        <f>(Table1[[#This Row],[NET Amount]]-Table1[[#This Row],[Total Outstanding Amount]])/Table1[[#This Row],[NET Amount]]</f>
        <v>0</v>
      </c>
      <c r="S3623" s="2" t="s">
        <v>97</v>
      </c>
    </row>
    <row r="3624" spans="1:19" x14ac:dyDescent="0.3">
      <c r="A3624" s="4">
        <v>3622</v>
      </c>
      <c r="B3624" s="2" t="s">
        <v>380</v>
      </c>
      <c r="C3624" s="3">
        <v>44854</v>
      </c>
      <c r="D3624" s="3" t="str">
        <f>TEXT(Table1[[#This Row],[Admission Date]],"MMMM")</f>
        <v>October</v>
      </c>
      <c r="E3624" s="3">
        <v>44854</v>
      </c>
      <c r="F3624" s="3">
        <v>44854</v>
      </c>
      <c r="G3624" s="2">
        <v>22027956</v>
      </c>
      <c r="H3624" s="2">
        <v>2236840</v>
      </c>
      <c r="I3624" s="2">
        <v>1001092597</v>
      </c>
      <c r="J3624" s="2" t="s">
        <v>384</v>
      </c>
      <c r="K3624" s="10">
        <v>1274</v>
      </c>
      <c r="L3624" s="10">
        <v>0</v>
      </c>
      <c r="M3624" s="10">
        <v>1274</v>
      </c>
      <c r="N3624" s="10">
        <v>0</v>
      </c>
      <c r="O3624" s="10">
        <f>Table1[[#This Row],[NET Amount]]-Table1[[#This Row],[Paid Amount]]</f>
        <v>1274</v>
      </c>
      <c r="P3624" s="2" t="s">
        <v>23</v>
      </c>
      <c r="Q3624" s="2" t="s">
        <v>54</v>
      </c>
      <c r="R3624" s="16">
        <f>(Table1[[#This Row],[NET Amount]]-Table1[[#This Row],[Total Outstanding Amount]])/Table1[[#This Row],[NET Amount]]</f>
        <v>0</v>
      </c>
      <c r="S3624" s="2" t="s">
        <v>97</v>
      </c>
    </row>
    <row r="3625" spans="1:19" x14ac:dyDescent="0.3">
      <c r="A3625" s="4">
        <v>3623</v>
      </c>
      <c r="B3625" s="2" t="s">
        <v>407</v>
      </c>
      <c r="C3625" s="3">
        <v>44852</v>
      </c>
      <c r="D3625" s="3" t="str">
        <f>TEXT(Table1[[#This Row],[Admission Date]],"MMMM")</f>
        <v>October</v>
      </c>
      <c r="E3625" s="3">
        <v>44856</v>
      </c>
      <c r="F3625" s="3">
        <v>44856</v>
      </c>
      <c r="G3625" s="2">
        <v>22028130</v>
      </c>
      <c r="H3625" s="2">
        <v>2236527</v>
      </c>
      <c r="I3625" s="2">
        <v>10013533734</v>
      </c>
      <c r="J3625" s="2" t="s">
        <v>1368</v>
      </c>
      <c r="K3625" s="10">
        <v>42055</v>
      </c>
      <c r="L3625" s="10">
        <v>0</v>
      </c>
      <c r="M3625" s="10">
        <v>42055</v>
      </c>
      <c r="N3625" s="10">
        <v>0</v>
      </c>
      <c r="O3625" s="10">
        <f>Table1[[#This Row],[NET Amount]]-Table1[[#This Row],[Paid Amount]]</f>
        <v>42055</v>
      </c>
      <c r="P3625" s="2" t="s">
        <v>23</v>
      </c>
      <c r="Q3625" s="2" t="s">
        <v>24</v>
      </c>
      <c r="R3625" s="16">
        <f>(Table1[[#This Row],[NET Amount]]-Table1[[#This Row],[Total Outstanding Amount]])/Table1[[#This Row],[NET Amount]]</f>
        <v>0</v>
      </c>
      <c r="S3625" s="2" t="s">
        <v>20</v>
      </c>
    </row>
    <row r="3626" spans="1:19" x14ac:dyDescent="0.3">
      <c r="A3626" s="4">
        <v>3624</v>
      </c>
      <c r="B3626" s="2" t="s">
        <v>75</v>
      </c>
      <c r="C3626" s="3">
        <v>44851</v>
      </c>
      <c r="D3626" s="3" t="str">
        <f>TEXT(Table1[[#This Row],[Admission Date]],"MMMM")</f>
        <v>October</v>
      </c>
      <c r="E3626" s="3">
        <v>44851</v>
      </c>
      <c r="F3626" s="3">
        <v>44851</v>
      </c>
      <c r="G3626" s="2">
        <v>22027459</v>
      </c>
      <c r="H3626" s="2">
        <v>2236323</v>
      </c>
      <c r="I3626" s="2">
        <v>1001300172</v>
      </c>
      <c r="J3626" s="2" t="s">
        <v>400</v>
      </c>
      <c r="K3626" s="10">
        <v>1610</v>
      </c>
      <c r="L3626" s="10">
        <v>0</v>
      </c>
      <c r="M3626" s="10">
        <v>1610</v>
      </c>
      <c r="N3626" s="10">
        <v>0</v>
      </c>
      <c r="O3626" s="10">
        <f>Table1[[#This Row],[NET Amount]]-Table1[[#This Row],[Paid Amount]]</f>
        <v>1610</v>
      </c>
      <c r="P3626" s="2" t="s">
        <v>23</v>
      </c>
      <c r="Q3626" s="2" t="s">
        <v>54</v>
      </c>
      <c r="R3626" s="16">
        <f>(Table1[[#This Row],[NET Amount]]-Table1[[#This Row],[Total Outstanding Amount]])/Table1[[#This Row],[NET Amount]]</f>
        <v>0</v>
      </c>
      <c r="S3626" s="2" t="s">
        <v>97</v>
      </c>
    </row>
    <row r="3627" spans="1:19" x14ac:dyDescent="0.3">
      <c r="A3627" s="4">
        <v>3625</v>
      </c>
      <c r="B3627" s="2" t="s">
        <v>380</v>
      </c>
      <c r="C3627" s="3">
        <v>44856</v>
      </c>
      <c r="D3627" s="3" t="str">
        <f>TEXT(Table1[[#This Row],[Admission Date]],"MMMM")</f>
        <v>October</v>
      </c>
      <c r="E3627" s="3">
        <v>44856</v>
      </c>
      <c r="F3627" s="3">
        <v>44856</v>
      </c>
      <c r="G3627" s="2">
        <v>22028278</v>
      </c>
      <c r="H3627" s="2">
        <v>2237056</v>
      </c>
      <c r="I3627" s="2">
        <v>10013347178</v>
      </c>
      <c r="J3627" s="2" t="s">
        <v>371</v>
      </c>
      <c r="K3627" s="10">
        <v>1274</v>
      </c>
      <c r="L3627" s="10">
        <v>0</v>
      </c>
      <c r="M3627" s="10">
        <v>1274</v>
      </c>
      <c r="N3627" s="10">
        <v>0</v>
      </c>
      <c r="O3627" s="10">
        <f>Table1[[#This Row],[NET Amount]]-Table1[[#This Row],[Paid Amount]]</f>
        <v>1274</v>
      </c>
      <c r="P3627" s="2" t="s">
        <v>23</v>
      </c>
      <c r="Q3627" s="2" t="s">
        <v>54</v>
      </c>
      <c r="R3627" s="16">
        <f>(Table1[[#This Row],[NET Amount]]-Table1[[#This Row],[Total Outstanding Amount]])/Table1[[#This Row],[NET Amount]]</f>
        <v>0</v>
      </c>
      <c r="S3627" s="2" t="s">
        <v>97</v>
      </c>
    </row>
    <row r="3628" spans="1:19" x14ac:dyDescent="0.3">
      <c r="A3628" s="4">
        <v>3626</v>
      </c>
      <c r="B3628" s="2" t="s">
        <v>380</v>
      </c>
      <c r="C3628" s="3">
        <v>44848</v>
      </c>
      <c r="D3628" s="3" t="str">
        <f>TEXT(Table1[[#This Row],[Admission Date]],"MMMM")</f>
        <v>October</v>
      </c>
      <c r="E3628" s="3">
        <v>44848</v>
      </c>
      <c r="F3628" s="3">
        <v>44848</v>
      </c>
      <c r="G3628" s="2">
        <v>22027096</v>
      </c>
      <c r="H3628" s="2">
        <v>2236012</v>
      </c>
      <c r="I3628" s="2">
        <v>1001082290</v>
      </c>
      <c r="J3628" s="2" t="s">
        <v>436</v>
      </c>
      <c r="K3628" s="10">
        <v>1274</v>
      </c>
      <c r="L3628" s="10">
        <v>0</v>
      </c>
      <c r="M3628" s="10">
        <v>1274</v>
      </c>
      <c r="N3628" s="10">
        <v>0</v>
      </c>
      <c r="O3628" s="10">
        <f>Table1[[#This Row],[NET Amount]]-Table1[[#This Row],[Paid Amount]]</f>
        <v>1274</v>
      </c>
      <c r="P3628" s="2" t="s">
        <v>23</v>
      </c>
      <c r="Q3628" s="2" t="s">
        <v>54</v>
      </c>
      <c r="R3628" s="16">
        <f>(Table1[[#This Row],[NET Amount]]-Table1[[#This Row],[Total Outstanding Amount]])/Table1[[#This Row],[NET Amount]]</f>
        <v>0</v>
      </c>
      <c r="S3628" s="2" t="s">
        <v>97</v>
      </c>
    </row>
    <row r="3629" spans="1:19" x14ac:dyDescent="0.3">
      <c r="A3629" s="4">
        <v>3627</v>
      </c>
      <c r="B3629" s="2" t="s">
        <v>35</v>
      </c>
      <c r="C3629" s="3">
        <v>44838</v>
      </c>
      <c r="D3629" s="3" t="str">
        <f>TEXT(Table1[[#This Row],[Admission Date]],"MMMM")</f>
        <v>October</v>
      </c>
      <c r="E3629" s="3">
        <v>44840</v>
      </c>
      <c r="F3629" s="3">
        <v>44840</v>
      </c>
      <c r="G3629" s="2">
        <v>22025817</v>
      </c>
      <c r="H3629" s="2">
        <v>2234584</v>
      </c>
      <c r="I3629" s="2">
        <v>1001801732</v>
      </c>
      <c r="J3629" s="2" t="s">
        <v>1259</v>
      </c>
      <c r="K3629" s="10">
        <v>8130</v>
      </c>
      <c r="L3629" s="10">
        <v>0</v>
      </c>
      <c r="M3629" s="10">
        <v>8130</v>
      </c>
      <c r="N3629" s="10">
        <v>8130</v>
      </c>
      <c r="O3629" s="10">
        <f>Table1[[#This Row],[NET Amount]]-Table1[[#This Row],[Paid Amount]]</f>
        <v>0</v>
      </c>
      <c r="P3629" s="2" t="s">
        <v>18</v>
      </c>
      <c r="Q3629" s="2" t="s">
        <v>19</v>
      </c>
      <c r="R3629" s="16">
        <f>(Table1[[#This Row],[NET Amount]]-Table1[[#This Row],[Total Outstanding Amount]])/Table1[[#This Row],[NET Amount]]</f>
        <v>1</v>
      </c>
      <c r="S3629" s="2" t="s">
        <v>37</v>
      </c>
    </row>
    <row r="3630" spans="1:19" x14ac:dyDescent="0.3">
      <c r="A3630" s="4">
        <v>3628</v>
      </c>
      <c r="B3630" s="2" t="s">
        <v>28</v>
      </c>
      <c r="C3630" s="3">
        <v>44838</v>
      </c>
      <c r="D3630" s="3" t="str">
        <f>TEXT(Table1[[#This Row],[Admission Date]],"MMMM")</f>
        <v>October</v>
      </c>
      <c r="E3630" s="3">
        <v>44843</v>
      </c>
      <c r="F3630" s="3">
        <v>44843</v>
      </c>
      <c r="G3630" s="2">
        <v>22026244</v>
      </c>
      <c r="H3630" s="2">
        <v>2234610</v>
      </c>
      <c r="I3630" s="2">
        <v>10013541577</v>
      </c>
      <c r="J3630" s="2" t="s">
        <v>2021</v>
      </c>
      <c r="K3630" s="10">
        <v>84415</v>
      </c>
      <c r="L3630" s="10">
        <v>8302</v>
      </c>
      <c r="M3630" s="10">
        <v>76112</v>
      </c>
      <c r="N3630" s="10">
        <v>9382</v>
      </c>
      <c r="O3630" s="10">
        <f>Table1[[#This Row],[NET Amount]]-Table1[[#This Row],[Paid Amount]]</f>
        <v>66730</v>
      </c>
      <c r="P3630" s="2" t="s">
        <v>23</v>
      </c>
      <c r="Q3630" s="2" t="s">
        <v>24</v>
      </c>
      <c r="R3630" s="16">
        <f>(Table1[[#This Row],[NET Amount]]-Table1[[#This Row],[Total Outstanding Amount]])/Table1[[#This Row],[NET Amount]]</f>
        <v>0.12326571368509565</v>
      </c>
      <c r="S3630" s="2" t="s">
        <v>37</v>
      </c>
    </row>
    <row r="3631" spans="1:19" x14ac:dyDescent="0.3">
      <c r="A3631" s="4">
        <v>3629</v>
      </c>
      <c r="B3631" s="2" t="s">
        <v>25</v>
      </c>
      <c r="C3631" s="3">
        <v>44840</v>
      </c>
      <c r="D3631" s="3" t="str">
        <f>TEXT(Table1[[#This Row],[Admission Date]],"MMMM")</f>
        <v>October</v>
      </c>
      <c r="E3631" s="3">
        <v>44841</v>
      </c>
      <c r="F3631" s="3">
        <v>44841</v>
      </c>
      <c r="G3631" s="2">
        <v>22025966</v>
      </c>
      <c r="H3631" s="2">
        <v>2234870</v>
      </c>
      <c r="I3631" s="2">
        <v>1001802786</v>
      </c>
      <c r="J3631" s="2" t="s">
        <v>2022</v>
      </c>
      <c r="K3631" s="10">
        <v>37092</v>
      </c>
      <c r="L3631" s="10">
        <v>6169</v>
      </c>
      <c r="M3631" s="10">
        <v>30923</v>
      </c>
      <c r="N3631" s="10">
        <v>30923</v>
      </c>
      <c r="O3631" s="10">
        <f>Table1[[#This Row],[NET Amount]]-Table1[[#This Row],[Paid Amount]]</f>
        <v>0</v>
      </c>
      <c r="P3631" s="2" t="s">
        <v>18</v>
      </c>
      <c r="Q3631" s="2" t="s">
        <v>24</v>
      </c>
      <c r="R3631" s="16">
        <f>(Table1[[#This Row],[NET Amount]]-Table1[[#This Row],[Total Outstanding Amount]])/Table1[[#This Row],[NET Amount]]</f>
        <v>1</v>
      </c>
      <c r="S3631" s="2" t="s">
        <v>32</v>
      </c>
    </row>
    <row r="3632" spans="1:19" x14ac:dyDescent="0.3">
      <c r="A3632" s="4">
        <v>3630</v>
      </c>
      <c r="B3632" s="2" t="s">
        <v>25</v>
      </c>
      <c r="C3632" s="3">
        <v>44851</v>
      </c>
      <c r="D3632" s="3" t="str">
        <f>TEXT(Table1[[#This Row],[Admission Date]],"MMMM")</f>
        <v>October</v>
      </c>
      <c r="E3632" s="3">
        <v>44853</v>
      </c>
      <c r="F3632" s="3">
        <v>44853</v>
      </c>
      <c r="G3632" s="2">
        <v>22027696</v>
      </c>
      <c r="H3632" s="2">
        <v>2236383</v>
      </c>
      <c r="I3632" s="2">
        <v>1001754902</v>
      </c>
      <c r="J3632" s="2" t="s">
        <v>2023</v>
      </c>
      <c r="K3632" s="10">
        <v>14262</v>
      </c>
      <c r="L3632" s="10">
        <v>1312</v>
      </c>
      <c r="M3632" s="10">
        <v>12950</v>
      </c>
      <c r="N3632" s="10">
        <v>12950</v>
      </c>
      <c r="O3632" s="10">
        <f>Table1[[#This Row],[NET Amount]]-Table1[[#This Row],[Paid Amount]]</f>
        <v>0</v>
      </c>
      <c r="P3632" s="2" t="s">
        <v>18</v>
      </c>
      <c r="Q3632" s="2" t="s">
        <v>24</v>
      </c>
      <c r="R3632" s="16">
        <f>(Table1[[#This Row],[NET Amount]]-Table1[[#This Row],[Total Outstanding Amount]])/Table1[[#This Row],[NET Amount]]</f>
        <v>1</v>
      </c>
      <c r="S3632" s="2" t="s">
        <v>37</v>
      </c>
    </row>
    <row r="3633" spans="1:19" x14ac:dyDescent="0.3">
      <c r="A3633" s="4">
        <v>3631</v>
      </c>
      <c r="B3633" s="2" t="s">
        <v>28</v>
      </c>
      <c r="C3633" s="3">
        <v>44846</v>
      </c>
      <c r="D3633" s="3" t="str">
        <f>TEXT(Table1[[#This Row],[Admission Date]],"MMMM")</f>
        <v>October</v>
      </c>
      <c r="E3633" s="3">
        <v>44851</v>
      </c>
      <c r="F3633" s="3">
        <v>44851</v>
      </c>
      <c r="G3633" s="2">
        <v>22027370</v>
      </c>
      <c r="H3633" s="2">
        <v>2235630</v>
      </c>
      <c r="I3633" s="2">
        <v>10013542640</v>
      </c>
      <c r="J3633" s="2" t="s">
        <v>2024</v>
      </c>
      <c r="K3633" s="10">
        <v>94914</v>
      </c>
      <c r="L3633" s="10">
        <v>10141</v>
      </c>
      <c r="M3633" s="10">
        <v>84773</v>
      </c>
      <c r="N3633" s="10">
        <v>6115</v>
      </c>
      <c r="O3633" s="10">
        <f>Table1[[#This Row],[NET Amount]]-Table1[[#This Row],[Paid Amount]]</f>
        <v>78658</v>
      </c>
      <c r="P3633" s="2" t="s">
        <v>23</v>
      </c>
      <c r="Q3633" s="2" t="s">
        <v>24</v>
      </c>
      <c r="R3633" s="16">
        <f>(Table1[[#This Row],[NET Amount]]-Table1[[#This Row],[Total Outstanding Amount]])/Table1[[#This Row],[NET Amount]]</f>
        <v>7.2133816191476061E-2</v>
      </c>
      <c r="S3633" s="2" t="s">
        <v>20</v>
      </c>
    </row>
    <row r="3634" spans="1:19" x14ac:dyDescent="0.3">
      <c r="A3634" s="4">
        <v>3632</v>
      </c>
      <c r="B3634" s="2" t="s">
        <v>50</v>
      </c>
      <c r="C3634" s="3">
        <v>44851</v>
      </c>
      <c r="D3634" s="3" t="str">
        <f>TEXT(Table1[[#This Row],[Admission Date]],"MMMM")</f>
        <v>October</v>
      </c>
      <c r="E3634" s="3">
        <v>44856</v>
      </c>
      <c r="F3634" s="3">
        <v>44856</v>
      </c>
      <c r="G3634" s="2">
        <v>22028243</v>
      </c>
      <c r="H3634" s="2">
        <v>2236404</v>
      </c>
      <c r="I3634" s="2">
        <v>10013543456</v>
      </c>
      <c r="J3634" s="2" t="s">
        <v>2025</v>
      </c>
      <c r="K3634" s="10">
        <v>390984</v>
      </c>
      <c r="L3634" s="10">
        <v>0</v>
      </c>
      <c r="M3634" s="10">
        <v>390984</v>
      </c>
      <c r="N3634" s="10">
        <v>34500</v>
      </c>
      <c r="O3634" s="10">
        <f>Table1[[#This Row],[NET Amount]]-Table1[[#This Row],[Paid Amount]]</f>
        <v>356484</v>
      </c>
      <c r="P3634" s="2" t="s">
        <v>23</v>
      </c>
      <c r="Q3634" s="2" t="s">
        <v>42</v>
      </c>
      <c r="R3634" s="16">
        <f>(Table1[[#This Row],[NET Amount]]-Table1[[#This Row],[Total Outstanding Amount]])/Table1[[#This Row],[NET Amount]]</f>
        <v>8.8238904916825248E-2</v>
      </c>
      <c r="S3634" s="2" t="s">
        <v>20</v>
      </c>
    </row>
    <row r="3635" spans="1:19" x14ac:dyDescent="0.3">
      <c r="A3635" s="4">
        <v>3633</v>
      </c>
      <c r="B3635" s="2" t="s">
        <v>25</v>
      </c>
      <c r="C3635" s="3">
        <v>44852</v>
      </c>
      <c r="D3635" s="3" t="str">
        <f>TEXT(Table1[[#This Row],[Admission Date]],"MMMM")</f>
        <v>October</v>
      </c>
      <c r="E3635" s="3">
        <v>44852</v>
      </c>
      <c r="F3635" s="3">
        <v>44852</v>
      </c>
      <c r="G3635" s="2">
        <v>22027598</v>
      </c>
      <c r="H3635" s="2">
        <v>2236458</v>
      </c>
      <c r="I3635" s="2">
        <v>1001221265</v>
      </c>
      <c r="J3635" s="2" t="s">
        <v>2026</v>
      </c>
      <c r="K3635" s="10">
        <v>17234</v>
      </c>
      <c r="L3635" s="10">
        <v>2077</v>
      </c>
      <c r="M3635" s="10">
        <v>15157</v>
      </c>
      <c r="N3635" s="10">
        <v>15157</v>
      </c>
      <c r="O3635" s="10">
        <f>Table1[[#This Row],[NET Amount]]-Table1[[#This Row],[Paid Amount]]</f>
        <v>0</v>
      </c>
      <c r="P3635" s="2" t="s">
        <v>18</v>
      </c>
      <c r="Q3635" s="2" t="s">
        <v>54</v>
      </c>
      <c r="R3635" s="16">
        <f>(Table1[[#This Row],[NET Amount]]-Table1[[#This Row],[Total Outstanding Amount]])/Table1[[#This Row],[NET Amount]]</f>
        <v>1</v>
      </c>
      <c r="S3635" s="2" t="s">
        <v>27</v>
      </c>
    </row>
    <row r="3636" spans="1:19" x14ac:dyDescent="0.3">
      <c r="A3636" s="4">
        <v>3634</v>
      </c>
      <c r="B3636" s="2" t="s">
        <v>61</v>
      </c>
      <c r="C3636" s="3">
        <v>44852</v>
      </c>
      <c r="D3636" s="3" t="str">
        <f>TEXT(Table1[[#This Row],[Admission Date]],"MMMM")</f>
        <v>October</v>
      </c>
      <c r="E3636" s="3">
        <v>44859</v>
      </c>
      <c r="F3636" s="3">
        <v>44859</v>
      </c>
      <c r="G3636" s="2">
        <v>22028490</v>
      </c>
      <c r="H3636" s="2">
        <v>2236541</v>
      </c>
      <c r="I3636" s="2">
        <v>1001758774</v>
      </c>
      <c r="J3636" s="2" t="s">
        <v>2027</v>
      </c>
      <c r="K3636" s="10">
        <v>427855</v>
      </c>
      <c r="L3636" s="10">
        <v>27774</v>
      </c>
      <c r="M3636" s="10">
        <v>400081</v>
      </c>
      <c r="N3636" s="10">
        <v>281871</v>
      </c>
      <c r="O3636" s="10">
        <f>Table1[[#This Row],[NET Amount]]-Table1[[#This Row],[Paid Amount]]</f>
        <v>118210</v>
      </c>
      <c r="P3636" s="2" t="s">
        <v>23</v>
      </c>
      <c r="Q3636" s="2" t="s">
        <v>47</v>
      </c>
      <c r="R3636" s="16">
        <f>(Table1[[#This Row],[NET Amount]]-Table1[[#This Row],[Total Outstanding Amount]])/Table1[[#This Row],[NET Amount]]</f>
        <v>0.70453483169658149</v>
      </c>
      <c r="S3636" s="2" t="s">
        <v>20</v>
      </c>
    </row>
    <row r="3637" spans="1:19" x14ac:dyDescent="0.3">
      <c r="A3637" s="4">
        <v>3635</v>
      </c>
      <c r="B3637" s="2" t="s">
        <v>2243</v>
      </c>
      <c r="C3637" s="3">
        <v>44863</v>
      </c>
      <c r="D3637" s="3" t="str">
        <f>TEXT(Table1[[#This Row],[Admission Date]],"MMMM")</f>
        <v>October</v>
      </c>
      <c r="E3637" s="3">
        <v>44865</v>
      </c>
      <c r="F3637" s="3">
        <v>44865</v>
      </c>
      <c r="G3637" s="2">
        <v>22029303</v>
      </c>
      <c r="H3637" s="2">
        <v>2238002</v>
      </c>
      <c r="I3637" s="2">
        <v>1001745866</v>
      </c>
      <c r="J3637" s="2" t="s">
        <v>2028</v>
      </c>
      <c r="K3637" s="10">
        <v>51166</v>
      </c>
      <c r="L3637" s="10">
        <v>51166</v>
      </c>
      <c r="M3637" s="10">
        <v>0</v>
      </c>
      <c r="N3637" s="10">
        <v>0</v>
      </c>
      <c r="O3637" s="10">
        <f>Table1[[#This Row],[NET Amount]]-Table1[[#This Row],[Paid Amount]]</f>
        <v>0</v>
      </c>
      <c r="P3637" s="2" t="s">
        <v>18</v>
      </c>
      <c r="Q3637" s="2" t="s">
        <v>24</v>
      </c>
      <c r="R3637" s="16" t="e">
        <f>(Table1[[#This Row],[NET Amount]]-Table1[[#This Row],[Total Outstanding Amount]])/Table1[[#This Row],[NET Amount]]</f>
        <v>#DIV/0!</v>
      </c>
      <c r="S3637" s="2" t="s">
        <v>37</v>
      </c>
    </row>
    <row r="3638" spans="1:19" x14ac:dyDescent="0.3">
      <c r="A3638" s="4">
        <v>3636</v>
      </c>
      <c r="B3638" s="2" t="s">
        <v>28</v>
      </c>
      <c r="C3638" s="3">
        <v>44859</v>
      </c>
      <c r="D3638" s="3" t="str">
        <f>TEXT(Table1[[#This Row],[Admission Date]],"MMMM")</f>
        <v>October</v>
      </c>
      <c r="E3638" s="3">
        <v>44860</v>
      </c>
      <c r="F3638" s="3">
        <v>44860</v>
      </c>
      <c r="G3638" s="2">
        <v>22028644</v>
      </c>
      <c r="H3638" s="2">
        <v>2237257</v>
      </c>
      <c r="I3638" s="2">
        <v>10013544328</v>
      </c>
      <c r="J3638" s="2" t="s">
        <v>2029</v>
      </c>
      <c r="K3638" s="10">
        <v>100391</v>
      </c>
      <c r="L3638" s="10">
        <v>14056</v>
      </c>
      <c r="M3638" s="10">
        <v>86335</v>
      </c>
      <c r="N3638" s="10">
        <v>3426</v>
      </c>
      <c r="O3638" s="10">
        <f>Table1[[#This Row],[NET Amount]]-Table1[[#This Row],[Paid Amount]]</f>
        <v>82909</v>
      </c>
      <c r="P3638" s="2" t="s">
        <v>23</v>
      </c>
      <c r="Q3638" s="2" t="s">
        <v>24</v>
      </c>
      <c r="R3638" s="16">
        <f>(Table1[[#This Row],[NET Amount]]-Table1[[#This Row],[Total Outstanding Amount]])/Table1[[#This Row],[NET Amount]]</f>
        <v>3.9682631609428393E-2</v>
      </c>
      <c r="S3638" s="2" t="s">
        <v>55</v>
      </c>
    </row>
    <row r="3639" spans="1:19" x14ac:dyDescent="0.3">
      <c r="A3639" s="4">
        <v>3637</v>
      </c>
      <c r="B3639" s="2" t="s">
        <v>35</v>
      </c>
      <c r="C3639" s="3">
        <v>44840</v>
      </c>
      <c r="D3639" s="3" t="str">
        <f>TEXT(Table1[[#This Row],[Admission Date]],"MMMM")</f>
        <v>October</v>
      </c>
      <c r="E3639" s="3">
        <v>44840</v>
      </c>
      <c r="F3639" s="3">
        <v>44840</v>
      </c>
      <c r="G3639" s="2">
        <v>22025898</v>
      </c>
      <c r="H3639" s="2">
        <v>2234869</v>
      </c>
      <c r="I3639" s="2">
        <v>1001802801</v>
      </c>
      <c r="J3639" s="2" t="s">
        <v>2030</v>
      </c>
      <c r="K3639" s="10">
        <v>7285</v>
      </c>
      <c r="L3639" s="10">
        <v>0</v>
      </c>
      <c r="M3639" s="10">
        <v>7285</v>
      </c>
      <c r="N3639" s="10">
        <v>7285</v>
      </c>
      <c r="O3639" s="10">
        <f>Table1[[#This Row],[NET Amount]]-Table1[[#This Row],[Paid Amount]]</f>
        <v>0</v>
      </c>
      <c r="P3639" s="2" t="s">
        <v>18</v>
      </c>
      <c r="Q3639" s="2" t="s">
        <v>30</v>
      </c>
      <c r="R3639" s="16">
        <f>(Table1[[#This Row],[NET Amount]]-Table1[[#This Row],[Total Outstanding Amount]])/Table1[[#This Row],[NET Amount]]</f>
        <v>1</v>
      </c>
      <c r="S3639" s="2" t="s">
        <v>39</v>
      </c>
    </row>
    <row r="3640" spans="1:19" x14ac:dyDescent="0.3">
      <c r="A3640" s="4">
        <v>3638</v>
      </c>
      <c r="B3640" s="2" t="s">
        <v>75</v>
      </c>
      <c r="C3640" s="3">
        <v>44849</v>
      </c>
      <c r="D3640" s="3" t="str">
        <f>TEXT(Table1[[#This Row],[Admission Date]],"MMMM")</f>
        <v>October</v>
      </c>
      <c r="E3640" s="3">
        <v>44855</v>
      </c>
      <c r="F3640" s="3">
        <v>44855</v>
      </c>
      <c r="G3640" s="2">
        <v>22028041</v>
      </c>
      <c r="H3640" s="2">
        <v>2236184</v>
      </c>
      <c r="I3640" s="2">
        <v>10013543213</v>
      </c>
      <c r="J3640" s="2" t="s">
        <v>775</v>
      </c>
      <c r="K3640" s="10">
        <v>88971</v>
      </c>
      <c r="L3640" s="10">
        <v>0</v>
      </c>
      <c r="M3640" s="10">
        <v>88971</v>
      </c>
      <c r="N3640" s="10">
        <v>1671</v>
      </c>
      <c r="O3640" s="10">
        <f>Table1[[#This Row],[NET Amount]]-Table1[[#This Row],[Paid Amount]]</f>
        <v>87300</v>
      </c>
      <c r="P3640" s="2" t="s">
        <v>23</v>
      </c>
      <c r="Q3640" s="2" t="s">
        <v>24</v>
      </c>
      <c r="R3640" s="16">
        <f>(Table1[[#This Row],[NET Amount]]-Table1[[#This Row],[Total Outstanding Amount]])/Table1[[#This Row],[NET Amount]]</f>
        <v>1.8781400681120816E-2</v>
      </c>
      <c r="S3640" s="2" t="s">
        <v>20</v>
      </c>
    </row>
    <row r="3641" spans="1:19" x14ac:dyDescent="0.3">
      <c r="A3641" s="4">
        <v>3639</v>
      </c>
      <c r="B3641" s="2" t="s">
        <v>25</v>
      </c>
      <c r="C3641" s="3">
        <v>44834</v>
      </c>
      <c r="D3641" s="3" t="str">
        <f>TEXT(Table1[[#This Row],[Admission Date]],"MMMM")</f>
        <v>September</v>
      </c>
      <c r="E3641" s="3">
        <v>44838</v>
      </c>
      <c r="F3641" s="3">
        <v>44838</v>
      </c>
      <c r="G3641" s="2">
        <v>22025535</v>
      </c>
      <c r="H3641" s="2">
        <v>2234047</v>
      </c>
      <c r="I3641" s="2">
        <v>10013540936</v>
      </c>
      <c r="J3641" s="2" t="s">
        <v>2031</v>
      </c>
      <c r="K3641" s="10">
        <v>137866</v>
      </c>
      <c r="L3641" s="10">
        <v>21939</v>
      </c>
      <c r="M3641" s="10">
        <v>115927</v>
      </c>
      <c r="N3641" s="10">
        <v>115927</v>
      </c>
      <c r="O3641" s="10">
        <f>Table1[[#This Row],[NET Amount]]-Table1[[#This Row],[Paid Amount]]</f>
        <v>0</v>
      </c>
      <c r="P3641" s="2" t="s">
        <v>18</v>
      </c>
      <c r="Q3641" s="2" t="s">
        <v>88</v>
      </c>
      <c r="R3641" s="16">
        <f>(Table1[[#This Row],[NET Amount]]-Table1[[#This Row],[Total Outstanding Amount]])/Table1[[#This Row],[NET Amount]]</f>
        <v>1</v>
      </c>
      <c r="S3641" s="2" t="s">
        <v>20</v>
      </c>
    </row>
    <row r="3642" spans="1:19" x14ac:dyDescent="0.3">
      <c r="A3642" s="4">
        <v>3640</v>
      </c>
      <c r="B3642" s="2" t="s">
        <v>25</v>
      </c>
      <c r="C3642" s="3">
        <v>44860</v>
      </c>
      <c r="D3642" s="3" t="str">
        <f>TEXT(Table1[[#This Row],[Admission Date]],"MMMM")</f>
        <v>October</v>
      </c>
      <c r="E3642" s="3">
        <v>44861</v>
      </c>
      <c r="F3642" s="3">
        <v>44861</v>
      </c>
      <c r="G3642" s="2">
        <v>22028716</v>
      </c>
      <c r="H3642" s="2">
        <v>2237472</v>
      </c>
      <c r="I3642" s="2">
        <v>1001806274</v>
      </c>
      <c r="J3642" s="2" t="s">
        <v>2032</v>
      </c>
      <c r="K3642" s="10">
        <v>44217</v>
      </c>
      <c r="L3642" s="10">
        <v>5653</v>
      </c>
      <c r="M3642" s="10">
        <v>38564</v>
      </c>
      <c r="N3642" s="10">
        <v>38564</v>
      </c>
      <c r="O3642" s="10">
        <f>Table1[[#This Row],[NET Amount]]-Table1[[#This Row],[Paid Amount]]</f>
        <v>0</v>
      </c>
      <c r="P3642" s="2" t="s">
        <v>18</v>
      </c>
      <c r="Q3642" s="2" t="s">
        <v>19</v>
      </c>
      <c r="R3642" s="16">
        <f>(Table1[[#This Row],[NET Amount]]-Table1[[#This Row],[Total Outstanding Amount]])/Table1[[#This Row],[NET Amount]]</f>
        <v>1</v>
      </c>
      <c r="S3642" s="2" t="s">
        <v>27</v>
      </c>
    </row>
    <row r="3643" spans="1:19" x14ac:dyDescent="0.3">
      <c r="A3643" s="4">
        <v>3641</v>
      </c>
      <c r="B3643" s="2" t="s">
        <v>2244</v>
      </c>
      <c r="C3643" s="3">
        <v>44845</v>
      </c>
      <c r="D3643" s="3" t="str">
        <f>TEXT(Table1[[#This Row],[Admission Date]],"MMMM")</f>
        <v>October</v>
      </c>
      <c r="E3643" s="3">
        <v>44845</v>
      </c>
      <c r="F3643" s="3">
        <v>44845</v>
      </c>
      <c r="G3643" s="2">
        <v>22026617</v>
      </c>
      <c r="H3643" s="2">
        <v>2235546</v>
      </c>
      <c r="I3643" s="2">
        <v>1001797549</v>
      </c>
      <c r="J3643" s="2" t="s">
        <v>121</v>
      </c>
      <c r="K3643" s="10">
        <v>1610</v>
      </c>
      <c r="L3643" s="10">
        <v>0</v>
      </c>
      <c r="M3643" s="10">
        <v>1610</v>
      </c>
      <c r="N3643" s="10">
        <v>1610</v>
      </c>
      <c r="O3643" s="10">
        <f>Table1[[#This Row],[NET Amount]]-Table1[[#This Row],[Paid Amount]]</f>
        <v>0</v>
      </c>
      <c r="P3643" s="2" t="s">
        <v>18</v>
      </c>
      <c r="Q3643" s="2" t="s">
        <v>54</v>
      </c>
      <c r="R3643" s="16">
        <f>(Table1[[#This Row],[NET Amount]]-Table1[[#This Row],[Total Outstanding Amount]])/Table1[[#This Row],[NET Amount]]</f>
        <v>1</v>
      </c>
      <c r="S3643" s="2" t="s">
        <v>97</v>
      </c>
    </row>
    <row r="3644" spans="1:19" x14ac:dyDescent="0.3">
      <c r="A3644" s="4">
        <v>3642</v>
      </c>
      <c r="B3644" s="2" t="s">
        <v>93</v>
      </c>
      <c r="C3644" s="3">
        <v>44849</v>
      </c>
      <c r="D3644" s="3" t="str">
        <f>TEXT(Table1[[#This Row],[Admission Date]],"MMMM")</f>
        <v>October</v>
      </c>
      <c r="E3644" s="3">
        <v>44850</v>
      </c>
      <c r="F3644" s="3">
        <v>44850</v>
      </c>
      <c r="G3644" s="2">
        <v>22027347</v>
      </c>
      <c r="H3644" s="2">
        <v>2236157</v>
      </c>
      <c r="I3644" s="2">
        <v>10013391663</v>
      </c>
      <c r="J3644" s="2" t="s">
        <v>2033</v>
      </c>
      <c r="K3644" s="10">
        <v>15594</v>
      </c>
      <c r="L3644" s="10">
        <v>2164</v>
      </c>
      <c r="M3644" s="10">
        <v>13430</v>
      </c>
      <c r="N3644" s="10">
        <v>3233</v>
      </c>
      <c r="O3644" s="10">
        <f>Table1[[#This Row],[NET Amount]]-Table1[[#This Row],[Paid Amount]]</f>
        <v>10197</v>
      </c>
      <c r="P3644" s="2" t="s">
        <v>23</v>
      </c>
      <c r="Q3644" s="2" t="s">
        <v>52</v>
      </c>
      <c r="R3644" s="16">
        <f>(Table1[[#This Row],[NET Amount]]-Table1[[#This Row],[Total Outstanding Amount]])/Table1[[#This Row],[NET Amount]]</f>
        <v>0.24072970960536114</v>
      </c>
      <c r="S3644" s="2" t="s">
        <v>27</v>
      </c>
    </row>
    <row r="3645" spans="1:19" x14ac:dyDescent="0.3">
      <c r="A3645" s="4">
        <v>3643</v>
      </c>
      <c r="B3645" s="2" t="s">
        <v>25</v>
      </c>
      <c r="C3645" s="3">
        <v>44837</v>
      </c>
      <c r="D3645" s="3" t="str">
        <f>TEXT(Table1[[#This Row],[Admission Date]],"MMMM")</f>
        <v>October</v>
      </c>
      <c r="E3645" s="3">
        <v>44839</v>
      </c>
      <c r="F3645" s="3">
        <v>44839</v>
      </c>
      <c r="G3645" s="2">
        <v>22025660</v>
      </c>
      <c r="H3645" s="2">
        <v>2234381</v>
      </c>
      <c r="I3645" s="2">
        <v>10013541221</v>
      </c>
      <c r="J3645" s="2" t="s">
        <v>2034</v>
      </c>
      <c r="K3645" s="10">
        <v>328802</v>
      </c>
      <c r="L3645" s="10">
        <v>712</v>
      </c>
      <c r="M3645" s="10">
        <v>328089</v>
      </c>
      <c r="N3645" s="10">
        <v>328089</v>
      </c>
      <c r="O3645" s="10">
        <f>Table1[[#This Row],[NET Amount]]-Table1[[#This Row],[Paid Amount]]</f>
        <v>0</v>
      </c>
      <c r="P3645" s="2" t="s">
        <v>18</v>
      </c>
      <c r="Q3645" s="2" t="s">
        <v>24</v>
      </c>
      <c r="R3645" s="16">
        <f>(Table1[[#This Row],[NET Amount]]-Table1[[#This Row],[Total Outstanding Amount]])/Table1[[#This Row],[NET Amount]]</f>
        <v>1</v>
      </c>
      <c r="S3645" s="2" t="s">
        <v>39</v>
      </c>
    </row>
    <row r="3646" spans="1:19" x14ac:dyDescent="0.3">
      <c r="A3646" s="4">
        <v>3644</v>
      </c>
      <c r="B3646" s="2" t="s">
        <v>25</v>
      </c>
      <c r="C3646" s="3">
        <v>44856</v>
      </c>
      <c r="D3646" s="3" t="str">
        <f>TEXT(Table1[[#This Row],[Admission Date]],"MMMM")</f>
        <v>October</v>
      </c>
      <c r="E3646" s="3">
        <v>44856</v>
      </c>
      <c r="F3646" s="3">
        <v>44856</v>
      </c>
      <c r="G3646" s="2">
        <v>22028250</v>
      </c>
      <c r="H3646" s="2">
        <v>2237027</v>
      </c>
      <c r="I3646" s="2">
        <v>10013339576</v>
      </c>
      <c r="J3646" s="2" t="s">
        <v>242</v>
      </c>
      <c r="K3646" s="10">
        <v>2794</v>
      </c>
      <c r="L3646" s="10">
        <v>2794</v>
      </c>
      <c r="M3646" s="10">
        <v>0</v>
      </c>
      <c r="N3646" s="10">
        <v>0</v>
      </c>
      <c r="O3646" s="10">
        <f>Table1[[#This Row],[NET Amount]]-Table1[[#This Row],[Paid Amount]]</f>
        <v>0</v>
      </c>
      <c r="P3646" s="2" t="s">
        <v>18</v>
      </c>
      <c r="Q3646" s="2" t="s">
        <v>90</v>
      </c>
      <c r="R3646" s="16" t="e">
        <f>(Table1[[#This Row],[NET Amount]]-Table1[[#This Row],[Total Outstanding Amount]])/Table1[[#This Row],[NET Amount]]</f>
        <v>#DIV/0!</v>
      </c>
      <c r="S3646" s="2" t="s">
        <v>97</v>
      </c>
    </row>
    <row r="3647" spans="1:19" x14ac:dyDescent="0.3">
      <c r="A3647" s="4">
        <v>3645</v>
      </c>
      <c r="B3647" s="2" t="s">
        <v>972</v>
      </c>
      <c r="C3647" s="3">
        <v>44854</v>
      </c>
      <c r="D3647" s="3" t="str">
        <f>TEXT(Table1[[#This Row],[Admission Date]],"MMMM")</f>
        <v>October</v>
      </c>
      <c r="E3647" s="3">
        <v>44856</v>
      </c>
      <c r="F3647" s="3">
        <v>44856</v>
      </c>
      <c r="G3647" s="2">
        <v>22028212</v>
      </c>
      <c r="H3647" s="2">
        <v>2236713</v>
      </c>
      <c r="I3647" s="2">
        <v>10013543807</v>
      </c>
      <c r="J3647" s="2" t="s">
        <v>2035</v>
      </c>
      <c r="K3647" s="10">
        <v>88086</v>
      </c>
      <c r="L3647" s="10">
        <v>8609</v>
      </c>
      <c r="M3647" s="10">
        <v>79477</v>
      </c>
      <c r="N3647" s="10">
        <v>88085</v>
      </c>
      <c r="O3647" s="10">
        <f>Table1[[#This Row],[NET Amount]]-Table1[[#This Row],[Paid Amount]]</f>
        <v>-8608</v>
      </c>
      <c r="P3647" s="2" t="s">
        <v>23</v>
      </c>
      <c r="Q3647" s="2" t="s">
        <v>24</v>
      </c>
      <c r="R3647" s="16">
        <f>(Table1[[#This Row],[NET Amount]]-Table1[[#This Row],[Total Outstanding Amount]])/Table1[[#This Row],[NET Amount]]</f>
        <v>1.1083080639681921</v>
      </c>
      <c r="S3647" s="2" t="s">
        <v>20</v>
      </c>
    </row>
    <row r="3648" spans="1:19" x14ac:dyDescent="0.3">
      <c r="A3648" s="4">
        <v>3646</v>
      </c>
      <c r="B3648" s="2" t="s">
        <v>25</v>
      </c>
      <c r="C3648" s="3">
        <v>44856</v>
      </c>
      <c r="D3648" s="3" t="str">
        <f>TEXT(Table1[[#This Row],[Admission Date]],"MMMM")</f>
        <v>October</v>
      </c>
      <c r="E3648" s="3">
        <v>44856</v>
      </c>
      <c r="F3648" s="3">
        <v>44856</v>
      </c>
      <c r="G3648" s="2">
        <v>22028182</v>
      </c>
      <c r="H3648" s="2">
        <v>2236994</v>
      </c>
      <c r="I3648" s="2">
        <v>1001805720</v>
      </c>
      <c r="J3648" s="2" t="s">
        <v>2036</v>
      </c>
      <c r="K3648" s="10">
        <v>17798</v>
      </c>
      <c r="L3648" s="10">
        <v>2227</v>
      </c>
      <c r="M3648" s="10">
        <v>15571</v>
      </c>
      <c r="N3648" s="10">
        <v>15571</v>
      </c>
      <c r="O3648" s="10">
        <f>Table1[[#This Row],[NET Amount]]-Table1[[#This Row],[Paid Amount]]</f>
        <v>0</v>
      </c>
      <c r="P3648" s="2" t="s">
        <v>18</v>
      </c>
      <c r="Q3648" s="2" t="s">
        <v>54</v>
      </c>
      <c r="R3648" s="16">
        <f>(Table1[[#This Row],[NET Amount]]-Table1[[#This Row],[Total Outstanding Amount]])/Table1[[#This Row],[NET Amount]]</f>
        <v>1</v>
      </c>
      <c r="S3648" s="2" t="s">
        <v>27</v>
      </c>
    </row>
    <row r="3649" spans="1:19" x14ac:dyDescent="0.3">
      <c r="A3649" s="4">
        <v>3647</v>
      </c>
      <c r="B3649" s="2" t="s">
        <v>75</v>
      </c>
      <c r="C3649" s="3">
        <v>44856</v>
      </c>
      <c r="D3649" s="3" t="str">
        <f>TEXT(Table1[[#This Row],[Admission Date]],"MMMM")</f>
        <v>October</v>
      </c>
      <c r="E3649" s="3">
        <v>44857</v>
      </c>
      <c r="F3649" s="3">
        <v>44857</v>
      </c>
      <c r="G3649" s="2">
        <v>22028312</v>
      </c>
      <c r="H3649" s="2">
        <v>2237023</v>
      </c>
      <c r="I3649" s="2">
        <v>1001805764</v>
      </c>
      <c r="J3649" s="2" t="s">
        <v>2037</v>
      </c>
      <c r="K3649" s="10">
        <v>180789</v>
      </c>
      <c r="L3649" s="10">
        <v>0</v>
      </c>
      <c r="M3649" s="10">
        <v>180789</v>
      </c>
      <c r="N3649" s="10">
        <v>24420</v>
      </c>
      <c r="O3649" s="10">
        <f>Table1[[#This Row],[NET Amount]]-Table1[[#This Row],[Paid Amount]]</f>
        <v>156369</v>
      </c>
      <c r="P3649" s="2" t="s">
        <v>23</v>
      </c>
      <c r="Q3649" s="2" t="s">
        <v>19</v>
      </c>
      <c r="R3649" s="16">
        <f>(Table1[[#This Row],[NET Amount]]-Table1[[#This Row],[Total Outstanding Amount]])/Table1[[#This Row],[NET Amount]]</f>
        <v>0.13507458971508221</v>
      </c>
      <c r="S3649" s="2" t="s">
        <v>39</v>
      </c>
    </row>
    <row r="3650" spans="1:19" x14ac:dyDescent="0.3">
      <c r="A3650" s="4">
        <v>3648</v>
      </c>
      <c r="B3650" s="2" t="s">
        <v>40</v>
      </c>
      <c r="C3650" s="3">
        <v>44847</v>
      </c>
      <c r="D3650" s="3" t="str">
        <f>TEXT(Table1[[#This Row],[Admission Date]],"MMMM")</f>
        <v>October</v>
      </c>
      <c r="E3650" s="3">
        <v>44851</v>
      </c>
      <c r="F3650" s="3">
        <v>44851</v>
      </c>
      <c r="G3650" s="2">
        <v>22027408</v>
      </c>
      <c r="H3650" s="2">
        <v>2235888</v>
      </c>
      <c r="I3650" s="2">
        <v>1001272201</v>
      </c>
      <c r="J3650" s="2" t="s">
        <v>2038</v>
      </c>
      <c r="K3650" s="10">
        <v>134571</v>
      </c>
      <c r="L3650" s="10">
        <v>18884</v>
      </c>
      <c r="M3650" s="10">
        <v>115687</v>
      </c>
      <c r="N3650" s="10">
        <v>11664</v>
      </c>
      <c r="O3650" s="10">
        <f>Table1[[#This Row],[NET Amount]]-Table1[[#This Row],[Paid Amount]]</f>
        <v>104023</v>
      </c>
      <c r="P3650" s="2" t="s">
        <v>23</v>
      </c>
      <c r="Q3650" s="2" t="s">
        <v>42</v>
      </c>
      <c r="R3650" s="16">
        <f>(Table1[[#This Row],[NET Amount]]-Table1[[#This Row],[Total Outstanding Amount]])/Table1[[#This Row],[NET Amount]]</f>
        <v>0.10082377449497351</v>
      </c>
      <c r="S3650" s="2" t="s">
        <v>20</v>
      </c>
    </row>
    <row r="3651" spans="1:19" x14ac:dyDescent="0.3">
      <c r="A3651" s="4">
        <v>3649</v>
      </c>
      <c r="B3651" s="2" t="s">
        <v>126</v>
      </c>
      <c r="C3651" s="3">
        <v>44843</v>
      </c>
      <c r="D3651" s="3" t="str">
        <f>TEXT(Table1[[#This Row],[Admission Date]],"MMMM")</f>
        <v>October</v>
      </c>
      <c r="E3651" s="3">
        <v>44850</v>
      </c>
      <c r="F3651" s="3">
        <v>44850</v>
      </c>
      <c r="G3651" s="2">
        <v>22027331</v>
      </c>
      <c r="H3651" s="2">
        <v>2235281</v>
      </c>
      <c r="I3651" s="2">
        <v>10013542289</v>
      </c>
      <c r="J3651" s="2" t="s">
        <v>2039</v>
      </c>
      <c r="K3651" s="10">
        <v>209371</v>
      </c>
      <c r="L3651" s="10">
        <v>28240</v>
      </c>
      <c r="M3651" s="10">
        <v>181131</v>
      </c>
      <c r="N3651" s="10">
        <v>22221</v>
      </c>
      <c r="O3651" s="10">
        <f>Table1[[#This Row],[NET Amount]]-Table1[[#This Row],[Paid Amount]]</f>
        <v>158910</v>
      </c>
      <c r="P3651" s="2" t="s">
        <v>23</v>
      </c>
      <c r="Q3651" s="2" t="s">
        <v>24</v>
      </c>
      <c r="R3651" s="16">
        <f>(Table1[[#This Row],[NET Amount]]-Table1[[#This Row],[Total Outstanding Amount]])/Table1[[#This Row],[NET Amount]]</f>
        <v>0.12267916590754757</v>
      </c>
      <c r="S3651" s="2" t="s">
        <v>20</v>
      </c>
    </row>
    <row r="3652" spans="1:19" x14ac:dyDescent="0.3">
      <c r="A3652" s="4">
        <v>3650</v>
      </c>
      <c r="B3652" s="2" t="s">
        <v>259</v>
      </c>
      <c r="C3652" s="3">
        <v>44851</v>
      </c>
      <c r="D3652" s="3" t="str">
        <f>TEXT(Table1[[#This Row],[Admission Date]],"MMMM")</f>
        <v>October</v>
      </c>
      <c r="E3652" s="3">
        <v>44852</v>
      </c>
      <c r="F3652" s="3">
        <v>44852</v>
      </c>
      <c r="G3652" s="2">
        <v>22027517</v>
      </c>
      <c r="H3652" s="2">
        <v>2236406</v>
      </c>
      <c r="I3652" s="2">
        <v>10013543466</v>
      </c>
      <c r="J3652" s="2" t="s">
        <v>2040</v>
      </c>
      <c r="K3652" s="10">
        <v>97453</v>
      </c>
      <c r="L3652" s="10">
        <v>8129</v>
      </c>
      <c r="M3652" s="10">
        <v>89324</v>
      </c>
      <c r="N3652" s="10">
        <v>1500</v>
      </c>
      <c r="O3652" s="10">
        <f>Table1[[#This Row],[NET Amount]]-Table1[[#This Row],[Paid Amount]]</f>
        <v>87824</v>
      </c>
      <c r="P3652" s="2" t="s">
        <v>23</v>
      </c>
      <c r="Q3652" s="2" t="s">
        <v>24</v>
      </c>
      <c r="R3652" s="16">
        <f>(Table1[[#This Row],[NET Amount]]-Table1[[#This Row],[Total Outstanding Amount]])/Table1[[#This Row],[NET Amount]]</f>
        <v>1.6792799247682594E-2</v>
      </c>
      <c r="S3652" s="2" t="s">
        <v>20</v>
      </c>
    </row>
    <row r="3653" spans="1:19" x14ac:dyDescent="0.3">
      <c r="A3653" s="4">
        <v>3651</v>
      </c>
      <c r="B3653" s="2" t="s">
        <v>25</v>
      </c>
      <c r="C3653" s="3">
        <v>44851</v>
      </c>
      <c r="D3653" s="3" t="str">
        <f>TEXT(Table1[[#This Row],[Admission Date]],"MMMM")</f>
        <v>October</v>
      </c>
      <c r="E3653" s="3">
        <v>44854</v>
      </c>
      <c r="F3653" s="3">
        <v>44854</v>
      </c>
      <c r="G3653" s="2">
        <v>22027850</v>
      </c>
      <c r="H3653" s="2">
        <v>2236352</v>
      </c>
      <c r="I3653" s="2">
        <v>10013542423</v>
      </c>
      <c r="J3653" s="2" t="s">
        <v>2041</v>
      </c>
      <c r="K3653" s="10">
        <v>145255</v>
      </c>
      <c r="L3653" s="10">
        <v>45128</v>
      </c>
      <c r="M3653" s="10">
        <v>100127</v>
      </c>
      <c r="N3653" s="10">
        <v>100127</v>
      </c>
      <c r="O3653" s="10">
        <f>Table1[[#This Row],[NET Amount]]-Table1[[#This Row],[Paid Amount]]</f>
        <v>0</v>
      </c>
      <c r="P3653" s="2" t="s">
        <v>18</v>
      </c>
      <c r="Q3653" s="2" t="s">
        <v>69</v>
      </c>
      <c r="R3653" s="16">
        <f>(Table1[[#This Row],[NET Amount]]-Table1[[#This Row],[Total Outstanding Amount]])/Table1[[#This Row],[NET Amount]]</f>
        <v>1</v>
      </c>
      <c r="S3653" s="2" t="s">
        <v>201</v>
      </c>
    </row>
    <row r="3654" spans="1:19" x14ac:dyDescent="0.3">
      <c r="A3654" s="4">
        <v>3652</v>
      </c>
      <c r="B3654" s="2" t="s">
        <v>2244</v>
      </c>
      <c r="C3654" s="3">
        <v>44849</v>
      </c>
      <c r="D3654" s="3" t="str">
        <f>TEXT(Table1[[#This Row],[Admission Date]],"MMMM")</f>
        <v>October</v>
      </c>
      <c r="E3654" s="3">
        <v>44853</v>
      </c>
      <c r="F3654" s="3">
        <v>44853</v>
      </c>
      <c r="G3654" s="2">
        <v>22027773</v>
      </c>
      <c r="H3654" s="2">
        <v>2236068</v>
      </c>
      <c r="I3654" s="2">
        <v>1001684408</v>
      </c>
      <c r="J3654" s="2" t="s">
        <v>2042</v>
      </c>
      <c r="K3654" s="10">
        <v>164765</v>
      </c>
      <c r="L3654" s="10">
        <v>0</v>
      </c>
      <c r="M3654" s="10">
        <v>164765</v>
      </c>
      <c r="N3654" s="10">
        <v>164765</v>
      </c>
      <c r="O3654" s="10">
        <f>Table1[[#This Row],[NET Amount]]-Table1[[#This Row],[Paid Amount]]</f>
        <v>0</v>
      </c>
      <c r="P3654" s="2" t="s">
        <v>18</v>
      </c>
      <c r="Q3654" s="2" t="s">
        <v>24</v>
      </c>
      <c r="R3654" s="16">
        <f>(Table1[[#This Row],[NET Amount]]-Table1[[#This Row],[Total Outstanding Amount]])/Table1[[#This Row],[NET Amount]]</f>
        <v>1</v>
      </c>
      <c r="S3654" s="2" t="s">
        <v>20</v>
      </c>
    </row>
    <row r="3655" spans="1:19" x14ac:dyDescent="0.3">
      <c r="A3655" s="4">
        <v>3653</v>
      </c>
      <c r="B3655" s="2" t="s">
        <v>2256</v>
      </c>
      <c r="C3655" s="3">
        <v>44852</v>
      </c>
      <c r="D3655" s="3" t="str">
        <f>TEXT(Table1[[#This Row],[Admission Date]],"MMMM")</f>
        <v>October</v>
      </c>
      <c r="E3655" s="3">
        <v>44856</v>
      </c>
      <c r="F3655" s="3">
        <v>44856</v>
      </c>
      <c r="G3655" s="2">
        <v>22028151</v>
      </c>
      <c r="H3655" s="2">
        <v>2236501</v>
      </c>
      <c r="I3655" s="2">
        <v>1001805057</v>
      </c>
      <c r="J3655" s="2" t="s">
        <v>2043</v>
      </c>
      <c r="K3655" s="10">
        <v>78498</v>
      </c>
      <c r="L3655" s="10">
        <v>10706</v>
      </c>
      <c r="M3655" s="10">
        <v>67792</v>
      </c>
      <c r="N3655" s="10">
        <v>6505</v>
      </c>
      <c r="O3655" s="10">
        <f>Table1[[#This Row],[NET Amount]]-Table1[[#This Row],[Paid Amount]]</f>
        <v>61287</v>
      </c>
      <c r="P3655" s="2" t="s">
        <v>23</v>
      </c>
      <c r="Q3655" s="2" t="s">
        <v>42</v>
      </c>
      <c r="R3655" s="16">
        <f>(Table1[[#This Row],[NET Amount]]-Table1[[#This Row],[Total Outstanding Amount]])/Table1[[#This Row],[NET Amount]]</f>
        <v>9.5955274958697198E-2</v>
      </c>
      <c r="S3655" s="2" t="s">
        <v>20</v>
      </c>
    </row>
    <row r="3656" spans="1:19" x14ac:dyDescent="0.3">
      <c r="A3656" s="4">
        <v>3654</v>
      </c>
      <c r="B3656" s="2" t="s">
        <v>25</v>
      </c>
      <c r="C3656" s="3">
        <v>44831</v>
      </c>
      <c r="D3656" s="3" t="str">
        <f>TEXT(Table1[[#This Row],[Admission Date]],"MMMM")</f>
        <v>September</v>
      </c>
      <c r="E3656" s="3">
        <v>44835</v>
      </c>
      <c r="F3656" s="3">
        <v>44835</v>
      </c>
      <c r="G3656" s="2">
        <v>22025125</v>
      </c>
      <c r="H3656" s="2">
        <v>2233630</v>
      </c>
      <c r="I3656" s="2">
        <v>1001632856</v>
      </c>
      <c r="J3656" s="2" t="s">
        <v>98</v>
      </c>
      <c r="K3656" s="10">
        <v>162237</v>
      </c>
      <c r="L3656" s="10">
        <v>19825</v>
      </c>
      <c r="M3656" s="10">
        <v>142413</v>
      </c>
      <c r="N3656" s="10">
        <v>142413</v>
      </c>
      <c r="O3656" s="10">
        <f>Table1[[#This Row],[NET Amount]]-Table1[[#This Row],[Paid Amount]]</f>
        <v>0</v>
      </c>
      <c r="P3656" s="2" t="s">
        <v>18</v>
      </c>
      <c r="Q3656" s="2" t="s">
        <v>24</v>
      </c>
      <c r="R3656" s="16">
        <f>(Table1[[#This Row],[NET Amount]]-Table1[[#This Row],[Total Outstanding Amount]])/Table1[[#This Row],[NET Amount]]</f>
        <v>1</v>
      </c>
      <c r="S3656" s="2" t="s">
        <v>39</v>
      </c>
    </row>
    <row r="3657" spans="1:19" x14ac:dyDescent="0.3">
      <c r="A3657" s="4">
        <v>3655</v>
      </c>
      <c r="B3657" s="2" t="s">
        <v>25</v>
      </c>
      <c r="C3657" s="3">
        <v>44830</v>
      </c>
      <c r="D3657" s="3" t="str">
        <f>TEXT(Table1[[#This Row],[Admission Date]],"MMMM")</f>
        <v>September</v>
      </c>
      <c r="E3657" s="3">
        <v>44840</v>
      </c>
      <c r="F3657" s="3">
        <v>44840</v>
      </c>
      <c r="G3657" s="2">
        <v>22025843</v>
      </c>
      <c r="H3657" s="2">
        <v>2233562</v>
      </c>
      <c r="I3657" s="2">
        <v>10013540357</v>
      </c>
      <c r="J3657" s="2" t="s">
        <v>2044</v>
      </c>
      <c r="K3657" s="10">
        <v>381297</v>
      </c>
      <c r="L3657" s="10">
        <v>56338</v>
      </c>
      <c r="M3657" s="10">
        <v>324959</v>
      </c>
      <c r="N3657" s="10">
        <v>324959</v>
      </c>
      <c r="O3657" s="10">
        <f>Table1[[#This Row],[NET Amount]]-Table1[[#This Row],[Paid Amount]]</f>
        <v>0</v>
      </c>
      <c r="P3657" s="2" t="s">
        <v>18</v>
      </c>
      <c r="Q3657" s="2" t="s">
        <v>69</v>
      </c>
      <c r="R3657" s="16">
        <f>(Table1[[#This Row],[NET Amount]]-Table1[[#This Row],[Total Outstanding Amount]])/Table1[[#This Row],[NET Amount]]</f>
        <v>1</v>
      </c>
      <c r="S3657" s="2" t="s">
        <v>43</v>
      </c>
    </row>
    <row r="3658" spans="1:19" x14ac:dyDescent="0.3">
      <c r="A3658" s="4">
        <v>3656</v>
      </c>
      <c r="B3658" s="2" t="s">
        <v>45</v>
      </c>
      <c r="C3658" s="3">
        <v>44842</v>
      </c>
      <c r="D3658" s="3" t="str">
        <f>TEXT(Table1[[#This Row],[Admission Date]],"MMMM")</f>
        <v>October</v>
      </c>
      <c r="E3658" s="3">
        <v>44843</v>
      </c>
      <c r="F3658" s="3">
        <v>44843</v>
      </c>
      <c r="G3658" s="2">
        <v>22026258</v>
      </c>
      <c r="H3658" s="2">
        <v>2235176</v>
      </c>
      <c r="I3658" s="2">
        <v>1001144593</v>
      </c>
      <c r="J3658" s="2" t="s">
        <v>2045</v>
      </c>
      <c r="K3658" s="10">
        <v>202335</v>
      </c>
      <c r="L3658" s="10">
        <v>0</v>
      </c>
      <c r="M3658" s="10">
        <v>202335</v>
      </c>
      <c r="N3658" s="10">
        <v>42750</v>
      </c>
      <c r="O3658" s="10">
        <f>Table1[[#This Row],[NET Amount]]-Table1[[#This Row],[Paid Amount]]</f>
        <v>159585</v>
      </c>
      <c r="P3658" s="2" t="s">
        <v>23</v>
      </c>
      <c r="Q3658" s="2" t="s">
        <v>47</v>
      </c>
      <c r="R3658" s="16">
        <f>(Table1[[#This Row],[NET Amount]]-Table1[[#This Row],[Total Outstanding Amount]])/Table1[[#This Row],[NET Amount]]</f>
        <v>0.21128326784787604</v>
      </c>
      <c r="S3658" s="2" t="s">
        <v>39</v>
      </c>
    </row>
    <row r="3659" spans="1:19" x14ac:dyDescent="0.3">
      <c r="A3659" s="4">
        <v>3657</v>
      </c>
      <c r="B3659" s="2" t="s">
        <v>25</v>
      </c>
      <c r="C3659" s="3">
        <v>44840</v>
      </c>
      <c r="D3659" s="3" t="str">
        <f>TEXT(Table1[[#This Row],[Admission Date]],"MMMM")</f>
        <v>October</v>
      </c>
      <c r="E3659" s="3">
        <v>44842</v>
      </c>
      <c r="F3659" s="3">
        <v>44842</v>
      </c>
      <c r="G3659" s="2">
        <v>22026107</v>
      </c>
      <c r="H3659" s="2">
        <v>2234895</v>
      </c>
      <c r="I3659" s="2">
        <v>10013228230</v>
      </c>
      <c r="J3659" s="2" t="s">
        <v>2046</v>
      </c>
      <c r="K3659" s="10">
        <v>46069</v>
      </c>
      <c r="L3659" s="10">
        <v>9592</v>
      </c>
      <c r="M3659" s="10">
        <v>36478</v>
      </c>
      <c r="N3659" s="10">
        <v>36478</v>
      </c>
      <c r="O3659" s="10">
        <f>Table1[[#This Row],[NET Amount]]-Table1[[#This Row],[Paid Amount]]</f>
        <v>0</v>
      </c>
      <c r="P3659" s="2" t="s">
        <v>18</v>
      </c>
      <c r="Q3659" s="2" t="s">
        <v>24</v>
      </c>
      <c r="R3659" s="16">
        <f>(Table1[[#This Row],[NET Amount]]-Table1[[#This Row],[Total Outstanding Amount]])/Table1[[#This Row],[NET Amount]]</f>
        <v>1</v>
      </c>
      <c r="S3659" s="2" t="s">
        <v>20</v>
      </c>
    </row>
    <row r="3660" spans="1:19" x14ac:dyDescent="0.3">
      <c r="A3660" s="4">
        <v>3658</v>
      </c>
      <c r="B3660" s="2" t="s">
        <v>117</v>
      </c>
      <c r="C3660" s="3">
        <v>44842</v>
      </c>
      <c r="D3660" s="3" t="str">
        <f>TEXT(Table1[[#This Row],[Admission Date]],"MMMM")</f>
        <v>October</v>
      </c>
      <c r="E3660" s="3">
        <v>44843</v>
      </c>
      <c r="F3660" s="3">
        <v>44843</v>
      </c>
      <c r="G3660" s="2">
        <v>22026314</v>
      </c>
      <c r="H3660" s="2">
        <v>2235197</v>
      </c>
      <c r="I3660" s="2">
        <v>1001803304</v>
      </c>
      <c r="J3660" s="2" t="s">
        <v>1051</v>
      </c>
      <c r="K3660" s="10">
        <v>162910</v>
      </c>
      <c r="L3660" s="10">
        <v>0</v>
      </c>
      <c r="M3660" s="10">
        <v>162910</v>
      </c>
      <c r="N3660" s="10">
        <v>162910</v>
      </c>
      <c r="O3660" s="10">
        <f>Table1[[#This Row],[NET Amount]]-Table1[[#This Row],[Paid Amount]]</f>
        <v>0</v>
      </c>
      <c r="P3660" s="2" t="s">
        <v>18</v>
      </c>
      <c r="Q3660" s="2" t="s">
        <v>24</v>
      </c>
      <c r="R3660" s="16">
        <f>(Table1[[#This Row],[NET Amount]]-Table1[[#This Row],[Total Outstanding Amount]])/Table1[[#This Row],[NET Amount]]</f>
        <v>1</v>
      </c>
      <c r="S3660" s="2" t="s">
        <v>39</v>
      </c>
    </row>
    <row r="3661" spans="1:19" x14ac:dyDescent="0.3">
      <c r="A3661" s="4">
        <v>3659</v>
      </c>
      <c r="B3661" s="2" t="s">
        <v>72</v>
      </c>
      <c r="C3661" s="3">
        <v>44849</v>
      </c>
      <c r="D3661" s="3" t="str">
        <f>TEXT(Table1[[#This Row],[Admission Date]],"MMMM")</f>
        <v>October</v>
      </c>
      <c r="E3661" s="3">
        <v>44850</v>
      </c>
      <c r="F3661" s="3">
        <v>44850</v>
      </c>
      <c r="G3661" s="2">
        <v>22027296</v>
      </c>
      <c r="H3661" s="2">
        <v>2236071</v>
      </c>
      <c r="I3661" s="2">
        <v>1001804443</v>
      </c>
      <c r="J3661" s="2" t="s">
        <v>2047</v>
      </c>
      <c r="K3661" s="10">
        <v>46275</v>
      </c>
      <c r="L3661" s="10">
        <v>0</v>
      </c>
      <c r="M3661" s="10">
        <v>46275</v>
      </c>
      <c r="N3661" s="10">
        <v>1500</v>
      </c>
      <c r="O3661" s="10">
        <f>Table1[[#This Row],[NET Amount]]-Table1[[#This Row],[Paid Amount]]</f>
        <v>44775</v>
      </c>
      <c r="P3661" s="2" t="s">
        <v>23</v>
      </c>
      <c r="Q3661" s="2" t="s">
        <v>42</v>
      </c>
      <c r="R3661" s="16">
        <f>(Table1[[#This Row],[NET Amount]]-Table1[[#This Row],[Total Outstanding Amount]])/Table1[[#This Row],[NET Amount]]</f>
        <v>3.2414910858995137E-2</v>
      </c>
      <c r="S3661" s="2" t="s">
        <v>27</v>
      </c>
    </row>
    <row r="3662" spans="1:19" x14ac:dyDescent="0.3">
      <c r="A3662" s="4">
        <v>3660</v>
      </c>
      <c r="B3662" s="2" t="s">
        <v>126</v>
      </c>
      <c r="C3662" s="3">
        <v>44832</v>
      </c>
      <c r="D3662" s="3" t="str">
        <f>TEXT(Table1[[#This Row],[Admission Date]],"MMMM")</f>
        <v>September</v>
      </c>
      <c r="E3662" s="3">
        <v>44838</v>
      </c>
      <c r="F3662" s="3">
        <v>44838</v>
      </c>
      <c r="G3662" s="2">
        <v>22025503</v>
      </c>
      <c r="H3662" s="2">
        <v>2233865</v>
      </c>
      <c r="I3662" s="2">
        <v>1000901313</v>
      </c>
      <c r="J3662" s="2" t="s">
        <v>2048</v>
      </c>
      <c r="K3662" s="10">
        <v>109957</v>
      </c>
      <c r="L3662" s="10">
        <v>14525</v>
      </c>
      <c r="M3662" s="10">
        <v>95432</v>
      </c>
      <c r="N3662" s="10">
        <v>20409</v>
      </c>
      <c r="O3662" s="10">
        <f>Table1[[#This Row],[NET Amount]]-Table1[[#This Row],[Paid Amount]]</f>
        <v>75023</v>
      </c>
      <c r="P3662" s="2" t="s">
        <v>23</v>
      </c>
      <c r="Q3662" s="2" t="s">
        <v>30</v>
      </c>
      <c r="R3662" s="16">
        <f>(Table1[[#This Row],[NET Amount]]-Table1[[#This Row],[Total Outstanding Amount]])/Table1[[#This Row],[NET Amount]]</f>
        <v>0.21385908290720093</v>
      </c>
      <c r="S3662" s="2" t="s">
        <v>20</v>
      </c>
    </row>
    <row r="3663" spans="1:19" x14ac:dyDescent="0.3">
      <c r="A3663" s="4">
        <v>3661</v>
      </c>
      <c r="B3663" s="2" t="s">
        <v>365</v>
      </c>
      <c r="C3663" s="3">
        <v>44844</v>
      </c>
      <c r="D3663" s="3" t="str">
        <f>TEXT(Table1[[#This Row],[Admission Date]],"MMMM")</f>
        <v>October</v>
      </c>
      <c r="E3663" s="3">
        <v>44846</v>
      </c>
      <c r="F3663" s="3">
        <v>44846</v>
      </c>
      <c r="G3663" s="2">
        <v>22026710</v>
      </c>
      <c r="H3663" s="2">
        <v>2235396</v>
      </c>
      <c r="I3663" s="2">
        <v>1001803587</v>
      </c>
      <c r="J3663" s="2" t="s">
        <v>2049</v>
      </c>
      <c r="K3663" s="10">
        <v>21614</v>
      </c>
      <c r="L3663" s="10">
        <v>0</v>
      </c>
      <c r="M3663" s="10">
        <v>21614</v>
      </c>
      <c r="N3663" s="10">
        <v>21614</v>
      </c>
      <c r="O3663" s="10">
        <f>Table1[[#This Row],[NET Amount]]-Table1[[#This Row],[Paid Amount]]</f>
        <v>0</v>
      </c>
      <c r="P3663" s="2" t="s">
        <v>18</v>
      </c>
      <c r="Q3663" s="2" t="s">
        <v>30</v>
      </c>
      <c r="R3663" s="16">
        <f>(Table1[[#This Row],[NET Amount]]-Table1[[#This Row],[Total Outstanding Amount]])/Table1[[#This Row],[NET Amount]]</f>
        <v>1</v>
      </c>
      <c r="S3663" s="2" t="s">
        <v>37</v>
      </c>
    </row>
    <row r="3664" spans="1:19" x14ac:dyDescent="0.3">
      <c r="A3664" s="4">
        <v>3662</v>
      </c>
      <c r="B3664" s="2" t="s">
        <v>25</v>
      </c>
      <c r="C3664" s="3">
        <v>44844</v>
      </c>
      <c r="D3664" s="3" t="str">
        <f>TEXT(Table1[[#This Row],[Admission Date]],"MMMM")</f>
        <v>October</v>
      </c>
      <c r="E3664" s="3">
        <v>44853</v>
      </c>
      <c r="F3664" s="3">
        <v>44853</v>
      </c>
      <c r="G3664" s="2">
        <v>22027643</v>
      </c>
      <c r="H3664" s="2">
        <v>2235407</v>
      </c>
      <c r="I3664" s="2">
        <v>1001803595</v>
      </c>
      <c r="J3664" s="2" t="s">
        <v>2050</v>
      </c>
      <c r="K3664" s="10">
        <v>497928</v>
      </c>
      <c r="L3664" s="10">
        <v>82855</v>
      </c>
      <c r="M3664" s="10">
        <v>415072</v>
      </c>
      <c r="N3664" s="10">
        <v>421958</v>
      </c>
      <c r="O3664" s="10">
        <f>Table1[[#This Row],[NET Amount]]-Table1[[#This Row],[Paid Amount]]</f>
        <v>-6886</v>
      </c>
      <c r="P3664" s="2" t="s">
        <v>18</v>
      </c>
      <c r="Q3664" s="2" t="s">
        <v>1010</v>
      </c>
      <c r="R3664" s="16">
        <f>(Table1[[#This Row],[NET Amount]]-Table1[[#This Row],[Total Outstanding Amount]])/Table1[[#This Row],[NET Amount]]</f>
        <v>1.0165898928378692</v>
      </c>
      <c r="S3664" s="2" t="s">
        <v>37</v>
      </c>
    </row>
    <row r="3665" spans="1:19" x14ac:dyDescent="0.3">
      <c r="A3665" s="4">
        <v>3663</v>
      </c>
      <c r="B3665" s="2" t="s">
        <v>40</v>
      </c>
      <c r="C3665" s="3">
        <v>44849</v>
      </c>
      <c r="D3665" s="3" t="str">
        <f>TEXT(Table1[[#This Row],[Admission Date]],"MMMM")</f>
        <v>October</v>
      </c>
      <c r="E3665" s="3">
        <v>44855</v>
      </c>
      <c r="F3665" s="3">
        <v>44855</v>
      </c>
      <c r="G3665" s="2">
        <v>22028055</v>
      </c>
      <c r="H3665" s="2">
        <v>2236209</v>
      </c>
      <c r="I3665" s="2">
        <v>10013543227</v>
      </c>
      <c r="J3665" s="2" t="s">
        <v>2051</v>
      </c>
      <c r="K3665" s="10">
        <v>223857</v>
      </c>
      <c r="L3665" s="10">
        <v>14526</v>
      </c>
      <c r="M3665" s="10">
        <v>209331</v>
      </c>
      <c r="N3665" s="10">
        <v>130207</v>
      </c>
      <c r="O3665" s="10">
        <f>Table1[[#This Row],[NET Amount]]-Table1[[#This Row],[Paid Amount]]</f>
        <v>79124</v>
      </c>
      <c r="P3665" s="2" t="s">
        <v>23</v>
      </c>
      <c r="Q3665" s="2" t="s">
        <v>52</v>
      </c>
      <c r="R3665" s="16">
        <f>(Table1[[#This Row],[NET Amount]]-Table1[[#This Row],[Total Outstanding Amount]])/Table1[[#This Row],[NET Amount]]</f>
        <v>0.62201489507048646</v>
      </c>
      <c r="S3665" s="2" t="s">
        <v>20</v>
      </c>
    </row>
    <row r="3666" spans="1:19" x14ac:dyDescent="0.3">
      <c r="A3666" s="4">
        <v>3664</v>
      </c>
      <c r="B3666" s="2" t="s">
        <v>91</v>
      </c>
      <c r="C3666" s="3">
        <v>44854</v>
      </c>
      <c r="D3666" s="3" t="str">
        <f>TEXT(Table1[[#This Row],[Admission Date]],"MMMM")</f>
        <v>October</v>
      </c>
      <c r="E3666" s="3">
        <v>44856</v>
      </c>
      <c r="F3666" s="3">
        <v>44856</v>
      </c>
      <c r="G3666" s="2">
        <v>22028197</v>
      </c>
      <c r="H3666" s="2">
        <v>2236723</v>
      </c>
      <c r="I3666" s="2">
        <v>10013542801</v>
      </c>
      <c r="J3666" s="2" t="s">
        <v>920</v>
      </c>
      <c r="K3666" s="10">
        <v>136749</v>
      </c>
      <c r="L3666" s="10">
        <v>6500</v>
      </c>
      <c r="M3666" s="10">
        <v>130249</v>
      </c>
      <c r="N3666" s="10">
        <v>3073</v>
      </c>
      <c r="O3666" s="10">
        <f>Table1[[#This Row],[NET Amount]]-Table1[[#This Row],[Paid Amount]]</f>
        <v>127176</v>
      </c>
      <c r="P3666" s="2" t="s">
        <v>23</v>
      </c>
      <c r="Q3666" s="2" t="s">
        <v>24</v>
      </c>
      <c r="R3666" s="16">
        <f>(Table1[[#This Row],[NET Amount]]-Table1[[#This Row],[Total Outstanding Amount]])/Table1[[#This Row],[NET Amount]]</f>
        <v>2.3593271349492125E-2</v>
      </c>
      <c r="S3666" s="2" t="s">
        <v>77</v>
      </c>
    </row>
    <row r="3667" spans="1:19" x14ac:dyDescent="0.3">
      <c r="A3667" s="4">
        <v>3665</v>
      </c>
      <c r="B3667" s="2" t="s">
        <v>2254</v>
      </c>
      <c r="C3667" s="3">
        <v>44851</v>
      </c>
      <c r="D3667" s="3" t="str">
        <f>TEXT(Table1[[#This Row],[Admission Date]],"MMMM")</f>
        <v>October</v>
      </c>
      <c r="E3667" s="3">
        <v>44852</v>
      </c>
      <c r="F3667" s="3">
        <v>44852</v>
      </c>
      <c r="G3667" s="2">
        <v>22027609</v>
      </c>
      <c r="H3667" s="2">
        <v>2236294</v>
      </c>
      <c r="I3667" s="2">
        <v>1001804726</v>
      </c>
      <c r="J3667" s="2" t="s">
        <v>2052</v>
      </c>
      <c r="K3667" s="10">
        <v>97112</v>
      </c>
      <c r="L3667" s="10">
        <v>0</v>
      </c>
      <c r="M3667" s="10">
        <v>97112</v>
      </c>
      <c r="N3667" s="10">
        <v>7236</v>
      </c>
      <c r="O3667" s="10">
        <f>Table1[[#This Row],[NET Amount]]-Table1[[#This Row],[Paid Amount]]</f>
        <v>89876</v>
      </c>
      <c r="P3667" s="2" t="s">
        <v>23</v>
      </c>
      <c r="Q3667" s="2" t="s">
        <v>30</v>
      </c>
      <c r="R3667" s="16">
        <f>(Table1[[#This Row],[NET Amount]]-Table1[[#This Row],[Total Outstanding Amount]])/Table1[[#This Row],[NET Amount]]</f>
        <v>7.4511903781201094E-2</v>
      </c>
      <c r="S3667" s="2" t="s">
        <v>138</v>
      </c>
    </row>
    <row r="3668" spans="1:19" x14ac:dyDescent="0.3">
      <c r="A3668" s="4">
        <v>3666</v>
      </c>
      <c r="B3668" s="2" t="s">
        <v>2251</v>
      </c>
      <c r="C3668" s="3">
        <v>44847</v>
      </c>
      <c r="D3668" s="3" t="str">
        <f>TEXT(Table1[[#This Row],[Admission Date]],"MMMM")</f>
        <v>October</v>
      </c>
      <c r="E3668" s="3">
        <v>44853</v>
      </c>
      <c r="F3668" s="3">
        <v>44853</v>
      </c>
      <c r="G3668" s="2">
        <v>22027760</v>
      </c>
      <c r="H3668" s="2">
        <v>2235858</v>
      </c>
      <c r="I3668" s="2">
        <v>1001730808</v>
      </c>
      <c r="J3668" s="2" t="s">
        <v>2053</v>
      </c>
      <c r="K3668" s="10">
        <v>78536</v>
      </c>
      <c r="L3668" s="10">
        <v>11406</v>
      </c>
      <c r="M3668" s="10">
        <v>67130</v>
      </c>
      <c r="N3668" s="10">
        <v>5150</v>
      </c>
      <c r="O3668" s="10">
        <f>Table1[[#This Row],[NET Amount]]-Table1[[#This Row],[Paid Amount]]</f>
        <v>61980</v>
      </c>
      <c r="P3668" s="2" t="s">
        <v>23</v>
      </c>
      <c r="Q3668" s="2" t="s">
        <v>24</v>
      </c>
      <c r="R3668" s="16">
        <f>(Table1[[#This Row],[NET Amount]]-Table1[[#This Row],[Total Outstanding Amount]])/Table1[[#This Row],[NET Amount]]</f>
        <v>7.6716818114106952E-2</v>
      </c>
      <c r="S3668" s="2" t="s">
        <v>20</v>
      </c>
    </row>
    <row r="3669" spans="1:19" x14ac:dyDescent="0.3">
      <c r="A3669" s="4">
        <v>3667</v>
      </c>
      <c r="B3669" s="2" t="s">
        <v>25</v>
      </c>
      <c r="C3669" s="3">
        <v>44853</v>
      </c>
      <c r="D3669" s="3" t="str">
        <f>TEXT(Table1[[#This Row],[Admission Date]],"MMMM")</f>
        <v>October</v>
      </c>
      <c r="E3669" s="3">
        <v>44855</v>
      </c>
      <c r="F3669" s="3">
        <v>44855</v>
      </c>
      <c r="G3669" s="2">
        <v>22028058</v>
      </c>
      <c r="H3669" s="2">
        <v>2236705</v>
      </c>
      <c r="I3669" s="2">
        <v>10013543792</v>
      </c>
      <c r="J3669" s="2" t="s">
        <v>2054</v>
      </c>
      <c r="K3669" s="10">
        <v>121096</v>
      </c>
      <c r="L3669" s="10">
        <v>32140</v>
      </c>
      <c r="M3669" s="10">
        <v>88955</v>
      </c>
      <c r="N3669" s="10">
        <v>88955</v>
      </c>
      <c r="O3669" s="10">
        <f>Table1[[#This Row],[NET Amount]]-Table1[[#This Row],[Paid Amount]]</f>
        <v>0</v>
      </c>
      <c r="P3669" s="2" t="s">
        <v>18</v>
      </c>
      <c r="Q3669" s="2" t="s">
        <v>88</v>
      </c>
      <c r="R3669" s="16">
        <f>(Table1[[#This Row],[NET Amount]]-Table1[[#This Row],[Total Outstanding Amount]])/Table1[[#This Row],[NET Amount]]</f>
        <v>1</v>
      </c>
      <c r="S3669" s="2" t="s">
        <v>65</v>
      </c>
    </row>
    <row r="3670" spans="1:19" x14ac:dyDescent="0.3">
      <c r="A3670" s="4">
        <v>3668</v>
      </c>
      <c r="B3670" s="2" t="s">
        <v>152</v>
      </c>
      <c r="C3670" s="3">
        <v>44841</v>
      </c>
      <c r="D3670" s="3" t="str">
        <f>TEXT(Table1[[#This Row],[Admission Date]],"MMMM")</f>
        <v>October</v>
      </c>
      <c r="E3670" s="3">
        <v>44842</v>
      </c>
      <c r="F3670" s="3">
        <v>44842</v>
      </c>
      <c r="G3670" s="2">
        <v>22026163</v>
      </c>
      <c r="H3670" s="2">
        <v>2234982</v>
      </c>
      <c r="I3670" s="2">
        <v>10013541917</v>
      </c>
      <c r="J3670" s="2" t="s">
        <v>851</v>
      </c>
      <c r="K3670" s="10">
        <v>18686</v>
      </c>
      <c r="L3670" s="10">
        <v>0</v>
      </c>
      <c r="M3670" s="10">
        <v>18686</v>
      </c>
      <c r="N3670" s="10">
        <v>18686</v>
      </c>
      <c r="O3670" s="10">
        <f>Table1[[#This Row],[NET Amount]]-Table1[[#This Row],[Paid Amount]]</f>
        <v>0</v>
      </c>
      <c r="P3670" s="2" t="s">
        <v>18</v>
      </c>
      <c r="Q3670" s="2" t="s">
        <v>24</v>
      </c>
      <c r="R3670" s="16">
        <f>(Table1[[#This Row],[NET Amount]]-Table1[[#This Row],[Total Outstanding Amount]])/Table1[[#This Row],[NET Amount]]</f>
        <v>1</v>
      </c>
      <c r="S3670" s="2" t="s">
        <v>201</v>
      </c>
    </row>
    <row r="3671" spans="1:19" x14ac:dyDescent="0.3">
      <c r="A3671" s="4">
        <v>3669</v>
      </c>
      <c r="B3671" s="2" t="s">
        <v>40</v>
      </c>
      <c r="C3671" s="3">
        <v>44844</v>
      </c>
      <c r="D3671" s="3" t="str">
        <f>TEXT(Table1[[#This Row],[Admission Date]],"MMMM")</f>
        <v>October</v>
      </c>
      <c r="E3671" s="3">
        <v>44846</v>
      </c>
      <c r="F3671" s="3">
        <v>44846</v>
      </c>
      <c r="G3671" s="2">
        <v>22026720</v>
      </c>
      <c r="H3671" s="2">
        <v>2235388</v>
      </c>
      <c r="I3671" s="2">
        <v>10013542203</v>
      </c>
      <c r="J3671" s="2" t="s">
        <v>2055</v>
      </c>
      <c r="K3671" s="10">
        <v>83490</v>
      </c>
      <c r="L3671" s="10">
        <v>11617</v>
      </c>
      <c r="M3671" s="10">
        <v>71873</v>
      </c>
      <c r="N3671" s="10">
        <v>5032</v>
      </c>
      <c r="O3671" s="10">
        <f>Table1[[#This Row],[NET Amount]]-Table1[[#This Row],[Paid Amount]]</f>
        <v>66841</v>
      </c>
      <c r="P3671" s="2" t="s">
        <v>23</v>
      </c>
      <c r="Q3671" s="2" t="s">
        <v>52</v>
      </c>
      <c r="R3671" s="16">
        <f>(Table1[[#This Row],[NET Amount]]-Table1[[#This Row],[Total Outstanding Amount]])/Table1[[#This Row],[NET Amount]]</f>
        <v>7.0012382953264785E-2</v>
      </c>
      <c r="S3671" s="2" t="s">
        <v>162</v>
      </c>
    </row>
    <row r="3672" spans="1:19" x14ac:dyDescent="0.3">
      <c r="A3672" s="4">
        <v>3670</v>
      </c>
      <c r="B3672" s="2" t="s">
        <v>117</v>
      </c>
      <c r="C3672" s="3">
        <v>44845</v>
      </c>
      <c r="D3672" s="3" t="str">
        <f>TEXT(Table1[[#This Row],[Admission Date]],"MMMM")</f>
        <v>October</v>
      </c>
      <c r="E3672" s="3">
        <v>44845</v>
      </c>
      <c r="F3672" s="3">
        <v>44845</v>
      </c>
      <c r="G3672" s="2">
        <v>22026607</v>
      </c>
      <c r="H3672" s="2">
        <v>2235510</v>
      </c>
      <c r="I3672" s="2">
        <v>1001306803</v>
      </c>
      <c r="J3672" s="2" t="s">
        <v>2056</v>
      </c>
      <c r="K3672" s="10">
        <v>37950</v>
      </c>
      <c r="L3672" s="10">
        <v>0</v>
      </c>
      <c r="M3672" s="10">
        <v>37950</v>
      </c>
      <c r="N3672" s="10">
        <v>37950</v>
      </c>
      <c r="O3672" s="10">
        <f>Table1[[#This Row],[NET Amount]]-Table1[[#This Row],[Paid Amount]]</f>
        <v>0</v>
      </c>
      <c r="P3672" s="2" t="s">
        <v>18</v>
      </c>
      <c r="Q3672" s="2" t="s">
        <v>24</v>
      </c>
      <c r="R3672" s="16">
        <f>(Table1[[#This Row],[NET Amount]]-Table1[[#This Row],[Total Outstanding Amount]])/Table1[[#This Row],[NET Amount]]</f>
        <v>1</v>
      </c>
      <c r="S3672" s="2" t="s">
        <v>768</v>
      </c>
    </row>
    <row r="3673" spans="1:19" x14ac:dyDescent="0.3">
      <c r="A3673" s="4">
        <v>3671</v>
      </c>
      <c r="B3673" s="2" t="s">
        <v>91</v>
      </c>
      <c r="C3673" s="3">
        <v>44845</v>
      </c>
      <c r="D3673" s="3" t="str">
        <f>TEXT(Table1[[#This Row],[Admission Date]],"MMMM")</f>
        <v>October</v>
      </c>
      <c r="E3673" s="3">
        <v>44847</v>
      </c>
      <c r="F3673" s="3">
        <v>44847</v>
      </c>
      <c r="G3673" s="2">
        <v>22026841</v>
      </c>
      <c r="H3673" s="2">
        <v>2235567</v>
      </c>
      <c r="I3673" s="2">
        <v>1001803792</v>
      </c>
      <c r="J3673" s="2" t="s">
        <v>2057</v>
      </c>
      <c r="K3673" s="10">
        <v>9019</v>
      </c>
      <c r="L3673" s="10">
        <v>0</v>
      </c>
      <c r="M3673" s="10">
        <v>9019</v>
      </c>
      <c r="N3673" s="10">
        <v>9019</v>
      </c>
      <c r="O3673" s="10">
        <f>Table1[[#This Row],[NET Amount]]-Table1[[#This Row],[Paid Amount]]</f>
        <v>0</v>
      </c>
      <c r="P3673" s="2" t="s">
        <v>18</v>
      </c>
      <c r="Q3673" s="2" t="s">
        <v>30</v>
      </c>
      <c r="R3673" s="16">
        <f>(Table1[[#This Row],[NET Amount]]-Table1[[#This Row],[Total Outstanding Amount]])/Table1[[#This Row],[NET Amount]]</f>
        <v>1</v>
      </c>
      <c r="S3673" s="2" t="s">
        <v>37</v>
      </c>
    </row>
    <row r="3674" spans="1:19" x14ac:dyDescent="0.3">
      <c r="A3674" s="4">
        <v>3672</v>
      </c>
      <c r="B3674" s="2" t="s">
        <v>25</v>
      </c>
      <c r="C3674" s="3">
        <v>44861</v>
      </c>
      <c r="D3674" s="3" t="str">
        <f>TEXT(Table1[[#This Row],[Admission Date]],"MMMM")</f>
        <v>October</v>
      </c>
      <c r="E3674" s="3">
        <v>44861</v>
      </c>
      <c r="F3674" s="3">
        <v>44861</v>
      </c>
      <c r="G3674" s="2">
        <v>22028790</v>
      </c>
      <c r="H3674" s="2">
        <v>2237600</v>
      </c>
      <c r="I3674" s="2">
        <v>10013487271</v>
      </c>
      <c r="J3674" s="2" t="s">
        <v>2058</v>
      </c>
      <c r="K3674" s="10">
        <v>34212</v>
      </c>
      <c r="L3674" s="10">
        <v>4473</v>
      </c>
      <c r="M3674" s="10">
        <v>29740</v>
      </c>
      <c r="N3674" s="10">
        <v>29740</v>
      </c>
      <c r="O3674" s="10">
        <f>Table1[[#This Row],[NET Amount]]-Table1[[#This Row],[Paid Amount]]</f>
        <v>0</v>
      </c>
      <c r="P3674" s="2" t="s">
        <v>18</v>
      </c>
      <c r="Q3674" s="2" t="s">
        <v>54</v>
      </c>
      <c r="R3674" s="16">
        <f>(Table1[[#This Row],[NET Amount]]-Table1[[#This Row],[Total Outstanding Amount]])/Table1[[#This Row],[NET Amount]]</f>
        <v>1</v>
      </c>
      <c r="S3674" s="2" t="s">
        <v>55</v>
      </c>
    </row>
    <row r="3675" spans="1:19" x14ac:dyDescent="0.3">
      <c r="A3675" s="4">
        <v>3673</v>
      </c>
      <c r="B3675" s="2" t="s">
        <v>2244</v>
      </c>
      <c r="C3675" s="3">
        <v>44840</v>
      </c>
      <c r="D3675" s="3" t="str">
        <f>TEXT(Table1[[#This Row],[Admission Date]],"MMMM")</f>
        <v>October</v>
      </c>
      <c r="E3675" s="3">
        <v>44856</v>
      </c>
      <c r="F3675" s="3">
        <v>44856</v>
      </c>
      <c r="G3675" s="2">
        <v>22028260</v>
      </c>
      <c r="H3675" s="2">
        <v>2234841</v>
      </c>
      <c r="I3675" s="2">
        <v>1001802666</v>
      </c>
      <c r="J3675" s="2" t="s">
        <v>2059</v>
      </c>
      <c r="K3675" s="10">
        <v>120350</v>
      </c>
      <c r="L3675" s="10">
        <v>0</v>
      </c>
      <c r="M3675" s="10">
        <v>120350</v>
      </c>
      <c r="N3675" s="10">
        <v>120350</v>
      </c>
      <c r="O3675" s="10">
        <f>Table1[[#This Row],[NET Amount]]-Table1[[#This Row],[Paid Amount]]</f>
        <v>0</v>
      </c>
      <c r="P3675" s="2" t="s">
        <v>18</v>
      </c>
      <c r="Q3675" s="2" t="s">
        <v>24</v>
      </c>
      <c r="R3675" s="16">
        <f>(Table1[[#This Row],[NET Amount]]-Table1[[#This Row],[Total Outstanding Amount]])/Table1[[#This Row],[NET Amount]]</f>
        <v>1</v>
      </c>
      <c r="S3675" s="2" t="s">
        <v>20</v>
      </c>
    </row>
    <row r="3676" spans="1:19" x14ac:dyDescent="0.3">
      <c r="A3676" s="4">
        <v>3674</v>
      </c>
      <c r="B3676" s="2" t="s">
        <v>25</v>
      </c>
      <c r="C3676" s="3">
        <v>44860</v>
      </c>
      <c r="D3676" s="3" t="str">
        <f>TEXT(Table1[[#This Row],[Admission Date]],"MMMM")</f>
        <v>October</v>
      </c>
      <c r="E3676" s="3">
        <v>44860</v>
      </c>
      <c r="F3676" s="3">
        <v>44860</v>
      </c>
      <c r="G3676" s="2">
        <v>22028593</v>
      </c>
      <c r="H3676" s="2">
        <v>2237461</v>
      </c>
      <c r="I3676" s="2">
        <v>1000891450</v>
      </c>
      <c r="J3676" s="2" t="s">
        <v>337</v>
      </c>
      <c r="K3676" s="10">
        <v>3519</v>
      </c>
      <c r="L3676" s="10">
        <v>1518</v>
      </c>
      <c r="M3676" s="10">
        <v>2001</v>
      </c>
      <c r="N3676" s="10">
        <v>2001</v>
      </c>
      <c r="O3676" s="10">
        <f>Table1[[#This Row],[NET Amount]]-Table1[[#This Row],[Paid Amount]]</f>
        <v>0</v>
      </c>
      <c r="P3676" s="2" t="s">
        <v>18</v>
      </c>
      <c r="Q3676" s="2" t="s">
        <v>54</v>
      </c>
      <c r="R3676" s="16">
        <f>(Table1[[#This Row],[NET Amount]]-Table1[[#This Row],[Total Outstanding Amount]])/Table1[[#This Row],[NET Amount]]</f>
        <v>1</v>
      </c>
      <c r="S3676" s="2" t="s">
        <v>97</v>
      </c>
    </row>
    <row r="3677" spans="1:19" x14ac:dyDescent="0.3">
      <c r="A3677" s="4">
        <v>3675</v>
      </c>
      <c r="B3677" s="2" t="s">
        <v>25</v>
      </c>
      <c r="C3677" s="3">
        <v>44862</v>
      </c>
      <c r="D3677" s="3" t="str">
        <f>TEXT(Table1[[#This Row],[Admission Date]],"MMMM")</f>
        <v>October</v>
      </c>
      <c r="E3677" s="3">
        <v>44864</v>
      </c>
      <c r="F3677" s="3">
        <v>44864</v>
      </c>
      <c r="G3677" s="2">
        <v>22029231</v>
      </c>
      <c r="H3677" s="2">
        <v>2237815</v>
      </c>
      <c r="I3677" s="2">
        <v>1001806815</v>
      </c>
      <c r="J3677" s="2" t="s">
        <v>2060</v>
      </c>
      <c r="K3677" s="10">
        <v>76580</v>
      </c>
      <c r="L3677" s="10">
        <v>7946</v>
      </c>
      <c r="M3677" s="10">
        <v>68634</v>
      </c>
      <c r="N3677" s="10">
        <v>68634</v>
      </c>
      <c r="O3677" s="10">
        <f>Table1[[#This Row],[NET Amount]]-Table1[[#This Row],[Paid Amount]]</f>
        <v>0</v>
      </c>
      <c r="P3677" s="2" t="s">
        <v>18</v>
      </c>
      <c r="Q3677" s="2" t="s">
        <v>24</v>
      </c>
      <c r="R3677" s="16">
        <f>(Table1[[#This Row],[NET Amount]]-Table1[[#This Row],[Total Outstanding Amount]])/Table1[[#This Row],[NET Amount]]</f>
        <v>1</v>
      </c>
      <c r="S3677" s="2" t="s">
        <v>20</v>
      </c>
    </row>
    <row r="3678" spans="1:19" x14ac:dyDescent="0.3">
      <c r="A3678" s="4">
        <v>3676</v>
      </c>
      <c r="B3678" s="2" t="s">
        <v>117</v>
      </c>
      <c r="C3678" s="3">
        <v>44853</v>
      </c>
      <c r="D3678" s="3" t="str">
        <f>TEXT(Table1[[#This Row],[Admission Date]],"MMMM")</f>
        <v>October</v>
      </c>
      <c r="E3678" s="3">
        <v>44853</v>
      </c>
      <c r="F3678" s="3">
        <v>44853</v>
      </c>
      <c r="G3678" s="2">
        <v>22027793</v>
      </c>
      <c r="H3678" s="2">
        <v>2236674</v>
      </c>
      <c r="I3678" s="2">
        <v>1001439428</v>
      </c>
      <c r="J3678" s="2" t="s">
        <v>189</v>
      </c>
      <c r="K3678" s="10">
        <v>2758</v>
      </c>
      <c r="L3678" s="10">
        <v>0</v>
      </c>
      <c r="M3678" s="10">
        <v>2758</v>
      </c>
      <c r="N3678" s="10">
        <v>2758</v>
      </c>
      <c r="O3678" s="10">
        <f>Table1[[#This Row],[NET Amount]]-Table1[[#This Row],[Paid Amount]]</f>
        <v>0</v>
      </c>
      <c r="P3678" s="2" t="s">
        <v>18</v>
      </c>
      <c r="Q3678" s="2" t="s">
        <v>54</v>
      </c>
      <c r="R3678" s="16">
        <f>(Table1[[#This Row],[NET Amount]]-Table1[[#This Row],[Total Outstanding Amount]])/Table1[[#This Row],[NET Amount]]</f>
        <v>1</v>
      </c>
      <c r="S3678" s="2" t="s">
        <v>97</v>
      </c>
    </row>
    <row r="3679" spans="1:19" x14ac:dyDescent="0.3">
      <c r="A3679" s="4">
        <v>3677</v>
      </c>
      <c r="B3679" s="2" t="s">
        <v>155</v>
      </c>
      <c r="C3679" s="3">
        <v>44853</v>
      </c>
      <c r="D3679" s="3" t="str">
        <f>TEXT(Table1[[#This Row],[Admission Date]],"MMMM")</f>
        <v>October</v>
      </c>
      <c r="E3679" s="3">
        <v>44853</v>
      </c>
      <c r="F3679" s="3">
        <v>44853</v>
      </c>
      <c r="G3679" s="2">
        <v>22027802</v>
      </c>
      <c r="H3679" s="2">
        <v>2236704</v>
      </c>
      <c r="I3679" s="2">
        <v>1000915662</v>
      </c>
      <c r="J3679" s="2" t="s">
        <v>188</v>
      </c>
      <c r="K3679" s="10">
        <v>1610</v>
      </c>
      <c r="L3679" s="10">
        <v>0</v>
      </c>
      <c r="M3679" s="10">
        <v>1610</v>
      </c>
      <c r="N3679" s="10">
        <v>1610</v>
      </c>
      <c r="O3679" s="10">
        <f>Table1[[#This Row],[NET Amount]]-Table1[[#This Row],[Paid Amount]]</f>
        <v>0</v>
      </c>
      <c r="P3679" s="2" t="s">
        <v>18</v>
      </c>
      <c r="Q3679" s="2" t="s">
        <v>54</v>
      </c>
      <c r="R3679" s="16">
        <f>(Table1[[#This Row],[NET Amount]]-Table1[[#This Row],[Total Outstanding Amount]])/Table1[[#This Row],[NET Amount]]</f>
        <v>1</v>
      </c>
      <c r="S3679" s="2" t="s">
        <v>97</v>
      </c>
    </row>
    <row r="3680" spans="1:19" x14ac:dyDescent="0.3">
      <c r="A3680" s="4">
        <v>3678</v>
      </c>
      <c r="B3680" s="2" t="s">
        <v>113</v>
      </c>
      <c r="C3680" s="3">
        <v>44859</v>
      </c>
      <c r="D3680" s="3" t="str">
        <f>TEXT(Table1[[#This Row],[Admission Date]],"MMMM")</f>
        <v>October</v>
      </c>
      <c r="E3680" s="3">
        <v>44861</v>
      </c>
      <c r="F3680" s="3">
        <v>44861</v>
      </c>
      <c r="G3680" s="2">
        <v>22028747</v>
      </c>
      <c r="H3680" s="2">
        <v>2237268</v>
      </c>
      <c r="I3680" s="2">
        <v>10013541112</v>
      </c>
      <c r="J3680" s="2" t="s">
        <v>98</v>
      </c>
      <c r="K3680" s="10">
        <v>58872</v>
      </c>
      <c r="L3680" s="10">
        <v>0</v>
      </c>
      <c r="M3680" s="10">
        <v>58872</v>
      </c>
      <c r="N3680" s="10">
        <v>58872</v>
      </c>
      <c r="O3680" s="10">
        <f>Table1[[#This Row],[NET Amount]]-Table1[[#This Row],[Paid Amount]]</f>
        <v>0</v>
      </c>
      <c r="P3680" s="2" t="s">
        <v>18</v>
      </c>
      <c r="Q3680" s="2" t="s">
        <v>24</v>
      </c>
      <c r="R3680" s="16">
        <f>(Table1[[#This Row],[NET Amount]]-Table1[[#This Row],[Total Outstanding Amount]])/Table1[[#This Row],[NET Amount]]</f>
        <v>1</v>
      </c>
      <c r="S3680" s="2" t="s">
        <v>57</v>
      </c>
    </row>
    <row r="3681" spans="1:19" x14ac:dyDescent="0.3">
      <c r="A3681" s="4">
        <v>3679</v>
      </c>
      <c r="B3681" s="2" t="s">
        <v>80</v>
      </c>
      <c r="C3681" s="3">
        <v>44852</v>
      </c>
      <c r="D3681" s="3" t="str">
        <f>TEXT(Table1[[#This Row],[Admission Date]],"MMMM")</f>
        <v>October</v>
      </c>
      <c r="E3681" s="3">
        <v>44856</v>
      </c>
      <c r="F3681" s="3">
        <v>44856</v>
      </c>
      <c r="G3681" s="2">
        <v>22028213</v>
      </c>
      <c r="H3681" s="2">
        <v>2236511</v>
      </c>
      <c r="I3681" s="2">
        <v>1000984777</v>
      </c>
      <c r="J3681" s="2" t="s">
        <v>2061</v>
      </c>
      <c r="K3681" s="10">
        <v>64480</v>
      </c>
      <c r="L3681" s="10">
        <v>4971</v>
      </c>
      <c r="M3681" s="10">
        <v>59509</v>
      </c>
      <c r="N3681" s="10">
        <v>3455</v>
      </c>
      <c r="O3681" s="10">
        <f>Table1[[#This Row],[NET Amount]]-Table1[[#This Row],[Paid Amount]]</f>
        <v>56054</v>
      </c>
      <c r="P3681" s="2" t="s">
        <v>23</v>
      </c>
      <c r="Q3681" s="2" t="s">
        <v>24</v>
      </c>
      <c r="R3681" s="16">
        <f>(Table1[[#This Row],[NET Amount]]-Table1[[#This Row],[Total Outstanding Amount]])/Table1[[#This Row],[NET Amount]]</f>
        <v>5.8058444941101343E-2</v>
      </c>
      <c r="S3681" s="2" t="s">
        <v>20</v>
      </c>
    </row>
    <row r="3682" spans="1:19" x14ac:dyDescent="0.3">
      <c r="A3682" s="4">
        <v>3680</v>
      </c>
      <c r="B3682" s="2" t="s">
        <v>25</v>
      </c>
      <c r="C3682" s="3">
        <v>44856</v>
      </c>
      <c r="D3682" s="3" t="str">
        <f>TEXT(Table1[[#This Row],[Admission Date]],"MMMM")</f>
        <v>October</v>
      </c>
      <c r="E3682" s="3">
        <v>44857</v>
      </c>
      <c r="F3682" s="3">
        <v>44857</v>
      </c>
      <c r="G3682" s="2">
        <v>22028361</v>
      </c>
      <c r="H3682" s="2">
        <v>2237093</v>
      </c>
      <c r="I3682" s="2">
        <v>10013542062</v>
      </c>
      <c r="J3682" s="2" t="s">
        <v>2062</v>
      </c>
      <c r="K3682" s="10">
        <v>43847</v>
      </c>
      <c r="L3682" s="10">
        <v>5587</v>
      </c>
      <c r="M3682" s="10">
        <v>38260</v>
      </c>
      <c r="N3682" s="10">
        <v>38260</v>
      </c>
      <c r="O3682" s="10">
        <f>Table1[[#This Row],[NET Amount]]-Table1[[#This Row],[Paid Amount]]</f>
        <v>0</v>
      </c>
      <c r="P3682" s="2" t="s">
        <v>18</v>
      </c>
      <c r="Q3682" s="2" t="s">
        <v>19</v>
      </c>
      <c r="R3682" s="16">
        <f>(Table1[[#This Row],[NET Amount]]-Table1[[#This Row],[Total Outstanding Amount]])/Table1[[#This Row],[NET Amount]]</f>
        <v>1</v>
      </c>
      <c r="S3682" s="2" t="s">
        <v>27</v>
      </c>
    </row>
    <row r="3683" spans="1:19" x14ac:dyDescent="0.3">
      <c r="A3683" s="4">
        <v>3681</v>
      </c>
      <c r="B3683" s="2" t="s">
        <v>113</v>
      </c>
      <c r="C3683" s="3">
        <v>44849</v>
      </c>
      <c r="D3683" s="3" t="str">
        <f>TEXT(Table1[[#This Row],[Admission Date]],"MMMM")</f>
        <v>October</v>
      </c>
      <c r="E3683" s="3">
        <v>44859</v>
      </c>
      <c r="F3683" s="3">
        <v>44859</v>
      </c>
      <c r="G3683" s="2">
        <v>22028463</v>
      </c>
      <c r="H3683" s="2">
        <v>2236201</v>
      </c>
      <c r="I3683" s="2">
        <v>1001158203</v>
      </c>
      <c r="J3683" s="2" t="s">
        <v>202</v>
      </c>
      <c r="K3683" s="10">
        <v>260220</v>
      </c>
      <c r="L3683" s="10">
        <v>0</v>
      </c>
      <c r="M3683" s="10">
        <v>260220</v>
      </c>
      <c r="N3683" s="10">
        <v>260220</v>
      </c>
      <c r="O3683" s="10">
        <f>Table1[[#This Row],[NET Amount]]-Table1[[#This Row],[Paid Amount]]</f>
        <v>0</v>
      </c>
      <c r="P3683" s="2" t="s">
        <v>18</v>
      </c>
      <c r="Q3683" s="2" t="s">
        <v>19</v>
      </c>
      <c r="R3683" s="16">
        <f>(Table1[[#This Row],[NET Amount]]-Table1[[#This Row],[Total Outstanding Amount]])/Table1[[#This Row],[NET Amount]]</f>
        <v>1</v>
      </c>
      <c r="S3683" s="2" t="s">
        <v>20</v>
      </c>
    </row>
    <row r="3684" spans="1:19" x14ac:dyDescent="0.3">
      <c r="A3684" s="4">
        <v>3682</v>
      </c>
      <c r="B3684" s="2" t="s">
        <v>21</v>
      </c>
      <c r="C3684" s="3">
        <v>44854</v>
      </c>
      <c r="D3684" s="3" t="str">
        <f>TEXT(Table1[[#This Row],[Admission Date]],"MMMM")</f>
        <v>October</v>
      </c>
      <c r="E3684" s="3">
        <v>44857</v>
      </c>
      <c r="F3684" s="3">
        <v>44857</v>
      </c>
      <c r="G3684" s="2">
        <v>22028367</v>
      </c>
      <c r="H3684" s="2">
        <v>2236805</v>
      </c>
      <c r="I3684" s="2">
        <v>10013537638</v>
      </c>
      <c r="J3684" s="2" t="s">
        <v>2063</v>
      </c>
      <c r="K3684" s="10">
        <v>14984</v>
      </c>
      <c r="L3684" s="10">
        <v>0</v>
      </c>
      <c r="M3684" s="10">
        <v>14984</v>
      </c>
      <c r="N3684" s="10">
        <v>14984</v>
      </c>
      <c r="O3684" s="10">
        <f>Table1[[#This Row],[NET Amount]]-Table1[[#This Row],[Paid Amount]]</f>
        <v>0</v>
      </c>
      <c r="P3684" s="2" t="s">
        <v>18</v>
      </c>
      <c r="Q3684" s="2" t="s">
        <v>24</v>
      </c>
      <c r="R3684" s="16">
        <f>(Table1[[#This Row],[NET Amount]]-Table1[[#This Row],[Total Outstanding Amount]])/Table1[[#This Row],[NET Amount]]</f>
        <v>1</v>
      </c>
      <c r="S3684" s="2" t="s">
        <v>162</v>
      </c>
    </row>
    <row r="3685" spans="1:19" x14ac:dyDescent="0.3">
      <c r="A3685" s="4">
        <v>3683</v>
      </c>
      <c r="B3685" s="2" t="s">
        <v>25</v>
      </c>
      <c r="C3685" s="3">
        <v>44850</v>
      </c>
      <c r="D3685" s="3" t="str">
        <f>TEXT(Table1[[#This Row],[Admission Date]],"MMMM")</f>
        <v>October</v>
      </c>
      <c r="E3685" s="3">
        <v>44854</v>
      </c>
      <c r="F3685" s="3">
        <v>44854</v>
      </c>
      <c r="G3685" s="2">
        <v>22027874</v>
      </c>
      <c r="H3685" s="2">
        <v>2236255</v>
      </c>
      <c r="I3685" s="2">
        <v>1001804695</v>
      </c>
      <c r="J3685" s="2" t="s">
        <v>2064</v>
      </c>
      <c r="K3685" s="10">
        <v>84432</v>
      </c>
      <c r="L3685" s="10">
        <v>8750</v>
      </c>
      <c r="M3685" s="10">
        <v>75682</v>
      </c>
      <c r="N3685" s="10">
        <v>75682</v>
      </c>
      <c r="O3685" s="10">
        <f>Table1[[#This Row],[NET Amount]]-Table1[[#This Row],[Paid Amount]]</f>
        <v>0</v>
      </c>
      <c r="P3685" s="2" t="s">
        <v>18</v>
      </c>
      <c r="Q3685" s="2" t="s">
        <v>24</v>
      </c>
      <c r="R3685" s="16">
        <f>(Table1[[#This Row],[NET Amount]]-Table1[[#This Row],[Total Outstanding Amount]])/Table1[[#This Row],[NET Amount]]</f>
        <v>1</v>
      </c>
      <c r="S3685" s="2" t="s">
        <v>20</v>
      </c>
    </row>
    <row r="3686" spans="1:19" x14ac:dyDescent="0.3">
      <c r="A3686" s="4">
        <v>3684</v>
      </c>
      <c r="B3686" s="2" t="s">
        <v>25</v>
      </c>
      <c r="C3686" s="3">
        <v>44856</v>
      </c>
      <c r="D3686" s="3" t="str">
        <f>TEXT(Table1[[#This Row],[Admission Date]],"MMMM")</f>
        <v>October</v>
      </c>
      <c r="E3686" s="3">
        <v>44857</v>
      </c>
      <c r="F3686" s="3">
        <v>44857</v>
      </c>
      <c r="G3686" s="2">
        <v>22028325</v>
      </c>
      <c r="H3686" s="2">
        <v>2237024</v>
      </c>
      <c r="I3686" s="2">
        <v>1001149450</v>
      </c>
      <c r="J3686" s="2" t="s">
        <v>2065</v>
      </c>
      <c r="K3686" s="10">
        <v>184154</v>
      </c>
      <c r="L3686" s="10">
        <v>0</v>
      </c>
      <c r="M3686" s="10">
        <v>184154</v>
      </c>
      <c r="N3686" s="10">
        <v>184154</v>
      </c>
      <c r="O3686" s="10">
        <f>Table1[[#This Row],[NET Amount]]-Table1[[#This Row],[Paid Amount]]</f>
        <v>0</v>
      </c>
      <c r="P3686" s="2" t="s">
        <v>18</v>
      </c>
      <c r="Q3686" s="2" t="s">
        <v>24</v>
      </c>
      <c r="R3686" s="16">
        <f>(Table1[[#This Row],[NET Amount]]-Table1[[#This Row],[Total Outstanding Amount]])/Table1[[#This Row],[NET Amount]]</f>
        <v>1</v>
      </c>
      <c r="S3686" s="2" t="s">
        <v>39</v>
      </c>
    </row>
    <row r="3687" spans="1:19" x14ac:dyDescent="0.3">
      <c r="A3687" s="4">
        <v>3685</v>
      </c>
      <c r="B3687" s="2" t="s">
        <v>72</v>
      </c>
      <c r="C3687" s="3">
        <v>44856</v>
      </c>
      <c r="D3687" s="3" t="str">
        <f>TEXT(Table1[[#This Row],[Admission Date]],"MMMM")</f>
        <v>October</v>
      </c>
      <c r="E3687" s="3">
        <v>44860</v>
      </c>
      <c r="F3687" s="3">
        <v>44860</v>
      </c>
      <c r="G3687" s="2">
        <v>22028580</v>
      </c>
      <c r="H3687" s="2">
        <v>2237063</v>
      </c>
      <c r="I3687" s="2">
        <v>10013544087</v>
      </c>
      <c r="J3687" s="2" t="s">
        <v>2066</v>
      </c>
      <c r="K3687" s="10">
        <v>66565</v>
      </c>
      <c r="L3687" s="10">
        <v>0</v>
      </c>
      <c r="M3687" s="10">
        <v>66565</v>
      </c>
      <c r="N3687" s="10">
        <v>16565</v>
      </c>
      <c r="O3687" s="10">
        <f>Table1[[#This Row],[NET Amount]]-Table1[[#This Row],[Paid Amount]]</f>
        <v>50000</v>
      </c>
      <c r="P3687" s="2" t="s">
        <v>23</v>
      </c>
      <c r="Q3687" s="2" t="s">
        <v>42</v>
      </c>
      <c r="R3687" s="16">
        <f>(Table1[[#This Row],[NET Amount]]-Table1[[#This Row],[Total Outstanding Amount]])/Table1[[#This Row],[NET Amount]]</f>
        <v>0.24885450311725382</v>
      </c>
      <c r="S3687" s="2" t="s">
        <v>27</v>
      </c>
    </row>
    <row r="3688" spans="1:19" x14ac:dyDescent="0.3">
      <c r="A3688" s="4">
        <v>3686</v>
      </c>
      <c r="B3688" s="2" t="s">
        <v>25</v>
      </c>
      <c r="C3688" s="3">
        <v>44845</v>
      </c>
      <c r="D3688" s="3" t="str">
        <f>TEXT(Table1[[#This Row],[Admission Date]],"MMMM")</f>
        <v>October</v>
      </c>
      <c r="E3688" s="3">
        <v>44847</v>
      </c>
      <c r="F3688" s="3">
        <v>44847</v>
      </c>
      <c r="G3688" s="2">
        <v>22026878</v>
      </c>
      <c r="H3688" s="2">
        <v>2235609</v>
      </c>
      <c r="I3688" s="2">
        <v>10013534557</v>
      </c>
      <c r="J3688" s="2" t="s">
        <v>2067</v>
      </c>
      <c r="K3688" s="10">
        <v>119154</v>
      </c>
      <c r="L3688" s="10">
        <v>30833</v>
      </c>
      <c r="M3688" s="10">
        <v>88321</v>
      </c>
      <c r="N3688" s="10">
        <v>88321</v>
      </c>
      <c r="O3688" s="10">
        <f>Table1[[#This Row],[NET Amount]]-Table1[[#This Row],[Paid Amount]]</f>
        <v>0</v>
      </c>
      <c r="P3688" s="2" t="s">
        <v>18</v>
      </c>
      <c r="Q3688" s="2" t="s">
        <v>24</v>
      </c>
      <c r="R3688" s="16">
        <f>(Table1[[#This Row],[NET Amount]]-Table1[[#This Row],[Total Outstanding Amount]])/Table1[[#This Row],[NET Amount]]</f>
        <v>1</v>
      </c>
      <c r="S3688" s="2" t="s">
        <v>43</v>
      </c>
    </row>
    <row r="3689" spans="1:19" x14ac:dyDescent="0.3">
      <c r="A3689" s="4">
        <v>3687</v>
      </c>
      <c r="B3689" s="2" t="s">
        <v>25</v>
      </c>
      <c r="C3689" s="3">
        <v>44860</v>
      </c>
      <c r="D3689" s="3" t="str">
        <f>TEXT(Table1[[#This Row],[Admission Date]],"MMMM")</f>
        <v>October</v>
      </c>
      <c r="E3689" s="3">
        <v>44861</v>
      </c>
      <c r="F3689" s="3">
        <v>44861</v>
      </c>
      <c r="G3689" s="2">
        <v>22028814</v>
      </c>
      <c r="H3689" s="2">
        <v>2237521</v>
      </c>
      <c r="I3689" s="2">
        <v>1000965868</v>
      </c>
      <c r="J3689" s="2" t="s">
        <v>2068</v>
      </c>
      <c r="K3689" s="10">
        <v>189030</v>
      </c>
      <c r="L3689" s="10">
        <v>0</v>
      </c>
      <c r="M3689" s="10">
        <v>189030</v>
      </c>
      <c r="N3689" s="10">
        <v>189030</v>
      </c>
      <c r="O3689" s="10">
        <f>Table1[[#This Row],[NET Amount]]-Table1[[#This Row],[Paid Amount]]</f>
        <v>0</v>
      </c>
      <c r="P3689" s="2" t="s">
        <v>18</v>
      </c>
      <c r="Q3689" s="2" t="s">
        <v>24</v>
      </c>
      <c r="R3689" s="16">
        <f>(Table1[[#This Row],[NET Amount]]-Table1[[#This Row],[Total Outstanding Amount]])/Table1[[#This Row],[NET Amount]]</f>
        <v>1</v>
      </c>
      <c r="S3689" s="2" t="s">
        <v>39</v>
      </c>
    </row>
    <row r="3690" spans="1:19" x14ac:dyDescent="0.3">
      <c r="A3690" s="4">
        <v>3688</v>
      </c>
      <c r="B3690" s="2" t="s">
        <v>141</v>
      </c>
      <c r="C3690" s="3">
        <v>44863</v>
      </c>
      <c r="D3690" s="3" t="str">
        <f>TEXT(Table1[[#This Row],[Admission Date]],"MMMM")</f>
        <v>October</v>
      </c>
      <c r="E3690" s="3">
        <v>44863</v>
      </c>
      <c r="F3690" s="3">
        <v>44863</v>
      </c>
      <c r="G3690" s="2">
        <v>22029138</v>
      </c>
      <c r="H3690" s="2">
        <v>2237906</v>
      </c>
      <c r="I3690" s="2">
        <v>10013545004</v>
      </c>
      <c r="J3690" s="2" t="s">
        <v>2069</v>
      </c>
      <c r="K3690" s="10">
        <v>62735</v>
      </c>
      <c r="L3690" s="10">
        <v>6470</v>
      </c>
      <c r="M3690" s="10">
        <v>56265</v>
      </c>
      <c r="N3690" s="10">
        <v>3190</v>
      </c>
      <c r="O3690" s="10">
        <f>Table1[[#This Row],[NET Amount]]-Table1[[#This Row],[Paid Amount]]</f>
        <v>53075</v>
      </c>
      <c r="P3690" s="2" t="s">
        <v>23</v>
      </c>
      <c r="Q3690" s="2" t="s">
        <v>42</v>
      </c>
      <c r="R3690" s="16">
        <f>(Table1[[#This Row],[NET Amount]]-Table1[[#This Row],[Total Outstanding Amount]])/Table1[[#This Row],[NET Amount]]</f>
        <v>5.6695992179863146E-2</v>
      </c>
      <c r="S3690" s="2" t="s">
        <v>37</v>
      </c>
    </row>
    <row r="3691" spans="1:19" x14ac:dyDescent="0.3">
      <c r="A3691" s="4">
        <v>3689</v>
      </c>
      <c r="B3691" s="2" t="s">
        <v>2244</v>
      </c>
      <c r="C3691" s="3">
        <v>44859</v>
      </c>
      <c r="D3691" s="3" t="str">
        <f>TEXT(Table1[[#This Row],[Admission Date]],"MMMM")</f>
        <v>October</v>
      </c>
      <c r="E3691" s="3">
        <v>44859</v>
      </c>
      <c r="F3691" s="3">
        <v>44859</v>
      </c>
      <c r="G3691" s="2">
        <v>22028517</v>
      </c>
      <c r="H3691" s="2">
        <v>2237326</v>
      </c>
      <c r="I3691" s="2">
        <v>1001797549</v>
      </c>
      <c r="J3691" s="2" t="s">
        <v>121</v>
      </c>
      <c r="K3691" s="10">
        <v>1610</v>
      </c>
      <c r="L3691" s="10">
        <v>0</v>
      </c>
      <c r="M3691" s="10">
        <v>1610</v>
      </c>
      <c r="N3691" s="10">
        <v>1610</v>
      </c>
      <c r="O3691" s="10">
        <f>Table1[[#This Row],[NET Amount]]-Table1[[#This Row],[Paid Amount]]</f>
        <v>0</v>
      </c>
      <c r="P3691" s="2" t="s">
        <v>18</v>
      </c>
      <c r="Q3691" s="2" t="s">
        <v>54</v>
      </c>
      <c r="R3691" s="16">
        <f>(Table1[[#This Row],[NET Amount]]-Table1[[#This Row],[Total Outstanding Amount]])/Table1[[#This Row],[NET Amount]]</f>
        <v>1</v>
      </c>
      <c r="S3691" s="2" t="s">
        <v>97</v>
      </c>
    </row>
    <row r="3692" spans="1:19" x14ac:dyDescent="0.3">
      <c r="A3692" s="4">
        <v>3690</v>
      </c>
      <c r="B3692" s="2" t="s">
        <v>35</v>
      </c>
      <c r="C3692" s="3">
        <v>44859</v>
      </c>
      <c r="D3692" s="3" t="str">
        <f>TEXT(Table1[[#This Row],[Admission Date]],"MMMM")</f>
        <v>October</v>
      </c>
      <c r="E3692" s="3">
        <v>44859</v>
      </c>
      <c r="F3692" s="3">
        <v>44859</v>
      </c>
      <c r="G3692" s="2">
        <v>22028501</v>
      </c>
      <c r="H3692" s="2">
        <v>2237319</v>
      </c>
      <c r="I3692" s="2">
        <v>10013519440</v>
      </c>
      <c r="J3692" s="2" t="s">
        <v>339</v>
      </c>
      <c r="K3692" s="10">
        <v>1610</v>
      </c>
      <c r="L3692" s="10">
        <v>0</v>
      </c>
      <c r="M3692" s="10">
        <v>1610</v>
      </c>
      <c r="N3692" s="10">
        <v>1610</v>
      </c>
      <c r="O3692" s="10">
        <f>Table1[[#This Row],[NET Amount]]-Table1[[#This Row],[Paid Amount]]</f>
        <v>0</v>
      </c>
      <c r="P3692" s="2" t="s">
        <v>18</v>
      </c>
      <c r="Q3692" s="2" t="s">
        <v>54</v>
      </c>
      <c r="R3692" s="16">
        <f>(Table1[[#This Row],[NET Amount]]-Table1[[#This Row],[Total Outstanding Amount]])/Table1[[#This Row],[NET Amount]]</f>
        <v>1</v>
      </c>
      <c r="S3692" s="2" t="s">
        <v>97</v>
      </c>
    </row>
    <row r="3693" spans="1:19" x14ac:dyDescent="0.3">
      <c r="A3693" s="4">
        <v>3691</v>
      </c>
      <c r="B3693" s="2" t="s">
        <v>25</v>
      </c>
      <c r="C3693" s="3">
        <v>44862</v>
      </c>
      <c r="D3693" s="3" t="str">
        <f>TEXT(Table1[[#This Row],[Admission Date]],"MMMM")</f>
        <v>October</v>
      </c>
      <c r="E3693" s="3">
        <v>44864</v>
      </c>
      <c r="F3693" s="3">
        <v>44864</v>
      </c>
      <c r="G3693" s="2">
        <v>22029237</v>
      </c>
      <c r="H3693" s="2">
        <v>2237869</v>
      </c>
      <c r="I3693" s="2">
        <v>1001806854</v>
      </c>
      <c r="J3693" s="2" t="s">
        <v>2070</v>
      </c>
      <c r="K3693" s="10">
        <v>30470</v>
      </c>
      <c r="L3693" s="10">
        <v>4430</v>
      </c>
      <c r="M3693" s="10">
        <v>26040</v>
      </c>
      <c r="N3693" s="10">
        <v>26040</v>
      </c>
      <c r="O3693" s="10">
        <f>Table1[[#This Row],[NET Amount]]-Table1[[#This Row],[Paid Amount]]</f>
        <v>0</v>
      </c>
      <c r="P3693" s="2" t="s">
        <v>18</v>
      </c>
      <c r="Q3693" s="2" t="s">
        <v>19</v>
      </c>
      <c r="R3693" s="16">
        <f>(Table1[[#This Row],[NET Amount]]-Table1[[#This Row],[Total Outstanding Amount]])/Table1[[#This Row],[NET Amount]]</f>
        <v>1</v>
      </c>
      <c r="S3693" s="2" t="s">
        <v>65</v>
      </c>
    </row>
    <row r="3694" spans="1:19" x14ac:dyDescent="0.3">
      <c r="A3694" s="4">
        <v>3692</v>
      </c>
      <c r="B3694" s="2" t="s">
        <v>25</v>
      </c>
      <c r="C3694" s="3">
        <v>44863</v>
      </c>
      <c r="D3694" s="3" t="str">
        <f>TEXT(Table1[[#This Row],[Admission Date]],"MMMM")</f>
        <v>October</v>
      </c>
      <c r="E3694" s="3">
        <v>44864</v>
      </c>
      <c r="F3694" s="3">
        <v>44864</v>
      </c>
      <c r="G3694" s="2">
        <v>22029188</v>
      </c>
      <c r="H3694" s="2">
        <v>2237907</v>
      </c>
      <c r="I3694" s="2">
        <v>1001806891</v>
      </c>
      <c r="J3694" s="2" t="s">
        <v>2071</v>
      </c>
      <c r="K3694" s="10">
        <v>48896</v>
      </c>
      <c r="L3694" s="10">
        <v>6133</v>
      </c>
      <c r="M3694" s="10">
        <v>42763</v>
      </c>
      <c r="N3694" s="10">
        <v>42763</v>
      </c>
      <c r="O3694" s="10">
        <f>Table1[[#This Row],[NET Amount]]-Table1[[#This Row],[Paid Amount]]</f>
        <v>0</v>
      </c>
      <c r="P3694" s="2" t="s">
        <v>18</v>
      </c>
      <c r="Q3694" s="2" t="s">
        <v>30</v>
      </c>
      <c r="R3694" s="16">
        <f>(Table1[[#This Row],[NET Amount]]-Table1[[#This Row],[Total Outstanding Amount]])/Table1[[#This Row],[NET Amount]]</f>
        <v>1</v>
      </c>
      <c r="S3694" s="2" t="s">
        <v>27</v>
      </c>
    </row>
    <row r="3695" spans="1:19" x14ac:dyDescent="0.3">
      <c r="A3695" s="4">
        <v>3693</v>
      </c>
      <c r="B3695" s="2" t="s">
        <v>126</v>
      </c>
      <c r="C3695" s="3">
        <v>44838</v>
      </c>
      <c r="D3695" s="3" t="str">
        <f>TEXT(Table1[[#This Row],[Admission Date]],"MMMM")</f>
        <v>October</v>
      </c>
      <c r="E3695" s="3">
        <v>44838</v>
      </c>
      <c r="F3695" s="3">
        <v>44838</v>
      </c>
      <c r="G3695" s="2">
        <v>22025596</v>
      </c>
      <c r="H3695" s="2">
        <v>2234526</v>
      </c>
      <c r="I3695" s="2">
        <v>1001039951</v>
      </c>
      <c r="J3695" s="2" t="s">
        <v>2072</v>
      </c>
      <c r="K3695" s="10">
        <v>17300</v>
      </c>
      <c r="L3695" s="10">
        <v>0</v>
      </c>
      <c r="M3695" s="10">
        <v>17300</v>
      </c>
      <c r="N3695" s="10">
        <v>17300</v>
      </c>
      <c r="O3695" s="10">
        <f>Table1[[#This Row],[NET Amount]]-Table1[[#This Row],[Paid Amount]]</f>
        <v>0</v>
      </c>
      <c r="P3695" s="2" t="s">
        <v>18</v>
      </c>
      <c r="Q3695" s="2" t="s">
        <v>54</v>
      </c>
      <c r="R3695" s="16">
        <f>(Table1[[#This Row],[NET Amount]]-Table1[[#This Row],[Total Outstanding Amount]])/Table1[[#This Row],[NET Amount]]</f>
        <v>1</v>
      </c>
      <c r="S3695" s="2" t="s">
        <v>43</v>
      </c>
    </row>
    <row r="3696" spans="1:19" x14ac:dyDescent="0.3">
      <c r="A3696" s="4">
        <v>3694</v>
      </c>
      <c r="B3696" s="2" t="s">
        <v>126</v>
      </c>
      <c r="C3696" s="3">
        <v>44833</v>
      </c>
      <c r="D3696" s="3" t="str">
        <f>TEXT(Table1[[#This Row],[Admission Date]],"MMMM")</f>
        <v>September</v>
      </c>
      <c r="E3696" s="3">
        <v>44838</v>
      </c>
      <c r="F3696" s="3">
        <v>44838</v>
      </c>
      <c r="G3696" s="2">
        <v>22025528</v>
      </c>
      <c r="H3696" s="2">
        <v>2233991</v>
      </c>
      <c r="I3696" s="2">
        <v>1001801564</v>
      </c>
      <c r="J3696" s="2" t="s">
        <v>2073</v>
      </c>
      <c r="K3696" s="10">
        <v>429799</v>
      </c>
      <c r="L3696" s="10">
        <v>24835</v>
      </c>
      <c r="M3696" s="10">
        <v>404964</v>
      </c>
      <c r="N3696" s="10">
        <v>99500</v>
      </c>
      <c r="O3696" s="10">
        <f>Table1[[#This Row],[NET Amount]]-Table1[[#This Row],[Paid Amount]]</f>
        <v>305464</v>
      </c>
      <c r="P3696" s="2" t="s">
        <v>23</v>
      </c>
      <c r="Q3696" s="2" t="s">
        <v>24</v>
      </c>
      <c r="R3696" s="16">
        <f>(Table1[[#This Row],[NET Amount]]-Table1[[#This Row],[Total Outstanding Amount]])/Table1[[#This Row],[NET Amount]]</f>
        <v>0.24570085242144982</v>
      </c>
      <c r="S3696" s="2" t="s">
        <v>39</v>
      </c>
    </row>
    <row r="3697" spans="1:19" x14ac:dyDescent="0.3">
      <c r="A3697" s="4">
        <v>3695</v>
      </c>
      <c r="B3697" s="2" t="s">
        <v>25</v>
      </c>
      <c r="C3697" s="3">
        <v>44841</v>
      </c>
      <c r="D3697" s="3" t="str">
        <f>TEXT(Table1[[#This Row],[Admission Date]],"MMMM")</f>
        <v>October</v>
      </c>
      <c r="E3697" s="3">
        <v>44846</v>
      </c>
      <c r="F3697" s="3">
        <v>44846</v>
      </c>
      <c r="G3697" s="2">
        <v>22026718</v>
      </c>
      <c r="H3697" s="2">
        <v>2235052</v>
      </c>
      <c r="I3697" s="2">
        <v>10013542063</v>
      </c>
      <c r="J3697" s="2" t="s">
        <v>2074</v>
      </c>
      <c r="K3697" s="10">
        <v>170550</v>
      </c>
      <c r="L3697" s="10">
        <v>48058</v>
      </c>
      <c r="M3697" s="10">
        <v>122492</v>
      </c>
      <c r="N3697" s="10">
        <v>122492</v>
      </c>
      <c r="O3697" s="10">
        <f>Table1[[#This Row],[NET Amount]]-Table1[[#This Row],[Paid Amount]]</f>
        <v>0</v>
      </c>
      <c r="P3697" s="2" t="s">
        <v>18</v>
      </c>
      <c r="Q3697" s="2" t="s">
        <v>69</v>
      </c>
      <c r="R3697" s="16">
        <f>(Table1[[#This Row],[NET Amount]]-Table1[[#This Row],[Total Outstanding Amount]])/Table1[[#This Row],[NET Amount]]</f>
        <v>1</v>
      </c>
      <c r="S3697" s="2" t="s">
        <v>20</v>
      </c>
    </row>
    <row r="3698" spans="1:19" x14ac:dyDescent="0.3">
      <c r="A3698" s="4">
        <v>3696</v>
      </c>
      <c r="B3698" s="2" t="s">
        <v>25</v>
      </c>
      <c r="C3698" s="3">
        <v>44859</v>
      </c>
      <c r="D3698" s="3" t="str">
        <f>TEXT(Table1[[#This Row],[Admission Date]],"MMMM")</f>
        <v>October</v>
      </c>
      <c r="E3698" s="3">
        <v>44864</v>
      </c>
      <c r="F3698" s="3">
        <v>44864</v>
      </c>
      <c r="G3698" s="2">
        <v>22029199</v>
      </c>
      <c r="H3698" s="2">
        <v>2237304</v>
      </c>
      <c r="I3698" s="2">
        <v>10013398486</v>
      </c>
      <c r="J3698" s="2" t="s">
        <v>1445</v>
      </c>
      <c r="K3698" s="10">
        <v>213035</v>
      </c>
      <c r="L3698" s="10">
        <v>69419</v>
      </c>
      <c r="M3698" s="10">
        <v>143616</v>
      </c>
      <c r="N3698" s="10">
        <v>143616</v>
      </c>
      <c r="O3698" s="10">
        <f>Table1[[#This Row],[NET Amount]]-Table1[[#This Row],[Paid Amount]]</f>
        <v>0</v>
      </c>
      <c r="P3698" s="2" t="s">
        <v>18</v>
      </c>
      <c r="Q3698" s="2" t="s">
        <v>225</v>
      </c>
      <c r="R3698" s="16">
        <f>(Table1[[#This Row],[NET Amount]]-Table1[[#This Row],[Total Outstanding Amount]])/Table1[[#This Row],[NET Amount]]</f>
        <v>1</v>
      </c>
      <c r="S3698" s="2" t="s">
        <v>65</v>
      </c>
    </row>
    <row r="3699" spans="1:19" x14ac:dyDescent="0.3">
      <c r="A3699" s="4">
        <v>3697</v>
      </c>
      <c r="B3699" s="2" t="s">
        <v>25</v>
      </c>
      <c r="C3699" s="3">
        <v>44863</v>
      </c>
      <c r="D3699" s="3" t="str">
        <f>TEXT(Table1[[#This Row],[Admission Date]],"MMMM")</f>
        <v>October</v>
      </c>
      <c r="E3699" s="3">
        <v>44863</v>
      </c>
      <c r="F3699" s="3">
        <v>44863</v>
      </c>
      <c r="G3699" s="2">
        <v>22028999</v>
      </c>
      <c r="H3699" s="2">
        <v>2237914</v>
      </c>
      <c r="I3699" s="2">
        <v>10013407139</v>
      </c>
      <c r="J3699" s="2" t="s">
        <v>237</v>
      </c>
      <c r="K3699" s="10">
        <v>2844</v>
      </c>
      <c r="L3699" s="10">
        <v>286</v>
      </c>
      <c r="M3699" s="10">
        <v>2558</v>
      </c>
      <c r="N3699" s="10">
        <v>2558</v>
      </c>
      <c r="O3699" s="10">
        <f>Table1[[#This Row],[NET Amount]]-Table1[[#This Row],[Paid Amount]]</f>
        <v>0</v>
      </c>
      <c r="P3699" s="2" t="s">
        <v>18</v>
      </c>
      <c r="Q3699" s="2" t="s">
        <v>54</v>
      </c>
      <c r="R3699" s="16">
        <f>(Table1[[#This Row],[NET Amount]]-Table1[[#This Row],[Total Outstanding Amount]])/Table1[[#This Row],[NET Amount]]</f>
        <v>1</v>
      </c>
      <c r="S3699" s="2" t="s">
        <v>97</v>
      </c>
    </row>
    <row r="3700" spans="1:19" x14ac:dyDescent="0.3">
      <c r="A3700" s="4">
        <v>3698</v>
      </c>
      <c r="B3700" s="2" t="s">
        <v>25</v>
      </c>
      <c r="C3700" s="3">
        <v>44846</v>
      </c>
      <c r="D3700" s="3" t="str">
        <f>TEXT(Table1[[#This Row],[Admission Date]],"MMMM")</f>
        <v>October</v>
      </c>
      <c r="E3700" s="3">
        <v>44849</v>
      </c>
      <c r="F3700" s="3">
        <v>44849</v>
      </c>
      <c r="G3700" s="2">
        <v>22027187</v>
      </c>
      <c r="H3700" s="2">
        <v>2235761</v>
      </c>
      <c r="I3700" s="2">
        <v>1001804018</v>
      </c>
      <c r="J3700" s="2" t="s">
        <v>2075</v>
      </c>
      <c r="K3700" s="10">
        <v>21581</v>
      </c>
      <c r="L3700" s="10">
        <v>2820</v>
      </c>
      <c r="M3700" s="10">
        <v>18761</v>
      </c>
      <c r="N3700" s="10">
        <v>18761</v>
      </c>
      <c r="O3700" s="10">
        <f>Table1[[#This Row],[NET Amount]]-Table1[[#This Row],[Paid Amount]]</f>
        <v>0</v>
      </c>
      <c r="P3700" s="2" t="s">
        <v>18</v>
      </c>
      <c r="Q3700" s="2" t="s">
        <v>30</v>
      </c>
      <c r="R3700" s="16">
        <f>(Table1[[#This Row],[NET Amount]]-Table1[[#This Row],[Total Outstanding Amount]])/Table1[[#This Row],[NET Amount]]</f>
        <v>1</v>
      </c>
      <c r="S3700" s="2" t="s">
        <v>37</v>
      </c>
    </row>
    <row r="3701" spans="1:19" x14ac:dyDescent="0.3">
      <c r="A3701" s="4">
        <v>3699</v>
      </c>
      <c r="B3701" s="2" t="s">
        <v>2251</v>
      </c>
      <c r="C3701" s="3">
        <v>44838</v>
      </c>
      <c r="D3701" s="3" t="str">
        <f>TEXT(Table1[[#This Row],[Admission Date]],"MMMM")</f>
        <v>October</v>
      </c>
      <c r="E3701" s="3">
        <v>44839</v>
      </c>
      <c r="F3701" s="3">
        <v>44839</v>
      </c>
      <c r="G3701" s="2">
        <v>22025724</v>
      </c>
      <c r="H3701" s="2">
        <v>2234577</v>
      </c>
      <c r="I3701" s="2">
        <v>1001802434</v>
      </c>
      <c r="J3701" s="2" t="s">
        <v>2076</v>
      </c>
      <c r="K3701" s="10">
        <v>36085</v>
      </c>
      <c r="L3701" s="10">
        <v>0</v>
      </c>
      <c r="M3701" s="10">
        <v>36085</v>
      </c>
      <c r="N3701" s="10">
        <v>2000</v>
      </c>
      <c r="O3701" s="10">
        <f>Table1[[#This Row],[NET Amount]]-Table1[[#This Row],[Paid Amount]]</f>
        <v>34085</v>
      </c>
      <c r="P3701" s="2" t="s">
        <v>23</v>
      </c>
      <c r="Q3701" s="2" t="s">
        <v>30</v>
      </c>
      <c r="R3701" s="16">
        <f>(Table1[[#This Row],[NET Amount]]-Table1[[#This Row],[Total Outstanding Amount]])/Table1[[#This Row],[NET Amount]]</f>
        <v>5.542469170015242E-2</v>
      </c>
      <c r="S3701" s="2" t="s">
        <v>77</v>
      </c>
    </row>
    <row r="3702" spans="1:19" x14ac:dyDescent="0.3">
      <c r="A3702" s="4">
        <v>3700</v>
      </c>
      <c r="B3702" s="2" t="s">
        <v>25</v>
      </c>
      <c r="C3702" s="3">
        <v>44847</v>
      </c>
      <c r="D3702" s="3" t="str">
        <f>TEXT(Table1[[#This Row],[Admission Date]],"MMMM")</f>
        <v>October</v>
      </c>
      <c r="E3702" s="3">
        <v>44847</v>
      </c>
      <c r="F3702" s="3">
        <v>44847</v>
      </c>
      <c r="G3702" s="2">
        <v>22026893</v>
      </c>
      <c r="H3702" s="2">
        <v>2235839</v>
      </c>
      <c r="I3702" s="2">
        <v>1000919979</v>
      </c>
      <c r="J3702" s="2" t="s">
        <v>319</v>
      </c>
      <c r="K3702" s="10">
        <v>2844</v>
      </c>
      <c r="L3702" s="10">
        <v>310</v>
      </c>
      <c r="M3702" s="10">
        <v>2534</v>
      </c>
      <c r="N3702" s="10">
        <v>2534</v>
      </c>
      <c r="O3702" s="10">
        <f>Table1[[#This Row],[NET Amount]]-Table1[[#This Row],[Paid Amount]]</f>
        <v>0</v>
      </c>
      <c r="P3702" s="2" t="s">
        <v>18</v>
      </c>
      <c r="Q3702" s="2" t="s">
        <v>54</v>
      </c>
      <c r="R3702" s="16">
        <f>(Table1[[#This Row],[NET Amount]]-Table1[[#This Row],[Total Outstanding Amount]])/Table1[[#This Row],[NET Amount]]</f>
        <v>1</v>
      </c>
      <c r="S3702" s="2" t="s">
        <v>97</v>
      </c>
    </row>
    <row r="3703" spans="1:19" x14ac:dyDescent="0.3">
      <c r="A3703" s="4">
        <v>3701</v>
      </c>
      <c r="B3703" s="2" t="s">
        <v>25</v>
      </c>
      <c r="C3703" s="3">
        <v>44847</v>
      </c>
      <c r="D3703" s="3" t="str">
        <f>TEXT(Table1[[#This Row],[Admission Date]],"MMMM")</f>
        <v>October</v>
      </c>
      <c r="E3703" s="3">
        <v>44847</v>
      </c>
      <c r="F3703" s="3">
        <v>44847</v>
      </c>
      <c r="G3703" s="2">
        <v>22026910</v>
      </c>
      <c r="H3703" s="2">
        <v>2235845</v>
      </c>
      <c r="I3703" s="2">
        <v>1000891310</v>
      </c>
      <c r="J3703" s="2" t="s">
        <v>683</v>
      </c>
      <c r="K3703" s="10">
        <v>3288</v>
      </c>
      <c r="L3703" s="10">
        <v>3288</v>
      </c>
      <c r="M3703" s="10">
        <v>0</v>
      </c>
      <c r="N3703" s="10">
        <v>0</v>
      </c>
      <c r="O3703" s="10">
        <f>Table1[[#This Row],[NET Amount]]-Table1[[#This Row],[Paid Amount]]</f>
        <v>0</v>
      </c>
      <c r="P3703" s="2" t="s">
        <v>18</v>
      </c>
      <c r="Q3703" s="2" t="s">
        <v>90</v>
      </c>
      <c r="R3703" s="16" t="e">
        <f>(Table1[[#This Row],[NET Amount]]-Table1[[#This Row],[Total Outstanding Amount]])/Table1[[#This Row],[NET Amount]]</f>
        <v>#DIV/0!</v>
      </c>
      <c r="S3703" s="2" t="s">
        <v>97</v>
      </c>
    </row>
    <row r="3704" spans="1:19" x14ac:dyDescent="0.3">
      <c r="A3704" s="4">
        <v>3702</v>
      </c>
      <c r="B3704" s="2" t="s">
        <v>117</v>
      </c>
      <c r="C3704" s="3">
        <v>44838</v>
      </c>
      <c r="D3704" s="3" t="str">
        <f>TEXT(Table1[[#This Row],[Admission Date]],"MMMM")</f>
        <v>October</v>
      </c>
      <c r="E3704" s="3">
        <v>44847</v>
      </c>
      <c r="F3704" s="3">
        <v>44847</v>
      </c>
      <c r="G3704" s="2">
        <v>22026913</v>
      </c>
      <c r="H3704" s="2">
        <v>2234548</v>
      </c>
      <c r="I3704" s="2">
        <v>1001802383</v>
      </c>
      <c r="J3704" s="2" t="s">
        <v>2077</v>
      </c>
      <c r="K3704" s="10">
        <v>222550</v>
      </c>
      <c r="L3704" s="10">
        <v>0</v>
      </c>
      <c r="M3704" s="10">
        <v>222550</v>
      </c>
      <c r="N3704" s="10">
        <v>222550</v>
      </c>
      <c r="O3704" s="10">
        <f>Table1[[#This Row],[NET Amount]]-Table1[[#This Row],[Paid Amount]]</f>
        <v>0</v>
      </c>
      <c r="P3704" s="2" t="s">
        <v>23</v>
      </c>
      <c r="Q3704" s="2" t="s">
        <v>24</v>
      </c>
      <c r="R3704" s="16">
        <f>(Table1[[#This Row],[NET Amount]]-Table1[[#This Row],[Total Outstanding Amount]])/Table1[[#This Row],[NET Amount]]</f>
        <v>1</v>
      </c>
      <c r="S3704" s="2" t="s">
        <v>70</v>
      </c>
    </row>
    <row r="3705" spans="1:19" x14ac:dyDescent="0.3">
      <c r="A3705" s="4">
        <v>3703</v>
      </c>
      <c r="B3705" s="2" t="s">
        <v>40</v>
      </c>
      <c r="C3705" s="3">
        <v>44863</v>
      </c>
      <c r="D3705" s="3" t="str">
        <f>TEXT(Table1[[#This Row],[Admission Date]],"MMMM")</f>
        <v>October</v>
      </c>
      <c r="E3705" s="3">
        <v>44864</v>
      </c>
      <c r="F3705" s="3">
        <v>44864</v>
      </c>
      <c r="G3705" s="2">
        <v>22029209</v>
      </c>
      <c r="H3705" s="2">
        <v>2237986</v>
      </c>
      <c r="I3705" s="2">
        <v>1001807020</v>
      </c>
      <c r="J3705" s="2" t="s">
        <v>2012</v>
      </c>
      <c r="K3705" s="10">
        <v>245309</v>
      </c>
      <c r="L3705" s="10">
        <v>0</v>
      </c>
      <c r="M3705" s="10">
        <v>245309</v>
      </c>
      <c r="N3705" s="10">
        <v>58434</v>
      </c>
      <c r="O3705" s="10">
        <f>Table1[[#This Row],[NET Amount]]-Table1[[#This Row],[Paid Amount]]</f>
        <v>186875</v>
      </c>
      <c r="P3705" s="2" t="s">
        <v>23</v>
      </c>
      <c r="Q3705" s="2" t="s">
        <v>47</v>
      </c>
      <c r="R3705" s="16">
        <f>(Table1[[#This Row],[NET Amount]]-Table1[[#This Row],[Total Outstanding Amount]])/Table1[[#This Row],[NET Amount]]</f>
        <v>0.23820569159712851</v>
      </c>
      <c r="S3705" s="2" t="s">
        <v>39</v>
      </c>
    </row>
    <row r="3706" spans="1:19" x14ac:dyDescent="0.3">
      <c r="A3706" s="4">
        <v>3704</v>
      </c>
      <c r="B3706" s="2" t="s">
        <v>25</v>
      </c>
      <c r="C3706" s="3">
        <v>44862</v>
      </c>
      <c r="D3706" s="3" t="str">
        <f>TEXT(Table1[[#This Row],[Admission Date]],"MMMM")</f>
        <v>October</v>
      </c>
      <c r="E3706" s="3">
        <v>44865</v>
      </c>
      <c r="F3706" s="3">
        <v>44865</v>
      </c>
      <c r="G3706" s="2">
        <v>22029293</v>
      </c>
      <c r="H3706" s="2">
        <v>2237776</v>
      </c>
      <c r="I3706" s="2">
        <v>1001289179</v>
      </c>
      <c r="J3706" s="2" t="s">
        <v>2078</v>
      </c>
      <c r="K3706" s="10">
        <v>94747</v>
      </c>
      <c r="L3706" s="10">
        <v>11234</v>
      </c>
      <c r="M3706" s="10">
        <v>83513</v>
      </c>
      <c r="N3706" s="10">
        <v>83513</v>
      </c>
      <c r="O3706" s="10">
        <f>Table1[[#This Row],[NET Amount]]-Table1[[#This Row],[Paid Amount]]</f>
        <v>0</v>
      </c>
      <c r="P3706" s="2" t="s">
        <v>18</v>
      </c>
      <c r="Q3706" s="2" t="s">
        <v>19</v>
      </c>
      <c r="R3706" s="16">
        <f>(Table1[[#This Row],[NET Amount]]-Table1[[#This Row],[Total Outstanding Amount]])/Table1[[#This Row],[NET Amount]]</f>
        <v>1</v>
      </c>
      <c r="S3706" s="2" t="s">
        <v>27</v>
      </c>
    </row>
    <row r="3707" spans="1:19" x14ac:dyDescent="0.3">
      <c r="A3707" s="4">
        <v>3705</v>
      </c>
      <c r="B3707" s="2" t="s">
        <v>115</v>
      </c>
      <c r="C3707" s="3">
        <v>44862</v>
      </c>
      <c r="D3707" s="3" t="str">
        <f>TEXT(Table1[[#This Row],[Admission Date]],"MMMM")</f>
        <v>October</v>
      </c>
      <c r="E3707" s="3">
        <v>44863</v>
      </c>
      <c r="F3707" s="3">
        <v>44863</v>
      </c>
      <c r="G3707" s="2">
        <v>22029022</v>
      </c>
      <c r="H3707" s="2">
        <v>2237798</v>
      </c>
      <c r="I3707" s="2">
        <v>1001798590</v>
      </c>
      <c r="J3707" s="2" t="s">
        <v>2079</v>
      </c>
      <c r="K3707" s="10">
        <v>223169</v>
      </c>
      <c r="L3707" s="10">
        <v>0</v>
      </c>
      <c r="M3707" s="10">
        <v>223169</v>
      </c>
      <c r="N3707" s="10">
        <v>42750</v>
      </c>
      <c r="O3707" s="10">
        <f>Table1[[#This Row],[NET Amount]]-Table1[[#This Row],[Paid Amount]]</f>
        <v>180419</v>
      </c>
      <c r="P3707" s="2" t="s">
        <v>23</v>
      </c>
      <c r="Q3707" s="2" t="s">
        <v>47</v>
      </c>
      <c r="R3707" s="16">
        <f>(Table1[[#This Row],[NET Amount]]-Table1[[#This Row],[Total Outstanding Amount]])/Table1[[#This Row],[NET Amount]]</f>
        <v>0.1915588634622192</v>
      </c>
      <c r="S3707" s="2" t="s">
        <v>39</v>
      </c>
    </row>
    <row r="3708" spans="1:19" x14ac:dyDescent="0.3">
      <c r="A3708" s="4">
        <v>3706</v>
      </c>
      <c r="B3708" s="2" t="s">
        <v>126</v>
      </c>
      <c r="C3708" s="3">
        <v>44862</v>
      </c>
      <c r="D3708" s="3" t="str">
        <f>TEXT(Table1[[#This Row],[Admission Date]],"MMMM")</f>
        <v>October</v>
      </c>
      <c r="E3708" s="3">
        <v>44864</v>
      </c>
      <c r="F3708" s="3">
        <v>44864</v>
      </c>
      <c r="G3708" s="2">
        <v>22029193</v>
      </c>
      <c r="H3708" s="2">
        <v>2237795</v>
      </c>
      <c r="I3708" s="2">
        <v>10013544853</v>
      </c>
      <c r="J3708" s="2" t="s">
        <v>2080</v>
      </c>
      <c r="K3708" s="10">
        <v>336099</v>
      </c>
      <c r="L3708" s="10">
        <v>0</v>
      </c>
      <c r="M3708" s="10">
        <v>336099</v>
      </c>
      <c r="N3708" s="10">
        <v>28400</v>
      </c>
      <c r="O3708" s="10">
        <f>Table1[[#This Row],[NET Amount]]-Table1[[#This Row],[Paid Amount]]</f>
        <v>307699</v>
      </c>
      <c r="P3708" s="2" t="s">
        <v>23</v>
      </c>
      <c r="Q3708" s="2" t="s">
        <v>24</v>
      </c>
      <c r="R3708" s="16">
        <f>(Table1[[#This Row],[NET Amount]]-Table1[[#This Row],[Total Outstanding Amount]])/Table1[[#This Row],[NET Amount]]</f>
        <v>8.4498912522798342E-2</v>
      </c>
      <c r="S3708" s="2" t="s">
        <v>39</v>
      </c>
    </row>
    <row r="3709" spans="1:19" x14ac:dyDescent="0.3">
      <c r="A3709" s="4">
        <v>3707</v>
      </c>
      <c r="B3709" s="2" t="s">
        <v>2257</v>
      </c>
      <c r="C3709" s="3">
        <v>44859</v>
      </c>
      <c r="D3709" s="3" t="str">
        <f>TEXT(Table1[[#This Row],[Admission Date]],"MMMM")</f>
        <v>October</v>
      </c>
      <c r="E3709" s="3">
        <v>44863</v>
      </c>
      <c r="F3709" s="3">
        <v>44863</v>
      </c>
      <c r="G3709" s="2">
        <v>22029041</v>
      </c>
      <c r="H3709" s="2">
        <v>2237361</v>
      </c>
      <c r="I3709" s="2">
        <v>1001802528</v>
      </c>
      <c r="J3709" s="2" t="s">
        <v>1231</v>
      </c>
      <c r="K3709" s="10">
        <v>54033</v>
      </c>
      <c r="L3709" s="10">
        <v>9430</v>
      </c>
      <c r="M3709" s="10">
        <v>44603</v>
      </c>
      <c r="N3709" s="10">
        <v>601</v>
      </c>
      <c r="O3709" s="10">
        <f>Table1[[#This Row],[NET Amount]]-Table1[[#This Row],[Paid Amount]]</f>
        <v>44002</v>
      </c>
      <c r="P3709" s="2" t="s">
        <v>23</v>
      </c>
      <c r="Q3709" s="2" t="s">
        <v>19</v>
      </c>
      <c r="R3709" s="16">
        <f>(Table1[[#This Row],[NET Amount]]-Table1[[#This Row],[Total Outstanding Amount]])/Table1[[#This Row],[NET Amount]]</f>
        <v>1.3474429971078179E-2</v>
      </c>
      <c r="S3709" s="2" t="s">
        <v>20</v>
      </c>
    </row>
    <row r="3710" spans="1:19" x14ac:dyDescent="0.3">
      <c r="A3710" s="4">
        <v>3708</v>
      </c>
      <c r="B3710" s="2" t="s">
        <v>144</v>
      </c>
      <c r="C3710" s="3">
        <v>44842</v>
      </c>
      <c r="D3710" s="3" t="str">
        <f>TEXT(Table1[[#This Row],[Admission Date]],"MMMM")</f>
        <v>October</v>
      </c>
      <c r="E3710" s="3">
        <v>44845</v>
      </c>
      <c r="F3710" s="3">
        <v>44845</v>
      </c>
      <c r="G3710" s="2">
        <v>22026532</v>
      </c>
      <c r="H3710" s="2">
        <v>2235227</v>
      </c>
      <c r="I3710" s="2">
        <v>10013515599</v>
      </c>
      <c r="J3710" s="2" t="s">
        <v>2081</v>
      </c>
      <c r="K3710" s="10">
        <v>70925</v>
      </c>
      <c r="L3710" s="10">
        <v>0</v>
      </c>
      <c r="M3710" s="10">
        <v>70925</v>
      </c>
      <c r="N3710" s="10">
        <v>19925</v>
      </c>
      <c r="O3710" s="10">
        <f>Table1[[#This Row],[NET Amount]]-Table1[[#This Row],[Paid Amount]]</f>
        <v>51000</v>
      </c>
      <c r="P3710" s="2" t="s">
        <v>23</v>
      </c>
      <c r="Q3710" s="2" t="s">
        <v>30</v>
      </c>
      <c r="R3710" s="16">
        <f>(Table1[[#This Row],[NET Amount]]-Table1[[#This Row],[Total Outstanding Amount]])/Table1[[#This Row],[NET Amount]]</f>
        <v>0.28093056045118081</v>
      </c>
      <c r="S3710" s="2" t="s">
        <v>27</v>
      </c>
    </row>
    <row r="3711" spans="1:19" x14ac:dyDescent="0.3">
      <c r="A3711" s="4">
        <v>3709</v>
      </c>
      <c r="B3711" s="2" t="s">
        <v>110</v>
      </c>
      <c r="C3711" s="3">
        <v>44838</v>
      </c>
      <c r="D3711" s="3" t="str">
        <f>TEXT(Table1[[#This Row],[Admission Date]],"MMMM")</f>
        <v>October</v>
      </c>
      <c r="E3711" s="3">
        <v>44844</v>
      </c>
      <c r="F3711" s="3">
        <v>44844</v>
      </c>
      <c r="G3711" s="2">
        <v>22026360</v>
      </c>
      <c r="H3711" s="2">
        <v>2234587</v>
      </c>
      <c r="I3711" s="2">
        <v>1001802444</v>
      </c>
      <c r="J3711" s="2" t="s">
        <v>2082</v>
      </c>
      <c r="K3711" s="10">
        <v>112457</v>
      </c>
      <c r="L3711" s="10">
        <v>3703</v>
      </c>
      <c r="M3711" s="10">
        <v>108753</v>
      </c>
      <c r="N3711" s="10">
        <v>4549</v>
      </c>
      <c r="O3711" s="10">
        <f>Table1[[#This Row],[NET Amount]]-Table1[[#This Row],[Paid Amount]]</f>
        <v>104204</v>
      </c>
      <c r="P3711" s="2" t="s">
        <v>23</v>
      </c>
      <c r="Q3711" s="2" t="s">
        <v>24</v>
      </c>
      <c r="R3711" s="16">
        <f>(Table1[[#This Row],[NET Amount]]-Table1[[#This Row],[Total Outstanding Amount]])/Table1[[#This Row],[NET Amount]]</f>
        <v>4.1828731161439224E-2</v>
      </c>
      <c r="S3711" s="2" t="s">
        <v>20</v>
      </c>
    </row>
    <row r="3712" spans="1:19" x14ac:dyDescent="0.3">
      <c r="A3712" s="4">
        <v>3710</v>
      </c>
      <c r="B3712" s="2" t="s">
        <v>25</v>
      </c>
      <c r="C3712" s="3">
        <v>44862</v>
      </c>
      <c r="D3712" s="3" t="str">
        <f>TEXT(Table1[[#This Row],[Admission Date]],"MMMM")</f>
        <v>October</v>
      </c>
      <c r="E3712" s="3">
        <v>44865</v>
      </c>
      <c r="F3712" s="3">
        <v>44865</v>
      </c>
      <c r="G3712" s="2">
        <v>22029301</v>
      </c>
      <c r="H3712" s="2">
        <v>2237772</v>
      </c>
      <c r="I3712" s="2">
        <v>1001806719</v>
      </c>
      <c r="J3712" s="2" t="s">
        <v>2083</v>
      </c>
      <c r="K3712" s="10">
        <v>136221</v>
      </c>
      <c r="L3712" s="10">
        <v>17883</v>
      </c>
      <c r="M3712" s="10">
        <v>118338</v>
      </c>
      <c r="N3712" s="10">
        <v>118338</v>
      </c>
      <c r="O3712" s="10">
        <f>Table1[[#This Row],[NET Amount]]-Table1[[#This Row],[Paid Amount]]</f>
        <v>0</v>
      </c>
      <c r="P3712" s="2" t="s">
        <v>18</v>
      </c>
      <c r="Q3712" s="2" t="s">
        <v>131</v>
      </c>
      <c r="R3712" s="16">
        <f>(Table1[[#This Row],[NET Amount]]-Table1[[#This Row],[Total Outstanding Amount]])/Table1[[#This Row],[NET Amount]]</f>
        <v>1</v>
      </c>
      <c r="S3712" s="2" t="s">
        <v>27</v>
      </c>
    </row>
    <row r="3713" spans="1:19" x14ac:dyDescent="0.3">
      <c r="A3713" s="4">
        <v>3711</v>
      </c>
      <c r="B3713" s="2" t="s">
        <v>75</v>
      </c>
      <c r="C3713" s="3">
        <v>44862</v>
      </c>
      <c r="D3713" s="3" t="str">
        <f>TEXT(Table1[[#This Row],[Admission Date]],"MMMM")</f>
        <v>October</v>
      </c>
      <c r="E3713" s="3">
        <v>44865</v>
      </c>
      <c r="F3713" s="3">
        <v>44865</v>
      </c>
      <c r="G3713" s="2">
        <v>22029290</v>
      </c>
      <c r="H3713" s="2">
        <v>2237737</v>
      </c>
      <c r="I3713" s="2">
        <v>1001224419</v>
      </c>
      <c r="J3713" s="2" t="s">
        <v>2084</v>
      </c>
      <c r="K3713" s="10">
        <v>38545</v>
      </c>
      <c r="L3713" s="10">
        <v>0</v>
      </c>
      <c r="M3713" s="10">
        <v>38545</v>
      </c>
      <c r="N3713" s="10">
        <v>1998</v>
      </c>
      <c r="O3713" s="10">
        <f>Table1[[#This Row],[NET Amount]]-Table1[[#This Row],[Paid Amount]]</f>
        <v>36547</v>
      </c>
      <c r="P3713" s="2" t="s">
        <v>23</v>
      </c>
      <c r="Q3713" s="2" t="s">
        <v>24</v>
      </c>
      <c r="R3713" s="16">
        <f>(Table1[[#This Row],[NET Amount]]-Table1[[#This Row],[Total Outstanding Amount]])/Table1[[#This Row],[NET Amount]]</f>
        <v>5.1835516928265664E-2</v>
      </c>
      <c r="S3713" s="2" t="s">
        <v>39</v>
      </c>
    </row>
    <row r="3714" spans="1:19" x14ac:dyDescent="0.3">
      <c r="A3714" s="4">
        <v>3712</v>
      </c>
      <c r="B3714" s="2" t="s">
        <v>126</v>
      </c>
      <c r="C3714" s="3">
        <v>44833</v>
      </c>
      <c r="D3714" s="3" t="str">
        <f>TEXT(Table1[[#This Row],[Admission Date]],"MMMM")</f>
        <v>September</v>
      </c>
      <c r="E3714" s="3">
        <v>44838</v>
      </c>
      <c r="F3714" s="3">
        <v>44838</v>
      </c>
      <c r="G3714" s="2">
        <v>22025522</v>
      </c>
      <c r="H3714" s="2">
        <v>2233867</v>
      </c>
      <c r="I3714" s="2">
        <v>10013540086</v>
      </c>
      <c r="J3714" s="2" t="s">
        <v>2085</v>
      </c>
      <c r="K3714" s="10">
        <v>144396</v>
      </c>
      <c r="L3714" s="10">
        <v>19565</v>
      </c>
      <c r="M3714" s="10">
        <v>124831</v>
      </c>
      <c r="N3714" s="10">
        <v>5282</v>
      </c>
      <c r="O3714" s="10">
        <f>Table1[[#This Row],[NET Amount]]-Table1[[#This Row],[Paid Amount]]</f>
        <v>119549</v>
      </c>
      <c r="P3714" s="2" t="s">
        <v>23</v>
      </c>
      <c r="Q3714" s="2" t="s">
        <v>24</v>
      </c>
      <c r="R3714" s="16">
        <f>(Table1[[#This Row],[NET Amount]]-Table1[[#This Row],[Total Outstanding Amount]])/Table1[[#This Row],[NET Amount]]</f>
        <v>4.2313207456481164E-2</v>
      </c>
      <c r="S3714" s="2" t="s">
        <v>77</v>
      </c>
    </row>
    <row r="3715" spans="1:19" x14ac:dyDescent="0.3">
      <c r="A3715" s="4">
        <v>3713</v>
      </c>
      <c r="B3715" s="2" t="s">
        <v>149</v>
      </c>
      <c r="C3715" s="3">
        <v>44851</v>
      </c>
      <c r="D3715" s="3" t="str">
        <f>TEXT(Table1[[#This Row],[Admission Date]],"MMMM")</f>
        <v>October</v>
      </c>
      <c r="E3715" s="3">
        <v>44852</v>
      </c>
      <c r="F3715" s="3">
        <v>44852</v>
      </c>
      <c r="G3715" s="2">
        <v>22027565</v>
      </c>
      <c r="H3715" s="2">
        <v>2236269</v>
      </c>
      <c r="I3715" s="2">
        <v>1001460117</v>
      </c>
      <c r="J3715" s="2" t="s">
        <v>1406</v>
      </c>
      <c r="K3715" s="10">
        <v>264234</v>
      </c>
      <c r="L3715" s="10">
        <v>135</v>
      </c>
      <c r="M3715" s="10">
        <v>264099</v>
      </c>
      <c r="N3715" s="10">
        <v>1500</v>
      </c>
      <c r="O3715" s="10">
        <f>Table1[[#This Row],[NET Amount]]-Table1[[#This Row],[Paid Amount]]</f>
        <v>262599</v>
      </c>
      <c r="P3715" s="2" t="s">
        <v>23</v>
      </c>
      <c r="Q3715" s="2" t="s">
        <v>47</v>
      </c>
      <c r="R3715" s="16">
        <f>(Table1[[#This Row],[NET Amount]]-Table1[[#This Row],[Total Outstanding Amount]])/Table1[[#This Row],[NET Amount]]</f>
        <v>5.679688298706167E-3</v>
      </c>
      <c r="S3715" s="2" t="s">
        <v>39</v>
      </c>
    </row>
    <row r="3716" spans="1:19" x14ac:dyDescent="0.3">
      <c r="A3716" s="4">
        <v>3714</v>
      </c>
      <c r="B3716" s="2" t="s">
        <v>126</v>
      </c>
      <c r="C3716" s="3">
        <v>44847</v>
      </c>
      <c r="D3716" s="3" t="str">
        <f>TEXT(Table1[[#This Row],[Admission Date]],"MMMM")</f>
        <v>October</v>
      </c>
      <c r="E3716" s="3">
        <v>44852</v>
      </c>
      <c r="F3716" s="3">
        <v>44852</v>
      </c>
      <c r="G3716" s="2">
        <v>22027553</v>
      </c>
      <c r="H3716" s="2">
        <v>2235872</v>
      </c>
      <c r="I3716" s="2">
        <v>10013542889</v>
      </c>
      <c r="J3716" s="2" t="s">
        <v>2086</v>
      </c>
      <c r="K3716" s="10">
        <v>87797</v>
      </c>
      <c r="L3716" s="10">
        <v>10087</v>
      </c>
      <c r="M3716" s="10">
        <v>77710</v>
      </c>
      <c r="N3716" s="10">
        <v>7331</v>
      </c>
      <c r="O3716" s="10">
        <f>Table1[[#This Row],[NET Amount]]-Table1[[#This Row],[Paid Amount]]</f>
        <v>70379</v>
      </c>
      <c r="P3716" s="2" t="s">
        <v>23</v>
      </c>
      <c r="Q3716" s="2" t="s">
        <v>19</v>
      </c>
      <c r="R3716" s="16">
        <f>(Table1[[#This Row],[NET Amount]]-Table1[[#This Row],[Total Outstanding Amount]])/Table1[[#This Row],[NET Amount]]</f>
        <v>9.4337923047226865E-2</v>
      </c>
      <c r="S3716" s="2" t="s">
        <v>20</v>
      </c>
    </row>
    <row r="3717" spans="1:19" x14ac:dyDescent="0.3">
      <c r="A3717" s="4">
        <v>3715</v>
      </c>
      <c r="B3717" s="2" t="s">
        <v>152</v>
      </c>
      <c r="C3717" s="3">
        <v>44860</v>
      </c>
      <c r="D3717" s="3" t="str">
        <f>TEXT(Table1[[#This Row],[Admission Date]],"MMMM")</f>
        <v>October</v>
      </c>
      <c r="E3717" s="3">
        <v>44864</v>
      </c>
      <c r="F3717" s="3">
        <v>44864</v>
      </c>
      <c r="G3717" s="2">
        <v>22029196</v>
      </c>
      <c r="H3717" s="2">
        <v>2237517</v>
      </c>
      <c r="I3717" s="2">
        <v>1001325365</v>
      </c>
      <c r="J3717" s="2" t="s">
        <v>2087</v>
      </c>
      <c r="K3717" s="10">
        <v>31387</v>
      </c>
      <c r="L3717" s="10">
        <v>0</v>
      </c>
      <c r="M3717" s="10">
        <v>31387</v>
      </c>
      <c r="N3717" s="10">
        <v>1484</v>
      </c>
      <c r="O3717" s="10">
        <f>Table1[[#This Row],[NET Amount]]-Table1[[#This Row],[Paid Amount]]</f>
        <v>29903</v>
      </c>
      <c r="P3717" s="2" t="s">
        <v>23</v>
      </c>
      <c r="Q3717" s="2" t="s">
        <v>30</v>
      </c>
      <c r="R3717" s="16">
        <f>(Table1[[#This Row],[NET Amount]]-Table1[[#This Row],[Total Outstanding Amount]])/Table1[[#This Row],[NET Amount]]</f>
        <v>4.7280721317743017E-2</v>
      </c>
      <c r="S3717" s="2" t="s">
        <v>77</v>
      </c>
    </row>
    <row r="3718" spans="1:19" x14ac:dyDescent="0.3">
      <c r="A3718" s="4">
        <v>3716</v>
      </c>
      <c r="B3718" s="2" t="s">
        <v>75</v>
      </c>
      <c r="C3718" s="3">
        <v>44854</v>
      </c>
      <c r="D3718" s="3" t="str">
        <f>TEXT(Table1[[#This Row],[Admission Date]],"MMMM")</f>
        <v>October</v>
      </c>
      <c r="E3718" s="3">
        <v>44865</v>
      </c>
      <c r="F3718" s="3">
        <v>44865</v>
      </c>
      <c r="G3718" s="2">
        <v>22029342</v>
      </c>
      <c r="H3718" s="2">
        <v>2236833</v>
      </c>
      <c r="I3718" s="2">
        <v>1000941682</v>
      </c>
      <c r="J3718" s="2" t="s">
        <v>2088</v>
      </c>
      <c r="K3718" s="10">
        <v>147110</v>
      </c>
      <c r="L3718" s="10">
        <v>0</v>
      </c>
      <c r="M3718" s="10">
        <v>147110</v>
      </c>
      <c r="N3718" s="10">
        <v>6901</v>
      </c>
      <c r="O3718" s="10">
        <f>Table1[[#This Row],[NET Amount]]-Table1[[#This Row],[Paid Amount]]</f>
        <v>140209</v>
      </c>
      <c r="P3718" s="2" t="s">
        <v>23</v>
      </c>
      <c r="Q3718" s="2" t="s">
        <v>30</v>
      </c>
      <c r="R3718" s="16">
        <f>(Table1[[#This Row],[NET Amount]]-Table1[[#This Row],[Total Outstanding Amount]])/Table1[[#This Row],[NET Amount]]</f>
        <v>4.6910475154646185E-2</v>
      </c>
      <c r="S3718" s="2" t="s">
        <v>20</v>
      </c>
    </row>
    <row r="3719" spans="1:19" x14ac:dyDescent="0.3">
      <c r="A3719" s="4">
        <v>3717</v>
      </c>
      <c r="B3719" s="2" t="s">
        <v>126</v>
      </c>
      <c r="C3719" s="3">
        <v>44857</v>
      </c>
      <c r="D3719" s="3" t="str">
        <f>TEXT(Table1[[#This Row],[Admission Date]],"MMMM")</f>
        <v>October</v>
      </c>
      <c r="E3719" s="3">
        <v>44865</v>
      </c>
      <c r="F3719" s="3">
        <v>44865</v>
      </c>
      <c r="G3719" s="2">
        <v>22029294</v>
      </c>
      <c r="H3719" s="2">
        <v>2237139</v>
      </c>
      <c r="I3719" s="2">
        <v>10013484205</v>
      </c>
      <c r="J3719" s="2" t="s">
        <v>2089</v>
      </c>
      <c r="K3719" s="10">
        <v>218814</v>
      </c>
      <c r="L3719" s="10">
        <v>29866</v>
      </c>
      <c r="M3719" s="10">
        <v>188948</v>
      </c>
      <c r="N3719" s="10">
        <v>10325</v>
      </c>
      <c r="O3719" s="10">
        <f>Table1[[#This Row],[NET Amount]]-Table1[[#This Row],[Paid Amount]]</f>
        <v>178623</v>
      </c>
      <c r="P3719" s="2" t="s">
        <v>23</v>
      </c>
      <c r="Q3719" s="2" t="s">
        <v>30</v>
      </c>
      <c r="R3719" s="16">
        <f>(Table1[[#This Row],[NET Amount]]-Table1[[#This Row],[Total Outstanding Amount]])/Table1[[#This Row],[NET Amount]]</f>
        <v>5.4644664140398418E-2</v>
      </c>
      <c r="S3719" s="2" t="s">
        <v>20</v>
      </c>
    </row>
    <row r="3720" spans="1:19" x14ac:dyDescent="0.3">
      <c r="A3720" s="4">
        <v>3718</v>
      </c>
      <c r="B3720" s="2" t="s">
        <v>2250</v>
      </c>
      <c r="C3720" s="3">
        <v>44841</v>
      </c>
      <c r="D3720" s="3" t="str">
        <f>TEXT(Table1[[#This Row],[Admission Date]],"MMMM")</f>
        <v>October</v>
      </c>
      <c r="E3720" s="3">
        <v>44848</v>
      </c>
      <c r="F3720" s="3">
        <v>44848</v>
      </c>
      <c r="G3720" s="2">
        <v>22027048</v>
      </c>
      <c r="H3720" s="2">
        <v>2235019</v>
      </c>
      <c r="I3720" s="2">
        <v>1001688119</v>
      </c>
      <c r="J3720" s="2" t="s">
        <v>2090</v>
      </c>
      <c r="K3720" s="10">
        <v>156448</v>
      </c>
      <c r="L3720" s="10">
        <v>18129</v>
      </c>
      <c r="M3720" s="10">
        <v>138319</v>
      </c>
      <c r="N3720" s="10">
        <v>11375</v>
      </c>
      <c r="O3720" s="10">
        <f>Table1[[#This Row],[NET Amount]]-Table1[[#This Row],[Paid Amount]]</f>
        <v>126944</v>
      </c>
      <c r="P3720" s="2" t="s">
        <v>23</v>
      </c>
      <c r="Q3720" s="2" t="s">
        <v>24</v>
      </c>
      <c r="R3720" s="16">
        <f>(Table1[[#This Row],[NET Amount]]-Table1[[#This Row],[Total Outstanding Amount]])/Table1[[#This Row],[NET Amount]]</f>
        <v>8.2237436650062543E-2</v>
      </c>
      <c r="S3720" s="2" t="s">
        <v>20</v>
      </c>
    </row>
    <row r="3721" spans="1:19" x14ac:dyDescent="0.3">
      <c r="A3721" s="4">
        <v>3719</v>
      </c>
      <c r="B3721" s="2" t="s">
        <v>40</v>
      </c>
      <c r="C3721" s="3">
        <v>44849</v>
      </c>
      <c r="D3721" s="3" t="str">
        <f>TEXT(Table1[[#This Row],[Admission Date]],"MMMM")</f>
        <v>October</v>
      </c>
      <c r="E3721" s="3">
        <v>44852</v>
      </c>
      <c r="F3721" s="3">
        <v>44852</v>
      </c>
      <c r="G3721" s="2">
        <v>22027549</v>
      </c>
      <c r="H3721" s="2">
        <v>2236066</v>
      </c>
      <c r="I3721" s="2">
        <v>10013465050</v>
      </c>
      <c r="J3721" s="2" t="s">
        <v>2091</v>
      </c>
      <c r="K3721" s="10">
        <v>109273</v>
      </c>
      <c r="L3721" s="10">
        <v>13940</v>
      </c>
      <c r="M3721" s="10">
        <v>95333</v>
      </c>
      <c r="N3721" s="10">
        <v>2272</v>
      </c>
      <c r="O3721" s="10">
        <f>Table1[[#This Row],[NET Amount]]-Table1[[#This Row],[Paid Amount]]</f>
        <v>93061</v>
      </c>
      <c r="P3721" s="2" t="s">
        <v>23</v>
      </c>
      <c r="Q3721" s="2" t="s">
        <v>30</v>
      </c>
      <c r="R3721" s="16">
        <f>(Table1[[#This Row],[NET Amount]]-Table1[[#This Row],[Total Outstanding Amount]])/Table1[[#This Row],[NET Amount]]</f>
        <v>2.383225116171735E-2</v>
      </c>
      <c r="S3721" s="2" t="s">
        <v>20</v>
      </c>
    </row>
    <row r="3722" spans="1:19" x14ac:dyDescent="0.3">
      <c r="A3722" s="4">
        <v>3720</v>
      </c>
      <c r="B3722" s="2" t="s">
        <v>898</v>
      </c>
      <c r="C3722" s="3">
        <v>44849</v>
      </c>
      <c r="D3722" s="3" t="str">
        <f>TEXT(Table1[[#This Row],[Admission Date]],"MMMM")</f>
        <v>October</v>
      </c>
      <c r="E3722" s="3">
        <v>44852</v>
      </c>
      <c r="F3722" s="3">
        <v>44852</v>
      </c>
      <c r="G3722" s="2">
        <v>22027578</v>
      </c>
      <c r="H3722" s="2">
        <v>2236064</v>
      </c>
      <c r="I3722" s="2">
        <v>10013543082</v>
      </c>
      <c r="J3722" s="2" t="s">
        <v>2092</v>
      </c>
      <c r="K3722" s="10">
        <v>180951</v>
      </c>
      <c r="L3722" s="10">
        <v>6190</v>
      </c>
      <c r="M3722" s="10">
        <v>174761</v>
      </c>
      <c r="N3722" s="10">
        <v>24761</v>
      </c>
      <c r="O3722" s="10">
        <f>Table1[[#This Row],[NET Amount]]-Table1[[#This Row],[Paid Amount]]</f>
        <v>150000</v>
      </c>
      <c r="P3722" s="2" t="s">
        <v>23</v>
      </c>
      <c r="Q3722" s="2" t="s">
        <v>24</v>
      </c>
      <c r="R3722" s="16">
        <f>(Table1[[#This Row],[NET Amount]]-Table1[[#This Row],[Total Outstanding Amount]])/Table1[[#This Row],[NET Amount]]</f>
        <v>0.14168492970399574</v>
      </c>
      <c r="S3722" s="2" t="s">
        <v>201</v>
      </c>
    </row>
    <row r="3723" spans="1:19" x14ac:dyDescent="0.3">
      <c r="A3723" s="4">
        <v>3721</v>
      </c>
      <c r="B3723" s="2" t="s">
        <v>50</v>
      </c>
      <c r="C3723" s="3">
        <v>44842</v>
      </c>
      <c r="D3723" s="3" t="str">
        <f>TEXT(Table1[[#This Row],[Admission Date]],"MMMM")</f>
        <v>October</v>
      </c>
      <c r="E3723" s="3">
        <v>44842</v>
      </c>
      <c r="F3723" s="3">
        <v>44842</v>
      </c>
      <c r="G3723" s="2">
        <v>22026184</v>
      </c>
      <c r="H3723" s="2">
        <v>2235170</v>
      </c>
      <c r="I3723" s="2">
        <v>1001564406</v>
      </c>
      <c r="J3723" s="2" t="s">
        <v>183</v>
      </c>
      <c r="K3723" s="10">
        <v>2200</v>
      </c>
      <c r="L3723" s="10">
        <v>0</v>
      </c>
      <c r="M3723" s="10">
        <v>2200</v>
      </c>
      <c r="N3723" s="10">
        <v>330</v>
      </c>
      <c r="O3723" s="10">
        <f>Table1[[#This Row],[NET Amount]]-Table1[[#This Row],[Paid Amount]]</f>
        <v>1870</v>
      </c>
      <c r="P3723" s="2" t="s">
        <v>23</v>
      </c>
      <c r="Q3723" s="2" t="s">
        <v>147</v>
      </c>
      <c r="R3723" s="16">
        <f>(Table1[[#This Row],[NET Amount]]-Table1[[#This Row],[Total Outstanding Amount]])/Table1[[#This Row],[NET Amount]]</f>
        <v>0.15</v>
      </c>
      <c r="S3723" s="2" t="s">
        <v>97</v>
      </c>
    </row>
    <row r="3724" spans="1:19" x14ac:dyDescent="0.3">
      <c r="A3724" s="4">
        <v>3722</v>
      </c>
      <c r="B3724" s="2" t="s">
        <v>45</v>
      </c>
      <c r="C3724" s="3">
        <v>44842</v>
      </c>
      <c r="D3724" s="3" t="str">
        <f>TEXT(Table1[[#This Row],[Admission Date]],"MMMM")</f>
        <v>October</v>
      </c>
      <c r="E3724" s="3">
        <v>44844</v>
      </c>
      <c r="F3724" s="3">
        <v>44844</v>
      </c>
      <c r="G3724" s="2">
        <v>22026331</v>
      </c>
      <c r="H3724" s="2">
        <v>2235230</v>
      </c>
      <c r="I3724" s="2">
        <v>1001259715</v>
      </c>
      <c r="J3724" s="2" t="s">
        <v>2093</v>
      </c>
      <c r="K3724" s="10">
        <v>31031</v>
      </c>
      <c r="L3724" s="10">
        <v>4280</v>
      </c>
      <c r="M3724" s="10">
        <v>26751</v>
      </c>
      <c r="N3724" s="10">
        <v>2259</v>
      </c>
      <c r="O3724" s="10">
        <f>Table1[[#This Row],[NET Amount]]-Table1[[#This Row],[Paid Amount]]</f>
        <v>24492</v>
      </c>
      <c r="P3724" s="2" t="s">
        <v>23</v>
      </c>
      <c r="Q3724" s="2" t="s">
        <v>42</v>
      </c>
      <c r="R3724" s="16">
        <f>(Table1[[#This Row],[NET Amount]]-Table1[[#This Row],[Total Outstanding Amount]])/Table1[[#This Row],[NET Amount]]</f>
        <v>8.4445441291914322E-2</v>
      </c>
      <c r="S3724" s="2" t="s">
        <v>20</v>
      </c>
    </row>
    <row r="3725" spans="1:19" x14ac:dyDescent="0.3">
      <c r="A3725" s="4">
        <v>3723</v>
      </c>
      <c r="B3725" s="2" t="s">
        <v>2094</v>
      </c>
      <c r="C3725" s="3">
        <v>44861</v>
      </c>
      <c r="D3725" s="3" t="str">
        <f>TEXT(Table1[[#This Row],[Admission Date]],"MMMM")</f>
        <v>October</v>
      </c>
      <c r="E3725" s="3">
        <v>44864</v>
      </c>
      <c r="F3725" s="3">
        <v>44864</v>
      </c>
      <c r="G3725" s="2">
        <v>22029238</v>
      </c>
      <c r="H3725" s="2">
        <v>2237592</v>
      </c>
      <c r="I3725" s="2">
        <v>1001806460</v>
      </c>
      <c r="J3725" s="2" t="s">
        <v>2095</v>
      </c>
      <c r="K3725" s="10">
        <v>25641</v>
      </c>
      <c r="L3725" s="10">
        <v>0</v>
      </c>
      <c r="M3725" s="10">
        <v>25641</v>
      </c>
      <c r="N3725" s="10">
        <v>1723</v>
      </c>
      <c r="O3725" s="10">
        <f>Table1[[#This Row],[NET Amount]]-Table1[[#This Row],[Paid Amount]]</f>
        <v>23918</v>
      </c>
      <c r="P3725" s="2" t="s">
        <v>23</v>
      </c>
      <c r="Q3725" s="2" t="s">
        <v>30</v>
      </c>
      <c r="R3725" s="16">
        <f>(Table1[[#This Row],[NET Amount]]-Table1[[#This Row],[Total Outstanding Amount]])/Table1[[#This Row],[NET Amount]]</f>
        <v>6.7197067197067195E-2</v>
      </c>
      <c r="S3725" s="2" t="s">
        <v>37</v>
      </c>
    </row>
    <row r="3726" spans="1:19" x14ac:dyDescent="0.3">
      <c r="A3726" s="4">
        <v>3724</v>
      </c>
      <c r="B3726" s="2" t="s">
        <v>152</v>
      </c>
      <c r="C3726" s="3">
        <v>44837</v>
      </c>
      <c r="D3726" s="3" t="str">
        <f>TEXT(Table1[[#This Row],[Admission Date]],"MMMM")</f>
        <v>October</v>
      </c>
      <c r="E3726" s="3">
        <v>44839</v>
      </c>
      <c r="F3726" s="3">
        <v>44839</v>
      </c>
      <c r="G3726" s="2">
        <v>22025721</v>
      </c>
      <c r="H3726" s="2">
        <v>2234488</v>
      </c>
      <c r="I3726" s="2">
        <v>10013507935</v>
      </c>
      <c r="J3726" s="2" t="s">
        <v>2096</v>
      </c>
      <c r="K3726" s="10">
        <v>10391</v>
      </c>
      <c r="L3726" s="10">
        <v>0</v>
      </c>
      <c r="M3726" s="10">
        <v>10391</v>
      </c>
      <c r="N3726" s="10">
        <v>10391</v>
      </c>
      <c r="O3726" s="10">
        <f>Table1[[#This Row],[NET Amount]]-Table1[[#This Row],[Paid Amount]]</f>
        <v>0</v>
      </c>
      <c r="P3726" s="2" t="s">
        <v>18</v>
      </c>
      <c r="Q3726" s="2" t="s">
        <v>24</v>
      </c>
      <c r="R3726" s="16">
        <f>(Table1[[#This Row],[NET Amount]]-Table1[[#This Row],[Total Outstanding Amount]])/Table1[[#This Row],[NET Amount]]</f>
        <v>1</v>
      </c>
      <c r="S3726" s="2" t="s">
        <v>27</v>
      </c>
    </row>
    <row r="3727" spans="1:19" x14ac:dyDescent="0.3">
      <c r="A3727" s="4">
        <v>3725</v>
      </c>
      <c r="B3727" s="2" t="s">
        <v>25</v>
      </c>
      <c r="C3727" s="3">
        <v>44837</v>
      </c>
      <c r="D3727" s="3" t="str">
        <f>TEXT(Table1[[#This Row],[Admission Date]],"MMMM")</f>
        <v>October</v>
      </c>
      <c r="E3727" s="3">
        <v>44855</v>
      </c>
      <c r="F3727" s="3">
        <v>44855</v>
      </c>
      <c r="G3727" s="2">
        <v>22028077</v>
      </c>
      <c r="H3727" s="2">
        <v>2234490</v>
      </c>
      <c r="I3727" s="2">
        <v>10013541434</v>
      </c>
      <c r="J3727" s="2" t="s">
        <v>2097</v>
      </c>
      <c r="K3727" s="10">
        <v>622518</v>
      </c>
      <c r="L3727" s="10">
        <v>109488</v>
      </c>
      <c r="M3727" s="10">
        <v>513030</v>
      </c>
      <c r="N3727" s="10">
        <v>513030</v>
      </c>
      <c r="O3727" s="10">
        <f>Table1[[#This Row],[NET Amount]]-Table1[[#This Row],[Paid Amount]]</f>
        <v>0</v>
      </c>
      <c r="P3727" s="2" t="s">
        <v>18</v>
      </c>
      <c r="Q3727" s="2" t="s">
        <v>24</v>
      </c>
      <c r="R3727" s="16">
        <f>(Table1[[#This Row],[NET Amount]]-Table1[[#This Row],[Total Outstanding Amount]])/Table1[[#This Row],[NET Amount]]</f>
        <v>1</v>
      </c>
      <c r="S3727" s="2" t="s">
        <v>20</v>
      </c>
    </row>
    <row r="3728" spans="1:19" x14ac:dyDescent="0.3">
      <c r="A3728" s="4">
        <v>3726</v>
      </c>
      <c r="B3728" s="2" t="s">
        <v>149</v>
      </c>
      <c r="C3728" s="3">
        <v>44839</v>
      </c>
      <c r="D3728" s="3" t="str">
        <f>TEXT(Table1[[#This Row],[Admission Date]],"MMMM")</f>
        <v>October</v>
      </c>
      <c r="E3728" s="3">
        <v>44844</v>
      </c>
      <c r="F3728" s="3">
        <v>44844</v>
      </c>
      <c r="G3728" s="2">
        <v>22026389</v>
      </c>
      <c r="H3728" s="2">
        <v>2234797</v>
      </c>
      <c r="I3728" s="2">
        <v>10013541672</v>
      </c>
      <c r="J3728" s="2" t="s">
        <v>2098</v>
      </c>
      <c r="K3728" s="10">
        <v>69853</v>
      </c>
      <c r="L3728" s="10">
        <v>5991</v>
      </c>
      <c r="M3728" s="10">
        <v>63862</v>
      </c>
      <c r="N3728" s="10">
        <v>2400</v>
      </c>
      <c r="O3728" s="10">
        <f>Table1[[#This Row],[NET Amount]]-Table1[[#This Row],[Paid Amount]]</f>
        <v>61462</v>
      </c>
      <c r="P3728" s="2" t="s">
        <v>23</v>
      </c>
      <c r="Q3728" s="2" t="s">
        <v>30</v>
      </c>
      <c r="R3728" s="16">
        <f>(Table1[[#This Row],[NET Amount]]-Table1[[#This Row],[Total Outstanding Amount]])/Table1[[#This Row],[NET Amount]]</f>
        <v>3.7581034104788448E-2</v>
      </c>
      <c r="S3728" s="2" t="s">
        <v>20</v>
      </c>
    </row>
    <row r="3729" spans="1:19" x14ac:dyDescent="0.3">
      <c r="A3729" s="4">
        <v>3727</v>
      </c>
      <c r="B3729" s="2" t="s">
        <v>152</v>
      </c>
      <c r="C3729" s="3">
        <v>44858</v>
      </c>
      <c r="D3729" s="3" t="str">
        <f>TEXT(Table1[[#This Row],[Admission Date]],"MMMM")</f>
        <v>October</v>
      </c>
      <c r="E3729" s="3">
        <v>44865</v>
      </c>
      <c r="F3729" s="3">
        <v>44865</v>
      </c>
      <c r="G3729" s="2">
        <v>22029357</v>
      </c>
      <c r="H3729" s="2">
        <v>2237220</v>
      </c>
      <c r="I3729" s="2">
        <v>1001328899</v>
      </c>
      <c r="J3729" s="2" t="s">
        <v>2099</v>
      </c>
      <c r="K3729" s="10">
        <v>121614</v>
      </c>
      <c r="L3729" s="10">
        <v>0</v>
      </c>
      <c r="M3729" s="10">
        <v>121614</v>
      </c>
      <c r="N3729" s="10">
        <v>3617</v>
      </c>
      <c r="O3729" s="10">
        <f>Table1[[#This Row],[NET Amount]]-Table1[[#This Row],[Paid Amount]]</f>
        <v>117997</v>
      </c>
      <c r="P3729" s="2" t="s">
        <v>23</v>
      </c>
      <c r="Q3729" s="2" t="s">
        <v>30</v>
      </c>
      <c r="R3729" s="16">
        <f>(Table1[[#This Row],[NET Amount]]-Table1[[#This Row],[Total Outstanding Amount]])/Table1[[#This Row],[NET Amount]]</f>
        <v>2.974164158731725E-2</v>
      </c>
      <c r="S3729" s="2" t="s">
        <v>20</v>
      </c>
    </row>
    <row r="3730" spans="1:19" x14ac:dyDescent="0.3">
      <c r="A3730" s="4">
        <v>3728</v>
      </c>
      <c r="B3730" s="2" t="s">
        <v>25</v>
      </c>
      <c r="C3730" s="3">
        <v>44865</v>
      </c>
      <c r="D3730" s="3" t="str">
        <f>TEXT(Table1[[#This Row],[Admission Date]],"MMMM")</f>
        <v>October</v>
      </c>
      <c r="E3730" s="3">
        <v>44865</v>
      </c>
      <c r="F3730" s="3">
        <v>44865</v>
      </c>
      <c r="G3730" s="2">
        <v>22029402</v>
      </c>
      <c r="H3730" s="2">
        <v>2238274</v>
      </c>
      <c r="I3730" s="2">
        <v>1001491648</v>
      </c>
      <c r="J3730" s="2" t="s">
        <v>124</v>
      </c>
      <c r="K3730" s="10">
        <v>2794</v>
      </c>
      <c r="L3730" s="10">
        <v>2794</v>
      </c>
      <c r="M3730" s="10">
        <v>0</v>
      </c>
      <c r="N3730" s="10">
        <v>0</v>
      </c>
      <c r="O3730" s="10">
        <f>Table1[[#This Row],[NET Amount]]-Table1[[#This Row],[Paid Amount]]</f>
        <v>0</v>
      </c>
      <c r="P3730" s="2" t="s">
        <v>18</v>
      </c>
      <c r="Q3730" s="2" t="s">
        <v>90</v>
      </c>
      <c r="R3730" s="16" t="e">
        <f>(Table1[[#This Row],[NET Amount]]-Table1[[#This Row],[Total Outstanding Amount]])/Table1[[#This Row],[NET Amount]]</f>
        <v>#DIV/0!</v>
      </c>
      <c r="S3730" s="2" t="s">
        <v>97</v>
      </c>
    </row>
    <row r="3731" spans="1:19" x14ac:dyDescent="0.3">
      <c r="A3731" s="4">
        <v>3729</v>
      </c>
      <c r="B3731" s="2" t="s">
        <v>25</v>
      </c>
      <c r="C3731" s="3">
        <v>44842</v>
      </c>
      <c r="D3731" s="3" t="str">
        <f>TEXT(Table1[[#This Row],[Admission Date]],"MMMM")</f>
        <v>October</v>
      </c>
      <c r="E3731" s="3">
        <v>44850</v>
      </c>
      <c r="F3731" s="3">
        <v>44850</v>
      </c>
      <c r="G3731" s="2">
        <v>22027308</v>
      </c>
      <c r="H3731" s="2">
        <v>2235153</v>
      </c>
      <c r="I3731" s="2">
        <v>1001394601</v>
      </c>
      <c r="J3731" s="2" t="s">
        <v>2100</v>
      </c>
      <c r="K3731" s="10">
        <v>324400</v>
      </c>
      <c r="L3731" s="10">
        <v>35259</v>
      </c>
      <c r="M3731" s="10">
        <v>289141</v>
      </c>
      <c r="N3731" s="10">
        <v>199500</v>
      </c>
      <c r="O3731" s="10">
        <f>Table1[[#This Row],[NET Amount]]-Table1[[#This Row],[Paid Amount]]</f>
        <v>89641</v>
      </c>
      <c r="P3731" s="2" t="s">
        <v>23</v>
      </c>
      <c r="Q3731" s="2" t="s">
        <v>104</v>
      </c>
      <c r="R3731" s="16">
        <f>(Table1[[#This Row],[NET Amount]]-Table1[[#This Row],[Total Outstanding Amount]])/Table1[[#This Row],[NET Amount]]</f>
        <v>0.68997478738746842</v>
      </c>
      <c r="S3731" s="2" t="s">
        <v>27</v>
      </c>
    </row>
    <row r="3732" spans="1:19" x14ac:dyDescent="0.3">
      <c r="A3732" s="4">
        <v>3730</v>
      </c>
      <c r="B3732" s="2" t="s">
        <v>25</v>
      </c>
      <c r="C3732" s="3">
        <v>44839</v>
      </c>
      <c r="D3732" s="3" t="str">
        <f>TEXT(Table1[[#This Row],[Admission Date]],"MMMM")</f>
        <v>October</v>
      </c>
      <c r="E3732" s="3">
        <v>44844</v>
      </c>
      <c r="F3732" s="3">
        <v>44844</v>
      </c>
      <c r="G3732" s="2">
        <v>22026436</v>
      </c>
      <c r="H3732" s="2">
        <v>2234780</v>
      </c>
      <c r="I3732" s="2">
        <v>10013541655</v>
      </c>
      <c r="J3732" s="2" t="s">
        <v>2101</v>
      </c>
      <c r="K3732" s="10">
        <v>62181</v>
      </c>
      <c r="L3732" s="10">
        <v>62181</v>
      </c>
      <c r="M3732" s="10">
        <v>0</v>
      </c>
      <c r="N3732" s="10">
        <v>0</v>
      </c>
      <c r="O3732" s="10">
        <f>Table1[[#This Row],[NET Amount]]-Table1[[#This Row],[Paid Amount]]</f>
        <v>0</v>
      </c>
      <c r="P3732" s="2" t="s">
        <v>18</v>
      </c>
      <c r="Q3732" s="2" t="s">
        <v>90</v>
      </c>
      <c r="R3732" s="16" t="e">
        <f>(Table1[[#This Row],[NET Amount]]-Table1[[#This Row],[Total Outstanding Amount]])/Table1[[#This Row],[NET Amount]]</f>
        <v>#DIV/0!</v>
      </c>
      <c r="S3732" s="2" t="s">
        <v>20</v>
      </c>
    </row>
    <row r="3733" spans="1:19" x14ac:dyDescent="0.3">
      <c r="A3733" s="4">
        <v>3731</v>
      </c>
      <c r="B3733" s="2" t="s">
        <v>126</v>
      </c>
      <c r="C3733" s="3">
        <v>44846</v>
      </c>
      <c r="D3733" s="3" t="str">
        <f>TEXT(Table1[[#This Row],[Admission Date]],"MMMM")</f>
        <v>October</v>
      </c>
      <c r="E3733" s="3">
        <v>44849</v>
      </c>
      <c r="F3733" s="3">
        <v>44849</v>
      </c>
      <c r="G3733" s="2">
        <v>22027225</v>
      </c>
      <c r="H3733" s="2">
        <v>2235705</v>
      </c>
      <c r="I3733" s="2">
        <v>1001159136</v>
      </c>
      <c r="J3733" s="2" t="s">
        <v>2102</v>
      </c>
      <c r="K3733" s="10">
        <v>119700</v>
      </c>
      <c r="L3733" s="10">
        <v>16963</v>
      </c>
      <c r="M3733" s="10">
        <v>102737</v>
      </c>
      <c r="N3733" s="10">
        <v>102737</v>
      </c>
      <c r="O3733" s="10">
        <f>Table1[[#This Row],[NET Amount]]-Table1[[#This Row],[Paid Amount]]</f>
        <v>0</v>
      </c>
      <c r="P3733" s="2" t="s">
        <v>18</v>
      </c>
      <c r="Q3733" s="2" t="s">
        <v>24</v>
      </c>
      <c r="R3733" s="16">
        <f>(Table1[[#This Row],[NET Amount]]-Table1[[#This Row],[Total Outstanding Amount]])/Table1[[#This Row],[NET Amount]]</f>
        <v>1</v>
      </c>
      <c r="S3733" s="2" t="s">
        <v>65</v>
      </c>
    </row>
    <row r="3734" spans="1:19" x14ac:dyDescent="0.3">
      <c r="A3734" s="4">
        <v>3732</v>
      </c>
      <c r="B3734" s="2" t="s">
        <v>35</v>
      </c>
      <c r="C3734" s="3">
        <v>44835</v>
      </c>
      <c r="D3734" s="3" t="str">
        <f>TEXT(Table1[[#This Row],[Admission Date]],"MMMM")</f>
        <v>October</v>
      </c>
      <c r="E3734" s="3">
        <v>44842</v>
      </c>
      <c r="F3734" s="3">
        <v>44842</v>
      </c>
      <c r="G3734" s="2">
        <v>22026129</v>
      </c>
      <c r="H3734" s="2">
        <v>2234291</v>
      </c>
      <c r="I3734" s="2">
        <v>1001801962</v>
      </c>
      <c r="J3734" s="2" t="s">
        <v>2103</v>
      </c>
      <c r="K3734" s="10">
        <v>74365</v>
      </c>
      <c r="L3734" s="10">
        <v>0</v>
      </c>
      <c r="M3734" s="10">
        <v>74365</v>
      </c>
      <c r="N3734" s="10">
        <v>74365</v>
      </c>
      <c r="O3734" s="10">
        <f>Table1[[#This Row],[NET Amount]]-Table1[[#This Row],[Paid Amount]]</f>
        <v>0</v>
      </c>
      <c r="P3734" s="2" t="s">
        <v>18</v>
      </c>
      <c r="Q3734" s="2" t="s">
        <v>24</v>
      </c>
      <c r="R3734" s="16">
        <f>(Table1[[#This Row],[NET Amount]]-Table1[[#This Row],[Total Outstanding Amount]])/Table1[[#This Row],[NET Amount]]</f>
        <v>1</v>
      </c>
      <c r="S3734" s="2" t="s">
        <v>20</v>
      </c>
    </row>
    <row r="3735" spans="1:19" x14ac:dyDescent="0.3">
      <c r="A3735" s="4">
        <v>3733</v>
      </c>
      <c r="B3735" s="2" t="s">
        <v>28</v>
      </c>
      <c r="C3735" s="3">
        <v>44840</v>
      </c>
      <c r="D3735" s="3" t="str">
        <f>TEXT(Table1[[#This Row],[Admission Date]],"MMMM")</f>
        <v>October</v>
      </c>
      <c r="E3735" s="3">
        <v>44844</v>
      </c>
      <c r="F3735" s="3">
        <v>44844</v>
      </c>
      <c r="G3735" s="2">
        <v>22026381</v>
      </c>
      <c r="H3735" s="2">
        <v>2234879</v>
      </c>
      <c r="I3735" s="2">
        <v>10013505542</v>
      </c>
      <c r="J3735" s="2" t="s">
        <v>2104</v>
      </c>
      <c r="K3735" s="10">
        <v>115497</v>
      </c>
      <c r="L3735" s="10">
        <v>10190</v>
      </c>
      <c r="M3735" s="10">
        <v>105308</v>
      </c>
      <c r="N3735" s="10">
        <v>3076</v>
      </c>
      <c r="O3735" s="10">
        <f>Table1[[#This Row],[NET Amount]]-Table1[[#This Row],[Paid Amount]]</f>
        <v>102232</v>
      </c>
      <c r="P3735" s="2" t="s">
        <v>23</v>
      </c>
      <c r="Q3735" s="2" t="s">
        <v>30</v>
      </c>
      <c r="R3735" s="16">
        <f>(Table1[[#This Row],[NET Amount]]-Table1[[#This Row],[Total Outstanding Amount]])/Table1[[#This Row],[NET Amount]]</f>
        <v>2.9209556728833515E-2</v>
      </c>
      <c r="S3735" s="2" t="s">
        <v>27</v>
      </c>
    </row>
    <row r="3736" spans="1:19" x14ac:dyDescent="0.3">
      <c r="A3736" s="4">
        <v>3734</v>
      </c>
      <c r="B3736" s="2" t="s">
        <v>93</v>
      </c>
      <c r="C3736" s="3">
        <v>44861</v>
      </c>
      <c r="D3736" s="3" t="str">
        <f>TEXT(Table1[[#This Row],[Admission Date]],"MMMM")</f>
        <v>October</v>
      </c>
      <c r="E3736" s="3">
        <v>44865</v>
      </c>
      <c r="F3736" s="3">
        <v>44865</v>
      </c>
      <c r="G3736" s="2">
        <v>22029308</v>
      </c>
      <c r="H3736" s="2">
        <v>2237707</v>
      </c>
      <c r="I3736" s="2">
        <v>1001806644</v>
      </c>
      <c r="J3736" s="2" t="s">
        <v>2105</v>
      </c>
      <c r="K3736" s="10">
        <v>91015</v>
      </c>
      <c r="L3736" s="10">
        <v>9000</v>
      </c>
      <c r="M3736" s="10">
        <v>82015</v>
      </c>
      <c r="N3736" s="10">
        <v>4808</v>
      </c>
      <c r="O3736" s="10">
        <f>Table1[[#This Row],[NET Amount]]-Table1[[#This Row],[Paid Amount]]</f>
        <v>77207</v>
      </c>
      <c r="P3736" s="2" t="s">
        <v>23</v>
      </c>
      <c r="Q3736" s="2" t="s">
        <v>30</v>
      </c>
      <c r="R3736" s="16">
        <f>(Table1[[#This Row],[NET Amount]]-Table1[[#This Row],[Total Outstanding Amount]])/Table1[[#This Row],[NET Amount]]</f>
        <v>5.8623422544656467E-2</v>
      </c>
      <c r="S3736" s="2" t="s">
        <v>37</v>
      </c>
    </row>
    <row r="3737" spans="1:19" x14ac:dyDescent="0.3">
      <c r="A3737" s="4">
        <v>3735</v>
      </c>
      <c r="B3737" s="2" t="s">
        <v>149</v>
      </c>
      <c r="C3737" s="3">
        <v>44837</v>
      </c>
      <c r="D3737" s="3" t="str">
        <f>TEXT(Table1[[#This Row],[Admission Date]],"MMMM")</f>
        <v>October</v>
      </c>
      <c r="E3737" s="3">
        <v>44845</v>
      </c>
      <c r="F3737" s="3">
        <v>44845</v>
      </c>
      <c r="G3737" s="2">
        <v>22026606</v>
      </c>
      <c r="H3737" s="2">
        <v>2234436</v>
      </c>
      <c r="I3737" s="2">
        <v>10013541401</v>
      </c>
      <c r="J3737" s="2" t="s">
        <v>2106</v>
      </c>
      <c r="K3737" s="10">
        <v>158173</v>
      </c>
      <c r="L3737" s="10">
        <v>0</v>
      </c>
      <c r="M3737" s="10">
        <v>158173</v>
      </c>
      <c r="N3737" s="10">
        <v>11648</v>
      </c>
      <c r="O3737" s="10">
        <f>Table1[[#This Row],[NET Amount]]-Table1[[#This Row],[Paid Amount]]</f>
        <v>146525</v>
      </c>
      <c r="P3737" s="2" t="s">
        <v>23</v>
      </c>
      <c r="Q3737" s="2" t="s">
        <v>24</v>
      </c>
      <c r="R3737" s="16">
        <f>(Table1[[#This Row],[NET Amount]]-Table1[[#This Row],[Total Outstanding Amount]])/Table1[[#This Row],[NET Amount]]</f>
        <v>7.3640886877027051E-2</v>
      </c>
      <c r="S3737" s="2" t="s">
        <v>32</v>
      </c>
    </row>
    <row r="3738" spans="1:19" x14ac:dyDescent="0.3">
      <c r="A3738" s="4">
        <v>3736</v>
      </c>
      <c r="B3738" s="2" t="s">
        <v>141</v>
      </c>
      <c r="C3738" s="3">
        <v>44847</v>
      </c>
      <c r="D3738" s="3" t="str">
        <f>TEXT(Table1[[#This Row],[Admission Date]],"MMMM")</f>
        <v>October</v>
      </c>
      <c r="E3738" s="3">
        <v>44853</v>
      </c>
      <c r="F3738" s="3">
        <v>44853</v>
      </c>
      <c r="G3738" s="2">
        <v>22027682</v>
      </c>
      <c r="H3738" s="2">
        <v>2235877</v>
      </c>
      <c r="I3738" s="2">
        <v>1001272862</v>
      </c>
      <c r="J3738" s="2" t="s">
        <v>2107</v>
      </c>
      <c r="K3738" s="10">
        <v>82112</v>
      </c>
      <c r="L3738" s="10">
        <v>9232</v>
      </c>
      <c r="M3738" s="10">
        <v>72880</v>
      </c>
      <c r="N3738" s="10">
        <v>26509</v>
      </c>
      <c r="O3738" s="10">
        <f>Table1[[#This Row],[NET Amount]]-Table1[[#This Row],[Paid Amount]]</f>
        <v>46371</v>
      </c>
      <c r="P3738" s="2" t="s">
        <v>23</v>
      </c>
      <c r="Q3738" s="2" t="s">
        <v>42</v>
      </c>
      <c r="R3738" s="16">
        <f>(Table1[[#This Row],[NET Amount]]-Table1[[#This Row],[Total Outstanding Amount]])/Table1[[#This Row],[NET Amount]]</f>
        <v>0.36373490669593855</v>
      </c>
      <c r="S3738" s="2" t="s">
        <v>20</v>
      </c>
    </row>
    <row r="3739" spans="1:19" x14ac:dyDescent="0.3">
      <c r="A3739" s="4">
        <v>3737</v>
      </c>
      <c r="B3739" s="2" t="s">
        <v>25</v>
      </c>
      <c r="C3739" s="3">
        <v>44838</v>
      </c>
      <c r="D3739" s="3" t="str">
        <f>TEXT(Table1[[#This Row],[Admission Date]],"MMMM")</f>
        <v>October</v>
      </c>
      <c r="E3739" s="3">
        <v>44846</v>
      </c>
      <c r="F3739" s="3">
        <v>44846</v>
      </c>
      <c r="G3739" s="2">
        <v>22026719</v>
      </c>
      <c r="H3739" s="2">
        <v>2234649</v>
      </c>
      <c r="I3739" s="2">
        <v>10013541596</v>
      </c>
      <c r="J3739" s="2" t="s">
        <v>1854</v>
      </c>
      <c r="K3739" s="10">
        <v>260850</v>
      </c>
      <c r="L3739" s="10">
        <v>17298</v>
      </c>
      <c r="M3739" s="10">
        <v>243552</v>
      </c>
      <c r="N3739" s="10">
        <v>243552</v>
      </c>
      <c r="O3739" s="10">
        <f>Table1[[#This Row],[NET Amount]]-Table1[[#This Row],[Paid Amount]]</f>
        <v>0</v>
      </c>
      <c r="P3739" s="2" t="s">
        <v>18</v>
      </c>
      <c r="Q3739" s="2" t="s">
        <v>24</v>
      </c>
      <c r="R3739" s="16">
        <f>(Table1[[#This Row],[NET Amount]]-Table1[[#This Row],[Total Outstanding Amount]])/Table1[[#This Row],[NET Amount]]</f>
        <v>1</v>
      </c>
      <c r="S3739" s="2" t="s">
        <v>70</v>
      </c>
    </row>
    <row r="3740" spans="1:19" x14ac:dyDescent="0.3">
      <c r="A3740" s="4">
        <v>3738</v>
      </c>
      <c r="B3740" s="2" t="s">
        <v>25</v>
      </c>
      <c r="C3740" s="3">
        <v>44847</v>
      </c>
      <c r="D3740" s="3" t="str">
        <f>TEXT(Table1[[#This Row],[Admission Date]],"MMMM")</f>
        <v>October</v>
      </c>
      <c r="E3740" s="3">
        <v>44847</v>
      </c>
      <c r="F3740" s="3">
        <v>44847</v>
      </c>
      <c r="G3740" s="2">
        <v>22026839</v>
      </c>
      <c r="H3740" s="2">
        <v>2235805</v>
      </c>
      <c r="I3740" s="2">
        <v>10013424453</v>
      </c>
      <c r="J3740" s="2" t="s">
        <v>333</v>
      </c>
      <c r="K3740" s="10">
        <v>3666</v>
      </c>
      <c r="L3740" s="10">
        <v>291</v>
      </c>
      <c r="M3740" s="10">
        <v>3375</v>
      </c>
      <c r="N3740" s="10">
        <v>3375</v>
      </c>
      <c r="O3740" s="10">
        <f>Table1[[#This Row],[NET Amount]]-Table1[[#This Row],[Paid Amount]]</f>
        <v>0</v>
      </c>
      <c r="P3740" s="2" t="s">
        <v>18</v>
      </c>
      <c r="Q3740" s="2" t="s">
        <v>54</v>
      </c>
      <c r="R3740" s="16">
        <f>(Table1[[#This Row],[NET Amount]]-Table1[[#This Row],[Total Outstanding Amount]])/Table1[[#This Row],[NET Amount]]</f>
        <v>1</v>
      </c>
      <c r="S3740" s="2" t="s">
        <v>97</v>
      </c>
    </row>
    <row r="3741" spans="1:19" x14ac:dyDescent="0.3">
      <c r="A3741" s="4">
        <v>3739</v>
      </c>
      <c r="B3741" s="2" t="s">
        <v>25</v>
      </c>
      <c r="C3741" s="3">
        <v>44848</v>
      </c>
      <c r="D3741" s="3" t="str">
        <f>TEXT(Table1[[#This Row],[Admission Date]],"MMMM")</f>
        <v>October</v>
      </c>
      <c r="E3741" s="3">
        <v>44850</v>
      </c>
      <c r="F3741" s="3">
        <v>44850</v>
      </c>
      <c r="G3741" s="2">
        <v>22027324</v>
      </c>
      <c r="H3741" s="2">
        <v>2235949</v>
      </c>
      <c r="I3741" s="2">
        <v>10013542746</v>
      </c>
      <c r="J3741" s="2" t="s">
        <v>1278</v>
      </c>
      <c r="K3741" s="10">
        <v>85102</v>
      </c>
      <c r="L3741" s="10">
        <v>10541</v>
      </c>
      <c r="M3741" s="10">
        <v>74561</v>
      </c>
      <c r="N3741" s="10">
        <v>74561</v>
      </c>
      <c r="O3741" s="10">
        <f>Table1[[#This Row],[NET Amount]]-Table1[[#This Row],[Paid Amount]]</f>
        <v>0</v>
      </c>
      <c r="P3741" s="2" t="s">
        <v>18</v>
      </c>
      <c r="Q3741" s="2" t="s">
        <v>19</v>
      </c>
      <c r="R3741" s="16">
        <f>(Table1[[#This Row],[NET Amount]]-Table1[[#This Row],[Total Outstanding Amount]])/Table1[[#This Row],[NET Amount]]</f>
        <v>1</v>
      </c>
      <c r="S3741" s="2" t="s">
        <v>27</v>
      </c>
    </row>
    <row r="3742" spans="1:19" x14ac:dyDescent="0.3">
      <c r="A3742" s="4">
        <v>3740</v>
      </c>
      <c r="B3742" s="2" t="s">
        <v>2244</v>
      </c>
      <c r="C3742" s="3">
        <v>44848</v>
      </c>
      <c r="D3742" s="3" t="str">
        <f>TEXT(Table1[[#This Row],[Admission Date]],"MMMM")</f>
        <v>October</v>
      </c>
      <c r="E3742" s="3">
        <v>44848</v>
      </c>
      <c r="F3742" s="3">
        <v>44848</v>
      </c>
      <c r="G3742" s="2">
        <v>22027089</v>
      </c>
      <c r="H3742" s="2">
        <v>2235997</v>
      </c>
      <c r="I3742" s="2">
        <v>1001758739</v>
      </c>
      <c r="J3742" s="2" t="s">
        <v>233</v>
      </c>
      <c r="K3742" s="10">
        <v>2560</v>
      </c>
      <c r="L3742" s="10">
        <v>0</v>
      </c>
      <c r="M3742" s="10">
        <v>2560</v>
      </c>
      <c r="N3742" s="10">
        <v>2560</v>
      </c>
      <c r="O3742" s="10">
        <f>Table1[[#This Row],[NET Amount]]-Table1[[#This Row],[Paid Amount]]</f>
        <v>0</v>
      </c>
      <c r="P3742" s="2" t="s">
        <v>18</v>
      </c>
      <c r="Q3742" s="2" t="s">
        <v>54</v>
      </c>
      <c r="R3742" s="16">
        <f>(Table1[[#This Row],[NET Amount]]-Table1[[#This Row],[Total Outstanding Amount]])/Table1[[#This Row],[NET Amount]]</f>
        <v>1</v>
      </c>
      <c r="S3742" s="2" t="s">
        <v>97</v>
      </c>
    </row>
    <row r="3743" spans="1:19" x14ac:dyDescent="0.3">
      <c r="A3743" s="4">
        <v>3741</v>
      </c>
      <c r="B3743" s="2" t="s">
        <v>584</v>
      </c>
      <c r="C3743" s="3">
        <v>44848</v>
      </c>
      <c r="D3743" s="3" t="str">
        <f>TEXT(Table1[[#This Row],[Admission Date]],"MMMM")</f>
        <v>October</v>
      </c>
      <c r="E3743" s="3">
        <v>44848</v>
      </c>
      <c r="F3743" s="3">
        <v>44848</v>
      </c>
      <c r="G3743" s="2">
        <v>22027034</v>
      </c>
      <c r="H3743" s="2">
        <v>2235954</v>
      </c>
      <c r="I3743" s="2">
        <v>10013376566</v>
      </c>
      <c r="J3743" s="2" t="s">
        <v>585</v>
      </c>
      <c r="K3743" s="10">
        <v>2200</v>
      </c>
      <c r="L3743" s="10">
        <v>0</v>
      </c>
      <c r="M3743" s="10">
        <v>2200</v>
      </c>
      <c r="N3743" s="10">
        <v>440</v>
      </c>
      <c r="O3743" s="10">
        <f>Table1[[#This Row],[NET Amount]]-Table1[[#This Row],[Paid Amount]]</f>
        <v>1760</v>
      </c>
      <c r="P3743" s="2" t="s">
        <v>23</v>
      </c>
      <c r="Q3743" s="2" t="s">
        <v>147</v>
      </c>
      <c r="R3743" s="16">
        <f>(Table1[[#This Row],[NET Amount]]-Table1[[#This Row],[Total Outstanding Amount]])/Table1[[#This Row],[NET Amount]]</f>
        <v>0.2</v>
      </c>
      <c r="S3743" s="2" t="s">
        <v>97</v>
      </c>
    </row>
    <row r="3744" spans="1:19" x14ac:dyDescent="0.3">
      <c r="A3744" s="4">
        <v>3742</v>
      </c>
      <c r="B3744" s="2" t="s">
        <v>25</v>
      </c>
      <c r="C3744" s="3">
        <v>44851</v>
      </c>
      <c r="D3744" s="3" t="str">
        <f>TEXT(Table1[[#This Row],[Admission Date]],"MMMM")</f>
        <v>October</v>
      </c>
      <c r="E3744" s="3">
        <v>44855</v>
      </c>
      <c r="F3744" s="3">
        <v>44855</v>
      </c>
      <c r="G3744" s="2">
        <v>22028019</v>
      </c>
      <c r="H3744" s="2">
        <v>2236359</v>
      </c>
      <c r="I3744" s="2">
        <v>10013543429</v>
      </c>
      <c r="J3744" s="2" t="s">
        <v>2108</v>
      </c>
      <c r="K3744" s="10">
        <v>82229</v>
      </c>
      <c r="L3744" s="10">
        <v>82229</v>
      </c>
      <c r="M3744" s="10">
        <v>0</v>
      </c>
      <c r="N3744" s="10">
        <v>0</v>
      </c>
      <c r="O3744" s="10">
        <f>Table1[[#This Row],[NET Amount]]-Table1[[#This Row],[Paid Amount]]</f>
        <v>0</v>
      </c>
      <c r="P3744" s="2" t="s">
        <v>18</v>
      </c>
      <c r="Q3744" s="2" t="s">
        <v>90</v>
      </c>
      <c r="R3744" s="16" t="e">
        <f>(Table1[[#This Row],[NET Amount]]-Table1[[#This Row],[Total Outstanding Amount]])/Table1[[#This Row],[NET Amount]]</f>
        <v>#DIV/0!</v>
      </c>
      <c r="S3744" s="2" t="s">
        <v>20</v>
      </c>
    </row>
    <row r="3745" spans="1:19" x14ac:dyDescent="0.3">
      <c r="A3745" s="4">
        <v>3743</v>
      </c>
      <c r="B3745" s="2" t="s">
        <v>126</v>
      </c>
      <c r="C3745" s="3">
        <v>44839</v>
      </c>
      <c r="D3745" s="3" t="str">
        <f>TEXT(Table1[[#This Row],[Admission Date]],"MMMM")</f>
        <v>October</v>
      </c>
      <c r="E3745" s="3">
        <v>44841</v>
      </c>
      <c r="F3745" s="3">
        <v>44841</v>
      </c>
      <c r="G3745" s="2">
        <v>22025991</v>
      </c>
      <c r="H3745" s="2">
        <v>2234731</v>
      </c>
      <c r="I3745" s="2">
        <v>10013537958</v>
      </c>
      <c r="J3745" s="2" t="s">
        <v>2109</v>
      </c>
      <c r="K3745" s="10">
        <v>52500</v>
      </c>
      <c r="L3745" s="10">
        <v>0</v>
      </c>
      <c r="M3745" s="10">
        <v>52500</v>
      </c>
      <c r="N3745" s="10">
        <v>1500</v>
      </c>
      <c r="O3745" s="10">
        <f>Table1[[#This Row],[NET Amount]]-Table1[[#This Row],[Paid Amount]]</f>
        <v>51000</v>
      </c>
      <c r="P3745" s="2" t="s">
        <v>23</v>
      </c>
      <c r="Q3745" s="2" t="s">
        <v>24</v>
      </c>
      <c r="R3745" s="16">
        <f>(Table1[[#This Row],[NET Amount]]-Table1[[#This Row],[Total Outstanding Amount]])/Table1[[#This Row],[NET Amount]]</f>
        <v>2.8571428571428571E-2</v>
      </c>
      <c r="S3745" s="2" t="s">
        <v>138</v>
      </c>
    </row>
    <row r="3746" spans="1:19" x14ac:dyDescent="0.3">
      <c r="A3746" s="4">
        <v>3744</v>
      </c>
      <c r="B3746" s="2" t="s">
        <v>45</v>
      </c>
      <c r="C3746" s="3">
        <v>44830</v>
      </c>
      <c r="D3746" s="3" t="str">
        <f>TEXT(Table1[[#This Row],[Admission Date]],"MMMM")</f>
        <v>September</v>
      </c>
      <c r="E3746" s="3">
        <v>44848</v>
      </c>
      <c r="F3746" s="3">
        <v>44848</v>
      </c>
      <c r="G3746" s="2">
        <v>22027074</v>
      </c>
      <c r="H3746" s="2">
        <v>2233547</v>
      </c>
      <c r="I3746" s="2">
        <v>1001250654</v>
      </c>
      <c r="J3746" s="2" t="s">
        <v>2110</v>
      </c>
      <c r="K3746" s="10">
        <v>594762</v>
      </c>
      <c r="L3746" s="10">
        <v>76389</v>
      </c>
      <c r="M3746" s="10">
        <v>518373</v>
      </c>
      <c r="N3746" s="10">
        <v>78498</v>
      </c>
      <c r="O3746" s="10">
        <f>Table1[[#This Row],[NET Amount]]-Table1[[#This Row],[Paid Amount]]</f>
        <v>439875</v>
      </c>
      <c r="P3746" s="2" t="s">
        <v>23</v>
      </c>
      <c r="Q3746" s="2" t="s">
        <v>42</v>
      </c>
      <c r="R3746" s="16">
        <f>(Table1[[#This Row],[NET Amount]]-Table1[[#This Row],[Total Outstanding Amount]])/Table1[[#This Row],[NET Amount]]</f>
        <v>0.15143149816830737</v>
      </c>
      <c r="S3746" s="2" t="s">
        <v>20</v>
      </c>
    </row>
    <row r="3747" spans="1:19" x14ac:dyDescent="0.3">
      <c r="A3747" s="4">
        <v>3745</v>
      </c>
      <c r="B3747" s="2" t="s">
        <v>25</v>
      </c>
      <c r="C3747" s="3">
        <v>44826</v>
      </c>
      <c r="D3747" s="3" t="str">
        <f>TEXT(Table1[[#This Row],[Admission Date]],"MMMM")</f>
        <v>September</v>
      </c>
      <c r="E3747" s="3">
        <v>44835</v>
      </c>
      <c r="F3747" s="3">
        <v>44835</v>
      </c>
      <c r="G3747" s="2">
        <v>22025136</v>
      </c>
      <c r="H3747" s="2">
        <v>2233027</v>
      </c>
      <c r="I3747" s="2">
        <v>10013539909</v>
      </c>
      <c r="J3747" s="2" t="s">
        <v>2111</v>
      </c>
      <c r="K3747" s="10">
        <v>185232</v>
      </c>
      <c r="L3747" s="10">
        <v>19014</v>
      </c>
      <c r="M3747" s="10">
        <v>166218</v>
      </c>
      <c r="N3747" s="10">
        <v>166218</v>
      </c>
      <c r="O3747" s="10">
        <f>Table1[[#This Row],[NET Amount]]-Table1[[#This Row],[Paid Amount]]</f>
        <v>0</v>
      </c>
      <c r="P3747" s="2" t="s">
        <v>18</v>
      </c>
      <c r="Q3747" s="2" t="s">
        <v>30</v>
      </c>
      <c r="R3747" s="16">
        <f>(Table1[[#This Row],[NET Amount]]-Table1[[#This Row],[Total Outstanding Amount]])/Table1[[#This Row],[NET Amount]]</f>
        <v>1</v>
      </c>
      <c r="S3747" s="2" t="s">
        <v>37</v>
      </c>
    </row>
    <row r="3748" spans="1:19" x14ac:dyDescent="0.3">
      <c r="A3748" s="4">
        <v>3746</v>
      </c>
      <c r="B3748" s="2" t="s">
        <v>25</v>
      </c>
      <c r="C3748" s="3">
        <v>44855</v>
      </c>
      <c r="D3748" s="3" t="str">
        <f>TEXT(Table1[[#This Row],[Admission Date]],"MMMM")</f>
        <v>October</v>
      </c>
      <c r="E3748" s="3">
        <v>44858</v>
      </c>
      <c r="F3748" s="3">
        <v>44858</v>
      </c>
      <c r="G3748" s="2">
        <v>22028453</v>
      </c>
      <c r="H3748" s="2">
        <v>2236858</v>
      </c>
      <c r="I3748" s="2">
        <v>1001805553</v>
      </c>
      <c r="J3748" s="2" t="s">
        <v>1977</v>
      </c>
      <c r="K3748" s="10">
        <v>55034</v>
      </c>
      <c r="L3748" s="10">
        <v>12500</v>
      </c>
      <c r="M3748" s="10">
        <v>42535</v>
      </c>
      <c r="N3748" s="10">
        <v>42535</v>
      </c>
      <c r="O3748" s="10">
        <f>Table1[[#This Row],[NET Amount]]-Table1[[#This Row],[Paid Amount]]</f>
        <v>0</v>
      </c>
      <c r="P3748" s="2" t="s">
        <v>18</v>
      </c>
      <c r="Q3748" s="2" t="s">
        <v>24</v>
      </c>
      <c r="R3748" s="16">
        <f>(Table1[[#This Row],[NET Amount]]-Table1[[#This Row],[Total Outstanding Amount]])/Table1[[#This Row],[NET Amount]]</f>
        <v>1</v>
      </c>
      <c r="S3748" s="2" t="s">
        <v>20</v>
      </c>
    </row>
    <row r="3749" spans="1:19" x14ac:dyDescent="0.3">
      <c r="A3749" s="4">
        <v>3747</v>
      </c>
      <c r="B3749" s="2" t="s">
        <v>50</v>
      </c>
      <c r="C3749" s="3">
        <v>44831</v>
      </c>
      <c r="D3749" s="3" t="str">
        <f>TEXT(Table1[[#This Row],[Admission Date]],"MMMM")</f>
        <v>September</v>
      </c>
      <c r="E3749" s="3">
        <v>44838</v>
      </c>
      <c r="F3749" s="3">
        <v>44838</v>
      </c>
      <c r="G3749" s="2">
        <v>22025590</v>
      </c>
      <c r="H3749" s="2">
        <v>2233641</v>
      </c>
      <c r="I3749" s="2">
        <v>10013540525</v>
      </c>
      <c r="J3749" s="2" t="s">
        <v>1382</v>
      </c>
      <c r="K3749" s="10">
        <v>314183</v>
      </c>
      <c r="L3749" s="10">
        <v>43417</v>
      </c>
      <c r="M3749" s="10">
        <v>270766</v>
      </c>
      <c r="N3749" s="10">
        <v>4091</v>
      </c>
      <c r="O3749" s="10">
        <f>Table1[[#This Row],[NET Amount]]-Table1[[#This Row],[Paid Amount]]</f>
        <v>266675</v>
      </c>
      <c r="P3749" s="2" t="s">
        <v>23</v>
      </c>
      <c r="Q3749" s="2" t="s">
        <v>30</v>
      </c>
      <c r="R3749" s="16">
        <f>(Table1[[#This Row],[NET Amount]]-Table1[[#This Row],[Total Outstanding Amount]])/Table1[[#This Row],[NET Amount]]</f>
        <v>1.5108987095868758E-2</v>
      </c>
      <c r="S3749" s="2" t="s">
        <v>2112</v>
      </c>
    </row>
    <row r="3750" spans="1:19" x14ac:dyDescent="0.3">
      <c r="A3750" s="4">
        <v>3748</v>
      </c>
      <c r="B3750" s="2" t="s">
        <v>25</v>
      </c>
      <c r="C3750" s="3">
        <v>44833</v>
      </c>
      <c r="D3750" s="3" t="str">
        <f>TEXT(Table1[[#This Row],[Admission Date]],"MMMM")</f>
        <v>September</v>
      </c>
      <c r="E3750" s="3">
        <v>44841</v>
      </c>
      <c r="F3750" s="3">
        <v>44841</v>
      </c>
      <c r="G3750" s="2">
        <v>22025949</v>
      </c>
      <c r="H3750" s="2">
        <v>2233869</v>
      </c>
      <c r="I3750" s="2">
        <v>1001146792</v>
      </c>
      <c r="J3750" s="2" t="s">
        <v>2113</v>
      </c>
      <c r="K3750" s="10">
        <v>295174</v>
      </c>
      <c r="L3750" s="10">
        <v>53009</v>
      </c>
      <c r="M3750" s="10">
        <v>242165</v>
      </c>
      <c r="N3750" s="10">
        <v>242165</v>
      </c>
      <c r="O3750" s="10">
        <f>Table1[[#This Row],[NET Amount]]-Table1[[#This Row],[Paid Amount]]</f>
        <v>0</v>
      </c>
      <c r="P3750" s="2" t="s">
        <v>18</v>
      </c>
      <c r="Q3750" s="2" t="s">
        <v>30</v>
      </c>
      <c r="R3750" s="16">
        <f>(Table1[[#This Row],[NET Amount]]-Table1[[#This Row],[Total Outstanding Amount]])/Table1[[#This Row],[NET Amount]]</f>
        <v>1</v>
      </c>
      <c r="S3750" s="2" t="s">
        <v>20</v>
      </c>
    </row>
    <row r="3751" spans="1:19" x14ac:dyDescent="0.3">
      <c r="A3751" s="4">
        <v>3749</v>
      </c>
      <c r="B3751" s="2" t="s">
        <v>50</v>
      </c>
      <c r="C3751" s="3">
        <v>44859</v>
      </c>
      <c r="D3751" s="3" t="str">
        <f>TEXT(Table1[[#This Row],[Admission Date]],"MMMM")</f>
        <v>October</v>
      </c>
      <c r="E3751" s="3">
        <v>44863</v>
      </c>
      <c r="F3751" s="3">
        <v>44863</v>
      </c>
      <c r="G3751" s="2">
        <v>22029091</v>
      </c>
      <c r="H3751" s="2">
        <v>2237286</v>
      </c>
      <c r="I3751" s="2">
        <v>10013544247</v>
      </c>
      <c r="J3751" s="2" t="s">
        <v>2114</v>
      </c>
      <c r="K3751" s="10">
        <v>129414</v>
      </c>
      <c r="L3751" s="10">
        <v>13142</v>
      </c>
      <c r="M3751" s="10">
        <v>116272</v>
      </c>
      <c r="N3751" s="10">
        <v>13492</v>
      </c>
      <c r="O3751" s="10">
        <f>Table1[[#This Row],[NET Amount]]-Table1[[#This Row],[Paid Amount]]</f>
        <v>102780</v>
      </c>
      <c r="P3751" s="2" t="s">
        <v>23</v>
      </c>
      <c r="Q3751" s="2" t="s">
        <v>42</v>
      </c>
      <c r="R3751" s="16">
        <f>(Table1[[#This Row],[NET Amount]]-Table1[[#This Row],[Total Outstanding Amount]])/Table1[[#This Row],[NET Amount]]</f>
        <v>0.11603825512591165</v>
      </c>
      <c r="S3751" s="2" t="s">
        <v>20</v>
      </c>
    </row>
    <row r="3752" spans="1:19" x14ac:dyDescent="0.3">
      <c r="A3752" s="4">
        <v>3750</v>
      </c>
      <c r="B3752" s="2" t="s">
        <v>149</v>
      </c>
      <c r="C3752" s="3">
        <v>44859</v>
      </c>
      <c r="D3752" s="3" t="str">
        <f>TEXT(Table1[[#This Row],[Admission Date]],"MMMM")</f>
        <v>October</v>
      </c>
      <c r="E3752" s="3">
        <v>44863</v>
      </c>
      <c r="F3752" s="3">
        <v>44863</v>
      </c>
      <c r="G3752" s="2">
        <v>22029097</v>
      </c>
      <c r="H3752" s="2">
        <v>2237409</v>
      </c>
      <c r="I3752" s="2">
        <v>1001198350</v>
      </c>
      <c r="J3752" s="2" t="s">
        <v>2115</v>
      </c>
      <c r="K3752" s="10">
        <v>110973</v>
      </c>
      <c r="L3752" s="10">
        <v>0</v>
      </c>
      <c r="M3752" s="10">
        <v>110973</v>
      </c>
      <c r="N3752" s="10">
        <v>5641</v>
      </c>
      <c r="O3752" s="10">
        <f>Table1[[#This Row],[NET Amount]]-Table1[[#This Row],[Paid Amount]]</f>
        <v>105332</v>
      </c>
      <c r="P3752" s="2" t="s">
        <v>23</v>
      </c>
      <c r="Q3752" s="2" t="s">
        <v>24</v>
      </c>
      <c r="R3752" s="16">
        <f>(Table1[[#This Row],[NET Amount]]-Table1[[#This Row],[Total Outstanding Amount]])/Table1[[#This Row],[NET Amount]]</f>
        <v>5.0832184405215683E-2</v>
      </c>
      <c r="S3752" s="2" t="s">
        <v>95</v>
      </c>
    </row>
    <row r="3753" spans="1:19" x14ac:dyDescent="0.3">
      <c r="A3753" s="4">
        <v>3751</v>
      </c>
      <c r="B3753" s="2" t="s">
        <v>149</v>
      </c>
      <c r="C3753" s="3">
        <v>44847</v>
      </c>
      <c r="D3753" s="3" t="str">
        <f>TEXT(Table1[[#This Row],[Admission Date]],"MMMM")</f>
        <v>October</v>
      </c>
      <c r="E3753" s="3">
        <v>44848</v>
      </c>
      <c r="F3753" s="3">
        <v>44848</v>
      </c>
      <c r="G3753" s="2">
        <v>22027000</v>
      </c>
      <c r="H3753" s="2">
        <v>2235820</v>
      </c>
      <c r="I3753" s="2">
        <v>10013542788</v>
      </c>
      <c r="J3753" s="2" t="s">
        <v>2116</v>
      </c>
      <c r="K3753" s="10">
        <v>207810</v>
      </c>
      <c r="L3753" s="10">
        <v>0</v>
      </c>
      <c r="M3753" s="10">
        <v>207810</v>
      </c>
      <c r="N3753" s="10">
        <v>0</v>
      </c>
      <c r="O3753" s="10">
        <f>Table1[[#This Row],[NET Amount]]-Table1[[#This Row],[Paid Amount]]</f>
        <v>207810</v>
      </c>
      <c r="P3753" s="2" t="s">
        <v>23</v>
      </c>
      <c r="Q3753" s="2" t="s">
        <v>47</v>
      </c>
      <c r="R3753" s="16">
        <f>(Table1[[#This Row],[NET Amount]]-Table1[[#This Row],[Total Outstanding Amount]])/Table1[[#This Row],[NET Amount]]</f>
        <v>0</v>
      </c>
      <c r="S3753" s="2" t="s">
        <v>39</v>
      </c>
    </row>
    <row r="3754" spans="1:19" x14ac:dyDescent="0.3">
      <c r="A3754" s="4">
        <v>3752</v>
      </c>
      <c r="B3754" s="2" t="s">
        <v>2256</v>
      </c>
      <c r="C3754" s="3">
        <v>44846</v>
      </c>
      <c r="D3754" s="3" t="str">
        <f>TEXT(Table1[[#This Row],[Admission Date]],"MMMM")</f>
        <v>October</v>
      </c>
      <c r="E3754" s="3">
        <v>44847</v>
      </c>
      <c r="F3754" s="3">
        <v>44847</v>
      </c>
      <c r="G3754" s="2">
        <v>22026919</v>
      </c>
      <c r="H3754" s="2">
        <v>2235718</v>
      </c>
      <c r="I3754" s="2">
        <v>1001798133</v>
      </c>
      <c r="J3754" s="2" t="s">
        <v>2117</v>
      </c>
      <c r="K3754" s="10">
        <v>24400</v>
      </c>
      <c r="L3754" s="10">
        <v>0</v>
      </c>
      <c r="M3754" s="10">
        <v>24400</v>
      </c>
      <c r="N3754" s="10">
        <v>1900</v>
      </c>
      <c r="O3754" s="10">
        <f>Table1[[#This Row],[NET Amount]]-Table1[[#This Row],[Paid Amount]]</f>
        <v>22500</v>
      </c>
      <c r="P3754" s="2" t="s">
        <v>23</v>
      </c>
      <c r="Q3754" s="2" t="s">
        <v>42</v>
      </c>
      <c r="R3754" s="16">
        <f>(Table1[[#This Row],[NET Amount]]-Table1[[#This Row],[Total Outstanding Amount]])/Table1[[#This Row],[NET Amount]]</f>
        <v>7.7868852459016397E-2</v>
      </c>
      <c r="S3754" s="2" t="s">
        <v>27</v>
      </c>
    </row>
    <row r="3755" spans="1:19" x14ac:dyDescent="0.3">
      <c r="A3755" s="4">
        <v>3753</v>
      </c>
      <c r="B3755" s="2" t="s">
        <v>75</v>
      </c>
      <c r="C3755" s="3">
        <v>44846</v>
      </c>
      <c r="D3755" s="3" t="str">
        <f>TEXT(Table1[[#This Row],[Admission Date]],"MMMM")</f>
        <v>October</v>
      </c>
      <c r="E3755" s="3">
        <v>44849</v>
      </c>
      <c r="F3755" s="3">
        <v>44849</v>
      </c>
      <c r="G3755" s="2">
        <v>22027196</v>
      </c>
      <c r="H3755" s="2">
        <v>2235688</v>
      </c>
      <c r="I3755" s="2">
        <v>10013542601</v>
      </c>
      <c r="J3755" s="2" t="s">
        <v>46</v>
      </c>
      <c r="K3755" s="10">
        <v>37580</v>
      </c>
      <c r="L3755" s="10">
        <v>0</v>
      </c>
      <c r="M3755" s="10">
        <v>37580</v>
      </c>
      <c r="N3755" s="10">
        <v>1144</v>
      </c>
      <c r="O3755" s="10">
        <f>Table1[[#This Row],[NET Amount]]-Table1[[#This Row],[Paid Amount]]</f>
        <v>36436</v>
      </c>
      <c r="P3755" s="2" t="s">
        <v>23</v>
      </c>
      <c r="Q3755" s="2" t="s">
        <v>30</v>
      </c>
      <c r="R3755" s="16">
        <f>(Table1[[#This Row],[NET Amount]]-Table1[[#This Row],[Total Outstanding Amount]])/Table1[[#This Row],[NET Amount]]</f>
        <v>3.044172432144758E-2</v>
      </c>
      <c r="S3755" s="2" t="s">
        <v>20</v>
      </c>
    </row>
    <row r="3756" spans="1:19" x14ac:dyDescent="0.3">
      <c r="A3756" s="4">
        <v>3754</v>
      </c>
      <c r="B3756" s="2" t="s">
        <v>50</v>
      </c>
      <c r="C3756" s="3">
        <v>44837</v>
      </c>
      <c r="D3756" s="3" t="str">
        <f>TEXT(Table1[[#This Row],[Admission Date]],"MMMM")</f>
        <v>October</v>
      </c>
      <c r="E3756" s="3">
        <v>44839</v>
      </c>
      <c r="F3756" s="3">
        <v>44839</v>
      </c>
      <c r="G3756" s="2">
        <v>22025665</v>
      </c>
      <c r="H3756" s="2">
        <v>2234413</v>
      </c>
      <c r="I3756" s="2">
        <v>1001802210</v>
      </c>
      <c r="J3756" s="2" t="s">
        <v>2118</v>
      </c>
      <c r="K3756" s="10">
        <v>6109</v>
      </c>
      <c r="L3756" s="10">
        <v>0</v>
      </c>
      <c r="M3756" s="10">
        <v>6109</v>
      </c>
      <c r="N3756" s="10">
        <v>6109</v>
      </c>
      <c r="O3756" s="10">
        <f>Table1[[#This Row],[NET Amount]]-Table1[[#This Row],[Paid Amount]]</f>
        <v>0</v>
      </c>
      <c r="P3756" s="2" t="s">
        <v>18</v>
      </c>
      <c r="Q3756" s="2" t="s">
        <v>42</v>
      </c>
      <c r="R3756" s="16">
        <f>(Table1[[#This Row],[NET Amount]]-Table1[[#This Row],[Total Outstanding Amount]])/Table1[[#This Row],[NET Amount]]</f>
        <v>1</v>
      </c>
      <c r="S3756" s="2" t="s">
        <v>37</v>
      </c>
    </row>
    <row r="3757" spans="1:19" x14ac:dyDescent="0.3">
      <c r="A3757" s="4">
        <v>3755</v>
      </c>
      <c r="B3757" s="2" t="s">
        <v>35</v>
      </c>
      <c r="C3757" s="3">
        <v>44852</v>
      </c>
      <c r="D3757" s="3" t="str">
        <f>TEXT(Table1[[#This Row],[Admission Date]],"MMMM")</f>
        <v>October</v>
      </c>
      <c r="E3757" s="3">
        <v>44852</v>
      </c>
      <c r="F3757" s="3">
        <v>44852</v>
      </c>
      <c r="G3757" s="2">
        <v>22027575</v>
      </c>
      <c r="H3757" s="2">
        <v>2236469</v>
      </c>
      <c r="I3757" s="2">
        <v>10013487696</v>
      </c>
      <c r="J3757" s="2" t="s">
        <v>359</v>
      </c>
      <c r="K3757" s="10">
        <v>1610</v>
      </c>
      <c r="L3757" s="10">
        <v>0</v>
      </c>
      <c r="M3757" s="10">
        <v>1610</v>
      </c>
      <c r="N3757" s="10">
        <v>1610</v>
      </c>
      <c r="O3757" s="10">
        <f>Table1[[#This Row],[NET Amount]]-Table1[[#This Row],[Paid Amount]]</f>
        <v>0</v>
      </c>
      <c r="P3757" s="2" t="s">
        <v>18</v>
      </c>
      <c r="Q3757" s="2" t="s">
        <v>54</v>
      </c>
      <c r="R3757" s="16">
        <f>(Table1[[#This Row],[NET Amount]]-Table1[[#This Row],[Total Outstanding Amount]])/Table1[[#This Row],[NET Amount]]</f>
        <v>1</v>
      </c>
      <c r="S3757" s="2" t="s">
        <v>97</v>
      </c>
    </row>
    <row r="3758" spans="1:19" x14ac:dyDescent="0.3">
      <c r="A3758" s="4">
        <v>3756</v>
      </c>
      <c r="B3758" s="2" t="s">
        <v>25</v>
      </c>
      <c r="C3758" s="3">
        <v>44852</v>
      </c>
      <c r="D3758" s="3" t="str">
        <f>TEXT(Table1[[#This Row],[Admission Date]],"MMMM")</f>
        <v>October</v>
      </c>
      <c r="E3758" s="3">
        <v>44852</v>
      </c>
      <c r="F3758" s="3">
        <v>44852</v>
      </c>
      <c r="G3758" s="2">
        <v>22027604</v>
      </c>
      <c r="H3758" s="2">
        <v>2236485</v>
      </c>
      <c r="I3758" s="2">
        <v>10013339576</v>
      </c>
      <c r="J3758" s="2" t="s">
        <v>242</v>
      </c>
      <c r="K3758" s="10">
        <v>2794</v>
      </c>
      <c r="L3758" s="10">
        <v>2794</v>
      </c>
      <c r="M3758" s="10">
        <v>0</v>
      </c>
      <c r="N3758" s="10">
        <v>0</v>
      </c>
      <c r="O3758" s="10">
        <f>Table1[[#This Row],[NET Amount]]-Table1[[#This Row],[Paid Amount]]</f>
        <v>0</v>
      </c>
      <c r="P3758" s="2" t="s">
        <v>18</v>
      </c>
      <c r="Q3758" s="2" t="s">
        <v>90</v>
      </c>
      <c r="R3758" s="16" t="e">
        <f>(Table1[[#This Row],[NET Amount]]-Table1[[#This Row],[Total Outstanding Amount]])/Table1[[#This Row],[NET Amount]]</f>
        <v>#DIV/0!</v>
      </c>
      <c r="S3758" s="2" t="s">
        <v>97</v>
      </c>
    </row>
    <row r="3759" spans="1:19" x14ac:dyDescent="0.3">
      <c r="A3759" s="4">
        <v>3757</v>
      </c>
      <c r="B3759" s="2" t="s">
        <v>25</v>
      </c>
      <c r="C3759" s="3">
        <v>44837</v>
      </c>
      <c r="D3759" s="3" t="str">
        <f>TEXT(Table1[[#This Row],[Admission Date]],"MMMM")</f>
        <v>October</v>
      </c>
      <c r="E3759" s="3">
        <v>44839</v>
      </c>
      <c r="F3759" s="3">
        <v>44839</v>
      </c>
      <c r="G3759" s="2">
        <v>22025735</v>
      </c>
      <c r="H3759" s="2">
        <v>2234346</v>
      </c>
      <c r="I3759" s="2">
        <v>1001802068</v>
      </c>
      <c r="J3759" s="2" t="s">
        <v>2119</v>
      </c>
      <c r="K3759" s="10">
        <v>18657</v>
      </c>
      <c r="L3759" s="10">
        <v>2353</v>
      </c>
      <c r="M3759" s="10">
        <v>16305</v>
      </c>
      <c r="N3759" s="10">
        <v>16305</v>
      </c>
      <c r="O3759" s="10">
        <f>Table1[[#This Row],[NET Amount]]-Table1[[#This Row],[Paid Amount]]</f>
        <v>0</v>
      </c>
      <c r="P3759" s="2" t="s">
        <v>18</v>
      </c>
      <c r="Q3759" s="2" t="s">
        <v>30</v>
      </c>
      <c r="R3759" s="16">
        <f>(Table1[[#This Row],[NET Amount]]-Table1[[#This Row],[Total Outstanding Amount]])/Table1[[#This Row],[NET Amount]]</f>
        <v>1</v>
      </c>
      <c r="S3759" s="2" t="s">
        <v>37</v>
      </c>
    </row>
    <row r="3760" spans="1:19" x14ac:dyDescent="0.3">
      <c r="A3760" s="4">
        <v>3758</v>
      </c>
      <c r="B3760" s="2" t="s">
        <v>25</v>
      </c>
      <c r="C3760" s="3">
        <v>44842</v>
      </c>
      <c r="D3760" s="3" t="str">
        <f>TEXT(Table1[[#This Row],[Admission Date]],"MMMM")</f>
        <v>October</v>
      </c>
      <c r="E3760" s="3">
        <v>44846</v>
      </c>
      <c r="F3760" s="3">
        <v>44846</v>
      </c>
      <c r="G3760" s="2">
        <v>22026677</v>
      </c>
      <c r="H3760" s="2">
        <v>2235164</v>
      </c>
      <c r="I3760" s="2">
        <v>10013529939</v>
      </c>
      <c r="J3760" s="2" t="s">
        <v>2120</v>
      </c>
      <c r="K3760" s="10">
        <v>58197</v>
      </c>
      <c r="L3760" s="10">
        <v>18092</v>
      </c>
      <c r="M3760" s="10">
        <v>40106</v>
      </c>
      <c r="N3760" s="10">
        <v>40106</v>
      </c>
      <c r="O3760" s="10">
        <f>Table1[[#This Row],[NET Amount]]-Table1[[#This Row],[Paid Amount]]</f>
        <v>0</v>
      </c>
      <c r="P3760" s="2" t="s">
        <v>18</v>
      </c>
      <c r="Q3760" s="2" t="s">
        <v>69</v>
      </c>
      <c r="R3760" s="16">
        <f>(Table1[[#This Row],[NET Amount]]-Table1[[#This Row],[Total Outstanding Amount]])/Table1[[#This Row],[NET Amount]]</f>
        <v>1</v>
      </c>
      <c r="S3760" s="2" t="s">
        <v>27</v>
      </c>
    </row>
    <row r="3761" spans="1:19" x14ac:dyDescent="0.3">
      <c r="A3761" s="4">
        <v>3759</v>
      </c>
      <c r="B3761" s="2" t="s">
        <v>110</v>
      </c>
      <c r="C3761" s="3">
        <v>44843</v>
      </c>
      <c r="D3761" s="3" t="str">
        <f>TEXT(Table1[[#This Row],[Admission Date]],"MMMM")</f>
        <v>October</v>
      </c>
      <c r="E3761" s="3">
        <v>44846</v>
      </c>
      <c r="F3761" s="3">
        <v>44846</v>
      </c>
      <c r="G3761" s="2">
        <v>22026779</v>
      </c>
      <c r="H3761" s="2">
        <v>2235257</v>
      </c>
      <c r="I3761" s="2">
        <v>10013524046</v>
      </c>
      <c r="J3761" s="2" t="s">
        <v>2121</v>
      </c>
      <c r="K3761" s="10">
        <v>71155</v>
      </c>
      <c r="L3761" s="10">
        <v>4452</v>
      </c>
      <c r="M3761" s="10">
        <v>66703</v>
      </c>
      <c r="N3761" s="10">
        <v>1850</v>
      </c>
      <c r="O3761" s="10">
        <f>Table1[[#This Row],[NET Amount]]-Table1[[#This Row],[Paid Amount]]</f>
        <v>64853</v>
      </c>
      <c r="P3761" s="2" t="s">
        <v>23</v>
      </c>
      <c r="Q3761" s="2" t="s">
        <v>30</v>
      </c>
      <c r="R3761" s="16">
        <f>(Table1[[#This Row],[NET Amount]]-Table1[[#This Row],[Total Outstanding Amount]])/Table1[[#This Row],[NET Amount]]</f>
        <v>2.7734884487954064E-2</v>
      </c>
      <c r="S3761" s="2" t="s">
        <v>20</v>
      </c>
    </row>
    <row r="3762" spans="1:19" x14ac:dyDescent="0.3">
      <c r="A3762" s="4">
        <v>3760</v>
      </c>
      <c r="B3762" s="2" t="s">
        <v>895</v>
      </c>
      <c r="C3762" s="3">
        <v>44843</v>
      </c>
      <c r="D3762" s="3" t="str">
        <f>TEXT(Table1[[#This Row],[Admission Date]],"MMMM")</f>
        <v>October</v>
      </c>
      <c r="E3762" s="3">
        <v>44846</v>
      </c>
      <c r="F3762" s="3">
        <v>44846</v>
      </c>
      <c r="G3762" s="2">
        <v>22026733</v>
      </c>
      <c r="H3762" s="2">
        <v>2235301</v>
      </c>
      <c r="I3762" s="2">
        <v>10013542168</v>
      </c>
      <c r="J3762" s="2" t="s">
        <v>2122</v>
      </c>
      <c r="K3762" s="10">
        <v>116464</v>
      </c>
      <c r="L3762" s="10">
        <v>9887</v>
      </c>
      <c r="M3762" s="10">
        <v>106577</v>
      </c>
      <c r="N3762" s="10">
        <v>3895</v>
      </c>
      <c r="O3762" s="10">
        <f>Table1[[#This Row],[NET Amount]]-Table1[[#This Row],[Paid Amount]]</f>
        <v>102682</v>
      </c>
      <c r="P3762" s="2" t="s">
        <v>23</v>
      </c>
      <c r="Q3762" s="2" t="s">
        <v>24</v>
      </c>
      <c r="R3762" s="16">
        <f>(Table1[[#This Row],[NET Amount]]-Table1[[#This Row],[Total Outstanding Amount]])/Table1[[#This Row],[NET Amount]]</f>
        <v>3.6546346772755846E-2</v>
      </c>
      <c r="S3762" s="2" t="s">
        <v>201</v>
      </c>
    </row>
    <row r="3763" spans="1:19" x14ac:dyDescent="0.3">
      <c r="A3763" s="4">
        <v>3761</v>
      </c>
      <c r="B3763" s="2" t="s">
        <v>25</v>
      </c>
      <c r="C3763" s="3">
        <v>44831</v>
      </c>
      <c r="D3763" s="3" t="str">
        <f>TEXT(Table1[[#This Row],[Admission Date]],"MMMM")</f>
        <v>September</v>
      </c>
      <c r="E3763" s="3">
        <v>44837</v>
      </c>
      <c r="F3763" s="3">
        <v>44837</v>
      </c>
      <c r="G3763" s="2">
        <v>22025351</v>
      </c>
      <c r="H3763" s="2">
        <v>2233685</v>
      </c>
      <c r="I3763" s="2">
        <v>10013540555</v>
      </c>
      <c r="J3763" s="2" t="s">
        <v>2123</v>
      </c>
      <c r="K3763" s="10">
        <v>107209</v>
      </c>
      <c r="L3763" s="10">
        <v>14446</v>
      </c>
      <c r="M3763" s="10">
        <v>92763</v>
      </c>
      <c r="N3763" s="10">
        <v>92763</v>
      </c>
      <c r="O3763" s="10">
        <f>Table1[[#This Row],[NET Amount]]-Table1[[#This Row],[Paid Amount]]</f>
        <v>0</v>
      </c>
      <c r="P3763" s="2" t="s">
        <v>18</v>
      </c>
      <c r="Q3763" s="2" t="s">
        <v>30</v>
      </c>
      <c r="R3763" s="16">
        <f>(Table1[[#This Row],[NET Amount]]-Table1[[#This Row],[Total Outstanding Amount]])/Table1[[#This Row],[NET Amount]]</f>
        <v>1</v>
      </c>
      <c r="S3763" s="2" t="s">
        <v>37</v>
      </c>
    </row>
    <row r="3764" spans="1:19" x14ac:dyDescent="0.3">
      <c r="A3764" s="4">
        <v>3762</v>
      </c>
      <c r="B3764" s="2" t="s">
        <v>2253</v>
      </c>
      <c r="C3764" s="3">
        <v>44839</v>
      </c>
      <c r="D3764" s="3" t="str">
        <f>TEXT(Table1[[#This Row],[Admission Date]],"MMMM")</f>
        <v>October</v>
      </c>
      <c r="E3764" s="3">
        <v>44844</v>
      </c>
      <c r="F3764" s="3">
        <v>44844</v>
      </c>
      <c r="G3764" s="2">
        <v>22026446</v>
      </c>
      <c r="H3764" s="2">
        <v>2234804</v>
      </c>
      <c r="I3764" s="2">
        <v>1001802610</v>
      </c>
      <c r="J3764" s="2" t="s">
        <v>2124</v>
      </c>
      <c r="K3764" s="10">
        <v>96352</v>
      </c>
      <c r="L3764" s="10">
        <v>0</v>
      </c>
      <c r="M3764" s="10">
        <v>96352</v>
      </c>
      <c r="N3764" s="10">
        <v>0</v>
      </c>
      <c r="O3764" s="10">
        <f>Table1[[#This Row],[NET Amount]]-Table1[[#This Row],[Paid Amount]]</f>
        <v>96352</v>
      </c>
      <c r="P3764" s="2" t="s">
        <v>23</v>
      </c>
      <c r="Q3764" s="2" t="s">
        <v>24</v>
      </c>
      <c r="R3764" s="16">
        <f>(Table1[[#This Row],[NET Amount]]-Table1[[#This Row],[Total Outstanding Amount]])/Table1[[#This Row],[NET Amount]]</f>
        <v>0</v>
      </c>
      <c r="S3764" s="2" t="s">
        <v>201</v>
      </c>
    </row>
    <row r="3765" spans="1:19" x14ac:dyDescent="0.3">
      <c r="A3765" s="4">
        <v>3763</v>
      </c>
      <c r="B3765" s="2" t="s">
        <v>25</v>
      </c>
      <c r="C3765" s="3">
        <v>44851</v>
      </c>
      <c r="D3765" s="3" t="str">
        <f>TEXT(Table1[[#This Row],[Admission Date]],"MMMM")</f>
        <v>October</v>
      </c>
      <c r="E3765" s="3">
        <v>44853</v>
      </c>
      <c r="F3765" s="3">
        <v>44853</v>
      </c>
      <c r="G3765" s="2">
        <v>22027694</v>
      </c>
      <c r="H3765" s="2">
        <v>2236297</v>
      </c>
      <c r="I3765" s="2">
        <v>1001754902</v>
      </c>
      <c r="J3765" s="2" t="s">
        <v>2125</v>
      </c>
      <c r="K3765" s="10">
        <v>69225</v>
      </c>
      <c r="L3765" s="10">
        <v>9565</v>
      </c>
      <c r="M3765" s="10">
        <v>59660</v>
      </c>
      <c r="N3765" s="10">
        <v>59660</v>
      </c>
      <c r="O3765" s="10">
        <f>Table1[[#This Row],[NET Amount]]-Table1[[#This Row],[Paid Amount]]</f>
        <v>0</v>
      </c>
      <c r="P3765" s="2" t="s">
        <v>18</v>
      </c>
      <c r="Q3765" s="2" t="s">
        <v>24</v>
      </c>
      <c r="R3765" s="16">
        <f>(Table1[[#This Row],[NET Amount]]-Table1[[#This Row],[Total Outstanding Amount]])/Table1[[#This Row],[NET Amount]]</f>
        <v>1</v>
      </c>
      <c r="S3765" s="2" t="s">
        <v>27</v>
      </c>
    </row>
    <row r="3766" spans="1:19" x14ac:dyDescent="0.3">
      <c r="A3766" s="4">
        <v>3764</v>
      </c>
      <c r="B3766" s="2" t="s">
        <v>25</v>
      </c>
      <c r="C3766" s="3">
        <v>44855</v>
      </c>
      <c r="D3766" s="3" t="str">
        <f>TEXT(Table1[[#This Row],[Admission Date]],"MMMM")</f>
        <v>October</v>
      </c>
      <c r="E3766" s="3">
        <v>44858</v>
      </c>
      <c r="F3766" s="3">
        <v>44858</v>
      </c>
      <c r="G3766" s="2">
        <v>22028450</v>
      </c>
      <c r="H3766" s="2">
        <v>2236957</v>
      </c>
      <c r="I3766" s="2">
        <v>10013544059</v>
      </c>
      <c r="J3766" s="2" t="s">
        <v>2126</v>
      </c>
      <c r="K3766" s="10">
        <v>121150</v>
      </c>
      <c r="L3766" s="10">
        <v>20071</v>
      </c>
      <c r="M3766" s="10">
        <v>101079</v>
      </c>
      <c r="N3766" s="10">
        <v>101079</v>
      </c>
      <c r="O3766" s="10">
        <f>Table1[[#This Row],[NET Amount]]-Table1[[#This Row],[Paid Amount]]</f>
        <v>0</v>
      </c>
      <c r="P3766" s="2" t="s">
        <v>18</v>
      </c>
      <c r="Q3766" s="2" t="s">
        <v>69</v>
      </c>
      <c r="R3766" s="16">
        <f>(Table1[[#This Row],[NET Amount]]-Table1[[#This Row],[Total Outstanding Amount]])/Table1[[#This Row],[NET Amount]]</f>
        <v>1</v>
      </c>
      <c r="S3766" s="2" t="s">
        <v>65</v>
      </c>
    </row>
    <row r="3767" spans="1:19" x14ac:dyDescent="0.3">
      <c r="A3767" s="4">
        <v>3765</v>
      </c>
      <c r="B3767" s="2" t="s">
        <v>144</v>
      </c>
      <c r="C3767" s="3">
        <v>44845</v>
      </c>
      <c r="D3767" s="3" t="str">
        <f>TEXT(Table1[[#This Row],[Admission Date]],"MMMM")</f>
        <v>October</v>
      </c>
      <c r="E3767" s="3">
        <v>44849</v>
      </c>
      <c r="F3767" s="3">
        <v>44849</v>
      </c>
      <c r="G3767" s="2">
        <v>22027198</v>
      </c>
      <c r="H3767" s="2">
        <v>2235618</v>
      </c>
      <c r="I3767" s="2">
        <v>10013542615</v>
      </c>
      <c r="J3767" s="2" t="s">
        <v>145</v>
      </c>
      <c r="K3767" s="10">
        <v>83810</v>
      </c>
      <c r="L3767" s="10">
        <v>10939</v>
      </c>
      <c r="M3767" s="10">
        <v>72871</v>
      </c>
      <c r="N3767" s="10">
        <v>23711</v>
      </c>
      <c r="O3767" s="10">
        <f>Table1[[#This Row],[NET Amount]]-Table1[[#This Row],[Paid Amount]]</f>
        <v>49160</v>
      </c>
      <c r="P3767" s="2" t="s">
        <v>23</v>
      </c>
      <c r="Q3767" s="2" t="s">
        <v>52</v>
      </c>
      <c r="R3767" s="16">
        <f>(Table1[[#This Row],[NET Amount]]-Table1[[#This Row],[Total Outstanding Amount]])/Table1[[#This Row],[NET Amount]]</f>
        <v>0.32538321142841459</v>
      </c>
      <c r="S3767" s="2" t="s">
        <v>20</v>
      </c>
    </row>
    <row r="3768" spans="1:19" x14ac:dyDescent="0.3">
      <c r="A3768" s="4">
        <v>3766</v>
      </c>
      <c r="B3768" s="2" t="s">
        <v>50</v>
      </c>
      <c r="C3768" s="3">
        <v>44857</v>
      </c>
      <c r="D3768" s="3" t="str">
        <f>TEXT(Table1[[#This Row],[Admission Date]],"MMMM")</f>
        <v>October</v>
      </c>
      <c r="E3768" s="3">
        <v>44857</v>
      </c>
      <c r="F3768" s="3">
        <v>44857</v>
      </c>
      <c r="G3768" s="2">
        <v>22028383</v>
      </c>
      <c r="H3768" s="2">
        <v>2237156</v>
      </c>
      <c r="I3768" s="2">
        <v>1001564406</v>
      </c>
      <c r="J3768" s="2" t="s">
        <v>183</v>
      </c>
      <c r="K3768" s="10">
        <v>2200</v>
      </c>
      <c r="L3768" s="10">
        <v>0</v>
      </c>
      <c r="M3768" s="10">
        <v>2200</v>
      </c>
      <c r="N3768" s="10">
        <v>330</v>
      </c>
      <c r="O3768" s="10">
        <f>Table1[[#This Row],[NET Amount]]-Table1[[#This Row],[Paid Amount]]</f>
        <v>1870</v>
      </c>
      <c r="P3768" s="2" t="s">
        <v>23</v>
      </c>
      <c r="Q3768" s="2" t="s">
        <v>147</v>
      </c>
      <c r="R3768" s="16">
        <f>(Table1[[#This Row],[NET Amount]]-Table1[[#This Row],[Total Outstanding Amount]])/Table1[[#This Row],[NET Amount]]</f>
        <v>0.15</v>
      </c>
      <c r="S3768" s="2" t="s">
        <v>97</v>
      </c>
    </row>
    <row r="3769" spans="1:19" x14ac:dyDescent="0.3">
      <c r="A3769" s="4">
        <v>3767</v>
      </c>
      <c r="B3769" s="2" t="s">
        <v>155</v>
      </c>
      <c r="C3769" s="3">
        <v>44860</v>
      </c>
      <c r="D3769" s="3" t="str">
        <f>TEXT(Table1[[#This Row],[Admission Date]],"MMMM")</f>
        <v>October</v>
      </c>
      <c r="E3769" s="3">
        <v>44860</v>
      </c>
      <c r="F3769" s="3">
        <v>44860</v>
      </c>
      <c r="G3769" s="2">
        <v>22028577</v>
      </c>
      <c r="H3769" s="2">
        <v>2237449</v>
      </c>
      <c r="I3769" s="2">
        <v>10013386841</v>
      </c>
      <c r="J3769" s="2" t="s">
        <v>629</v>
      </c>
      <c r="K3769" s="10">
        <v>1610</v>
      </c>
      <c r="L3769" s="10">
        <v>0</v>
      </c>
      <c r="M3769" s="10">
        <v>1610</v>
      </c>
      <c r="N3769" s="10">
        <v>1610</v>
      </c>
      <c r="O3769" s="10">
        <f>Table1[[#This Row],[NET Amount]]-Table1[[#This Row],[Paid Amount]]</f>
        <v>0</v>
      </c>
      <c r="P3769" s="2" t="s">
        <v>18</v>
      </c>
      <c r="Q3769" s="2" t="s">
        <v>54</v>
      </c>
      <c r="R3769" s="16">
        <f>(Table1[[#This Row],[NET Amount]]-Table1[[#This Row],[Total Outstanding Amount]])/Table1[[#This Row],[NET Amount]]</f>
        <v>1</v>
      </c>
      <c r="S3769" s="2" t="s">
        <v>97</v>
      </c>
    </row>
    <row r="3770" spans="1:19" x14ac:dyDescent="0.3">
      <c r="A3770" s="4">
        <v>3768</v>
      </c>
      <c r="B3770" s="2" t="s">
        <v>61</v>
      </c>
      <c r="C3770" s="3">
        <v>44860</v>
      </c>
      <c r="D3770" s="3" t="str">
        <f>TEXT(Table1[[#This Row],[Admission Date]],"MMMM")</f>
        <v>October</v>
      </c>
      <c r="E3770" s="3">
        <v>44861</v>
      </c>
      <c r="F3770" s="3">
        <v>44861</v>
      </c>
      <c r="G3770" s="2">
        <v>22028740</v>
      </c>
      <c r="H3770" s="2">
        <v>2237537</v>
      </c>
      <c r="I3770" s="2">
        <v>10013544638</v>
      </c>
      <c r="J3770" s="2" t="s">
        <v>2127</v>
      </c>
      <c r="K3770" s="10">
        <v>202335</v>
      </c>
      <c r="L3770" s="10">
        <v>0</v>
      </c>
      <c r="M3770" s="10">
        <v>202335</v>
      </c>
      <c r="N3770" s="10">
        <v>42751</v>
      </c>
      <c r="O3770" s="10">
        <f>Table1[[#This Row],[NET Amount]]-Table1[[#This Row],[Paid Amount]]</f>
        <v>159584</v>
      </c>
      <c r="P3770" s="2" t="s">
        <v>23</v>
      </c>
      <c r="Q3770" s="2" t="s">
        <v>47</v>
      </c>
      <c r="R3770" s="16">
        <f>(Table1[[#This Row],[NET Amount]]-Table1[[#This Row],[Total Outstanding Amount]])/Table1[[#This Row],[NET Amount]]</f>
        <v>0.21128821014653915</v>
      </c>
      <c r="S3770" s="2" t="s">
        <v>39</v>
      </c>
    </row>
    <row r="3771" spans="1:19" x14ac:dyDescent="0.3">
      <c r="A3771" s="4">
        <v>3769</v>
      </c>
      <c r="B3771" s="2" t="s">
        <v>50</v>
      </c>
      <c r="C3771" s="3">
        <v>44854</v>
      </c>
      <c r="D3771" s="3" t="str">
        <f>TEXT(Table1[[#This Row],[Admission Date]],"MMMM")</f>
        <v>October</v>
      </c>
      <c r="E3771" s="3">
        <v>44854</v>
      </c>
      <c r="F3771" s="3">
        <v>44854</v>
      </c>
      <c r="G3771" s="2">
        <v>22027892</v>
      </c>
      <c r="H3771" s="2">
        <v>2236781</v>
      </c>
      <c r="I3771" s="2">
        <v>1001206152</v>
      </c>
      <c r="J3771" s="2" t="s">
        <v>375</v>
      </c>
      <c r="K3771" s="10">
        <v>2200</v>
      </c>
      <c r="L3771" s="10">
        <v>0</v>
      </c>
      <c r="M3771" s="10">
        <v>2200</v>
      </c>
      <c r="N3771" s="10">
        <v>440</v>
      </c>
      <c r="O3771" s="10">
        <f>Table1[[#This Row],[NET Amount]]-Table1[[#This Row],[Paid Amount]]</f>
        <v>1760</v>
      </c>
      <c r="P3771" s="2" t="s">
        <v>23</v>
      </c>
      <c r="Q3771" s="2" t="s">
        <v>147</v>
      </c>
      <c r="R3771" s="16">
        <f>(Table1[[#This Row],[NET Amount]]-Table1[[#This Row],[Total Outstanding Amount]])/Table1[[#This Row],[NET Amount]]</f>
        <v>0.2</v>
      </c>
      <c r="S3771" s="2" t="s">
        <v>97</v>
      </c>
    </row>
    <row r="3772" spans="1:19" x14ac:dyDescent="0.3">
      <c r="A3772" s="4">
        <v>3770</v>
      </c>
      <c r="B3772" s="2" t="s">
        <v>25</v>
      </c>
      <c r="C3772" s="3">
        <v>44848</v>
      </c>
      <c r="D3772" s="3" t="str">
        <f>TEXT(Table1[[#This Row],[Admission Date]],"MMMM")</f>
        <v>October</v>
      </c>
      <c r="E3772" s="3">
        <v>44848</v>
      </c>
      <c r="F3772" s="3">
        <v>44848</v>
      </c>
      <c r="G3772" s="2">
        <v>22026966</v>
      </c>
      <c r="H3772" s="2">
        <v>2235927</v>
      </c>
      <c r="I3772" s="2">
        <v>1000975940</v>
      </c>
      <c r="J3772" s="2" t="s">
        <v>341</v>
      </c>
      <c r="K3772" s="10">
        <v>4990</v>
      </c>
      <c r="L3772" s="10">
        <v>444</v>
      </c>
      <c r="M3772" s="10">
        <v>4546</v>
      </c>
      <c r="N3772" s="10">
        <v>4546</v>
      </c>
      <c r="O3772" s="10">
        <f>Table1[[#This Row],[NET Amount]]-Table1[[#This Row],[Paid Amount]]</f>
        <v>0</v>
      </c>
      <c r="P3772" s="2" t="s">
        <v>18</v>
      </c>
      <c r="Q3772" s="2" t="s">
        <v>54</v>
      </c>
      <c r="R3772" s="16">
        <f>(Table1[[#This Row],[NET Amount]]-Table1[[#This Row],[Total Outstanding Amount]])/Table1[[#This Row],[NET Amount]]</f>
        <v>1</v>
      </c>
      <c r="S3772" s="2" t="s">
        <v>97</v>
      </c>
    </row>
    <row r="3773" spans="1:19" x14ac:dyDescent="0.3">
      <c r="A3773" s="4">
        <v>3771</v>
      </c>
      <c r="B3773" s="2" t="s">
        <v>152</v>
      </c>
      <c r="C3773" s="3">
        <v>44844</v>
      </c>
      <c r="D3773" s="3" t="str">
        <f>TEXT(Table1[[#This Row],[Admission Date]],"MMMM")</f>
        <v>October</v>
      </c>
      <c r="E3773" s="3">
        <v>44849</v>
      </c>
      <c r="F3773" s="3">
        <v>44849</v>
      </c>
      <c r="G3773" s="2">
        <v>22027188</v>
      </c>
      <c r="H3773" s="2">
        <v>2235441</v>
      </c>
      <c r="I3773" s="2">
        <v>1000896927</v>
      </c>
      <c r="J3773" s="2" t="s">
        <v>741</v>
      </c>
      <c r="K3773" s="10">
        <v>18681</v>
      </c>
      <c r="L3773" s="10">
        <v>0</v>
      </c>
      <c r="M3773" s="10">
        <v>18681</v>
      </c>
      <c r="N3773" s="10">
        <v>18681</v>
      </c>
      <c r="O3773" s="10">
        <f>Table1[[#This Row],[NET Amount]]-Table1[[#This Row],[Paid Amount]]</f>
        <v>0</v>
      </c>
      <c r="P3773" s="2" t="s">
        <v>18</v>
      </c>
      <c r="Q3773" s="2" t="s">
        <v>19</v>
      </c>
      <c r="R3773" s="16">
        <f>(Table1[[#This Row],[NET Amount]]-Table1[[#This Row],[Total Outstanding Amount]])/Table1[[#This Row],[NET Amount]]</f>
        <v>1</v>
      </c>
      <c r="S3773" s="2" t="s">
        <v>20</v>
      </c>
    </row>
    <row r="3774" spans="1:19" x14ac:dyDescent="0.3">
      <c r="A3774" s="4">
        <v>3772</v>
      </c>
      <c r="B3774" s="2" t="s">
        <v>91</v>
      </c>
      <c r="C3774" s="3">
        <v>44845</v>
      </c>
      <c r="D3774" s="3" t="str">
        <f>TEXT(Table1[[#This Row],[Admission Date]],"MMMM")</f>
        <v>October</v>
      </c>
      <c r="E3774" s="3">
        <v>44845</v>
      </c>
      <c r="F3774" s="3">
        <v>44845</v>
      </c>
      <c r="G3774" s="2">
        <v>22026552</v>
      </c>
      <c r="H3774" s="2">
        <v>2235522</v>
      </c>
      <c r="I3774" s="2">
        <v>1000973737</v>
      </c>
      <c r="J3774" s="2" t="s">
        <v>2128</v>
      </c>
      <c r="K3774" s="10">
        <v>27620</v>
      </c>
      <c r="L3774" s="10">
        <v>0</v>
      </c>
      <c r="M3774" s="10">
        <v>27620</v>
      </c>
      <c r="N3774" s="10">
        <v>27619</v>
      </c>
      <c r="O3774" s="10">
        <f>Table1[[#This Row],[NET Amount]]-Table1[[#This Row],[Paid Amount]]</f>
        <v>1</v>
      </c>
      <c r="P3774" s="2" t="s">
        <v>23</v>
      </c>
      <c r="Q3774" s="2" t="s">
        <v>47</v>
      </c>
      <c r="R3774" s="16">
        <f>(Table1[[#This Row],[NET Amount]]-Table1[[#This Row],[Total Outstanding Amount]])/Table1[[#This Row],[NET Amount]]</f>
        <v>0.99996379435191884</v>
      </c>
      <c r="S3774" s="2" t="s">
        <v>39</v>
      </c>
    </row>
    <row r="3775" spans="1:19" x14ac:dyDescent="0.3">
      <c r="A3775" s="4">
        <v>3773</v>
      </c>
      <c r="B3775" s="2" t="s">
        <v>117</v>
      </c>
      <c r="C3775" s="3">
        <v>44838</v>
      </c>
      <c r="D3775" s="3" t="str">
        <f>TEXT(Table1[[#This Row],[Admission Date]],"MMMM")</f>
        <v>October</v>
      </c>
      <c r="E3775" s="3">
        <v>44842</v>
      </c>
      <c r="F3775" s="3">
        <v>44842</v>
      </c>
      <c r="G3775" s="2">
        <v>22026123</v>
      </c>
      <c r="H3775" s="2">
        <v>2234652</v>
      </c>
      <c r="I3775" s="2">
        <v>1001164234</v>
      </c>
      <c r="J3775" s="2" t="s">
        <v>1818</v>
      </c>
      <c r="K3775" s="10">
        <v>30293</v>
      </c>
      <c r="L3775" s="10">
        <v>0</v>
      </c>
      <c r="M3775" s="10">
        <v>30293</v>
      </c>
      <c r="N3775" s="10">
        <v>30293</v>
      </c>
      <c r="O3775" s="10">
        <f>Table1[[#This Row],[NET Amount]]-Table1[[#This Row],[Paid Amount]]</f>
        <v>0</v>
      </c>
      <c r="P3775" s="2" t="s">
        <v>18</v>
      </c>
      <c r="Q3775" s="2" t="s">
        <v>19</v>
      </c>
      <c r="R3775" s="16">
        <f>(Table1[[#This Row],[NET Amount]]-Table1[[#This Row],[Total Outstanding Amount]])/Table1[[#This Row],[NET Amount]]</f>
        <v>1</v>
      </c>
      <c r="S3775" s="2" t="s">
        <v>37</v>
      </c>
    </row>
    <row r="3776" spans="1:19" x14ac:dyDescent="0.3">
      <c r="A3776" s="4">
        <v>3774</v>
      </c>
      <c r="B3776" s="2" t="s">
        <v>152</v>
      </c>
      <c r="C3776" s="3">
        <v>44841</v>
      </c>
      <c r="D3776" s="3" t="str">
        <f>TEXT(Table1[[#This Row],[Admission Date]],"MMMM")</f>
        <v>October</v>
      </c>
      <c r="E3776" s="3">
        <v>44846</v>
      </c>
      <c r="F3776" s="3">
        <v>44846</v>
      </c>
      <c r="G3776" s="2">
        <v>22026766</v>
      </c>
      <c r="H3776" s="2">
        <v>2235051</v>
      </c>
      <c r="I3776" s="2">
        <v>10013540948</v>
      </c>
      <c r="J3776" s="2" t="s">
        <v>2129</v>
      </c>
      <c r="K3776" s="10">
        <v>354450</v>
      </c>
      <c r="L3776" s="10">
        <v>0</v>
      </c>
      <c r="M3776" s="10">
        <v>354450</v>
      </c>
      <c r="N3776" s="10">
        <v>354450</v>
      </c>
      <c r="O3776" s="10">
        <f>Table1[[#This Row],[NET Amount]]-Table1[[#This Row],[Paid Amount]]</f>
        <v>0</v>
      </c>
      <c r="P3776" s="2" t="s">
        <v>18</v>
      </c>
      <c r="Q3776" s="2" t="s">
        <v>30</v>
      </c>
      <c r="R3776" s="16">
        <f>(Table1[[#This Row],[NET Amount]]-Table1[[#This Row],[Total Outstanding Amount]])/Table1[[#This Row],[NET Amount]]</f>
        <v>1</v>
      </c>
      <c r="S3776" s="2" t="s">
        <v>201</v>
      </c>
    </row>
    <row r="3777" spans="1:19" x14ac:dyDescent="0.3">
      <c r="A3777" s="4">
        <v>3775</v>
      </c>
      <c r="B3777" s="2" t="s">
        <v>25</v>
      </c>
      <c r="C3777" s="3">
        <v>44840</v>
      </c>
      <c r="D3777" s="3" t="str">
        <f>TEXT(Table1[[#This Row],[Admission Date]],"MMMM")</f>
        <v>October</v>
      </c>
      <c r="E3777" s="3">
        <v>44840</v>
      </c>
      <c r="F3777" s="3">
        <v>44840</v>
      </c>
      <c r="G3777" s="2">
        <v>22025867</v>
      </c>
      <c r="H3777" s="2">
        <v>2234865</v>
      </c>
      <c r="I3777" s="2">
        <v>10013526375</v>
      </c>
      <c r="J3777" s="2" t="s">
        <v>241</v>
      </c>
      <c r="K3777" s="10">
        <v>4990</v>
      </c>
      <c r="L3777" s="10">
        <v>450</v>
      </c>
      <c r="M3777" s="10">
        <v>4540</v>
      </c>
      <c r="N3777" s="10">
        <v>4540</v>
      </c>
      <c r="O3777" s="10">
        <f>Table1[[#This Row],[NET Amount]]-Table1[[#This Row],[Paid Amount]]</f>
        <v>0</v>
      </c>
      <c r="P3777" s="2" t="s">
        <v>18</v>
      </c>
      <c r="Q3777" s="2" t="s">
        <v>54</v>
      </c>
      <c r="R3777" s="16">
        <f>(Table1[[#This Row],[NET Amount]]-Table1[[#This Row],[Total Outstanding Amount]])/Table1[[#This Row],[NET Amount]]</f>
        <v>1</v>
      </c>
      <c r="S3777" s="2" t="s">
        <v>97</v>
      </c>
    </row>
    <row r="3778" spans="1:19" x14ac:dyDescent="0.3">
      <c r="A3778" s="4">
        <v>3776</v>
      </c>
      <c r="B3778" s="2" t="s">
        <v>149</v>
      </c>
      <c r="C3778" s="3">
        <v>44839</v>
      </c>
      <c r="D3778" s="3" t="str">
        <f>TEXT(Table1[[#This Row],[Admission Date]],"MMMM")</f>
        <v>October</v>
      </c>
      <c r="E3778" s="3">
        <v>44842</v>
      </c>
      <c r="F3778" s="3">
        <v>44842</v>
      </c>
      <c r="G3778" s="2">
        <v>22026136</v>
      </c>
      <c r="H3778" s="2">
        <v>2234670</v>
      </c>
      <c r="I3778" s="2">
        <v>10013539977</v>
      </c>
      <c r="J3778" s="2" t="s">
        <v>523</v>
      </c>
      <c r="K3778" s="10">
        <v>134123</v>
      </c>
      <c r="L3778" s="10">
        <v>10279</v>
      </c>
      <c r="M3778" s="10">
        <v>123844</v>
      </c>
      <c r="N3778" s="10">
        <v>6313</v>
      </c>
      <c r="O3778" s="10">
        <f>Table1[[#This Row],[NET Amount]]-Table1[[#This Row],[Paid Amount]]</f>
        <v>117531</v>
      </c>
      <c r="P3778" s="2" t="s">
        <v>23</v>
      </c>
      <c r="Q3778" s="2" t="s">
        <v>24</v>
      </c>
      <c r="R3778" s="16">
        <f>(Table1[[#This Row],[NET Amount]]-Table1[[#This Row],[Total Outstanding Amount]])/Table1[[#This Row],[NET Amount]]</f>
        <v>5.0975420690546169E-2</v>
      </c>
      <c r="S3778" s="2" t="s">
        <v>20</v>
      </c>
    </row>
    <row r="3779" spans="1:19" x14ac:dyDescent="0.3">
      <c r="A3779" s="4">
        <v>3777</v>
      </c>
      <c r="B3779" s="2" t="s">
        <v>2244</v>
      </c>
      <c r="C3779" s="3">
        <v>44861</v>
      </c>
      <c r="D3779" s="3" t="str">
        <f>TEXT(Table1[[#This Row],[Admission Date]],"MMMM")</f>
        <v>October</v>
      </c>
      <c r="E3779" s="3">
        <v>44861</v>
      </c>
      <c r="F3779" s="3">
        <v>44861</v>
      </c>
      <c r="G3779" s="2">
        <v>22028787</v>
      </c>
      <c r="H3779" s="2">
        <v>2237662</v>
      </c>
      <c r="I3779" s="2">
        <v>1001755099</v>
      </c>
      <c r="J3779" s="2" t="s">
        <v>750</v>
      </c>
      <c r="K3779" s="10">
        <v>1610</v>
      </c>
      <c r="L3779" s="10">
        <v>0</v>
      </c>
      <c r="M3779" s="10">
        <v>1610</v>
      </c>
      <c r="N3779" s="10">
        <v>1610</v>
      </c>
      <c r="O3779" s="10">
        <f>Table1[[#This Row],[NET Amount]]-Table1[[#This Row],[Paid Amount]]</f>
        <v>0</v>
      </c>
      <c r="P3779" s="2" t="s">
        <v>18</v>
      </c>
      <c r="Q3779" s="2" t="s">
        <v>54</v>
      </c>
      <c r="R3779" s="16">
        <f>(Table1[[#This Row],[NET Amount]]-Table1[[#This Row],[Total Outstanding Amount]])/Table1[[#This Row],[NET Amount]]</f>
        <v>1</v>
      </c>
      <c r="S3779" s="2" t="s">
        <v>97</v>
      </c>
    </row>
    <row r="3780" spans="1:19" x14ac:dyDescent="0.3">
      <c r="A3780" s="4">
        <v>3778</v>
      </c>
      <c r="B3780" s="2" t="s">
        <v>35</v>
      </c>
      <c r="C3780" s="3">
        <v>44851</v>
      </c>
      <c r="D3780" s="3" t="str">
        <f>TEXT(Table1[[#This Row],[Admission Date]],"MMMM")</f>
        <v>October</v>
      </c>
      <c r="E3780" s="3">
        <v>44856</v>
      </c>
      <c r="F3780" s="3">
        <v>44856</v>
      </c>
      <c r="G3780" s="2">
        <v>22028191</v>
      </c>
      <c r="H3780" s="2">
        <v>2236356</v>
      </c>
      <c r="I3780" s="2">
        <v>10013543415</v>
      </c>
      <c r="J3780" s="2" t="s">
        <v>992</v>
      </c>
      <c r="K3780" s="10">
        <v>28875</v>
      </c>
      <c r="L3780" s="10">
        <v>0</v>
      </c>
      <c r="M3780" s="10">
        <v>28875</v>
      </c>
      <c r="N3780" s="10">
        <v>28875</v>
      </c>
      <c r="O3780" s="10">
        <f>Table1[[#This Row],[NET Amount]]-Table1[[#This Row],[Paid Amount]]</f>
        <v>0</v>
      </c>
      <c r="P3780" s="2" t="s">
        <v>18</v>
      </c>
      <c r="Q3780" s="2" t="s">
        <v>24</v>
      </c>
      <c r="R3780" s="16">
        <f>(Table1[[#This Row],[NET Amount]]-Table1[[#This Row],[Total Outstanding Amount]])/Table1[[#This Row],[NET Amount]]</f>
        <v>1</v>
      </c>
      <c r="S3780" s="2" t="s">
        <v>20</v>
      </c>
    </row>
    <row r="3781" spans="1:19" x14ac:dyDescent="0.3">
      <c r="A3781" s="4">
        <v>3779</v>
      </c>
      <c r="B3781" s="2" t="s">
        <v>545</v>
      </c>
      <c r="C3781" s="3">
        <v>44836</v>
      </c>
      <c r="D3781" s="3" t="str">
        <f>TEXT(Table1[[#This Row],[Admission Date]],"MMMM")</f>
        <v>October</v>
      </c>
      <c r="E3781" s="3">
        <v>44840</v>
      </c>
      <c r="F3781" s="3">
        <v>44840</v>
      </c>
      <c r="G3781" s="2">
        <v>22025830</v>
      </c>
      <c r="H3781" s="2">
        <v>2234298</v>
      </c>
      <c r="I3781" s="2">
        <v>10013541189</v>
      </c>
      <c r="J3781" s="2" t="s">
        <v>2130</v>
      </c>
      <c r="K3781" s="10">
        <v>178839</v>
      </c>
      <c r="L3781" s="10">
        <v>11476</v>
      </c>
      <c r="M3781" s="10">
        <v>167362</v>
      </c>
      <c r="N3781" s="10">
        <v>4869</v>
      </c>
      <c r="O3781" s="10">
        <f>Table1[[#This Row],[NET Amount]]-Table1[[#This Row],[Paid Amount]]</f>
        <v>162493</v>
      </c>
      <c r="P3781" s="2" t="s">
        <v>23</v>
      </c>
      <c r="Q3781" s="2" t="s">
        <v>30</v>
      </c>
      <c r="R3781" s="16">
        <f>(Table1[[#This Row],[NET Amount]]-Table1[[#This Row],[Total Outstanding Amount]])/Table1[[#This Row],[NET Amount]]</f>
        <v>2.9092625566138071E-2</v>
      </c>
      <c r="S3781" s="2" t="s">
        <v>20</v>
      </c>
    </row>
    <row r="3782" spans="1:19" x14ac:dyDescent="0.3">
      <c r="A3782" s="4">
        <v>3780</v>
      </c>
      <c r="B3782" s="2" t="s">
        <v>2290</v>
      </c>
      <c r="C3782" s="3">
        <v>44847</v>
      </c>
      <c r="D3782" s="3" t="str">
        <f>TEXT(Table1[[#This Row],[Admission Date]],"MMMM")</f>
        <v>October</v>
      </c>
      <c r="E3782" s="3">
        <v>44851</v>
      </c>
      <c r="F3782" s="3">
        <v>44851</v>
      </c>
      <c r="G3782" s="2">
        <v>22027460</v>
      </c>
      <c r="H3782" s="2">
        <v>2235842</v>
      </c>
      <c r="I3782" s="2">
        <v>1001804115</v>
      </c>
      <c r="J3782" s="2" t="s">
        <v>1970</v>
      </c>
      <c r="K3782" s="10">
        <v>35444</v>
      </c>
      <c r="L3782" s="10">
        <v>0</v>
      </c>
      <c r="M3782" s="10">
        <v>35444</v>
      </c>
      <c r="N3782" s="10">
        <v>35444</v>
      </c>
      <c r="O3782" s="10">
        <f>Table1[[#This Row],[NET Amount]]-Table1[[#This Row],[Paid Amount]]</f>
        <v>0</v>
      </c>
      <c r="P3782" s="2" t="s">
        <v>18</v>
      </c>
      <c r="Q3782" s="2" t="s">
        <v>24</v>
      </c>
      <c r="R3782" s="16">
        <f>(Table1[[#This Row],[NET Amount]]-Table1[[#This Row],[Total Outstanding Amount]])/Table1[[#This Row],[NET Amount]]</f>
        <v>1</v>
      </c>
      <c r="S3782" s="2" t="s">
        <v>20</v>
      </c>
    </row>
    <row r="3783" spans="1:19" x14ac:dyDescent="0.3">
      <c r="A3783" s="4">
        <v>3781</v>
      </c>
      <c r="B3783" s="2" t="s">
        <v>25</v>
      </c>
      <c r="C3783" s="3">
        <v>44844</v>
      </c>
      <c r="D3783" s="3" t="str">
        <f>TEXT(Table1[[#This Row],[Admission Date]],"MMMM")</f>
        <v>October</v>
      </c>
      <c r="E3783" s="3">
        <v>44844</v>
      </c>
      <c r="F3783" s="3">
        <v>44844</v>
      </c>
      <c r="G3783" s="2">
        <v>22026488</v>
      </c>
      <c r="H3783" s="2">
        <v>2235459</v>
      </c>
      <c r="I3783" s="2">
        <v>1001491648</v>
      </c>
      <c r="J3783" s="2" t="s">
        <v>124</v>
      </c>
      <c r="K3783" s="10">
        <v>3319</v>
      </c>
      <c r="L3783" s="10">
        <v>3319</v>
      </c>
      <c r="M3783" s="10">
        <v>0</v>
      </c>
      <c r="N3783" s="10">
        <v>0</v>
      </c>
      <c r="O3783" s="10">
        <f>Table1[[#This Row],[NET Amount]]-Table1[[#This Row],[Paid Amount]]</f>
        <v>0</v>
      </c>
      <c r="P3783" s="2" t="s">
        <v>18</v>
      </c>
      <c r="Q3783" s="2" t="s">
        <v>90</v>
      </c>
      <c r="R3783" s="16" t="e">
        <f>(Table1[[#This Row],[NET Amount]]-Table1[[#This Row],[Total Outstanding Amount]])/Table1[[#This Row],[NET Amount]]</f>
        <v>#DIV/0!</v>
      </c>
      <c r="S3783" s="2" t="s">
        <v>97</v>
      </c>
    </row>
    <row r="3784" spans="1:19" x14ac:dyDescent="0.3">
      <c r="A3784" s="4">
        <v>3782</v>
      </c>
      <c r="B3784" s="2" t="s">
        <v>126</v>
      </c>
      <c r="C3784" s="3">
        <v>44855</v>
      </c>
      <c r="D3784" s="3" t="str">
        <f>TEXT(Table1[[#This Row],[Admission Date]],"MMMM")</f>
        <v>October</v>
      </c>
      <c r="E3784" s="3">
        <v>44858</v>
      </c>
      <c r="F3784" s="3">
        <v>44858</v>
      </c>
      <c r="G3784" s="2">
        <v>22028435</v>
      </c>
      <c r="H3784" s="2">
        <v>2236974</v>
      </c>
      <c r="I3784" s="2">
        <v>1001805686</v>
      </c>
      <c r="J3784" s="2" t="s">
        <v>2131</v>
      </c>
      <c r="K3784" s="10">
        <v>75965</v>
      </c>
      <c r="L3784" s="10">
        <v>10818</v>
      </c>
      <c r="M3784" s="10">
        <v>65147</v>
      </c>
      <c r="N3784" s="10">
        <v>5651</v>
      </c>
      <c r="O3784" s="10">
        <f>Table1[[#This Row],[NET Amount]]-Table1[[#This Row],[Paid Amount]]</f>
        <v>59496</v>
      </c>
      <c r="P3784" s="2" t="s">
        <v>23</v>
      </c>
      <c r="Q3784" s="2" t="s">
        <v>24</v>
      </c>
      <c r="R3784" s="16">
        <f>(Table1[[#This Row],[NET Amount]]-Table1[[#This Row],[Total Outstanding Amount]])/Table1[[#This Row],[NET Amount]]</f>
        <v>8.6742290512226192E-2</v>
      </c>
      <c r="S3784" s="2" t="s">
        <v>37</v>
      </c>
    </row>
    <row r="3785" spans="1:19" x14ac:dyDescent="0.3">
      <c r="A3785" s="4">
        <v>3783</v>
      </c>
      <c r="B3785" s="2" t="s">
        <v>126</v>
      </c>
      <c r="C3785" s="3">
        <v>44855</v>
      </c>
      <c r="D3785" s="3" t="str">
        <f>TEXT(Table1[[#This Row],[Admission Date]],"MMMM")</f>
        <v>October</v>
      </c>
      <c r="E3785" s="3">
        <v>44858</v>
      </c>
      <c r="F3785" s="3">
        <v>44858</v>
      </c>
      <c r="G3785" s="2">
        <v>22028441</v>
      </c>
      <c r="H3785" s="2">
        <v>2236977</v>
      </c>
      <c r="I3785" s="2">
        <v>10013544082</v>
      </c>
      <c r="J3785" s="2" t="s">
        <v>2132</v>
      </c>
      <c r="K3785" s="10">
        <v>66590</v>
      </c>
      <c r="L3785" s="10">
        <v>9417</v>
      </c>
      <c r="M3785" s="10">
        <v>57173</v>
      </c>
      <c r="N3785" s="10">
        <v>5151</v>
      </c>
      <c r="O3785" s="10">
        <f>Table1[[#This Row],[NET Amount]]-Table1[[#This Row],[Paid Amount]]</f>
        <v>52022</v>
      </c>
      <c r="P3785" s="2" t="s">
        <v>23</v>
      </c>
      <c r="Q3785" s="2" t="s">
        <v>24</v>
      </c>
      <c r="R3785" s="16">
        <f>(Table1[[#This Row],[NET Amount]]-Table1[[#This Row],[Total Outstanding Amount]])/Table1[[#This Row],[NET Amount]]</f>
        <v>9.0094974900739866E-2</v>
      </c>
      <c r="S3785" s="2" t="s">
        <v>37</v>
      </c>
    </row>
    <row r="3786" spans="1:19" x14ac:dyDescent="0.3">
      <c r="A3786" s="4">
        <v>3784</v>
      </c>
      <c r="B3786" s="2" t="s">
        <v>35</v>
      </c>
      <c r="C3786" s="3">
        <v>44857</v>
      </c>
      <c r="D3786" s="3" t="str">
        <f>TEXT(Table1[[#This Row],[Admission Date]],"MMMM")</f>
        <v>October</v>
      </c>
      <c r="E3786" s="3">
        <v>44857</v>
      </c>
      <c r="F3786" s="3">
        <v>44857</v>
      </c>
      <c r="G3786" s="2">
        <v>22028313</v>
      </c>
      <c r="H3786" s="2">
        <v>2237120</v>
      </c>
      <c r="I3786" s="2">
        <v>1001644664</v>
      </c>
      <c r="J3786" s="2" t="s">
        <v>101</v>
      </c>
      <c r="K3786" s="10">
        <v>1610</v>
      </c>
      <c r="L3786" s="10">
        <v>0</v>
      </c>
      <c r="M3786" s="10">
        <v>1610</v>
      </c>
      <c r="N3786" s="10">
        <v>1610</v>
      </c>
      <c r="O3786" s="10">
        <f>Table1[[#This Row],[NET Amount]]-Table1[[#This Row],[Paid Amount]]</f>
        <v>0</v>
      </c>
      <c r="P3786" s="2" t="s">
        <v>18</v>
      </c>
      <c r="Q3786" s="2" t="s">
        <v>54</v>
      </c>
      <c r="R3786" s="16">
        <f>(Table1[[#This Row],[NET Amount]]-Table1[[#This Row],[Total Outstanding Amount]])/Table1[[#This Row],[NET Amount]]</f>
        <v>1</v>
      </c>
      <c r="S3786" s="2" t="s">
        <v>97</v>
      </c>
    </row>
    <row r="3787" spans="1:19" x14ac:dyDescent="0.3">
      <c r="A3787" s="4">
        <v>3785</v>
      </c>
      <c r="B3787" s="2" t="s">
        <v>72</v>
      </c>
      <c r="C3787" s="3">
        <v>44849</v>
      </c>
      <c r="D3787" s="3" t="str">
        <f>TEXT(Table1[[#This Row],[Admission Date]],"MMMM")</f>
        <v>October</v>
      </c>
      <c r="E3787" s="3">
        <v>44850</v>
      </c>
      <c r="F3787" s="3">
        <v>44850</v>
      </c>
      <c r="G3787" s="2">
        <v>22027298</v>
      </c>
      <c r="H3787" s="2">
        <v>2236114</v>
      </c>
      <c r="I3787" s="2">
        <v>1001804515</v>
      </c>
      <c r="J3787" s="2" t="s">
        <v>2133</v>
      </c>
      <c r="K3787" s="10">
        <v>8215</v>
      </c>
      <c r="L3787" s="10">
        <v>0</v>
      </c>
      <c r="M3787" s="10">
        <v>8215</v>
      </c>
      <c r="N3787" s="10">
        <v>8215</v>
      </c>
      <c r="O3787" s="10">
        <f>Table1[[#This Row],[NET Amount]]-Table1[[#This Row],[Paid Amount]]</f>
        <v>0</v>
      </c>
      <c r="P3787" s="2" t="s">
        <v>18</v>
      </c>
      <c r="Q3787" s="2" t="s">
        <v>42</v>
      </c>
      <c r="R3787" s="16">
        <f>(Table1[[#This Row],[NET Amount]]-Table1[[#This Row],[Total Outstanding Amount]])/Table1[[#This Row],[NET Amount]]</f>
        <v>1</v>
      </c>
      <c r="S3787" s="2" t="s">
        <v>37</v>
      </c>
    </row>
    <row r="3788" spans="1:19" x14ac:dyDescent="0.3">
      <c r="A3788" s="4">
        <v>3786</v>
      </c>
      <c r="B3788" s="2" t="s">
        <v>25</v>
      </c>
      <c r="C3788" s="3">
        <v>44849</v>
      </c>
      <c r="D3788" s="3" t="str">
        <f>TEXT(Table1[[#This Row],[Admission Date]],"MMMM")</f>
        <v>October</v>
      </c>
      <c r="E3788" s="3">
        <v>44849</v>
      </c>
      <c r="F3788" s="3">
        <v>44849</v>
      </c>
      <c r="G3788" s="2">
        <v>22027201</v>
      </c>
      <c r="H3788" s="2">
        <v>2236131</v>
      </c>
      <c r="I3788" s="2">
        <v>10013460950</v>
      </c>
      <c r="J3788" s="2" t="s">
        <v>248</v>
      </c>
      <c r="K3788" s="10">
        <v>2844</v>
      </c>
      <c r="L3788" s="10">
        <v>308</v>
      </c>
      <c r="M3788" s="10">
        <v>2536</v>
      </c>
      <c r="N3788" s="10">
        <v>2536</v>
      </c>
      <c r="O3788" s="10">
        <f>Table1[[#This Row],[NET Amount]]-Table1[[#This Row],[Paid Amount]]</f>
        <v>0</v>
      </c>
      <c r="P3788" s="2" t="s">
        <v>18</v>
      </c>
      <c r="Q3788" s="2" t="s">
        <v>54</v>
      </c>
      <c r="R3788" s="16">
        <f>(Table1[[#This Row],[NET Amount]]-Table1[[#This Row],[Total Outstanding Amount]])/Table1[[#This Row],[NET Amount]]</f>
        <v>1</v>
      </c>
      <c r="S3788" s="2" t="s">
        <v>97</v>
      </c>
    </row>
    <row r="3789" spans="1:19" x14ac:dyDescent="0.3">
      <c r="A3789" s="4">
        <v>3787</v>
      </c>
      <c r="B3789" s="2" t="s">
        <v>25</v>
      </c>
      <c r="C3789" s="3">
        <v>44859</v>
      </c>
      <c r="D3789" s="3" t="str">
        <f>TEXT(Table1[[#This Row],[Admission Date]],"MMMM")</f>
        <v>October</v>
      </c>
      <c r="E3789" s="3">
        <v>44859</v>
      </c>
      <c r="F3789" s="3">
        <v>44859</v>
      </c>
      <c r="G3789" s="2">
        <v>22028561</v>
      </c>
      <c r="H3789" s="2">
        <v>2237255</v>
      </c>
      <c r="I3789" s="2">
        <v>1001806003</v>
      </c>
      <c r="J3789" s="2" t="s">
        <v>2134</v>
      </c>
      <c r="K3789" s="10">
        <v>59254</v>
      </c>
      <c r="L3789" s="10">
        <v>8428</v>
      </c>
      <c r="M3789" s="10">
        <v>50826</v>
      </c>
      <c r="N3789" s="10">
        <v>50826</v>
      </c>
      <c r="O3789" s="10">
        <f>Table1[[#This Row],[NET Amount]]-Table1[[#This Row],[Paid Amount]]</f>
        <v>0</v>
      </c>
      <c r="P3789" s="2" t="s">
        <v>18</v>
      </c>
      <c r="Q3789" s="2" t="s">
        <v>24</v>
      </c>
      <c r="R3789" s="16">
        <f>(Table1[[#This Row],[NET Amount]]-Table1[[#This Row],[Total Outstanding Amount]])/Table1[[#This Row],[NET Amount]]</f>
        <v>1</v>
      </c>
      <c r="S3789" s="2" t="s">
        <v>55</v>
      </c>
    </row>
    <row r="3790" spans="1:19" x14ac:dyDescent="0.3">
      <c r="A3790" s="4">
        <v>3788</v>
      </c>
      <c r="B3790" s="2" t="s">
        <v>126</v>
      </c>
      <c r="C3790" s="3">
        <v>44860</v>
      </c>
      <c r="D3790" s="3" t="str">
        <f>TEXT(Table1[[#This Row],[Admission Date]],"MMMM")</f>
        <v>October</v>
      </c>
      <c r="E3790" s="3">
        <v>44862</v>
      </c>
      <c r="F3790" s="3">
        <v>44862</v>
      </c>
      <c r="G3790" s="2">
        <v>22028871</v>
      </c>
      <c r="H3790" s="2">
        <v>2237578</v>
      </c>
      <c r="I3790" s="2">
        <v>10013352490</v>
      </c>
      <c r="J3790" s="2" t="s">
        <v>2135</v>
      </c>
      <c r="K3790" s="10">
        <v>21478</v>
      </c>
      <c r="L3790" s="10">
        <v>2771</v>
      </c>
      <c r="M3790" s="10">
        <v>18707</v>
      </c>
      <c r="N3790" s="10">
        <v>2645</v>
      </c>
      <c r="O3790" s="10">
        <f>Table1[[#This Row],[NET Amount]]-Table1[[#This Row],[Paid Amount]]</f>
        <v>16062</v>
      </c>
      <c r="P3790" s="2" t="s">
        <v>23</v>
      </c>
      <c r="Q3790" s="2" t="s">
        <v>24</v>
      </c>
      <c r="R3790" s="16">
        <f>(Table1[[#This Row],[NET Amount]]-Table1[[#This Row],[Total Outstanding Amount]])/Table1[[#This Row],[NET Amount]]</f>
        <v>0.14139092318383492</v>
      </c>
      <c r="S3790" s="2" t="s">
        <v>37</v>
      </c>
    </row>
    <row r="3791" spans="1:19" x14ac:dyDescent="0.3">
      <c r="A3791" s="4">
        <v>3789</v>
      </c>
      <c r="B3791" s="2" t="s">
        <v>25</v>
      </c>
      <c r="C3791" s="3">
        <v>44849</v>
      </c>
      <c r="D3791" s="3" t="str">
        <f>TEXT(Table1[[#This Row],[Admission Date]],"MMMM")</f>
        <v>October</v>
      </c>
      <c r="E3791" s="3">
        <v>44852</v>
      </c>
      <c r="F3791" s="3">
        <v>44852</v>
      </c>
      <c r="G3791" s="2">
        <v>22027519</v>
      </c>
      <c r="H3791" s="2">
        <v>2236180</v>
      </c>
      <c r="I3791" s="2">
        <v>1001804597</v>
      </c>
      <c r="J3791" s="2" t="s">
        <v>2136</v>
      </c>
      <c r="K3791" s="10">
        <v>18535</v>
      </c>
      <c r="L3791" s="10">
        <v>2271</v>
      </c>
      <c r="M3791" s="10">
        <v>16264</v>
      </c>
      <c r="N3791" s="10">
        <v>16264</v>
      </c>
      <c r="O3791" s="10">
        <f>Table1[[#This Row],[NET Amount]]-Table1[[#This Row],[Paid Amount]]</f>
        <v>0</v>
      </c>
      <c r="P3791" s="2" t="s">
        <v>18</v>
      </c>
      <c r="Q3791" s="2" t="s">
        <v>24</v>
      </c>
      <c r="R3791" s="16">
        <f>(Table1[[#This Row],[NET Amount]]-Table1[[#This Row],[Total Outstanding Amount]])/Table1[[#This Row],[NET Amount]]</f>
        <v>1</v>
      </c>
      <c r="S3791" s="2" t="s">
        <v>37</v>
      </c>
    </row>
    <row r="3792" spans="1:19" x14ac:dyDescent="0.3">
      <c r="A3792" s="4">
        <v>3790</v>
      </c>
      <c r="B3792" s="2" t="s">
        <v>144</v>
      </c>
      <c r="C3792" s="3">
        <v>44853</v>
      </c>
      <c r="D3792" s="3" t="str">
        <f>TEXT(Table1[[#This Row],[Admission Date]],"MMMM")</f>
        <v>October</v>
      </c>
      <c r="E3792" s="3">
        <v>44855</v>
      </c>
      <c r="F3792" s="3">
        <v>44855</v>
      </c>
      <c r="G3792" s="2">
        <v>22028013</v>
      </c>
      <c r="H3792" s="2">
        <v>2236604</v>
      </c>
      <c r="I3792" s="2">
        <v>1001022894</v>
      </c>
      <c r="J3792" s="2" t="s">
        <v>929</v>
      </c>
      <c r="K3792" s="10">
        <v>47224</v>
      </c>
      <c r="L3792" s="10">
        <v>0</v>
      </c>
      <c r="M3792" s="10">
        <v>47224</v>
      </c>
      <c r="N3792" s="10">
        <v>47220</v>
      </c>
      <c r="O3792" s="10">
        <f>Table1[[#This Row],[NET Amount]]-Table1[[#This Row],[Paid Amount]]</f>
        <v>4</v>
      </c>
      <c r="P3792" s="2" t="s">
        <v>23</v>
      </c>
      <c r="Q3792" s="2" t="s">
        <v>42</v>
      </c>
      <c r="R3792" s="16">
        <f>(Table1[[#This Row],[NET Amount]]-Table1[[#This Row],[Total Outstanding Amount]])/Table1[[#This Row],[NET Amount]]</f>
        <v>0.99991529730645434</v>
      </c>
      <c r="S3792" s="2" t="s">
        <v>162</v>
      </c>
    </row>
    <row r="3793" spans="1:19" x14ac:dyDescent="0.3">
      <c r="A3793" s="4">
        <v>3791</v>
      </c>
      <c r="B3793" s="2" t="s">
        <v>126</v>
      </c>
      <c r="C3793" s="3">
        <v>44847</v>
      </c>
      <c r="D3793" s="3" t="str">
        <f>TEXT(Table1[[#This Row],[Admission Date]],"MMMM")</f>
        <v>October</v>
      </c>
      <c r="E3793" s="3">
        <v>44848</v>
      </c>
      <c r="F3793" s="3">
        <v>44848</v>
      </c>
      <c r="G3793" s="2">
        <v>22027003</v>
      </c>
      <c r="H3793" s="2">
        <v>2235787</v>
      </c>
      <c r="I3793" s="2">
        <v>1001368856</v>
      </c>
      <c r="J3793" s="2" t="s">
        <v>2108</v>
      </c>
      <c r="K3793" s="10">
        <v>244134</v>
      </c>
      <c r="L3793" s="10">
        <v>0</v>
      </c>
      <c r="M3793" s="10">
        <v>244134</v>
      </c>
      <c r="N3793" s="10">
        <v>3250</v>
      </c>
      <c r="O3793" s="10">
        <f>Table1[[#This Row],[NET Amount]]-Table1[[#This Row],[Paid Amount]]</f>
        <v>240884</v>
      </c>
      <c r="P3793" s="2" t="s">
        <v>23</v>
      </c>
      <c r="Q3793" s="2" t="s">
        <v>24</v>
      </c>
      <c r="R3793" s="16">
        <f>(Table1[[#This Row],[NET Amount]]-Table1[[#This Row],[Total Outstanding Amount]])/Table1[[#This Row],[NET Amount]]</f>
        <v>1.3312361244234723E-2</v>
      </c>
      <c r="S3793" s="2" t="s">
        <v>39</v>
      </c>
    </row>
    <row r="3794" spans="1:19" x14ac:dyDescent="0.3">
      <c r="A3794" s="4">
        <v>3792</v>
      </c>
      <c r="B3794" s="2" t="s">
        <v>75</v>
      </c>
      <c r="C3794" s="3">
        <v>44861</v>
      </c>
      <c r="D3794" s="3" t="str">
        <f>TEXT(Table1[[#This Row],[Admission Date]],"MMMM")</f>
        <v>October</v>
      </c>
      <c r="E3794" s="3">
        <v>44862</v>
      </c>
      <c r="F3794" s="3">
        <v>44862</v>
      </c>
      <c r="G3794" s="2">
        <v>22028859</v>
      </c>
      <c r="H3794" s="2">
        <v>2237686</v>
      </c>
      <c r="I3794" s="2">
        <v>10013542609</v>
      </c>
      <c r="J3794" s="2" t="s">
        <v>2137</v>
      </c>
      <c r="K3794" s="10">
        <v>44383</v>
      </c>
      <c r="L3794" s="10">
        <v>0</v>
      </c>
      <c r="M3794" s="10">
        <v>44383</v>
      </c>
      <c r="N3794" s="10">
        <v>3842</v>
      </c>
      <c r="O3794" s="10">
        <f>Table1[[#This Row],[NET Amount]]-Table1[[#This Row],[Paid Amount]]</f>
        <v>40541</v>
      </c>
      <c r="P3794" s="2" t="s">
        <v>23</v>
      </c>
      <c r="Q3794" s="2" t="s">
        <v>24</v>
      </c>
      <c r="R3794" s="16">
        <f>(Table1[[#This Row],[NET Amount]]-Table1[[#This Row],[Total Outstanding Amount]])/Table1[[#This Row],[NET Amount]]</f>
        <v>8.6564675664105625E-2</v>
      </c>
      <c r="S3794" s="2" t="s">
        <v>20</v>
      </c>
    </row>
    <row r="3795" spans="1:19" x14ac:dyDescent="0.3">
      <c r="A3795" s="4">
        <v>3793</v>
      </c>
      <c r="B3795" s="2" t="s">
        <v>61</v>
      </c>
      <c r="C3795" s="3">
        <v>44860</v>
      </c>
      <c r="D3795" s="3" t="str">
        <f>TEXT(Table1[[#This Row],[Admission Date]],"MMMM")</f>
        <v>October</v>
      </c>
      <c r="E3795" s="3">
        <v>44862</v>
      </c>
      <c r="F3795" s="3">
        <v>44862</v>
      </c>
      <c r="G3795" s="2">
        <v>22028864</v>
      </c>
      <c r="H3795" s="2">
        <v>2237550</v>
      </c>
      <c r="I3795" s="2">
        <v>1001806413</v>
      </c>
      <c r="J3795" s="2" t="s">
        <v>2138</v>
      </c>
      <c r="K3795" s="10">
        <v>42126</v>
      </c>
      <c r="L3795" s="10">
        <v>5900</v>
      </c>
      <c r="M3795" s="10">
        <v>36226</v>
      </c>
      <c r="N3795" s="10">
        <v>15132</v>
      </c>
      <c r="O3795" s="10">
        <f>Table1[[#This Row],[NET Amount]]-Table1[[#This Row],[Paid Amount]]</f>
        <v>21094</v>
      </c>
      <c r="P3795" s="2" t="s">
        <v>23</v>
      </c>
      <c r="Q3795" s="2" t="s">
        <v>30</v>
      </c>
      <c r="R3795" s="16">
        <f>(Table1[[#This Row],[NET Amount]]-Table1[[#This Row],[Total Outstanding Amount]])/Table1[[#This Row],[NET Amount]]</f>
        <v>0.41771103627229061</v>
      </c>
      <c r="S3795" s="2" t="s">
        <v>20</v>
      </c>
    </row>
    <row r="3796" spans="1:19" x14ac:dyDescent="0.3">
      <c r="A3796" s="4">
        <v>3794</v>
      </c>
      <c r="B3796" s="2" t="s">
        <v>25</v>
      </c>
      <c r="C3796" s="3">
        <v>44860</v>
      </c>
      <c r="D3796" s="3" t="str">
        <f>TEXT(Table1[[#This Row],[Admission Date]],"MMMM")</f>
        <v>October</v>
      </c>
      <c r="E3796" s="3">
        <v>44862</v>
      </c>
      <c r="F3796" s="3">
        <v>44862</v>
      </c>
      <c r="G3796" s="2">
        <v>22028940</v>
      </c>
      <c r="H3796" s="2">
        <v>2237445</v>
      </c>
      <c r="I3796" s="2">
        <v>10013544500</v>
      </c>
      <c r="J3796" s="2" t="s">
        <v>2139</v>
      </c>
      <c r="K3796" s="10">
        <v>79794</v>
      </c>
      <c r="L3796" s="10">
        <v>11482</v>
      </c>
      <c r="M3796" s="10">
        <v>68311</v>
      </c>
      <c r="N3796" s="10">
        <v>68311</v>
      </c>
      <c r="O3796" s="10">
        <f>Table1[[#This Row],[NET Amount]]-Table1[[#This Row],[Paid Amount]]</f>
        <v>0</v>
      </c>
      <c r="P3796" s="2" t="s">
        <v>18</v>
      </c>
      <c r="Q3796" s="2" t="s">
        <v>24</v>
      </c>
      <c r="R3796" s="16">
        <f>(Table1[[#This Row],[NET Amount]]-Table1[[#This Row],[Total Outstanding Amount]])/Table1[[#This Row],[NET Amount]]</f>
        <v>1</v>
      </c>
      <c r="S3796" s="2" t="s">
        <v>77</v>
      </c>
    </row>
    <row r="3797" spans="1:19" x14ac:dyDescent="0.3">
      <c r="A3797" s="4">
        <v>3795</v>
      </c>
      <c r="B3797" s="2" t="s">
        <v>21</v>
      </c>
      <c r="C3797" s="3">
        <v>44851</v>
      </c>
      <c r="D3797" s="3" t="str">
        <f>TEXT(Table1[[#This Row],[Admission Date]],"MMMM")</f>
        <v>October</v>
      </c>
      <c r="E3797" s="3">
        <v>44855</v>
      </c>
      <c r="F3797" s="3">
        <v>44855</v>
      </c>
      <c r="G3797" s="2">
        <v>22028025</v>
      </c>
      <c r="H3797" s="2">
        <v>2236272</v>
      </c>
      <c r="I3797" s="2">
        <v>10013543312</v>
      </c>
      <c r="J3797" s="2" t="s">
        <v>232</v>
      </c>
      <c r="K3797" s="10">
        <v>54198</v>
      </c>
      <c r="L3797" s="10">
        <v>0</v>
      </c>
      <c r="M3797" s="10">
        <v>54198</v>
      </c>
      <c r="N3797" s="10">
        <v>54198</v>
      </c>
      <c r="O3797" s="10">
        <f>Table1[[#This Row],[NET Amount]]-Table1[[#This Row],[Paid Amount]]</f>
        <v>0</v>
      </c>
      <c r="P3797" s="2" t="s">
        <v>18</v>
      </c>
      <c r="Q3797" s="2" t="s">
        <v>24</v>
      </c>
      <c r="R3797" s="16">
        <f>(Table1[[#This Row],[NET Amount]]-Table1[[#This Row],[Total Outstanding Amount]])/Table1[[#This Row],[NET Amount]]</f>
        <v>1</v>
      </c>
      <c r="S3797" s="2" t="s">
        <v>95</v>
      </c>
    </row>
    <row r="3798" spans="1:19" x14ac:dyDescent="0.3">
      <c r="A3798" s="4">
        <v>3796</v>
      </c>
      <c r="B3798" s="2" t="s">
        <v>2257</v>
      </c>
      <c r="C3798" s="3">
        <v>44842</v>
      </c>
      <c r="D3798" s="3" t="str">
        <f>TEXT(Table1[[#This Row],[Admission Date]],"MMMM")</f>
        <v>October</v>
      </c>
      <c r="E3798" s="3">
        <v>44842</v>
      </c>
      <c r="F3798" s="3">
        <v>44842</v>
      </c>
      <c r="G3798" s="2">
        <v>22026188</v>
      </c>
      <c r="H3798" s="2">
        <v>2235183</v>
      </c>
      <c r="I3798" s="2">
        <v>1001689981</v>
      </c>
      <c r="J3798" s="2" t="s">
        <v>253</v>
      </c>
      <c r="K3798" s="10">
        <v>2950</v>
      </c>
      <c r="L3798" s="10">
        <v>0</v>
      </c>
      <c r="M3798" s="10">
        <v>2950</v>
      </c>
      <c r="N3798" s="10">
        <v>167</v>
      </c>
      <c r="O3798" s="10">
        <f>Table1[[#This Row],[NET Amount]]-Table1[[#This Row],[Paid Amount]]</f>
        <v>2783</v>
      </c>
      <c r="P3798" s="2" t="s">
        <v>23</v>
      </c>
      <c r="Q3798" s="2" t="s">
        <v>147</v>
      </c>
      <c r="R3798" s="16">
        <f>(Table1[[#This Row],[NET Amount]]-Table1[[#This Row],[Total Outstanding Amount]])/Table1[[#This Row],[NET Amount]]</f>
        <v>5.6610169491525426E-2</v>
      </c>
      <c r="S3798" s="2" t="s">
        <v>97</v>
      </c>
    </row>
    <row r="3799" spans="1:19" x14ac:dyDescent="0.3">
      <c r="A3799" s="4">
        <v>3797</v>
      </c>
      <c r="B3799" s="2" t="s">
        <v>2253</v>
      </c>
      <c r="C3799" s="3">
        <v>44840</v>
      </c>
      <c r="D3799" s="3" t="str">
        <f>TEXT(Table1[[#This Row],[Admission Date]],"MMMM")</f>
        <v>October</v>
      </c>
      <c r="E3799" s="3">
        <v>44850</v>
      </c>
      <c r="F3799" s="3">
        <v>44852</v>
      </c>
      <c r="G3799" s="2">
        <v>22027610</v>
      </c>
      <c r="H3799" s="2">
        <v>2234939</v>
      </c>
      <c r="I3799" s="2">
        <v>1001802892</v>
      </c>
      <c r="J3799" s="2" t="s">
        <v>2140</v>
      </c>
      <c r="K3799" s="10">
        <v>83664</v>
      </c>
      <c r="L3799" s="10">
        <v>0</v>
      </c>
      <c r="M3799" s="10">
        <v>83664</v>
      </c>
      <c r="N3799" s="10">
        <v>7888</v>
      </c>
      <c r="O3799" s="10">
        <f>Table1[[#This Row],[NET Amount]]-Table1[[#This Row],[Paid Amount]]</f>
        <v>75776</v>
      </c>
      <c r="P3799" s="2" t="s">
        <v>23</v>
      </c>
      <c r="Q3799" s="2" t="s">
        <v>24</v>
      </c>
      <c r="R3799" s="16">
        <f>(Table1[[#This Row],[NET Amount]]-Table1[[#This Row],[Total Outstanding Amount]])/Table1[[#This Row],[NET Amount]]</f>
        <v>9.4281889462612359E-2</v>
      </c>
      <c r="S3799" s="2" t="s">
        <v>20</v>
      </c>
    </row>
    <row r="3800" spans="1:19" x14ac:dyDescent="0.3">
      <c r="A3800" s="4">
        <v>3798</v>
      </c>
      <c r="B3800" s="2" t="s">
        <v>25</v>
      </c>
      <c r="C3800" s="3">
        <v>44834</v>
      </c>
      <c r="D3800" s="3" t="str">
        <f>TEXT(Table1[[#This Row],[Admission Date]],"MMMM")</f>
        <v>September</v>
      </c>
      <c r="E3800" s="3">
        <v>44836</v>
      </c>
      <c r="F3800" s="3">
        <v>44836</v>
      </c>
      <c r="G3800" s="2">
        <v>22025275</v>
      </c>
      <c r="H3800" s="2">
        <v>2234033</v>
      </c>
      <c r="I3800" s="2">
        <v>10013540830</v>
      </c>
      <c r="J3800" s="2" t="s">
        <v>2141</v>
      </c>
      <c r="K3800" s="10">
        <v>324052</v>
      </c>
      <c r="L3800" s="10">
        <v>14480</v>
      </c>
      <c r="M3800" s="10">
        <v>309572</v>
      </c>
      <c r="N3800" s="10">
        <v>309572</v>
      </c>
      <c r="O3800" s="10">
        <f>Table1[[#This Row],[NET Amount]]-Table1[[#This Row],[Paid Amount]]</f>
        <v>0</v>
      </c>
      <c r="P3800" s="2" t="s">
        <v>18</v>
      </c>
      <c r="Q3800" s="2" t="s">
        <v>24</v>
      </c>
      <c r="R3800" s="16">
        <f>(Table1[[#This Row],[NET Amount]]-Table1[[#This Row],[Total Outstanding Amount]])/Table1[[#This Row],[NET Amount]]</f>
        <v>1</v>
      </c>
      <c r="S3800" s="2" t="s">
        <v>39</v>
      </c>
    </row>
    <row r="3801" spans="1:19" x14ac:dyDescent="0.3">
      <c r="A3801" s="4">
        <v>3799</v>
      </c>
      <c r="B3801" s="2" t="s">
        <v>149</v>
      </c>
      <c r="C3801" s="3">
        <v>44860</v>
      </c>
      <c r="D3801" s="3" t="str">
        <f>TEXT(Table1[[#This Row],[Admission Date]],"MMMM")</f>
        <v>October</v>
      </c>
      <c r="E3801" s="3">
        <v>44862</v>
      </c>
      <c r="F3801" s="3">
        <v>44862</v>
      </c>
      <c r="G3801" s="2">
        <v>22028888</v>
      </c>
      <c r="H3801" s="2">
        <v>2237487</v>
      </c>
      <c r="I3801" s="2">
        <v>10013544547</v>
      </c>
      <c r="J3801" s="2" t="s">
        <v>2142</v>
      </c>
      <c r="K3801" s="10">
        <v>78316</v>
      </c>
      <c r="L3801" s="10">
        <v>0</v>
      </c>
      <c r="M3801" s="10">
        <v>78316</v>
      </c>
      <c r="N3801" s="10">
        <v>0</v>
      </c>
      <c r="O3801" s="10">
        <f>Table1[[#This Row],[NET Amount]]-Table1[[#This Row],[Paid Amount]]</f>
        <v>78316</v>
      </c>
      <c r="P3801" s="2" t="s">
        <v>23</v>
      </c>
      <c r="Q3801" s="2" t="s">
        <v>104</v>
      </c>
      <c r="R3801" s="16">
        <f>(Table1[[#This Row],[NET Amount]]-Table1[[#This Row],[Total Outstanding Amount]])/Table1[[#This Row],[NET Amount]]</f>
        <v>0</v>
      </c>
      <c r="S3801" s="2" t="s">
        <v>77</v>
      </c>
    </row>
    <row r="3802" spans="1:19" x14ac:dyDescent="0.3">
      <c r="A3802" s="4">
        <v>3800</v>
      </c>
      <c r="B3802" s="2" t="s">
        <v>28</v>
      </c>
      <c r="C3802" s="3">
        <v>44860</v>
      </c>
      <c r="D3802" s="3" t="str">
        <f>TEXT(Table1[[#This Row],[Admission Date]],"MMMM")</f>
        <v>October</v>
      </c>
      <c r="E3802" s="3">
        <v>44862</v>
      </c>
      <c r="F3802" s="3">
        <v>44862</v>
      </c>
      <c r="G3802" s="2">
        <v>22028884</v>
      </c>
      <c r="H3802" s="2">
        <v>2237519</v>
      </c>
      <c r="I3802" s="2">
        <v>10013544573</v>
      </c>
      <c r="J3802" s="2" t="s">
        <v>855</v>
      </c>
      <c r="K3802" s="10">
        <v>41541</v>
      </c>
      <c r="L3802" s="10">
        <v>4315</v>
      </c>
      <c r="M3802" s="10">
        <v>37226</v>
      </c>
      <c r="N3802" s="10">
        <v>2523</v>
      </c>
      <c r="O3802" s="10">
        <f>Table1[[#This Row],[NET Amount]]-Table1[[#This Row],[Paid Amount]]</f>
        <v>34703</v>
      </c>
      <c r="P3802" s="2" t="s">
        <v>23</v>
      </c>
      <c r="Q3802" s="2" t="s">
        <v>19</v>
      </c>
      <c r="R3802" s="16">
        <f>(Table1[[#This Row],[NET Amount]]-Table1[[#This Row],[Total Outstanding Amount]])/Table1[[#This Row],[NET Amount]]</f>
        <v>6.7775210874120237E-2</v>
      </c>
      <c r="S3802" s="2" t="s">
        <v>20</v>
      </c>
    </row>
    <row r="3803" spans="1:19" x14ac:dyDescent="0.3">
      <c r="A3803" s="4">
        <v>3801</v>
      </c>
      <c r="B3803" s="2" t="s">
        <v>25</v>
      </c>
      <c r="C3803" s="3">
        <v>44847</v>
      </c>
      <c r="D3803" s="3" t="str">
        <f>TEXT(Table1[[#This Row],[Admission Date]],"MMMM")</f>
        <v>October</v>
      </c>
      <c r="E3803" s="3">
        <v>44862</v>
      </c>
      <c r="F3803" s="3">
        <v>44862</v>
      </c>
      <c r="G3803" s="2">
        <v>22028958</v>
      </c>
      <c r="H3803" s="2">
        <v>2235887</v>
      </c>
      <c r="I3803" s="2">
        <v>10013539646</v>
      </c>
      <c r="J3803" s="2" t="s">
        <v>188</v>
      </c>
      <c r="K3803" s="10">
        <v>368838</v>
      </c>
      <c r="L3803" s="10">
        <v>368838</v>
      </c>
      <c r="M3803" s="10">
        <v>0</v>
      </c>
      <c r="N3803" s="10">
        <v>0</v>
      </c>
      <c r="O3803" s="10">
        <f>Table1[[#This Row],[NET Amount]]-Table1[[#This Row],[Paid Amount]]</f>
        <v>0</v>
      </c>
      <c r="P3803" s="2" t="s">
        <v>18</v>
      </c>
      <c r="Q3803" s="2" t="s">
        <v>90</v>
      </c>
      <c r="R3803" s="16" t="e">
        <f>(Table1[[#This Row],[NET Amount]]-Table1[[#This Row],[Total Outstanding Amount]])/Table1[[#This Row],[NET Amount]]</f>
        <v>#DIV/0!</v>
      </c>
      <c r="S3803" s="2" t="s">
        <v>32</v>
      </c>
    </row>
    <row r="3804" spans="1:19" x14ac:dyDescent="0.3">
      <c r="A3804" s="4">
        <v>3802</v>
      </c>
      <c r="B3804" s="2" t="s">
        <v>149</v>
      </c>
      <c r="C3804" s="3">
        <v>44840</v>
      </c>
      <c r="D3804" s="3" t="str">
        <f>TEXT(Table1[[#This Row],[Admission Date]],"MMMM")</f>
        <v>October</v>
      </c>
      <c r="E3804" s="3">
        <v>44843</v>
      </c>
      <c r="F3804" s="3">
        <v>44843</v>
      </c>
      <c r="G3804" s="2">
        <v>22026282</v>
      </c>
      <c r="H3804" s="2">
        <v>2234963</v>
      </c>
      <c r="I3804" s="2">
        <v>10013541899</v>
      </c>
      <c r="J3804" s="2" t="s">
        <v>2143</v>
      </c>
      <c r="K3804" s="10">
        <v>42583</v>
      </c>
      <c r="L3804" s="10">
        <v>0</v>
      </c>
      <c r="M3804" s="10">
        <v>42583</v>
      </c>
      <c r="N3804" s="10">
        <v>25000</v>
      </c>
      <c r="O3804" s="10">
        <f>Table1[[#This Row],[NET Amount]]-Table1[[#This Row],[Paid Amount]]</f>
        <v>17583</v>
      </c>
      <c r="P3804" s="2" t="s">
        <v>23</v>
      </c>
      <c r="Q3804" s="2" t="s">
        <v>30</v>
      </c>
      <c r="R3804" s="16">
        <f>(Table1[[#This Row],[NET Amount]]-Table1[[#This Row],[Total Outstanding Amount]])/Table1[[#This Row],[NET Amount]]</f>
        <v>0.58708874433459357</v>
      </c>
      <c r="S3804" s="2" t="s">
        <v>20</v>
      </c>
    </row>
    <row r="3805" spans="1:19" x14ac:dyDescent="0.3">
      <c r="A3805" s="4">
        <v>3803</v>
      </c>
      <c r="B3805" s="2" t="s">
        <v>2260</v>
      </c>
      <c r="C3805" s="3">
        <v>44845</v>
      </c>
      <c r="D3805" s="3" t="str">
        <f>TEXT(Table1[[#This Row],[Admission Date]],"MMMM")</f>
        <v>October</v>
      </c>
      <c r="E3805" s="3">
        <v>44850</v>
      </c>
      <c r="F3805" s="3">
        <v>44850</v>
      </c>
      <c r="G3805" s="2">
        <v>22027283</v>
      </c>
      <c r="H3805" s="2">
        <v>2235529</v>
      </c>
      <c r="I3805" s="2">
        <v>1001467470</v>
      </c>
      <c r="J3805" s="2" t="s">
        <v>2144</v>
      </c>
      <c r="K3805" s="10">
        <v>30343</v>
      </c>
      <c r="L3805" s="10">
        <v>0</v>
      </c>
      <c r="M3805" s="10">
        <v>30343</v>
      </c>
      <c r="N3805" s="10">
        <v>1500</v>
      </c>
      <c r="O3805" s="10">
        <f>Table1[[#This Row],[NET Amount]]-Table1[[#This Row],[Paid Amount]]</f>
        <v>28843</v>
      </c>
      <c r="P3805" s="2" t="s">
        <v>23</v>
      </c>
      <c r="Q3805" s="2" t="s">
        <v>19</v>
      </c>
      <c r="R3805" s="16">
        <f>(Table1[[#This Row],[NET Amount]]-Table1[[#This Row],[Total Outstanding Amount]])/Table1[[#This Row],[NET Amount]]</f>
        <v>4.9434795504729262E-2</v>
      </c>
      <c r="S3805" s="2" t="s">
        <v>20</v>
      </c>
    </row>
    <row r="3806" spans="1:19" x14ac:dyDescent="0.3">
      <c r="A3806" s="4">
        <v>3804</v>
      </c>
      <c r="B3806" s="2" t="s">
        <v>2253</v>
      </c>
      <c r="C3806" s="3">
        <v>44831</v>
      </c>
      <c r="D3806" s="3" t="str">
        <f>TEXT(Table1[[#This Row],[Admission Date]],"MMMM")</f>
        <v>September</v>
      </c>
      <c r="E3806" s="3">
        <v>44837</v>
      </c>
      <c r="F3806" s="3">
        <v>44837</v>
      </c>
      <c r="G3806" s="2">
        <v>22025383</v>
      </c>
      <c r="H3806" s="2">
        <v>2233574</v>
      </c>
      <c r="I3806" s="2">
        <v>1001800891</v>
      </c>
      <c r="J3806" s="2" t="s">
        <v>784</v>
      </c>
      <c r="K3806" s="10">
        <v>44020</v>
      </c>
      <c r="L3806" s="10">
        <v>0</v>
      </c>
      <c r="M3806" s="10">
        <v>44020</v>
      </c>
      <c r="N3806" s="10">
        <v>1998</v>
      </c>
      <c r="O3806" s="10">
        <f>Table1[[#This Row],[NET Amount]]-Table1[[#This Row],[Paid Amount]]</f>
        <v>42022</v>
      </c>
      <c r="P3806" s="2" t="s">
        <v>23</v>
      </c>
      <c r="Q3806" s="2" t="s">
        <v>19</v>
      </c>
      <c r="R3806" s="16">
        <f>(Table1[[#This Row],[NET Amount]]-Table1[[#This Row],[Total Outstanding Amount]])/Table1[[#This Row],[NET Amount]]</f>
        <v>4.5388459791004088E-2</v>
      </c>
      <c r="S3806" s="2" t="s">
        <v>20</v>
      </c>
    </row>
    <row r="3807" spans="1:19" x14ac:dyDescent="0.3">
      <c r="A3807" s="4">
        <v>3805</v>
      </c>
      <c r="B3807" s="2" t="s">
        <v>113</v>
      </c>
      <c r="C3807" s="3">
        <v>44860</v>
      </c>
      <c r="D3807" s="3" t="str">
        <f>TEXT(Table1[[#This Row],[Admission Date]],"MMMM")</f>
        <v>October</v>
      </c>
      <c r="E3807" s="3">
        <v>44862</v>
      </c>
      <c r="F3807" s="3">
        <v>44862</v>
      </c>
      <c r="G3807" s="2">
        <v>22028933</v>
      </c>
      <c r="H3807" s="2">
        <v>2237476</v>
      </c>
      <c r="I3807" s="2">
        <v>10013452150</v>
      </c>
      <c r="J3807" s="2" t="s">
        <v>2145</v>
      </c>
      <c r="K3807" s="10">
        <v>104769</v>
      </c>
      <c r="L3807" s="10">
        <v>0</v>
      </c>
      <c r="M3807" s="10">
        <v>104769</v>
      </c>
      <c r="N3807" s="10">
        <v>104769</v>
      </c>
      <c r="O3807" s="10">
        <f>Table1[[#This Row],[NET Amount]]-Table1[[#This Row],[Paid Amount]]</f>
        <v>0</v>
      </c>
      <c r="P3807" s="2" t="s">
        <v>18</v>
      </c>
      <c r="Q3807" s="2" t="s">
        <v>19</v>
      </c>
      <c r="R3807" s="16">
        <f>(Table1[[#This Row],[NET Amount]]-Table1[[#This Row],[Total Outstanding Amount]])/Table1[[#This Row],[NET Amount]]</f>
        <v>1</v>
      </c>
      <c r="S3807" s="2" t="s">
        <v>201</v>
      </c>
    </row>
    <row r="3808" spans="1:19" x14ac:dyDescent="0.3">
      <c r="A3808" s="4">
        <v>3806</v>
      </c>
      <c r="B3808" s="2" t="s">
        <v>25</v>
      </c>
      <c r="C3808" s="3">
        <v>44865</v>
      </c>
      <c r="D3808" s="3" t="str">
        <f>TEXT(Table1[[#This Row],[Admission Date]],"MMMM")</f>
        <v>October</v>
      </c>
      <c r="E3808" s="3">
        <v>44865</v>
      </c>
      <c r="F3808" s="3">
        <v>44865</v>
      </c>
      <c r="G3808" s="2">
        <v>22029391</v>
      </c>
      <c r="H3808" s="2">
        <v>2238164</v>
      </c>
      <c r="I3808" s="2">
        <v>1001807287</v>
      </c>
      <c r="J3808" s="2" t="s">
        <v>2146</v>
      </c>
      <c r="K3808" s="10">
        <v>14000</v>
      </c>
      <c r="L3808" s="10">
        <v>0</v>
      </c>
      <c r="M3808" s="10">
        <v>14000</v>
      </c>
      <c r="N3808" s="10">
        <v>14000</v>
      </c>
      <c r="O3808" s="10">
        <f>Table1[[#This Row],[NET Amount]]-Table1[[#This Row],[Paid Amount]]</f>
        <v>0</v>
      </c>
      <c r="P3808" s="2" t="s">
        <v>18</v>
      </c>
      <c r="Q3808" s="2" t="s">
        <v>54</v>
      </c>
      <c r="R3808" s="16">
        <f>(Table1[[#This Row],[NET Amount]]-Table1[[#This Row],[Total Outstanding Amount]])/Table1[[#This Row],[NET Amount]]</f>
        <v>1</v>
      </c>
      <c r="S3808" s="2" t="s">
        <v>39</v>
      </c>
    </row>
    <row r="3809" spans="1:19" x14ac:dyDescent="0.3">
      <c r="A3809" s="4">
        <v>3807</v>
      </c>
      <c r="B3809" s="2" t="s">
        <v>25</v>
      </c>
      <c r="C3809" s="3">
        <v>44843</v>
      </c>
      <c r="D3809" s="3" t="str">
        <f>TEXT(Table1[[#This Row],[Admission Date]],"MMMM")</f>
        <v>October</v>
      </c>
      <c r="E3809" s="3">
        <v>44843</v>
      </c>
      <c r="F3809" s="3">
        <v>44843</v>
      </c>
      <c r="G3809" s="2">
        <v>22026271</v>
      </c>
      <c r="H3809" s="2">
        <v>2235269</v>
      </c>
      <c r="I3809" s="2">
        <v>10013241267</v>
      </c>
      <c r="J3809" s="2" t="s">
        <v>480</v>
      </c>
      <c r="K3809" s="10">
        <v>3590</v>
      </c>
      <c r="L3809" s="10">
        <v>258</v>
      </c>
      <c r="M3809" s="10">
        <v>3332</v>
      </c>
      <c r="N3809" s="10">
        <v>3332</v>
      </c>
      <c r="O3809" s="10">
        <f>Table1[[#This Row],[NET Amount]]-Table1[[#This Row],[Paid Amount]]</f>
        <v>0</v>
      </c>
      <c r="P3809" s="2" t="s">
        <v>18</v>
      </c>
      <c r="Q3809" s="2" t="s">
        <v>54</v>
      </c>
      <c r="R3809" s="16">
        <f>(Table1[[#This Row],[NET Amount]]-Table1[[#This Row],[Total Outstanding Amount]])/Table1[[#This Row],[NET Amount]]</f>
        <v>1</v>
      </c>
      <c r="S3809" s="2" t="s">
        <v>97</v>
      </c>
    </row>
    <row r="3810" spans="1:19" x14ac:dyDescent="0.3">
      <c r="A3810" s="4">
        <v>3808</v>
      </c>
      <c r="B3810" s="2" t="s">
        <v>166</v>
      </c>
      <c r="C3810" s="3">
        <v>44838</v>
      </c>
      <c r="D3810" s="3" t="str">
        <f>TEXT(Table1[[#This Row],[Admission Date]],"MMMM")</f>
        <v>October</v>
      </c>
      <c r="E3810" s="3">
        <v>44838</v>
      </c>
      <c r="F3810" s="3">
        <v>44838</v>
      </c>
      <c r="G3810" s="2">
        <v>22025549</v>
      </c>
      <c r="H3810" s="2">
        <v>2234553</v>
      </c>
      <c r="I3810" s="2">
        <v>10013471499</v>
      </c>
      <c r="J3810" s="2" t="s">
        <v>729</v>
      </c>
      <c r="K3810" s="10">
        <v>2200</v>
      </c>
      <c r="L3810" s="10">
        <v>0</v>
      </c>
      <c r="M3810" s="10">
        <v>2200</v>
      </c>
      <c r="N3810" s="10">
        <v>220</v>
      </c>
      <c r="O3810" s="10">
        <f>Table1[[#This Row],[NET Amount]]-Table1[[#This Row],[Paid Amount]]</f>
        <v>1980</v>
      </c>
      <c r="P3810" s="2" t="s">
        <v>23</v>
      </c>
      <c r="Q3810" s="2" t="s">
        <v>147</v>
      </c>
      <c r="R3810" s="16">
        <f>(Table1[[#This Row],[NET Amount]]-Table1[[#This Row],[Total Outstanding Amount]])/Table1[[#This Row],[NET Amount]]</f>
        <v>0.1</v>
      </c>
      <c r="S3810" s="2" t="s">
        <v>97</v>
      </c>
    </row>
    <row r="3811" spans="1:19" x14ac:dyDescent="0.3">
      <c r="A3811" s="4">
        <v>3809</v>
      </c>
      <c r="B3811" s="2" t="s">
        <v>25</v>
      </c>
      <c r="C3811" s="3">
        <v>44838</v>
      </c>
      <c r="D3811" s="3" t="str">
        <f>TEXT(Table1[[#This Row],[Admission Date]],"MMMM")</f>
        <v>October</v>
      </c>
      <c r="E3811" s="3">
        <v>44838</v>
      </c>
      <c r="F3811" s="3">
        <v>44838</v>
      </c>
      <c r="G3811" s="2">
        <v>22025576</v>
      </c>
      <c r="H3811" s="2">
        <v>2234581</v>
      </c>
      <c r="I3811" s="2">
        <v>10013372212</v>
      </c>
      <c r="J3811" s="2" t="s">
        <v>338</v>
      </c>
      <c r="K3811" s="10">
        <v>4990</v>
      </c>
      <c r="L3811" s="10">
        <v>417</v>
      </c>
      <c r="M3811" s="10">
        <v>4573</v>
      </c>
      <c r="N3811" s="10">
        <v>4573</v>
      </c>
      <c r="O3811" s="10">
        <f>Table1[[#This Row],[NET Amount]]-Table1[[#This Row],[Paid Amount]]</f>
        <v>0</v>
      </c>
      <c r="P3811" s="2" t="s">
        <v>18</v>
      </c>
      <c r="Q3811" s="2" t="s">
        <v>54</v>
      </c>
      <c r="R3811" s="16">
        <f>(Table1[[#This Row],[NET Amount]]-Table1[[#This Row],[Total Outstanding Amount]])/Table1[[#This Row],[NET Amount]]</f>
        <v>1</v>
      </c>
      <c r="S3811" s="2" t="s">
        <v>97</v>
      </c>
    </row>
    <row r="3812" spans="1:19" x14ac:dyDescent="0.3">
      <c r="A3812" s="4">
        <v>3810</v>
      </c>
      <c r="B3812" s="2" t="s">
        <v>25</v>
      </c>
      <c r="C3812" s="3">
        <v>44838</v>
      </c>
      <c r="D3812" s="3" t="str">
        <f>TEXT(Table1[[#This Row],[Admission Date]],"MMMM")</f>
        <v>October</v>
      </c>
      <c r="E3812" s="3">
        <v>44838</v>
      </c>
      <c r="F3812" s="3">
        <v>44838</v>
      </c>
      <c r="G3812" s="2">
        <v>22025577</v>
      </c>
      <c r="H3812" s="2">
        <v>2234580</v>
      </c>
      <c r="I3812" s="2">
        <v>10013527702</v>
      </c>
      <c r="J3812" s="2" t="s">
        <v>553</v>
      </c>
      <c r="K3812" s="10">
        <v>4990</v>
      </c>
      <c r="L3812" s="10">
        <v>417</v>
      </c>
      <c r="M3812" s="10">
        <v>4573</v>
      </c>
      <c r="N3812" s="10">
        <v>4573</v>
      </c>
      <c r="O3812" s="10">
        <f>Table1[[#This Row],[NET Amount]]-Table1[[#This Row],[Paid Amount]]</f>
        <v>0</v>
      </c>
      <c r="P3812" s="2" t="s">
        <v>18</v>
      </c>
      <c r="Q3812" s="2" t="s">
        <v>54</v>
      </c>
      <c r="R3812" s="16">
        <f>(Table1[[#This Row],[NET Amount]]-Table1[[#This Row],[Total Outstanding Amount]])/Table1[[#This Row],[NET Amount]]</f>
        <v>1</v>
      </c>
      <c r="S3812" s="2" t="s">
        <v>97</v>
      </c>
    </row>
    <row r="3813" spans="1:19" x14ac:dyDescent="0.3">
      <c r="A3813" s="4">
        <v>3811</v>
      </c>
      <c r="B3813" s="2" t="s">
        <v>35</v>
      </c>
      <c r="C3813" s="3">
        <v>44838</v>
      </c>
      <c r="D3813" s="3" t="str">
        <f>TEXT(Table1[[#This Row],[Admission Date]],"MMMM")</f>
        <v>October</v>
      </c>
      <c r="E3813" s="3">
        <v>44838</v>
      </c>
      <c r="F3813" s="3">
        <v>44838</v>
      </c>
      <c r="G3813" s="2">
        <v>22025586</v>
      </c>
      <c r="H3813" s="2">
        <v>2234543</v>
      </c>
      <c r="I3813" s="2">
        <v>10013487696</v>
      </c>
      <c r="J3813" s="2" t="s">
        <v>359</v>
      </c>
      <c r="K3813" s="10">
        <v>1610</v>
      </c>
      <c r="L3813" s="10">
        <v>0</v>
      </c>
      <c r="M3813" s="10">
        <v>1610</v>
      </c>
      <c r="N3813" s="10">
        <v>1610</v>
      </c>
      <c r="O3813" s="10">
        <f>Table1[[#This Row],[NET Amount]]-Table1[[#This Row],[Paid Amount]]</f>
        <v>0</v>
      </c>
      <c r="P3813" s="2" t="s">
        <v>18</v>
      </c>
      <c r="Q3813" s="2" t="s">
        <v>54</v>
      </c>
      <c r="R3813" s="16">
        <f>(Table1[[#This Row],[NET Amount]]-Table1[[#This Row],[Total Outstanding Amount]])/Table1[[#This Row],[NET Amount]]</f>
        <v>1</v>
      </c>
      <c r="S3813" s="2" t="s">
        <v>97</v>
      </c>
    </row>
    <row r="3814" spans="1:19" x14ac:dyDescent="0.3">
      <c r="A3814" s="4">
        <v>3812</v>
      </c>
      <c r="B3814" s="2" t="s">
        <v>75</v>
      </c>
      <c r="C3814" s="3">
        <v>44857</v>
      </c>
      <c r="D3814" s="3" t="str">
        <f>TEXT(Table1[[#This Row],[Admission Date]],"MMMM")</f>
        <v>October</v>
      </c>
      <c r="E3814" s="3">
        <v>44860</v>
      </c>
      <c r="F3814" s="3">
        <v>44860</v>
      </c>
      <c r="G3814" s="2">
        <v>22028634</v>
      </c>
      <c r="H3814" s="2">
        <v>2237113</v>
      </c>
      <c r="I3814" s="2">
        <v>1001435209</v>
      </c>
      <c r="J3814" s="2" t="s">
        <v>1019</v>
      </c>
      <c r="K3814" s="10">
        <v>43657</v>
      </c>
      <c r="L3814" s="10">
        <v>0</v>
      </c>
      <c r="M3814" s="10">
        <v>43657</v>
      </c>
      <c r="N3814" s="10">
        <v>1781</v>
      </c>
      <c r="O3814" s="10">
        <f>Table1[[#This Row],[NET Amount]]-Table1[[#This Row],[Paid Amount]]</f>
        <v>41876</v>
      </c>
      <c r="P3814" s="2" t="s">
        <v>23</v>
      </c>
      <c r="Q3814" s="2" t="s">
        <v>24</v>
      </c>
      <c r="R3814" s="16">
        <f>(Table1[[#This Row],[NET Amount]]-Table1[[#This Row],[Total Outstanding Amount]])/Table1[[#This Row],[NET Amount]]</f>
        <v>4.0795290560505758E-2</v>
      </c>
      <c r="S3814" s="2" t="s">
        <v>39</v>
      </c>
    </row>
    <row r="3815" spans="1:19" x14ac:dyDescent="0.3">
      <c r="A3815" s="4">
        <v>3813</v>
      </c>
      <c r="B3815" s="2" t="s">
        <v>2254</v>
      </c>
      <c r="C3815" s="3">
        <v>44835</v>
      </c>
      <c r="D3815" s="3" t="str">
        <f>TEXT(Table1[[#This Row],[Admission Date]],"MMMM")</f>
        <v>October</v>
      </c>
      <c r="E3815" s="3">
        <v>44835</v>
      </c>
      <c r="F3815" s="3">
        <v>44835</v>
      </c>
      <c r="G3815" s="2">
        <v>22025227</v>
      </c>
      <c r="H3815" s="2">
        <v>2234185</v>
      </c>
      <c r="I3815" s="2">
        <v>1001801863</v>
      </c>
      <c r="J3815" s="2" t="s">
        <v>2147</v>
      </c>
      <c r="K3815" s="10">
        <v>32601</v>
      </c>
      <c r="L3815" s="10">
        <v>1980</v>
      </c>
      <c r="M3815" s="10">
        <v>30621</v>
      </c>
      <c r="N3815" s="10">
        <v>500</v>
      </c>
      <c r="O3815" s="10">
        <f>Table1[[#This Row],[NET Amount]]-Table1[[#This Row],[Paid Amount]]</f>
        <v>30121</v>
      </c>
      <c r="P3815" s="2" t="s">
        <v>23</v>
      </c>
      <c r="Q3815" s="2" t="s">
        <v>19</v>
      </c>
      <c r="R3815" s="16">
        <f>(Table1[[#This Row],[NET Amount]]-Table1[[#This Row],[Total Outstanding Amount]])/Table1[[#This Row],[NET Amount]]</f>
        <v>1.6328663335619345E-2</v>
      </c>
      <c r="S3815" s="2" t="s">
        <v>77</v>
      </c>
    </row>
    <row r="3816" spans="1:19" x14ac:dyDescent="0.3">
      <c r="A3816" s="4">
        <v>3814</v>
      </c>
      <c r="B3816" s="2" t="s">
        <v>126</v>
      </c>
      <c r="C3816" s="3">
        <v>44835</v>
      </c>
      <c r="D3816" s="3" t="str">
        <f>TEXT(Table1[[#This Row],[Admission Date]],"MMMM")</f>
        <v>October</v>
      </c>
      <c r="E3816" s="3">
        <v>44838</v>
      </c>
      <c r="F3816" s="3">
        <v>44838</v>
      </c>
      <c r="G3816" s="2">
        <v>22025514</v>
      </c>
      <c r="H3816" s="2">
        <v>2234204</v>
      </c>
      <c r="I3816" s="2">
        <v>1001483317</v>
      </c>
      <c r="J3816" s="2" t="s">
        <v>2148</v>
      </c>
      <c r="K3816" s="10">
        <v>71297</v>
      </c>
      <c r="L3816" s="10">
        <v>10371</v>
      </c>
      <c r="M3816" s="10">
        <v>60926</v>
      </c>
      <c r="N3816" s="10">
        <v>8587</v>
      </c>
      <c r="O3816" s="10">
        <f>Table1[[#This Row],[NET Amount]]-Table1[[#This Row],[Paid Amount]]</f>
        <v>52339</v>
      </c>
      <c r="P3816" s="2" t="s">
        <v>23</v>
      </c>
      <c r="Q3816" s="2" t="s">
        <v>24</v>
      </c>
      <c r="R3816" s="16">
        <f>(Table1[[#This Row],[NET Amount]]-Table1[[#This Row],[Total Outstanding Amount]])/Table1[[#This Row],[NET Amount]]</f>
        <v>0.1409414699799757</v>
      </c>
      <c r="S3816" s="2" t="s">
        <v>20</v>
      </c>
    </row>
    <row r="3817" spans="1:19" x14ac:dyDescent="0.3">
      <c r="A3817" s="4">
        <v>3815</v>
      </c>
      <c r="B3817" s="2" t="s">
        <v>25</v>
      </c>
      <c r="C3817" s="3">
        <v>44837</v>
      </c>
      <c r="D3817" s="3" t="str">
        <f>TEXT(Table1[[#This Row],[Admission Date]],"MMMM")</f>
        <v>October</v>
      </c>
      <c r="E3817" s="3">
        <v>44837</v>
      </c>
      <c r="F3817" s="3">
        <v>44837</v>
      </c>
      <c r="G3817" s="2">
        <v>22025410</v>
      </c>
      <c r="H3817" s="2">
        <v>2234412</v>
      </c>
      <c r="I3817" s="2">
        <v>1000891310</v>
      </c>
      <c r="J3817" s="2" t="s">
        <v>683</v>
      </c>
      <c r="K3817" s="10">
        <v>3319</v>
      </c>
      <c r="L3817" s="10">
        <v>3319</v>
      </c>
      <c r="M3817" s="10">
        <v>0</v>
      </c>
      <c r="N3817" s="10">
        <v>0</v>
      </c>
      <c r="O3817" s="10">
        <f>Table1[[#This Row],[NET Amount]]-Table1[[#This Row],[Paid Amount]]</f>
        <v>0</v>
      </c>
      <c r="P3817" s="2" t="s">
        <v>18</v>
      </c>
      <c r="Q3817" s="2" t="s">
        <v>90</v>
      </c>
      <c r="R3817" s="16" t="e">
        <f>(Table1[[#This Row],[NET Amount]]-Table1[[#This Row],[Total Outstanding Amount]])/Table1[[#This Row],[NET Amount]]</f>
        <v>#DIV/0!</v>
      </c>
      <c r="S3817" s="2" t="s">
        <v>97</v>
      </c>
    </row>
    <row r="3818" spans="1:19" x14ac:dyDescent="0.3">
      <c r="A3818" s="4">
        <v>3816</v>
      </c>
      <c r="B3818" s="2" t="s">
        <v>25</v>
      </c>
      <c r="C3818" s="3">
        <v>44860</v>
      </c>
      <c r="D3818" s="3" t="str">
        <f>TEXT(Table1[[#This Row],[Admission Date]],"MMMM")</f>
        <v>October</v>
      </c>
      <c r="E3818" s="3">
        <v>44860</v>
      </c>
      <c r="F3818" s="3">
        <v>44860</v>
      </c>
      <c r="G3818" s="2">
        <v>22028655</v>
      </c>
      <c r="H3818" s="2">
        <v>2237498</v>
      </c>
      <c r="I3818" s="2">
        <v>10013230754</v>
      </c>
      <c r="J3818" s="2" t="s">
        <v>102</v>
      </c>
      <c r="K3818" s="10">
        <v>4990</v>
      </c>
      <c r="L3818" s="10">
        <v>1545</v>
      </c>
      <c r="M3818" s="10">
        <v>3445</v>
      </c>
      <c r="N3818" s="10">
        <v>3445</v>
      </c>
      <c r="O3818" s="10">
        <f>Table1[[#This Row],[NET Amount]]-Table1[[#This Row],[Paid Amount]]</f>
        <v>0</v>
      </c>
      <c r="P3818" s="2" t="s">
        <v>18</v>
      </c>
      <c r="Q3818" s="2" t="s">
        <v>54</v>
      </c>
      <c r="R3818" s="16">
        <f>(Table1[[#This Row],[NET Amount]]-Table1[[#This Row],[Total Outstanding Amount]])/Table1[[#This Row],[NET Amount]]</f>
        <v>1</v>
      </c>
      <c r="S3818" s="2" t="s">
        <v>97</v>
      </c>
    </row>
    <row r="3819" spans="1:19" x14ac:dyDescent="0.3">
      <c r="A3819" s="4">
        <v>3817</v>
      </c>
      <c r="B3819" s="2" t="s">
        <v>259</v>
      </c>
      <c r="C3819" s="3">
        <v>44857</v>
      </c>
      <c r="D3819" s="3" t="str">
        <f>TEXT(Table1[[#This Row],[Admission Date]],"MMMM")</f>
        <v>October</v>
      </c>
      <c r="E3819" s="3">
        <v>44860</v>
      </c>
      <c r="F3819" s="3">
        <v>44860</v>
      </c>
      <c r="G3819" s="2">
        <v>22028647</v>
      </c>
      <c r="H3819" s="2">
        <v>2237145</v>
      </c>
      <c r="I3819" s="2">
        <v>10013544221</v>
      </c>
      <c r="J3819" s="2" t="s">
        <v>2149</v>
      </c>
      <c r="K3819" s="10">
        <v>79120</v>
      </c>
      <c r="L3819" s="10">
        <v>11158</v>
      </c>
      <c r="M3819" s="10">
        <v>67962</v>
      </c>
      <c r="N3819" s="10">
        <v>2915</v>
      </c>
      <c r="O3819" s="10">
        <f>Table1[[#This Row],[NET Amount]]-Table1[[#This Row],[Paid Amount]]</f>
        <v>65047</v>
      </c>
      <c r="P3819" s="2" t="s">
        <v>23</v>
      </c>
      <c r="Q3819" s="2" t="s">
        <v>24</v>
      </c>
      <c r="R3819" s="16">
        <f>(Table1[[#This Row],[NET Amount]]-Table1[[#This Row],[Total Outstanding Amount]])/Table1[[#This Row],[NET Amount]]</f>
        <v>4.2891615903004623E-2</v>
      </c>
      <c r="S3819" s="2" t="s">
        <v>20</v>
      </c>
    </row>
    <row r="3820" spans="1:19" x14ac:dyDescent="0.3">
      <c r="A3820" s="4">
        <v>3818</v>
      </c>
      <c r="B3820" s="2" t="s">
        <v>163</v>
      </c>
      <c r="C3820" s="3">
        <v>44855</v>
      </c>
      <c r="D3820" s="3" t="str">
        <f>TEXT(Table1[[#This Row],[Admission Date]],"MMMM")</f>
        <v>October</v>
      </c>
      <c r="E3820" s="3">
        <v>44860</v>
      </c>
      <c r="F3820" s="3">
        <v>44860</v>
      </c>
      <c r="G3820" s="2">
        <v>22028652</v>
      </c>
      <c r="H3820" s="2">
        <v>2236927</v>
      </c>
      <c r="I3820" s="2">
        <v>10013542867</v>
      </c>
      <c r="J3820" s="2" t="s">
        <v>2150</v>
      </c>
      <c r="K3820" s="10">
        <v>146427</v>
      </c>
      <c r="L3820" s="10">
        <v>0</v>
      </c>
      <c r="M3820" s="10">
        <v>146427</v>
      </c>
      <c r="N3820" s="10">
        <v>4095</v>
      </c>
      <c r="O3820" s="10">
        <f>Table1[[#This Row],[NET Amount]]-Table1[[#This Row],[Paid Amount]]</f>
        <v>142332</v>
      </c>
      <c r="P3820" s="2" t="s">
        <v>23</v>
      </c>
      <c r="Q3820" s="2" t="s">
        <v>19</v>
      </c>
      <c r="R3820" s="16">
        <f>(Table1[[#This Row],[NET Amount]]-Table1[[#This Row],[Total Outstanding Amount]])/Table1[[#This Row],[NET Amount]]</f>
        <v>2.7966153783113769E-2</v>
      </c>
      <c r="S3820" s="2" t="s">
        <v>162</v>
      </c>
    </row>
    <row r="3821" spans="1:19" x14ac:dyDescent="0.3">
      <c r="A3821" s="4">
        <v>3819</v>
      </c>
      <c r="B3821" s="2" t="s">
        <v>25</v>
      </c>
      <c r="C3821" s="3">
        <v>44855</v>
      </c>
      <c r="D3821" s="3" t="str">
        <f>TEXT(Table1[[#This Row],[Admission Date]],"MMMM")</f>
        <v>October</v>
      </c>
      <c r="E3821" s="3">
        <v>44860</v>
      </c>
      <c r="F3821" s="3">
        <v>44860</v>
      </c>
      <c r="G3821" s="2">
        <v>22028688</v>
      </c>
      <c r="H3821" s="2">
        <v>2236976</v>
      </c>
      <c r="I3821" s="2">
        <v>10013541434</v>
      </c>
      <c r="J3821" s="2" t="s">
        <v>2151</v>
      </c>
      <c r="K3821" s="10">
        <v>167829</v>
      </c>
      <c r="L3821" s="10">
        <v>167829</v>
      </c>
      <c r="M3821" s="10">
        <v>0</v>
      </c>
      <c r="N3821" s="10">
        <v>0</v>
      </c>
      <c r="O3821" s="10">
        <f>Table1[[#This Row],[NET Amount]]-Table1[[#This Row],[Paid Amount]]</f>
        <v>0</v>
      </c>
      <c r="P3821" s="2" t="s">
        <v>18</v>
      </c>
      <c r="Q3821" s="2" t="s">
        <v>90</v>
      </c>
      <c r="R3821" s="16" t="e">
        <f>(Table1[[#This Row],[NET Amount]]-Table1[[#This Row],[Total Outstanding Amount]])/Table1[[#This Row],[NET Amount]]</f>
        <v>#DIV/0!</v>
      </c>
      <c r="S3821" s="2" t="s">
        <v>20</v>
      </c>
    </row>
    <row r="3822" spans="1:19" x14ac:dyDescent="0.3">
      <c r="A3822" s="4">
        <v>3820</v>
      </c>
      <c r="B3822" s="2" t="s">
        <v>75</v>
      </c>
      <c r="C3822" s="3">
        <v>44852</v>
      </c>
      <c r="D3822" s="3" t="str">
        <f>TEXT(Table1[[#This Row],[Admission Date]],"MMMM")</f>
        <v>October</v>
      </c>
      <c r="E3822" s="3">
        <v>44855</v>
      </c>
      <c r="F3822" s="3">
        <v>44855</v>
      </c>
      <c r="G3822" s="2">
        <v>22028020</v>
      </c>
      <c r="H3822" s="2">
        <v>2236434</v>
      </c>
      <c r="I3822" s="2">
        <v>1001129289</v>
      </c>
      <c r="J3822" s="2" t="s">
        <v>1517</v>
      </c>
      <c r="K3822" s="10">
        <v>35952</v>
      </c>
      <c r="L3822" s="10">
        <v>0</v>
      </c>
      <c r="M3822" s="10">
        <v>35952</v>
      </c>
      <c r="N3822" s="10">
        <v>461</v>
      </c>
      <c r="O3822" s="10">
        <f>Table1[[#This Row],[NET Amount]]-Table1[[#This Row],[Paid Amount]]</f>
        <v>35491</v>
      </c>
      <c r="P3822" s="2" t="s">
        <v>23</v>
      </c>
      <c r="Q3822" s="2" t="s">
        <v>24</v>
      </c>
      <c r="R3822" s="16">
        <f>(Table1[[#This Row],[NET Amount]]-Table1[[#This Row],[Total Outstanding Amount]])/Table1[[#This Row],[NET Amount]]</f>
        <v>1.2822652425456164E-2</v>
      </c>
      <c r="S3822" s="2" t="s">
        <v>39</v>
      </c>
    </row>
    <row r="3823" spans="1:19" x14ac:dyDescent="0.3">
      <c r="A3823" s="4">
        <v>3821</v>
      </c>
      <c r="B3823" s="2" t="s">
        <v>25</v>
      </c>
      <c r="C3823" s="3">
        <v>44853</v>
      </c>
      <c r="D3823" s="3" t="str">
        <f>TEXT(Table1[[#This Row],[Admission Date]],"MMMM")</f>
        <v>October</v>
      </c>
      <c r="E3823" s="3">
        <v>44855</v>
      </c>
      <c r="F3823" s="3">
        <v>44855</v>
      </c>
      <c r="G3823" s="2">
        <v>22028057</v>
      </c>
      <c r="H3823" s="2">
        <v>2236649</v>
      </c>
      <c r="I3823" s="2">
        <v>1001225873</v>
      </c>
      <c r="J3823" s="2" t="s">
        <v>2152</v>
      </c>
      <c r="K3823" s="10">
        <v>73972</v>
      </c>
      <c r="L3823" s="10">
        <v>10303</v>
      </c>
      <c r="M3823" s="10">
        <v>63669</v>
      </c>
      <c r="N3823" s="10">
        <v>63669</v>
      </c>
      <c r="O3823" s="10">
        <f>Table1[[#This Row],[NET Amount]]-Table1[[#This Row],[Paid Amount]]</f>
        <v>0</v>
      </c>
      <c r="P3823" s="2" t="s">
        <v>18</v>
      </c>
      <c r="Q3823" s="2" t="s">
        <v>19</v>
      </c>
      <c r="R3823" s="16">
        <f>(Table1[[#This Row],[NET Amount]]-Table1[[#This Row],[Total Outstanding Amount]])/Table1[[#This Row],[NET Amount]]</f>
        <v>1</v>
      </c>
      <c r="S3823" s="2" t="s">
        <v>162</v>
      </c>
    </row>
    <row r="3824" spans="1:19" x14ac:dyDescent="0.3">
      <c r="A3824" s="4">
        <v>3822</v>
      </c>
      <c r="B3824" s="2" t="s">
        <v>25</v>
      </c>
      <c r="C3824" s="3">
        <v>44841</v>
      </c>
      <c r="D3824" s="3" t="str">
        <f>TEXT(Table1[[#This Row],[Admission Date]],"MMMM")</f>
        <v>October</v>
      </c>
      <c r="E3824" s="3">
        <v>44843</v>
      </c>
      <c r="F3824" s="3">
        <v>44843</v>
      </c>
      <c r="G3824" s="2">
        <v>22026296</v>
      </c>
      <c r="H3824" s="2">
        <v>2235000</v>
      </c>
      <c r="I3824" s="2">
        <v>10013530182</v>
      </c>
      <c r="J3824" s="2" t="s">
        <v>1295</v>
      </c>
      <c r="K3824" s="10">
        <v>47179</v>
      </c>
      <c r="L3824" s="10">
        <v>47179</v>
      </c>
      <c r="M3824" s="10">
        <v>0</v>
      </c>
      <c r="N3824" s="10">
        <v>0</v>
      </c>
      <c r="O3824" s="10">
        <f>Table1[[#This Row],[NET Amount]]-Table1[[#This Row],[Paid Amount]]</f>
        <v>0</v>
      </c>
      <c r="P3824" s="2" t="s">
        <v>18</v>
      </c>
      <c r="Q3824" s="2" t="s">
        <v>90</v>
      </c>
      <c r="R3824" s="16" t="e">
        <f>(Table1[[#This Row],[NET Amount]]-Table1[[#This Row],[Total Outstanding Amount]])/Table1[[#This Row],[NET Amount]]</f>
        <v>#DIV/0!</v>
      </c>
      <c r="S3824" s="2" t="s">
        <v>27</v>
      </c>
    </row>
    <row r="3825" spans="1:19" x14ac:dyDescent="0.3">
      <c r="A3825" s="4">
        <v>3823</v>
      </c>
      <c r="B3825" s="2" t="s">
        <v>80</v>
      </c>
      <c r="C3825" s="3">
        <v>44841</v>
      </c>
      <c r="D3825" s="3" t="str">
        <f>TEXT(Table1[[#This Row],[Admission Date]],"MMMM")</f>
        <v>October</v>
      </c>
      <c r="E3825" s="3">
        <v>44843</v>
      </c>
      <c r="F3825" s="3">
        <v>44843</v>
      </c>
      <c r="G3825" s="2">
        <v>22026306</v>
      </c>
      <c r="H3825" s="2">
        <v>2235098</v>
      </c>
      <c r="I3825" s="2">
        <v>1000943657</v>
      </c>
      <c r="J3825" s="2" t="s">
        <v>2153</v>
      </c>
      <c r="K3825" s="10">
        <v>68481</v>
      </c>
      <c r="L3825" s="10">
        <v>4092</v>
      </c>
      <c r="M3825" s="10">
        <v>64388</v>
      </c>
      <c r="N3825" s="10">
        <v>710</v>
      </c>
      <c r="O3825" s="10">
        <f>Table1[[#This Row],[NET Amount]]-Table1[[#This Row],[Paid Amount]]</f>
        <v>63678</v>
      </c>
      <c r="P3825" s="2" t="s">
        <v>23</v>
      </c>
      <c r="Q3825" s="2" t="s">
        <v>24</v>
      </c>
      <c r="R3825" s="16">
        <f>(Table1[[#This Row],[NET Amount]]-Table1[[#This Row],[Total Outstanding Amount]])/Table1[[#This Row],[NET Amount]]</f>
        <v>1.1026899422252594E-2</v>
      </c>
      <c r="S3825" s="2" t="s">
        <v>20</v>
      </c>
    </row>
    <row r="3826" spans="1:19" x14ac:dyDescent="0.3">
      <c r="A3826" s="4">
        <v>3824</v>
      </c>
      <c r="B3826" s="2" t="s">
        <v>35</v>
      </c>
      <c r="C3826" s="3">
        <v>44836</v>
      </c>
      <c r="D3826" s="3" t="str">
        <f>TEXT(Table1[[#This Row],[Admission Date]],"MMMM")</f>
        <v>October</v>
      </c>
      <c r="E3826" s="3">
        <v>44839</v>
      </c>
      <c r="F3826" s="3">
        <v>44839</v>
      </c>
      <c r="G3826" s="2">
        <v>22025701</v>
      </c>
      <c r="H3826" s="2">
        <v>2234311</v>
      </c>
      <c r="I3826" s="2">
        <v>10013541229</v>
      </c>
      <c r="J3826" s="2" t="s">
        <v>424</v>
      </c>
      <c r="K3826" s="10">
        <v>13845</v>
      </c>
      <c r="L3826" s="10">
        <v>0</v>
      </c>
      <c r="M3826" s="10">
        <v>13845</v>
      </c>
      <c r="N3826" s="10">
        <v>13845</v>
      </c>
      <c r="O3826" s="10">
        <f>Table1[[#This Row],[NET Amount]]-Table1[[#This Row],[Paid Amount]]</f>
        <v>0</v>
      </c>
      <c r="P3826" s="2" t="s">
        <v>18</v>
      </c>
      <c r="Q3826" s="2" t="s">
        <v>24</v>
      </c>
      <c r="R3826" s="16">
        <f>(Table1[[#This Row],[NET Amount]]-Table1[[#This Row],[Total Outstanding Amount]])/Table1[[#This Row],[NET Amount]]</f>
        <v>1</v>
      </c>
      <c r="S3826" s="2" t="s">
        <v>20</v>
      </c>
    </row>
    <row r="3827" spans="1:19" x14ac:dyDescent="0.3">
      <c r="A3827" s="4">
        <v>3825</v>
      </c>
      <c r="B3827" s="2" t="s">
        <v>545</v>
      </c>
      <c r="C3827" s="3">
        <v>44840</v>
      </c>
      <c r="D3827" s="3" t="str">
        <f>TEXT(Table1[[#This Row],[Admission Date]],"MMMM")</f>
        <v>October</v>
      </c>
      <c r="E3827" s="3">
        <v>44843</v>
      </c>
      <c r="F3827" s="3">
        <v>44843</v>
      </c>
      <c r="G3827" s="2">
        <v>22026290</v>
      </c>
      <c r="H3827" s="2">
        <v>2234883</v>
      </c>
      <c r="I3827" s="2">
        <v>1001802833</v>
      </c>
      <c r="J3827" s="2" t="s">
        <v>2154</v>
      </c>
      <c r="K3827" s="10">
        <v>32610</v>
      </c>
      <c r="L3827" s="10">
        <v>2836</v>
      </c>
      <c r="M3827" s="10">
        <v>29773</v>
      </c>
      <c r="N3827" s="10">
        <v>2762</v>
      </c>
      <c r="O3827" s="10">
        <f>Table1[[#This Row],[NET Amount]]-Table1[[#This Row],[Paid Amount]]</f>
        <v>27011</v>
      </c>
      <c r="P3827" s="2" t="s">
        <v>23</v>
      </c>
      <c r="Q3827" s="2" t="s">
        <v>24</v>
      </c>
      <c r="R3827" s="16">
        <f>(Table1[[#This Row],[NET Amount]]-Table1[[#This Row],[Total Outstanding Amount]])/Table1[[#This Row],[NET Amount]]</f>
        <v>9.2768615860007383E-2</v>
      </c>
      <c r="S3827" s="2" t="s">
        <v>20</v>
      </c>
    </row>
    <row r="3828" spans="1:19" x14ac:dyDescent="0.3">
      <c r="A3828" s="4">
        <v>3826</v>
      </c>
      <c r="B3828" s="2" t="s">
        <v>365</v>
      </c>
      <c r="C3828" s="3">
        <v>44844</v>
      </c>
      <c r="D3828" s="3" t="str">
        <f>TEXT(Table1[[#This Row],[Admission Date]],"MMMM")</f>
        <v>October</v>
      </c>
      <c r="E3828" s="3">
        <v>44846</v>
      </c>
      <c r="F3828" s="3">
        <v>44846</v>
      </c>
      <c r="G3828" s="2">
        <v>22026680</v>
      </c>
      <c r="H3828" s="2">
        <v>2235356</v>
      </c>
      <c r="I3828" s="2">
        <v>10013541396</v>
      </c>
      <c r="J3828" s="2" t="s">
        <v>2155</v>
      </c>
      <c r="K3828" s="10">
        <v>106745</v>
      </c>
      <c r="L3828" s="10">
        <v>0</v>
      </c>
      <c r="M3828" s="10">
        <v>106745</v>
      </c>
      <c r="N3828" s="10">
        <v>31745</v>
      </c>
      <c r="O3828" s="10">
        <f>Table1[[#This Row],[NET Amount]]-Table1[[#This Row],[Paid Amount]]</f>
        <v>75000</v>
      </c>
      <c r="P3828" s="2" t="s">
        <v>23</v>
      </c>
      <c r="Q3828" s="2" t="s">
        <v>30</v>
      </c>
      <c r="R3828" s="16">
        <f>(Table1[[#This Row],[NET Amount]]-Table1[[#This Row],[Total Outstanding Amount]])/Table1[[#This Row],[NET Amount]]</f>
        <v>0.29739097850016394</v>
      </c>
      <c r="S3828" s="2" t="s">
        <v>27</v>
      </c>
    </row>
    <row r="3829" spans="1:19" x14ac:dyDescent="0.3">
      <c r="A3829" s="4">
        <v>3827</v>
      </c>
      <c r="B3829" s="2" t="s">
        <v>149</v>
      </c>
      <c r="C3829" s="3">
        <v>44834</v>
      </c>
      <c r="D3829" s="3" t="str">
        <f>TEXT(Table1[[#This Row],[Admission Date]],"MMMM")</f>
        <v>September</v>
      </c>
      <c r="E3829" s="3">
        <v>44837</v>
      </c>
      <c r="F3829" s="3">
        <v>44837</v>
      </c>
      <c r="G3829" s="2">
        <v>22025413</v>
      </c>
      <c r="H3829" s="2">
        <v>2234009</v>
      </c>
      <c r="I3829" s="2">
        <v>10013540922</v>
      </c>
      <c r="J3829" s="2" t="s">
        <v>2156</v>
      </c>
      <c r="K3829" s="10">
        <v>111178</v>
      </c>
      <c r="L3829" s="10">
        <v>9367</v>
      </c>
      <c r="M3829" s="10">
        <v>101811</v>
      </c>
      <c r="N3829" s="10">
        <v>0</v>
      </c>
      <c r="O3829" s="10">
        <f>Table1[[#This Row],[NET Amount]]-Table1[[#This Row],[Paid Amount]]</f>
        <v>101811</v>
      </c>
      <c r="P3829" s="2" t="s">
        <v>23</v>
      </c>
      <c r="Q3829" s="2" t="s">
        <v>19</v>
      </c>
      <c r="R3829" s="16">
        <f>(Table1[[#This Row],[NET Amount]]-Table1[[#This Row],[Total Outstanding Amount]])/Table1[[#This Row],[NET Amount]]</f>
        <v>0</v>
      </c>
      <c r="S3829" s="2" t="s">
        <v>32</v>
      </c>
    </row>
    <row r="3830" spans="1:19" x14ac:dyDescent="0.3">
      <c r="A3830" s="4">
        <v>3828</v>
      </c>
      <c r="B3830" s="2" t="s">
        <v>2246</v>
      </c>
      <c r="C3830" s="3">
        <v>44830</v>
      </c>
      <c r="D3830" s="3" t="str">
        <f>TEXT(Table1[[#This Row],[Admission Date]],"MMMM")</f>
        <v>September</v>
      </c>
      <c r="E3830" s="3">
        <v>44838</v>
      </c>
      <c r="F3830" s="3">
        <v>44838</v>
      </c>
      <c r="G3830" s="2">
        <v>22025517</v>
      </c>
      <c r="H3830" s="2">
        <v>2233541</v>
      </c>
      <c r="I3830" s="2">
        <v>1001800864</v>
      </c>
      <c r="J3830" s="2" t="s">
        <v>2157</v>
      </c>
      <c r="K3830" s="10">
        <v>58031</v>
      </c>
      <c r="L3830" s="10">
        <v>0</v>
      </c>
      <c r="M3830" s="10">
        <v>58031</v>
      </c>
      <c r="N3830" s="10">
        <v>58031</v>
      </c>
      <c r="O3830" s="10">
        <f>Table1[[#This Row],[NET Amount]]-Table1[[#This Row],[Paid Amount]]</f>
        <v>0</v>
      </c>
      <c r="P3830" s="2" t="s">
        <v>18</v>
      </c>
      <c r="Q3830" s="2" t="s">
        <v>24</v>
      </c>
      <c r="R3830" s="16">
        <f>(Table1[[#This Row],[NET Amount]]-Table1[[#This Row],[Total Outstanding Amount]])/Table1[[#This Row],[NET Amount]]</f>
        <v>1</v>
      </c>
      <c r="S3830" s="2" t="s">
        <v>20</v>
      </c>
    </row>
    <row r="3831" spans="1:19" x14ac:dyDescent="0.3">
      <c r="A3831" s="4">
        <v>3829</v>
      </c>
      <c r="B3831" s="2" t="s">
        <v>2251</v>
      </c>
      <c r="C3831" s="3">
        <v>44834</v>
      </c>
      <c r="D3831" s="3" t="str">
        <f>TEXT(Table1[[#This Row],[Admission Date]],"MMMM")</f>
        <v>September</v>
      </c>
      <c r="E3831" s="3">
        <v>44841</v>
      </c>
      <c r="F3831" s="3">
        <v>44841</v>
      </c>
      <c r="G3831" s="2">
        <v>22025951</v>
      </c>
      <c r="H3831" s="2">
        <v>2234130</v>
      </c>
      <c r="I3831" s="2">
        <v>1001444986</v>
      </c>
      <c r="J3831" s="2" t="s">
        <v>2158</v>
      </c>
      <c r="K3831" s="10">
        <v>101750</v>
      </c>
      <c r="L3831" s="10">
        <v>13956</v>
      </c>
      <c r="M3831" s="10">
        <v>87795</v>
      </c>
      <c r="N3831" s="10">
        <v>11750</v>
      </c>
      <c r="O3831" s="10">
        <f>Table1[[#This Row],[NET Amount]]-Table1[[#This Row],[Paid Amount]]</f>
        <v>76045</v>
      </c>
      <c r="P3831" s="2" t="s">
        <v>23</v>
      </c>
      <c r="Q3831" s="2" t="s">
        <v>30</v>
      </c>
      <c r="R3831" s="16">
        <f>(Table1[[#This Row],[NET Amount]]-Table1[[#This Row],[Total Outstanding Amount]])/Table1[[#This Row],[NET Amount]]</f>
        <v>0.13383450082578735</v>
      </c>
      <c r="S3831" s="2" t="s">
        <v>20</v>
      </c>
    </row>
    <row r="3832" spans="1:19" x14ac:dyDescent="0.3">
      <c r="A3832" s="4">
        <v>3830</v>
      </c>
      <c r="B3832" s="2" t="s">
        <v>25</v>
      </c>
      <c r="C3832" s="3">
        <v>44855</v>
      </c>
      <c r="D3832" s="3" t="str">
        <f>TEXT(Table1[[#This Row],[Admission Date]],"MMMM")</f>
        <v>October</v>
      </c>
      <c r="E3832" s="3">
        <v>44856</v>
      </c>
      <c r="F3832" s="3">
        <v>44856</v>
      </c>
      <c r="G3832" s="2">
        <v>22028231</v>
      </c>
      <c r="H3832" s="2">
        <v>2236887</v>
      </c>
      <c r="I3832" s="2">
        <v>10013543988</v>
      </c>
      <c r="J3832" s="2" t="s">
        <v>2159</v>
      </c>
      <c r="K3832" s="10">
        <v>22349</v>
      </c>
      <c r="L3832" s="10">
        <v>3135</v>
      </c>
      <c r="M3832" s="10">
        <v>19214</v>
      </c>
      <c r="N3832" s="10">
        <v>19214</v>
      </c>
      <c r="O3832" s="10">
        <f>Table1[[#This Row],[NET Amount]]-Table1[[#This Row],[Paid Amount]]</f>
        <v>0</v>
      </c>
      <c r="P3832" s="2" t="s">
        <v>18</v>
      </c>
      <c r="Q3832" s="2" t="s">
        <v>30</v>
      </c>
      <c r="R3832" s="16">
        <f>(Table1[[#This Row],[NET Amount]]-Table1[[#This Row],[Total Outstanding Amount]])/Table1[[#This Row],[NET Amount]]</f>
        <v>1</v>
      </c>
      <c r="S3832" s="2" t="s">
        <v>65</v>
      </c>
    </row>
    <row r="3833" spans="1:19" x14ac:dyDescent="0.3">
      <c r="A3833" s="4">
        <v>3831</v>
      </c>
      <c r="B3833" s="2" t="s">
        <v>152</v>
      </c>
      <c r="C3833" s="3">
        <v>44833</v>
      </c>
      <c r="D3833" s="3" t="str">
        <f>TEXT(Table1[[#This Row],[Admission Date]],"MMMM")</f>
        <v>September</v>
      </c>
      <c r="E3833" s="3">
        <v>44837</v>
      </c>
      <c r="F3833" s="3">
        <v>44837</v>
      </c>
      <c r="G3833" s="2">
        <v>22025377</v>
      </c>
      <c r="H3833" s="2">
        <v>2233975</v>
      </c>
      <c r="I3833" s="2">
        <v>10013540886</v>
      </c>
      <c r="J3833" s="2" t="s">
        <v>2160</v>
      </c>
      <c r="K3833" s="10">
        <v>39446</v>
      </c>
      <c r="L3833" s="10">
        <v>0</v>
      </c>
      <c r="M3833" s="10">
        <v>39446</v>
      </c>
      <c r="N3833" s="10">
        <v>39446</v>
      </c>
      <c r="O3833" s="10">
        <f>Table1[[#This Row],[NET Amount]]-Table1[[#This Row],[Paid Amount]]</f>
        <v>0</v>
      </c>
      <c r="P3833" s="2" t="s">
        <v>18</v>
      </c>
      <c r="Q3833" s="2" t="s">
        <v>19</v>
      </c>
      <c r="R3833" s="16">
        <f>(Table1[[#This Row],[NET Amount]]-Table1[[#This Row],[Total Outstanding Amount]])/Table1[[#This Row],[NET Amount]]</f>
        <v>1</v>
      </c>
      <c r="S3833" s="2" t="s">
        <v>20</v>
      </c>
    </row>
    <row r="3834" spans="1:19" x14ac:dyDescent="0.3">
      <c r="A3834" s="4">
        <v>3832</v>
      </c>
      <c r="B3834" s="2" t="s">
        <v>2244</v>
      </c>
      <c r="C3834" s="3">
        <v>44838</v>
      </c>
      <c r="D3834" s="3" t="str">
        <f>TEXT(Table1[[#This Row],[Admission Date]],"MMMM")</f>
        <v>October</v>
      </c>
      <c r="E3834" s="3">
        <v>44838</v>
      </c>
      <c r="F3834" s="3">
        <v>44838</v>
      </c>
      <c r="G3834" s="2">
        <v>22025555</v>
      </c>
      <c r="H3834" s="2">
        <v>2234573</v>
      </c>
      <c r="I3834" s="2">
        <v>1001735831</v>
      </c>
      <c r="J3834" s="2" t="s">
        <v>693</v>
      </c>
      <c r="K3834" s="10">
        <v>2560</v>
      </c>
      <c r="L3834" s="10">
        <v>0</v>
      </c>
      <c r="M3834" s="10">
        <v>2560</v>
      </c>
      <c r="N3834" s="10">
        <v>2560</v>
      </c>
      <c r="O3834" s="10">
        <f>Table1[[#This Row],[NET Amount]]-Table1[[#This Row],[Paid Amount]]</f>
        <v>0</v>
      </c>
      <c r="P3834" s="2" t="s">
        <v>18</v>
      </c>
      <c r="Q3834" s="2" t="s">
        <v>54</v>
      </c>
      <c r="R3834" s="16">
        <f>(Table1[[#This Row],[NET Amount]]-Table1[[#This Row],[Total Outstanding Amount]])/Table1[[#This Row],[NET Amount]]</f>
        <v>1</v>
      </c>
      <c r="S3834" s="2" t="s">
        <v>97</v>
      </c>
    </row>
    <row r="3835" spans="1:19" x14ac:dyDescent="0.3">
      <c r="A3835" s="4">
        <v>3833</v>
      </c>
      <c r="B3835" s="2" t="s">
        <v>35</v>
      </c>
      <c r="C3835" s="3">
        <v>44839</v>
      </c>
      <c r="D3835" s="3" t="str">
        <f>TEXT(Table1[[#This Row],[Admission Date]],"MMMM")</f>
        <v>October</v>
      </c>
      <c r="E3835" s="3">
        <v>44839</v>
      </c>
      <c r="F3835" s="3">
        <v>44839</v>
      </c>
      <c r="G3835" s="2">
        <v>22025705</v>
      </c>
      <c r="H3835" s="2">
        <v>2234711</v>
      </c>
      <c r="I3835" s="2">
        <v>1001644664</v>
      </c>
      <c r="J3835" s="2" t="s">
        <v>101</v>
      </c>
      <c r="K3835" s="10">
        <v>1610</v>
      </c>
      <c r="L3835" s="10">
        <v>0</v>
      </c>
      <c r="M3835" s="10">
        <v>1610</v>
      </c>
      <c r="N3835" s="10">
        <v>1610</v>
      </c>
      <c r="O3835" s="10">
        <f>Table1[[#This Row],[NET Amount]]-Table1[[#This Row],[Paid Amount]]</f>
        <v>0</v>
      </c>
      <c r="P3835" s="2" t="s">
        <v>18</v>
      </c>
      <c r="Q3835" s="2" t="s">
        <v>54</v>
      </c>
      <c r="R3835" s="16">
        <f>(Table1[[#This Row],[NET Amount]]-Table1[[#This Row],[Total Outstanding Amount]])/Table1[[#This Row],[NET Amount]]</f>
        <v>1</v>
      </c>
      <c r="S3835" s="2" t="s">
        <v>97</v>
      </c>
    </row>
    <row r="3836" spans="1:19" x14ac:dyDescent="0.3">
      <c r="A3836" s="4">
        <v>3834</v>
      </c>
      <c r="B3836" s="2" t="s">
        <v>25</v>
      </c>
      <c r="C3836" s="3">
        <v>44839</v>
      </c>
      <c r="D3836" s="3" t="str">
        <f>TEXT(Table1[[#This Row],[Admission Date]],"MMMM")</f>
        <v>October</v>
      </c>
      <c r="E3836" s="3">
        <v>44839</v>
      </c>
      <c r="F3836" s="3">
        <v>44839</v>
      </c>
      <c r="G3836" s="2">
        <v>22025707</v>
      </c>
      <c r="H3836" s="2">
        <v>2234716</v>
      </c>
      <c r="I3836" s="2">
        <v>10013533576</v>
      </c>
      <c r="J3836" s="2" t="s">
        <v>143</v>
      </c>
      <c r="K3836" s="10">
        <v>2844</v>
      </c>
      <c r="L3836" s="10">
        <v>308</v>
      </c>
      <c r="M3836" s="10">
        <v>2536</v>
      </c>
      <c r="N3836" s="10">
        <v>2536</v>
      </c>
      <c r="O3836" s="10">
        <f>Table1[[#This Row],[NET Amount]]-Table1[[#This Row],[Paid Amount]]</f>
        <v>0</v>
      </c>
      <c r="P3836" s="2" t="s">
        <v>18</v>
      </c>
      <c r="Q3836" s="2" t="s">
        <v>54</v>
      </c>
      <c r="R3836" s="16">
        <f>(Table1[[#This Row],[NET Amount]]-Table1[[#This Row],[Total Outstanding Amount]])/Table1[[#This Row],[NET Amount]]</f>
        <v>1</v>
      </c>
      <c r="S3836" s="2" t="s">
        <v>97</v>
      </c>
    </row>
    <row r="3837" spans="1:19" x14ac:dyDescent="0.3">
      <c r="A3837" s="4">
        <v>3835</v>
      </c>
      <c r="B3837" s="2" t="s">
        <v>25</v>
      </c>
      <c r="C3837" s="3">
        <v>44839</v>
      </c>
      <c r="D3837" s="3" t="str">
        <f>TEXT(Table1[[#This Row],[Admission Date]],"MMMM")</f>
        <v>October</v>
      </c>
      <c r="E3837" s="3">
        <v>44839</v>
      </c>
      <c r="F3837" s="3">
        <v>44839</v>
      </c>
      <c r="G3837" s="2">
        <v>22025703</v>
      </c>
      <c r="H3837" s="2">
        <v>2234707</v>
      </c>
      <c r="I3837" s="2">
        <v>10013460950</v>
      </c>
      <c r="J3837" s="2" t="s">
        <v>248</v>
      </c>
      <c r="K3837" s="10">
        <v>2844</v>
      </c>
      <c r="L3837" s="10">
        <v>308</v>
      </c>
      <c r="M3837" s="10">
        <v>2536</v>
      </c>
      <c r="N3837" s="10">
        <v>2536</v>
      </c>
      <c r="O3837" s="10">
        <f>Table1[[#This Row],[NET Amount]]-Table1[[#This Row],[Paid Amount]]</f>
        <v>0</v>
      </c>
      <c r="P3837" s="2" t="s">
        <v>18</v>
      </c>
      <c r="Q3837" s="2" t="s">
        <v>54</v>
      </c>
      <c r="R3837" s="16">
        <f>(Table1[[#This Row],[NET Amount]]-Table1[[#This Row],[Total Outstanding Amount]])/Table1[[#This Row],[NET Amount]]</f>
        <v>1</v>
      </c>
      <c r="S3837" s="2" t="s">
        <v>97</v>
      </c>
    </row>
    <row r="3838" spans="1:19" x14ac:dyDescent="0.3">
      <c r="A3838" s="4">
        <v>3836</v>
      </c>
      <c r="B3838" s="2" t="s">
        <v>25</v>
      </c>
      <c r="C3838" s="3">
        <v>44853</v>
      </c>
      <c r="D3838" s="3" t="str">
        <f>TEXT(Table1[[#This Row],[Admission Date]],"MMMM")</f>
        <v>October</v>
      </c>
      <c r="E3838" s="3">
        <v>44856</v>
      </c>
      <c r="F3838" s="3">
        <v>44856</v>
      </c>
      <c r="G3838" s="2">
        <v>22028134</v>
      </c>
      <c r="H3838" s="2">
        <v>2236600</v>
      </c>
      <c r="I3838" s="2">
        <v>1001360698</v>
      </c>
      <c r="J3838" s="2" t="s">
        <v>2161</v>
      </c>
      <c r="K3838" s="10">
        <v>103190</v>
      </c>
      <c r="L3838" s="10">
        <v>13015</v>
      </c>
      <c r="M3838" s="10">
        <v>90175</v>
      </c>
      <c r="N3838" s="10">
        <v>90175</v>
      </c>
      <c r="O3838" s="10">
        <f>Table1[[#This Row],[NET Amount]]-Table1[[#This Row],[Paid Amount]]</f>
        <v>0</v>
      </c>
      <c r="P3838" s="2" t="s">
        <v>18</v>
      </c>
      <c r="Q3838" s="2" t="s">
        <v>30</v>
      </c>
      <c r="R3838" s="16">
        <f>(Table1[[#This Row],[NET Amount]]-Table1[[#This Row],[Total Outstanding Amount]])/Table1[[#This Row],[NET Amount]]</f>
        <v>1</v>
      </c>
      <c r="S3838" s="2" t="s">
        <v>27</v>
      </c>
    </row>
    <row r="3839" spans="1:19" x14ac:dyDescent="0.3">
      <c r="A3839" s="4">
        <v>3837</v>
      </c>
      <c r="B3839" s="2" t="s">
        <v>2162</v>
      </c>
      <c r="C3839" s="3">
        <v>44844</v>
      </c>
      <c r="D3839" s="3" t="str">
        <f>TEXT(Table1[[#This Row],[Admission Date]],"MMMM")</f>
        <v>October</v>
      </c>
      <c r="E3839" s="3">
        <v>44848</v>
      </c>
      <c r="F3839" s="3">
        <v>44848</v>
      </c>
      <c r="G3839" s="2">
        <v>22026994</v>
      </c>
      <c r="H3839" s="2">
        <v>2235367</v>
      </c>
      <c r="I3839" s="2">
        <v>10013459868</v>
      </c>
      <c r="J3839" s="2" t="s">
        <v>2163</v>
      </c>
      <c r="K3839" s="10">
        <v>44190</v>
      </c>
      <c r="L3839" s="10">
        <v>0</v>
      </c>
      <c r="M3839" s="10">
        <v>44190</v>
      </c>
      <c r="N3839" s="10">
        <v>44190</v>
      </c>
      <c r="O3839" s="10">
        <f>Table1[[#This Row],[NET Amount]]-Table1[[#This Row],[Paid Amount]]</f>
        <v>0</v>
      </c>
      <c r="P3839" s="2" t="s">
        <v>18</v>
      </c>
      <c r="Q3839" s="2" t="s">
        <v>30</v>
      </c>
      <c r="R3839" s="16">
        <f>(Table1[[#This Row],[NET Amount]]-Table1[[#This Row],[Total Outstanding Amount]])/Table1[[#This Row],[NET Amount]]</f>
        <v>1</v>
      </c>
      <c r="S3839" s="2" t="s">
        <v>77</v>
      </c>
    </row>
    <row r="3840" spans="1:19" x14ac:dyDescent="0.3">
      <c r="A3840" s="4">
        <v>3838</v>
      </c>
      <c r="B3840" s="2" t="s">
        <v>149</v>
      </c>
      <c r="C3840" s="3">
        <v>44840</v>
      </c>
      <c r="D3840" s="3" t="str">
        <f>TEXT(Table1[[#This Row],[Admission Date]],"MMMM")</f>
        <v>October</v>
      </c>
      <c r="E3840" s="3">
        <v>44843</v>
      </c>
      <c r="F3840" s="3">
        <v>44843</v>
      </c>
      <c r="G3840" s="2">
        <v>22026285</v>
      </c>
      <c r="H3840" s="2">
        <v>2234912</v>
      </c>
      <c r="I3840" s="2">
        <v>10013541868</v>
      </c>
      <c r="J3840" s="2" t="s">
        <v>2164</v>
      </c>
      <c r="K3840" s="10">
        <v>40019</v>
      </c>
      <c r="L3840" s="10">
        <v>3318</v>
      </c>
      <c r="M3840" s="10">
        <v>36700</v>
      </c>
      <c r="N3840" s="10">
        <v>0</v>
      </c>
      <c r="O3840" s="10">
        <f>Table1[[#This Row],[NET Amount]]-Table1[[#This Row],[Paid Amount]]</f>
        <v>36700</v>
      </c>
      <c r="P3840" s="2" t="s">
        <v>23</v>
      </c>
      <c r="Q3840" s="2" t="s">
        <v>30</v>
      </c>
      <c r="R3840" s="16">
        <f>(Table1[[#This Row],[NET Amount]]-Table1[[#This Row],[Total Outstanding Amount]])/Table1[[#This Row],[NET Amount]]</f>
        <v>0</v>
      </c>
      <c r="S3840" s="2" t="s">
        <v>20</v>
      </c>
    </row>
    <row r="3841" spans="1:19" x14ac:dyDescent="0.3">
      <c r="A3841" s="4">
        <v>3839</v>
      </c>
      <c r="B3841" s="2" t="s">
        <v>117</v>
      </c>
      <c r="C3841" s="3">
        <v>44841</v>
      </c>
      <c r="D3841" s="3" t="str">
        <f>TEXT(Table1[[#This Row],[Admission Date]],"MMMM")</f>
        <v>October</v>
      </c>
      <c r="E3841" s="3">
        <v>44841</v>
      </c>
      <c r="F3841" s="3">
        <v>44841</v>
      </c>
      <c r="G3841" s="2">
        <v>22025924</v>
      </c>
      <c r="H3841" s="2">
        <v>2234990</v>
      </c>
      <c r="I3841" s="2">
        <v>10013461113</v>
      </c>
      <c r="J3841" s="2" t="s">
        <v>308</v>
      </c>
      <c r="K3841" s="10">
        <v>2949</v>
      </c>
      <c r="L3841" s="10">
        <v>0</v>
      </c>
      <c r="M3841" s="10">
        <v>2949</v>
      </c>
      <c r="N3841" s="10">
        <v>2949</v>
      </c>
      <c r="O3841" s="10">
        <f>Table1[[#This Row],[NET Amount]]-Table1[[#This Row],[Paid Amount]]</f>
        <v>0</v>
      </c>
      <c r="P3841" s="2" t="s">
        <v>18</v>
      </c>
      <c r="Q3841" s="2" t="s">
        <v>54</v>
      </c>
      <c r="R3841" s="16">
        <f>(Table1[[#This Row],[NET Amount]]-Table1[[#This Row],[Total Outstanding Amount]])/Table1[[#This Row],[NET Amount]]</f>
        <v>1</v>
      </c>
      <c r="S3841" s="2" t="s">
        <v>97</v>
      </c>
    </row>
    <row r="3842" spans="1:19" x14ac:dyDescent="0.3">
      <c r="A3842" s="4">
        <v>3840</v>
      </c>
      <c r="B3842" s="2" t="s">
        <v>139</v>
      </c>
      <c r="C3842" s="3">
        <v>44837</v>
      </c>
      <c r="D3842" s="3" t="str">
        <f>TEXT(Table1[[#This Row],[Admission Date]],"MMMM")</f>
        <v>October</v>
      </c>
      <c r="E3842" s="3">
        <v>44839</v>
      </c>
      <c r="F3842" s="3">
        <v>44839</v>
      </c>
      <c r="G3842" s="2">
        <v>22025672</v>
      </c>
      <c r="H3842" s="2">
        <v>2234406</v>
      </c>
      <c r="I3842" s="2">
        <v>10013541360</v>
      </c>
      <c r="J3842" s="2" t="s">
        <v>2165</v>
      </c>
      <c r="K3842" s="10">
        <v>238169</v>
      </c>
      <c r="L3842" s="10">
        <v>0</v>
      </c>
      <c r="M3842" s="10">
        <v>238169</v>
      </c>
      <c r="N3842" s="10">
        <v>26250</v>
      </c>
      <c r="O3842" s="10">
        <f>Table1[[#This Row],[NET Amount]]-Table1[[#This Row],[Paid Amount]]</f>
        <v>211919</v>
      </c>
      <c r="P3842" s="2" t="s">
        <v>23</v>
      </c>
      <c r="Q3842" s="2" t="s">
        <v>47</v>
      </c>
      <c r="R3842" s="16">
        <f>(Table1[[#This Row],[NET Amount]]-Table1[[#This Row],[Total Outstanding Amount]])/Table1[[#This Row],[NET Amount]]</f>
        <v>0.11021585512808132</v>
      </c>
      <c r="S3842" s="2" t="s">
        <v>39</v>
      </c>
    </row>
    <row r="3843" spans="1:19" x14ac:dyDescent="0.3">
      <c r="A3843" s="4">
        <v>3841</v>
      </c>
      <c r="B3843" s="2" t="s">
        <v>753</v>
      </c>
      <c r="C3843" s="3">
        <v>44843</v>
      </c>
      <c r="D3843" s="3" t="str">
        <f>TEXT(Table1[[#This Row],[Admission Date]],"MMMM")</f>
        <v>October</v>
      </c>
      <c r="E3843" s="3">
        <v>44847</v>
      </c>
      <c r="F3843" s="3">
        <v>44847</v>
      </c>
      <c r="G3843" s="2">
        <v>22026875</v>
      </c>
      <c r="H3843" s="2">
        <v>2235289</v>
      </c>
      <c r="I3843" s="2">
        <v>10013542251</v>
      </c>
      <c r="J3843" s="2" t="s">
        <v>2166</v>
      </c>
      <c r="K3843" s="10">
        <v>91381</v>
      </c>
      <c r="L3843" s="10">
        <v>12994</v>
      </c>
      <c r="M3843" s="10">
        <v>78387</v>
      </c>
      <c r="N3843" s="10">
        <v>2125</v>
      </c>
      <c r="O3843" s="10">
        <f>Table1[[#This Row],[NET Amount]]-Table1[[#This Row],[Paid Amount]]</f>
        <v>76262</v>
      </c>
      <c r="P3843" s="2" t="s">
        <v>23</v>
      </c>
      <c r="Q3843" s="2" t="s">
        <v>24</v>
      </c>
      <c r="R3843" s="16">
        <f>(Table1[[#This Row],[NET Amount]]-Table1[[#This Row],[Total Outstanding Amount]])/Table1[[#This Row],[NET Amount]]</f>
        <v>2.7109086965950987E-2</v>
      </c>
      <c r="S3843" s="2" t="s">
        <v>65</v>
      </c>
    </row>
    <row r="3844" spans="1:19" x14ac:dyDescent="0.3">
      <c r="A3844" s="4">
        <v>3842</v>
      </c>
      <c r="B3844" s="2" t="s">
        <v>259</v>
      </c>
      <c r="C3844" s="3">
        <v>44844</v>
      </c>
      <c r="D3844" s="3" t="str">
        <f>TEXT(Table1[[#This Row],[Admission Date]],"MMMM")</f>
        <v>October</v>
      </c>
      <c r="E3844" s="3">
        <v>44847</v>
      </c>
      <c r="F3844" s="3">
        <v>44847</v>
      </c>
      <c r="G3844" s="2">
        <v>22026844</v>
      </c>
      <c r="H3844" s="2">
        <v>2235406</v>
      </c>
      <c r="I3844" s="2">
        <v>1001803591</v>
      </c>
      <c r="J3844" s="2" t="s">
        <v>2167</v>
      </c>
      <c r="K3844" s="10">
        <v>131623</v>
      </c>
      <c r="L3844" s="10">
        <v>0</v>
      </c>
      <c r="M3844" s="10">
        <v>131623</v>
      </c>
      <c r="N3844" s="10">
        <v>4224</v>
      </c>
      <c r="O3844" s="10">
        <f>Table1[[#This Row],[NET Amount]]-Table1[[#This Row],[Paid Amount]]</f>
        <v>127399</v>
      </c>
      <c r="P3844" s="2" t="s">
        <v>23</v>
      </c>
      <c r="Q3844" s="2" t="s">
        <v>30</v>
      </c>
      <c r="R3844" s="16">
        <f>(Table1[[#This Row],[NET Amount]]-Table1[[#This Row],[Total Outstanding Amount]])/Table1[[#This Row],[NET Amount]]</f>
        <v>3.2091655713667067E-2</v>
      </c>
      <c r="S3844" s="2" t="s">
        <v>201</v>
      </c>
    </row>
    <row r="3845" spans="1:19" x14ac:dyDescent="0.3">
      <c r="A3845" s="4">
        <v>3843</v>
      </c>
      <c r="B3845" s="2" t="s">
        <v>126</v>
      </c>
      <c r="C3845" s="3">
        <v>44845</v>
      </c>
      <c r="D3845" s="3" t="str">
        <f>TEXT(Table1[[#This Row],[Admission Date]],"MMMM")</f>
        <v>October</v>
      </c>
      <c r="E3845" s="3">
        <v>44847</v>
      </c>
      <c r="F3845" s="3">
        <v>44847</v>
      </c>
      <c r="G3845" s="2">
        <v>22026876</v>
      </c>
      <c r="H3845" s="2">
        <v>2235514</v>
      </c>
      <c r="I3845" s="2">
        <v>1001803700</v>
      </c>
      <c r="J3845" s="2" t="s">
        <v>2168</v>
      </c>
      <c r="K3845" s="10">
        <v>46292</v>
      </c>
      <c r="L3845" s="10">
        <v>6134</v>
      </c>
      <c r="M3845" s="10">
        <v>40158</v>
      </c>
      <c r="N3845" s="10">
        <v>3157</v>
      </c>
      <c r="O3845" s="10">
        <f>Table1[[#This Row],[NET Amount]]-Table1[[#This Row],[Paid Amount]]</f>
        <v>37001</v>
      </c>
      <c r="P3845" s="2" t="s">
        <v>23</v>
      </c>
      <c r="Q3845" s="2" t="s">
        <v>19</v>
      </c>
      <c r="R3845" s="16">
        <f>(Table1[[#This Row],[NET Amount]]-Table1[[#This Row],[Total Outstanding Amount]])/Table1[[#This Row],[NET Amount]]</f>
        <v>7.8614472832312363E-2</v>
      </c>
      <c r="S3845" s="2" t="s">
        <v>37</v>
      </c>
    </row>
    <row r="3846" spans="1:19" x14ac:dyDescent="0.3">
      <c r="A3846" s="4">
        <v>3844</v>
      </c>
      <c r="B3846" s="2" t="s">
        <v>25</v>
      </c>
      <c r="C3846" s="3">
        <v>44847</v>
      </c>
      <c r="D3846" s="3" t="str">
        <f>TEXT(Table1[[#This Row],[Admission Date]],"MMMM")</f>
        <v>October</v>
      </c>
      <c r="E3846" s="3">
        <v>44847</v>
      </c>
      <c r="F3846" s="3">
        <v>44847</v>
      </c>
      <c r="G3846" s="2">
        <v>22026936</v>
      </c>
      <c r="H3846" s="2">
        <v>2235853</v>
      </c>
      <c r="I3846" s="2">
        <v>10013541891</v>
      </c>
      <c r="J3846" s="2" t="s">
        <v>1140</v>
      </c>
      <c r="K3846" s="10">
        <v>3519</v>
      </c>
      <c r="L3846" s="10">
        <v>306</v>
      </c>
      <c r="M3846" s="10">
        <v>3213</v>
      </c>
      <c r="N3846" s="10">
        <v>3213</v>
      </c>
      <c r="O3846" s="10">
        <f>Table1[[#This Row],[NET Amount]]-Table1[[#This Row],[Paid Amount]]</f>
        <v>0</v>
      </c>
      <c r="P3846" s="2" t="s">
        <v>18</v>
      </c>
      <c r="Q3846" s="2" t="s">
        <v>54</v>
      </c>
      <c r="R3846" s="16">
        <f>(Table1[[#This Row],[NET Amount]]-Table1[[#This Row],[Total Outstanding Amount]])/Table1[[#This Row],[NET Amount]]</f>
        <v>1</v>
      </c>
      <c r="S3846" s="2" t="s">
        <v>97</v>
      </c>
    </row>
    <row r="3847" spans="1:19" x14ac:dyDescent="0.3">
      <c r="A3847" s="4">
        <v>3845</v>
      </c>
      <c r="B3847" s="2" t="s">
        <v>25</v>
      </c>
      <c r="C3847" s="3">
        <v>44841</v>
      </c>
      <c r="D3847" s="3" t="str">
        <f>TEXT(Table1[[#This Row],[Admission Date]],"MMMM")</f>
        <v>October</v>
      </c>
      <c r="E3847" s="3">
        <v>44841</v>
      </c>
      <c r="F3847" s="3">
        <v>44841</v>
      </c>
      <c r="G3847" s="2">
        <v>22026031</v>
      </c>
      <c r="H3847" s="2">
        <v>2235004</v>
      </c>
      <c r="I3847" s="2">
        <v>1001802547</v>
      </c>
      <c r="J3847" s="2" t="s">
        <v>2169</v>
      </c>
      <c r="K3847" s="10">
        <v>16500</v>
      </c>
      <c r="L3847" s="10">
        <v>0</v>
      </c>
      <c r="M3847" s="10">
        <v>16500</v>
      </c>
      <c r="N3847" s="10">
        <v>16500</v>
      </c>
      <c r="O3847" s="10">
        <f>Table1[[#This Row],[NET Amount]]-Table1[[#This Row],[Paid Amount]]</f>
        <v>0</v>
      </c>
      <c r="P3847" s="2" t="s">
        <v>18</v>
      </c>
      <c r="Q3847" s="2" t="s">
        <v>54</v>
      </c>
      <c r="R3847" s="16">
        <f>(Table1[[#This Row],[NET Amount]]-Table1[[#This Row],[Total Outstanding Amount]])/Table1[[#This Row],[NET Amount]]</f>
        <v>1</v>
      </c>
      <c r="S3847" s="2" t="s">
        <v>39</v>
      </c>
    </row>
    <row r="3848" spans="1:19" x14ac:dyDescent="0.3">
      <c r="A3848" s="4">
        <v>3846</v>
      </c>
      <c r="B3848" s="2" t="s">
        <v>25</v>
      </c>
      <c r="C3848" s="3">
        <v>44841</v>
      </c>
      <c r="D3848" s="3" t="str">
        <f>TEXT(Table1[[#This Row],[Admission Date]],"MMMM")</f>
        <v>October</v>
      </c>
      <c r="E3848" s="3">
        <v>44841</v>
      </c>
      <c r="F3848" s="3">
        <v>44841</v>
      </c>
      <c r="G3848" s="2">
        <v>22026052</v>
      </c>
      <c r="H3848" s="2">
        <v>2235064</v>
      </c>
      <c r="I3848" s="2">
        <v>1001202559</v>
      </c>
      <c r="J3848" s="2" t="s">
        <v>974</v>
      </c>
      <c r="K3848" s="10">
        <v>2844</v>
      </c>
      <c r="L3848" s="10">
        <v>610</v>
      </c>
      <c r="M3848" s="10">
        <v>2234</v>
      </c>
      <c r="N3848" s="10">
        <v>2234</v>
      </c>
      <c r="O3848" s="10">
        <f>Table1[[#This Row],[NET Amount]]-Table1[[#This Row],[Paid Amount]]</f>
        <v>0</v>
      </c>
      <c r="P3848" s="2" t="s">
        <v>18</v>
      </c>
      <c r="Q3848" s="2" t="s">
        <v>54</v>
      </c>
      <c r="R3848" s="16">
        <f>(Table1[[#This Row],[NET Amount]]-Table1[[#This Row],[Total Outstanding Amount]])/Table1[[#This Row],[NET Amount]]</f>
        <v>1</v>
      </c>
      <c r="S3848" s="2" t="s">
        <v>97</v>
      </c>
    </row>
    <row r="3849" spans="1:19" x14ac:dyDescent="0.3">
      <c r="A3849" s="4">
        <v>3847</v>
      </c>
      <c r="B3849" s="2" t="s">
        <v>25</v>
      </c>
      <c r="C3849" s="3">
        <v>44841</v>
      </c>
      <c r="D3849" s="3" t="str">
        <f>TEXT(Table1[[#This Row],[Admission Date]],"MMMM")</f>
        <v>October</v>
      </c>
      <c r="E3849" s="3">
        <v>44841</v>
      </c>
      <c r="F3849" s="3">
        <v>44841</v>
      </c>
      <c r="G3849" s="2">
        <v>22026057</v>
      </c>
      <c r="H3849" s="2">
        <v>2235097</v>
      </c>
      <c r="I3849" s="2">
        <v>1001327108</v>
      </c>
      <c r="J3849" s="2" t="s">
        <v>321</v>
      </c>
      <c r="K3849" s="10">
        <v>2794</v>
      </c>
      <c r="L3849" s="10">
        <v>2794</v>
      </c>
      <c r="M3849" s="10">
        <v>0</v>
      </c>
      <c r="N3849" s="10">
        <v>0</v>
      </c>
      <c r="O3849" s="10">
        <f>Table1[[#This Row],[NET Amount]]-Table1[[#This Row],[Paid Amount]]</f>
        <v>0</v>
      </c>
      <c r="P3849" s="2" t="s">
        <v>18</v>
      </c>
      <c r="Q3849" s="2" t="s">
        <v>90</v>
      </c>
      <c r="R3849" s="16" t="e">
        <f>(Table1[[#This Row],[NET Amount]]-Table1[[#This Row],[Total Outstanding Amount]])/Table1[[#This Row],[NET Amount]]</f>
        <v>#DIV/0!</v>
      </c>
      <c r="S3849" s="2" t="s">
        <v>97</v>
      </c>
    </row>
    <row r="3850" spans="1:19" x14ac:dyDescent="0.3">
      <c r="A3850" s="4">
        <v>3848</v>
      </c>
      <c r="B3850" s="2" t="s">
        <v>25</v>
      </c>
      <c r="C3850" s="3">
        <v>44841</v>
      </c>
      <c r="D3850" s="3" t="str">
        <f>TEXT(Table1[[#This Row],[Admission Date]],"MMMM")</f>
        <v>October</v>
      </c>
      <c r="E3850" s="3">
        <v>44841</v>
      </c>
      <c r="F3850" s="3">
        <v>44841</v>
      </c>
      <c r="G3850" s="2">
        <v>22026059</v>
      </c>
      <c r="H3850" s="2">
        <v>2235095</v>
      </c>
      <c r="I3850" s="2">
        <v>1001110018</v>
      </c>
      <c r="J3850" s="2" t="s">
        <v>254</v>
      </c>
      <c r="K3850" s="10">
        <v>2794</v>
      </c>
      <c r="L3850" s="10">
        <v>2794</v>
      </c>
      <c r="M3850" s="10">
        <v>0</v>
      </c>
      <c r="N3850" s="10">
        <v>0</v>
      </c>
      <c r="O3850" s="10">
        <f>Table1[[#This Row],[NET Amount]]-Table1[[#This Row],[Paid Amount]]</f>
        <v>0</v>
      </c>
      <c r="P3850" s="2" t="s">
        <v>18</v>
      </c>
      <c r="Q3850" s="2" t="s">
        <v>90</v>
      </c>
      <c r="R3850" s="16" t="e">
        <f>(Table1[[#This Row],[NET Amount]]-Table1[[#This Row],[Total Outstanding Amount]])/Table1[[#This Row],[NET Amount]]</f>
        <v>#DIV/0!</v>
      </c>
      <c r="S3850" s="2" t="s">
        <v>97</v>
      </c>
    </row>
    <row r="3851" spans="1:19" x14ac:dyDescent="0.3">
      <c r="A3851" s="4">
        <v>3849</v>
      </c>
      <c r="B3851" s="2" t="s">
        <v>75</v>
      </c>
      <c r="C3851" s="3">
        <v>44844</v>
      </c>
      <c r="D3851" s="3" t="str">
        <f>TEXT(Table1[[#This Row],[Admission Date]],"MMMM")</f>
        <v>October</v>
      </c>
      <c r="E3851" s="3">
        <v>44849</v>
      </c>
      <c r="F3851" s="3">
        <v>44849</v>
      </c>
      <c r="G3851" s="2">
        <v>22027215</v>
      </c>
      <c r="H3851" s="2">
        <v>2235418</v>
      </c>
      <c r="I3851" s="2">
        <v>10013490499</v>
      </c>
      <c r="J3851" s="2" t="s">
        <v>1972</v>
      </c>
      <c r="K3851" s="10">
        <v>79445</v>
      </c>
      <c r="L3851" s="10">
        <v>0</v>
      </c>
      <c r="M3851" s="10">
        <v>79445</v>
      </c>
      <c r="N3851" s="10">
        <v>520</v>
      </c>
      <c r="O3851" s="10">
        <f>Table1[[#This Row],[NET Amount]]-Table1[[#This Row],[Paid Amount]]</f>
        <v>78925</v>
      </c>
      <c r="P3851" s="2" t="s">
        <v>23</v>
      </c>
      <c r="Q3851" s="2" t="s">
        <v>30</v>
      </c>
      <c r="R3851" s="16">
        <f>(Table1[[#This Row],[NET Amount]]-Table1[[#This Row],[Total Outstanding Amount]])/Table1[[#This Row],[NET Amount]]</f>
        <v>6.5454087733652216E-3</v>
      </c>
      <c r="S3851" s="2" t="s">
        <v>95</v>
      </c>
    </row>
    <row r="3852" spans="1:19" x14ac:dyDescent="0.3">
      <c r="A3852" s="4">
        <v>3850</v>
      </c>
      <c r="B3852" s="2" t="s">
        <v>25</v>
      </c>
      <c r="C3852" s="3">
        <v>44838</v>
      </c>
      <c r="D3852" s="3" t="str">
        <f>TEXT(Table1[[#This Row],[Admission Date]],"MMMM")</f>
        <v>October</v>
      </c>
      <c r="E3852" s="3">
        <v>44838</v>
      </c>
      <c r="F3852" s="3">
        <v>44838</v>
      </c>
      <c r="G3852" s="2">
        <v>22025487</v>
      </c>
      <c r="H3852" s="2">
        <v>2234520</v>
      </c>
      <c r="I3852" s="2">
        <v>10013451851</v>
      </c>
      <c r="J3852" s="2" t="s">
        <v>300</v>
      </c>
      <c r="K3852" s="10">
        <v>4990</v>
      </c>
      <c r="L3852" s="10">
        <v>442</v>
      </c>
      <c r="M3852" s="10">
        <v>4548</v>
      </c>
      <c r="N3852" s="10">
        <v>4548</v>
      </c>
      <c r="O3852" s="10">
        <f>Table1[[#This Row],[NET Amount]]-Table1[[#This Row],[Paid Amount]]</f>
        <v>0</v>
      </c>
      <c r="P3852" s="2" t="s">
        <v>18</v>
      </c>
      <c r="Q3852" s="2" t="s">
        <v>54</v>
      </c>
      <c r="R3852" s="16">
        <f>(Table1[[#This Row],[NET Amount]]-Table1[[#This Row],[Total Outstanding Amount]])/Table1[[#This Row],[NET Amount]]</f>
        <v>1</v>
      </c>
      <c r="S3852" s="2" t="s">
        <v>97</v>
      </c>
    </row>
    <row r="3853" spans="1:19" x14ac:dyDescent="0.3">
      <c r="A3853" s="4">
        <v>3851</v>
      </c>
      <c r="B3853" s="2" t="s">
        <v>25</v>
      </c>
      <c r="C3853" s="3">
        <v>44838</v>
      </c>
      <c r="D3853" s="3" t="str">
        <f>TEXT(Table1[[#This Row],[Admission Date]],"MMMM")</f>
        <v>October</v>
      </c>
      <c r="E3853" s="3">
        <v>44838</v>
      </c>
      <c r="F3853" s="3">
        <v>44838</v>
      </c>
      <c r="G3853" s="2">
        <v>22025631</v>
      </c>
      <c r="H3853" s="2">
        <v>2234638</v>
      </c>
      <c r="I3853" s="2">
        <v>1001074324</v>
      </c>
      <c r="J3853" s="2" t="s">
        <v>255</v>
      </c>
      <c r="K3853" s="10">
        <v>2844</v>
      </c>
      <c r="L3853" s="10">
        <v>308</v>
      </c>
      <c r="M3853" s="10">
        <v>2536</v>
      </c>
      <c r="N3853" s="10">
        <v>2536</v>
      </c>
      <c r="O3853" s="10">
        <f>Table1[[#This Row],[NET Amount]]-Table1[[#This Row],[Paid Amount]]</f>
        <v>0</v>
      </c>
      <c r="P3853" s="2" t="s">
        <v>18</v>
      </c>
      <c r="Q3853" s="2" t="s">
        <v>54</v>
      </c>
      <c r="R3853" s="16">
        <f>(Table1[[#This Row],[NET Amount]]-Table1[[#This Row],[Total Outstanding Amount]])/Table1[[#This Row],[NET Amount]]</f>
        <v>1</v>
      </c>
      <c r="S3853" s="2" t="s">
        <v>97</v>
      </c>
    </row>
    <row r="3854" spans="1:19" x14ac:dyDescent="0.3">
      <c r="A3854" s="4">
        <v>3852</v>
      </c>
      <c r="B3854" s="2" t="s">
        <v>25</v>
      </c>
      <c r="C3854" s="3">
        <v>44838</v>
      </c>
      <c r="D3854" s="3" t="str">
        <f>TEXT(Table1[[#This Row],[Admission Date]],"MMMM")</f>
        <v>October</v>
      </c>
      <c r="E3854" s="3">
        <v>44838</v>
      </c>
      <c r="F3854" s="3">
        <v>44838</v>
      </c>
      <c r="G3854" s="2">
        <v>22025630</v>
      </c>
      <c r="H3854" s="2">
        <v>2234634</v>
      </c>
      <c r="I3854" s="2">
        <v>1001327108</v>
      </c>
      <c r="J3854" s="2" t="s">
        <v>321</v>
      </c>
      <c r="K3854" s="10">
        <v>2794</v>
      </c>
      <c r="L3854" s="10">
        <v>2794</v>
      </c>
      <c r="M3854" s="10">
        <v>0</v>
      </c>
      <c r="N3854" s="10">
        <v>0</v>
      </c>
      <c r="O3854" s="10">
        <f>Table1[[#This Row],[NET Amount]]-Table1[[#This Row],[Paid Amount]]</f>
        <v>0</v>
      </c>
      <c r="P3854" s="2" t="s">
        <v>18</v>
      </c>
      <c r="Q3854" s="2" t="s">
        <v>90</v>
      </c>
      <c r="R3854" s="16" t="e">
        <f>(Table1[[#This Row],[NET Amount]]-Table1[[#This Row],[Total Outstanding Amount]])/Table1[[#This Row],[NET Amount]]</f>
        <v>#DIV/0!</v>
      </c>
      <c r="S3854" s="2" t="s">
        <v>97</v>
      </c>
    </row>
    <row r="3855" spans="1:19" x14ac:dyDescent="0.3">
      <c r="A3855" s="4">
        <v>3853</v>
      </c>
      <c r="B3855" s="2" t="s">
        <v>21</v>
      </c>
      <c r="C3855" s="3">
        <v>44837</v>
      </c>
      <c r="D3855" s="3" t="str">
        <f>TEXT(Table1[[#This Row],[Admission Date]],"MMMM")</f>
        <v>October</v>
      </c>
      <c r="E3855" s="3">
        <v>44839</v>
      </c>
      <c r="F3855" s="3">
        <v>44839</v>
      </c>
      <c r="G3855" s="2">
        <v>22025710</v>
      </c>
      <c r="H3855" s="2">
        <v>2234384</v>
      </c>
      <c r="I3855" s="2">
        <v>1000840841</v>
      </c>
      <c r="J3855" s="2" t="s">
        <v>2170</v>
      </c>
      <c r="K3855" s="10">
        <v>31496</v>
      </c>
      <c r="L3855" s="10">
        <v>0</v>
      </c>
      <c r="M3855" s="10">
        <v>31496</v>
      </c>
      <c r="N3855" s="10">
        <v>31496</v>
      </c>
      <c r="O3855" s="10">
        <f>Table1[[#This Row],[NET Amount]]-Table1[[#This Row],[Paid Amount]]</f>
        <v>0</v>
      </c>
      <c r="P3855" s="2" t="s">
        <v>18</v>
      </c>
      <c r="Q3855" s="2" t="s">
        <v>24</v>
      </c>
      <c r="R3855" s="16">
        <f>(Table1[[#This Row],[NET Amount]]-Table1[[#This Row],[Total Outstanding Amount]])/Table1[[#This Row],[NET Amount]]</f>
        <v>1</v>
      </c>
      <c r="S3855" s="2" t="s">
        <v>95</v>
      </c>
    </row>
    <row r="3856" spans="1:19" x14ac:dyDescent="0.3">
      <c r="A3856" s="4">
        <v>3854</v>
      </c>
      <c r="B3856" s="2" t="s">
        <v>126</v>
      </c>
      <c r="C3856" s="3">
        <v>44859</v>
      </c>
      <c r="D3856" s="3" t="str">
        <f>TEXT(Table1[[#This Row],[Admission Date]],"MMMM")</f>
        <v>October</v>
      </c>
      <c r="E3856" s="3">
        <v>44859</v>
      </c>
      <c r="F3856" s="3">
        <v>44859</v>
      </c>
      <c r="G3856" s="2">
        <v>22028557</v>
      </c>
      <c r="H3856" s="2">
        <v>2237374</v>
      </c>
      <c r="I3856" s="2">
        <v>10013481278</v>
      </c>
      <c r="J3856" s="2" t="s">
        <v>264</v>
      </c>
      <c r="K3856" s="10">
        <v>2500</v>
      </c>
      <c r="L3856" s="10">
        <v>0</v>
      </c>
      <c r="M3856" s="10">
        <v>2500</v>
      </c>
      <c r="N3856" s="10">
        <v>2500</v>
      </c>
      <c r="O3856" s="10">
        <f>Table1[[#This Row],[NET Amount]]-Table1[[#This Row],[Paid Amount]]</f>
        <v>0</v>
      </c>
      <c r="P3856" s="2" t="s">
        <v>18</v>
      </c>
      <c r="Q3856" s="2" t="s">
        <v>54</v>
      </c>
      <c r="R3856" s="16">
        <f>(Table1[[#This Row],[NET Amount]]-Table1[[#This Row],[Total Outstanding Amount]])/Table1[[#This Row],[NET Amount]]</f>
        <v>1</v>
      </c>
      <c r="S3856" s="2" t="s">
        <v>97</v>
      </c>
    </row>
    <row r="3857" spans="1:19" x14ac:dyDescent="0.3">
      <c r="A3857" s="4">
        <v>3855</v>
      </c>
      <c r="B3857" s="2" t="s">
        <v>25</v>
      </c>
      <c r="C3857" s="3">
        <v>44859</v>
      </c>
      <c r="D3857" s="3" t="str">
        <f>TEXT(Table1[[#This Row],[Admission Date]],"MMMM")</f>
        <v>October</v>
      </c>
      <c r="E3857" s="3">
        <v>44859</v>
      </c>
      <c r="F3857" s="3">
        <v>44859</v>
      </c>
      <c r="G3857" s="2">
        <v>22028563</v>
      </c>
      <c r="H3857" s="2">
        <v>2237405</v>
      </c>
      <c r="I3857" s="2">
        <v>1001110018</v>
      </c>
      <c r="J3857" s="2" t="s">
        <v>254</v>
      </c>
      <c r="K3857" s="10">
        <v>2794</v>
      </c>
      <c r="L3857" s="10">
        <v>2794</v>
      </c>
      <c r="M3857" s="10">
        <v>0</v>
      </c>
      <c r="N3857" s="10">
        <v>0</v>
      </c>
      <c r="O3857" s="10">
        <f>Table1[[#This Row],[NET Amount]]-Table1[[#This Row],[Paid Amount]]</f>
        <v>0</v>
      </c>
      <c r="P3857" s="2" t="s">
        <v>18</v>
      </c>
      <c r="Q3857" s="2" t="s">
        <v>90</v>
      </c>
      <c r="R3857" s="16" t="e">
        <f>(Table1[[#This Row],[NET Amount]]-Table1[[#This Row],[Total Outstanding Amount]])/Table1[[#This Row],[NET Amount]]</f>
        <v>#DIV/0!</v>
      </c>
      <c r="S3857" s="2" t="s">
        <v>97</v>
      </c>
    </row>
    <row r="3858" spans="1:19" x14ac:dyDescent="0.3">
      <c r="A3858" s="4">
        <v>3856</v>
      </c>
      <c r="B3858" s="2" t="s">
        <v>25</v>
      </c>
      <c r="C3858" s="3">
        <v>44859</v>
      </c>
      <c r="D3858" s="3" t="str">
        <f>TEXT(Table1[[#This Row],[Admission Date]],"MMMM")</f>
        <v>October</v>
      </c>
      <c r="E3858" s="3">
        <v>44859</v>
      </c>
      <c r="F3858" s="3">
        <v>44859</v>
      </c>
      <c r="G3858" s="2">
        <v>22028572</v>
      </c>
      <c r="H3858" s="2">
        <v>2237396</v>
      </c>
      <c r="I3858" s="2">
        <v>1001074324</v>
      </c>
      <c r="J3858" s="2" t="s">
        <v>255</v>
      </c>
      <c r="K3858" s="10">
        <v>2844</v>
      </c>
      <c r="L3858" s="10">
        <v>281</v>
      </c>
      <c r="M3858" s="10">
        <v>2563</v>
      </c>
      <c r="N3858" s="10">
        <v>2563</v>
      </c>
      <c r="O3858" s="10">
        <f>Table1[[#This Row],[NET Amount]]-Table1[[#This Row],[Paid Amount]]</f>
        <v>0</v>
      </c>
      <c r="P3858" s="2" t="s">
        <v>18</v>
      </c>
      <c r="Q3858" s="2" t="s">
        <v>54</v>
      </c>
      <c r="R3858" s="16">
        <f>(Table1[[#This Row],[NET Amount]]-Table1[[#This Row],[Total Outstanding Amount]])/Table1[[#This Row],[NET Amount]]</f>
        <v>1</v>
      </c>
      <c r="S3858" s="2" t="s">
        <v>97</v>
      </c>
    </row>
    <row r="3859" spans="1:19" x14ac:dyDescent="0.3">
      <c r="A3859" s="4">
        <v>3857</v>
      </c>
      <c r="B3859" s="2" t="s">
        <v>144</v>
      </c>
      <c r="C3859" s="3">
        <v>44845</v>
      </c>
      <c r="D3859" s="3" t="str">
        <f>TEXT(Table1[[#This Row],[Admission Date]],"MMMM")</f>
        <v>October</v>
      </c>
      <c r="E3859" s="3">
        <v>44848</v>
      </c>
      <c r="F3859" s="3">
        <v>44848</v>
      </c>
      <c r="G3859" s="2">
        <v>22027018</v>
      </c>
      <c r="H3859" s="2">
        <v>2235517</v>
      </c>
      <c r="I3859" s="2">
        <v>1001803711</v>
      </c>
      <c r="J3859" s="2" t="s">
        <v>2171</v>
      </c>
      <c r="K3859" s="10">
        <v>8490</v>
      </c>
      <c r="L3859" s="10">
        <v>0</v>
      </c>
      <c r="M3859" s="10">
        <v>8490</v>
      </c>
      <c r="N3859" s="10">
        <v>8489</v>
      </c>
      <c r="O3859" s="10">
        <f>Table1[[#This Row],[NET Amount]]-Table1[[#This Row],[Paid Amount]]</f>
        <v>1</v>
      </c>
      <c r="P3859" s="2" t="s">
        <v>23</v>
      </c>
      <c r="Q3859" s="2" t="s">
        <v>30</v>
      </c>
      <c r="R3859" s="16">
        <f>(Table1[[#This Row],[NET Amount]]-Table1[[#This Row],[Total Outstanding Amount]])/Table1[[#This Row],[NET Amount]]</f>
        <v>0.99988221436984692</v>
      </c>
      <c r="S3859" s="2" t="s">
        <v>37</v>
      </c>
    </row>
    <row r="3860" spans="1:19" x14ac:dyDescent="0.3">
      <c r="A3860" s="4">
        <v>3858</v>
      </c>
      <c r="B3860" s="2" t="s">
        <v>149</v>
      </c>
      <c r="C3860" s="3">
        <v>44839</v>
      </c>
      <c r="D3860" s="3" t="str">
        <f>TEXT(Table1[[#This Row],[Admission Date]],"MMMM")</f>
        <v>October</v>
      </c>
      <c r="E3860" s="3">
        <v>44840</v>
      </c>
      <c r="F3860" s="3">
        <v>44840</v>
      </c>
      <c r="G3860" s="2">
        <v>22025802</v>
      </c>
      <c r="H3860" s="2">
        <v>2234795</v>
      </c>
      <c r="I3860" s="2">
        <v>10013541669</v>
      </c>
      <c r="J3860" s="2" t="s">
        <v>461</v>
      </c>
      <c r="K3860" s="10">
        <v>36309</v>
      </c>
      <c r="L3860" s="10">
        <v>0</v>
      </c>
      <c r="M3860" s="10">
        <v>36309</v>
      </c>
      <c r="N3860" s="10">
        <v>36309</v>
      </c>
      <c r="O3860" s="10">
        <f>Table1[[#This Row],[NET Amount]]-Table1[[#This Row],[Paid Amount]]</f>
        <v>0</v>
      </c>
      <c r="P3860" s="2" t="s">
        <v>18</v>
      </c>
      <c r="Q3860" s="2" t="s">
        <v>24</v>
      </c>
      <c r="R3860" s="16">
        <f>(Table1[[#This Row],[NET Amount]]-Table1[[#This Row],[Total Outstanding Amount]])/Table1[[#This Row],[NET Amount]]</f>
        <v>1</v>
      </c>
      <c r="S3860" s="2" t="s">
        <v>27</v>
      </c>
    </row>
    <row r="3861" spans="1:19" x14ac:dyDescent="0.3">
      <c r="A3861" s="4">
        <v>3859</v>
      </c>
      <c r="B3861" s="2" t="s">
        <v>25</v>
      </c>
      <c r="C3861" s="3">
        <v>44846</v>
      </c>
      <c r="D3861" s="3" t="str">
        <f>TEXT(Table1[[#This Row],[Admission Date]],"MMMM")</f>
        <v>October</v>
      </c>
      <c r="E3861" s="3">
        <v>44846</v>
      </c>
      <c r="F3861" s="3">
        <v>44846</v>
      </c>
      <c r="G3861" s="2">
        <v>22026747</v>
      </c>
      <c r="H3861" s="2">
        <v>2235707</v>
      </c>
      <c r="I3861" s="2">
        <v>10013230754</v>
      </c>
      <c r="J3861" s="2" t="s">
        <v>102</v>
      </c>
      <c r="K3861" s="10">
        <v>4990</v>
      </c>
      <c r="L3861" s="10">
        <v>1647</v>
      </c>
      <c r="M3861" s="10">
        <v>3343</v>
      </c>
      <c r="N3861" s="10">
        <v>3343</v>
      </c>
      <c r="O3861" s="10">
        <f>Table1[[#This Row],[NET Amount]]-Table1[[#This Row],[Paid Amount]]</f>
        <v>0</v>
      </c>
      <c r="P3861" s="2" t="s">
        <v>18</v>
      </c>
      <c r="Q3861" s="2" t="s">
        <v>54</v>
      </c>
      <c r="R3861" s="16">
        <f>(Table1[[#This Row],[NET Amount]]-Table1[[#This Row],[Total Outstanding Amount]])/Table1[[#This Row],[NET Amount]]</f>
        <v>1</v>
      </c>
      <c r="S3861" s="2" t="s">
        <v>97</v>
      </c>
    </row>
    <row r="3862" spans="1:19" x14ac:dyDescent="0.3">
      <c r="A3862" s="4">
        <v>3860</v>
      </c>
      <c r="B3862" s="2" t="s">
        <v>25</v>
      </c>
      <c r="C3862" s="3">
        <v>44846</v>
      </c>
      <c r="D3862" s="3" t="str">
        <f>TEXT(Table1[[#This Row],[Admission Date]],"MMMM")</f>
        <v>October</v>
      </c>
      <c r="E3862" s="3">
        <v>44846</v>
      </c>
      <c r="F3862" s="3">
        <v>44846</v>
      </c>
      <c r="G3862" s="2">
        <v>22026728</v>
      </c>
      <c r="H3862" s="2">
        <v>2235689</v>
      </c>
      <c r="I3862" s="2">
        <v>10013509533</v>
      </c>
      <c r="J3862" s="2" t="s">
        <v>343</v>
      </c>
      <c r="K3862" s="10">
        <v>2844</v>
      </c>
      <c r="L3862" s="10">
        <v>308</v>
      </c>
      <c r="M3862" s="10">
        <v>2536</v>
      </c>
      <c r="N3862" s="10">
        <v>2536</v>
      </c>
      <c r="O3862" s="10">
        <f>Table1[[#This Row],[NET Amount]]-Table1[[#This Row],[Paid Amount]]</f>
        <v>0</v>
      </c>
      <c r="P3862" s="2" t="s">
        <v>18</v>
      </c>
      <c r="Q3862" s="2" t="s">
        <v>54</v>
      </c>
      <c r="R3862" s="16">
        <f>(Table1[[#This Row],[NET Amount]]-Table1[[#This Row],[Total Outstanding Amount]])/Table1[[#This Row],[NET Amount]]</f>
        <v>1</v>
      </c>
      <c r="S3862" s="2" t="s">
        <v>97</v>
      </c>
    </row>
    <row r="3863" spans="1:19" x14ac:dyDescent="0.3">
      <c r="A3863" s="4">
        <v>3861</v>
      </c>
      <c r="B3863" s="2" t="s">
        <v>45</v>
      </c>
      <c r="C3863" s="3">
        <v>44835</v>
      </c>
      <c r="D3863" s="3" t="str">
        <f>TEXT(Table1[[#This Row],[Admission Date]],"MMMM")</f>
        <v>October</v>
      </c>
      <c r="E3863" s="3">
        <v>44838</v>
      </c>
      <c r="F3863" s="3">
        <v>44838</v>
      </c>
      <c r="G3863" s="2">
        <v>22025537</v>
      </c>
      <c r="H3863" s="2">
        <v>2234234</v>
      </c>
      <c r="I3863" s="2">
        <v>10013541148</v>
      </c>
      <c r="J3863" s="2" t="s">
        <v>2172</v>
      </c>
      <c r="K3863" s="10">
        <v>52245</v>
      </c>
      <c r="L3863" s="10">
        <v>5892</v>
      </c>
      <c r="M3863" s="10">
        <v>46353</v>
      </c>
      <c r="N3863" s="10">
        <v>14057</v>
      </c>
      <c r="O3863" s="10">
        <f>Table1[[#This Row],[NET Amount]]-Table1[[#This Row],[Paid Amount]]</f>
        <v>32296</v>
      </c>
      <c r="P3863" s="2" t="s">
        <v>23</v>
      </c>
      <c r="Q3863" s="2" t="s">
        <v>52</v>
      </c>
      <c r="R3863" s="16">
        <f>(Table1[[#This Row],[NET Amount]]-Table1[[#This Row],[Total Outstanding Amount]])/Table1[[#This Row],[NET Amount]]</f>
        <v>0.30325976743684335</v>
      </c>
      <c r="S3863" s="2" t="s">
        <v>20</v>
      </c>
    </row>
    <row r="3864" spans="1:19" x14ac:dyDescent="0.3">
      <c r="A3864" s="4">
        <v>3862</v>
      </c>
      <c r="B3864" s="2" t="s">
        <v>2243</v>
      </c>
      <c r="C3864" s="3">
        <v>44838</v>
      </c>
      <c r="D3864" s="3" t="str">
        <f>TEXT(Table1[[#This Row],[Admission Date]],"MMMM")</f>
        <v>October</v>
      </c>
      <c r="E3864" s="3">
        <v>44839</v>
      </c>
      <c r="F3864" s="3">
        <v>44839</v>
      </c>
      <c r="G3864" s="2">
        <v>22025696</v>
      </c>
      <c r="H3864" s="2">
        <v>2234537</v>
      </c>
      <c r="I3864" s="2">
        <v>10013539428</v>
      </c>
      <c r="J3864" s="2" t="s">
        <v>2173</v>
      </c>
      <c r="K3864" s="10">
        <v>36782</v>
      </c>
      <c r="L3864" s="10">
        <v>36782</v>
      </c>
      <c r="M3864" s="10">
        <v>0</v>
      </c>
      <c r="N3864" s="10">
        <v>0</v>
      </c>
      <c r="O3864" s="10">
        <f>Table1[[#This Row],[NET Amount]]-Table1[[#This Row],[Paid Amount]]</f>
        <v>0</v>
      </c>
      <c r="P3864" s="2" t="s">
        <v>18</v>
      </c>
      <c r="Q3864" s="2" t="s">
        <v>90</v>
      </c>
      <c r="R3864" s="16" t="e">
        <f>(Table1[[#This Row],[NET Amount]]-Table1[[#This Row],[Total Outstanding Amount]])/Table1[[#This Row],[NET Amount]]</f>
        <v>#DIV/0!</v>
      </c>
      <c r="S3864" s="2" t="s">
        <v>77</v>
      </c>
    </row>
    <row r="3865" spans="1:19" x14ac:dyDescent="0.3">
      <c r="A3865" s="4">
        <v>3863</v>
      </c>
      <c r="B3865" s="2" t="s">
        <v>25</v>
      </c>
      <c r="C3865" s="3">
        <v>44844</v>
      </c>
      <c r="D3865" s="3" t="str">
        <f>TEXT(Table1[[#This Row],[Admission Date]],"MMMM")</f>
        <v>October</v>
      </c>
      <c r="E3865" s="3">
        <v>44844</v>
      </c>
      <c r="F3865" s="3">
        <v>44844</v>
      </c>
      <c r="G3865" s="2">
        <v>22026412</v>
      </c>
      <c r="H3865" s="2">
        <v>2235387</v>
      </c>
      <c r="I3865" s="2">
        <v>10013531598</v>
      </c>
      <c r="J3865" s="2" t="s">
        <v>372</v>
      </c>
      <c r="K3865" s="10">
        <v>4990</v>
      </c>
      <c r="L3865" s="10">
        <v>413</v>
      </c>
      <c r="M3865" s="10">
        <v>4577</v>
      </c>
      <c r="N3865" s="10">
        <v>4577</v>
      </c>
      <c r="O3865" s="10">
        <f>Table1[[#This Row],[NET Amount]]-Table1[[#This Row],[Paid Amount]]</f>
        <v>0</v>
      </c>
      <c r="P3865" s="2" t="s">
        <v>18</v>
      </c>
      <c r="Q3865" s="2" t="s">
        <v>54</v>
      </c>
      <c r="R3865" s="16">
        <f>(Table1[[#This Row],[NET Amount]]-Table1[[#This Row],[Total Outstanding Amount]])/Table1[[#This Row],[NET Amount]]</f>
        <v>1</v>
      </c>
      <c r="S3865" s="2" t="s">
        <v>97</v>
      </c>
    </row>
    <row r="3866" spans="1:19" x14ac:dyDescent="0.3">
      <c r="A3866" s="4">
        <v>3864</v>
      </c>
      <c r="B3866" s="2" t="s">
        <v>25</v>
      </c>
      <c r="C3866" s="3">
        <v>44844</v>
      </c>
      <c r="D3866" s="3" t="str">
        <f>TEXT(Table1[[#This Row],[Admission Date]],"MMMM")</f>
        <v>October</v>
      </c>
      <c r="E3866" s="3">
        <v>44844</v>
      </c>
      <c r="F3866" s="3">
        <v>44844</v>
      </c>
      <c r="G3866" s="2">
        <v>22026410</v>
      </c>
      <c r="H3866" s="2">
        <v>2235391</v>
      </c>
      <c r="I3866" s="2">
        <v>10013526375</v>
      </c>
      <c r="J3866" s="2" t="s">
        <v>241</v>
      </c>
      <c r="K3866" s="10">
        <v>4990</v>
      </c>
      <c r="L3866" s="10">
        <v>413</v>
      </c>
      <c r="M3866" s="10">
        <v>4577</v>
      </c>
      <c r="N3866" s="10">
        <v>4577</v>
      </c>
      <c r="O3866" s="10">
        <f>Table1[[#This Row],[NET Amount]]-Table1[[#This Row],[Paid Amount]]</f>
        <v>0</v>
      </c>
      <c r="P3866" s="2" t="s">
        <v>18</v>
      </c>
      <c r="Q3866" s="2" t="s">
        <v>54</v>
      </c>
      <c r="R3866" s="16">
        <f>(Table1[[#This Row],[NET Amount]]-Table1[[#This Row],[Total Outstanding Amount]])/Table1[[#This Row],[NET Amount]]</f>
        <v>1</v>
      </c>
      <c r="S3866" s="2" t="s">
        <v>97</v>
      </c>
    </row>
    <row r="3867" spans="1:19" x14ac:dyDescent="0.3">
      <c r="A3867" s="4">
        <v>3865</v>
      </c>
      <c r="B3867" s="2" t="s">
        <v>25</v>
      </c>
      <c r="C3867" s="3">
        <v>44853</v>
      </c>
      <c r="D3867" s="3" t="str">
        <f>TEXT(Table1[[#This Row],[Admission Date]],"MMMM")</f>
        <v>October</v>
      </c>
      <c r="E3867" s="3">
        <v>44853</v>
      </c>
      <c r="F3867" s="3">
        <v>44853</v>
      </c>
      <c r="G3867" s="2">
        <v>22027648</v>
      </c>
      <c r="H3867" s="2">
        <v>2236575</v>
      </c>
      <c r="I3867" s="2">
        <v>10013407139</v>
      </c>
      <c r="J3867" s="2" t="s">
        <v>237</v>
      </c>
      <c r="K3867" s="10">
        <v>3729</v>
      </c>
      <c r="L3867" s="10">
        <v>286</v>
      </c>
      <c r="M3867" s="10">
        <v>3443</v>
      </c>
      <c r="N3867" s="10">
        <v>3443</v>
      </c>
      <c r="O3867" s="10">
        <f>Table1[[#This Row],[NET Amount]]-Table1[[#This Row],[Paid Amount]]</f>
        <v>0</v>
      </c>
      <c r="P3867" s="2" t="s">
        <v>18</v>
      </c>
      <c r="Q3867" s="2" t="s">
        <v>54</v>
      </c>
      <c r="R3867" s="16">
        <f>(Table1[[#This Row],[NET Amount]]-Table1[[#This Row],[Total Outstanding Amount]])/Table1[[#This Row],[NET Amount]]</f>
        <v>1</v>
      </c>
      <c r="S3867" s="2" t="s">
        <v>97</v>
      </c>
    </row>
    <row r="3868" spans="1:19" x14ac:dyDescent="0.3">
      <c r="A3868" s="4">
        <v>3866</v>
      </c>
      <c r="B3868" s="2" t="s">
        <v>25</v>
      </c>
      <c r="C3868" s="3">
        <v>44828</v>
      </c>
      <c r="D3868" s="3" t="str">
        <f>TEXT(Table1[[#This Row],[Admission Date]],"MMMM")</f>
        <v>September</v>
      </c>
      <c r="E3868" s="3">
        <v>44838</v>
      </c>
      <c r="F3868" s="3">
        <v>44838</v>
      </c>
      <c r="G3868" s="2">
        <v>22025550</v>
      </c>
      <c r="H3868" s="2">
        <v>2233362</v>
      </c>
      <c r="I3868" s="2">
        <v>10013539933</v>
      </c>
      <c r="J3868" s="2" t="s">
        <v>2174</v>
      </c>
      <c r="K3868" s="10">
        <v>123016</v>
      </c>
      <c r="L3868" s="10">
        <v>123016</v>
      </c>
      <c r="M3868" s="10">
        <v>0</v>
      </c>
      <c r="N3868" s="10">
        <v>0</v>
      </c>
      <c r="O3868" s="10">
        <f>Table1[[#This Row],[NET Amount]]-Table1[[#This Row],[Paid Amount]]</f>
        <v>0</v>
      </c>
      <c r="P3868" s="2" t="s">
        <v>18</v>
      </c>
      <c r="Q3868" s="2" t="s">
        <v>90</v>
      </c>
      <c r="R3868" s="16" t="e">
        <f>(Table1[[#This Row],[NET Amount]]-Table1[[#This Row],[Total Outstanding Amount]])/Table1[[#This Row],[NET Amount]]</f>
        <v>#DIV/0!</v>
      </c>
      <c r="S3868" s="2" t="s">
        <v>20</v>
      </c>
    </row>
    <row r="3869" spans="1:19" x14ac:dyDescent="0.3">
      <c r="A3869" s="4">
        <v>3867</v>
      </c>
      <c r="B3869" s="2" t="s">
        <v>25</v>
      </c>
      <c r="C3869" s="3">
        <v>44853</v>
      </c>
      <c r="D3869" s="3" t="str">
        <f>TEXT(Table1[[#This Row],[Admission Date]],"MMMM")</f>
        <v>October</v>
      </c>
      <c r="E3869" s="3">
        <v>44857</v>
      </c>
      <c r="F3869" s="3">
        <v>44857</v>
      </c>
      <c r="G3869" s="2">
        <v>22028345</v>
      </c>
      <c r="H3869" s="2">
        <v>2236656</v>
      </c>
      <c r="I3869" s="2">
        <v>10013543762</v>
      </c>
      <c r="J3869" s="2" t="s">
        <v>754</v>
      </c>
      <c r="K3869" s="10">
        <v>175668</v>
      </c>
      <c r="L3869" s="10">
        <v>29243</v>
      </c>
      <c r="M3869" s="10">
        <v>146425</v>
      </c>
      <c r="N3869" s="10">
        <v>146425</v>
      </c>
      <c r="O3869" s="10">
        <f>Table1[[#This Row],[NET Amount]]-Table1[[#This Row],[Paid Amount]]</f>
        <v>0</v>
      </c>
      <c r="P3869" s="2" t="s">
        <v>18</v>
      </c>
      <c r="Q3869" s="2" t="s">
        <v>30</v>
      </c>
      <c r="R3869" s="16">
        <f>(Table1[[#This Row],[NET Amount]]-Table1[[#This Row],[Total Outstanding Amount]])/Table1[[#This Row],[NET Amount]]</f>
        <v>1</v>
      </c>
      <c r="S3869" s="2" t="s">
        <v>39</v>
      </c>
    </row>
    <row r="3870" spans="1:19" x14ac:dyDescent="0.3">
      <c r="A3870" s="4">
        <v>3868</v>
      </c>
      <c r="B3870" s="2" t="s">
        <v>25</v>
      </c>
      <c r="C3870" s="3">
        <v>44848</v>
      </c>
      <c r="D3870" s="3" t="str">
        <f>TEXT(Table1[[#This Row],[Admission Date]],"MMMM")</f>
        <v>October</v>
      </c>
      <c r="E3870" s="3">
        <v>44852</v>
      </c>
      <c r="F3870" s="3">
        <v>44852</v>
      </c>
      <c r="G3870" s="2">
        <v>22027548</v>
      </c>
      <c r="H3870" s="2">
        <v>2236030</v>
      </c>
      <c r="I3870" s="2">
        <v>10013543064</v>
      </c>
      <c r="J3870" s="2" t="s">
        <v>2175</v>
      </c>
      <c r="K3870" s="10">
        <v>88418</v>
      </c>
      <c r="L3870" s="10">
        <v>39401</v>
      </c>
      <c r="M3870" s="10">
        <v>49017</v>
      </c>
      <c r="N3870" s="10">
        <v>49017</v>
      </c>
      <c r="O3870" s="10">
        <f>Table1[[#This Row],[NET Amount]]-Table1[[#This Row],[Paid Amount]]</f>
        <v>0</v>
      </c>
      <c r="P3870" s="2" t="s">
        <v>18</v>
      </c>
      <c r="Q3870" s="2" t="s">
        <v>69</v>
      </c>
      <c r="R3870" s="16">
        <f>(Table1[[#This Row],[NET Amount]]-Table1[[#This Row],[Total Outstanding Amount]])/Table1[[#This Row],[NET Amount]]</f>
        <v>1</v>
      </c>
      <c r="S3870" s="2" t="s">
        <v>32</v>
      </c>
    </row>
    <row r="3871" spans="1:19" x14ac:dyDescent="0.3">
      <c r="A3871" s="4">
        <v>3869</v>
      </c>
      <c r="B3871" s="2" t="s">
        <v>25</v>
      </c>
      <c r="C3871" s="3">
        <v>44840</v>
      </c>
      <c r="D3871" s="3" t="str">
        <f>TEXT(Table1[[#This Row],[Admission Date]],"MMMM")</f>
        <v>October</v>
      </c>
      <c r="E3871" s="3">
        <v>44841</v>
      </c>
      <c r="F3871" s="3">
        <v>44841</v>
      </c>
      <c r="G3871" s="2">
        <v>22026055</v>
      </c>
      <c r="H3871" s="2">
        <v>2234810</v>
      </c>
      <c r="I3871" s="2">
        <v>10013541704</v>
      </c>
      <c r="J3871" s="2" t="s">
        <v>2176</v>
      </c>
      <c r="K3871" s="10">
        <v>113095</v>
      </c>
      <c r="L3871" s="10">
        <v>18064</v>
      </c>
      <c r="M3871" s="10">
        <v>95031</v>
      </c>
      <c r="N3871" s="10">
        <v>95031</v>
      </c>
      <c r="O3871" s="10">
        <f>Table1[[#This Row],[NET Amount]]-Table1[[#This Row],[Paid Amount]]</f>
        <v>0</v>
      </c>
      <c r="P3871" s="2" t="s">
        <v>18</v>
      </c>
      <c r="Q3871" s="2" t="s">
        <v>88</v>
      </c>
      <c r="R3871" s="16">
        <f>(Table1[[#This Row],[NET Amount]]-Table1[[#This Row],[Total Outstanding Amount]])/Table1[[#This Row],[NET Amount]]</f>
        <v>1</v>
      </c>
      <c r="S3871" s="2" t="s">
        <v>20</v>
      </c>
    </row>
    <row r="3872" spans="1:19" x14ac:dyDescent="0.3">
      <c r="A3872" s="4">
        <v>3870</v>
      </c>
      <c r="B3872" s="2" t="s">
        <v>35</v>
      </c>
      <c r="C3872" s="3">
        <v>44842</v>
      </c>
      <c r="D3872" s="3" t="str">
        <f>TEXT(Table1[[#This Row],[Admission Date]],"MMMM")</f>
        <v>October</v>
      </c>
      <c r="E3872" s="3">
        <v>44842</v>
      </c>
      <c r="F3872" s="3">
        <v>44842</v>
      </c>
      <c r="G3872" s="2">
        <v>22026094</v>
      </c>
      <c r="H3872" s="2">
        <v>2235130</v>
      </c>
      <c r="I3872" s="2">
        <v>10013480632</v>
      </c>
      <c r="J3872" s="2" t="s">
        <v>210</v>
      </c>
      <c r="K3872" s="10">
        <v>1610</v>
      </c>
      <c r="L3872" s="10">
        <v>0</v>
      </c>
      <c r="M3872" s="10">
        <v>1610</v>
      </c>
      <c r="N3872" s="10">
        <v>1610</v>
      </c>
      <c r="O3872" s="10">
        <f>Table1[[#This Row],[NET Amount]]-Table1[[#This Row],[Paid Amount]]</f>
        <v>0</v>
      </c>
      <c r="P3872" s="2" t="s">
        <v>18</v>
      </c>
      <c r="Q3872" s="2" t="s">
        <v>54</v>
      </c>
      <c r="R3872" s="16">
        <f>(Table1[[#This Row],[NET Amount]]-Table1[[#This Row],[Total Outstanding Amount]])/Table1[[#This Row],[NET Amount]]</f>
        <v>1</v>
      </c>
      <c r="S3872" s="2" t="s">
        <v>97</v>
      </c>
    </row>
    <row r="3873" spans="1:19" x14ac:dyDescent="0.3">
      <c r="A3873" s="4">
        <v>3871</v>
      </c>
      <c r="B3873" s="2" t="s">
        <v>25</v>
      </c>
      <c r="C3873" s="3">
        <v>44851</v>
      </c>
      <c r="D3873" s="3" t="str">
        <f>TEXT(Table1[[#This Row],[Admission Date]],"MMMM")</f>
        <v>October</v>
      </c>
      <c r="E3873" s="3">
        <v>44854</v>
      </c>
      <c r="F3873" s="3">
        <v>44854</v>
      </c>
      <c r="G3873" s="2">
        <v>22027840</v>
      </c>
      <c r="H3873" s="2">
        <v>2236425</v>
      </c>
      <c r="I3873" s="2">
        <v>10013543253</v>
      </c>
      <c r="J3873" s="2" t="s">
        <v>2177</v>
      </c>
      <c r="K3873" s="10">
        <v>37955</v>
      </c>
      <c r="L3873" s="10">
        <v>37955</v>
      </c>
      <c r="M3873" s="10">
        <v>0</v>
      </c>
      <c r="N3873" s="10">
        <v>0</v>
      </c>
      <c r="O3873" s="10">
        <f>Table1[[#This Row],[NET Amount]]-Table1[[#This Row],[Paid Amount]]</f>
        <v>0</v>
      </c>
      <c r="P3873" s="2" t="s">
        <v>18</v>
      </c>
      <c r="Q3873" s="2" t="s">
        <v>90</v>
      </c>
      <c r="R3873" s="16" t="e">
        <f>(Table1[[#This Row],[NET Amount]]-Table1[[#This Row],[Total Outstanding Amount]])/Table1[[#This Row],[NET Amount]]</f>
        <v>#DIV/0!</v>
      </c>
      <c r="S3873" s="2" t="s">
        <v>20</v>
      </c>
    </row>
    <row r="3874" spans="1:19" x14ac:dyDescent="0.3">
      <c r="A3874" s="4">
        <v>3872</v>
      </c>
      <c r="B3874" s="2" t="s">
        <v>149</v>
      </c>
      <c r="C3874" s="3">
        <v>44856</v>
      </c>
      <c r="D3874" s="3" t="str">
        <f>TEXT(Table1[[#This Row],[Admission Date]],"MMMM")</f>
        <v>October</v>
      </c>
      <c r="E3874" s="3">
        <v>44863</v>
      </c>
      <c r="F3874" s="3">
        <v>44863</v>
      </c>
      <c r="G3874" s="2">
        <v>22029025</v>
      </c>
      <c r="H3874" s="2">
        <v>2237107</v>
      </c>
      <c r="I3874" s="2">
        <v>10013544184</v>
      </c>
      <c r="J3874" s="2" t="s">
        <v>2178</v>
      </c>
      <c r="K3874" s="10">
        <v>109951</v>
      </c>
      <c r="L3874" s="10">
        <v>0</v>
      </c>
      <c r="M3874" s="10">
        <v>109951</v>
      </c>
      <c r="N3874" s="10">
        <v>39951</v>
      </c>
      <c r="O3874" s="10">
        <f>Table1[[#This Row],[NET Amount]]-Table1[[#This Row],[Paid Amount]]</f>
        <v>70000</v>
      </c>
      <c r="P3874" s="2" t="s">
        <v>23</v>
      </c>
      <c r="Q3874" s="2" t="s">
        <v>30</v>
      </c>
      <c r="R3874" s="16">
        <f>(Table1[[#This Row],[NET Amount]]-Table1[[#This Row],[Total Outstanding Amount]])/Table1[[#This Row],[NET Amount]]</f>
        <v>0.36335276623223073</v>
      </c>
      <c r="S3874" s="2" t="s">
        <v>20</v>
      </c>
    </row>
    <row r="3875" spans="1:19" x14ac:dyDescent="0.3">
      <c r="A3875" s="4">
        <v>3873</v>
      </c>
      <c r="B3875" s="2" t="s">
        <v>126</v>
      </c>
      <c r="C3875" s="3">
        <v>44844</v>
      </c>
      <c r="D3875" s="3" t="str">
        <f>TEXT(Table1[[#This Row],[Admission Date]],"MMMM")</f>
        <v>October</v>
      </c>
      <c r="E3875" s="3">
        <v>44847</v>
      </c>
      <c r="F3875" s="3">
        <v>44847</v>
      </c>
      <c r="G3875" s="2">
        <v>22026847</v>
      </c>
      <c r="H3875" s="2">
        <v>2235408</v>
      </c>
      <c r="I3875" s="2">
        <v>10013541382</v>
      </c>
      <c r="J3875" s="2" t="s">
        <v>2179</v>
      </c>
      <c r="K3875" s="10">
        <v>144489</v>
      </c>
      <c r="L3875" s="10">
        <v>5708</v>
      </c>
      <c r="M3875" s="10">
        <v>138781</v>
      </c>
      <c r="N3875" s="10">
        <v>6662</v>
      </c>
      <c r="O3875" s="10">
        <f>Table1[[#This Row],[NET Amount]]-Table1[[#This Row],[Paid Amount]]</f>
        <v>132119</v>
      </c>
      <c r="P3875" s="2" t="s">
        <v>23</v>
      </c>
      <c r="Q3875" s="2" t="s">
        <v>30</v>
      </c>
      <c r="R3875" s="16">
        <f>(Table1[[#This Row],[NET Amount]]-Table1[[#This Row],[Total Outstanding Amount]])/Table1[[#This Row],[NET Amount]]</f>
        <v>4.8003689265821693E-2</v>
      </c>
      <c r="S3875" s="2" t="s">
        <v>201</v>
      </c>
    </row>
    <row r="3876" spans="1:19" x14ac:dyDescent="0.3">
      <c r="A3876" s="4">
        <v>3874</v>
      </c>
      <c r="B3876" s="2" t="s">
        <v>206</v>
      </c>
      <c r="C3876" s="3">
        <v>44830</v>
      </c>
      <c r="D3876" s="3" t="str">
        <f>TEXT(Table1[[#This Row],[Admission Date]],"MMMM")</f>
        <v>September</v>
      </c>
      <c r="E3876" s="3">
        <v>44836</v>
      </c>
      <c r="F3876" s="3">
        <v>44836</v>
      </c>
      <c r="G3876" s="2">
        <v>22025301</v>
      </c>
      <c r="H3876" s="2">
        <v>2233569</v>
      </c>
      <c r="I3876" s="2">
        <v>10013539974</v>
      </c>
      <c r="J3876" s="2" t="s">
        <v>2180</v>
      </c>
      <c r="K3876" s="10">
        <v>115150</v>
      </c>
      <c r="L3876" s="10">
        <v>10998</v>
      </c>
      <c r="M3876" s="10">
        <v>104152</v>
      </c>
      <c r="N3876" s="10">
        <v>17035</v>
      </c>
      <c r="O3876" s="10">
        <f>Table1[[#This Row],[NET Amount]]-Table1[[#This Row],[Paid Amount]]</f>
        <v>87117</v>
      </c>
      <c r="P3876" s="2" t="s">
        <v>23</v>
      </c>
      <c r="Q3876" s="2" t="s">
        <v>30</v>
      </c>
      <c r="R3876" s="16">
        <f>(Table1[[#This Row],[NET Amount]]-Table1[[#This Row],[Total Outstanding Amount]])/Table1[[#This Row],[NET Amount]]</f>
        <v>0.16355902911129888</v>
      </c>
      <c r="S3876" s="2" t="s">
        <v>20</v>
      </c>
    </row>
    <row r="3877" spans="1:19" x14ac:dyDescent="0.3">
      <c r="A3877" s="4">
        <v>3875</v>
      </c>
      <c r="B3877" s="2" t="s">
        <v>2253</v>
      </c>
      <c r="C3877" s="3">
        <v>44853</v>
      </c>
      <c r="D3877" s="3" t="str">
        <f>TEXT(Table1[[#This Row],[Admission Date]],"MMMM")</f>
        <v>October</v>
      </c>
      <c r="E3877" s="3">
        <v>44857</v>
      </c>
      <c r="F3877" s="3">
        <v>44857</v>
      </c>
      <c r="G3877" s="2">
        <v>22028388</v>
      </c>
      <c r="H3877" s="2">
        <v>2236657</v>
      </c>
      <c r="I3877" s="2">
        <v>1001805008</v>
      </c>
      <c r="J3877" s="2" t="s">
        <v>2181</v>
      </c>
      <c r="K3877" s="10">
        <v>14121</v>
      </c>
      <c r="L3877" s="10">
        <v>0</v>
      </c>
      <c r="M3877" s="10">
        <v>14121</v>
      </c>
      <c r="N3877" s="10">
        <v>520</v>
      </c>
      <c r="O3877" s="10">
        <f>Table1[[#This Row],[NET Amount]]-Table1[[#This Row],[Paid Amount]]</f>
        <v>13601</v>
      </c>
      <c r="P3877" s="2" t="s">
        <v>23</v>
      </c>
      <c r="Q3877" s="2" t="s">
        <v>24</v>
      </c>
      <c r="R3877" s="16">
        <f>(Table1[[#This Row],[NET Amount]]-Table1[[#This Row],[Total Outstanding Amount]])/Table1[[#This Row],[NET Amount]]</f>
        <v>3.6824587493803553E-2</v>
      </c>
      <c r="S3877" s="2" t="s">
        <v>37</v>
      </c>
    </row>
    <row r="3878" spans="1:19" x14ac:dyDescent="0.3">
      <c r="A3878" s="4">
        <v>3876</v>
      </c>
      <c r="B3878" s="2" t="s">
        <v>35</v>
      </c>
      <c r="C3878" s="3">
        <v>44846</v>
      </c>
      <c r="D3878" s="3" t="str">
        <f>TEXT(Table1[[#This Row],[Admission Date]],"MMMM")</f>
        <v>October</v>
      </c>
      <c r="E3878" s="3">
        <v>44847</v>
      </c>
      <c r="F3878" s="3">
        <v>44847</v>
      </c>
      <c r="G3878" s="2">
        <v>22026931</v>
      </c>
      <c r="H3878" s="2">
        <v>2235632</v>
      </c>
      <c r="I3878" s="2">
        <v>10013259673</v>
      </c>
      <c r="J3878" s="2" t="s">
        <v>2182</v>
      </c>
      <c r="K3878" s="10">
        <v>25094</v>
      </c>
      <c r="L3878" s="10">
        <v>0</v>
      </c>
      <c r="M3878" s="10">
        <v>25094</v>
      </c>
      <c r="N3878" s="10">
        <v>25094</v>
      </c>
      <c r="O3878" s="10">
        <f>Table1[[#This Row],[NET Amount]]-Table1[[#This Row],[Paid Amount]]</f>
        <v>0</v>
      </c>
      <c r="P3878" s="2" t="s">
        <v>18</v>
      </c>
      <c r="Q3878" s="2" t="s">
        <v>30</v>
      </c>
      <c r="R3878" s="16">
        <f>(Table1[[#This Row],[NET Amount]]-Table1[[#This Row],[Total Outstanding Amount]])/Table1[[#This Row],[NET Amount]]</f>
        <v>1</v>
      </c>
      <c r="S3878" s="2" t="s">
        <v>77</v>
      </c>
    </row>
    <row r="3879" spans="1:19" x14ac:dyDescent="0.3">
      <c r="A3879" s="4">
        <v>3877</v>
      </c>
      <c r="B3879" s="2" t="s">
        <v>21</v>
      </c>
      <c r="C3879" s="3">
        <v>44846</v>
      </c>
      <c r="D3879" s="3" t="str">
        <f>TEXT(Table1[[#This Row],[Admission Date]],"MMMM")</f>
        <v>October</v>
      </c>
      <c r="E3879" s="3">
        <v>44850</v>
      </c>
      <c r="F3879" s="3">
        <v>44850</v>
      </c>
      <c r="G3879" s="2">
        <v>22027318</v>
      </c>
      <c r="H3879" s="2">
        <v>2235623</v>
      </c>
      <c r="I3879" s="2">
        <v>10013542633</v>
      </c>
      <c r="J3879" s="2" t="s">
        <v>444</v>
      </c>
      <c r="K3879" s="10">
        <v>32337</v>
      </c>
      <c r="L3879" s="10">
        <v>0</v>
      </c>
      <c r="M3879" s="10">
        <v>32337</v>
      </c>
      <c r="N3879" s="10">
        <v>32337</v>
      </c>
      <c r="O3879" s="10">
        <f>Table1[[#This Row],[NET Amount]]-Table1[[#This Row],[Paid Amount]]</f>
        <v>0</v>
      </c>
      <c r="P3879" s="2" t="s">
        <v>18</v>
      </c>
      <c r="Q3879" s="2" t="s">
        <v>19</v>
      </c>
      <c r="R3879" s="16">
        <f>(Table1[[#This Row],[NET Amount]]-Table1[[#This Row],[Total Outstanding Amount]])/Table1[[#This Row],[NET Amount]]</f>
        <v>1</v>
      </c>
      <c r="S3879" s="2" t="s">
        <v>20</v>
      </c>
    </row>
    <row r="3880" spans="1:19" x14ac:dyDescent="0.3">
      <c r="A3880" s="4">
        <v>3878</v>
      </c>
      <c r="B3880" s="2" t="s">
        <v>2245</v>
      </c>
      <c r="C3880" s="3">
        <v>44855</v>
      </c>
      <c r="D3880" s="3" t="str">
        <f>TEXT(Table1[[#This Row],[Admission Date]],"MMMM")</f>
        <v>October</v>
      </c>
      <c r="E3880" s="3">
        <v>44857</v>
      </c>
      <c r="F3880" s="3">
        <v>44857</v>
      </c>
      <c r="G3880" s="2">
        <v>22028354</v>
      </c>
      <c r="H3880" s="2">
        <v>2236975</v>
      </c>
      <c r="I3880" s="2">
        <v>1001803275</v>
      </c>
      <c r="J3880" s="2" t="s">
        <v>2183</v>
      </c>
      <c r="K3880" s="10">
        <v>31270</v>
      </c>
      <c r="L3880" s="10">
        <v>0</v>
      </c>
      <c r="M3880" s="10">
        <v>31270</v>
      </c>
      <c r="N3880" s="10">
        <v>3000</v>
      </c>
      <c r="O3880" s="10">
        <f>Table1[[#This Row],[NET Amount]]-Table1[[#This Row],[Paid Amount]]</f>
        <v>28270</v>
      </c>
      <c r="P3880" s="2" t="s">
        <v>23</v>
      </c>
      <c r="Q3880" s="2" t="s">
        <v>24</v>
      </c>
      <c r="R3880" s="16">
        <f>(Table1[[#This Row],[NET Amount]]-Table1[[#This Row],[Total Outstanding Amount]])/Table1[[#This Row],[NET Amount]]</f>
        <v>9.5938599296450267E-2</v>
      </c>
      <c r="S3880" s="2" t="s">
        <v>138</v>
      </c>
    </row>
    <row r="3881" spans="1:19" x14ac:dyDescent="0.3">
      <c r="A3881" s="4">
        <v>3879</v>
      </c>
      <c r="B3881" s="2" t="s">
        <v>75</v>
      </c>
      <c r="C3881" s="3">
        <v>44856</v>
      </c>
      <c r="D3881" s="3" t="str">
        <f>TEXT(Table1[[#This Row],[Admission Date]],"MMMM")</f>
        <v>October</v>
      </c>
      <c r="E3881" s="3">
        <v>44859</v>
      </c>
      <c r="F3881" s="3">
        <v>44859</v>
      </c>
      <c r="G3881" s="2">
        <v>22028503</v>
      </c>
      <c r="H3881" s="2">
        <v>2237106</v>
      </c>
      <c r="I3881" s="2">
        <v>10013544192</v>
      </c>
      <c r="J3881" s="2" t="s">
        <v>2184</v>
      </c>
      <c r="K3881" s="10">
        <v>33539</v>
      </c>
      <c r="L3881" s="10">
        <v>0</v>
      </c>
      <c r="M3881" s="10">
        <v>33539</v>
      </c>
      <c r="N3881" s="10">
        <v>572</v>
      </c>
      <c r="O3881" s="10">
        <f>Table1[[#This Row],[NET Amount]]-Table1[[#This Row],[Paid Amount]]</f>
        <v>32967</v>
      </c>
      <c r="P3881" s="2" t="s">
        <v>23</v>
      </c>
      <c r="Q3881" s="2" t="s">
        <v>24</v>
      </c>
      <c r="R3881" s="16">
        <f>(Table1[[#This Row],[NET Amount]]-Table1[[#This Row],[Total Outstanding Amount]])/Table1[[#This Row],[NET Amount]]</f>
        <v>1.7054772056411937E-2</v>
      </c>
      <c r="S3881" s="2" t="s">
        <v>20</v>
      </c>
    </row>
    <row r="3882" spans="1:19" x14ac:dyDescent="0.3">
      <c r="A3882" s="4">
        <v>3880</v>
      </c>
      <c r="B3882" s="2" t="s">
        <v>152</v>
      </c>
      <c r="C3882" s="3">
        <v>44828</v>
      </c>
      <c r="D3882" s="3" t="str">
        <f>TEXT(Table1[[#This Row],[Admission Date]],"MMMM")</f>
        <v>September</v>
      </c>
      <c r="E3882" s="3">
        <v>44838</v>
      </c>
      <c r="F3882" s="3">
        <v>44838</v>
      </c>
      <c r="G3882" s="2">
        <v>22025552</v>
      </c>
      <c r="H3882" s="2">
        <v>2233284</v>
      </c>
      <c r="I3882" s="2">
        <v>10013540141</v>
      </c>
      <c r="J3882" s="2" t="s">
        <v>2185</v>
      </c>
      <c r="K3882" s="10">
        <v>150020</v>
      </c>
      <c r="L3882" s="10">
        <v>0</v>
      </c>
      <c r="M3882" s="10">
        <v>150020</v>
      </c>
      <c r="N3882" s="10">
        <v>150020</v>
      </c>
      <c r="O3882" s="10">
        <f>Table1[[#This Row],[NET Amount]]-Table1[[#This Row],[Paid Amount]]</f>
        <v>0</v>
      </c>
      <c r="P3882" s="2" t="s">
        <v>18</v>
      </c>
      <c r="Q3882" s="2" t="s">
        <v>24</v>
      </c>
      <c r="R3882" s="16">
        <f>(Table1[[#This Row],[NET Amount]]-Table1[[#This Row],[Total Outstanding Amount]])/Table1[[#This Row],[NET Amount]]</f>
        <v>1</v>
      </c>
      <c r="S3882" s="2" t="s">
        <v>20</v>
      </c>
    </row>
    <row r="3883" spans="1:19" x14ac:dyDescent="0.3">
      <c r="A3883" s="4">
        <v>3881</v>
      </c>
      <c r="B3883" s="2" t="s">
        <v>753</v>
      </c>
      <c r="C3883" s="3">
        <v>44844</v>
      </c>
      <c r="D3883" s="3" t="str">
        <f>TEXT(Table1[[#This Row],[Admission Date]],"MMMM")</f>
        <v>October</v>
      </c>
      <c r="E3883" s="3">
        <v>44847</v>
      </c>
      <c r="F3883" s="3">
        <v>44847</v>
      </c>
      <c r="G3883" s="2">
        <v>22026911</v>
      </c>
      <c r="H3883" s="2">
        <v>2235352</v>
      </c>
      <c r="I3883" s="2">
        <v>10013531199</v>
      </c>
      <c r="J3883" s="2" t="s">
        <v>2186</v>
      </c>
      <c r="K3883" s="10">
        <v>74075</v>
      </c>
      <c r="L3883" s="10">
        <v>0</v>
      </c>
      <c r="M3883" s="10">
        <v>74075</v>
      </c>
      <c r="N3883" s="10">
        <v>1500</v>
      </c>
      <c r="O3883" s="10">
        <f>Table1[[#This Row],[NET Amount]]-Table1[[#This Row],[Paid Amount]]</f>
        <v>72575</v>
      </c>
      <c r="P3883" s="2" t="s">
        <v>23</v>
      </c>
      <c r="Q3883" s="2" t="s">
        <v>104</v>
      </c>
      <c r="R3883" s="16">
        <f>(Table1[[#This Row],[NET Amount]]-Table1[[#This Row],[Total Outstanding Amount]])/Table1[[#This Row],[NET Amount]]</f>
        <v>2.0249746878164023E-2</v>
      </c>
      <c r="S3883" s="2" t="s">
        <v>27</v>
      </c>
    </row>
    <row r="3884" spans="1:19" x14ac:dyDescent="0.3">
      <c r="A3884" s="4">
        <v>3882</v>
      </c>
      <c r="B3884" s="2" t="s">
        <v>25</v>
      </c>
      <c r="C3884" s="3">
        <v>44860</v>
      </c>
      <c r="D3884" s="3" t="str">
        <f>TEXT(Table1[[#This Row],[Admission Date]],"MMMM")</f>
        <v>October</v>
      </c>
      <c r="E3884" s="3">
        <v>44860</v>
      </c>
      <c r="F3884" s="3">
        <v>44860</v>
      </c>
      <c r="G3884" s="2">
        <v>22028646</v>
      </c>
      <c r="H3884" s="2">
        <v>2237501</v>
      </c>
      <c r="I3884" s="2">
        <v>10013460950</v>
      </c>
      <c r="J3884" s="2" t="s">
        <v>248</v>
      </c>
      <c r="K3884" s="10">
        <v>2844</v>
      </c>
      <c r="L3884" s="10">
        <v>289</v>
      </c>
      <c r="M3884" s="10">
        <v>2555</v>
      </c>
      <c r="N3884" s="10">
        <v>2555</v>
      </c>
      <c r="O3884" s="10">
        <f>Table1[[#This Row],[NET Amount]]-Table1[[#This Row],[Paid Amount]]</f>
        <v>0</v>
      </c>
      <c r="P3884" s="2" t="s">
        <v>18</v>
      </c>
      <c r="Q3884" s="2" t="s">
        <v>54</v>
      </c>
      <c r="R3884" s="16">
        <f>(Table1[[#This Row],[NET Amount]]-Table1[[#This Row],[Total Outstanding Amount]])/Table1[[#This Row],[NET Amount]]</f>
        <v>1</v>
      </c>
      <c r="S3884" s="2" t="s">
        <v>97</v>
      </c>
    </row>
    <row r="3885" spans="1:19" x14ac:dyDescent="0.3">
      <c r="A3885" s="4">
        <v>3883</v>
      </c>
      <c r="B3885" s="2" t="s">
        <v>50</v>
      </c>
      <c r="C3885" s="3">
        <v>44860</v>
      </c>
      <c r="D3885" s="3" t="str">
        <f>TEXT(Table1[[#This Row],[Admission Date]],"MMMM")</f>
        <v>October</v>
      </c>
      <c r="E3885" s="3">
        <v>44860</v>
      </c>
      <c r="F3885" s="3">
        <v>44860</v>
      </c>
      <c r="G3885" s="2">
        <v>22028660</v>
      </c>
      <c r="H3885" s="2">
        <v>2237499</v>
      </c>
      <c r="I3885" s="2">
        <v>1001564406</v>
      </c>
      <c r="J3885" s="2" t="s">
        <v>183</v>
      </c>
      <c r="K3885" s="10">
        <v>2200</v>
      </c>
      <c r="L3885" s="10">
        <v>0</v>
      </c>
      <c r="M3885" s="10">
        <v>2200</v>
      </c>
      <c r="N3885" s="10">
        <v>330</v>
      </c>
      <c r="O3885" s="10">
        <f>Table1[[#This Row],[NET Amount]]-Table1[[#This Row],[Paid Amount]]</f>
        <v>1870</v>
      </c>
      <c r="P3885" s="2" t="s">
        <v>23</v>
      </c>
      <c r="Q3885" s="2" t="s">
        <v>147</v>
      </c>
      <c r="R3885" s="16">
        <f>(Table1[[#This Row],[NET Amount]]-Table1[[#This Row],[Total Outstanding Amount]])/Table1[[#This Row],[NET Amount]]</f>
        <v>0.15</v>
      </c>
      <c r="S3885" s="2" t="s">
        <v>97</v>
      </c>
    </row>
    <row r="3886" spans="1:19" x14ac:dyDescent="0.3">
      <c r="A3886" s="4">
        <v>3884</v>
      </c>
      <c r="B3886" s="2" t="s">
        <v>25</v>
      </c>
      <c r="C3886" s="3">
        <v>44860</v>
      </c>
      <c r="D3886" s="3" t="str">
        <f>TEXT(Table1[[#This Row],[Admission Date]],"MMMM")</f>
        <v>October</v>
      </c>
      <c r="E3886" s="3">
        <v>44861</v>
      </c>
      <c r="F3886" s="3">
        <v>44861</v>
      </c>
      <c r="G3886" s="2">
        <v>22028706</v>
      </c>
      <c r="H3886" s="2">
        <v>2237585</v>
      </c>
      <c r="I3886" s="2">
        <v>10013544658</v>
      </c>
      <c r="J3886" s="2" t="s">
        <v>2187</v>
      </c>
      <c r="K3886" s="10">
        <v>24427</v>
      </c>
      <c r="L3886" s="10">
        <v>1976</v>
      </c>
      <c r="M3886" s="10">
        <v>22451</v>
      </c>
      <c r="N3886" s="10">
        <v>22451</v>
      </c>
      <c r="O3886" s="10">
        <f>Table1[[#This Row],[NET Amount]]-Table1[[#This Row],[Paid Amount]]</f>
        <v>0</v>
      </c>
      <c r="P3886" s="2" t="s">
        <v>18</v>
      </c>
      <c r="Q3886" s="2" t="s">
        <v>24</v>
      </c>
      <c r="R3886" s="16">
        <f>(Table1[[#This Row],[NET Amount]]-Table1[[#This Row],[Total Outstanding Amount]])/Table1[[#This Row],[NET Amount]]</f>
        <v>1</v>
      </c>
      <c r="S3886" s="2" t="s">
        <v>39</v>
      </c>
    </row>
    <row r="3887" spans="1:19" x14ac:dyDescent="0.3">
      <c r="A3887" s="4">
        <v>3885</v>
      </c>
      <c r="B3887" s="2" t="s">
        <v>75</v>
      </c>
      <c r="C3887" s="3">
        <v>44859</v>
      </c>
      <c r="D3887" s="3" t="str">
        <f>TEXT(Table1[[#This Row],[Admission Date]],"MMMM")</f>
        <v>October</v>
      </c>
      <c r="E3887" s="3">
        <v>44861</v>
      </c>
      <c r="F3887" s="3">
        <v>44861</v>
      </c>
      <c r="G3887" s="2">
        <v>22028766</v>
      </c>
      <c r="H3887" s="2">
        <v>2237392</v>
      </c>
      <c r="I3887" s="2">
        <v>10013544468</v>
      </c>
      <c r="J3887" s="2" t="s">
        <v>2188</v>
      </c>
      <c r="K3887" s="10">
        <v>228143</v>
      </c>
      <c r="L3887" s="10">
        <v>0</v>
      </c>
      <c r="M3887" s="10">
        <v>228143</v>
      </c>
      <c r="N3887" s="10">
        <v>69140</v>
      </c>
      <c r="O3887" s="10">
        <f>Table1[[#This Row],[NET Amount]]-Table1[[#This Row],[Paid Amount]]</f>
        <v>159003</v>
      </c>
      <c r="P3887" s="2" t="s">
        <v>23</v>
      </c>
      <c r="Q3887" s="2" t="s">
        <v>24</v>
      </c>
      <c r="R3887" s="16">
        <f>(Table1[[#This Row],[NET Amount]]-Table1[[#This Row],[Total Outstanding Amount]])/Table1[[#This Row],[NET Amount]]</f>
        <v>0.30305553972727634</v>
      </c>
      <c r="S3887" s="2" t="s">
        <v>39</v>
      </c>
    </row>
    <row r="3888" spans="1:19" x14ac:dyDescent="0.3">
      <c r="A3888" s="4">
        <v>3886</v>
      </c>
      <c r="B3888" s="2" t="s">
        <v>2189</v>
      </c>
      <c r="C3888" s="3">
        <v>44863</v>
      </c>
      <c r="D3888" s="3" t="str">
        <f>TEXT(Table1[[#This Row],[Admission Date]],"MMMM")</f>
        <v>October</v>
      </c>
      <c r="E3888" s="3">
        <v>44863</v>
      </c>
      <c r="F3888" s="3">
        <v>44863</v>
      </c>
      <c r="G3888" s="2">
        <v>22029079</v>
      </c>
      <c r="H3888" s="2">
        <v>2237940</v>
      </c>
      <c r="I3888" s="2">
        <v>10013545026</v>
      </c>
      <c r="J3888" s="2" t="s">
        <v>2190</v>
      </c>
      <c r="K3888" s="10">
        <v>11903</v>
      </c>
      <c r="L3888" s="10">
        <v>0</v>
      </c>
      <c r="M3888" s="10">
        <v>11903</v>
      </c>
      <c r="N3888" s="10">
        <v>11903</v>
      </c>
      <c r="O3888" s="10">
        <f>Table1[[#This Row],[NET Amount]]-Table1[[#This Row],[Paid Amount]]</f>
        <v>0</v>
      </c>
      <c r="P3888" s="2" t="s">
        <v>18</v>
      </c>
      <c r="Q3888" s="2" t="s">
        <v>24</v>
      </c>
      <c r="R3888" s="16">
        <f>(Table1[[#This Row],[NET Amount]]-Table1[[#This Row],[Total Outstanding Amount]])/Table1[[#This Row],[NET Amount]]</f>
        <v>1</v>
      </c>
      <c r="S3888" s="2" t="s">
        <v>39</v>
      </c>
    </row>
    <row r="3889" spans="1:19" x14ac:dyDescent="0.3">
      <c r="A3889" s="4">
        <v>3887</v>
      </c>
      <c r="B3889" s="2" t="s">
        <v>25</v>
      </c>
      <c r="C3889" s="3">
        <v>44834</v>
      </c>
      <c r="D3889" s="3" t="str">
        <f>TEXT(Table1[[#This Row],[Admission Date]],"MMMM")</f>
        <v>September</v>
      </c>
      <c r="E3889" s="3">
        <v>44835</v>
      </c>
      <c r="F3889" s="3">
        <v>44835</v>
      </c>
      <c r="G3889" s="2">
        <v>22025265</v>
      </c>
      <c r="H3889" s="2">
        <v>2234132</v>
      </c>
      <c r="I3889" s="2">
        <v>10013541008</v>
      </c>
      <c r="J3889" s="2" t="s">
        <v>1214</v>
      </c>
      <c r="K3889" s="10">
        <v>147188</v>
      </c>
      <c r="L3889" s="10">
        <v>87688</v>
      </c>
      <c r="M3889" s="10">
        <v>59500</v>
      </c>
      <c r="N3889" s="10">
        <v>59500</v>
      </c>
      <c r="O3889" s="10">
        <f>Table1[[#This Row],[NET Amount]]-Table1[[#This Row],[Paid Amount]]</f>
        <v>0</v>
      </c>
      <c r="P3889" s="2" t="s">
        <v>18</v>
      </c>
      <c r="Q3889" s="2" t="s">
        <v>88</v>
      </c>
      <c r="R3889" s="16">
        <f>(Table1[[#This Row],[NET Amount]]-Table1[[#This Row],[Total Outstanding Amount]])/Table1[[#This Row],[NET Amount]]</f>
        <v>1</v>
      </c>
      <c r="S3889" s="2" t="s">
        <v>20</v>
      </c>
    </row>
    <row r="3890" spans="1:19" x14ac:dyDescent="0.3">
      <c r="A3890" s="4">
        <v>3888</v>
      </c>
      <c r="B3890" s="2" t="s">
        <v>25</v>
      </c>
      <c r="C3890" s="3">
        <v>44855</v>
      </c>
      <c r="D3890" s="3" t="str">
        <f>TEXT(Table1[[#This Row],[Admission Date]],"MMMM")</f>
        <v>October</v>
      </c>
      <c r="E3890" s="3">
        <v>44855</v>
      </c>
      <c r="F3890" s="3">
        <v>44855</v>
      </c>
      <c r="G3890" s="2">
        <v>22027961</v>
      </c>
      <c r="H3890" s="2">
        <v>2236852</v>
      </c>
      <c r="I3890" s="2">
        <v>10013543960</v>
      </c>
      <c r="J3890" s="2" t="s">
        <v>2191</v>
      </c>
      <c r="K3890" s="10">
        <v>0</v>
      </c>
      <c r="L3890" s="10">
        <v>0</v>
      </c>
      <c r="M3890" s="10">
        <v>0</v>
      </c>
      <c r="N3890" s="10">
        <v>0</v>
      </c>
      <c r="O3890" s="10">
        <f>Table1[[#This Row],[NET Amount]]-Table1[[#This Row],[Paid Amount]]</f>
        <v>0</v>
      </c>
      <c r="P3890" s="2" t="s">
        <v>18</v>
      </c>
      <c r="Q3890" s="2" t="s">
        <v>24</v>
      </c>
      <c r="R3890" s="16" t="e">
        <f>(Table1[[#This Row],[NET Amount]]-Table1[[#This Row],[Total Outstanding Amount]])/Table1[[#This Row],[NET Amount]]</f>
        <v>#DIV/0!</v>
      </c>
      <c r="S3890" s="2" t="s">
        <v>20</v>
      </c>
    </row>
    <row r="3891" spans="1:19" x14ac:dyDescent="0.3">
      <c r="A3891" s="4">
        <v>3889</v>
      </c>
      <c r="B3891" s="2" t="s">
        <v>75</v>
      </c>
      <c r="C3891" s="3">
        <v>44851</v>
      </c>
      <c r="D3891" s="3" t="str">
        <f>TEXT(Table1[[#This Row],[Admission Date]],"MMMM")</f>
        <v>October</v>
      </c>
      <c r="E3891" s="3">
        <v>44861</v>
      </c>
      <c r="F3891" s="3">
        <v>44861</v>
      </c>
      <c r="G3891" s="2">
        <v>22028750</v>
      </c>
      <c r="H3891" s="2">
        <v>2236401</v>
      </c>
      <c r="I3891" s="2">
        <v>10013447213</v>
      </c>
      <c r="J3891" s="2" t="s">
        <v>2192</v>
      </c>
      <c r="K3891" s="10">
        <v>132205</v>
      </c>
      <c r="L3891" s="10">
        <v>0</v>
      </c>
      <c r="M3891" s="10">
        <v>132205</v>
      </c>
      <c r="N3891" s="10">
        <v>6093</v>
      </c>
      <c r="O3891" s="10">
        <f>Table1[[#This Row],[NET Amount]]-Table1[[#This Row],[Paid Amount]]</f>
        <v>126112</v>
      </c>
      <c r="P3891" s="2" t="s">
        <v>23</v>
      </c>
      <c r="Q3891" s="2" t="s">
        <v>24</v>
      </c>
      <c r="R3891" s="16">
        <f>(Table1[[#This Row],[NET Amount]]-Table1[[#This Row],[Total Outstanding Amount]])/Table1[[#This Row],[NET Amount]]</f>
        <v>4.6087515600771532E-2</v>
      </c>
      <c r="S3891" s="2" t="s">
        <v>20</v>
      </c>
    </row>
    <row r="3892" spans="1:19" x14ac:dyDescent="0.3">
      <c r="A3892" s="4">
        <v>3890</v>
      </c>
      <c r="B3892" s="2" t="s">
        <v>21</v>
      </c>
      <c r="C3892" s="3">
        <v>44834</v>
      </c>
      <c r="D3892" s="3" t="str">
        <f>TEXT(Table1[[#This Row],[Admission Date]],"MMMM")</f>
        <v>September</v>
      </c>
      <c r="E3892" s="3">
        <v>44836</v>
      </c>
      <c r="F3892" s="3">
        <v>44836</v>
      </c>
      <c r="G3892" s="2">
        <v>22025326</v>
      </c>
      <c r="H3892" s="2">
        <v>2234064</v>
      </c>
      <c r="I3892" s="2">
        <v>1001801700</v>
      </c>
      <c r="J3892" s="2" t="s">
        <v>2193</v>
      </c>
      <c r="K3892" s="10">
        <v>4443</v>
      </c>
      <c r="L3892" s="10">
        <v>0</v>
      </c>
      <c r="M3892" s="10">
        <v>4443</v>
      </c>
      <c r="N3892" s="10">
        <v>4443</v>
      </c>
      <c r="O3892" s="10">
        <f>Table1[[#This Row],[NET Amount]]-Table1[[#This Row],[Paid Amount]]</f>
        <v>0</v>
      </c>
      <c r="P3892" s="2" t="s">
        <v>18</v>
      </c>
      <c r="Q3892" s="2" t="s">
        <v>24</v>
      </c>
      <c r="R3892" s="16">
        <f>(Table1[[#This Row],[NET Amount]]-Table1[[#This Row],[Total Outstanding Amount]])/Table1[[#This Row],[NET Amount]]</f>
        <v>1</v>
      </c>
      <c r="S3892" s="2" t="s">
        <v>37</v>
      </c>
    </row>
    <row r="3893" spans="1:19" x14ac:dyDescent="0.3">
      <c r="A3893" s="4">
        <v>3891</v>
      </c>
      <c r="B3893" s="2" t="s">
        <v>25</v>
      </c>
      <c r="C3893" s="3">
        <v>44848</v>
      </c>
      <c r="D3893" s="3" t="str">
        <f>TEXT(Table1[[#This Row],[Admission Date]],"MMMM")</f>
        <v>October</v>
      </c>
      <c r="E3893" s="3">
        <v>44850</v>
      </c>
      <c r="F3893" s="3">
        <v>44850</v>
      </c>
      <c r="G3893" s="2">
        <v>22027288</v>
      </c>
      <c r="H3893" s="2">
        <v>2236045</v>
      </c>
      <c r="I3893" s="2">
        <v>1001803792</v>
      </c>
      <c r="J3893" s="2" t="s">
        <v>2194</v>
      </c>
      <c r="K3893" s="10">
        <v>22802</v>
      </c>
      <c r="L3893" s="10">
        <v>2625</v>
      </c>
      <c r="M3893" s="10">
        <v>20177</v>
      </c>
      <c r="N3893" s="10">
        <v>20177</v>
      </c>
      <c r="O3893" s="10">
        <f>Table1[[#This Row],[NET Amount]]-Table1[[#This Row],[Paid Amount]]</f>
        <v>0</v>
      </c>
      <c r="P3893" s="2" t="s">
        <v>18</v>
      </c>
      <c r="Q3893" s="2" t="s">
        <v>24</v>
      </c>
      <c r="R3893" s="16">
        <f>(Table1[[#This Row],[NET Amount]]-Table1[[#This Row],[Total Outstanding Amount]])/Table1[[#This Row],[NET Amount]]</f>
        <v>1</v>
      </c>
      <c r="S3893" s="2" t="s">
        <v>37</v>
      </c>
    </row>
    <row r="3894" spans="1:19" x14ac:dyDescent="0.3">
      <c r="A3894" s="4">
        <v>3892</v>
      </c>
      <c r="B3894" s="2" t="s">
        <v>152</v>
      </c>
      <c r="C3894" s="3">
        <v>44833</v>
      </c>
      <c r="D3894" s="3" t="str">
        <f>TEXT(Table1[[#This Row],[Admission Date]],"MMMM")</f>
        <v>September</v>
      </c>
      <c r="E3894" s="3">
        <v>44838</v>
      </c>
      <c r="F3894" s="3">
        <v>44838</v>
      </c>
      <c r="G3894" s="2">
        <v>22025544</v>
      </c>
      <c r="H3894" s="2">
        <v>2233993</v>
      </c>
      <c r="I3894" s="2">
        <v>10013540898</v>
      </c>
      <c r="J3894" s="2" t="s">
        <v>2195</v>
      </c>
      <c r="K3894" s="10">
        <v>35928</v>
      </c>
      <c r="L3894" s="10">
        <v>0</v>
      </c>
      <c r="M3894" s="10">
        <v>35928</v>
      </c>
      <c r="N3894" s="10">
        <v>2139</v>
      </c>
      <c r="O3894" s="10">
        <f>Table1[[#This Row],[NET Amount]]-Table1[[#This Row],[Paid Amount]]</f>
        <v>33789</v>
      </c>
      <c r="P3894" s="2" t="s">
        <v>23</v>
      </c>
      <c r="Q3894" s="2" t="s">
        <v>30</v>
      </c>
      <c r="R3894" s="16">
        <f>(Table1[[#This Row],[NET Amount]]-Table1[[#This Row],[Total Outstanding Amount]])/Table1[[#This Row],[NET Amount]]</f>
        <v>5.9535738142952571E-2</v>
      </c>
      <c r="S3894" s="2" t="s">
        <v>20</v>
      </c>
    </row>
    <row r="3895" spans="1:19" x14ac:dyDescent="0.3">
      <c r="A3895" s="4">
        <v>3893</v>
      </c>
      <c r="B3895" s="2" t="s">
        <v>25</v>
      </c>
      <c r="C3895" s="3">
        <v>44848</v>
      </c>
      <c r="D3895" s="3" t="str">
        <f>TEXT(Table1[[#This Row],[Admission Date]],"MMMM")</f>
        <v>October</v>
      </c>
      <c r="E3895" s="3">
        <v>44850</v>
      </c>
      <c r="F3895" s="3">
        <v>44850</v>
      </c>
      <c r="G3895" s="2">
        <v>22027285</v>
      </c>
      <c r="H3895" s="2">
        <v>2236043</v>
      </c>
      <c r="I3895" s="2">
        <v>10013543069</v>
      </c>
      <c r="J3895" s="2" t="s">
        <v>2196</v>
      </c>
      <c r="K3895" s="10">
        <v>29915</v>
      </c>
      <c r="L3895" s="10">
        <v>3980</v>
      </c>
      <c r="M3895" s="10">
        <v>25935</v>
      </c>
      <c r="N3895" s="10">
        <v>25935</v>
      </c>
      <c r="O3895" s="10">
        <f>Table1[[#This Row],[NET Amount]]-Table1[[#This Row],[Paid Amount]]</f>
        <v>0</v>
      </c>
      <c r="P3895" s="2" t="s">
        <v>18</v>
      </c>
      <c r="Q3895" s="2" t="s">
        <v>24</v>
      </c>
      <c r="R3895" s="16">
        <f>(Table1[[#This Row],[NET Amount]]-Table1[[#This Row],[Total Outstanding Amount]])/Table1[[#This Row],[NET Amount]]</f>
        <v>1</v>
      </c>
      <c r="S3895" s="2" t="s">
        <v>37</v>
      </c>
    </row>
    <row r="3896" spans="1:19" x14ac:dyDescent="0.3">
      <c r="A3896" s="4">
        <v>3894</v>
      </c>
      <c r="B3896" s="2" t="s">
        <v>25</v>
      </c>
      <c r="C3896" s="3">
        <v>44848</v>
      </c>
      <c r="D3896" s="3" t="str">
        <f>TEXT(Table1[[#This Row],[Admission Date]],"MMMM")</f>
        <v>October</v>
      </c>
      <c r="E3896" s="3">
        <v>44850</v>
      </c>
      <c r="F3896" s="3">
        <v>44850</v>
      </c>
      <c r="G3896" s="2">
        <v>22027334</v>
      </c>
      <c r="H3896" s="2">
        <v>2236057</v>
      </c>
      <c r="I3896" s="2">
        <v>10013543075</v>
      </c>
      <c r="J3896" s="2" t="s">
        <v>2197</v>
      </c>
      <c r="K3896" s="10">
        <v>17968</v>
      </c>
      <c r="L3896" s="10">
        <v>2383</v>
      </c>
      <c r="M3896" s="10">
        <v>15585</v>
      </c>
      <c r="N3896" s="10">
        <v>15585</v>
      </c>
      <c r="O3896" s="10">
        <f>Table1[[#This Row],[NET Amount]]-Table1[[#This Row],[Paid Amount]]</f>
        <v>0</v>
      </c>
      <c r="P3896" s="2" t="s">
        <v>18</v>
      </c>
      <c r="Q3896" s="2" t="s">
        <v>24</v>
      </c>
      <c r="R3896" s="16">
        <f>(Table1[[#This Row],[NET Amount]]-Table1[[#This Row],[Total Outstanding Amount]])/Table1[[#This Row],[NET Amount]]</f>
        <v>1</v>
      </c>
      <c r="S3896" s="2" t="s">
        <v>27</v>
      </c>
    </row>
    <row r="3897" spans="1:19" x14ac:dyDescent="0.3">
      <c r="A3897" s="4">
        <v>3895</v>
      </c>
      <c r="B3897" s="2" t="s">
        <v>50</v>
      </c>
      <c r="C3897" s="3">
        <v>44837</v>
      </c>
      <c r="D3897" s="3" t="str">
        <f>TEXT(Table1[[#This Row],[Admission Date]],"MMMM")</f>
        <v>October</v>
      </c>
      <c r="E3897" s="3">
        <v>44838</v>
      </c>
      <c r="F3897" s="3">
        <v>44838</v>
      </c>
      <c r="G3897" s="2">
        <v>22025470</v>
      </c>
      <c r="H3897" s="2">
        <v>2234340</v>
      </c>
      <c r="I3897" s="2">
        <v>1001796550</v>
      </c>
      <c r="J3897" s="2" t="s">
        <v>2198</v>
      </c>
      <c r="K3897" s="10">
        <v>96025</v>
      </c>
      <c r="L3897" s="10">
        <v>11286</v>
      </c>
      <c r="M3897" s="10">
        <v>84739</v>
      </c>
      <c r="N3897" s="10">
        <v>3119</v>
      </c>
      <c r="O3897" s="10">
        <f>Table1[[#This Row],[NET Amount]]-Table1[[#This Row],[Paid Amount]]</f>
        <v>81620</v>
      </c>
      <c r="P3897" s="2" t="s">
        <v>23</v>
      </c>
      <c r="Q3897" s="2" t="s">
        <v>47</v>
      </c>
      <c r="R3897" s="16">
        <f>(Table1[[#This Row],[NET Amount]]-Table1[[#This Row],[Total Outstanding Amount]])/Table1[[#This Row],[NET Amount]]</f>
        <v>3.6807137209549319E-2</v>
      </c>
      <c r="S3897" s="2" t="s">
        <v>39</v>
      </c>
    </row>
    <row r="3898" spans="1:19" x14ac:dyDescent="0.3">
      <c r="A3898" s="4">
        <v>3896</v>
      </c>
      <c r="B3898" s="2" t="s">
        <v>2243</v>
      </c>
      <c r="C3898" s="3">
        <v>44842</v>
      </c>
      <c r="D3898" s="3" t="str">
        <f>TEXT(Table1[[#This Row],[Admission Date]],"MMMM")</f>
        <v>October</v>
      </c>
      <c r="E3898" s="3">
        <v>44844</v>
      </c>
      <c r="F3898" s="3">
        <v>44844</v>
      </c>
      <c r="G3898" s="2">
        <v>22026383</v>
      </c>
      <c r="H3898" s="2">
        <v>2235152</v>
      </c>
      <c r="I3898" s="2">
        <v>10013274948</v>
      </c>
      <c r="J3898" s="2" t="s">
        <v>1977</v>
      </c>
      <c r="K3898" s="10">
        <v>66422</v>
      </c>
      <c r="L3898" s="10">
        <v>66422</v>
      </c>
      <c r="M3898" s="10">
        <v>0</v>
      </c>
      <c r="N3898" s="10">
        <v>0</v>
      </c>
      <c r="O3898" s="10">
        <f>Table1[[#This Row],[NET Amount]]-Table1[[#This Row],[Paid Amount]]</f>
        <v>0</v>
      </c>
      <c r="P3898" s="2" t="s">
        <v>18</v>
      </c>
      <c r="Q3898" s="2" t="s">
        <v>24</v>
      </c>
      <c r="R3898" s="16" t="e">
        <f>(Table1[[#This Row],[NET Amount]]-Table1[[#This Row],[Total Outstanding Amount]])/Table1[[#This Row],[NET Amount]]</f>
        <v>#DIV/0!</v>
      </c>
      <c r="S3898" s="2" t="s">
        <v>27</v>
      </c>
    </row>
    <row r="3899" spans="1:19" x14ac:dyDescent="0.3">
      <c r="A3899" s="4">
        <v>3897</v>
      </c>
      <c r="B3899" s="2" t="s">
        <v>25</v>
      </c>
      <c r="C3899" s="3">
        <v>44843</v>
      </c>
      <c r="D3899" s="3" t="str">
        <f>TEXT(Table1[[#This Row],[Admission Date]],"MMMM")</f>
        <v>October</v>
      </c>
      <c r="E3899" s="3">
        <v>44846</v>
      </c>
      <c r="F3899" s="3">
        <v>44846</v>
      </c>
      <c r="G3899" s="2">
        <v>22026792</v>
      </c>
      <c r="H3899" s="2">
        <v>2235284</v>
      </c>
      <c r="I3899" s="2">
        <v>10013541787</v>
      </c>
      <c r="J3899" s="2" t="s">
        <v>2199</v>
      </c>
      <c r="K3899" s="10">
        <v>123843</v>
      </c>
      <c r="L3899" s="10">
        <v>123843</v>
      </c>
      <c r="M3899" s="10">
        <v>0</v>
      </c>
      <c r="N3899" s="10">
        <v>0</v>
      </c>
      <c r="O3899" s="10">
        <f>Table1[[#This Row],[NET Amount]]-Table1[[#This Row],[Paid Amount]]</f>
        <v>0</v>
      </c>
      <c r="P3899" s="2" t="s">
        <v>18</v>
      </c>
      <c r="Q3899" s="2" t="s">
        <v>90</v>
      </c>
      <c r="R3899" s="16" t="e">
        <f>(Table1[[#This Row],[NET Amount]]-Table1[[#This Row],[Total Outstanding Amount]])/Table1[[#This Row],[NET Amount]]</f>
        <v>#DIV/0!</v>
      </c>
      <c r="S3899" s="2" t="s">
        <v>43</v>
      </c>
    </row>
    <row r="3900" spans="1:19" x14ac:dyDescent="0.3">
      <c r="A3900" s="4">
        <v>3898</v>
      </c>
      <c r="B3900" s="2" t="s">
        <v>25</v>
      </c>
      <c r="C3900" s="3">
        <v>44852</v>
      </c>
      <c r="D3900" s="3" t="str">
        <f>TEXT(Table1[[#This Row],[Admission Date]],"MMMM")</f>
        <v>October</v>
      </c>
      <c r="E3900" s="3">
        <v>44855</v>
      </c>
      <c r="F3900" s="3">
        <v>44855</v>
      </c>
      <c r="G3900" s="2">
        <v>22028089</v>
      </c>
      <c r="H3900" s="2">
        <v>2236517</v>
      </c>
      <c r="I3900" s="2">
        <v>1001803147</v>
      </c>
      <c r="J3900" s="2" t="s">
        <v>2200</v>
      </c>
      <c r="K3900" s="10">
        <v>124387</v>
      </c>
      <c r="L3900" s="10">
        <v>124387</v>
      </c>
      <c r="M3900" s="10">
        <v>0</v>
      </c>
      <c r="N3900" s="10">
        <v>0</v>
      </c>
      <c r="O3900" s="10">
        <f>Table1[[#This Row],[NET Amount]]-Table1[[#This Row],[Paid Amount]]</f>
        <v>0</v>
      </c>
      <c r="P3900" s="2" t="s">
        <v>18</v>
      </c>
      <c r="Q3900" s="2" t="s">
        <v>90</v>
      </c>
      <c r="R3900" s="16" t="e">
        <f>(Table1[[#This Row],[NET Amount]]-Table1[[#This Row],[Total Outstanding Amount]])/Table1[[#This Row],[NET Amount]]</f>
        <v>#DIV/0!</v>
      </c>
      <c r="S3900" s="2" t="s">
        <v>201</v>
      </c>
    </row>
    <row r="3901" spans="1:19" x14ac:dyDescent="0.3">
      <c r="A3901" s="4">
        <v>3899</v>
      </c>
      <c r="B3901" s="2" t="s">
        <v>25</v>
      </c>
      <c r="C3901" s="3">
        <v>44839</v>
      </c>
      <c r="D3901" s="3" t="str">
        <f>TEXT(Table1[[#This Row],[Admission Date]],"MMMM")</f>
        <v>October</v>
      </c>
      <c r="E3901" s="3">
        <v>44839</v>
      </c>
      <c r="F3901" s="3">
        <v>44839</v>
      </c>
      <c r="G3901" s="2">
        <v>22025639</v>
      </c>
      <c r="H3901" s="2">
        <v>2234676</v>
      </c>
      <c r="I3901" s="2">
        <v>1001575947</v>
      </c>
      <c r="J3901" s="2" t="s">
        <v>919</v>
      </c>
      <c r="K3901" s="10">
        <v>2844</v>
      </c>
      <c r="L3901" s="10">
        <v>310</v>
      </c>
      <c r="M3901" s="10">
        <v>2534</v>
      </c>
      <c r="N3901" s="10">
        <v>2534</v>
      </c>
      <c r="O3901" s="10">
        <f>Table1[[#This Row],[NET Amount]]-Table1[[#This Row],[Paid Amount]]</f>
        <v>0</v>
      </c>
      <c r="P3901" s="2" t="s">
        <v>18</v>
      </c>
      <c r="Q3901" s="2" t="s">
        <v>54</v>
      </c>
      <c r="R3901" s="16">
        <f>(Table1[[#This Row],[NET Amount]]-Table1[[#This Row],[Total Outstanding Amount]])/Table1[[#This Row],[NET Amount]]</f>
        <v>1</v>
      </c>
      <c r="S3901" s="2" t="s">
        <v>97</v>
      </c>
    </row>
    <row r="3902" spans="1:19" x14ac:dyDescent="0.3">
      <c r="A3902" s="4">
        <v>3900</v>
      </c>
      <c r="B3902" s="2" t="s">
        <v>25</v>
      </c>
      <c r="C3902" s="3">
        <v>44839</v>
      </c>
      <c r="D3902" s="3" t="str">
        <f>TEXT(Table1[[#This Row],[Admission Date]],"MMMM")</f>
        <v>October</v>
      </c>
      <c r="E3902" s="3">
        <v>44839</v>
      </c>
      <c r="F3902" s="3">
        <v>44839</v>
      </c>
      <c r="G3902" s="2">
        <v>22025650</v>
      </c>
      <c r="H3902" s="2">
        <v>2234689</v>
      </c>
      <c r="I3902" s="2">
        <v>1000891450</v>
      </c>
      <c r="J3902" s="2" t="s">
        <v>337</v>
      </c>
      <c r="K3902" s="10">
        <v>3519</v>
      </c>
      <c r="L3902" s="10">
        <v>1503</v>
      </c>
      <c r="M3902" s="10">
        <v>2016</v>
      </c>
      <c r="N3902" s="10">
        <v>2016</v>
      </c>
      <c r="O3902" s="10">
        <f>Table1[[#This Row],[NET Amount]]-Table1[[#This Row],[Paid Amount]]</f>
        <v>0</v>
      </c>
      <c r="P3902" s="2" t="s">
        <v>18</v>
      </c>
      <c r="Q3902" s="2" t="s">
        <v>54</v>
      </c>
      <c r="R3902" s="16">
        <f>(Table1[[#This Row],[NET Amount]]-Table1[[#This Row],[Total Outstanding Amount]])/Table1[[#This Row],[NET Amount]]</f>
        <v>1</v>
      </c>
      <c r="S3902" s="2" t="s">
        <v>97</v>
      </c>
    </row>
    <row r="3903" spans="1:19" x14ac:dyDescent="0.3">
      <c r="A3903" s="4">
        <v>3901</v>
      </c>
      <c r="B3903" s="2" t="s">
        <v>35</v>
      </c>
      <c r="C3903" s="3">
        <v>44839</v>
      </c>
      <c r="D3903" s="3" t="str">
        <f>TEXT(Table1[[#This Row],[Admission Date]],"MMMM")</f>
        <v>October</v>
      </c>
      <c r="E3903" s="3">
        <v>44839</v>
      </c>
      <c r="F3903" s="3">
        <v>44839</v>
      </c>
      <c r="G3903" s="2">
        <v>22025640</v>
      </c>
      <c r="H3903" s="2">
        <v>2234677</v>
      </c>
      <c r="I3903" s="2">
        <v>10013401198</v>
      </c>
      <c r="J3903" s="2" t="s">
        <v>631</v>
      </c>
      <c r="K3903" s="10">
        <v>1610</v>
      </c>
      <c r="L3903" s="10">
        <v>0</v>
      </c>
      <c r="M3903" s="10">
        <v>1610</v>
      </c>
      <c r="N3903" s="10">
        <v>1610</v>
      </c>
      <c r="O3903" s="10">
        <f>Table1[[#This Row],[NET Amount]]-Table1[[#This Row],[Paid Amount]]</f>
        <v>0</v>
      </c>
      <c r="P3903" s="2" t="s">
        <v>18</v>
      </c>
      <c r="Q3903" s="2" t="s">
        <v>54</v>
      </c>
      <c r="R3903" s="16">
        <f>(Table1[[#This Row],[NET Amount]]-Table1[[#This Row],[Total Outstanding Amount]])/Table1[[#This Row],[NET Amount]]</f>
        <v>1</v>
      </c>
      <c r="S3903" s="2" t="s">
        <v>97</v>
      </c>
    </row>
    <row r="3904" spans="1:19" x14ac:dyDescent="0.3">
      <c r="A3904" s="4">
        <v>3902</v>
      </c>
      <c r="B3904" s="2" t="s">
        <v>2244</v>
      </c>
      <c r="C3904" s="3">
        <v>44860</v>
      </c>
      <c r="D3904" s="3" t="str">
        <f>TEXT(Table1[[#This Row],[Admission Date]],"MMMM")</f>
        <v>October</v>
      </c>
      <c r="E3904" s="3">
        <v>44860</v>
      </c>
      <c r="F3904" s="3">
        <v>44860</v>
      </c>
      <c r="G3904" s="2">
        <v>22028645</v>
      </c>
      <c r="H3904" s="2">
        <v>2237516</v>
      </c>
      <c r="I3904" s="2">
        <v>1001789044</v>
      </c>
      <c r="J3904" s="2" t="s">
        <v>1069</v>
      </c>
      <c r="K3904" s="10">
        <v>2560</v>
      </c>
      <c r="L3904" s="10">
        <v>0</v>
      </c>
      <c r="M3904" s="10">
        <v>2560</v>
      </c>
      <c r="N3904" s="10">
        <v>2560</v>
      </c>
      <c r="O3904" s="10">
        <f>Table1[[#This Row],[NET Amount]]-Table1[[#This Row],[Paid Amount]]</f>
        <v>0</v>
      </c>
      <c r="P3904" s="2" t="s">
        <v>18</v>
      </c>
      <c r="Q3904" s="2" t="s">
        <v>54</v>
      </c>
      <c r="R3904" s="16">
        <f>(Table1[[#This Row],[NET Amount]]-Table1[[#This Row],[Total Outstanding Amount]])/Table1[[#This Row],[NET Amount]]</f>
        <v>1</v>
      </c>
      <c r="S3904" s="2" t="s">
        <v>97</v>
      </c>
    </row>
    <row r="3905" spans="1:19" x14ac:dyDescent="0.3">
      <c r="A3905" s="4">
        <v>3903</v>
      </c>
      <c r="B3905" s="2" t="s">
        <v>2244</v>
      </c>
      <c r="C3905" s="3">
        <v>44860</v>
      </c>
      <c r="D3905" s="3" t="str">
        <f>TEXT(Table1[[#This Row],[Admission Date]],"MMMM")</f>
        <v>October</v>
      </c>
      <c r="E3905" s="3">
        <v>44860</v>
      </c>
      <c r="F3905" s="3">
        <v>44860</v>
      </c>
      <c r="G3905" s="2">
        <v>22028679</v>
      </c>
      <c r="H3905" s="2">
        <v>2237545</v>
      </c>
      <c r="I3905" s="2">
        <v>1001758739</v>
      </c>
      <c r="J3905" s="2" t="s">
        <v>233</v>
      </c>
      <c r="K3905" s="10">
        <v>2560</v>
      </c>
      <c r="L3905" s="10">
        <v>0</v>
      </c>
      <c r="M3905" s="10">
        <v>2560</v>
      </c>
      <c r="N3905" s="10">
        <v>2560</v>
      </c>
      <c r="O3905" s="10">
        <f>Table1[[#This Row],[NET Amount]]-Table1[[#This Row],[Paid Amount]]</f>
        <v>0</v>
      </c>
      <c r="P3905" s="2" t="s">
        <v>18</v>
      </c>
      <c r="Q3905" s="2" t="s">
        <v>54</v>
      </c>
      <c r="R3905" s="16">
        <f>(Table1[[#This Row],[NET Amount]]-Table1[[#This Row],[Total Outstanding Amount]])/Table1[[#This Row],[NET Amount]]</f>
        <v>1</v>
      </c>
      <c r="S3905" s="2" t="s">
        <v>97</v>
      </c>
    </row>
    <row r="3906" spans="1:19" x14ac:dyDescent="0.3">
      <c r="A3906" s="4">
        <v>3904</v>
      </c>
      <c r="B3906" s="2" t="s">
        <v>61</v>
      </c>
      <c r="C3906" s="3">
        <v>44853</v>
      </c>
      <c r="D3906" s="3" t="str">
        <f>TEXT(Table1[[#This Row],[Admission Date]],"MMMM")</f>
        <v>October</v>
      </c>
      <c r="E3906" s="3">
        <v>44861</v>
      </c>
      <c r="F3906" s="3">
        <v>44861</v>
      </c>
      <c r="G3906" s="2">
        <v>22028737</v>
      </c>
      <c r="H3906" s="2">
        <v>2236570</v>
      </c>
      <c r="I3906" s="2">
        <v>10013472131</v>
      </c>
      <c r="J3906" s="2" t="s">
        <v>2201</v>
      </c>
      <c r="K3906" s="10">
        <v>310971</v>
      </c>
      <c r="L3906" s="10">
        <v>31004</v>
      </c>
      <c r="M3906" s="10">
        <v>279967</v>
      </c>
      <c r="N3906" s="10">
        <v>5318</v>
      </c>
      <c r="O3906" s="10">
        <f>Table1[[#This Row],[NET Amount]]-Table1[[#This Row],[Paid Amount]]</f>
        <v>274649</v>
      </c>
      <c r="P3906" s="2" t="s">
        <v>23</v>
      </c>
      <c r="Q3906" s="2" t="s">
        <v>30</v>
      </c>
      <c r="R3906" s="16">
        <f>(Table1[[#This Row],[NET Amount]]-Table1[[#This Row],[Total Outstanding Amount]])/Table1[[#This Row],[NET Amount]]</f>
        <v>1.8995095850582389E-2</v>
      </c>
      <c r="S3906" s="2" t="s">
        <v>20</v>
      </c>
    </row>
    <row r="3907" spans="1:19" x14ac:dyDescent="0.3">
      <c r="A3907" s="4">
        <v>3905</v>
      </c>
      <c r="B3907" s="2" t="s">
        <v>35</v>
      </c>
      <c r="C3907" s="3">
        <v>44860</v>
      </c>
      <c r="D3907" s="3" t="str">
        <f>TEXT(Table1[[#This Row],[Admission Date]],"MMMM")</f>
        <v>October</v>
      </c>
      <c r="E3907" s="3">
        <v>44860</v>
      </c>
      <c r="F3907" s="3">
        <v>44860</v>
      </c>
      <c r="G3907" s="2">
        <v>22028582</v>
      </c>
      <c r="H3907" s="2">
        <v>2237439</v>
      </c>
      <c r="I3907" s="2">
        <v>10013540183</v>
      </c>
      <c r="J3907" s="2" t="s">
        <v>99</v>
      </c>
      <c r="K3907" s="10">
        <v>1610</v>
      </c>
      <c r="L3907" s="10">
        <v>0</v>
      </c>
      <c r="M3907" s="10">
        <v>1610</v>
      </c>
      <c r="N3907" s="10">
        <v>1610</v>
      </c>
      <c r="O3907" s="10">
        <f>Table1[[#This Row],[NET Amount]]-Table1[[#This Row],[Paid Amount]]</f>
        <v>0</v>
      </c>
      <c r="P3907" s="2" t="s">
        <v>18</v>
      </c>
      <c r="Q3907" s="2" t="s">
        <v>54</v>
      </c>
      <c r="R3907" s="16">
        <f>(Table1[[#This Row],[NET Amount]]-Table1[[#This Row],[Total Outstanding Amount]])/Table1[[#This Row],[NET Amount]]</f>
        <v>1</v>
      </c>
      <c r="S3907" s="2" t="s">
        <v>97</v>
      </c>
    </row>
    <row r="3908" spans="1:19" x14ac:dyDescent="0.3">
      <c r="A3908" s="4">
        <v>3906</v>
      </c>
      <c r="B3908" s="2" t="s">
        <v>155</v>
      </c>
      <c r="C3908" s="3">
        <v>44854</v>
      </c>
      <c r="D3908" s="3" t="str">
        <f>TEXT(Table1[[#This Row],[Admission Date]],"MMMM")</f>
        <v>October</v>
      </c>
      <c r="E3908" s="3">
        <v>44854</v>
      </c>
      <c r="F3908" s="3">
        <v>44854</v>
      </c>
      <c r="G3908" s="2">
        <v>22027819</v>
      </c>
      <c r="H3908" s="2">
        <v>2236742</v>
      </c>
      <c r="I3908" s="2">
        <v>10013269857</v>
      </c>
      <c r="J3908" s="2" t="s">
        <v>175</v>
      </c>
      <c r="K3908" s="10">
        <v>1610</v>
      </c>
      <c r="L3908" s="10">
        <v>0</v>
      </c>
      <c r="M3908" s="10">
        <v>1610</v>
      </c>
      <c r="N3908" s="10">
        <v>1610</v>
      </c>
      <c r="O3908" s="10">
        <f>Table1[[#This Row],[NET Amount]]-Table1[[#This Row],[Paid Amount]]</f>
        <v>0</v>
      </c>
      <c r="P3908" s="2" t="s">
        <v>18</v>
      </c>
      <c r="Q3908" s="2" t="s">
        <v>54</v>
      </c>
      <c r="R3908" s="16">
        <f>(Table1[[#This Row],[NET Amount]]-Table1[[#This Row],[Total Outstanding Amount]])/Table1[[#This Row],[NET Amount]]</f>
        <v>1</v>
      </c>
      <c r="S3908" s="2" t="s">
        <v>97</v>
      </c>
    </row>
    <row r="3909" spans="1:19" x14ac:dyDescent="0.3">
      <c r="A3909" s="4">
        <v>3907</v>
      </c>
      <c r="B3909" s="2" t="s">
        <v>2244</v>
      </c>
      <c r="C3909" s="3">
        <v>44852</v>
      </c>
      <c r="D3909" s="3" t="str">
        <f>TEXT(Table1[[#This Row],[Admission Date]],"MMMM")</f>
        <v>October</v>
      </c>
      <c r="E3909" s="3">
        <v>44852</v>
      </c>
      <c r="F3909" s="3">
        <v>44852</v>
      </c>
      <c r="G3909" s="2">
        <v>22027591</v>
      </c>
      <c r="H3909" s="2">
        <v>2236493</v>
      </c>
      <c r="I3909" s="2">
        <v>1001735831</v>
      </c>
      <c r="J3909" s="2" t="s">
        <v>693</v>
      </c>
      <c r="K3909" s="10">
        <v>2560</v>
      </c>
      <c r="L3909" s="10">
        <v>0</v>
      </c>
      <c r="M3909" s="10">
        <v>2560</v>
      </c>
      <c r="N3909" s="10">
        <v>2560</v>
      </c>
      <c r="O3909" s="10">
        <f>Table1[[#This Row],[NET Amount]]-Table1[[#This Row],[Paid Amount]]</f>
        <v>0</v>
      </c>
      <c r="P3909" s="2" t="s">
        <v>18</v>
      </c>
      <c r="Q3909" s="2" t="s">
        <v>54</v>
      </c>
      <c r="R3909" s="16">
        <f>(Table1[[#This Row],[NET Amount]]-Table1[[#This Row],[Total Outstanding Amount]])/Table1[[#This Row],[NET Amount]]</f>
        <v>1</v>
      </c>
      <c r="S3909" s="2" t="s">
        <v>97</v>
      </c>
    </row>
    <row r="3910" spans="1:19" x14ac:dyDescent="0.3">
      <c r="A3910" s="4">
        <v>3908</v>
      </c>
      <c r="B3910" s="2" t="s">
        <v>2244</v>
      </c>
      <c r="C3910" s="3">
        <v>44856</v>
      </c>
      <c r="D3910" s="3" t="str">
        <f>TEXT(Table1[[#This Row],[Admission Date]],"MMMM")</f>
        <v>October</v>
      </c>
      <c r="E3910" s="3">
        <v>44856</v>
      </c>
      <c r="F3910" s="3">
        <v>44856</v>
      </c>
      <c r="G3910" s="2">
        <v>22028214</v>
      </c>
      <c r="H3910" s="2">
        <v>2237041</v>
      </c>
      <c r="I3910" s="2">
        <v>1001797549</v>
      </c>
      <c r="J3910" s="2" t="s">
        <v>121</v>
      </c>
      <c r="K3910" s="10">
        <v>1610</v>
      </c>
      <c r="L3910" s="10">
        <v>0</v>
      </c>
      <c r="M3910" s="10">
        <v>1610</v>
      </c>
      <c r="N3910" s="10">
        <v>1610</v>
      </c>
      <c r="O3910" s="10">
        <f>Table1[[#This Row],[NET Amount]]-Table1[[#This Row],[Paid Amount]]</f>
        <v>0</v>
      </c>
      <c r="P3910" s="2" t="s">
        <v>18</v>
      </c>
      <c r="Q3910" s="2" t="s">
        <v>54</v>
      </c>
      <c r="R3910" s="16">
        <f>(Table1[[#This Row],[NET Amount]]-Table1[[#This Row],[Total Outstanding Amount]])/Table1[[#This Row],[NET Amount]]</f>
        <v>1</v>
      </c>
      <c r="S3910" s="2" t="s">
        <v>97</v>
      </c>
    </row>
    <row r="3911" spans="1:19" x14ac:dyDescent="0.3">
      <c r="A3911" s="4">
        <v>3909</v>
      </c>
      <c r="B3911" s="2" t="s">
        <v>2260</v>
      </c>
      <c r="C3911" s="3">
        <v>44850</v>
      </c>
      <c r="D3911" s="3" t="str">
        <f>TEXT(Table1[[#This Row],[Admission Date]],"MMMM")</f>
        <v>October</v>
      </c>
      <c r="E3911" s="3">
        <v>44856</v>
      </c>
      <c r="F3911" s="3">
        <v>44856</v>
      </c>
      <c r="G3911" s="2">
        <v>22028160</v>
      </c>
      <c r="H3911" s="2">
        <v>2236216</v>
      </c>
      <c r="I3911" s="2">
        <v>1001767367</v>
      </c>
      <c r="J3911" s="2" t="s">
        <v>2202</v>
      </c>
      <c r="K3911" s="10">
        <v>22699</v>
      </c>
      <c r="L3911" s="10">
        <v>0</v>
      </c>
      <c r="M3911" s="10">
        <v>22699</v>
      </c>
      <c r="N3911" s="10">
        <v>600</v>
      </c>
      <c r="O3911" s="10">
        <f>Table1[[#This Row],[NET Amount]]-Table1[[#This Row],[Paid Amount]]</f>
        <v>22099</v>
      </c>
      <c r="P3911" s="2" t="s">
        <v>23</v>
      </c>
      <c r="Q3911" s="2" t="s">
        <v>24</v>
      </c>
      <c r="R3911" s="16">
        <f>(Table1[[#This Row],[NET Amount]]-Table1[[#This Row],[Total Outstanding Amount]])/Table1[[#This Row],[NET Amount]]</f>
        <v>2.6432882505837262E-2</v>
      </c>
      <c r="S3911" s="2" t="s">
        <v>20</v>
      </c>
    </row>
    <row r="3912" spans="1:19" x14ac:dyDescent="0.3">
      <c r="A3912" s="4">
        <v>3910</v>
      </c>
      <c r="B3912" s="2" t="s">
        <v>117</v>
      </c>
      <c r="C3912" s="3">
        <v>44860</v>
      </c>
      <c r="D3912" s="3" t="str">
        <f>TEXT(Table1[[#This Row],[Admission Date]],"MMMM")</f>
        <v>October</v>
      </c>
      <c r="E3912" s="3">
        <v>44863</v>
      </c>
      <c r="F3912" s="3">
        <v>44863</v>
      </c>
      <c r="G3912" s="2">
        <v>22029038</v>
      </c>
      <c r="H3912" s="2">
        <v>2237525</v>
      </c>
      <c r="I3912" s="2">
        <v>1000976448</v>
      </c>
      <c r="J3912" s="2" t="s">
        <v>2203</v>
      </c>
      <c r="K3912" s="10">
        <v>101152</v>
      </c>
      <c r="L3912" s="10">
        <v>0</v>
      </c>
      <c r="M3912" s="10">
        <v>101152</v>
      </c>
      <c r="N3912" s="10">
        <v>101152</v>
      </c>
      <c r="O3912" s="10">
        <f>Table1[[#This Row],[NET Amount]]-Table1[[#This Row],[Paid Amount]]</f>
        <v>0</v>
      </c>
      <c r="P3912" s="2" t="s">
        <v>18</v>
      </c>
      <c r="Q3912" s="2" t="s">
        <v>24</v>
      </c>
      <c r="R3912" s="16">
        <f>(Table1[[#This Row],[NET Amount]]-Table1[[#This Row],[Total Outstanding Amount]])/Table1[[#This Row],[NET Amount]]</f>
        <v>1</v>
      </c>
      <c r="S3912" s="2" t="s">
        <v>201</v>
      </c>
    </row>
    <row r="3913" spans="1:19" x14ac:dyDescent="0.3">
      <c r="A3913" s="4">
        <v>3911</v>
      </c>
      <c r="B3913" s="2" t="s">
        <v>25</v>
      </c>
      <c r="C3913" s="3">
        <v>44840</v>
      </c>
      <c r="D3913" s="3" t="str">
        <f>TEXT(Table1[[#This Row],[Admission Date]],"MMMM")</f>
        <v>October</v>
      </c>
      <c r="E3913" s="3">
        <v>44842</v>
      </c>
      <c r="F3913" s="3">
        <v>44842</v>
      </c>
      <c r="G3913" s="2">
        <v>22026113</v>
      </c>
      <c r="H3913" s="2">
        <v>2234905</v>
      </c>
      <c r="I3913" s="2">
        <v>10013541679</v>
      </c>
      <c r="J3913" s="2" t="s">
        <v>2204</v>
      </c>
      <c r="K3913" s="10">
        <v>44363</v>
      </c>
      <c r="L3913" s="10">
        <v>5911</v>
      </c>
      <c r="M3913" s="10">
        <v>38453</v>
      </c>
      <c r="N3913" s="10">
        <v>38453</v>
      </c>
      <c r="O3913" s="10">
        <f>Table1[[#This Row],[NET Amount]]-Table1[[#This Row],[Paid Amount]]</f>
        <v>0</v>
      </c>
      <c r="P3913" s="2" t="s">
        <v>18</v>
      </c>
      <c r="Q3913" s="2" t="s">
        <v>30</v>
      </c>
      <c r="R3913" s="16">
        <f>(Table1[[#This Row],[NET Amount]]-Table1[[#This Row],[Total Outstanding Amount]])/Table1[[#This Row],[NET Amount]]</f>
        <v>1</v>
      </c>
      <c r="S3913" s="2" t="s">
        <v>20</v>
      </c>
    </row>
    <row r="3914" spans="1:19" x14ac:dyDescent="0.3">
      <c r="A3914" s="4">
        <v>3912</v>
      </c>
      <c r="B3914" s="2" t="s">
        <v>25</v>
      </c>
      <c r="C3914" s="3">
        <v>44852</v>
      </c>
      <c r="D3914" s="3" t="str">
        <f>TEXT(Table1[[#This Row],[Admission Date]],"MMMM")</f>
        <v>October</v>
      </c>
      <c r="E3914" s="3">
        <v>44852</v>
      </c>
      <c r="F3914" s="3">
        <v>44852</v>
      </c>
      <c r="G3914" s="2">
        <v>22027640</v>
      </c>
      <c r="H3914" s="2">
        <v>2236549</v>
      </c>
      <c r="I3914" s="2">
        <v>1001327108</v>
      </c>
      <c r="J3914" s="2" t="s">
        <v>321</v>
      </c>
      <c r="K3914" s="10">
        <v>2794</v>
      </c>
      <c r="L3914" s="10">
        <v>2794</v>
      </c>
      <c r="M3914" s="10">
        <v>0</v>
      </c>
      <c r="N3914" s="10">
        <v>0</v>
      </c>
      <c r="O3914" s="10">
        <f>Table1[[#This Row],[NET Amount]]-Table1[[#This Row],[Paid Amount]]</f>
        <v>0</v>
      </c>
      <c r="P3914" s="2" t="s">
        <v>18</v>
      </c>
      <c r="Q3914" s="2" t="s">
        <v>90</v>
      </c>
      <c r="R3914" s="16" t="e">
        <f>(Table1[[#This Row],[NET Amount]]-Table1[[#This Row],[Total Outstanding Amount]])/Table1[[#This Row],[NET Amount]]</f>
        <v>#DIV/0!</v>
      </c>
      <c r="S3914" s="2" t="s">
        <v>97</v>
      </c>
    </row>
    <row r="3915" spans="1:19" x14ac:dyDescent="0.3">
      <c r="A3915" s="4">
        <v>3913</v>
      </c>
      <c r="B3915" s="2" t="s">
        <v>126</v>
      </c>
      <c r="C3915" s="3">
        <v>44830</v>
      </c>
      <c r="D3915" s="3" t="str">
        <f>TEXT(Table1[[#This Row],[Admission Date]],"MMMM")</f>
        <v>September</v>
      </c>
      <c r="E3915" s="3">
        <v>44838</v>
      </c>
      <c r="F3915" s="3">
        <v>44838</v>
      </c>
      <c r="G3915" s="2">
        <v>22025524</v>
      </c>
      <c r="H3915" s="2">
        <v>2233466</v>
      </c>
      <c r="I3915" s="2">
        <v>1000996327</v>
      </c>
      <c r="J3915" s="2" t="s">
        <v>775</v>
      </c>
      <c r="K3915" s="10">
        <v>352952</v>
      </c>
      <c r="L3915" s="10">
        <v>157</v>
      </c>
      <c r="M3915" s="10">
        <v>352795</v>
      </c>
      <c r="N3915" s="10">
        <v>1500</v>
      </c>
      <c r="O3915" s="10">
        <f>Table1[[#This Row],[NET Amount]]-Table1[[#This Row],[Paid Amount]]</f>
        <v>351295</v>
      </c>
      <c r="P3915" s="2" t="s">
        <v>23</v>
      </c>
      <c r="Q3915" s="2" t="s">
        <v>24</v>
      </c>
      <c r="R3915" s="16">
        <f>(Table1[[#This Row],[NET Amount]]-Table1[[#This Row],[Total Outstanding Amount]])/Table1[[#This Row],[NET Amount]]</f>
        <v>4.2517609376550121E-3</v>
      </c>
      <c r="S3915" s="2" t="s">
        <v>39</v>
      </c>
    </row>
    <row r="3916" spans="1:19" x14ac:dyDescent="0.3">
      <c r="A3916" s="4">
        <v>3914</v>
      </c>
      <c r="B3916" s="2" t="s">
        <v>746</v>
      </c>
      <c r="C3916" s="3">
        <v>44837</v>
      </c>
      <c r="D3916" s="3" t="str">
        <f>TEXT(Table1[[#This Row],[Admission Date]],"MMMM")</f>
        <v>October</v>
      </c>
      <c r="E3916" s="3">
        <v>44840</v>
      </c>
      <c r="F3916" s="3">
        <v>44840</v>
      </c>
      <c r="G3916" s="2">
        <v>22025829</v>
      </c>
      <c r="H3916" s="2">
        <v>2234380</v>
      </c>
      <c r="I3916" s="2">
        <v>1001802141</v>
      </c>
      <c r="J3916" s="2" t="s">
        <v>2205</v>
      </c>
      <c r="K3916" s="10">
        <v>104369</v>
      </c>
      <c r="L3916" s="10">
        <v>0</v>
      </c>
      <c r="M3916" s="10">
        <v>104369</v>
      </c>
      <c r="N3916" s="10">
        <v>34369</v>
      </c>
      <c r="O3916" s="10">
        <f>Table1[[#This Row],[NET Amount]]-Table1[[#This Row],[Paid Amount]]</f>
        <v>70000</v>
      </c>
      <c r="P3916" s="2" t="s">
        <v>23</v>
      </c>
      <c r="Q3916" s="2" t="s">
        <v>19</v>
      </c>
      <c r="R3916" s="16">
        <f>(Table1[[#This Row],[NET Amount]]-Table1[[#This Row],[Total Outstanding Amount]])/Table1[[#This Row],[NET Amount]]</f>
        <v>0.32930276231448036</v>
      </c>
      <c r="S3916" s="2" t="s">
        <v>27</v>
      </c>
    </row>
    <row r="3917" spans="1:19" x14ac:dyDescent="0.3">
      <c r="A3917" s="4">
        <v>3915</v>
      </c>
      <c r="B3917" s="2" t="s">
        <v>25</v>
      </c>
      <c r="C3917" s="3">
        <v>44842</v>
      </c>
      <c r="D3917" s="3" t="str">
        <f>TEXT(Table1[[#This Row],[Admission Date]],"MMMM")</f>
        <v>October</v>
      </c>
      <c r="E3917" s="3">
        <v>44842</v>
      </c>
      <c r="F3917" s="3">
        <v>44842</v>
      </c>
      <c r="G3917" s="2">
        <v>22026202</v>
      </c>
      <c r="H3917" s="2">
        <v>2235205</v>
      </c>
      <c r="I3917" s="2">
        <v>10013518452</v>
      </c>
      <c r="J3917" s="2" t="s">
        <v>648</v>
      </c>
      <c r="K3917" s="10">
        <v>4990</v>
      </c>
      <c r="L3917" s="10">
        <v>413</v>
      </c>
      <c r="M3917" s="10">
        <v>4577</v>
      </c>
      <c r="N3917" s="10">
        <v>4577</v>
      </c>
      <c r="O3917" s="10">
        <f>Table1[[#This Row],[NET Amount]]-Table1[[#This Row],[Paid Amount]]</f>
        <v>0</v>
      </c>
      <c r="P3917" s="2" t="s">
        <v>18</v>
      </c>
      <c r="Q3917" s="2" t="s">
        <v>54</v>
      </c>
      <c r="R3917" s="16">
        <f>(Table1[[#This Row],[NET Amount]]-Table1[[#This Row],[Total Outstanding Amount]])/Table1[[#This Row],[NET Amount]]</f>
        <v>1</v>
      </c>
      <c r="S3917" s="2" t="s">
        <v>97</v>
      </c>
    </row>
    <row r="3918" spans="1:19" x14ac:dyDescent="0.3">
      <c r="A3918" s="4">
        <v>3916</v>
      </c>
      <c r="B3918" s="2" t="s">
        <v>25</v>
      </c>
      <c r="C3918" s="3">
        <v>44841</v>
      </c>
      <c r="D3918" s="3" t="str">
        <f>TEXT(Table1[[#This Row],[Admission Date]],"MMMM")</f>
        <v>October</v>
      </c>
      <c r="E3918" s="3">
        <v>44841</v>
      </c>
      <c r="F3918" s="3">
        <v>44841</v>
      </c>
      <c r="G3918" s="2">
        <v>22025986</v>
      </c>
      <c r="H3918" s="2">
        <v>2235025</v>
      </c>
      <c r="I3918" s="2">
        <v>1000975940</v>
      </c>
      <c r="J3918" s="2" t="s">
        <v>341</v>
      </c>
      <c r="K3918" s="10">
        <v>4990</v>
      </c>
      <c r="L3918" s="10">
        <v>419</v>
      </c>
      <c r="M3918" s="10">
        <v>4571</v>
      </c>
      <c r="N3918" s="10">
        <v>4571</v>
      </c>
      <c r="O3918" s="10">
        <f>Table1[[#This Row],[NET Amount]]-Table1[[#This Row],[Paid Amount]]</f>
        <v>0</v>
      </c>
      <c r="P3918" s="2" t="s">
        <v>18</v>
      </c>
      <c r="Q3918" s="2" t="s">
        <v>54</v>
      </c>
      <c r="R3918" s="16">
        <f>(Table1[[#This Row],[NET Amount]]-Table1[[#This Row],[Total Outstanding Amount]])/Table1[[#This Row],[NET Amount]]</f>
        <v>1</v>
      </c>
      <c r="S3918" s="2" t="s">
        <v>97</v>
      </c>
    </row>
    <row r="3919" spans="1:19" x14ac:dyDescent="0.3">
      <c r="A3919" s="4">
        <v>3917</v>
      </c>
      <c r="B3919" s="2" t="s">
        <v>75</v>
      </c>
      <c r="C3919" s="3">
        <v>44854</v>
      </c>
      <c r="D3919" s="3" t="str">
        <f>TEXT(Table1[[#This Row],[Admission Date]],"MMMM")</f>
        <v>October</v>
      </c>
      <c r="E3919" s="3">
        <v>44856</v>
      </c>
      <c r="F3919" s="3">
        <v>44856</v>
      </c>
      <c r="G3919" s="2">
        <v>22028161</v>
      </c>
      <c r="H3919" s="2">
        <v>2236718</v>
      </c>
      <c r="I3919" s="2">
        <v>1001135777</v>
      </c>
      <c r="J3919" s="2" t="s">
        <v>389</v>
      </c>
      <c r="K3919" s="10">
        <v>42712</v>
      </c>
      <c r="L3919" s="10">
        <v>0</v>
      </c>
      <c r="M3919" s="10">
        <v>42712</v>
      </c>
      <c r="N3919" s="10">
        <v>689</v>
      </c>
      <c r="O3919" s="10">
        <f>Table1[[#This Row],[NET Amount]]-Table1[[#This Row],[Paid Amount]]</f>
        <v>42023</v>
      </c>
      <c r="P3919" s="2" t="s">
        <v>23</v>
      </c>
      <c r="Q3919" s="2" t="s">
        <v>19</v>
      </c>
      <c r="R3919" s="16">
        <f>(Table1[[#This Row],[NET Amount]]-Table1[[#This Row],[Total Outstanding Amount]])/Table1[[#This Row],[NET Amount]]</f>
        <v>1.6131297995879378E-2</v>
      </c>
      <c r="S3919" s="2" t="s">
        <v>39</v>
      </c>
    </row>
    <row r="3920" spans="1:19" x14ac:dyDescent="0.3">
      <c r="A3920" s="4">
        <v>3918</v>
      </c>
      <c r="B3920" s="2" t="s">
        <v>972</v>
      </c>
      <c r="C3920" s="3">
        <v>44839</v>
      </c>
      <c r="D3920" s="3" t="str">
        <f>TEXT(Table1[[#This Row],[Admission Date]],"MMMM")</f>
        <v>October</v>
      </c>
      <c r="E3920" s="3">
        <v>44845</v>
      </c>
      <c r="F3920" s="3">
        <v>44845</v>
      </c>
      <c r="G3920" s="2">
        <v>22026504</v>
      </c>
      <c r="H3920" s="2">
        <v>2234713</v>
      </c>
      <c r="I3920" s="2">
        <v>1001753468</v>
      </c>
      <c r="J3920" s="2" t="s">
        <v>2206</v>
      </c>
      <c r="K3920" s="10">
        <v>112322</v>
      </c>
      <c r="L3920" s="10">
        <v>23893</v>
      </c>
      <c r="M3920" s="10">
        <v>88429</v>
      </c>
      <c r="N3920" s="10">
        <v>3821</v>
      </c>
      <c r="O3920" s="10">
        <f>Table1[[#This Row],[NET Amount]]-Table1[[#This Row],[Paid Amount]]</f>
        <v>84608</v>
      </c>
      <c r="P3920" s="2" t="s">
        <v>23</v>
      </c>
      <c r="Q3920" s="2" t="s">
        <v>30</v>
      </c>
      <c r="R3920" s="16">
        <f>(Table1[[#This Row],[NET Amount]]-Table1[[#This Row],[Total Outstanding Amount]])/Table1[[#This Row],[NET Amount]]</f>
        <v>4.32098067376087E-2</v>
      </c>
      <c r="S3920" s="2" t="s">
        <v>20</v>
      </c>
    </row>
    <row r="3921" spans="1:19" x14ac:dyDescent="0.3">
      <c r="A3921" s="4">
        <v>3919</v>
      </c>
      <c r="B3921" s="2" t="s">
        <v>2244</v>
      </c>
      <c r="C3921" s="3">
        <v>44846</v>
      </c>
      <c r="D3921" s="3" t="str">
        <f>TEXT(Table1[[#This Row],[Admission Date]],"MMMM")</f>
        <v>October</v>
      </c>
      <c r="E3921" s="3">
        <v>44846</v>
      </c>
      <c r="F3921" s="3">
        <v>44846</v>
      </c>
      <c r="G3921" s="2">
        <v>22026797</v>
      </c>
      <c r="H3921" s="2">
        <v>2235748</v>
      </c>
      <c r="I3921" s="2">
        <v>1001758739</v>
      </c>
      <c r="J3921" s="2" t="s">
        <v>233</v>
      </c>
      <c r="K3921" s="10">
        <v>2560</v>
      </c>
      <c r="L3921" s="10">
        <v>0</v>
      </c>
      <c r="M3921" s="10">
        <v>2560</v>
      </c>
      <c r="N3921" s="10">
        <v>2560</v>
      </c>
      <c r="O3921" s="10">
        <f>Table1[[#This Row],[NET Amount]]-Table1[[#This Row],[Paid Amount]]</f>
        <v>0</v>
      </c>
      <c r="P3921" s="2" t="s">
        <v>18</v>
      </c>
      <c r="Q3921" s="2" t="s">
        <v>54</v>
      </c>
      <c r="R3921" s="16">
        <f>(Table1[[#This Row],[NET Amount]]-Table1[[#This Row],[Total Outstanding Amount]])/Table1[[#This Row],[NET Amount]]</f>
        <v>1</v>
      </c>
      <c r="S3921" s="2" t="s">
        <v>97</v>
      </c>
    </row>
    <row r="3922" spans="1:19" x14ac:dyDescent="0.3">
      <c r="A3922" s="4">
        <v>3920</v>
      </c>
      <c r="B3922" s="2" t="s">
        <v>25</v>
      </c>
      <c r="C3922" s="3">
        <v>44865</v>
      </c>
      <c r="D3922" s="3" t="str">
        <f>TEXT(Table1[[#This Row],[Admission Date]],"MMMM")</f>
        <v>October</v>
      </c>
      <c r="E3922" s="3">
        <v>44865</v>
      </c>
      <c r="F3922" s="3">
        <v>44865</v>
      </c>
      <c r="G3922" s="2">
        <v>22029265</v>
      </c>
      <c r="H3922" s="2">
        <v>2238147</v>
      </c>
      <c r="I3922" s="2">
        <v>10013484177</v>
      </c>
      <c r="J3922" s="2" t="s">
        <v>174</v>
      </c>
      <c r="K3922" s="10">
        <v>2844</v>
      </c>
      <c r="L3922" s="10">
        <v>286</v>
      </c>
      <c r="M3922" s="10">
        <v>2558</v>
      </c>
      <c r="N3922" s="10">
        <v>2558</v>
      </c>
      <c r="O3922" s="10">
        <f>Table1[[#This Row],[NET Amount]]-Table1[[#This Row],[Paid Amount]]</f>
        <v>0</v>
      </c>
      <c r="P3922" s="2" t="s">
        <v>18</v>
      </c>
      <c r="Q3922" s="2" t="s">
        <v>54</v>
      </c>
      <c r="R3922" s="16">
        <f>(Table1[[#This Row],[NET Amount]]-Table1[[#This Row],[Total Outstanding Amount]])/Table1[[#This Row],[NET Amount]]</f>
        <v>1</v>
      </c>
      <c r="S3922" s="2" t="s">
        <v>97</v>
      </c>
    </row>
    <row r="3923" spans="1:19" x14ac:dyDescent="0.3">
      <c r="A3923" s="4">
        <v>3921</v>
      </c>
      <c r="B3923" s="2" t="s">
        <v>113</v>
      </c>
      <c r="C3923" s="3">
        <v>44865</v>
      </c>
      <c r="D3923" s="3" t="str">
        <f>TEXT(Table1[[#This Row],[Admission Date]],"MMMM")</f>
        <v>October</v>
      </c>
      <c r="E3923" s="3">
        <v>44865</v>
      </c>
      <c r="F3923" s="3">
        <v>44865</v>
      </c>
      <c r="G3923" s="2">
        <v>22029260</v>
      </c>
      <c r="H3923" s="2">
        <v>2238148</v>
      </c>
      <c r="I3923" s="2">
        <v>10013524248</v>
      </c>
      <c r="J3923" s="2" t="s">
        <v>211</v>
      </c>
      <c r="K3923" s="10">
        <v>1610</v>
      </c>
      <c r="L3923" s="10">
        <v>0</v>
      </c>
      <c r="M3923" s="10">
        <v>1610</v>
      </c>
      <c r="N3923" s="10">
        <v>1610</v>
      </c>
      <c r="O3923" s="10">
        <f>Table1[[#This Row],[NET Amount]]-Table1[[#This Row],[Paid Amount]]</f>
        <v>0</v>
      </c>
      <c r="P3923" s="2" t="s">
        <v>18</v>
      </c>
      <c r="Q3923" s="2" t="s">
        <v>54</v>
      </c>
      <c r="R3923" s="16">
        <f>(Table1[[#This Row],[NET Amount]]-Table1[[#This Row],[Total Outstanding Amount]])/Table1[[#This Row],[NET Amount]]</f>
        <v>1</v>
      </c>
      <c r="S3923" s="2" t="s">
        <v>97</v>
      </c>
    </row>
    <row r="3924" spans="1:19" x14ac:dyDescent="0.3">
      <c r="A3924" s="4">
        <v>3922</v>
      </c>
      <c r="B3924" s="2" t="s">
        <v>25</v>
      </c>
      <c r="C3924" s="3">
        <v>44854</v>
      </c>
      <c r="D3924" s="3" t="str">
        <f>TEXT(Table1[[#This Row],[Admission Date]],"MMMM")</f>
        <v>October</v>
      </c>
      <c r="E3924" s="3">
        <v>44855</v>
      </c>
      <c r="F3924" s="3">
        <v>44855</v>
      </c>
      <c r="G3924" s="2">
        <v>22027979</v>
      </c>
      <c r="H3924" s="2">
        <v>2236755</v>
      </c>
      <c r="I3924" s="2">
        <v>1001805387</v>
      </c>
      <c r="J3924" s="2" t="s">
        <v>2207</v>
      </c>
      <c r="K3924" s="10">
        <v>221717</v>
      </c>
      <c r="L3924" s="10">
        <v>9680</v>
      </c>
      <c r="M3924" s="10">
        <v>212037</v>
      </c>
      <c r="N3924" s="10">
        <v>212037</v>
      </c>
      <c r="O3924" s="10">
        <f>Table1[[#This Row],[NET Amount]]-Table1[[#This Row],[Paid Amount]]</f>
        <v>0</v>
      </c>
      <c r="P3924" s="2" t="s">
        <v>18</v>
      </c>
      <c r="Q3924" s="2" t="s">
        <v>24</v>
      </c>
      <c r="R3924" s="16">
        <f>(Table1[[#This Row],[NET Amount]]-Table1[[#This Row],[Total Outstanding Amount]])/Table1[[#This Row],[NET Amount]]</f>
        <v>1</v>
      </c>
      <c r="S3924" s="2" t="s">
        <v>39</v>
      </c>
    </row>
    <row r="3925" spans="1:19" x14ac:dyDescent="0.3">
      <c r="A3925" s="4">
        <v>3923</v>
      </c>
      <c r="B3925" s="2" t="s">
        <v>25</v>
      </c>
      <c r="C3925" s="3">
        <v>44862</v>
      </c>
      <c r="D3925" s="3" t="str">
        <f>TEXT(Table1[[#This Row],[Admission Date]],"MMMM")</f>
        <v>October</v>
      </c>
      <c r="E3925" s="3">
        <v>44862</v>
      </c>
      <c r="F3925" s="3">
        <v>44862</v>
      </c>
      <c r="G3925" s="2">
        <v>22028921</v>
      </c>
      <c r="H3925" s="2">
        <v>2237805</v>
      </c>
      <c r="I3925" s="2">
        <v>1001615161</v>
      </c>
      <c r="J3925" s="2" t="s">
        <v>633</v>
      </c>
      <c r="K3925" s="10">
        <v>3630</v>
      </c>
      <c r="L3925" s="10">
        <v>0</v>
      </c>
      <c r="M3925" s="10">
        <v>3630</v>
      </c>
      <c r="N3925" s="10">
        <v>3630</v>
      </c>
      <c r="O3925" s="10">
        <f>Table1[[#This Row],[NET Amount]]-Table1[[#This Row],[Paid Amount]]</f>
        <v>0</v>
      </c>
      <c r="P3925" s="2" t="s">
        <v>18</v>
      </c>
      <c r="Q3925" s="2" t="s">
        <v>54</v>
      </c>
      <c r="R3925" s="16">
        <f>(Table1[[#This Row],[NET Amount]]-Table1[[#This Row],[Total Outstanding Amount]])/Table1[[#This Row],[NET Amount]]</f>
        <v>1</v>
      </c>
      <c r="S3925" s="2" t="s">
        <v>97</v>
      </c>
    </row>
    <row r="3926" spans="1:19" x14ac:dyDescent="0.3">
      <c r="A3926" s="4">
        <v>3924</v>
      </c>
      <c r="B3926" s="2" t="s">
        <v>122</v>
      </c>
      <c r="C3926" s="3">
        <v>44854</v>
      </c>
      <c r="D3926" s="3" t="str">
        <f>TEXT(Table1[[#This Row],[Admission Date]],"MMMM")</f>
        <v>October</v>
      </c>
      <c r="E3926" s="3">
        <v>44854</v>
      </c>
      <c r="F3926" s="3">
        <v>44854</v>
      </c>
      <c r="G3926" s="2">
        <v>22027947</v>
      </c>
      <c r="H3926" s="2">
        <v>2236815</v>
      </c>
      <c r="I3926" s="2">
        <v>1001087967</v>
      </c>
      <c r="J3926" s="2" t="s">
        <v>123</v>
      </c>
      <c r="K3926" s="10">
        <v>3488</v>
      </c>
      <c r="L3926" s="10">
        <v>3488</v>
      </c>
      <c r="M3926" s="10">
        <v>0</v>
      </c>
      <c r="N3926" s="10">
        <v>0</v>
      </c>
      <c r="O3926" s="10">
        <f>Table1[[#This Row],[NET Amount]]-Table1[[#This Row],[Paid Amount]]</f>
        <v>0</v>
      </c>
      <c r="P3926" s="2" t="s">
        <v>18</v>
      </c>
      <c r="Q3926" s="2" t="s">
        <v>54</v>
      </c>
      <c r="R3926" s="16" t="e">
        <f>(Table1[[#This Row],[NET Amount]]-Table1[[#This Row],[Total Outstanding Amount]])/Table1[[#This Row],[NET Amount]]</f>
        <v>#DIV/0!</v>
      </c>
      <c r="S3926" s="2" t="s">
        <v>97</v>
      </c>
    </row>
    <row r="3927" spans="1:19" x14ac:dyDescent="0.3">
      <c r="A3927" s="4">
        <v>3925</v>
      </c>
      <c r="B3927" s="2" t="s">
        <v>75</v>
      </c>
      <c r="C3927" s="3">
        <v>44860</v>
      </c>
      <c r="D3927" s="3" t="str">
        <f>TEXT(Table1[[#This Row],[Admission Date]],"MMMM")</f>
        <v>October</v>
      </c>
      <c r="E3927" s="3">
        <v>44861</v>
      </c>
      <c r="F3927" s="3">
        <v>44861</v>
      </c>
      <c r="G3927" s="2">
        <v>22028761</v>
      </c>
      <c r="H3927" s="2">
        <v>2237481</v>
      </c>
      <c r="I3927" s="2">
        <v>10013536810</v>
      </c>
      <c r="J3927" s="2" t="s">
        <v>2208</v>
      </c>
      <c r="K3927" s="10">
        <v>202298</v>
      </c>
      <c r="L3927" s="10">
        <v>0</v>
      </c>
      <c r="M3927" s="10">
        <v>202298</v>
      </c>
      <c r="N3927" s="10">
        <v>24420</v>
      </c>
      <c r="O3927" s="10">
        <f>Table1[[#This Row],[NET Amount]]-Table1[[#This Row],[Paid Amount]]</f>
        <v>177878</v>
      </c>
      <c r="P3927" s="2" t="s">
        <v>23</v>
      </c>
      <c r="Q3927" s="2" t="s">
        <v>30</v>
      </c>
      <c r="R3927" s="16">
        <f>(Table1[[#This Row],[NET Amount]]-Table1[[#This Row],[Total Outstanding Amount]])/Table1[[#This Row],[NET Amount]]</f>
        <v>0.12071300754332717</v>
      </c>
      <c r="S3927" s="2" t="s">
        <v>39</v>
      </c>
    </row>
    <row r="3928" spans="1:19" x14ac:dyDescent="0.3">
      <c r="A3928" s="4">
        <v>3926</v>
      </c>
      <c r="B3928" s="2" t="s">
        <v>117</v>
      </c>
      <c r="C3928" s="3">
        <v>44852</v>
      </c>
      <c r="D3928" s="3" t="str">
        <f>TEXT(Table1[[#This Row],[Admission Date]],"MMMM")</f>
        <v>October</v>
      </c>
      <c r="E3928" s="3">
        <v>44852</v>
      </c>
      <c r="F3928" s="3">
        <v>44852</v>
      </c>
      <c r="G3928" s="2">
        <v>22027521</v>
      </c>
      <c r="H3928" s="2">
        <v>2236436</v>
      </c>
      <c r="I3928" s="2">
        <v>10013461113</v>
      </c>
      <c r="J3928" s="2" t="s">
        <v>308</v>
      </c>
      <c r="K3928" s="10">
        <v>2064</v>
      </c>
      <c r="L3928" s="10">
        <v>0</v>
      </c>
      <c r="M3928" s="10">
        <v>2064</v>
      </c>
      <c r="N3928" s="10">
        <v>2064</v>
      </c>
      <c r="O3928" s="10">
        <f>Table1[[#This Row],[NET Amount]]-Table1[[#This Row],[Paid Amount]]</f>
        <v>0</v>
      </c>
      <c r="P3928" s="2" t="s">
        <v>18</v>
      </c>
      <c r="Q3928" s="2" t="s">
        <v>54</v>
      </c>
      <c r="R3928" s="16">
        <f>(Table1[[#This Row],[NET Amount]]-Table1[[#This Row],[Total Outstanding Amount]])/Table1[[#This Row],[NET Amount]]</f>
        <v>1</v>
      </c>
      <c r="S3928" s="2" t="s">
        <v>97</v>
      </c>
    </row>
    <row r="3929" spans="1:19" x14ac:dyDescent="0.3">
      <c r="A3929" s="4">
        <v>3927</v>
      </c>
      <c r="B3929" s="2" t="s">
        <v>25</v>
      </c>
      <c r="C3929" s="3">
        <v>44848</v>
      </c>
      <c r="D3929" s="3" t="str">
        <f>TEXT(Table1[[#This Row],[Admission Date]],"MMMM")</f>
        <v>October</v>
      </c>
      <c r="E3929" s="3">
        <v>44848</v>
      </c>
      <c r="F3929" s="3">
        <v>44848</v>
      </c>
      <c r="G3929" s="2">
        <v>22026962</v>
      </c>
      <c r="H3929" s="2">
        <v>2235910</v>
      </c>
      <c r="I3929" s="2">
        <v>1000891305</v>
      </c>
      <c r="J3929" s="2" t="s">
        <v>725</v>
      </c>
      <c r="K3929" s="10">
        <v>2844</v>
      </c>
      <c r="L3929" s="10">
        <v>310</v>
      </c>
      <c r="M3929" s="10">
        <v>2534</v>
      </c>
      <c r="N3929" s="10">
        <v>2534</v>
      </c>
      <c r="O3929" s="10">
        <f>Table1[[#This Row],[NET Amount]]-Table1[[#This Row],[Paid Amount]]</f>
        <v>0</v>
      </c>
      <c r="P3929" s="2" t="s">
        <v>18</v>
      </c>
      <c r="Q3929" s="2" t="s">
        <v>54</v>
      </c>
      <c r="R3929" s="16">
        <f>(Table1[[#This Row],[NET Amount]]-Table1[[#This Row],[Total Outstanding Amount]])/Table1[[#This Row],[NET Amount]]</f>
        <v>1</v>
      </c>
      <c r="S3929" s="2" t="s">
        <v>97</v>
      </c>
    </row>
    <row r="3930" spans="1:19" x14ac:dyDescent="0.3">
      <c r="A3930" s="4">
        <v>3928</v>
      </c>
      <c r="B3930" s="2" t="s">
        <v>25</v>
      </c>
      <c r="C3930" s="3">
        <v>44862</v>
      </c>
      <c r="D3930" s="3" t="str">
        <f>TEXT(Table1[[#This Row],[Admission Date]],"MMMM")</f>
        <v>October</v>
      </c>
      <c r="E3930" s="3">
        <v>44862</v>
      </c>
      <c r="F3930" s="3">
        <v>44862</v>
      </c>
      <c r="G3930" s="2">
        <v>22028845</v>
      </c>
      <c r="H3930" s="2">
        <v>2237752</v>
      </c>
      <c r="I3930" s="2">
        <v>1000891305</v>
      </c>
      <c r="J3930" s="2" t="s">
        <v>725</v>
      </c>
      <c r="K3930" s="10">
        <v>2844</v>
      </c>
      <c r="L3930" s="10">
        <v>287</v>
      </c>
      <c r="M3930" s="10">
        <v>2557</v>
      </c>
      <c r="N3930" s="10">
        <v>2557</v>
      </c>
      <c r="O3930" s="10">
        <f>Table1[[#This Row],[NET Amount]]-Table1[[#This Row],[Paid Amount]]</f>
        <v>0</v>
      </c>
      <c r="P3930" s="2" t="s">
        <v>18</v>
      </c>
      <c r="Q3930" s="2" t="s">
        <v>54</v>
      </c>
      <c r="R3930" s="16">
        <f>(Table1[[#This Row],[NET Amount]]-Table1[[#This Row],[Total Outstanding Amount]])/Table1[[#This Row],[NET Amount]]</f>
        <v>1</v>
      </c>
      <c r="S3930" s="2" t="s">
        <v>97</v>
      </c>
    </row>
    <row r="3931" spans="1:19" x14ac:dyDescent="0.3">
      <c r="A3931" s="4">
        <v>3929</v>
      </c>
      <c r="B3931" s="2" t="s">
        <v>25</v>
      </c>
      <c r="C3931" s="3">
        <v>44857</v>
      </c>
      <c r="D3931" s="3" t="str">
        <f>TEXT(Table1[[#This Row],[Admission Date]],"MMMM")</f>
        <v>October</v>
      </c>
      <c r="E3931" s="3">
        <v>44857</v>
      </c>
      <c r="F3931" s="3">
        <v>44857</v>
      </c>
      <c r="G3931" s="2">
        <v>22028384</v>
      </c>
      <c r="H3931" s="2">
        <v>2237159</v>
      </c>
      <c r="I3931" s="2">
        <v>1000891310</v>
      </c>
      <c r="J3931" s="2" t="s">
        <v>683</v>
      </c>
      <c r="K3931" s="10">
        <v>3319</v>
      </c>
      <c r="L3931" s="10">
        <v>3319</v>
      </c>
      <c r="M3931" s="10">
        <v>0</v>
      </c>
      <c r="N3931" s="10">
        <v>0</v>
      </c>
      <c r="O3931" s="10">
        <f>Table1[[#This Row],[NET Amount]]-Table1[[#This Row],[Paid Amount]]</f>
        <v>0</v>
      </c>
      <c r="P3931" s="2" t="s">
        <v>18</v>
      </c>
      <c r="Q3931" s="2" t="s">
        <v>90</v>
      </c>
      <c r="R3931" s="16" t="e">
        <f>(Table1[[#This Row],[NET Amount]]-Table1[[#This Row],[Total Outstanding Amount]])/Table1[[#This Row],[NET Amount]]</f>
        <v>#DIV/0!</v>
      </c>
      <c r="S3931" s="2" t="s">
        <v>97</v>
      </c>
    </row>
    <row r="3932" spans="1:19" x14ac:dyDescent="0.3">
      <c r="A3932" s="4">
        <v>3930</v>
      </c>
      <c r="B3932" s="2" t="s">
        <v>75</v>
      </c>
      <c r="C3932" s="3">
        <v>44832</v>
      </c>
      <c r="D3932" s="3" t="str">
        <f>TEXT(Table1[[#This Row],[Admission Date]],"MMMM")</f>
        <v>September</v>
      </c>
      <c r="E3932" s="3">
        <v>44836</v>
      </c>
      <c r="F3932" s="3">
        <v>44836</v>
      </c>
      <c r="G3932" s="2">
        <v>22025315</v>
      </c>
      <c r="H3932" s="2">
        <v>2233850</v>
      </c>
      <c r="I3932" s="2">
        <v>1001235202</v>
      </c>
      <c r="J3932" s="2" t="s">
        <v>2209</v>
      </c>
      <c r="K3932" s="10">
        <v>44321</v>
      </c>
      <c r="L3932" s="10">
        <v>0</v>
      </c>
      <c r="M3932" s="10">
        <v>44321</v>
      </c>
      <c r="N3932" s="10">
        <v>2534</v>
      </c>
      <c r="O3932" s="10">
        <f>Table1[[#This Row],[NET Amount]]-Table1[[#This Row],[Paid Amount]]</f>
        <v>41787</v>
      </c>
      <c r="P3932" s="2" t="s">
        <v>23</v>
      </c>
      <c r="Q3932" s="2" t="s">
        <v>24</v>
      </c>
      <c r="R3932" s="16">
        <f>(Table1[[#This Row],[NET Amount]]-Table1[[#This Row],[Total Outstanding Amount]])/Table1[[#This Row],[NET Amount]]</f>
        <v>5.717380023013921E-2</v>
      </c>
      <c r="S3932" s="2" t="s">
        <v>20</v>
      </c>
    </row>
    <row r="3933" spans="1:19" x14ac:dyDescent="0.3">
      <c r="A3933" s="4">
        <v>3931</v>
      </c>
      <c r="B3933" s="2" t="s">
        <v>2255</v>
      </c>
      <c r="C3933" s="3">
        <v>44832</v>
      </c>
      <c r="D3933" s="3" t="str">
        <f>TEXT(Table1[[#This Row],[Admission Date]],"MMMM")</f>
        <v>September</v>
      </c>
      <c r="E3933" s="3">
        <v>44836</v>
      </c>
      <c r="F3933" s="3">
        <v>44836</v>
      </c>
      <c r="G3933" s="2">
        <v>22025319</v>
      </c>
      <c r="H3933" s="2">
        <v>2233745</v>
      </c>
      <c r="I3933" s="2">
        <v>1001801203</v>
      </c>
      <c r="J3933" s="2" t="s">
        <v>2210</v>
      </c>
      <c r="K3933" s="10">
        <v>34158</v>
      </c>
      <c r="L3933" s="10">
        <v>1834</v>
      </c>
      <c r="M3933" s="10">
        <v>32324</v>
      </c>
      <c r="N3933" s="10">
        <v>1730</v>
      </c>
      <c r="O3933" s="10">
        <f>Table1[[#This Row],[NET Amount]]-Table1[[#This Row],[Paid Amount]]</f>
        <v>30594</v>
      </c>
      <c r="P3933" s="2" t="s">
        <v>23</v>
      </c>
      <c r="Q3933" s="2" t="s">
        <v>24</v>
      </c>
      <c r="R3933" s="16">
        <f>(Table1[[#This Row],[NET Amount]]-Table1[[#This Row],[Total Outstanding Amount]])/Table1[[#This Row],[NET Amount]]</f>
        <v>5.3520603885657714E-2</v>
      </c>
      <c r="S3933" s="2" t="s">
        <v>37</v>
      </c>
    </row>
    <row r="3934" spans="1:19" x14ac:dyDescent="0.3">
      <c r="A3934" s="4">
        <v>3932</v>
      </c>
      <c r="B3934" s="2" t="s">
        <v>380</v>
      </c>
      <c r="C3934" s="3">
        <v>44862</v>
      </c>
      <c r="D3934" s="3" t="str">
        <f>TEXT(Table1[[#This Row],[Admission Date]],"MMMM")</f>
        <v>October</v>
      </c>
      <c r="E3934" s="3">
        <v>44862</v>
      </c>
      <c r="F3934" s="3">
        <v>44862</v>
      </c>
      <c r="G3934" s="2">
        <v>22028858</v>
      </c>
      <c r="H3934" s="2">
        <v>2237769</v>
      </c>
      <c r="I3934" s="2">
        <v>1001033406</v>
      </c>
      <c r="J3934" s="2" t="s">
        <v>388</v>
      </c>
      <c r="K3934" s="10">
        <v>1274</v>
      </c>
      <c r="L3934" s="10">
        <v>0</v>
      </c>
      <c r="M3934" s="10">
        <v>1274</v>
      </c>
      <c r="N3934" s="10">
        <v>0</v>
      </c>
      <c r="O3934" s="10">
        <f>Table1[[#This Row],[NET Amount]]-Table1[[#This Row],[Paid Amount]]</f>
        <v>1274</v>
      </c>
      <c r="P3934" s="2" t="s">
        <v>23</v>
      </c>
      <c r="Q3934" s="2" t="s">
        <v>54</v>
      </c>
      <c r="R3934" s="16">
        <f>(Table1[[#This Row],[NET Amount]]-Table1[[#This Row],[Total Outstanding Amount]])/Table1[[#This Row],[NET Amount]]</f>
        <v>0</v>
      </c>
      <c r="S3934" s="2" t="s">
        <v>97</v>
      </c>
    </row>
    <row r="3935" spans="1:19" x14ac:dyDescent="0.3">
      <c r="A3935" s="4">
        <v>3933</v>
      </c>
      <c r="B3935" s="2" t="s">
        <v>380</v>
      </c>
      <c r="C3935" s="3">
        <v>44840</v>
      </c>
      <c r="D3935" s="3" t="str">
        <f>TEXT(Table1[[#This Row],[Admission Date]],"MMMM")</f>
        <v>October</v>
      </c>
      <c r="E3935" s="3">
        <v>44840</v>
      </c>
      <c r="F3935" s="3">
        <v>44840</v>
      </c>
      <c r="G3935" s="2">
        <v>22025862</v>
      </c>
      <c r="H3935" s="2">
        <v>2234858</v>
      </c>
      <c r="I3935" s="2">
        <v>1000947753</v>
      </c>
      <c r="J3935" s="2" t="s">
        <v>432</v>
      </c>
      <c r="K3935" s="10">
        <v>1274</v>
      </c>
      <c r="L3935" s="10">
        <v>0</v>
      </c>
      <c r="M3935" s="10">
        <v>1274</v>
      </c>
      <c r="N3935" s="10">
        <v>0</v>
      </c>
      <c r="O3935" s="10">
        <f>Table1[[#This Row],[NET Amount]]-Table1[[#This Row],[Paid Amount]]</f>
        <v>1274</v>
      </c>
      <c r="P3935" s="2" t="s">
        <v>23</v>
      </c>
      <c r="Q3935" s="2" t="s">
        <v>54</v>
      </c>
      <c r="R3935" s="16">
        <f>(Table1[[#This Row],[NET Amount]]-Table1[[#This Row],[Total Outstanding Amount]])/Table1[[#This Row],[NET Amount]]</f>
        <v>0</v>
      </c>
      <c r="S3935" s="2" t="s">
        <v>97</v>
      </c>
    </row>
    <row r="3936" spans="1:19" x14ac:dyDescent="0.3">
      <c r="A3936" s="4">
        <v>3934</v>
      </c>
      <c r="B3936" s="2" t="s">
        <v>149</v>
      </c>
      <c r="C3936" s="3">
        <v>44855</v>
      </c>
      <c r="D3936" s="3" t="str">
        <f>TEXT(Table1[[#This Row],[Admission Date]],"MMMM")</f>
        <v>October</v>
      </c>
      <c r="E3936" s="3">
        <v>44857</v>
      </c>
      <c r="F3936" s="3">
        <v>44857</v>
      </c>
      <c r="G3936" s="2">
        <v>22028402</v>
      </c>
      <c r="H3936" s="2">
        <v>2236930</v>
      </c>
      <c r="I3936" s="2">
        <v>1001186868</v>
      </c>
      <c r="J3936" s="2" t="s">
        <v>2211</v>
      </c>
      <c r="K3936" s="10">
        <v>57305</v>
      </c>
      <c r="L3936" s="10">
        <v>3678</v>
      </c>
      <c r="M3936" s="10">
        <v>53627</v>
      </c>
      <c r="N3936" s="10">
        <v>0</v>
      </c>
      <c r="O3936" s="10">
        <f>Table1[[#This Row],[NET Amount]]-Table1[[#This Row],[Paid Amount]]</f>
        <v>53627</v>
      </c>
      <c r="P3936" s="2" t="s">
        <v>23</v>
      </c>
      <c r="Q3936" s="2" t="s">
        <v>30</v>
      </c>
      <c r="R3936" s="16">
        <f>(Table1[[#This Row],[NET Amount]]-Table1[[#This Row],[Total Outstanding Amount]])/Table1[[#This Row],[NET Amount]]</f>
        <v>0</v>
      </c>
      <c r="S3936" s="2" t="s">
        <v>20</v>
      </c>
    </row>
    <row r="3937" spans="1:19" x14ac:dyDescent="0.3">
      <c r="A3937" s="4">
        <v>3935</v>
      </c>
      <c r="B3937" s="2" t="s">
        <v>2253</v>
      </c>
      <c r="C3937" s="3">
        <v>44837</v>
      </c>
      <c r="D3937" s="3" t="str">
        <f>TEXT(Table1[[#This Row],[Admission Date]],"MMMM")</f>
        <v>October</v>
      </c>
      <c r="E3937" s="3">
        <v>44837</v>
      </c>
      <c r="F3937" s="3">
        <v>44837</v>
      </c>
      <c r="G3937" s="2">
        <v>22025428</v>
      </c>
      <c r="H3937" s="2">
        <v>2234389</v>
      </c>
      <c r="I3937" s="2">
        <v>1001801530</v>
      </c>
      <c r="J3937" s="2" t="s">
        <v>392</v>
      </c>
      <c r="K3937" s="10">
        <v>1610</v>
      </c>
      <c r="L3937" s="10">
        <v>0</v>
      </c>
      <c r="M3937" s="10">
        <v>1610</v>
      </c>
      <c r="N3937" s="10">
        <v>0</v>
      </c>
      <c r="O3937" s="10">
        <f>Table1[[#This Row],[NET Amount]]-Table1[[#This Row],[Paid Amount]]</f>
        <v>1610</v>
      </c>
      <c r="P3937" s="2" t="s">
        <v>23</v>
      </c>
      <c r="Q3937" s="2" t="s">
        <v>54</v>
      </c>
      <c r="R3937" s="16">
        <f>(Table1[[#This Row],[NET Amount]]-Table1[[#This Row],[Total Outstanding Amount]])/Table1[[#This Row],[NET Amount]]</f>
        <v>0</v>
      </c>
      <c r="S3937" s="2" t="s">
        <v>97</v>
      </c>
    </row>
    <row r="3938" spans="1:19" x14ac:dyDescent="0.3">
      <c r="A3938" s="4">
        <v>3936</v>
      </c>
      <c r="B3938" s="2" t="s">
        <v>25</v>
      </c>
      <c r="C3938" s="3">
        <v>44834</v>
      </c>
      <c r="D3938" s="3" t="str">
        <f>TEXT(Table1[[#This Row],[Admission Date]],"MMMM")</f>
        <v>September</v>
      </c>
      <c r="E3938" s="3">
        <v>44839</v>
      </c>
      <c r="F3938" s="3">
        <v>44839</v>
      </c>
      <c r="G3938" s="2">
        <v>22025759</v>
      </c>
      <c r="H3938" s="2">
        <v>2234113</v>
      </c>
      <c r="I3938" s="2">
        <v>10013540989</v>
      </c>
      <c r="J3938" s="2" t="s">
        <v>508</v>
      </c>
      <c r="K3938" s="10">
        <v>61034</v>
      </c>
      <c r="L3938" s="10">
        <v>20650</v>
      </c>
      <c r="M3938" s="10">
        <v>40383</v>
      </c>
      <c r="N3938" s="10">
        <v>0</v>
      </c>
      <c r="O3938" s="10">
        <f>Table1[[#This Row],[NET Amount]]-Table1[[#This Row],[Paid Amount]]</f>
        <v>40383</v>
      </c>
      <c r="P3938" s="2" t="s">
        <v>23</v>
      </c>
      <c r="Q3938" s="2" t="s">
        <v>69</v>
      </c>
      <c r="R3938" s="16">
        <f>(Table1[[#This Row],[NET Amount]]-Table1[[#This Row],[Total Outstanding Amount]])/Table1[[#This Row],[NET Amount]]</f>
        <v>0</v>
      </c>
      <c r="S3938" s="2" t="s">
        <v>20</v>
      </c>
    </row>
    <row r="3939" spans="1:19" x14ac:dyDescent="0.3">
      <c r="A3939" s="4">
        <v>3937</v>
      </c>
      <c r="B3939" s="2" t="s">
        <v>45</v>
      </c>
      <c r="C3939" s="3">
        <v>44845</v>
      </c>
      <c r="D3939" s="3" t="str">
        <f>TEXT(Table1[[#This Row],[Admission Date]],"MMMM")</f>
        <v>October</v>
      </c>
      <c r="E3939" s="3">
        <v>44845</v>
      </c>
      <c r="F3939" s="3">
        <v>44845</v>
      </c>
      <c r="G3939" s="2">
        <v>22026576</v>
      </c>
      <c r="H3939" s="2">
        <v>2235501</v>
      </c>
      <c r="I3939" s="2">
        <v>1001020879</v>
      </c>
      <c r="J3939" s="2" t="s">
        <v>462</v>
      </c>
      <c r="K3939" s="10">
        <v>2200</v>
      </c>
      <c r="L3939" s="10">
        <v>0</v>
      </c>
      <c r="M3939" s="10">
        <v>2200</v>
      </c>
      <c r="N3939" s="10">
        <v>0</v>
      </c>
      <c r="O3939" s="10">
        <f>Table1[[#This Row],[NET Amount]]-Table1[[#This Row],[Paid Amount]]</f>
        <v>2200</v>
      </c>
      <c r="P3939" s="2" t="s">
        <v>23</v>
      </c>
      <c r="Q3939" s="2" t="s">
        <v>147</v>
      </c>
      <c r="R3939" s="16">
        <f>(Table1[[#This Row],[NET Amount]]-Table1[[#This Row],[Total Outstanding Amount]])/Table1[[#This Row],[NET Amount]]</f>
        <v>0</v>
      </c>
      <c r="S3939" s="2" t="s">
        <v>97</v>
      </c>
    </row>
    <row r="3940" spans="1:19" x14ac:dyDescent="0.3">
      <c r="A3940" s="4">
        <v>3938</v>
      </c>
      <c r="B3940" s="2" t="s">
        <v>380</v>
      </c>
      <c r="C3940" s="3">
        <v>44841</v>
      </c>
      <c r="D3940" s="3" t="str">
        <f>TEXT(Table1[[#This Row],[Admission Date]],"MMMM")</f>
        <v>October</v>
      </c>
      <c r="E3940" s="3">
        <v>44841</v>
      </c>
      <c r="F3940" s="3">
        <v>44841</v>
      </c>
      <c r="G3940" s="2">
        <v>22026038</v>
      </c>
      <c r="H3940" s="2">
        <v>2235059</v>
      </c>
      <c r="I3940" s="2">
        <v>10013520283</v>
      </c>
      <c r="J3940" s="2" t="s">
        <v>402</v>
      </c>
      <c r="K3940" s="10">
        <v>1274</v>
      </c>
      <c r="L3940" s="10">
        <v>0</v>
      </c>
      <c r="M3940" s="10">
        <v>1274</v>
      </c>
      <c r="N3940" s="10">
        <v>0</v>
      </c>
      <c r="O3940" s="10">
        <f>Table1[[#This Row],[NET Amount]]-Table1[[#This Row],[Paid Amount]]</f>
        <v>1274</v>
      </c>
      <c r="P3940" s="2" t="s">
        <v>23</v>
      </c>
      <c r="Q3940" s="2" t="s">
        <v>54</v>
      </c>
      <c r="R3940" s="16">
        <f>(Table1[[#This Row],[NET Amount]]-Table1[[#This Row],[Total Outstanding Amount]])/Table1[[#This Row],[NET Amount]]</f>
        <v>0</v>
      </c>
      <c r="S3940" s="2" t="s">
        <v>97</v>
      </c>
    </row>
    <row r="3941" spans="1:19" x14ac:dyDescent="0.3">
      <c r="A3941" s="4">
        <v>3939</v>
      </c>
      <c r="B3941" s="2" t="s">
        <v>139</v>
      </c>
      <c r="C3941" s="3">
        <v>44857</v>
      </c>
      <c r="D3941" s="3" t="str">
        <f>TEXT(Table1[[#This Row],[Admission Date]],"MMMM")</f>
        <v>October</v>
      </c>
      <c r="E3941" s="3">
        <v>44857</v>
      </c>
      <c r="F3941" s="3">
        <v>44857</v>
      </c>
      <c r="G3941" s="2">
        <v>22028373</v>
      </c>
      <c r="H3941" s="2">
        <v>2237161</v>
      </c>
      <c r="I3941" s="2">
        <v>1001199995</v>
      </c>
      <c r="J3941" s="2" t="s">
        <v>386</v>
      </c>
      <c r="K3941" s="10">
        <v>2200</v>
      </c>
      <c r="L3941" s="10">
        <v>0</v>
      </c>
      <c r="M3941" s="10">
        <v>2200</v>
      </c>
      <c r="N3941" s="10">
        <v>0</v>
      </c>
      <c r="O3941" s="10">
        <f>Table1[[#This Row],[NET Amount]]-Table1[[#This Row],[Paid Amount]]</f>
        <v>2200</v>
      </c>
      <c r="P3941" s="2" t="s">
        <v>23</v>
      </c>
      <c r="Q3941" s="2" t="s">
        <v>147</v>
      </c>
      <c r="R3941" s="16">
        <f>(Table1[[#This Row],[NET Amount]]-Table1[[#This Row],[Total Outstanding Amount]])/Table1[[#This Row],[NET Amount]]</f>
        <v>0</v>
      </c>
      <c r="S3941" s="2" t="s">
        <v>97</v>
      </c>
    </row>
    <row r="3942" spans="1:19" x14ac:dyDescent="0.3">
      <c r="A3942" s="4">
        <v>3940</v>
      </c>
      <c r="B3942" s="2" t="s">
        <v>2253</v>
      </c>
      <c r="C3942" s="3">
        <v>44844</v>
      </c>
      <c r="D3942" s="3" t="str">
        <f>TEXT(Table1[[#This Row],[Admission Date]],"MMMM")</f>
        <v>October</v>
      </c>
      <c r="E3942" s="3">
        <v>44844</v>
      </c>
      <c r="F3942" s="3">
        <v>44844</v>
      </c>
      <c r="G3942" s="2">
        <v>22026431</v>
      </c>
      <c r="H3942" s="2">
        <v>2235400</v>
      </c>
      <c r="I3942" s="2">
        <v>1001777526</v>
      </c>
      <c r="J3942" s="2" t="s">
        <v>411</v>
      </c>
      <c r="K3942" s="10">
        <v>1610</v>
      </c>
      <c r="L3942" s="10">
        <v>0</v>
      </c>
      <c r="M3942" s="10">
        <v>1610</v>
      </c>
      <c r="N3942" s="10">
        <v>0</v>
      </c>
      <c r="O3942" s="10">
        <f>Table1[[#This Row],[NET Amount]]-Table1[[#This Row],[Paid Amount]]</f>
        <v>1610</v>
      </c>
      <c r="P3942" s="2" t="s">
        <v>23</v>
      </c>
      <c r="Q3942" s="2" t="s">
        <v>54</v>
      </c>
      <c r="R3942" s="16">
        <f>(Table1[[#This Row],[NET Amount]]-Table1[[#This Row],[Total Outstanding Amount]])/Table1[[#This Row],[NET Amount]]</f>
        <v>0</v>
      </c>
      <c r="S3942" s="2" t="s">
        <v>97</v>
      </c>
    </row>
    <row r="3943" spans="1:19" x14ac:dyDescent="0.3">
      <c r="A3943" s="4">
        <v>3941</v>
      </c>
      <c r="B3943" s="2" t="s">
        <v>2263</v>
      </c>
      <c r="C3943" s="3">
        <v>44845</v>
      </c>
      <c r="D3943" s="3" t="str">
        <f>TEXT(Table1[[#This Row],[Admission Date]],"MMMM")</f>
        <v>October</v>
      </c>
      <c r="E3943" s="3">
        <v>44845</v>
      </c>
      <c r="F3943" s="3">
        <v>44845</v>
      </c>
      <c r="G3943" s="2">
        <v>22026629</v>
      </c>
      <c r="H3943" s="2">
        <v>2235581</v>
      </c>
      <c r="I3943" s="2">
        <v>1001686545</v>
      </c>
      <c r="J3943" s="2" t="s">
        <v>425</v>
      </c>
      <c r="K3943" s="10">
        <v>1274</v>
      </c>
      <c r="L3943" s="10">
        <v>0</v>
      </c>
      <c r="M3943" s="10">
        <v>1274</v>
      </c>
      <c r="N3943" s="10">
        <v>0</v>
      </c>
      <c r="O3943" s="10">
        <f>Table1[[#This Row],[NET Amount]]-Table1[[#This Row],[Paid Amount]]</f>
        <v>1274</v>
      </c>
      <c r="P3943" s="2" t="s">
        <v>23</v>
      </c>
      <c r="Q3943" s="2" t="s">
        <v>54</v>
      </c>
      <c r="R3943" s="16">
        <f>(Table1[[#This Row],[NET Amount]]-Table1[[#This Row],[Total Outstanding Amount]])/Table1[[#This Row],[NET Amount]]</f>
        <v>0</v>
      </c>
      <c r="S3943" s="2" t="s">
        <v>97</v>
      </c>
    </row>
    <row r="3944" spans="1:19" x14ac:dyDescent="0.3">
      <c r="A3944" s="4">
        <v>3942</v>
      </c>
      <c r="B3944" s="2" t="s">
        <v>380</v>
      </c>
      <c r="C3944" s="3">
        <v>44839</v>
      </c>
      <c r="D3944" s="3" t="str">
        <f>TEXT(Table1[[#This Row],[Admission Date]],"MMMM")</f>
        <v>October</v>
      </c>
      <c r="E3944" s="3">
        <v>44839</v>
      </c>
      <c r="F3944" s="3">
        <v>44839</v>
      </c>
      <c r="G3944" s="2">
        <v>22025777</v>
      </c>
      <c r="H3944" s="2">
        <v>2234761</v>
      </c>
      <c r="I3944" s="2">
        <v>10013506167</v>
      </c>
      <c r="J3944" s="2" t="s">
        <v>467</v>
      </c>
      <c r="K3944" s="10">
        <v>1274</v>
      </c>
      <c r="L3944" s="10">
        <v>0</v>
      </c>
      <c r="M3944" s="10">
        <v>1274</v>
      </c>
      <c r="N3944" s="10">
        <v>0</v>
      </c>
      <c r="O3944" s="10">
        <f>Table1[[#This Row],[NET Amount]]-Table1[[#This Row],[Paid Amount]]</f>
        <v>1274</v>
      </c>
      <c r="P3944" s="2" t="s">
        <v>23</v>
      </c>
      <c r="Q3944" s="2" t="s">
        <v>54</v>
      </c>
      <c r="R3944" s="16">
        <f>(Table1[[#This Row],[NET Amount]]-Table1[[#This Row],[Total Outstanding Amount]])/Table1[[#This Row],[NET Amount]]</f>
        <v>0</v>
      </c>
      <c r="S3944" s="2" t="s">
        <v>97</v>
      </c>
    </row>
    <row r="3945" spans="1:19" x14ac:dyDescent="0.3">
      <c r="A3945" s="4">
        <v>3943</v>
      </c>
      <c r="B3945" s="2" t="s">
        <v>139</v>
      </c>
      <c r="C3945" s="3">
        <v>44857</v>
      </c>
      <c r="D3945" s="3" t="str">
        <f>TEXT(Table1[[#This Row],[Admission Date]],"MMMM")</f>
        <v>October</v>
      </c>
      <c r="E3945" s="3">
        <v>44857</v>
      </c>
      <c r="F3945" s="3">
        <v>44857</v>
      </c>
      <c r="G3945" s="2">
        <v>22028333</v>
      </c>
      <c r="H3945" s="2">
        <v>2237131</v>
      </c>
      <c r="I3945" s="2">
        <v>10013415573</v>
      </c>
      <c r="J3945" s="2" t="s">
        <v>335</v>
      </c>
      <c r="K3945" s="10">
        <v>2200</v>
      </c>
      <c r="L3945" s="10">
        <v>0</v>
      </c>
      <c r="M3945" s="10">
        <v>2200</v>
      </c>
      <c r="N3945" s="10">
        <v>0</v>
      </c>
      <c r="O3945" s="10">
        <f>Table1[[#This Row],[NET Amount]]-Table1[[#This Row],[Paid Amount]]</f>
        <v>2200</v>
      </c>
      <c r="P3945" s="2" t="s">
        <v>23</v>
      </c>
      <c r="Q3945" s="2" t="s">
        <v>147</v>
      </c>
      <c r="R3945" s="16">
        <f>(Table1[[#This Row],[NET Amount]]-Table1[[#This Row],[Total Outstanding Amount]])/Table1[[#This Row],[NET Amount]]</f>
        <v>0</v>
      </c>
      <c r="S3945" s="2" t="s">
        <v>97</v>
      </c>
    </row>
    <row r="3946" spans="1:19" x14ac:dyDescent="0.3">
      <c r="A3946" s="4">
        <v>3944</v>
      </c>
      <c r="B3946" s="2" t="s">
        <v>380</v>
      </c>
      <c r="C3946" s="3">
        <v>44862</v>
      </c>
      <c r="D3946" s="3" t="str">
        <f>TEXT(Table1[[#This Row],[Admission Date]],"MMMM")</f>
        <v>October</v>
      </c>
      <c r="E3946" s="3">
        <v>44862</v>
      </c>
      <c r="F3946" s="3">
        <v>44862</v>
      </c>
      <c r="G3946" s="2">
        <v>22028867</v>
      </c>
      <c r="H3946" s="2">
        <v>2237765</v>
      </c>
      <c r="I3946" s="2">
        <v>1001307852</v>
      </c>
      <c r="J3946" s="2" t="s">
        <v>309</v>
      </c>
      <c r="K3946" s="10">
        <v>1274</v>
      </c>
      <c r="L3946" s="10">
        <v>0</v>
      </c>
      <c r="M3946" s="10">
        <v>1274</v>
      </c>
      <c r="N3946" s="10">
        <v>0</v>
      </c>
      <c r="O3946" s="10">
        <f>Table1[[#This Row],[NET Amount]]-Table1[[#This Row],[Paid Amount]]</f>
        <v>1274</v>
      </c>
      <c r="P3946" s="2" t="s">
        <v>23</v>
      </c>
      <c r="Q3946" s="2" t="s">
        <v>54</v>
      </c>
      <c r="R3946" s="16">
        <f>(Table1[[#This Row],[NET Amount]]-Table1[[#This Row],[Total Outstanding Amount]])/Table1[[#This Row],[NET Amount]]</f>
        <v>0</v>
      </c>
      <c r="S3946" s="2" t="s">
        <v>97</v>
      </c>
    </row>
    <row r="3947" spans="1:19" x14ac:dyDescent="0.3">
      <c r="A3947" s="4">
        <v>3945</v>
      </c>
      <c r="B3947" s="2" t="s">
        <v>380</v>
      </c>
      <c r="C3947" s="3">
        <v>44841</v>
      </c>
      <c r="D3947" s="3" t="str">
        <f>TEXT(Table1[[#This Row],[Admission Date]],"MMMM")</f>
        <v>October</v>
      </c>
      <c r="E3947" s="3">
        <v>44841</v>
      </c>
      <c r="F3947" s="3">
        <v>44841</v>
      </c>
      <c r="G3947" s="2">
        <v>22026010</v>
      </c>
      <c r="H3947" s="2">
        <v>2235040</v>
      </c>
      <c r="I3947" s="2">
        <v>10013457170</v>
      </c>
      <c r="J3947" s="2" t="s">
        <v>1075</v>
      </c>
      <c r="K3947" s="10">
        <v>1274</v>
      </c>
      <c r="L3947" s="10">
        <v>0</v>
      </c>
      <c r="M3947" s="10">
        <v>1274</v>
      </c>
      <c r="N3947" s="10">
        <v>0</v>
      </c>
      <c r="O3947" s="10">
        <f>Table1[[#This Row],[NET Amount]]-Table1[[#This Row],[Paid Amount]]</f>
        <v>1274</v>
      </c>
      <c r="P3947" s="2" t="s">
        <v>23</v>
      </c>
      <c r="Q3947" s="2" t="s">
        <v>54</v>
      </c>
      <c r="R3947" s="16">
        <f>(Table1[[#This Row],[NET Amount]]-Table1[[#This Row],[Total Outstanding Amount]])/Table1[[#This Row],[NET Amount]]</f>
        <v>0</v>
      </c>
      <c r="S3947" s="2" t="s">
        <v>97</v>
      </c>
    </row>
    <row r="3948" spans="1:19" x14ac:dyDescent="0.3">
      <c r="A3948" s="4">
        <v>3946</v>
      </c>
      <c r="B3948" s="2" t="s">
        <v>380</v>
      </c>
      <c r="C3948" s="3">
        <v>44838</v>
      </c>
      <c r="D3948" s="3" t="str">
        <f>TEXT(Table1[[#This Row],[Admission Date]],"MMMM")</f>
        <v>October</v>
      </c>
      <c r="E3948" s="3">
        <v>44838</v>
      </c>
      <c r="F3948" s="3">
        <v>44838</v>
      </c>
      <c r="G3948" s="2">
        <v>22025620</v>
      </c>
      <c r="H3948" s="2">
        <v>2234619</v>
      </c>
      <c r="I3948" s="2">
        <v>10013371134</v>
      </c>
      <c r="J3948" s="2" t="s">
        <v>412</v>
      </c>
      <c r="K3948" s="10">
        <v>1274</v>
      </c>
      <c r="L3948" s="10">
        <v>0</v>
      </c>
      <c r="M3948" s="10">
        <v>1274</v>
      </c>
      <c r="N3948" s="10">
        <v>0</v>
      </c>
      <c r="O3948" s="10">
        <f>Table1[[#This Row],[NET Amount]]-Table1[[#This Row],[Paid Amount]]</f>
        <v>1274</v>
      </c>
      <c r="P3948" s="2" t="s">
        <v>23</v>
      </c>
      <c r="Q3948" s="2" t="s">
        <v>54</v>
      </c>
      <c r="R3948" s="16">
        <f>(Table1[[#This Row],[NET Amount]]-Table1[[#This Row],[Total Outstanding Amount]])/Table1[[#This Row],[NET Amount]]</f>
        <v>0</v>
      </c>
      <c r="S3948" s="2" t="s">
        <v>97</v>
      </c>
    </row>
    <row r="3949" spans="1:19" x14ac:dyDescent="0.3">
      <c r="A3949" s="4">
        <v>3947</v>
      </c>
      <c r="B3949" s="2" t="s">
        <v>2263</v>
      </c>
      <c r="C3949" s="3">
        <v>44848</v>
      </c>
      <c r="D3949" s="3" t="str">
        <f>TEXT(Table1[[#This Row],[Admission Date]],"MMMM")</f>
        <v>October</v>
      </c>
      <c r="E3949" s="3">
        <v>44848</v>
      </c>
      <c r="F3949" s="3">
        <v>44848</v>
      </c>
      <c r="G3949" s="2">
        <v>22027085</v>
      </c>
      <c r="H3949" s="2">
        <v>2235998</v>
      </c>
      <c r="I3949" s="2">
        <v>1001767553</v>
      </c>
      <c r="J3949" s="2" t="s">
        <v>417</v>
      </c>
      <c r="K3949" s="10">
        <v>1274</v>
      </c>
      <c r="L3949" s="10">
        <v>0</v>
      </c>
      <c r="M3949" s="10">
        <v>1274</v>
      </c>
      <c r="N3949" s="10">
        <v>0</v>
      </c>
      <c r="O3949" s="10">
        <f>Table1[[#This Row],[NET Amount]]-Table1[[#This Row],[Paid Amount]]</f>
        <v>1274</v>
      </c>
      <c r="P3949" s="2" t="s">
        <v>23</v>
      </c>
      <c r="Q3949" s="2" t="s">
        <v>54</v>
      </c>
      <c r="R3949" s="16">
        <f>(Table1[[#This Row],[NET Amount]]-Table1[[#This Row],[Total Outstanding Amount]])/Table1[[#This Row],[NET Amount]]</f>
        <v>0</v>
      </c>
      <c r="S3949" s="2" t="s">
        <v>97</v>
      </c>
    </row>
    <row r="3950" spans="1:19" x14ac:dyDescent="0.3">
      <c r="A3950" s="4">
        <v>3948</v>
      </c>
      <c r="B3950" s="2" t="s">
        <v>45</v>
      </c>
      <c r="C3950" s="3">
        <v>44844</v>
      </c>
      <c r="D3950" s="3" t="str">
        <f>TEXT(Table1[[#This Row],[Admission Date]],"MMMM")</f>
        <v>October</v>
      </c>
      <c r="E3950" s="3">
        <v>44844</v>
      </c>
      <c r="F3950" s="3">
        <v>44844</v>
      </c>
      <c r="G3950" s="2">
        <v>22026406</v>
      </c>
      <c r="H3950" s="2">
        <v>2235378</v>
      </c>
      <c r="I3950" s="2">
        <v>1001684515</v>
      </c>
      <c r="J3950" s="2" t="s">
        <v>414</v>
      </c>
      <c r="K3950" s="10">
        <v>2200</v>
      </c>
      <c r="L3950" s="10">
        <v>0</v>
      </c>
      <c r="M3950" s="10">
        <v>2200</v>
      </c>
      <c r="N3950" s="10">
        <v>0</v>
      </c>
      <c r="O3950" s="10">
        <f>Table1[[#This Row],[NET Amount]]-Table1[[#This Row],[Paid Amount]]</f>
        <v>2200</v>
      </c>
      <c r="P3950" s="2" t="s">
        <v>23</v>
      </c>
      <c r="Q3950" s="2" t="s">
        <v>147</v>
      </c>
      <c r="R3950" s="16">
        <f>(Table1[[#This Row],[NET Amount]]-Table1[[#This Row],[Total Outstanding Amount]])/Table1[[#This Row],[NET Amount]]</f>
        <v>0</v>
      </c>
      <c r="S3950" s="2" t="s">
        <v>97</v>
      </c>
    </row>
    <row r="3951" spans="1:19" x14ac:dyDescent="0.3">
      <c r="A3951" s="4">
        <v>3949</v>
      </c>
      <c r="B3951" s="2" t="s">
        <v>380</v>
      </c>
      <c r="C3951" s="3">
        <v>44839</v>
      </c>
      <c r="D3951" s="3" t="str">
        <f>TEXT(Table1[[#This Row],[Admission Date]],"MMMM")</f>
        <v>October</v>
      </c>
      <c r="E3951" s="3">
        <v>44839</v>
      </c>
      <c r="F3951" s="3">
        <v>44839</v>
      </c>
      <c r="G3951" s="2">
        <v>22025778</v>
      </c>
      <c r="H3951" s="2">
        <v>2234762</v>
      </c>
      <c r="I3951" s="2">
        <v>10013387247</v>
      </c>
      <c r="J3951" s="2" t="s">
        <v>1330</v>
      </c>
      <c r="K3951" s="10">
        <v>1274</v>
      </c>
      <c r="L3951" s="10">
        <v>0</v>
      </c>
      <c r="M3951" s="10">
        <v>1274</v>
      </c>
      <c r="N3951" s="10">
        <v>0</v>
      </c>
      <c r="O3951" s="10">
        <f>Table1[[#This Row],[NET Amount]]-Table1[[#This Row],[Paid Amount]]</f>
        <v>1274</v>
      </c>
      <c r="P3951" s="2" t="s">
        <v>23</v>
      </c>
      <c r="Q3951" s="2" t="s">
        <v>54</v>
      </c>
      <c r="R3951" s="16">
        <f>(Table1[[#This Row],[NET Amount]]-Table1[[#This Row],[Total Outstanding Amount]])/Table1[[#This Row],[NET Amount]]</f>
        <v>0</v>
      </c>
      <c r="S3951" s="2" t="s">
        <v>97</v>
      </c>
    </row>
    <row r="3952" spans="1:19" x14ac:dyDescent="0.3">
      <c r="A3952" s="4">
        <v>3950</v>
      </c>
      <c r="B3952" s="2" t="s">
        <v>75</v>
      </c>
      <c r="C3952" s="3">
        <v>44846</v>
      </c>
      <c r="D3952" s="3" t="str">
        <f>TEXT(Table1[[#This Row],[Admission Date]],"MMMM")</f>
        <v>October</v>
      </c>
      <c r="E3952" s="3">
        <v>44846</v>
      </c>
      <c r="F3952" s="3">
        <v>44846</v>
      </c>
      <c r="G3952" s="2">
        <v>22026732</v>
      </c>
      <c r="H3952" s="2">
        <v>2235690</v>
      </c>
      <c r="I3952" s="2">
        <v>1001300172</v>
      </c>
      <c r="J3952" s="2" t="s">
        <v>400</v>
      </c>
      <c r="K3952" s="10">
        <v>1610</v>
      </c>
      <c r="L3952" s="10">
        <v>0</v>
      </c>
      <c r="M3952" s="10">
        <v>1610</v>
      </c>
      <c r="N3952" s="10">
        <v>0</v>
      </c>
      <c r="O3952" s="10">
        <f>Table1[[#This Row],[NET Amount]]-Table1[[#This Row],[Paid Amount]]</f>
        <v>1610</v>
      </c>
      <c r="P3952" s="2" t="s">
        <v>23</v>
      </c>
      <c r="Q3952" s="2" t="s">
        <v>54</v>
      </c>
      <c r="R3952" s="16">
        <f>(Table1[[#This Row],[NET Amount]]-Table1[[#This Row],[Total Outstanding Amount]])/Table1[[#This Row],[NET Amount]]</f>
        <v>0</v>
      </c>
      <c r="S3952" s="2" t="s">
        <v>97</v>
      </c>
    </row>
    <row r="3953" spans="1:19" x14ac:dyDescent="0.3">
      <c r="A3953" s="4">
        <v>3951</v>
      </c>
      <c r="B3953" s="2" t="s">
        <v>380</v>
      </c>
      <c r="C3953" s="3">
        <v>44840</v>
      </c>
      <c r="D3953" s="3" t="str">
        <f>TEXT(Table1[[#This Row],[Admission Date]],"MMMM")</f>
        <v>October</v>
      </c>
      <c r="E3953" s="3">
        <v>44840</v>
      </c>
      <c r="F3953" s="3">
        <v>44840</v>
      </c>
      <c r="G3953" s="2">
        <v>22025914</v>
      </c>
      <c r="H3953" s="2">
        <v>2234945</v>
      </c>
      <c r="I3953" s="2">
        <v>10013292990</v>
      </c>
      <c r="J3953" s="2" t="s">
        <v>779</v>
      </c>
      <c r="K3953" s="10">
        <v>1274</v>
      </c>
      <c r="L3953" s="10">
        <v>0</v>
      </c>
      <c r="M3953" s="10">
        <v>1274</v>
      </c>
      <c r="N3953" s="10">
        <v>0</v>
      </c>
      <c r="O3953" s="10">
        <f>Table1[[#This Row],[NET Amount]]-Table1[[#This Row],[Paid Amount]]</f>
        <v>1274</v>
      </c>
      <c r="P3953" s="2" t="s">
        <v>23</v>
      </c>
      <c r="Q3953" s="2" t="s">
        <v>54</v>
      </c>
      <c r="R3953" s="16">
        <f>(Table1[[#This Row],[NET Amount]]-Table1[[#This Row],[Total Outstanding Amount]])/Table1[[#This Row],[NET Amount]]</f>
        <v>0</v>
      </c>
      <c r="S3953" s="2" t="s">
        <v>97</v>
      </c>
    </row>
    <row r="3954" spans="1:19" x14ac:dyDescent="0.3">
      <c r="A3954" s="4">
        <v>3952</v>
      </c>
      <c r="B3954" s="2" t="s">
        <v>2253</v>
      </c>
      <c r="C3954" s="3">
        <v>44862</v>
      </c>
      <c r="D3954" s="3" t="str">
        <f>TEXT(Table1[[#This Row],[Admission Date]],"MMMM")</f>
        <v>October</v>
      </c>
      <c r="E3954" s="3">
        <v>44862</v>
      </c>
      <c r="F3954" s="3">
        <v>44862</v>
      </c>
      <c r="G3954" s="2">
        <v>22028915</v>
      </c>
      <c r="H3954" s="2">
        <v>2237812</v>
      </c>
      <c r="I3954" s="2">
        <v>1001803044</v>
      </c>
      <c r="J3954" s="2" t="s">
        <v>426</v>
      </c>
      <c r="K3954" s="10">
        <v>1610</v>
      </c>
      <c r="L3954" s="10">
        <v>0</v>
      </c>
      <c r="M3954" s="10">
        <v>1610</v>
      </c>
      <c r="N3954" s="10">
        <v>0</v>
      </c>
      <c r="O3954" s="10">
        <f>Table1[[#This Row],[NET Amount]]-Table1[[#This Row],[Paid Amount]]</f>
        <v>1610</v>
      </c>
      <c r="P3954" s="2" t="s">
        <v>23</v>
      </c>
      <c r="Q3954" s="2" t="s">
        <v>54</v>
      </c>
      <c r="R3954" s="16">
        <f>(Table1[[#This Row],[NET Amount]]-Table1[[#This Row],[Total Outstanding Amount]])/Table1[[#This Row],[NET Amount]]</f>
        <v>0</v>
      </c>
      <c r="S3954" s="2" t="s">
        <v>97</v>
      </c>
    </row>
    <row r="3955" spans="1:19" x14ac:dyDescent="0.3">
      <c r="A3955" s="4">
        <v>3953</v>
      </c>
      <c r="B3955" s="2" t="s">
        <v>380</v>
      </c>
      <c r="C3955" s="3">
        <v>44847</v>
      </c>
      <c r="D3955" s="3" t="str">
        <f>TEXT(Table1[[#This Row],[Admission Date]],"MMMM")</f>
        <v>October</v>
      </c>
      <c r="E3955" s="3">
        <v>44847</v>
      </c>
      <c r="F3955" s="3">
        <v>44847</v>
      </c>
      <c r="G3955" s="2">
        <v>22026834</v>
      </c>
      <c r="H3955" s="2">
        <v>2235811</v>
      </c>
      <c r="I3955" s="2">
        <v>1000891036</v>
      </c>
      <c r="J3955" s="2" t="s">
        <v>399</v>
      </c>
      <c r="K3955" s="10">
        <v>1274</v>
      </c>
      <c r="L3955" s="10">
        <v>0</v>
      </c>
      <c r="M3955" s="10">
        <v>1274</v>
      </c>
      <c r="N3955" s="10">
        <v>0</v>
      </c>
      <c r="O3955" s="10">
        <f>Table1[[#This Row],[NET Amount]]-Table1[[#This Row],[Paid Amount]]</f>
        <v>1274</v>
      </c>
      <c r="P3955" s="2" t="s">
        <v>23</v>
      </c>
      <c r="Q3955" s="2" t="s">
        <v>54</v>
      </c>
      <c r="R3955" s="16">
        <f>(Table1[[#This Row],[NET Amount]]-Table1[[#This Row],[Total Outstanding Amount]])/Table1[[#This Row],[NET Amount]]</f>
        <v>0</v>
      </c>
      <c r="S3955" s="2" t="s">
        <v>97</v>
      </c>
    </row>
    <row r="3956" spans="1:19" x14ac:dyDescent="0.3">
      <c r="A3956" s="4">
        <v>3954</v>
      </c>
      <c r="B3956" s="2" t="s">
        <v>115</v>
      </c>
      <c r="C3956" s="3">
        <v>44846</v>
      </c>
      <c r="D3956" s="3" t="str">
        <f>TEXT(Table1[[#This Row],[Admission Date]],"MMMM")</f>
        <v>October</v>
      </c>
      <c r="E3956" s="3">
        <v>44846</v>
      </c>
      <c r="F3956" s="3">
        <v>44846</v>
      </c>
      <c r="G3956" s="2">
        <v>22026807</v>
      </c>
      <c r="H3956" s="2">
        <v>2235772</v>
      </c>
      <c r="I3956" s="2">
        <v>1001456152</v>
      </c>
      <c r="J3956" s="2" t="s">
        <v>404</v>
      </c>
      <c r="K3956" s="10">
        <v>2200</v>
      </c>
      <c r="L3956" s="10">
        <v>0</v>
      </c>
      <c r="M3956" s="10">
        <v>2200</v>
      </c>
      <c r="N3956" s="10">
        <v>0</v>
      </c>
      <c r="O3956" s="10">
        <f>Table1[[#This Row],[NET Amount]]-Table1[[#This Row],[Paid Amount]]</f>
        <v>2200</v>
      </c>
      <c r="P3956" s="2" t="s">
        <v>23</v>
      </c>
      <c r="Q3956" s="2" t="s">
        <v>147</v>
      </c>
      <c r="R3956" s="16">
        <f>(Table1[[#This Row],[NET Amount]]-Table1[[#This Row],[Total Outstanding Amount]])/Table1[[#This Row],[NET Amount]]</f>
        <v>0</v>
      </c>
      <c r="S3956" s="2" t="s">
        <v>97</v>
      </c>
    </row>
    <row r="3957" spans="1:19" x14ac:dyDescent="0.3">
      <c r="A3957" s="4">
        <v>3955</v>
      </c>
      <c r="B3957" s="2" t="s">
        <v>2257</v>
      </c>
      <c r="C3957" s="3">
        <v>44865</v>
      </c>
      <c r="D3957" s="3" t="str">
        <f>TEXT(Table1[[#This Row],[Admission Date]],"MMMM")</f>
        <v>October</v>
      </c>
      <c r="E3957" s="3">
        <v>44865</v>
      </c>
      <c r="F3957" s="3">
        <v>44865</v>
      </c>
      <c r="G3957" s="2">
        <v>22029375</v>
      </c>
      <c r="H3957" s="2">
        <v>2238189</v>
      </c>
      <c r="I3957" s="2">
        <v>1001802528</v>
      </c>
      <c r="J3957" s="2" t="s">
        <v>1231</v>
      </c>
      <c r="K3957" s="10">
        <v>23825</v>
      </c>
      <c r="L3957" s="10">
        <v>254</v>
      </c>
      <c r="M3957" s="10">
        <v>23571</v>
      </c>
      <c r="N3957" s="10">
        <v>0</v>
      </c>
      <c r="O3957" s="10">
        <f>Table1[[#This Row],[NET Amount]]-Table1[[#This Row],[Paid Amount]]</f>
        <v>23571</v>
      </c>
      <c r="P3957" s="2" t="s">
        <v>23</v>
      </c>
      <c r="Q3957" s="2" t="s">
        <v>52</v>
      </c>
      <c r="R3957" s="16">
        <f>(Table1[[#This Row],[NET Amount]]-Table1[[#This Row],[Total Outstanding Amount]])/Table1[[#This Row],[NET Amount]]</f>
        <v>0</v>
      </c>
      <c r="S3957" s="2" t="s">
        <v>43</v>
      </c>
    </row>
    <row r="3958" spans="1:19" x14ac:dyDescent="0.3">
      <c r="A3958" s="4">
        <v>3956</v>
      </c>
      <c r="B3958" s="2" t="s">
        <v>2263</v>
      </c>
      <c r="C3958" s="3">
        <v>44845</v>
      </c>
      <c r="D3958" s="3" t="str">
        <f>TEXT(Table1[[#This Row],[Admission Date]],"MMMM")</f>
        <v>October</v>
      </c>
      <c r="E3958" s="3">
        <v>44845</v>
      </c>
      <c r="F3958" s="3">
        <v>44845</v>
      </c>
      <c r="G3958" s="2">
        <v>22026635</v>
      </c>
      <c r="H3958" s="2">
        <v>2235558</v>
      </c>
      <c r="I3958" s="2">
        <v>1001711925</v>
      </c>
      <c r="J3958" s="2" t="s">
        <v>302</v>
      </c>
      <c r="K3958" s="10">
        <v>1274</v>
      </c>
      <c r="L3958" s="10">
        <v>0</v>
      </c>
      <c r="M3958" s="10">
        <v>1274</v>
      </c>
      <c r="N3958" s="10">
        <v>0</v>
      </c>
      <c r="O3958" s="10">
        <f>Table1[[#This Row],[NET Amount]]-Table1[[#This Row],[Paid Amount]]</f>
        <v>1274</v>
      </c>
      <c r="P3958" s="2" t="s">
        <v>23</v>
      </c>
      <c r="Q3958" s="2" t="s">
        <v>54</v>
      </c>
      <c r="R3958" s="16">
        <f>(Table1[[#This Row],[NET Amount]]-Table1[[#This Row],[Total Outstanding Amount]])/Table1[[#This Row],[NET Amount]]</f>
        <v>0</v>
      </c>
      <c r="S3958" s="2" t="s">
        <v>97</v>
      </c>
    </row>
    <row r="3959" spans="1:19" x14ac:dyDescent="0.3">
      <c r="A3959" s="4">
        <v>3957</v>
      </c>
      <c r="B3959" s="2" t="s">
        <v>380</v>
      </c>
      <c r="C3959" s="3">
        <v>44856</v>
      </c>
      <c r="D3959" s="3" t="str">
        <f>TEXT(Table1[[#This Row],[Admission Date]],"MMMM")</f>
        <v>October</v>
      </c>
      <c r="E3959" s="3">
        <v>44856</v>
      </c>
      <c r="F3959" s="3">
        <v>44856</v>
      </c>
      <c r="G3959" s="2">
        <v>22028294</v>
      </c>
      <c r="H3959" s="2">
        <v>2237090</v>
      </c>
      <c r="I3959" s="2">
        <v>10013528076</v>
      </c>
      <c r="J3959" s="2" t="s">
        <v>420</v>
      </c>
      <c r="K3959" s="10">
        <v>1274</v>
      </c>
      <c r="L3959" s="10">
        <v>0</v>
      </c>
      <c r="M3959" s="10">
        <v>1274</v>
      </c>
      <c r="N3959" s="10">
        <v>0</v>
      </c>
      <c r="O3959" s="10">
        <f>Table1[[#This Row],[NET Amount]]-Table1[[#This Row],[Paid Amount]]</f>
        <v>1274</v>
      </c>
      <c r="P3959" s="2" t="s">
        <v>23</v>
      </c>
      <c r="Q3959" s="2" t="s">
        <v>54</v>
      </c>
      <c r="R3959" s="16">
        <f>(Table1[[#This Row],[NET Amount]]-Table1[[#This Row],[Total Outstanding Amount]])/Table1[[#This Row],[NET Amount]]</f>
        <v>0</v>
      </c>
      <c r="S3959" s="2" t="s">
        <v>97</v>
      </c>
    </row>
    <row r="3960" spans="1:19" x14ac:dyDescent="0.3">
      <c r="A3960" s="4">
        <v>3958</v>
      </c>
      <c r="B3960" s="2" t="s">
        <v>380</v>
      </c>
      <c r="C3960" s="3">
        <v>44859</v>
      </c>
      <c r="D3960" s="3" t="str">
        <f>TEXT(Table1[[#This Row],[Admission Date]],"MMMM")</f>
        <v>October</v>
      </c>
      <c r="E3960" s="3">
        <v>44859</v>
      </c>
      <c r="F3960" s="3">
        <v>44859</v>
      </c>
      <c r="G3960" s="2">
        <v>22028548</v>
      </c>
      <c r="H3960" s="2">
        <v>2237370</v>
      </c>
      <c r="I3960" s="2">
        <v>10013276269</v>
      </c>
      <c r="J3960" s="2" t="s">
        <v>403</v>
      </c>
      <c r="K3960" s="10">
        <v>1274</v>
      </c>
      <c r="L3960" s="10">
        <v>0</v>
      </c>
      <c r="M3960" s="10">
        <v>1274</v>
      </c>
      <c r="N3960" s="10">
        <v>0</v>
      </c>
      <c r="O3960" s="10">
        <f>Table1[[#This Row],[NET Amount]]-Table1[[#This Row],[Paid Amount]]</f>
        <v>1274</v>
      </c>
      <c r="P3960" s="2" t="s">
        <v>23</v>
      </c>
      <c r="Q3960" s="2" t="s">
        <v>54</v>
      </c>
      <c r="R3960" s="16">
        <f>(Table1[[#This Row],[NET Amount]]-Table1[[#This Row],[Total Outstanding Amount]])/Table1[[#This Row],[NET Amount]]</f>
        <v>0</v>
      </c>
      <c r="S3960" s="2" t="s">
        <v>97</v>
      </c>
    </row>
    <row r="3961" spans="1:19" x14ac:dyDescent="0.3">
      <c r="A3961" s="4">
        <v>3959</v>
      </c>
      <c r="B3961" s="2" t="s">
        <v>2253</v>
      </c>
      <c r="C3961" s="3">
        <v>44839</v>
      </c>
      <c r="D3961" s="3" t="str">
        <f>TEXT(Table1[[#This Row],[Admission Date]],"MMMM")</f>
        <v>October</v>
      </c>
      <c r="E3961" s="3">
        <v>44839</v>
      </c>
      <c r="F3961" s="3">
        <v>44839</v>
      </c>
      <c r="G3961" s="2">
        <v>22025766</v>
      </c>
      <c r="H3961" s="2">
        <v>2234765</v>
      </c>
      <c r="I3961" s="2">
        <v>1001777526</v>
      </c>
      <c r="J3961" s="2" t="s">
        <v>411</v>
      </c>
      <c r="K3961" s="10">
        <v>1610</v>
      </c>
      <c r="L3961" s="10">
        <v>0</v>
      </c>
      <c r="M3961" s="10">
        <v>1610</v>
      </c>
      <c r="N3961" s="10">
        <v>0</v>
      </c>
      <c r="O3961" s="10">
        <f>Table1[[#This Row],[NET Amount]]-Table1[[#This Row],[Paid Amount]]</f>
        <v>1610</v>
      </c>
      <c r="P3961" s="2" t="s">
        <v>23</v>
      </c>
      <c r="Q3961" s="2" t="s">
        <v>54</v>
      </c>
      <c r="R3961" s="16">
        <f>(Table1[[#This Row],[NET Amount]]-Table1[[#This Row],[Total Outstanding Amount]])/Table1[[#This Row],[NET Amount]]</f>
        <v>0</v>
      </c>
      <c r="S3961" s="2" t="s">
        <v>97</v>
      </c>
    </row>
    <row r="3962" spans="1:19" x14ac:dyDescent="0.3">
      <c r="A3962" s="4">
        <v>3960</v>
      </c>
      <c r="B3962" s="2" t="s">
        <v>2282</v>
      </c>
      <c r="C3962" s="3">
        <v>44833</v>
      </c>
      <c r="D3962" s="3" t="str">
        <f>TEXT(Table1[[#This Row],[Admission Date]],"MMMM")</f>
        <v>September</v>
      </c>
      <c r="E3962" s="3">
        <v>44837</v>
      </c>
      <c r="F3962" s="3">
        <v>44837</v>
      </c>
      <c r="G3962" s="2">
        <v>22025418</v>
      </c>
      <c r="H3962" s="2">
        <v>2233898</v>
      </c>
      <c r="I3962" s="2">
        <v>1000845661</v>
      </c>
      <c r="J3962" s="2" t="s">
        <v>2212</v>
      </c>
      <c r="K3962" s="10">
        <v>29219</v>
      </c>
      <c r="L3962" s="10">
        <v>0</v>
      </c>
      <c r="M3962" s="10">
        <v>29219</v>
      </c>
      <c r="N3962" s="10">
        <v>0</v>
      </c>
      <c r="O3962" s="10">
        <f>Table1[[#This Row],[NET Amount]]-Table1[[#This Row],[Paid Amount]]</f>
        <v>29219</v>
      </c>
      <c r="P3962" s="2" t="s">
        <v>23</v>
      </c>
      <c r="Q3962" s="2" t="s">
        <v>19</v>
      </c>
      <c r="R3962" s="16">
        <f>(Table1[[#This Row],[NET Amount]]-Table1[[#This Row],[Total Outstanding Amount]])/Table1[[#This Row],[NET Amount]]</f>
        <v>0</v>
      </c>
      <c r="S3962" s="2" t="s">
        <v>20</v>
      </c>
    </row>
    <row r="3963" spans="1:19" x14ac:dyDescent="0.3">
      <c r="A3963" s="4">
        <v>3961</v>
      </c>
      <c r="B3963" s="2" t="s">
        <v>149</v>
      </c>
      <c r="C3963" s="3">
        <v>44849</v>
      </c>
      <c r="D3963" s="3" t="str">
        <f>TEXT(Table1[[#This Row],[Admission Date]],"MMMM")</f>
        <v>October</v>
      </c>
      <c r="E3963" s="3">
        <v>44855</v>
      </c>
      <c r="F3963" s="3">
        <v>44855</v>
      </c>
      <c r="G3963" s="2">
        <v>22028090</v>
      </c>
      <c r="H3963" s="2">
        <v>2236211</v>
      </c>
      <c r="I3963" s="2">
        <v>1001141022</v>
      </c>
      <c r="J3963" s="2" t="s">
        <v>2213</v>
      </c>
      <c r="K3963" s="10">
        <v>126905</v>
      </c>
      <c r="L3963" s="10">
        <v>8807</v>
      </c>
      <c r="M3963" s="10">
        <v>118098</v>
      </c>
      <c r="N3963" s="10">
        <v>0</v>
      </c>
      <c r="O3963" s="10">
        <f>Table1[[#This Row],[NET Amount]]-Table1[[#This Row],[Paid Amount]]</f>
        <v>118098</v>
      </c>
      <c r="P3963" s="2" t="s">
        <v>23</v>
      </c>
      <c r="Q3963" s="2" t="s">
        <v>104</v>
      </c>
      <c r="R3963" s="16">
        <f>(Table1[[#This Row],[NET Amount]]-Table1[[#This Row],[Total Outstanding Amount]])/Table1[[#This Row],[NET Amount]]</f>
        <v>0</v>
      </c>
      <c r="S3963" s="2" t="s">
        <v>20</v>
      </c>
    </row>
    <row r="3964" spans="1:19" x14ac:dyDescent="0.3">
      <c r="A3964" s="4">
        <v>3962</v>
      </c>
      <c r="B3964" s="2" t="s">
        <v>380</v>
      </c>
      <c r="C3964" s="3">
        <v>44835</v>
      </c>
      <c r="D3964" s="3" t="str">
        <f>TEXT(Table1[[#This Row],[Admission Date]],"MMMM")</f>
        <v>October</v>
      </c>
      <c r="E3964" s="3">
        <v>44835</v>
      </c>
      <c r="F3964" s="3">
        <v>44835</v>
      </c>
      <c r="G3964" s="2">
        <v>22025255</v>
      </c>
      <c r="H3964" s="2">
        <v>2234279</v>
      </c>
      <c r="I3964" s="2">
        <v>10013516483</v>
      </c>
      <c r="J3964" s="2" t="s">
        <v>812</v>
      </c>
      <c r="K3964" s="10">
        <v>1274</v>
      </c>
      <c r="L3964" s="10">
        <v>0</v>
      </c>
      <c r="M3964" s="10">
        <v>1274</v>
      </c>
      <c r="N3964" s="10">
        <v>0</v>
      </c>
      <c r="O3964" s="10">
        <f>Table1[[#This Row],[NET Amount]]-Table1[[#This Row],[Paid Amount]]</f>
        <v>1274</v>
      </c>
      <c r="P3964" s="2" t="s">
        <v>23</v>
      </c>
      <c r="Q3964" s="2" t="s">
        <v>54</v>
      </c>
      <c r="R3964" s="16">
        <f>(Table1[[#This Row],[NET Amount]]-Table1[[#This Row],[Total Outstanding Amount]])/Table1[[#This Row],[NET Amount]]</f>
        <v>0</v>
      </c>
      <c r="S3964" s="2" t="s">
        <v>97</v>
      </c>
    </row>
    <row r="3965" spans="1:19" x14ac:dyDescent="0.3">
      <c r="A3965" s="4">
        <v>3963</v>
      </c>
      <c r="B3965" s="2" t="s">
        <v>2271</v>
      </c>
      <c r="C3965" s="3">
        <v>44858</v>
      </c>
      <c r="D3965" s="3" t="str">
        <f>TEXT(Table1[[#This Row],[Admission Date]],"MMMM")</f>
        <v>October</v>
      </c>
      <c r="E3965" s="3">
        <v>44858</v>
      </c>
      <c r="F3965" s="3">
        <v>44858</v>
      </c>
      <c r="G3965" s="2">
        <v>22028420</v>
      </c>
      <c r="H3965" s="2">
        <v>2237211</v>
      </c>
      <c r="I3965" s="2">
        <v>1001729640</v>
      </c>
      <c r="J3965" s="2" t="s">
        <v>470</v>
      </c>
      <c r="K3965" s="10">
        <v>1610</v>
      </c>
      <c r="L3965" s="10">
        <v>0</v>
      </c>
      <c r="M3965" s="10">
        <v>1610</v>
      </c>
      <c r="N3965" s="10">
        <v>0</v>
      </c>
      <c r="O3965" s="10">
        <f>Table1[[#This Row],[NET Amount]]-Table1[[#This Row],[Paid Amount]]</f>
        <v>1610</v>
      </c>
      <c r="P3965" s="2" t="s">
        <v>23</v>
      </c>
      <c r="Q3965" s="2" t="s">
        <v>54</v>
      </c>
      <c r="R3965" s="16">
        <f>(Table1[[#This Row],[NET Amount]]-Table1[[#This Row],[Total Outstanding Amount]])/Table1[[#This Row],[NET Amount]]</f>
        <v>0</v>
      </c>
      <c r="S3965" s="2" t="s">
        <v>97</v>
      </c>
    </row>
    <row r="3966" spans="1:19" x14ac:dyDescent="0.3">
      <c r="A3966" s="4">
        <v>3964</v>
      </c>
      <c r="B3966" s="2" t="s">
        <v>380</v>
      </c>
      <c r="C3966" s="3">
        <v>44851</v>
      </c>
      <c r="D3966" s="3" t="str">
        <f>TEXT(Table1[[#This Row],[Admission Date]],"MMMM")</f>
        <v>October</v>
      </c>
      <c r="E3966" s="3">
        <v>44851</v>
      </c>
      <c r="F3966" s="3">
        <v>44851</v>
      </c>
      <c r="G3966" s="2">
        <v>22027509</v>
      </c>
      <c r="H3966" s="2">
        <v>2236412</v>
      </c>
      <c r="I3966" s="2">
        <v>10013223537</v>
      </c>
      <c r="J3966" s="2" t="s">
        <v>382</v>
      </c>
      <c r="K3966" s="10">
        <v>1274</v>
      </c>
      <c r="L3966" s="10">
        <v>0</v>
      </c>
      <c r="M3966" s="10">
        <v>1274</v>
      </c>
      <c r="N3966" s="10">
        <v>0</v>
      </c>
      <c r="O3966" s="10">
        <f>Table1[[#This Row],[NET Amount]]-Table1[[#This Row],[Paid Amount]]</f>
        <v>1274</v>
      </c>
      <c r="P3966" s="2" t="s">
        <v>23</v>
      </c>
      <c r="Q3966" s="2" t="s">
        <v>54</v>
      </c>
      <c r="R3966" s="16">
        <f>(Table1[[#This Row],[NET Amount]]-Table1[[#This Row],[Total Outstanding Amount]])/Table1[[#This Row],[NET Amount]]</f>
        <v>0</v>
      </c>
      <c r="S3966" s="2" t="s">
        <v>97</v>
      </c>
    </row>
    <row r="3967" spans="1:19" x14ac:dyDescent="0.3">
      <c r="A3967" s="4">
        <v>3965</v>
      </c>
      <c r="B3967" s="2" t="s">
        <v>2263</v>
      </c>
      <c r="C3967" s="3">
        <v>44854</v>
      </c>
      <c r="D3967" s="3" t="str">
        <f>TEXT(Table1[[#This Row],[Admission Date]],"MMMM")</f>
        <v>October</v>
      </c>
      <c r="E3967" s="3">
        <v>44854</v>
      </c>
      <c r="F3967" s="3">
        <v>44854</v>
      </c>
      <c r="G3967" s="2">
        <v>22027815</v>
      </c>
      <c r="H3967" s="2">
        <v>2236731</v>
      </c>
      <c r="I3967" s="2">
        <v>1001712791</v>
      </c>
      <c r="J3967" s="2" t="s">
        <v>450</v>
      </c>
      <c r="K3967" s="10">
        <v>1274</v>
      </c>
      <c r="L3967" s="10">
        <v>0</v>
      </c>
      <c r="M3967" s="10">
        <v>1274</v>
      </c>
      <c r="N3967" s="10">
        <v>0</v>
      </c>
      <c r="O3967" s="10">
        <f>Table1[[#This Row],[NET Amount]]-Table1[[#This Row],[Paid Amount]]</f>
        <v>1274</v>
      </c>
      <c r="P3967" s="2" t="s">
        <v>23</v>
      </c>
      <c r="Q3967" s="2" t="s">
        <v>54</v>
      </c>
      <c r="R3967" s="16">
        <f>(Table1[[#This Row],[NET Amount]]-Table1[[#This Row],[Total Outstanding Amount]])/Table1[[#This Row],[NET Amount]]</f>
        <v>0</v>
      </c>
      <c r="S3967" s="2" t="s">
        <v>97</v>
      </c>
    </row>
    <row r="3968" spans="1:19" x14ac:dyDescent="0.3">
      <c r="A3968" s="4">
        <v>3966</v>
      </c>
      <c r="B3968" s="2" t="s">
        <v>2263</v>
      </c>
      <c r="C3968" s="3">
        <v>44854</v>
      </c>
      <c r="D3968" s="3" t="str">
        <f>TEXT(Table1[[#This Row],[Admission Date]],"MMMM")</f>
        <v>October</v>
      </c>
      <c r="E3968" s="3">
        <v>44854</v>
      </c>
      <c r="F3968" s="3">
        <v>44854</v>
      </c>
      <c r="G3968" s="2">
        <v>22027927</v>
      </c>
      <c r="H3968" s="2">
        <v>2236797</v>
      </c>
      <c r="I3968" s="2">
        <v>1001677731</v>
      </c>
      <c r="J3968" s="2" t="s">
        <v>397</v>
      </c>
      <c r="K3968" s="10">
        <v>1274</v>
      </c>
      <c r="L3968" s="10">
        <v>0</v>
      </c>
      <c r="M3968" s="10">
        <v>1274</v>
      </c>
      <c r="N3968" s="10">
        <v>0</v>
      </c>
      <c r="O3968" s="10">
        <f>Table1[[#This Row],[NET Amount]]-Table1[[#This Row],[Paid Amount]]</f>
        <v>1274</v>
      </c>
      <c r="P3968" s="2" t="s">
        <v>23</v>
      </c>
      <c r="Q3968" s="2" t="s">
        <v>54</v>
      </c>
      <c r="R3968" s="16">
        <f>(Table1[[#This Row],[NET Amount]]-Table1[[#This Row],[Total Outstanding Amount]])/Table1[[#This Row],[NET Amount]]</f>
        <v>0</v>
      </c>
      <c r="S3968" s="2" t="s">
        <v>97</v>
      </c>
    </row>
    <row r="3969" spans="1:19" x14ac:dyDescent="0.3">
      <c r="A3969" s="4">
        <v>3967</v>
      </c>
      <c r="B3969" s="2" t="s">
        <v>259</v>
      </c>
      <c r="C3969" s="3">
        <v>44862</v>
      </c>
      <c r="D3969" s="3" t="str">
        <f>TEXT(Table1[[#This Row],[Admission Date]],"MMMM")</f>
        <v>October</v>
      </c>
      <c r="E3969" s="3">
        <v>44865</v>
      </c>
      <c r="F3969" s="3">
        <v>44865</v>
      </c>
      <c r="G3969" s="2">
        <v>22029373</v>
      </c>
      <c r="H3969" s="2">
        <v>2237834</v>
      </c>
      <c r="I3969" s="2">
        <v>10013446270</v>
      </c>
      <c r="J3969" s="2" t="s">
        <v>2214</v>
      </c>
      <c r="K3969" s="10">
        <v>110628</v>
      </c>
      <c r="L3969" s="10">
        <v>7390</v>
      </c>
      <c r="M3969" s="10">
        <v>103238</v>
      </c>
      <c r="N3969" s="10">
        <v>0</v>
      </c>
      <c r="O3969" s="10">
        <f>Table1[[#This Row],[NET Amount]]-Table1[[#This Row],[Paid Amount]]</f>
        <v>103238</v>
      </c>
      <c r="P3969" s="2" t="s">
        <v>23</v>
      </c>
      <c r="Q3969" s="2" t="s">
        <v>30</v>
      </c>
      <c r="R3969" s="16">
        <f>(Table1[[#This Row],[NET Amount]]-Table1[[#This Row],[Total Outstanding Amount]])/Table1[[#This Row],[NET Amount]]</f>
        <v>0</v>
      </c>
      <c r="S3969" s="2" t="s">
        <v>77</v>
      </c>
    </row>
    <row r="3970" spans="1:19" x14ac:dyDescent="0.3">
      <c r="A3970" s="4">
        <v>3968</v>
      </c>
      <c r="B3970" s="2" t="s">
        <v>2253</v>
      </c>
      <c r="C3970" s="3">
        <v>44838</v>
      </c>
      <c r="D3970" s="3" t="str">
        <f>TEXT(Table1[[#This Row],[Admission Date]],"MMMM")</f>
        <v>October</v>
      </c>
      <c r="E3970" s="3">
        <v>44838</v>
      </c>
      <c r="F3970" s="3">
        <v>44838</v>
      </c>
      <c r="G3970" s="2">
        <v>22025560</v>
      </c>
      <c r="H3970" s="2">
        <v>2234566</v>
      </c>
      <c r="I3970" s="2">
        <v>1001681903</v>
      </c>
      <c r="J3970" s="2" t="s">
        <v>471</v>
      </c>
      <c r="K3970" s="10">
        <v>1610</v>
      </c>
      <c r="L3970" s="10">
        <v>0</v>
      </c>
      <c r="M3970" s="10">
        <v>1610</v>
      </c>
      <c r="N3970" s="10">
        <v>0</v>
      </c>
      <c r="O3970" s="10">
        <f>Table1[[#This Row],[NET Amount]]-Table1[[#This Row],[Paid Amount]]</f>
        <v>1610</v>
      </c>
      <c r="P3970" s="2" t="s">
        <v>23</v>
      </c>
      <c r="Q3970" s="2" t="s">
        <v>54</v>
      </c>
      <c r="R3970" s="16">
        <f>(Table1[[#This Row],[NET Amount]]-Table1[[#This Row],[Total Outstanding Amount]])/Table1[[#This Row],[NET Amount]]</f>
        <v>0</v>
      </c>
      <c r="S3970" s="2" t="s">
        <v>97</v>
      </c>
    </row>
    <row r="3971" spans="1:19" x14ac:dyDescent="0.3">
      <c r="A3971" s="4">
        <v>3969</v>
      </c>
      <c r="B3971" s="2" t="s">
        <v>75</v>
      </c>
      <c r="C3971" s="3">
        <v>44835</v>
      </c>
      <c r="D3971" s="3" t="str">
        <f>TEXT(Table1[[#This Row],[Admission Date]],"MMMM")</f>
        <v>October</v>
      </c>
      <c r="E3971" s="3">
        <v>44835</v>
      </c>
      <c r="F3971" s="3">
        <v>44835</v>
      </c>
      <c r="G3971" s="2">
        <v>22025226</v>
      </c>
      <c r="H3971" s="2">
        <v>2234219</v>
      </c>
      <c r="I3971" s="2">
        <v>10013539580</v>
      </c>
      <c r="J3971" s="2" t="s">
        <v>2215</v>
      </c>
      <c r="K3971" s="10">
        <v>11903</v>
      </c>
      <c r="L3971" s="10">
        <v>0</v>
      </c>
      <c r="M3971" s="10">
        <v>11903</v>
      </c>
      <c r="N3971" s="10">
        <v>0</v>
      </c>
      <c r="O3971" s="10">
        <f>Table1[[#This Row],[NET Amount]]-Table1[[#This Row],[Paid Amount]]</f>
        <v>11903</v>
      </c>
      <c r="P3971" s="2" t="s">
        <v>23</v>
      </c>
      <c r="Q3971" s="2" t="s">
        <v>24</v>
      </c>
      <c r="R3971" s="16">
        <f>(Table1[[#This Row],[NET Amount]]-Table1[[#This Row],[Total Outstanding Amount]])/Table1[[#This Row],[NET Amount]]</f>
        <v>0</v>
      </c>
      <c r="S3971" s="2" t="s">
        <v>39</v>
      </c>
    </row>
    <row r="3972" spans="1:19" x14ac:dyDescent="0.3">
      <c r="A3972" s="4">
        <v>3970</v>
      </c>
      <c r="B3972" s="2" t="s">
        <v>380</v>
      </c>
      <c r="C3972" s="3">
        <v>44842</v>
      </c>
      <c r="D3972" s="3" t="str">
        <f>TEXT(Table1[[#This Row],[Admission Date]],"MMMM")</f>
        <v>October</v>
      </c>
      <c r="E3972" s="3">
        <v>44842</v>
      </c>
      <c r="F3972" s="3">
        <v>44842</v>
      </c>
      <c r="G3972" s="2">
        <v>22026230</v>
      </c>
      <c r="H3972" s="2">
        <v>2235236</v>
      </c>
      <c r="I3972" s="2">
        <v>1001188488</v>
      </c>
      <c r="J3972" s="2" t="s">
        <v>297</v>
      </c>
      <c r="K3972" s="10">
        <v>1274</v>
      </c>
      <c r="L3972" s="10">
        <v>0</v>
      </c>
      <c r="M3972" s="10">
        <v>1274</v>
      </c>
      <c r="N3972" s="10">
        <v>0</v>
      </c>
      <c r="O3972" s="10">
        <f>Table1[[#This Row],[NET Amount]]-Table1[[#This Row],[Paid Amount]]</f>
        <v>1274</v>
      </c>
      <c r="P3972" s="2" t="s">
        <v>23</v>
      </c>
      <c r="Q3972" s="2" t="s">
        <v>54</v>
      </c>
      <c r="R3972" s="16">
        <f>(Table1[[#This Row],[NET Amount]]-Table1[[#This Row],[Total Outstanding Amount]])/Table1[[#This Row],[NET Amount]]</f>
        <v>0</v>
      </c>
      <c r="S3972" s="2" t="s">
        <v>97</v>
      </c>
    </row>
    <row r="3973" spans="1:19" x14ac:dyDescent="0.3">
      <c r="A3973" s="4">
        <v>3971</v>
      </c>
      <c r="B3973" s="2" t="s">
        <v>380</v>
      </c>
      <c r="C3973" s="3">
        <v>44846</v>
      </c>
      <c r="D3973" s="3" t="str">
        <f>TEXT(Table1[[#This Row],[Admission Date]],"MMMM")</f>
        <v>October</v>
      </c>
      <c r="E3973" s="3">
        <v>44846</v>
      </c>
      <c r="F3973" s="3">
        <v>44846</v>
      </c>
      <c r="G3973" s="2">
        <v>22026783</v>
      </c>
      <c r="H3973" s="2">
        <v>2235738</v>
      </c>
      <c r="I3973" s="2">
        <v>10013276269</v>
      </c>
      <c r="J3973" s="2" t="s">
        <v>403</v>
      </c>
      <c r="K3973" s="10">
        <v>1274</v>
      </c>
      <c r="L3973" s="10">
        <v>0</v>
      </c>
      <c r="M3973" s="10">
        <v>1274</v>
      </c>
      <c r="N3973" s="10">
        <v>0</v>
      </c>
      <c r="O3973" s="10">
        <f>Table1[[#This Row],[NET Amount]]-Table1[[#This Row],[Paid Amount]]</f>
        <v>1274</v>
      </c>
      <c r="P3973" s="2" t="s">
        <v>23</v>
      </c>
      <c r="Q3973" s="2" t="s">
        <v>54</v>
      </c>
      <c r="R3973" s="16">
        <f>(Table1[[#This Row],[NET Amount]]-Table1[[#This Row],[Total Outstanding Amount]])/Table1[[#This Row],[NET Amount]]</f>
        <v>0</v>
      </c>
      <c r="S3973" s="2" t="s">
        <v>97</v>
      </c>
    </row>
    <row r="3974" spans="1:19" x14ac:dyDescent="0.3">
      <c r="A3974" s="4">
        <v>3972</v>
      </c>
      <c r="B3974" s="2" t="s">
        <v>149</v>
      </c>
      <c r="C3974" s="3">
        <v>44838</v>
      </c>
      <c r="D3974" s="3" t="str">
        <f>TEXT(Table1[[#This Row],[Admission Date]],"MMMM")</f>
        <v>October</v>
      </c>
      <c r="E3974" s="3">
        <v>44838</v>
      </c>
      <c r="F3974" s="3">
        <v>44838</v>
      </c>
      <c r="G3974" s="2">
        <v>22025483</v>
      </c>
      <c r="H3974" s="2">
        <v>2234517</v>
      </c>
      <c r="I3974" s="2">
        <v>10013477952</v>
      </c>
      <c r="J3974" s="2" t="s">
        <v>781</v>
      </c>
      <c r="K3974" s="10">
        <v>2240</v>
      </c>
      <c r="L3974" s="10">
        <v>0</v>
      </c>
      <c r="M3974" s="10">
        <v>2240</v>
      </c>
      <c r="N3974" s="10">
        <v>0</v>
      </c>
      <c r="O3974" s="10">
        <f>Table1[[#This Row],[NET Amount]]-Table1[[#This Row],[Paid Amount]]</f>
        <v>2240</v>
      </c>
      <c r="P3974" s="2" t="s">
        <v>23</v>
      </c>
      <c r="Q3974" s="2" t="s">
        <v>54</v>
      </c>
      <c r="R3974" s="16">
        <f>(Table1[[#This Row],[NET Amount]]-Table1[[#This Row],[Total Outstanding Amount]])/Table1[[#This Row],[NET Amount]]</f>
        <v>0</v>
      </c>
      <c r="S3974" s="2" t="s">
        <v>97</v>
      </c>
    </row>
    <row r="3975" spans="1:19" x14ac:dyDescent="0.3">
      <c r="A3975" s="4">
        <v>3973</v>
      </c>
      <c r="B3975" s="2" t="s">
        <v>2263</v>
      </c>
      <c r="C3975" s="3">
        <v>44848</v>
      </c>
      <c r="D3975" s="3" t="str">
        <f>TEXT(Table1[[#This Row],[Admission Date]],"MMMM")</f>
        <v>October</v>
      </c>
      <c r="E3975" s="3">
        <v>44848</v>
      </c>
      <c r="F3975" s="3">
        <v>44848</v>
      </c>
      <c r="G3975" s="2">
        <v>22026974</v>
      </c>
      <c r="H3975" s="2">
        <v>2235921</v>
      </c>
      <c r="I3975" s="2">
        <v>1001751950</v>
      </c>
      <c r="J3975" s="2" t="s">
        <v>786</v>
      </c>
      <c r="K3975" s="10">
        <v>1274</v>
      </c>
      <c r="L3975" s="10">
        <v>0</v>
      </c>
      <c r="M3975" s="10">
        <v>1274</v>
      </c>
      <c r="N3975" s="10">
        <v>0</v>
      </c>
      <c r="O3975" s="10">
        <f>Table1[[#This Row],[NET Amount]]-Table1[[#This Row],[Paid Amount]]</f>
        <v>1274</v>
      </c>
      <c r="P3975" s="2" t="s">
        <v>23</v>
      </c>
      <c r="Q3975" s="2" t="s">
        <v>54</v>
      </c>
      <c r="R3975" s="16">
        <f>(Table1[[#This Row],[NET Amount]]-Table1[[#This Row],[Total Outstanding Amount]])/Table1[[#This Row],[NET Amount]]</f>
        <v>0</v>
      </c>
      <c r="S3975" s="2" t="s">
        <v>97</v>
      </c>
    </row>
    <row r="3976" spans="1:19" x14ac:dyDescent="0.3">
      <c r="A3976" s="4">
        <v>3974</v>
      </c>
      <c r="B3976" s="2" t="s">
        <v>2263</v>
      </c>
      <c r="C3976" s="3">
        <v>44838</v>
      </c>
      <c r="D3976" s="3" t="str">
        <f>TEXT(Table1[[#This Row],[Admission Date]],"MMMM")</f>
        <v>October</v>
      </c>
      <c r="E3976" s="3">
        <v>44838</v>
      </c>
      <c r="F3976" s="3">
        <v>44838</v>
      </c>
      <c r="G3976" s="2">
        <v>22025603</v>
      </c>
      <c r="H3976" s="2">
        <v>2234603</v>
      </c>
      <c r="I3976" s="2">
        <v>1001527101</v>
      </c>
      <c r="J3976" s="2" t="s">
        <v>795</v>
      </c>
      <c r="K3976" s="10">
        <v>1274</v>
      </c>
      <c r="L3976" s="10">
        <v>0</v>
      </c>
      <c r="M3976" s="10">
        <v>1274</v>
      </c>
      <c r="N3976" s="10">
        <v>0</v>
      </c>
      <c r="O3976" s="10">
        <f>Table1[[#This Row],[NET Amount]]-Table1[[#This Row],[Paid Amount]]</f>
        <v>1274</v>
      </c>
      <c r="P3976" s="2" t="s">
        <v>23</v>
      </c>
      <c r="Q3976" s="2" t="s">
        <v>54</v>
      </c>
      <c r="R3976" s="16">
        <f>(Table1[[#This Row],[NET Amount]]-Table1[[#This Row],[Total Outstanding Amount]])/Table1[[#This Row],[NET Amount]]</f>
        <v>0</v>
      </c>
      <c r="S3976" s="2" t="s">
        <v>97</v>
      </c>
    </row>
    <row r="3977" spans="1:19" x14ac:dyDescent="0.3">
      <c r="A3977" s="4">
        <v>3975</v>
      </c>
      <c r="B3977" s="2" t="s">
        <v>380</v>
      </c>
      <c r="C3977" s="3">
        <v>44865</v>
      </c>
      <c r="D3977" s="3" t="str">
        <f>TEXT(Table1[[#This Row],[Admission Date]],"MMMM")</f>
        <v>October</v>
      </c>
      <c r="E3977" s="3">
        <v>44865</v>
      </c>
      <c r="F3977" s="3">
        <v>44865</v>
      </c>
      <c r="G3977" s="2">
        <v>22029382</v>
      </c>
      <c r="H3977" s="2">
        <v>2238253</v>
      </c>
      <c r="I3977" s="2">
        <v>1000961855</v>
      </c>
      <c r="J3977" s="2" t="s">
        <v>439</v>
      </c>
      <c r="K3977" s="10">
        <v>1274</v>
      </c>
      <c r="L3977" s="10">
        <v>0</v>
      </c>
      <c r="M3977" s="10">
        <v>1274</v>
      </c>
      <c r="N3977" s="10">
        <v>0</v>
      </c>
      <c r="O3977" s="10">
        <f>Table1[[#This Row],[NET Amount]]-Table1[[#This Row],[Paid Amount]]</f>
        <v>1274</v>
      </c>
      <c r="P3977" s="2" t="s">
        <v>23</v>
      </c>
      <c r="Q3977" s="2" t="s">
        <v>54</v>
      </c>
      <c r="R3977" s="16">
        <f>(Table1[[#This Row],[NET Amount]]-Table1[[#This Row],[Total Outstanding Amount]])/Table1[[#This Row],[NET Amount]]</f>
        <v>0</v>
      </c>
      <c r="S3977" s="2" t="s">
        <v>97</v>
      </c>
    </row>
    <row r="3978" spans="1:19" x14ac:dyDescent="0.3">
      <c r="A3978" s="4">
        <v>3976</v>
      </c>
      <c r="B3978" s="2" t="s">
        <v>380</v>
      </c>
      <c r="C3978" s="3">
        <v>44835</v>
      </c>
      <c r="D3978" s="3" t="str">
        <f>TEXT(Table1[[#This Row],[Admission Date]],"MMMM")</f>
        <v>October</v>
      </c>
      <c r="E3978" s="3">
        <v>44835</v>
      </c>
      <c r="F3978" s="3">
        <v>44835</v>
      </c>
      <c r="G3978" s="2">
        <v>22025246</v>
      </c>
      <c r="H3978" s="2">
        <v>2234259</v>
      </c>
      <c r="I3978" s="2">
        <v>10013276269</v>
      </c>
      <c r="J3978" s="2" t="s">
        <v>403</v>
      </c>
      <c r="K3978" s="10">
        <v>1274</v>
      </c>
      <c r="L3978" s="10">
        <v>0</v>
      </c>
      <c r="M3978" s="10">
        <v>1274</v>
      </c>
      <c r="N3978" s="10">
        <v>0</v>
      </c>
      <c r="O3978" s="10">
        <f>Table1[[#This Row],[NET Amount]]-Table1[[#This Row],[Paid Amount]]</f>
        <v>1274</v>
      </c>
      <c r="P3978" s="2" t="s">
        <v>23</v>
      </c>
      <c r="Q3978" s="2" t="s">
        <v>54</v>
      </c>
      <c r="R3978" s="16">
        <f>(Table1[[#This Row],[NET Amount]]-Table1[[#This Row],[Total Outstanding Amount]])/Table1[[#This Row],[NET Amount]]</f>
        <v>0</v>
      </c>
      <c r="S3978" s="2" t="s">
        <v>97</v>
      </c>
    </row>
    <row r="3979" spans="1:19" x14ac:dyDescent="0.3">
      <c r="A3979" s="4">
        <v>3977</v>
      </c>
      <c r="B3979" s="2" t="s">
        <v>380</v>
      </c>
      <c r="C3979" s="3">
        <v>44841</v>
      </c>
      <c r="D3979" s="3" t="str">
        <f>TEXT(Table1[[#This Row],[Admission Date]],"MMMM")</f>
        <v>October</v>
      </c>
      <c r="E3979" s="3">
        <v>44841</v>
      </c>
      <c r="F3979" s="3">
        <v>44841</v>
      </c>
      <c r="G3979" s="2">
        <v>22026035</v>
      </c>
      <c r="H3979" s="2">
        <v>2235057</v>
      </c>
      <c r="I3979" s="2">
        <v>1001039513</v>
      </c>
      <c r="J3979" s="2" t="s">
        <v>444</v>
      </c>
      <c r="K3979" s="10">
        <v>1274</v>
      </c>
      <c r="L3979" s="10">
        <v>0</v>
      </c>
      <c r="M3979" s="10">
        <v>1274</v>
      </c>
      <c r="N3979" s="10">
        <v>0</v>
      </c>
      <c r="O3979" s="10">
        <f>Table1[[#This Row],[NET Amount]]-Table1[[#This Row],[Paid Amount]]</f>
        <v>1274</v>
      </c>
      <c r="P3979" s="2" t="s">
        <v>23</v>
      </c>
      <c r="Q3979" s="2" t="s">
        <v>54</v>
      </c>
      <c r="R3979" s="16">
        <f>(Table1[[#This Row],[NET Amount]]-Table1[[#This Row],[Total Outstanding Amount]])/Table1[[#This Row],[NET Amount]]</f>
        <v>0</v>
      </c>
      <c r="S3979" s="2" t="s">
        <v>97</v>
      </c>
    </row>
    <row r="3980" spans="1:19" x14ac:dyDescent="0.3">
      <c r="A3980" s="4">
        <v>3978</v>
      </c>
      <c r="B3980" s="2" t="s">
        <v>45</v>
      </c>
      <c r="C3980" s="3">
        <v>44848</v>
      </c>
      <c r="D3980" s="3" t="str">
        <f>TEXT(Table1[[#This Row],[Admission Date]],"MMMM")</f>
        <v>October</v>
      </c>
      <c r="E3980" s="3">
        <v>44848</v>
      </c>
      <c r="F3980" s="3">
        <v>44848</v>
      </c>
      <c r="G3980" s="2">
        <v>22026969</v>
      </c>
      <c r="H3980" s="2">
        <v>2235916</v>
      </c>
      <c r="I3980" s="2">
        <v>1000992104</v>
      </c>
      <c r="J3980" s="2" t="s">
        <v>1062</v>
      </c>
      <c r="K3980" s="10">
        <v>2200</v>
      </c>
      <c r="L3980" s="10">
        <v>0</v>
      </c>
      <c r="M3980" s="10">
        <v>2200</v>
      </c>
      <c r="N3980" s="10">
        <v>0</v>
      </c>
      <c r="O3980" s="10">
        <f>Table1[[#This Row],[NET Amount]]-Table1[[#This Row],[Paid Amount]]</f>
        <v>2200</v>
      </c>
      <c r="P3980" s="2" t="s">
        <v>23</v>
      </c>
      <c r="Q3980" s="2" t="s">
        <v>147</v>
      </c>
      <c r="R3980" s="16">
        <f>(Table1[[#This Row],[NET Amount]]-Table1[[#This Row],[Total Outstanding Amount]])/Table1[[#This Row],[NET Amount]]</f>
        <v>0</v>
      </c>
      <c r="S3980" s="2" t="s">
        <v>97</v>
      </c>
    </row>
    <row r="3981" spans="1:19" x14ac:dyDescent="0.3">
      <c r="A3981" s="4">
        <v>3979</v>
      </c>
      <c r="B3981" s="2" t="s">
        <v>2263</v>
      </c>
      <c r="C3981" s="3">
        <v>44838</v>
      </c>
      <c r="D3981" s="3" t="str">
        <f>TEXT(Table1[[#This Row],[Admission Date]],"MMMM")</f>
        <v>October</v>
      </c>
      <c r="E3981" s="3">
        <v>44838</v>
      </c>
      <c r="F3981" s="3">
        <v>44838</v>
      </c>
      <c r="G3981" s="2">
        <v>22025600</v>
      </c>
      <c r="H3981" s="2">
        <v>2234600</v>
      </c>
      <c r="I3981" s="2">
        <v>1001686545</v>
      </c>
      <c r="J3981" s="2" t="s">
        <v>425</v>
      </c>
      <c r="K3981" s="10">
        <v>1274</v>
      </c>
      <c r="L3981" s="10">
        <v>0</v>
      </c>
      <c r="M3981" s="10">
        <v>1274</v>
      </c>
      <c r="N3981" s="10">
        <v>0</v>
      </c>
      <c r="O3981" s="10">
        <f>Table1[[#This Row],[NET Amount]]-Table1[[#This Row],[Paid Amount]]</f>
        <v>1274</v>
      </c>
      <c r="P3981" s="2" t="s">
        <v>23</v>
      </c>
      <c r="Q3981" s="2" t="s">
        <v>54</v>
      </c>
      <c r="R3981" s="16">
        <f>(Table1[[#This Row],[NET Amount]]-Table1[[#This Row],[Total Outstanding Amount]])/Table1[[#This Row],[NET Amount]]</f>
        <v>0</v>
      </c>
      <c r="S3981" s="2" t="s">
        <v>97</v>
      </c>
    </row>
    <row r="3982" spans="1:19" x14ac:dyDescent="0.3">
      <c r="A3982" s="4">
        <v>3980</v>
      </c>
      <c r="B3982" s="2" t="s">
        <v>2253</v>
      </c>
      <c r="C3982" s="3">
        <v>44865</v>
      </c>
      <c r="D3982" s="3" t="str">
        <f>TEXT(Table1[[#This Row],[Admission Date]],"MMMM")</f>
        <v>October</v>
      </c>
      <c r="E3982" s="3">
        <v>44865</v>
      </c>
      <c r="F3982" s="3">
        <v>44865</v>
      </c>
      <c r="G3982" s="2">
        <v>22029348</v>
      </c>
      <c r="H3982" s="2">
        <v>2238218</v>
      </c>
      <c r="I3982" s="2">
        <v>1001736024</v>
      </c>
      <c r="J3982" s="2" t="s">
        <v>442</v>
      </c>
      <c r="K3982" s="10">
        <v>1610</v>
      </c>
      <c r="L3982" s="10">
        <v>0</v>
      </c>
      <c r="M3982" s="10">
        <v>1610</v>
      </c>
      <c r="N3982" s="10">
        <v>0</v>
      </c>
      <c r="O3982" s="10">
        <f>Table1[[#This Row],[NET Amount]]-Table1[[#This Row],[Paid Amount]]</f>
        <v>1610</v>
      </c>
      <c r="P3982" s="2" t="s">
        <v>23</v>
      </c>
      <c r="Q3982" s="2" t="s">
        <v>54</v>
      </c>
      <c r="R3982" s="16">
        <f>(Table1[[#This Row],[NET Amount]]-Table1[[#This Row],[Total Outstanding Amount]])/Table1[[#This Row],[NET Amount]]</f>
        <v>0</v>
      </c>
      <c r="S3982" s="2" t="s">
        <v>97</v>
      </c>
    </row>
    <row r="3983" spans="1:19" x14ac:dyDescent="0.3">
      <c r="A3983" s="4">
        <v>3981</v>
      </c>
      <c r="B3983" s="2" t="s">
        <v>2263</v>
      </c>
      <c r="C3983" s="3">
        <v>44840</v>
      </c>
      <c r="D3983" s="3" t="str">
        <f>TEXT(Table1[[#This Row],[Admission Date]],"MMMM")</f>
        <v>October</v>
      </c>
      <c r="E3983" s="3">
        <v>44840</v>
      </c>
      <c r="F3983" s="3">
        <v>44840</v>
      </c>
      <c r="G3983" s="2">
        <v>22025814</v>
      </c>
      <c r="H3983" s="2">
        <v>2234831</v>
      </c>
      <c r="I3983" s="2">
        <v>1001711925</v>
      </c>
      <c r="J3983" s="2" t="s">
        <v>302</v>
      </c>
      <c r="K3983" s="10">
        <v>1274</v>
      </c>
      <c r="L3983" s="10">
        <v>0</v>
      </c>
      <c r="M3983" s="10">
        <v>1274</v>
      </c>
      <c r="N3983" s="10">
        <v>0</v>
      </c>
      <c r="O3983" s="10">
        <f>Table1[[#This Row],[NET Amount]]-Table1[[#This Row],[Paid Amount]]</f>
        <v>1274</v>
      </c>
      <c r="P3983" s="2" t="s">
        <v>23</v>
      </c>
      <c r="Q3983" s="2" t="s">
        <v>54</v>
      </c>
      <c r="R3983" s="16">
        <f>(Table1[[#This Row],[NET Amount]]-Table1[[#This Row],[Total Outstanding Amount]])/Table1[[#This Row],[NET Amount]]</f>
        <v>0</v>
      </c>
      <c r="S3983" s="2" t="s">
        <v>97</v>
      </c>
    </row>
    <row r="3984" spans="1:19" x14ac:dyDescent="0.3">
      <c r="A3984" s="4">
        <v>3982</v>
      </c>
      <c r="B3984" s="2" t="s">
        <v>380</v>
      </c>
      <c r="C3984" s="3">
        <v>44865</v>
      </c>
      <c r="D3984" s="3" t="str">
        <f>TEXT(Table1[[#This Row],[Admission Date]],"MMMM")</f>
        <v>October</v>
      </c>
      <c r="E3984" s="3">
        <v>44865</v>
      </c>
      <c r="F3984" s="3">
        <v>44865</v>
      </c>
      <c r="G3984" s="2">
        <v>22029401</v>
      </c>
      <c r="H3984" s="2">
        <v>2238266</v>
      </c>
      <c r="I3984" s="2">
        <v>10013292990</v>
      </c>
      <c r="J3984" s="2" t="s">
        <v>779</v>
      </c>
      <c r="K3984" s="10">
        <v>1274</v>
      </c>
      <c r="L3984" s="10">
        <v>0</v>
      </c>
      <c r="M3984" s="10">
        <v>1274</v>
      </c>
      <c r="N3984" s="10">
        <v>0</v>
      </c>
      <c r="O3984" s="10">
        <f>Table1[[#This Row],[NET Amount]]-Table1[[#This Row],[Paid Amount]]</f>
        <v>1274</v>
      </c>
      <c r="P3984" s="2" t="s">
        <v>23</v>
      </c>
      <c r="Q3984" s="2" t="s">
        <v>54</v>
      </c>
      <c r="R3984" s="16">
        <f>(Table1[[#This Row],[NET Amount]]-Table1[[#This Row],[Total Outstanding Amount]])/Table1[[#This Row],[NET Amount]]</f>
        <v>0</v>
      </c>
      <c r="S3984" s="2" t="s">
        <v>97</v>
      </c>
    </row>
    <row r="3985" spans="1:19" x14ac:dyDescent="0.3">
      <c r="A3985" s="4">
        <v>3983</v>
      </c>
      <c r="B3985" s="2" t="s">
        <v>149</v>
      </c>
      <c r="C3985" s="3">
        <v>44853</v>
      </c>
      <c r="D3985" s="3" t="str">
        <f>TEXT(Table1[[#This Row],[Admission Date]],"MMMM")</f>
        <v>October</v>
      </c>
      <c r="E3985" s="3">
        <v>44856</v>
      </c>
      <c r="F3985" s="3">
        <v>44856</v>
      </c>
      <c r="G3985" s="2">
        <v>22028132</v>
      </c>
      <c r="H3985" s="2">
        <v>2236686</v>
      </c>
      <c r="I3985" s="2">
        <v>10013543782</v>
      </c>
      <c r="J3985" s="2" t="s">
        <v>2216</v>
      </c>
      <c r="K3985" s="10">
        <v>53314</v>
      </c>
      <c r="L3985" s="10">
        <v>0</v>
      </c>
      <c r="M3985" s="10">
        <v>53314</v>
      </c>
      <c r="N3985" s="10">
        <v>0</v>
      </c>
      <c r="O3985" s="10">
        <f>Table1[[#This Row],[NET Amount]]-Table1[[#This Row],[Paid Amount]]</f>
        <v>53314</v>
      </c>
      <c r="P3985" s="2" t="s">
        <v>23</v>
      </c>
      <c r="Q3985" s="2" t="s">
        <v>30</v>
      </c>
      <c r="R3985" s="16">
        <f>(Table1[[#This Row],[NET Amount]]-Table1[[#This Row],[Total Outstanding Amount]])/Table1[[#This Row],[NET Amount]]</f>
        <v>0</v>
      </c>
      <c r="S3985" s="2" t="s">
        <v>20</v>
      </c>
    </row>
    <row r="3986" spans="1:19" x14ac:dyDescent="0.3">
      <c r="A3986" s="4">
        <v>3984</v>
      </c>
      <c r="B3986" s="2" t="s">
        <v>380</v>
      </c>
      <c r="C3986" s="3">
        <v>44837</v>
      </c>
      <c r="D3986" s="3" t="str">
        <f>TEXT(Table1[[#This Row],[Admission Date]],"MMMM")</f>
        <v>October</v>
      </c>
      <c r="E3986" s="3">
        <v>44837</v>
      </c>
      <c r="F3986" s="3">
        <v>44837</v>
      </c>
      <c r="G3986" s="2">
        <v>22025350</v>
      </c>
      <c r="H3986" s="2">
        <v>2234371</v>
      </c>
      <c r="I3986" s="2">
        <v>1000891036</v>
      </c>
      <c r="J3986" s="2" t="s">
        <v>399</v>
      </c>
      <c r="K3986" s="10">
        <v>1274</v>
      </c>
      <c r="L3986" s="10">
        <v>0</v>
      </c>
      <c r="M3986" s="10">
        <v>1274</v>
      </c>
      <c r="N3986" s="10">
        <v>0</v>
      </c>
      <c r="O3986" s="10">
        <f>Table1[[#This Row],[NET Amount]]-Table1[[#This Row],[Paid Amount]]</f>
        <v>1274</v>
      </c>
      <c r="P3986" s="2" t="s">
        <v>23</v>
      </c>
      <c r="Q3986" s="2" t="s">
        <v>54</v>
      </c>
      <c r="R3986" s="16">
        <f>(Table1[[#This Row],[NET Amount]]-Table1[[#This Row],[Total Outstanding Amount]])/Table1[[#This Row],[NET Amount]]</f>
        <v>0</v>
      </c>
      <c r="S3986" s="2" t="s">
        <v>97</v>
      </c>
    </row>
    <row r="3987" spans="1:19" x14ac:dyDescent="0.3">
      <c r="A3987" s="4">
        <v>3985</v>
      </c>
      <c r="B3987" s="2" t="s">
        <v>380</v>
      </c>
      <c r="C3987" s="3">
        <v>44840</v>
      </c>
      <c r="D3987" s="3" t="str">
        <f>TEXT(Table1[[#This Row],[Admission Date]],"MMMM")</f>
        <v>October</v>
      </c>
      <c r="E3987" s="3">
        <v>44840</v>
      </c>
      <c r="F3987" s="3">
        <v>44840</v>
      </c>
      <c r="G3987" s="2">
        <v>22025871</v>
      </c>
      <c r="H3987" s="2">
        <v>2234876</v>
      </c>
      <c r="I3987" s="2">
        <v>10013241267</v>
      </c>
      <c r="J3987" s="2" t="s">
        <v>480</v>
      </c>
      <c r="K3987" s="10">
        <v>1274</v>
      </c>
      <c r="L3987" s="10">
        <v>0</v>
      </c>
      <c r="M3987" s="10">
        <v>1274</v>
      </c>
      <c r="N3987" s="10">
        <v>0</v>
      </c>
      <c r="O3987" s="10">
        <f>Table1[[#This Row],[NET Amount]]-Table1[[#This Row],[Paid Amount]]</f>
        <v>1274</v>
      </c>
      <c r="P3987" s="2" t="s">
        <v>23</v>
      </c>
      <c r="Q3987" s="2" t="s">
        <v>54</v>
      </c>
      <c r="R3987" s="16">
        <f>(Table1[[#This Row],[NET Amount]]-Table1[[#This Row],[Total Outstanding Amount]])/Table1[[#This Row],[NET Amount]]</f>
        <v>0</v>
      </c>
      <c r="S3987" s="2" t="s">
        <v>97</v>
      </c>
    </row>
    <row r="3988" spans="1:19" x14ac:dyDescent="0.3">
      <c r="A3988" s="4">
        <v>3986</v>
      </c>
      <c r="B3988" s="2" t="s">
        <v>2263</v>
      </c>
      <c r="C3988" s="3">
        <v>44849</v>
      </c>
      <c r="D3988" s="3" t="str">
        <f>TEXT(Table1[[#This Row],[Admission Date]],"MMMM")</f>
        <v>October</v>
      </c>
      <c r="E3988" s="3">
        <v>44849</v>
      </c>
      <c r="F3988" s="3">
        <v>44849</v>
      </c>
      <c r="G3988" s="2">
        <v>22027232</v>
      </c>
      <c r="H3988" s="2">
        <v>2236145</v>
      </c>
      <c r="I3988" s="2">
        <v>1001677731</v>
      </c>
      <c r="J3988" s="2" t="s">
        <v>397</v>
      </c>
      <c r="K3988" s="10">
        <v>1274</v>
      </c>
      <c r="L3988" s="10">
        <v>0</v>
      </c>
      <c r="M3988" s="10">
        <v>1274</v>
      </c>
      <c r="N3988" s="10">
        <v>0</v>
      </c>
      <c r="O3988" s="10">
        <f>Table1[[#This Row],[NET Amount]]-Table1[[#This Row],[Paid Amount]]</f>
        <v>1274</v>
      </c>
      <c r="P3988" s="2" t="s">
        <v>23</v>
      </c>
      <c r="Q3988" s="2" t="s">
        <v>54</v>
      </c>
      <c r="R3988" s="16">
        <f>(Table1[[#This Row],[NET Amount]]-Table1[[#This Row],[Total Outstanding Amount]])/Table1[[#This Row],[NET Amount]]</f>
        <v>0</v>
      </c>
      <c r="S3988" s="2" t="s">
        <v>97</v>
      </c>
    </row>
    <row r="3989" spans="1:19" x14ac:dyDescent="0.3">
      <c r="A3989" s="4">
        <v>3987</v>
      </c>
      <c r="B3989" s="2" t="s">
        <v>2263</v>
      </c>
      <c r="C3989" s="3">
        <v>44839</v>
      </c>
      <c r="D3989" s="3" t="str">
        <f>TEXT(Table1[[#This Row],[Admission Date]],"MMMM")</f>
        <v>October</v>
      </c>
      <c r="E3989" s="3">
        <v>44839</v>
      </c>
      <c r="F3989" s="3">
        <v>44839</v>
      </c>
      <c r="G3989" s="2">
        <v>22025740</v>
      </c>
      <c r="H3989" s="2">
        <v>2234737</v>
      </c>
      <c r="I3989" s="2">
        <v>1001684202</v>
      </c>
      <c r="J3989" s="2" t="s">
        <v>446</v>
      </c>
      <c r="K3989" s="10">
        <v>1274</v>
      </c>
      <c r="L3989" s="10">
        <v>0</v>
      </c>
      <c r="M3989" s="10">
        <v>1274</v>
      </c>
      <c r="N3989" s="10">
        <v>0</v>
      </c>
      <c r="O3989" s="10">
        <f>Table1[[#This Row],[NET Amount]]-Table1[[#This Row],[Paid Amount]]</f>
        <v>1274</v>
      </c>
      <c r="P3989" s="2" t="s">
        <v>23</v>
      </c>
      <c r="Q3989" s="2" t="s">
        <v>54</v>
      </c>
      <c r="R3989" s="16">
        <f>(Table1[[#This Row],[NET Amount]]-Table1[[#This Row],[Total Outstanding Amount]])/Table1[[#This Row],[NET Amount]]</f>
        <v>0</v>
      </c>
      <c r="S3989" s="2" t="s">
        <v>97</v>
      </c>
    </row>
    <row r="3990" spans="1:19" x14ac:dyDescent="0.3">
      <c r="A3990" s="4">
        <v>3988</v>
      </c>
      <c r="B3990" s="2" t="s">
        <v>2253</v>
      </c>
      <c r="C3990" s="3">
        <v>44841</v>
      </c>
      <c r="D3990" s="3" t="str">
        <f>TEXT(Table1[[#This Row],[Admission Date]],"MMMM")</f>
        <v>October</v>
      </c>
      <c r="E3990" s="3">
        <v>44841</v>
      </c>
      <c r="F3990" s="3">
        <v>44841</v>
      </c>
      <c r="G3990" s="2">
        <v>22025936</v>
      </c>
      <c r="H3990" s="2">
        <v>2234996</v>
      </c>
      <c r="I3990" s="2">
        <v>1001802447</v>
      </c>
      <c r="J3990" s="2" t="s">
        <v>1778</v>
      </c>
      <c r="K3990" s="10">
        <v>1610</v>
      </c>
      <c r="L3990" s="10">
        <v>0</v>
      </c>
      <c r="M3990" s="10">
        <v>1610</v>
      </c>
      <c r="N3990" s="10">
        <v>0</v>
      </c>
      <c r="O3990" s="10">
        <f>Table1[[#This Row],[NET Amount]]-Table1[[#This Row],[Paid Amount]]</f>
        <v>1610</v>
      </c>
      <c r="P3990" s="2" t="s">
        <v>23</v>
      </c>
      <c r="Q3990" s="2" t="s">
        <v>54</v>
      </c>
      <c r="R3990" s="16">
        <f>(Table1[[#This Row],[NET Amount]]-Table1[[#This Row],[Total Outstanding Amount]])/Table1[[#This Row],[NET Amount]]</f>
        <v>0</v>
      </c>
      <c r="S3990" s="2" t="s">
        <v>97</v>
      </c>
    </row>
    <row r="3991" spans="1:19" x14ac:dyDescent="0.3">
      <c r="A3991" s="4">
        <v>3989</v>
      </c>
      <c r="B3991" s="2" t="s">
        <v>168</v>
      </c>
      <c r="C3991" s="3">
        <v>44840</v>
      </c>
      <c r="D3991" s="3" t="str">
        <f>TEXT(Table1[[#This Row],[Admission Date]],"MMMM")</f>
        <v>October</v>
      </c>
      <c r="E3991" s="3">
        <v>44840</v>
      </c>
      <c r="F3991" s="3">
        <v>44840</v>
      </c>
      <c r="G3991" s="2">
        <v>22025855</v>
      </c>
      <c r="H3991" s="2">
        <v>2234857</v>
      </c>
      <c r="I3991" s="2">
        <v>10013359873</v>
      </c>
      <c r="J3991" s="2" t="s">
        <v>774</v>
      </c>
      <c r="K3991" s="10">
        <v>2200</v>
      </c>
      <c r="L3991" s="10">
        <v>0</v>
      </c>
      <c r="M3991" s="10">
        <v>2200</v>
      </c>
      <c r="N3991" s="10">
        <v>0</v>
      </c>
      <c r="O3991" s="10">
        <f>Table1[[#This Row],[NET Amount]]-Table1[[#This Row],[Paid Amount]]</f>
        <v>2200</v>
      </c>
      <c r="P3991" s="2" t="s">
        <v>23</v>
      </c>
      <c r="Q3991" s="2" t="s">
        <v>147</v>
      </c>
      <c r="R3991" s="16">
        <f>(Table1[[#This Row],[NET Amount]]-Table1[[#This Row],[Total Outstanding Amount]])/Table1[[#This Row],[NET Amount]]</f>
        <v>0</v>
      </c>
      <c r="S3991" s="2" t="s">
        <v>97</v>
      </c>
    </row>
    <row r="3992" spans="1:19" x14ac:dyDescent="0.3">
      <c r="A3992" s="4">
        <v>3990</v>
      </c>
      <c r="B3992" s="2" t="s">
        <v>380</v>
      </c>
      <c r="C3992" s="3">
        <v>44863</v>
      </c>
      <c r="D3992" s="3" t="str">
        <f>TEXT(Table1[[#This Row],[Admission Date]],"MMMM")</f>
        <v>October</v>
      </c>
      <c r="E3992" s="3">
        <v>44863</v>
      </c>
      <c r="F3992" s="3">
        <v>44863</v>
      </c>
      <c r="G3992" s="2">
        <v>22029018</v>
      </c>
      <c r="H3992" s="2">
        <v>2237928</v>
      </c>
      <c r="I3992" s="2">
        <v>10013385641</v>
      </c>
      <c r="J3992" s="2" t="s">
        <v>799</v>
      </c>
      <c r="K3992" s="10">
        <v>1274</v>
      </c>
      <c r="L3992" s="10">
        <v>0</v>
      </c>
      <c r="M3992" s="10">
        <v>1274</v>
      </c>
      <c r="N3992" s="10">
        <v>0</v>
      </c>
      <c r="O3992" s="10">
        <f>Table1[[#This Row],[NET Amount]]-Table1[[#This Row],[Paid Amount]]</f>
        <v>1274</v>
      </c>
      <c r="P3992" s="2" t="s">
        <v>23</v>
      </c>
      <c r="Q3992" s="2" t="s">
        <v>54</v>
      </c>
      <c r="R3992" s="16">
        <f>(Table1[[#This Row],[NET Amount]]-Table1[[#This Row],[Total Outstanding Amount]])/Table1[[#This Row],[NET Amount]]</f>
        <v>0</v>
      </c>
      <c r="S3992" s="2" t="s">
        <v>97</v>
      </c>
    </row>
    <row r="3993" spans="1:19" x14ac:dyDescent="0.3">
      <c r="A3993" s="4">
        <v>3991</v>
      </c>
      <c r="B3993" s="2" t="s">
        <v>75</v>
      </c>
      <c r="C3993" s="3">
        <v>44863</v>
      </c>
      <c r="D3993" s="3" t="str">
        <f>TEXT(Table1[[#This Row],[Admission Date]],"MMMM")</f>
        <v>October</v>
      </c>
      <c r="E3993" s="3">
        <v>44863</v>
      </c>
      <c r="F3993" s="3">
        <v>44863</v>
      </c>
      <c r="G3993" s="2">
        <v>22029001</v>
      </c>
      <c r="H3993" s="2">
        <v>2237929</v>
      </c>
      <c r="I3993" s="2">
        <v>10013373132</v>
      </c>
      <c r="J3993" s="2" t="s">
        <v>402</v>
      </c>
      <c r="K3993" s="10">
        <v>1610</v>
      </c>
      <c r="L3993" s="10">
        <v>0</v>
      </c>
      <c r="M3993" s="10">
        <v>1610</v>
      </c>
      <c r="N3993" s="10">
        <v>0</v>
      </c>
      <c r="O3993" s="10">
        <f>Table1[[#This Row],[NET Amount]]-Table1[[#This Row],[Paid Amount]]</f>
        <v>1610</v>
      </c>
      <c r="P3993" s="2" t="s">
        <v>23</v>
      </c>
      <c r="Q3993" s="2" t="s">
        <v>54</v>
      </c>
      <c r="R3993" s="16">
        <f>(Table1[[#This Row],[NET Amount]]-Table1[[#This Row],[Total Outstanding Amount]])/Table1[[#This Row],[NET Amount]]</f>
        <v>0</v>
      </c>
      <c r="S3993" s="2" t="s">
        <v>97</v>
      </c>
    </row>
    <row r="3994" spans="1:19" x14ac:dyDescent="0.3">
      <c r="A3994" s="4">
        <v>3992</v>
      </c>
      <c r="B3994" s="2" t="s">
        <v>61</v>
      </c>
      <c r="C3994" s="3">
        <v>44837</v>
      </c>
      <c r="D3994" s="3" t="str">
        <f>TEXT(Table1[[#This Row],[Admission Date]],"MMMM")</f>
        <v>October</v>
      </c>
      <c r="E3994" s="3">
        <v>44837</v>
      </c>
      <c r="F3994" s="3">
        <v>44837</v>
      </c>
      <c r="G3994" s="2">
        <v>22025341</v>
      </c>
      <c r="H3994" s="2">
        <v>2234358</v>
      </c>
      <c r="I3994" s="2">
        <v>10013497993</v>
      </c>
      <c r="J3994" s="2" t="s">
        <v>1077</v>
      </c>
      <c r="K3994" s="10">
        <v>2200</v>
      </c>
      <c r="L3994" s="10">
        <v>0</v>
      </c>
      <c r="M3994" s="10">
        <v>2200</v>
      </c>
      <c r="N3994" s="10">
        <v>0</v>
      </c>
      <c r="O3994" s="10">
        <f>Table1[[#This Row],[NET Amount]]-Table1[[#This Row],[Paid Amount]]</f>
        <v>2200</v>
      </c>
      <c r="P3994" s="2" t="s">
        <v>23</v>
      </c>
      <c r="Q3994" s="2" t="s">
        <v>147</v>
      </c>
      <c r="R3994" s="16">
        <f>(Table1[[#This Row],[NET Amount]]-Table1[[#This Row],[Total Outstanding Amount]])/Table1[[#This Row],[NET Amount]]</f>
        <v>0</v>
      </c>
      <c r="S3994" s="2" t="s">
        <v>97</v>
      </c>
    </row>
    <row r="3995" spans="1:19" x14ac:dyDescent="0.3">
      <c r="A3995" s="4">
        <v>3993</v>
      </c>
      <c r="B3995" s="2" t="s">
        <v>380</v>
      </c>
      <c r="C3995" s="3">
        <v>44847</v>
      </c>
      <c r="D3995" s="3" t="str">
        <f>TEXT(Table1[[#This Row],[Admission Date]],"MMMM")</f>
        <v>October</v>
      </c>
      <c r="E3995" s="3">
        <v>44847</v>
      </c>
      <c r="F3995" s="3">
        <v>44847</v>
      </c>
      <c r="G3995" s="2">
        <v>22026950</v>
      </c>
      <c r="H3995" s="2">
        <v>2235866</v>
      </c>
      <c r="I3995" s="2">
        <v>10013513950</v>
      </c>
      <c r="J3995" s="2" t="s">
        <v>491</v>
      </c>
      <c r="K3995" s="10">
        <v>1274</v>
      </c>
      <c r="L3995" s="10">
        <v>0</v>
      </c>
      <c r="M3995" s="10">
        <v>1274</v>
      </c>
      <c r="N3995" s="10">
        <v>0</v>
      </c>
      <c r="O3995" s="10">
        <f>Table1[[#This Row],[NET Amount]]-Table1[[#This Row],[Paid Amount]]</f>
        <v>1274</v>
      </c>
      <c r="P3995" s="2" t="s">
        <v>23</v>
      </c>
      <c r="Q3995" s="2" t="s">
        <v>54</v>
      </c>
      <c r="R3995" s="16">
        <f>(Table1[[#This Row],[NET Amount]]-Table1[[#This Row],[Total Outstanding Amount]])/Table1[[#This Row],[NET Amount]]</f>
        <v>0</v>
      </c>
      <c r="S3995" s="2" t="s">
        <v>97</v>
      </c>
    </row>
    <row r="3996" spans="1:19" x14ac:dyDescent="0.3">
      <c r="A3996" s="4">
        <v>3994</v>
      </c>
      <c r="B3996" s="2" t="s">
        <v>282</v>
      </c>
      <c r="C3996" s="3">
        <v>44859</v>
      </c>
      <c r="D3996" s="3" t="str">
        <f>TEXT(Table1[[#This Row],[Admission Date]],"MMMM")</f>
        <v>October</v>
      </c>
      <c r="E3996" s="3">
        <v>44861</v>
      </c>
      <c r="F3996" s="3">
        <v>44861</v>
      </c>
      <c r="G3996" s="2">
        <v>22028748</v>
      </c>
      <c r="H3996" s="2">
        <v>2237407</v>
      </c>
      <c r="I3996" s="2">
        <v>10013454650</v>
      </c>
      <c r="J3996" s="2" t="s">
        <v>331</v>
      </c>
      <c r="K3996" s="10">
        <v>60276</v>
      </c>
      <c r="L3996" s="10">
        <v>30276</v>
      </c>
      <c r="M3996" s="10">
        <v>30000</v>
      </c>
      <c r="N3996" s="10">
        <v>0</v>
      </c>
      <c r="O3996" s="10">
        <f>Table1[[#This Row],[NET Amount]]-Table1[[#This Row],[Paid Amount]]</f>
        <v>30000</v>
      </c>
      <c r="P3996" s="2" t="s">
        <v>23</v>
      </c>
      <c r="Q3996" s="2" t="s">
        <v>24</v>
      </c>
      <c r="R3996" s="16">
        <f>(Table1[[#This Row],[NET Amount]]-Table1[[#This Row],[Total Outstanding Amount]])/Table1[[#This Row],[NET Amount]]</f>
        <v>0</v>
      </c>
      <c r="S3996" s="2" t="s">
        <v>55</v>
      </c>
    </row>
    <row r="3997" spans="1:19" x14ac:dyDescent="0.3">
      <c r="A3997" s="4">
        <v>3995</v>
      </c>
      <c r="B3997" s="2" t="s">
        <v>2263</v>
      </c>
      <c r="C3997" s="3">
        <v>44852</v>
      </c>
      <c r="D3997" s="3" t="str">
        <f>TEXT(Table1[[#This Row],[Admission Date]],"MMMM")</f>
        <v>October</v>
      </c>
      <c r="E3997" s="3">
        <v>44852</v>
      </c>
      <c r="F3997" s="3">
        <v>44852</v>
      </c>
      <c r="G3997" s="2">
        <v>22027618</v>
      </c>
      <c r="H3997" s="2">
        <v>2236522</v>
      </c>
      <c r="I3997" s="2">
        <v>1001677731</v>
      </c>
      <c r="J3997" s="2" t="s">
        <v>397</v>
      </c>
      <c r="K3997" s="10">
        <v>1274</v>
      </c>
      <c r="L3997" s="10">
        <v>0</v>
      </c>
      <c r="M3997" s="10">
        <v>1274</v>
      </c>
      <c r="N3997" s="10">
        <v>0</v>
      </c>
      <c r="O3997" s="10">
        <f>Table1[[#This Row],[NET Amount]]-Table1[[#This Row],[Paid Amount]]</f>
        <v>1274</v>
      </c>
      <c r="P3997" s="2" t="s">
        <v>23</v>
      </c>
      <c r="Q3997" s="2" t="s">
        <v>54</v>
      </c>
      <c r="R3997" s="16">
        <f>(Table1[[#This Row],[NET Amount]]-Table1[[#This Row],[Total Outstanding Amount]])/Table1[[#This Row],[NET Amount]]</f>
        <v>0</v>
      </c>
      <c r="S3997" s="2" t="s">
        <v>97</v>
      </c>
    </row>
    <row r="3998" spans="1:19" x14ac:dyDescent="0.3">
      <c r="A3998" s="4">
        <v>3996</v>
      </c>
      <c r="B3998" s="2" t="s">
        <v>2258</v>
      </c>
      <c r="C3998" s="3">
        <v>44849</v>
      </c>
      <c r="D3998" s="3" t="str">
        <f>TEXT(Table1[[#This Row],[Admission Date]],"MMMM")</f>
        <v>October</v>
      </c>
      <c r="E3998" s="3">
        <v>44849</v>
      </c>
      <c r="F3998" s="3">
        <v>44849</v>
      </c>
      <c r="G3998" s="2">
        <v>22027126</v>
      </c>
      <c r="H3998" s="2">
        <v>2236093</v>
      </c>
      <c r="I3998" s="2">
        <v>1001781083</v>
      </c>
      <c r="J3998" s="2" t="s">
        <v>777</v>
      </c>
      <c r="K3998" s="10">
        <v>1610</v>
      </c>
      <c r="L3998" s="10">
        <v>0</v>
      </c>
      <c r="M3998" s="10">
        <v>1610</v>
      </c>
      <c r="N3998" s="10">
        <v>0</v>
      </c>
      <c r="O3998" s="10">
        <f>Table1[[#This Row],[NET Amount]]-Table1[[#This Row],[Paid Amount]]</f>
        <v>1610</v>
      </c>
      <c r="P3998" s="2" t="s">
        <v>23</v>
      </c>
      <c r="Q3998" s="2" t="s">
        <v>54</v>
      </c>
      <c r="R3998" s="16">
        <f>(Table1[[#This Row],[NET Amount]]-Table1[[#This Row],[Total Outstanding Amount]])/Table1[[#This Row],[NET Amount]]</f>
        <v>0</v>
      </c>
      <c r="S3998" s="2" t="s">
        <v>97</v>
      </c>
    </row>
    <row r="3999" spans="1:19" x14ac:dyDescent="0.3">
      <c r="A3999" s="4">
        <v>3997</v>
      </c>
      <c r="B3999" s="2" t="s">
        <v>380</v>
      </c>
      <c r="C3999" s="3">
        <v>44848</v>
      </c>
      <c r="D3999" s="3" t="str">
        <f>TEXT(Table1[[#This Row],[Admission Date]],"MMMM")</f>
        <v>October</v>
      </c>
      <c r="E3999" s="3">
        <v>44848</v>
      </c>
      <c r="F3999" s="3">
        <v>44848</v>
      </c>
      <c r="G3999" s="2">
        <v>22027101</v>
      </c>
      <c r="H3999" s="2">
        <v>2236017</v>
      </c>
      <c r="I3999" s="2">
        <v>1001039513</v>
      </c>
      <c r="J3999" s="2" t="s">
        <v>444</v>
      </c>
      <c r="K3999" s="10">
        <v>1274</v>
      </c>
      <c r="L3999" s="10">
        <v>0</v>
      </c>
      <c r="M3999" s="10">
        <v>1274</v>
      </c>
      <c r="N3999" s="10">
        <v>0</v>
      </c>
      <c r="O3999" s="10">
        <f>Table1[[#This Row],[NET Amount]]-Table1[[#This Row],[Paid Amount]]</f>
        <v>1274</v>
      </c>
      <c r="P3999" s="2" t="s">
        <v>23</v>
      </c>
      <c r="Q3999" s="2" t="s">
        <v>54</v>
      </c>
      <c r="R3999" s="16">
        <f>(Table1[[#This Row],[NET Amount]]-Table1[[#This Row],[Total Outstanding Amount]])/Table1[[#This Row],[NET Amount]]</f>
        <v>0</v>
      </c>
      <c r="S3999" s="2" t="s">
        <v>97</v>
      </c>
    </row>
    <row r="4000" spans="1:19" x14ac:dyDescent="0.3">
      <c r="A4000" s="4">
        <v>3998</v>
      </c>
      <c r="B4000" s="2" t="s">
        <v>2263</v>
      </c>
      <c r="C4000" s="3">
        <v>44847</v>
      </c>
      <c r="D4000" s="3" t="str">
        <f>TEXT(Table1[[#This Row],[Admission Date]],"MMMM")</f>
        <v>October</v>
      </c>
      <c r="E4000" s="3">
        <v>44847</v>
      </c>
      <c r="F4000" s="3">
        <v>44847</v>
      </c>
      <c r="G4000" s="2">
        <v>22026825</v>
      </c>
      <c r="H4000" s="2">
        <v>2235810</v>
      </c>
      <c r="I4000" s="2">
        <v>1001711925</v>
      </c>
      <c r="J4000" s="2" t="s">
        <v>302</v>
      </c>
      <c r="K4000" s="10">
        <v>1274</v>
      </c>
      <c r="L4000" s="10">
        <v>0</v>
      </c>
      <c r="M4000" s="10">
        <v>1274</v>
      </c>
      <c r="N4000" s="10">
        <v>0</v>
      </c>
      <c r="O4000" s="10">
        <f>Table1[[#This Row],[NET Amount]]-Table1[[#This Row],[Paid Amount]]</f>
        <v>1274</v>
      </c>
      <c r="P4000" s="2" t="s">
        <v>23</v>
      </c>
      <c r="Q4000" s="2" t="s">
        <v>54</v>
      </c>
      <c r="R4000" s="16">
        <f>(Table1[[#This Row],[NET Amount]]-Table1[[#This Row],[Total Outstanding Amount]])/Table1[[#This Row],[NET Amount]]</f>
        <v>0</v>
      </c>
      <c r="S4000" s="2" t="s">
        <v>97</v>
      </c>
    </row>
    <row r="4001" spans="1:19" x14ac:dyDescent="0.3">
      <c r="A4001" s="4">
        <v>3999</v>
      </c>
      <c r="B4001" s="2" t="s">
        <v>380</v>
      </c>
      <c r="C4001" s="3">
        <v>44851</v>
      </c>
      <c r="D4001" s="3" t="str">
        <f>TEXT(Table1[[#This Row],[Admission Date]],"MMMM")</f>
        <v>October</v>
      </c>
      <c r="E4001" s="3">
        <v>44851</v>
      </c>
      <c r="F4001" s="3">
        <v>44851</v>
      </c>
      <c r="G4001" s="2">
        <v>22027457</v>
      </c>
      <c r="H4001" s="2">
        <v>2236332</v>
      </c>
      <c r="I4001" s="2">
        <v>1000947753</v>
      </c>
      <c r="J4001" s="2" t="s">
        <v>432</v>
      </c>
      <c r="K4001" s="10">
        <v>1274</v>
      </c>
      <c r="L4001" s="10">
        <v>0</v>
      </c>
      <c r="M4001" s="10">
        <v>1274</v>
      </c>
      <c r="N4001" s="10">
        <v>0</v>
      </c>
      <c r="O4001" s="10">
        <f>Table1[[#This Row],[NET Amount]]-Table1[[#This Row],[Paid Amount]]</f>
        <v>1274</v>
      </c>
      <c r="P4001" s="2" t="s">
        <v>23</v>
      </c>
      <c r="Q4001" s="2" t="s">
        <v>54</v>
      </c>
      <c r="R4001" s="16">
        <f>(Table1[[#This Row],[NET Amount]]-Table1[[#This Row],[Total Outstanding Amount]])/Table1[[#This Row],[NET Amount]]</f>
        <v>0</v>
      </c>
      <c r="S4001" s="2" t="s">
        <v>97</v>
      </c>
    </row>
    <row r="4002" spans="1:19" x14ac:dyDescent="0.3">
      <c r="A4002" s="4">
        <v>4000</v>
      </c>
      <c r="B4002" s="2" t="s">
        <v>139</v>
      </c>
      <c r="C4002" s="3">
        <v>44838</v>
      </c>
      <c r="D4002" s="3" t="str">
        <f>TEXT(Table1[[#This Row],[Admission Date]],"MMMM")</f>
        <v>October</v>
      </c>
      <c r="E4002" s="3">
        <v>44838</v>
      </c>
      <c r="F4002" s="3">
        <v>44838</v>
      </c>
      <c r="G4002" s="2">
        <v>22025567</v>
      </c>
      <c r="H4002" s="2">
        <v>2234552</v>
      </c>
      <c r="I4002" s="2">
        <v>1000947591</v>
      </c>
      <c r="J4002" s="2" t="s">
        <v>146</v>
      </c>
      <c r="K4002" s="10">
        <v>2200</v>
      </c>
      <c r="L4002" s="10">
        <v>0</v>
      </c>
      <c r="M4002" s="10">
        <v>2200</v>
      </c>
      <c r="N4002" s="10">
        <v>0</v>
      </c>
      <c r="O4002" s="10">
        <f>Table1[[#This Row],[NET Amount]]-Table1[[#This Row],[Paid Amount]]</f>
        <v>2200</v>
      </c>
      <c r="P4002" s="2" t="s">
        <v>23</v>
      </c>
      <c r="Q4002" s="2" t="s">
        <v>147</v>
      </c>
      <c r="R4002" s="16">
        <f>(Table1[[#This Row],[NET Amount]]-Table1[[#This Row],[Total Outstanding Amount]])/Table1[[#This Row],[NET Amount]]</f>
        <v>0</v>
      </c>
      <c r="S4002" s="2" t="s">
        <v>97</v>
      </c>
    </row>
    <row r="4003" spans="1:19" x14ac:dyDescent="0.3">
      <c r="A4003" s="4">
        <v>4001</v>
      </c>
      <c r="B4003" s="2" t="s">
        <v>2253</v>
      </c>
      <c r="C4003" s="3">
        <v>44849</v>
      </c>
      <c r="D4003" s="3" t="str">
        <f>TEXT(Table1[[#This Row],[Admission Date]],"MMMM")</f>
        <v>October</v>
      </c>
      <c r="E4003" s="3">
        <v>44849</v>
      </c>
      <c r="F4003" s="3">
        <v>44849</v>
      </c>
      <c r="G4003" s="2">
        <v>22027130</v>
      </c>
      <c r="H4003" s="2">
        <v>2236091</v>
      </c>
      <c r="I4003" s="2">
        <v>1001626180</v>
      </c>
      <c r="J4003" s="2" t="s">
        <v>389</v>
      </c>
      <c r="K4003" s="10">
        <v>1610</v>
      </c>
      <c r="L4003" s="10">
        <v>0</v>
      </c>
      <c r="M4003" s="10">
        <v>1610</v>
      </c>
      <c r="N4003" s="10">
        <v>0</v>
      </c>
      <c r="O4003" s="10">
        <f>Table1[[#This Row],[NET Amount]]-Table1[[#This Row],[Paid Amount]]</f>
        <v>1610</v>
      </c>
      <c r="P4003" s="2" t="s">
        <v>23</v>
      </c>
      <c r="Q4003" s="2" t="s">
        <v>54</v>
      </c>
      <c r="R4003" s="16">
        <f>(Table1[[#This Row],[NET Amount]]-Table1[[#This Row],[Total Outstanding Amount]])/Table1[[#This Row],[NET Amount]]</f>
        <v>0</v>
      </c>
      <c r="S4003" s="2" t="s">
        <v>97</v>
      </c>
    </row>
    <row r="4004" spans="1:19" x14ac:dyDescent="0.3">
      <c r="A4004" s="4">
        <v>4002</v>
      </c>
      <c r="B4004" s="2" t="s">
        <v>2253</v>
      </c>
      <c r="C4004" s="3">
        <v>44854</v>
      </c>
      <c r="D4004" s="3" t="str">
        <f>TEXT(Table1[[#This Row],[Admission Date]],"MMMM")</f>
        <v>October</v>
      </c>
      <c r="E4004" s="3">
        <v>44854</v>
      </c>
      <c r="F4004" s="3">
        <v>44854</v>
      </c>
      <c r="G4004" s="2">
        <v>22027811</v>
      </c>
      <c r="H4004" s="2">
        <v>2236724</v>
      </c>
      <c r="I4004" s="2">
        <v>1001626180</v>
      </c>
      <c r="J4004" s="2" t="s">
        <v>389</v>
      </c>
      <c r="K4004" s="10">
        <v>1610</v>
      </c>
      <c r="L4004" s="10">
        <v>0</v>
      </c>
      <c r="M4004" s="10">
        <v>1610</v>
      </c>
      <c r="N4004" s="10">
        <v>0</v>
      </c>
      <c r="O4004" s="10">
        <f>Table1[[#This Row],[NET Amount]]-Table1[[#This Row],[Paid Amount]]</f>
        <v>1610</v>
      </c>
      <c r="P4004" s="2" t="s">
        <v>23</v>
      </c>
      <c r="Q4004" s="2" t="s">
        <v>54</v>
      </c>
      <c r="R4004" s="16">
        <f>(Table1[[#This Row],[NET Amount]]-Table1[[#This Row],[Total Outstanding Amount]])/Table1[[#This Row],[NET Amount]]</f>
        <v>0</v>
      </c>
      <c r="S4004" s="2" t="s">
        <v>97</v>
      </c>
    </row>
    <row r="4005" spans="1:19" x14ac:dyDescent="0.3">
      <c r="A4005" s="4">
        <v>4003</v>
      </c>
      <c r="B4005" s="2" t="s">
        <v>2270</v>
      </c>
      <c r="C4005" s="3">
        <v>44860</v>
      </c>
      <c r="D4005" s="3" t="str">
        <f>TEXT(Table1[[#This Row],[Admission Date]],"MMMM")</f>
        <v>October</v>
      </c>
      <c r="E4005" s="3">
        <v>44861</v>
      </c>
      <c r="F4005" s="3">
        <v>44861</v>
      </c>
      <c r="G4005" s="2">
        <v>22028819</v>
      </c>
      <c r="H4005" s="2">
        <v>2237586</v>
      </c>
      <c r="I4005" s="2">
        <v>10013544643</v>
      </c>
      <c r="J4005" s="2" t="s">
        <v>2217</v>
      </c>
      <c r="K4005" s="10">
        <v>82959</v>
      </c>
      <c r="L4005" s="10">
        <v>0</v>
      </c>
      <c r="M4005" s="10">
        <v>82959</v>
      </c>
      <c r="N4005" s="10">
        <v>0</v>
      </c>
      <c r="O4005" s="10">
        <f>Table1[[#This Row],[NET Amount]]-Table1[[#This Row],[Paid Amount]]</f>
        <v>82959</v>
      </c>
      <c r="P4005" s="2" t="s">
        <v>23</v>
      </c>
      <c r="Q4005" s="2" t="s">
        <v>24</v>
      </c>
      <c r="R4005" s="16">
        <f>(Table1[[#This Row],[NET Amount]]-Table1[[#This Row],[Total Outstanding Amount]])/Table1[[#This Row],[NET Amount]]</f>
        <v>0</v>
      </c>
      <c r="S4005" s="2" t="s">
        <v>39</v>
      </c>
    </row>
    <row r="4006" spans="1:19" x14ac:dyDescent="0.3">
      <c r="A4006" s="4">
        <v>4004</v>
      </c>
      <c r="B4006" s="2" t="s">
        <v>2253</v>
      </c>
      <c r="C4006" s="3">
        <v>44855</v>
      </c>
      <c r="D4006" s="3" t="str">
        <f>TEXT(Table1[[#This Row],[Admission Date]],"MMMM")</f>
        <v>October</v>
      </c>
      <c r="E4006" s="3">
        <v>44855</v>
      </c>
      <c r="F4006" s="3">
        <v>44855</v>
      </c>
      <c r="G4006" s="2">
        <v>22028099</v>
      </c>
      <c r="H4006" s="2">
        <v>2236953</v>
      </c>
      <c r="I4006" s="2">
        <v>1001777526</v>
      </c>
      <c r="J4006" s="2" t="s">
        <v>411</v>
      </c>
      <c r="K4006" s="10">
        <v>1610</v>
      </c>
      <c r="L4006" s="10">
        <v>0</v>
      </c>
      <c r="M4006" s="10">
        <v>1610</v>
      </c>
      <c r="N4006" s="10">
        <v>0</v>
      </c>
      <c r="O4006" s="10">
        <f>Table1[[#This Row],[NET Amount]]-Table1[[#This Row],[Paid Amount]]</f>
        <v>1610</v>
      </c>
      <c r="P4006" s="2" t="s">
        <v>23</v>
      </c>
      <c r="Q4006" s="2" t="s">
        <v>54</v>
      </c>
      <c r="R4006" s="16">
        <f>(Table1[[#This Row],[NET Amount]]-Table1[[#This Row],[Total Outstanding Amount]])/Table1[[#This Row],[NET Amount]]</f>
        <v>0</v>
      </c>
      <c r="S4006" s="2" t="s">
        <v>97</v>
      </c>
    </row>
    <row r="4007" spans="1:19" x14ac:dyDescent="0.3">
      <c r="A4007" s="4">
        <v>4005</v>
      </c>
      <c r="B4007" s="2" t="s">
        <v>380</v>
      </c>
      <c r="C4007" s="3">
        <v>44840</v>
      </c>
      <c r="D4007" s="3" t="str">
        <f>TEXT(Table1[[#This Row],[Admission Date]],"MMMM")</f>
        <v>October</v>
      </c>
      <c r="E4007" s="3">
        <v>44840</v>
      </c>
      <c r="F4007" s="3">
        <v>44840</v>
      </c>
      <c r="G4007" s="2">
        <v>22025903</v>
      </c>
      <c r="H4007" s="2">
        <v>2234916</v>
      </c>
      <c r="I4007" s="2">
        <v>1000891592</v>
      </c>
      <c r="J4007" s="2" t="s">
        <v>815</v>
      </c>
      <c r="K4007" s="10">
        <v>1274</v>
      </c>
      <c r="L4007" s="10">
        <v>0</v>
      </c>
      <c r="M4007" s="10">
        <v>1274</v>
      </c>
      <c r="N4007" s="10">
        <v>0</v>
      </c>
      <c r="O4007" s="10">
        <f>Table1[[#This Row],[NET Amount]]-Table1[[#This Row],[Paid Amount]]</f>
        <v>1274</v>
      </c>
      <c r="P4007" s="2" t="s">
        <v>23</v>
      </c>
      <c r="Q4007" s="2" t="s">
        <v>54</v>
      </c>
      <c r="R4007" s="16">
        <f>(Table1[[#This Row],[NET Amount]]-Table1[[#This Row],[Total Outstanding Amount]])/Table1[[#This Row],[NET Amount]]</f>
        <v>0</v>
      </c>
      <c r="S4007" s="2" t="s">
        <v>97</v>
      </c>
    </row>
    <row r="4008" spans="1:19" x14ac:dyDescent="0.3">
      <c r="A4008" s="4">
        <v>4006</v>
      </c>
      <c r="B4008" s="2" t="s">
        <v>75</v>
      </c>
      <c r="C4008" s="3">
        <v>44842</v>
      </c>
      <c r="D4008" s="3" t="str">
        <f>TEXT(Table1[[#This Row],[Admission Date]],"MMMM")</f>
        <v>October</v>
      </c>
      <c r="E4008" s="3">
        <v>44842</v>
      </c>
      <c r="F4008" s="3">
        <v>44842</v>
      </c>
      <c r="G4008" s="2">
        <v>22026099</v>
      </c>
      <c r="H4008" s="2">
        <v>2235140</v>
      </c>
      <c r="I4008" s="2">
        <v>10013373132</v>
      </c>
      <c r="J4008" s="2" t="s">
        <v>402</v>
      </c>
      <c r="K4008" s="10">
        <v>1610</v>
      </c>
      <c r="L4008" s="10">
        <v>0</v>
      </c>
      <c r="M4008" s="10">
        <v>1610</v>
      </c>
      <c r="N4008" s="10">
        <v>0</v>
      </c>
      <c r="O4008" s="10">
        <f>Table1[[#This Row],[NET Amount]]-Table1[[#This Row],[Paid Amount]]</f>
        <v>1610</v>
      </c>
      <c r="P4008" s="2" t="s">
        <v>23</v>
      </c>
      <c r="Q4008" s="2" t="s">
        <v>54</v>
      </c>
      <c r="R4008" s="16">
        <f>(Table1[[#This Row],[NET Amount]]-Table1[[#This Row],[Total Outstanding Amount]])/Table1[[#This Row],[NET Amount]]</f>
        <v>0</v>
      </c>
      <c r="S4008" s="2" t="s">
        <v>97</v>
      </c>
    </row>
    <row r="4009" spans="1:19" x14ac:dyDescent="0.3">
      <c r="A4009" s="4">
        <v>4007</v>
      </c>
      <c r="B4009" s="2" t="s">
        <v>139</v>
      </c>
      <c r="C4009" s="3">
        <v>44865</v>
      </c>
      <c r="D4009" s="3" t="str">
        <f>TEXT(Table1[[#This Row],[Admission Date]],"MMMM")</f>
        <v>October</v>
      </c>
      <c r="E4009" s="3">
        <v>44865</v>
      </c>
      <c r="F4009" s="3">
        <v>44865</v>
      </c>
      <c r="G4009" s="2">
        <v>22029270</v>
      </c>
      <c r="H4009" s="2">
        <v>2238158</v>
      </c>
      <c r="I4009" s="2">
        <v>1001199995</v>
      </c>
      <c r="J4009" s="2" t="s">
        <v>386</v>
      </c>
      <c r="K4009" s="10">
        <v>2200</v>
      </c>
      <c r="L4009" s="10">
        <v>0</v>
      </c>
      <c r="M4009" s="10">
        <v>2200</v>
      </c>
      <c r="N4009" s="10">
        <v>0</v>
      </c>
      <c r="O4009" s="10">
        <f>Table1[[#This Row],[NET Amount]]-Table1[[#This Row],[Paid Amount]]</f>
        <v>2200</v>
      </c>
      <c r="P4009" s="2" t="s">
        <v>23</v>
      </c>
      <c r="Q4009" s="2" t="s">
        <v>147</v>
      </c>
      <c r="R4009" s="16">
        <f>(Table1[[#This Row],[NET Amount]]-Table1[[#This Row],[Total Outstanding Amount]])/Table1[[#This Row],[NET Amount]]</f>
        <v>0</v>
      </c>
      <c r="S4009" s="2" t="s">
        <v>97</v>
      </c>
    </row>
    <row r="4010" spans="1:19" x14ac:dyDescent="0.3">
      <c r="A4010" s="4">
        <v>4008</v>
      </c>
      <c r="B4010" s="2" t="s">
        <v>407</v>
      </c>
      <c r="C4010" s="3">
        <v>44840</v>
      </c>
      <c r="D4010" s="3" t="str">
        <f>TEXT(Table1[[#This Row],[Admission Date]],"MMMM")</f>
        <v>October</v>
      </c>
      <c r="E4010" s="3">
        <v>44845</v>
      </c>
      <c r="F4010" s="3">
        <v>44845</v>
      </c>
      <c r="G4010" s="2">
        <v>22026515</v>
      </c>
      <c r="H4010" s="2">
        <v>2234953</v>
      </c>
      <c r="I4010" s="2">
        <v>10013540454</v>
      </c>
      <c r="J4010" s="2" t="s">
        <v>2027</v>
      </c>
      <c r="K4010" s="10">
        <v>62036</v>
      </c>
      <c r="L4010" s="10">
        <v>0</v>
      </c>
      <c r="M4010" s="10">
        <v>62036</v>
      </c>
      <c r="N4010" s="10">
        <v>0</v>
      </c>
      <c r="O4010" s="10">
        <f>Table1[[#This Row],[NET Amount]]-Table1[[#This Row],[Paid Amount]]</f>
        <v>62036</v>
      </c>
      <c r="P4010" s="2" t="s">
        <v>23</v>
      </c>
      <c r="Q4010" s="2" t="s">
        <v>24</v>
      </c>
      <c r="R4010" s="16">
        <f>(Table1[[#This Row],[NET Amount]]-Table1[[#This Row],[Total Outstanding Amount]])/Table1[[#This Row],[NET Amount]]</f>
        <v>0</v>
      </c>
      <c r="S4010" s="2" t="s">
        <v>20</v>
      </c>
    </row>
    <row r="4011" spans="1:19" x14ac:dyDescent="0.3">
      <c r="A4011" s="4">
        <v>4009</v>
      </c>
      <c r="B4011" s="2" t="s">
        <v>2253</v>
      </c>
      <c r="C4011" s="3">
        <v>44859</v>
      </c>
      <c r="D4011" s="3" t="str">
        <f>TEXT(Table1[[#This Row],[Admission Date]],"MMMM")</f>
        <v>October</v>
      </c>
      <c r="E4011" s="3">
        <v>44859</v>
      </c>
      <c r="F4011" s="3">
        <v>44859</v>
      </c>
      <c r="G4011" s="2">
        <v>22028478</v>
      </c>
      <c r="H4011" s="2">
        <v>2237273</v>
      </c>
      <c r="I4011" s="2">
        <v>1001626180</v>
      </c>
      <c r="J4011" s="2" t="s">
        <v>389</v>
      </c>
      <c r="K4011" s="10">
        <v>1610</v>
      </c>
      <c r="L4011" s="10">
        <v>0</v>
      </c>
      <c r="M4011" s="10">
        <v>1610</v>
      </c>
      <c r="N4011" s="10">
        <v>0</v>
      </c>
      <c r="O4011" s="10">
        <f>Table1[[#This Row],[NET Amount]]-Table1[[#This Row],[Paid Amount]]</f>
        <v>1610</v>
      </c>
      <c r="P4011" s="2" t="s">
        <v>23</v>
      </c>
      <c r="Q4011" s="2" t="s">
        <v>54</v>
      </c>
      <c r="R4011" s="16">
        <f>(Table1[[#This Row],[NET Amount]]-Table1[[#This Row],[Total Outstanding Amount]])/Table1[[#This Row],[NET Amount]]</f>
        <v>0</v>
      </c>
      <c r="S4011" s="2" t="s">
        <v>97</v>
      </c>
    </row>
    <row r="4012" spans="1:19" x14ac:dyDescent="0.3">
      <c r="A4012" s="4">
        <v>4010</v>
      </c>
      <c r="B4012" s="2" t="s">
        <v>126</v>
      </c>
      <c r="C4012" s="3">
        <v>44851</v>
      </c>
      <c r="D4012" s="3" t="str">
        <f>TEXT(Table1[[#This Row],[Admission Date]],"MMMM")</f>
        <v>October</v>
      </c>
      <c r="E4012" s="3">
        <v>44853</v>
      </c>
      <c r="F4012" s="3">
        <v>44853</v>
      </c>
      <c r="G4012" s="2">
        <v>22027718</v>
      </c>
      <c r="H4012" s="2">
        <v>2236423</v>
      </c>
      <c r="I4012" s="2">
        <v>10013543490</v>
      </c>
      <c r="J4012" s="2" t="s">
        <v>2218</v>
      </c>
      <c r="K4012" s="10">
        <v>47518</v>
      </c>
      <c r="L4012" s="10">
        <v>6464</v>
      </c>
      <c r="M4012" s="10">
        <v>41053</v>
      </c>
      <c r="N4012" s="10">
        <v>0</v>
      </c>
      <c r="O4012" s="10">
        <f>Table1[[#This Row],[NET Amount]]-Table1[[#This Row],[Paid Amount]]</f>
        <v>41053</v>
      </c>
      <c r="P4012" s="2" t="s">
        <v>23</v>
      </c>
      <c r="Q4012" s="2" t="s">
        <v>104</v>
      </c>
      <c r="R4012" s="16">
        <f>(Table1[[#This Row],[NET Amount]]-Table1[[#This Row],[Total Outstanding Amount]])/Table1[[#This Row],[NET Amount]]</f>
        <v>0</v>
      </c>
      <c r="S4012" s="2" t="s">
        <v>37</v>
      </c>
    </row>
    <row r="4013" spans="1:19" x14ac:dyDescent="0.3">
      <c r="A4013" s="4">
        <v>4011</v>
      </c>
      <c r="B4013" s="2" t="s">
        <v>25</v>
      </c>
      <c r="C4013" s="3">
        <v>44851</v>
      </c>
      <c r="D4013" s="3" t="str">
        <f>TEXT(Table1[[#This Row],[Admission Date]],"MMMM")</f>
        <v>October</v>
      </c>
      <c r="E4013" s="3">
        <v>44856</v>
      </c>
      <c r="F4013" s="3">
        <v>44856</v>
      </c>
      <c r="G4013" s="2">
        <v>22028123</v>
      </c>
      <c r="H4013" s="2">
        <v>2236400</v>
      </c>
      <c r="I4013" s="2">
        <v>1001182239</v>
      </c>
      <c r="J4013" s="2" t="s">
        <v>38</v>
      </c>
      <c r="K4013" s="10">
        <v>191561</v>
      </c>
      <c r="L4013" s="10">
        <v>191561</v>
      </c>
      <c r="M4013" s="10">
        <v>0</v>
      </c>
      <c r="N4013" s="10">
        <v>0</v>
      </c>
      <c r="O4013" s="10">
        <f>Table1[[#This Row],[NET Amount]]-Table1[[#This Row],[Paid Amount]]</f>
        <v>0</v>
      </c>
      <c r="P4013" s="2" t="s">
        <v>23</v>
      </c>
      <c r="Q4013" s="2" t="s">
        <v>90</v>
      </c>
      <c r="R4013" s="16" t="e">
        <f>(Table1[[#This Row],[NET Amount]]-Table1[[#This Row],[Total Outstanding Amount]])/Table1[[#This Row],[NET Amount]]</f>
        <v>#DIV/0!</v>
      </c>
      <c r="S4013" s="2" t="s">
        <v>39</v>
      </c>
    </row>
    <row r="4014" spans="1:19" x14ac:dyDescent="0.3">
      <c r="A4014" s="4">
        <v>4012</v>
      </c>
      <c r="B4014" s="2" t="s">
        <v>380</v>
      </c>
      <c r="C4014" s="3">
        <v>44851</v>
      </c>
      <c r="D4014" s="3" t="str">
        <f>TEXT(Table1[[#This Row],[Admission Date]],"MMMM")</f>
        <v>October</v>
      </c>
      <c r="E4014" s="3">
        <v>44851</v>
      </c>
      <c r="F4014" s="3">
        <v>44851</v>
      </c>
      <c r="G4014" s="2">
        <v>22027380</v>
      </c>
      <c r="H4014" s="2">
        <v>2236288</v>
      </c>
      <c r="I4014" s="2">
        <v>1000891036</v>
      </c>
      <c r="J4014" s="2" t="s">
        <v>399</v>
      </c>
      <c r="K4014" s="10">
        <v>1274</v>
      </c>
      <c r="L4014" s="10">
        <v>0</v>
      </c>
      <c r="M4014" s="10">
        <v>1274</v>
      </c>
      <c r="N4014" s="10">
        <v>0</v>
      </c>
      <c r="O4014" s="10">
        <f>Table1[[#This Row],[NET Amount]]-Table1[[#This Row],[Paid Amount]]</f>
        <v>1274</v>
      </c>
      <c r="P4014" s="2" t="s">
        <v>23</v>
      </c>
      <c r="Q4014" s="2" t="s">
        <v>54</v>
      </c>
      <c r="R4014" s="16">
        <f>(Table1[[#This Row],[NET Amount]]-Table1[[#This Row],[Total Outstanding Amount]])/Table1[[#This Row],[NET Amount]]</f>
        <v>0</v>
      </c>
      <c r="S4014" s="2" t="s">
        <v>97</v>
      </c>
    </row>
    <row r="4015" spans="1:19" x14ac:dyDescent="0.3">
      <c r="A4015" s="4">
        <v>4013</v>
      </c>
      <c r="B4015" s="2" t="s">
        <v>380</v>
      </c>
      <c r="C4015" s="3">
        <v>44837</v>
      </c>
      <c r="D4015" s="3" t="str">
        <f>TEXT(Table1[[#This Row],[Admission Date]],"MMMM")</f>
        <v>October</v>
      </c>
      <c r="E4015" s="3">
        <v>44837</v>
      </c>
      <c r="F4015" s="3">
        <v>44837</v>
      </c>
      <c r="G4015" s="2">
        <v>22025404</v>
      </c>
      <c r="H4015" s="2">
        <v>2234395</v>
      </c>
      <c r="I4015" s="2">
        <v>1000947753</v>
      </c>
      <c r="J4015" s="2" t="s">
        <v>432</v>
      </c>
      <c r="K4015" s="10">
        <v>1274</v>
      </c>
      <c r="L4015" s="10">
        <v>0</v>
      </c>
      <c r="M4015" s="10">
        <v>1274</v>
      </c>
      <c r="N4015" s="10">
        <v>0</v>
      </c>
      <c r="O4015" s="10">
        <f>Table1[[#This Row],[NET Amount]]-Table1[[#This Row],[Paid Amount]]</f>
        <v>1274</v>
      </c>
      <c r="P4015" s="2" t="s">
        <v>23</v>
      </c>
      <c r="Q4015" s="2" t="s">
        <v>54</v>
      </c>
      <c r="R4015" s="16">
        <f>(Table1[[#This Row],[NET Amount]]-Table1[[#This Row],[Total Outstanding Amount]])/Table1[[#This Row],[NET Amount]]</f>
        <v>0</v>
      </c>
      <c r="S4015" s="2" t="s">
        <v>97</v>
      </c>
    </row>
    <row r="4016" spans="1:19" x14ac:dyDescent="0.3">
      <c r="A4016" s="4">
        <v>4014</v>
      </c>
      <c r="B4016" s="2" t="s">
        <v>2263</v>
      </c>
      <c r="C4016" s="3">
        <v>44861</v>
      </c>
      <c r="D4016" s="3" t="str">
        <f>TEXT(Table1[[#This Row],[Admission Date]],"MMMM")</f>
        <v>October</v>
      </c>
      <c r="E4016" s="3">
        <v>44861</v>
      </c>
      <c r="F4016" s="3">
        <v>44861</v>
      </c>
      <c r="G4016" s="2">
        <v>22028727</v>
      </c>
      <c r="H4016" s="2">
        <v>2237615</v>
      </c>
      <c r="I4016" s="2">
        <v>1001666089</v>
      </c>
      <c r="J4016" s="2" t="s">
        <v>809</v>
      </c>
      <c r="K4016" s="10">
        <v>1274</v>
      </c>
      <c r="L4016" s="10">
        <v>0</v>
      </c>
      <c r="M4016" s="10">
        <v>1274</v>
      </c>
      <c r="N4016" s="10">
        <v>0</v>
      </c>
      <c r="O4016" s="10">
        <f>Table1[[#This Row],[NET Amount]]-Table1[[#This Row],[Paid Amount]]</f>
        <v>1274</v>
      </c>
      <c r="P4016" s="2" t="s">
        <v>23</v>
      </c>
      <c r="Q4016" s="2" t="s">
        <v>54</v>
      </c>
      <c r="R4016" s="16">
        <f>(Table1[[#This Row],[NET Amount]]-Table1[[#This Row],[Total Outstanding Amount]])/Table1[[#This Row],[NET Amount]]</f>
        <v>0</v>
      </c>
      <c r="S4016" s="2" t="s">
        <v>97</v>
      </c>
    </row>
    <row r="4017" spans="1:19" x14ac:dyDescent="0.3">
      <c r="A4017" s="4">
        <v>4015</v>
      </c>
      <c r="B4017" s="2" t="s">
        <v>380</v>
      </c>
      <c r="C4017" s="3">
        <v>44837</v>
      </c>
      <c r="D4017" s="3" t="str">
        <f>TEXT(Table1[[#This Row],[Admission Date]],"MMMM")</f>
        <v>October</v>
      </c>
      <c r="E4017" s="3">
        <v>44837</v>
      </c>
      <c r="F4017" s="3">
        <v>44837</v>
      </c>
      <c r="G4017" s="2">
        <v>22025457</v>
      </c>
      <c r="H4017" s="2">
        <v>2234474</v>
      </c>
      <c r="I4017" s="2">
        <v>10013292990</v>
      </c>
      <c r="J4017" s="2" t="s">
        <v>779</v>
      </c>
      <c r="K4017" s="10">
        <v>1274</v>
      </c>
      <c r="L4017" s="10">
        <v>0</v>
      </c>
      <c r="M4017" s="10">
        <v>1274</v>
      </c>
      <c r="N4017" s="10">
        <v>0</v>
      </c>
      <c r="O4017" s="10">
        <f>Table1[[#This Row],[NET Amount]]-Table1[[#This Row],[Paid Amount]]</f>
        <v>1274</v>
      </c>
      <c r="P4017" s="2" t="s">
        <v>23</v>
      </c>
      <c r="Q4017" s="2" t="s">
        <v>54</v>
      </c>
      <c r="R4017" s="16">
        <f>(Table1[[#This Row],[NET Amount]]-Table1[[#This Row],[Total Outstanding Amount]])/Table1[[#This Row],[NET Amount]]</f>
        <v>0</v>
      </c>
      <c r="S4017" s="2" t="s">
        <v>97</v>
      </c>
    </row>
    <row r="4018" spans="1:19" x14ac:dyDescent="0.3">
      <c r="A4018" s="4">
        <v>4016</v>
      </c>
      <c r="B4018" s="2" t="s">
        <v>2260</v>
      </c>
      <c r="C4018" s="3">
        <v>44844</v>
      </c>
      <c r="D4018" s="3" t="str">
        <f>TEXT(Table1[[#This Row],[Admission Date]],"MMMM")</f>
        <v>October</v>
      </c>
      <c r="E4018" s="3">
        <v>44844</v>
      </c>
      <c r="F4018" s="3">
        <v>44844</v>
      </c>
      <c r="G4018" s="2">
        <v>22026428</v>
      </c>
      <c r="H4018" s="2">
        <v>2235403</v>
      </c>
      <c r="I4018" s="2">
        <v>1001756832</v>
      </c>
      <c r="J4018" s="2" t="s">
        <v>326</v>
      </c>
      <c r="K4018" s="10">
        <v>1610</v>
      </c>
      <c r="L4018" s="10">
        <v>0</v>
      </c>
      <c r="M4018" s="10">
        <v>1610</v>
      </c>
      <c r="N4018" s="10">
        <v>0</v>
      </c>
      <c r="O4018" s="10">
        <f>Table1[[#This Row],[NET Amount]]-Table1[[#This Row],[Paid Amount]]</f>
        <v>1610</v>
      </c>
      <c r="P4018" s="2" t="s">
        <v>23</v>
      </c>
      <c r="Q4018" s="2" t="s">
        <v>54</v>
      </c>
      <c r="R4018" s="16">
        <f>(Table1[[#This Row],[NET Amount]]-Table1[[#This Row],[Total Outstanding Amount]])/Table1[[#This Row],[NET Amount]]</f>
        <v>0</v>
      </c>
      <c r="S4018" s="2" t="s">
        <v>97</v>
      </c>
    </row>
    <row r="4019" spans="1:19" x14ac:dyDescent="0.3">
      <c r="A4019" s="4">
        <v>4017</v>
      </c>
      <c r="B4019" s="2" t="s">
        <v>115</v>
      </c>
      <c r="C4019" s="3">
        <v>44854</v>
      </c>
      <c r="D4019" s="3" t="str">
        <f>TEXT(Table1[[#This Row],[Admission Date]],"MMMM")</f>
        <v>October</v>
      </c>
      <c r="E4019" s="3">
        <v>44854</v>
      </c>
      <c r="F4019" s="3">
        <v>44854</v>
      </c>
      <c r="G4019" s="2">
        <v>22027959</v>
      </c>
      <c r="H4019" s="2">
        <v>2236834</v>
      </c>
      <c r="I4019" s="2">
        <v>1001456152</v>
      </c>
      <c r="J4019" s="2" t="s">
        <v>404</v>
      </c>
      <c r="K4019" s="10">
        <v>2200</v>
      </c>
      <c r="L4019" s="10">
        <v>0</v>
      </c>
      <c r="M4019" s="10">
        <v>2200</v>
      </c>
      <c r="N4019" s="10">
        <v>0</v>
      </c>
      <c r="O4019" s="10">
        <f>Table1[[#This Row],[NET Amount]]-Table1[[#This Row],[Paid Amount]]</f>
        <v>2200</v>
      </c>
      <c r="P4019" s="2" t="s">
        <v>23</v>
      </c>
      <c r="Q4019" s="2" t="s">
        <v>147</v>
      </c>
      <c r="R4019" s="16">
        <f>(Table1[[#This Row],[NET Amount]]-Table1[[#This Row],[Total Outstanding Amount]])/Table1[[#This Row],[NET Amount]]</f>
        <v>0</v>
      </c>
      <c r="S4019" s="2" t="s">
        <v>97</v>
      </c>
    </row>
    <row r="4020" spans="1:19" x14ac:dyDescent="0.3">
      <c r="A4020" s="4">
        <v>4018</v>
      </c>
      <c r="B4020" s="2" t="s">
        <v>2263</v>
      </c>
      <c r="C4020" s="3">
        <v>44835</v>
      </c>
      <c r="D4020" s="3" t="str">
        <f>TEXT(Table1[[#This Row],[Admission Date]],"MMMM")</f>
        <v>October</v>
      </c>
      <c r="E4020" s="3">
        <v>44835</v>
      </c>
      <c r="F4020" s="3">
        <v>44835</v>
      </c>
      <c r="G4020" s="2">
        <v>22025235</v>
      </c>
      <c r="H4020" s="2">
        <v>2234248</v>
      </c>
      <c r="I4020" s="2">
        <v>1001677731</v>
      </c>
      <c r="J4020" s="2" t="s">
        <v>397</v>
      </c>
      <c r="K4020" s="10">
        <v>1274</v>
      </c>
      <c r="L4020" s="10">
        <v>0</v>
      </c>
      <c r="M4020" s="10">
        <v>1274</v>
      </c>
      <c r="N4020" s="10">
        <v>0</v>
      </c>
      <c r="O4020" s="10">
        <f>Table1[[#This Row],[NET Amount]]-Table1[[#This Row],[Paid Amount]]</f>
        <v>1274</v>
      </c>
      <c r="P4020" s="2" t="s">
        <v>23</v>
      </c>
      <c r="Q4020" s="2" t="s">
        <v>54</v>
      </c>
      <c r="R4020" s="16">
        <f>(Table1[[#This Row],[NET Amount]]-Table1[[#This Row],[Total Outstanding Amount]])/Table1[[#This Row],[NET Amount]]</f>
        <v>0</v>
      </c>
      <c r="S4020" s="2" t="s">
        <v>97</v>
      </c>
    </row>
    <row r="4021" spans="1:19" x14ac:dyDescent="0.3">
      <c r="A4021" s="4">
        <v>4019</v>
      </c>
      <c r="B4021" s="2" t="s">
        <v>2263</v>
      </c>
      <c r="C4021" s="3">
        <v>44863</v>
      </c>
      <c r="D4021" s="3" t="str">
        <f>TEXT(Table1[[#This Row],[Admission Date]],"MMMM")</f>
        <v>October</v>
      </c>
      <c r="E4021" s="3">
        <v>44863</v>
      </c>
      <c r="F4021" s="3">
        <v>44863</v>
      </c>
      <c r="G4021" s="2">
        <v>22029151</v>
      </c>
      <c r="H4021" s="2">
        <v>2238013</v>
      </c>
      <c r="I4021" s="2">
        <v>1001777331</v>
      </c>
      <c r="J4021" s="2" t="s">
        <v>791</v>
      </c>
      <c r="K4021" s="10">
        <v>1274</v>
      </c>
      <c r="L4021" s="10">
        <v>0</v>
      </c>
      <c r="M4021" s="10">
        <v>1274</v>
      </c>
      <c r="N4021" s="10">
        <v>0</v>
      </c>
      <c r="O4021" s="10">
        <f>Table1[[#This Row],[NET Amount]]-Table1[[#This Row],[Paid Amount]]</f>
        <v>1274</v>
      </c>
      <c r="P4021" s="2" t="s">
        <v>23</v>
      </c>
      <c r="Q4021" s="2" t="s">
        <v>54</v>
      </c>
      <c r="R4021" s="16">
        <f>(Table1[[#This Row],[NET Amount]]-Table1[[#This Row],[Total Outstanding Amount]])/Table1[[#This Row],[NET Amount]]</f>
        <v>0</v>
      </c>
      <c r="S4021" s="2" t="s">
        <v>97</v>
      </c>
    </row>
    <row r="4022" spans="1:19" x14ac:dyDescent="0.3">
      <c r="A4022" s="4">
        <v>4020</v>
      </c>
      <c r="B4022" s="2" t="s">
        <v>380</v>
      </c>
      <c r="C4022" s="3">
        <v>44840</v>
      </c>
      <c r="D4022" s="3" t="str">
        <f>TEXT(Table1[[#This Row],[Admission Date]],"MMMM")</f>
        <v>October</v>
      </c>
      <c r="E4022" s="3">
        <v>44840</v>
      </c>
      <c r="F4022" s="3">
        <v>44840</v>
      </c>
      <c r="G4022" s="2">
        <v>22025916</v>
      </c>
      <c r="H4022" s="2">
        <v>2234947</v>
      </c>
      <c r="I4022" s="2">
        <v>1001092597</v>
      </c>
      <c r="J4022" s="2" t="s">
        <v>384</v>
      </c>
      <c r="K4022" s="10">
        <v>1274</v>
      </c>
      <c r="L4022" s="10">
        <v>0</v>
      </c>
      <c r="M4022" s="10">
        <v>1274</v>
      </c>
      <c r="N4022" s="10">
        <v>0</v>
      </c>
      <c r="O4022" s="10">
        <f>Table1[[#This Row],[NET Amount]]-Table1[[#This Row],[Paid Amount]]</f>
        <v>1274</v>
      </c>
      <c r="P4022" s="2" t="s">
        <v>23</v>
      </c>
      <c r="Q4022" s="2" t="s">
        <v>54</v>
      </c>
      <c r="R4022" s="16">
        <f>(Table1[[#This Row],[NET Amount]]-Table1[[#This Row],[Total Outstanding Amount]])/Table1[[#This Row],[NET Amount]]</f>
        <v>0</v>
      </c>
      <c r="S4022" s="2" t="s">
        <v>97</v>
      </c>
    </row>
    <row r="4023" spans="1:19" x14ac:dyDescent="0.3">
      <c r="A4023" s="4">
        <v>4021</v>
      </c>
      <c r="B4023" s="2" t="s">
        <v>2263</v>
      </c>
      <c r="C4023" s="3">
        <v>44859</v>
      </c>
      <c r="D4023" s="3" t="str">
        <f>TEXT(Table1[[#This Row],[Admission Date]],"MMMM")</f>
        <v>October</v>
      </c>
      <c r="E4023" s="3">
        <v>44859</v>
      </c>
      <c r="F4023" s="3">
        <v>44859</v>
      </c>
      <c r="G4023" s="2">
        <v>22028558</v>
      </c>
      <c r="H4023" s="2">
        <v>2237377</v>
      </c>
      <c r="I4023" s="2">
        <v>1001527101</v>
      </c>
      <c r="J4023" s="2" t="s">
        <v>795</v>
      </c>
      <c r="K4023" s="10">
        <v>1274</v>
      </c>
      <c r="L4023" s="10">
        <v>0</v>
      </c>
      <c r="M4023" s="10">
        <v>1274</v>
      </c>
      <c r="N4023" s="10">
        <v>0</v>
      </c>
      <c r="O4023" s="10">
        <f>Table1[[#This Row],[NET Amount]]-Table1[[#This Row],[Paid Amount]]</f>
        <v>1274</v>
      </c>
      <c r="P4023" s="2" t="s">
        <v>23</v>
      </c>
      <c r="Q4023" s="2" t="s">
        <v>54</v>
      </c>
      <c r="R4023" s="16">
        <f>(Table1[[#This Row],[NET Amount]]-Table1[[#This Row],[Total Outstanding Amount]])/Table1[[#This Row],[NET Amount]]</f>
        <v>0</v>
      </c>
      <c r="S4023" s="2" t="s">
        <v>97</v>
      </c>
    </row>
    <row r="4024" spans="1:19" x14ac:dyDescent="0.3">
      <c r="A4024" s="4">
        <v>4022</v>
      </c>
      <c r="B4024" s="2" t="s">
        <v>2263</v>
      </c>
      <c r="C4024" s="3">
        <v>44855</v>
      </c>
      <c r="D4024" s="3" t="str">
        <f>TEXT(Table1[[#This Row],[Admission Date]],"MMMM")</f>
        <v>October</v>
      </c>
      <c r="E4024" s="3">
        <v>44855</v>
      </c>
      <c r="F4024" s="3">
        <v>44855</v>
      </c>
      <c r="G4024" s="2">
        <v>22027976</v>
      </c>
      <c r="H4024" s="2">
        <v>2236871</v>
      </c>
      <c r="I4024" s="2">
        <v>1001449196</v>
      </c>
      <c r="J4024" s="2" t="s">
        <v>398</v>
      </c>
      <c r="K4024" s="10">
        <v>1274</v>
      </c>
      <c r="L4024" s="10">
        <v>0</v>
      </c>
      <c r="M4024" s="10">
        <v>1274</v>
      </c>
      <c r="N4024" s="10">
        <v>0</v>
      </c>
      <c r="O4024" s="10">
        <f>Table1[[#This Row],[NET Amount]]-Table1[[#This Row],[Paid Amount]]</f>
        <v>1274</v>
      </c>
      <c r="P4024" s="2" t="s">
        <v>23</v>
      </c>
      <c r="Q4024" s="2" t="s">
        <v>54</v>
      </c>
      <c r="R4024" s="16">
        <f>(Table1[[#This Row],[NET Amount]]-Table1[[#This Row],[Total Outstanding Amount]])/Table1[[#This Row],[NET Amount]]</f>
        <v>0</v>
      </c>
      <c r="S4024" s="2" t="s">
        <v>97</v>
      </c>
    </row>
    <row r="4025" spans="1:19" x14ac:dyDescent="0.3">
      <c r="A4025" s="4">
        <v>4023</v>
      </c>
      <c r="B4025" s="2" t="s">
        <v>115</v>
      </c>
      <c r="C4025" s="3">
        <v>44851</v>
      </c>
      <c r="D4025" s="3" t="str">
        <f>TEXT(Table1[[#This Row],[Admission Date]],"MMMM")</f>
        <v>October</v>
      </c>
      <c r="E4025" s="3">
        <v>44851</v>
      </c>
      <c r="F4025" s="3">
        <v>44851</v>
      </c>
      <c r="G4025" s="2">
        <v>22027504</v>
      </c>
      <c r="H4025" s="2">
        <v>2236420</v>
      </c>
      <c r="I4025" s="2">
        <v>1001456152</v>
      </c>
      <c r="J4025" s="2" t="s">
        <v>404</v>
      </c>
      <c r="K4025" s="10">
        <v>2200</v>
      </c>
      <c r="L4025" s="10">
        <v>0</v>
      </c>
      <c r="M4025" s="10">
        <v>2200</v>
      </c>
      <c r="N4025" s="10">
        <v>0</v>
      </c>
      <c r="O4025" s="10">
        <f>Table1[[#This Row],[NET Amount]]-Table1[[#This Row],[Paid Amount]]</f>
        <v>2200</v>
      </c>
      <c r="P4025" s="2" t="s">
        <v>23</v>
      </c>
      <c r="Q4025" s="2" t="s">
        <v>147</v>
      </c>
      <c r="R4025" s="16">
        <f>(Table1[[#This Row],[NET Amount]]-Table1[[#This Row],[Total Outstanding Amount]])/Table1[[#This Row],[NET Amount]]</f>
        <v>0</v>
      </c>
      <c r="S4025" s="2" t="s">
        <v>97</v>
      </c>
    </row>
    <row r="4026" spans="1:19" x14ac:dyDescent="0.3">
      <c r="A4026" s="4">
        <v>4024</v>
      </c>
      <c r="B4026" s="2" t="s">
        <v>2253</v>
      </c>
      <c r="C4026" s="3">
        <v>44853</v>
      </c>
      <c r="D4026" s="3" t="str">
        <f>TEXT(Table1[[#This Row],[Admission Date]],"MMMM")</f>
        <v>October</v>
      </c>
      <c r="E4026" s="3">
        <v>44853</v>
      </c>
      <c r="F4026" s="3">
        <v>44853</v>
      </c>
      <c r="G4026" s="2">
        <v>22027743</v>
      </c>
      <c r="H4026" s="2">
        <v>2236631</v>
      </c>
      <c r="I4026" s="2">
        <v>1001736024</v>
      </c>
      <c r="J4026" s="2" t="s">
        <v>442</v>
      </c>
      <c r="K4026" s="10">
        <v>1610</v>
      </c>
      <c r="L4026" s="10">
        <v>0</v>
      </c>
      <c r="M4026" s="10">
        <v>1610</v>
      </c>
      <c r="N4026" s="10">
        <v>0</v>
      </c>
      <c r="O4026" s="10">
        <f>Table1[[#This Row],[NET Amount]]-Table1[[#This Row],[Paid Amount]]</f>
        <v>1610</v>
      </c>
      <c r="P4026" s="2" t="s">
        <v>23</v>
      </c>
      <c r="Q4026" s="2" t="s">
        <v>54</v>
      </c>
      <c r="R4026" s="16">
        <f>(Table1[[#This Row],[NET Amount]]-Table1[[#This Row],[Total Outstanding Amount]])/Table1[[#This Row],[NET Amount]]</f>
        <v>0</v>
      </c>
      <c r="S4026" s="2" t="s">
        <v>97</v>
      </c>
    </row>
    <row r="4027" spans="1:19" x14ac:dyDescent="0.3">
      <c r="A4027" s="4">
        <v>4025</v>
      </c>
      <c r="B4027" s="2" t="s">
        <v>2253</v>
      </c>
      <c r="C4027" s="3">
        <v>44838</v>
      </c>
      <c r="D4027" s="3" t="str">
        <f>TEXT(Table1[[#This Row],[Admission Date]],"MMMM")</f>
        <v>October</v>
      </c>
      <c r="E4027" s="3">
        <v>44838</v>
      </c>
      <c r="F4027" s="3">
        <v>44838</v>
      </c>
      <c r="G4027" s="2">
        <v>22025492</v>
      </c>
      <c r="H4027" s="2">
        <v>2234506</v>
      </c>
      <c r="I4027" s="2">
        <v>10013503569</v>
      </c>
      <c r="J4027" s="2" t="s">
        <v>440</v>
      </c>
      <c r="K4027" s="10">
        <v>1610</v>
      </c>
      <c r="L4027" s="10">
        <v>0</v>
      </c>
      <c r="M4027" s="10">
        <v>1610</v>
      </c>
      <c r="N4027" s="10">
        <v>0</v>
      </c>
      <c r="O4027" s="10">
        <f>Table1[[#This Row],[NET Amount]]-Table1[[#This Row],[Paid Amount]]</f>
        <v>1610</v>
      </c>
      <c r="P4027" s="2" t="s">
        <v>23</v>
      </c>
      <c r="Q4027" s="2" t="s">
        <v>54</v>
      </c>
      <c r="R4027" s="16">
        <f>(Table1[[#This Row],[NET Amount]]-Table1[[#This Row],[Total Outstanding Amount]])/Table1[[#This Row],[NET Amount]]</f>
        <v>0</v>
      </c>
      <c r="S4027" s="2" t="s">
        <v>97</v>
      </c>
    </row>
    <row r="4028" spans="1:19" x14ac:dyDescent="0.3">
      <c r="A4028" s="4">
        <v>4026</v>
      </c>
      <c r="B4028" s="2" t="s">
        <v>2253</v>
      </c>
      <c r="C4028" s="3">
        <v>44851</v>
      </c>
      <c r="D4028" s="3" t="str">
        <f>TEXT(Table1[[#This Row],[Admission Date]],"MMMM")</f>
        <v>October</v>
      </c>
      <c r="E4028" s="3">
        <v>44851</v>
      </c>
      <c r="F4028" s="3">
        <v>44851</v>
      </c>
      <c r="G4028" s="2">
        <v>22027446</v>
      </c>
      <c r="H4028" s="2">
        <v>2236346</v>
      </c>
      <c r="I4028" s="2">
        <v>1001692673</v>
      </c>
      <c r="J4028" s="2" t="s">
        <v>383</v>
      </c>
      <c r="K4028" s="10">
        <v>1610</v>
      </c>
      <c r="L4028" s="10">
        <v>0</v>
      </c>
      <c r="M4028" s="10">
        <v>1610</v>
      </c>
      <c r="N4028" s="10">
        <v>0</v>
      </c>
      <c r="O4028" s="10">
        <f>Table1[[#This Row],[NET Amount]]-Table1[[#This Row],[Paid Amount]]</f>
        <v>1610</v>
      </c>
      <c r="P4028" s="2" t="s">
        <v>23</v>
      </c>
      <c r="Q4028" s="2" t="s">
        <v>54</v>
      </c>
      <c r="R4028" s="16">
        <f>(Table1[[#This Row],[NET Amount]]-Table1[[#This Row],[Total Outstanding Amount]])/Table1[[#This Row],[NET Amount]]</f>
        <v>0</v>
      </c>
      <c r="S4028" s="2" t="s">
        <v>97</v>
      </c>
    </row>
    <row r="4029" spans="1:19" x14ac:dyDescent="0.3">
      <c r="A4029" s="4">
        <v>4027</v>
      </c>
      <c r="B4029" s="2" t="s">
        <v>380</v>
      </c>
      <c r="C4029" s="3">
        <v>44857</v>
      </c>
      <c r="D4029" s="3" t="str">
        <f>TEXT(Table1[[#This Row],[Admission Date]],"MMMM")</f>
        <v>October</v>
      </c>
      <c r="E4029" s="3">
        <v>44857</v>
      </c>
      <c r="F4029" s="3">
        <v>44857</v>
      </c>
      <c r="G4029" s="2">
        <v>22028410</v>
      </c>
      <c r="H4029" s="2">
        <v>2237197</v>
      </c>
      <c r="I4029" s="2">
        <v>1001004027</v>
      </c>
      <c r="J4029" s="2" t="s">
        <v>454</v>
      </c>
      <c r="K4029" s="10">
        <v>1274</v>
      </c>
      <c r="L4029" s="10">
        <v>0</v>
      </c>
      <c r="M4029" s="10">
        <v>1274</v>
      </c>
      <c r="N4029" s="10">
        <v>0</v>
      </c>
      <c r="O4029" s="10">
        <f>Table1[[#This Row],[NET Amount]]-Table1[[#This Row],[Paid Amount]]</f>
        <v>1274</v>
      </c>
      <c r="P4029" s="2" t="s">
        <v>23</v>
      </c>
      <c r="Q4029" s="2" t="s">
        <v>54</v>
      </c>
      <c r="R4029" s="16">
        <f>(Table1[[#This Row],[NET Amount]]-Table1[[#This Row],[Total Outstanding Amount]])/Table1[[#This Row],[NET Amount]]</f>
        <v>0</v>
      </c>
      <c r="S4029" s="2" t="s">
        <v>97</v>
      </c>
    </row>
    <row r="4030" spans="1:19" x14ac:dyDescent="0.3">
      <c r="A4030" s="4">
        <v>4028</v>
      </c>
      <c r="B4030" s="2" t="s">
        <v>149</v>
      </c>
      <c r="C4030" s="3">
        <v>44862</v>
      </c>
      <c r="D4030" s="3" t="str">
        <f>TEXT(Table1[[#This Row],[Admission Date]],"MMMM")</f>
        <v>October</v>
      </c>
      <c r="E4030" s="3">
        <v>44862</v>
      </c>
      <c r="F4030" s="3">
        <v>44862</v>
      </c>
      <c r="G4030" s="2">
        <v>22028849</v>
      </c>
      <c r="H4030" s="2">
        <v>2237761</v>
      </c>
      <c r="I4030" s="2">
        <v>10013477952</v>
      </c>
      <c r="J4030" s="2" t="s">
        <v>781</v>
      </c>
      <c r="K4030" s="10">
        <v>2240</v>
      </c>
      <c r="L4030" s="10">
        <v>0</v>
      </c>
      <c r="M4030" s="10">
        <v>2240</v>
      </c>
      <c r="N4030" s="10">
        <v>0</v>
      </c>
      <c r="O4030" s="10">
        <f>Table1[[#This Row],[NET Amount]]-Table1[[#This Row],[Paid Amount]]</f>
        <v>2240</v>
      </c>
      <c r="P4030" s="2" t="s">
        <v>23</v>
      </c>
      <c r="Q4030" s="2" t="s">
        <v>54</v>
      </c>
      <c r="R4030" s="16">
        <f>(Table1[[#This Row],[NET Amount]]-Table1[[#This Row],[Total Outstanding Amount]])/Table1[[#This Row],[NET Amount]]</f>
        <v>0</v>
      </c>
      <c r="S4030" s="2" t="s">
        <v>97</v>
      </c>
    </row>
    <row r="4031" spans="1:19" x14ac:dyDescent="0.3">
      <c r="A4031" s="4">
        <v>4029</v>
      </c>
      <c r="B4031" s="2" t="s">
        <v>25</v>
      </c>
      <c r="C4031" s="3">
        <v>44839</v>
      </c>
      <c r="D4031" s="3" t="str">
        <f>TEXT(Table1[[#This Row],[Admission Date]],"MMMM")</f>
        <v>October</v>
      </c>
      <c r="E4031" s="3">
        <v>44839</v>
      </c>
      <c r="F4031" s="3">
        <v>44839</v>
      </c>
      <c r="G4031" s="2">
        <v>22025729</v>
      </c>
      <c r="H4031" s="2">
        <v>2234725</v>
      </c>
      <c r="I4031" s="2">
        <v>10013230754</v>
      </c>
      <c r="J4031" s="2" t="s">
        <v>102</v>
      </c>
      <c r="K4031" s="10">
        <v>4990</v>
      </c>
      <c r="L4031" s="10">
        <v>1176</v>
      </c>
      <c r="M4031" s="10">
        <v>3814</v>
      </c>
      <c r="N4031" s="10">
        <v>0</v>
      </c>
      <c r="O4031" s="10">
        <f>Table1[[#This Row],[NET Amount]]-Table1[[#This Row],[Paid Amount]]</f>
        <v>3814</v>
      </c>
      <c r="P4031" s="2" t="s">
        <v>23</v>
      </c>
      <c r="Q4031" s="2" t="s">
        <v>54</v>
      </c>
      <c r="R4031" s="16">
        <f>(Table1[[#This Row],[NET Amount]]-Table1[[#This Row],[Total Outstanding Amount]])/Table1[[#This Row],[NET Amount]]</f>
        <v>0</v>
      </c>
      <c r="S4031" s="2" t="s">
        <v>97</v>
      </c>
    </row>
    <row r="4032" spans="1:19" x14ac:dyDescent="0.3">
      <c r="A4032" s="4">
        <v>4030</v>
      </c>
      <c r="B4032" s="2" t="s">
        <v>2219</v>
      </c>
      <c r="C4032" s="3">
        <v>44856</v>
      </c>
      <c r="D4032" s="3" t="str">
        <f>TEXT(Table1[[#This Row],[Admission Date]],"MMMM")</f>
        <v>October</v>
      </c>
      <c r="E4032" s="3">
        <v>44856</v>
      </c>
      <c r="F4032" s="3">
        <v>44856</v>
      </c>
      <c r="G4032" s="2">
        <v>22028255</v>
      </c>
      <c r="H4032" s="2">
        <v>2237052</v>
      </c>
      <c r="I4032" s="2">
        <v>1001078094</v>
      </c>
      <c r="J4032" s="2" t="s">
        <v>2220</v>
      </c>
      <c r="K4032" s="10">
        <v>15209</v>
      </c>
      <c r="L4032" s="10">
        <v>0</v>
      </c>
      <c r="M4032" s="10">
        <v>15209</v>
      </c>
      <c r="N4032" s="10">
        <v>0</v>
      </c>
      <c r="O4032" s="10">
        <f>Table1[[#This Row],[NET Amount]]-Table1[[#This Row],[Paid Amount]]</f>
        <v>15209</v>
      </c>
      <c r="P4032" s="2" t="s">
        <v>23</v>
      </c>
      <c r="Q4032" s="2" t="s">
        <v>30</v>
      </c>
      <c r="R4032" s="16">
        <f>(Table1[[#This Row],[NET Amount]]-Table1[[#This Row],[Total Outstanding Amount]])/Table1[[#This Row],[NET Amount]]</f>
        <v>0</v>
      </c>
      <c r="S4032" s="2" t="s">
        <v>39</v>
      </c>
    </row>
    <row r="4033" spans="1:19" x14ac:dyDescent="0.3">
      <c r="A4033" s="4">
        <v>4031</v>
      </c>
      <c r="B4033" s="2" t="s">
        <v>2258</v>
      </c>
      <c r="C4033" s="3">
        <v>44852</v>
      </c>
      <c r="D4033" s="3" t="str">
        <f>TEXT(Table1[[#This Row],[Admission Date]],"MMMM")</f>
        <v>October</v>
      </c>
      <c r="E4033" s="3">
        <v>44852</v>
      </c>
      <c r="F4033" s="3">
        <v>44852</v>
      </c>
      <c r="G4033" s="2">
        <v>22027593</v>
      </c>
      <c r="H4033" s="2">
        <v>2236491</v>
      </c>
      <c r="I4033" s="2">
        <v>1001797077</v>
      </c>
      <c r="J4033" s="2" t="s">
        <v>468</v>
      </c>
      <c r="K4033" s="10">
        <v>1610</v>
      </c>
      <c r="L4033" s="10">
        <v>0</v>
      </c>
      <c r="M4033" s="10">
        <v>1610</v>
      </c>
      <c r="N4033" s="10">
        <v>0</v>
      </c>
      <c r="O4033" s="10">
        <f>Table1[[#This Row],[NET Amount]]-Table1[[#This Row],[Paid Amount]]</f>
        <v>1610</v>
      </c>
      <c r="P4033" s="2" t="s">
        <v>23</v>
      </c>
      <c r="Q4033" s="2" t="s">
        <v>54</v>
      </c>
      <c r="R4033" s="16">
        <f>(Table1[[#This Row],[NET Amount]]-Table1[[#This Row],[Total Outstanding Amount]])/Table1[[#This Row],[NET Amount]]</f>
        <v>0</v>
      </c>
      <c r="S4033" s="2" t="s">
        <v>97</v>
      </c>
    </row>
    <row r="4034" spans="1:19" x14ac:dyDescent="0.3">
      <c r="A4034" s="4">
        <v>4032</v>
      </c>
      <c r="B4034" s="2" t="s">
        <v>380</v>
      </c>
      <c r="C4034" s="3">
        <v>44860</v>
      </c>
      <c r="D4034" s="3" t="str">
        <f>TEXT(Table1[[#This Row],[Admission Date]],"MMMM")</f>
        <v>October</v>
      </c>
      <c r="E4034" s="3">
        <v>44860</v>
      </c>
      <c r="F4034" s="3">
        <v>44860</v>
      </c>
      <c r="G4034" s="2">
        <v>22028659</v>
      </c>
      <c r="H4034" s="2">
        <v>2237467</v>
      </c>
      <c r="I4034" s="2">
        <v>10013436995</v>
      </c>
      <c r="J4034" s="2" t="s">
        <v>794</v>
      </c>
      <c r="K4034" s="10">
        <v>1274</v>
      </c>
      <c r="L4034" s="10">
        <v>0</v>
      </c>
      <c r="M4034" s="10">
        <v>1274</v>
      </c>
      <c r="N4034" s="10">
        <v>0</v>
      </c>
      <c r="O4034" s="10">
        <f>Table1[[#This Row],[NET Amount]]-Table1[[#This Row],[Paid Amount]]</f>
        <v>1274</v>
      </c>
      <c r="P4034" s="2" t="s">
        <v>23</v>
      </c>
      <c r="Q4034" s="2" t="s">
        <v>54</v>
      </c>
      <c r="R4034" s="16">
        <f>(Table1[[#This Row],[NET Amount]]-Table1[[#This Row],[Total Outstanding Amount]])/Table1[[#This Row],[NET Amount]]</f>
        <v>0</v>
      </c>
      <c r="S4034" s="2" t="s">
        <v>97</v>
      </c>
    </row>
    <row r="4035" spans="1:19" x14ac:dyDescent="0.3">
      <c r="A4035" s="4">
        <v>4033</v>
      </c>
      <c r="B4035" s="2" t="s">
        <v>380</v>
      </c>
      <c r="C4035" s="3">
        <v>44860</v>
      </c>
      <c r="D4035" s="3" t="str">
        <f>TEXT(Table1[[#This Row],[Admission Date]],"MMMM")</f>
        <v>October</v>
      </c>
      <c r="E4035" s="3">
        <v>44860</v>
      </c>
      <c r="F4035" s="3">
        <v>44860</v>
      </c>
      <c r="G4035" s="2">
        <v>22028698</v>
      </c>
      <c r="H4035" s="2">
        <v>2237571</v>
      </c>
      <c r="I4035" s="2">
        <v>10013528076</v>
      </c>
      <c r="J4035" s="2" t="s">
        <v>420</v>
      </c>
      <c r="K4035" s="10">
        <v>1274</v>
      </c>
      <c r="L4035" s="10">
        <v>0</v>
      </c>
      <c r="M4035" s="10">
        <v>1274</v>
      </c>
      <c r="N4035" s="10">
        <v>0</v>
      </c>
      <c r="O4035" s="10">
        <f>Table1[[#This Row],[NET Amount]]-Table1[[#This Row],[Paid Amount]]</f>
        <v>1274</v>
      </c>
      <c r="P4035" s="2" t="s">
        <v>23</v>
      </c>
      <c r="Q4035" s="2" t="s">
        <v>54</v>
      </c>
      <c r="R4035" s="16">
        <f>(Table1[[#This Row],[NET Amount]]-Table1[[#This Row],[Total Outstanding Amount]])/Table1[[#This Row],[NET Amount]]</f>
        <v>0</v>
      </c>
      <c r="S4035" s="2" t="s">
        <v>97</v>
      </c>
    </row>
    <row r="4036" spans="1:19" x14ac:dyDescent="0.3">
      <c r="A4036" s="4">
        <v>4034</v>
      </c>
      <c r="B4036" s="2" t="s">
        <v>380</v>
      </c>
      <c r="C4036" s="3">
        <v>44859</v>
      </c>
      <c r="D4036" s="3" t="str">
        <f>TEXT(Table1[[#This Row],[Admission Date]],"MMMM")</f>
        <v>October</v>
      </c>
      <c r="E4036" s="3">
        <v>44859</v>
      </c>
      <c r="F4036" s="3">
        <v>44859</v>
      </c>
      <c r="G4036" s="2">
        <v>22028568</v>
      </c>
      <c r="H4036" s="2">
        <v>2237401</v>
      </c>
      <c r="I4036" s="2">
        <v>1000891068</v>
      </c>
      <c r="J4036" s="2" t="s">
        <v>1082</v>
      </c>
      <c r="K4036" s="10">
        <v>1274</v>
      </c>
      <c r="L4036" s="10">
        <v>0</v>
      </c>
      <c r="M4036" s="10">
        <v>1274</v>
      </c>
      <c r="N4036" s="10">
        <v>0</v>
      </c>
      <c r="O4036" s="10">
        <f>Table1[[#This Row],[NET Amount]]-Table1[[#This Row],[Paid Amount]]</f>
        <v>1274</v>
      </c>
      <c r="P4036" s="2" t="s">
        <v>23</v>
      </c>
      <c r="Q4036" s="2" t="s">
        <v>54</v>
      </c>
      <c r="R4036" s="16">
        <f>(Table1[[#This Row],[NET Amount]]-Table1[[#This Row],[Total Outstanding Amount]])/Table1[[#This Row],[NET Amount]]</f>
        <v>0</v>
      </c>
      <c r="S4036" s="2" t="s">
        <v>97</v>
      </c>
    </row>
    <row r="4037" spans="1:19" x14ac:dyDescent="0.3">
      <c r="A4037" s="4">
        <v>4035</v>
      </c>
      <c r="B4037" s="2" t="s">
        <v>2253</v>
      </c>
      <c r="C4037" s="3">
        <v>44841</v>
      </c>
      <c r="D4037" s="3" t="str">
        <f>TEXT(Table1[[#This Row],[Admission Date]],"MMMM")</f>
        <v>October</v>
      </c>
      <c r="E4037" s="3">
        <v>44841</v>
      </c>
      <c r="F4037" s="3">
        <v>44841</v>
      </c>
      <c r="G4037" s="2">
        <v>22026013</v>
      </c>
      <c r="H4037" s="2">
        <v>2235031</v>
      </c>
      <c r="I4037" s="2">
        <v>1001736024</v>
      </c>
      <c r="J4037" s="2" t="s">
        <v>442</v>
      </c>
      <c r="K4037" s="10">
        <v>1610</v>
      </c>
      <c r="L4037" s="10">
        <v>0</v>
      </c>
      <c r="M4037" s="10">
        <v>1610</v>
      </c>
      <c r="N4037" s="10">
        <v>0</v>
      </c>
      <c r="O4037" s="10">
        <f>Table1[[#This Row],[NET Amount]]-Table1[[#This Row],[Paid Amount]]</f>
        <v>1610</v>
      </c>
      <c r="P4037" s="2" t="s">
        <v>23</v>
      </c>
      <c r="Q4037" s="2" t="s">
        <v>54</v>
      </c>
      <c r="R4037" s="16">
        <f>(Table1[[#This Row],[NET Amount]]-Table1[[#This Row],[Total Outstanding Amount]])/Table1[[#This Row],[NET Amount]]</f>
        <v>0</v>
      </c>
      <c r="S4037" s="2" t="s">
        <v>97</v>
      </c>
    </row>
    <row r="4038" spans="1:19" x14ac:dyDescent="0.3">
      <c r="A4038" s="4">
        <v>4036</v>
      </c>
      <c r="B4038" s="2" t="s">
        <v>168</v>
      </c>
      <c r="C4038" s="3">
        <v>44859</v>
      </c>
      <c r="D4038" s="3" t="str">
        <f>TEXT(Table1[[#This Row],[Admission Date]],"MMMM")</f>
        <v>October</v>
      </c>
      <c r="E4038" s="3">
        <v>44859</v>
      </c>
      <c r="F4038" s="3">
        <v>44859</v>
      </c>
      <c r="G4038" s="2">
        <v>22028518</v>
      </c>
      <c r="H4038" s="2">
        <v>2237307</v>
      </c>
      <c r="I4038" s="2">
        <v>1001468779</v>
      </c>
      <c r="J4038" s="2" t="s">
        <v>387</v>
      </c>
      <c r="K4038" s="10">
        <v>2200</v>
      </c>
      <c r="L4038" s="10">
        <v>0</v>
      </c>
      <c r="M4038" s="10">
        <v>2200</v>
      </c>
      <c r="N4038" s="10">
        <v>0</v>
      </c>
      <c r="O4038" s="10">
        <f>Table1[[#This Row],[NET Amount]]-Table1[[#This Row],[Paid Amount]]</f>
        <v>2200</v>
      </c>
      <c r="P4038" s="2" t="s">
        <v>23</v>
      </c>
      <c r="Q4038" s="2" t="s">
        <v>147</v>
      </c>
      <c r="R4038" s="16">
        <f>(Table1[[#This Row],[NET Amount]]-Table1[[#This Row],[Total Outstanding Amount]])/Table1[[#This Row],[NET Amount]]</f>
        <v>0</v>
      </c>
      <c r="S4038" s="2" t="s">
        <v>97</v>
      </c>
    </row>
    <row r="4039" spans="1:19" x14ac:dyDescent="0.3">
      <c r="A4039" s="4">
        <v>4037</v>
      </c>
      <c r="B4039" s="2" t="s">
        <v>75</v>
      </c>
      <c r="C4039" s="3">
        <v>44845</v>
      </c>
      <c r="D4039" s="3" t="str">
        <f>TEXT(Table1[[#This Row],[Admission Date]],"MMMM")</f>
        <v>October</v>
      </c>
      <c r="E4039" s="3">
        <v>44845</v>
      </c>
      <c r="F4039" s="3">
        <v>44845</v>
      </c>
      <c r="G4039" s="2">
        <v>22026637</v>
      </c>
      <c r="H4039" s="2">
        <v>2235606</v>
      </c>
      <c r="I4039" s="2">
        <v>10013453991</v>
      </c>
      <c r="J4039" s="2" t="s">
        <v>465</v>
      </c>
      <c r="K4039" s="10">
        <v>1610</v>
      </c>
      <c r="L4039" s="10">
        <v>0</v>
      </c>
      <c r="M4039" s="10">
        <v>1610</v>
      </c>
      <c r="N4039" s="10">
        <v>0</v>
      </c>
      <c r="O4039" s="10">
        <f>Table1[[#This Row],[NET Amount]]-Table1[[#This Row],[Paid Amount]]</f>
        <v>1610</v>
      </c>
      <c r="P4039" s="2" t="s">
        <v>23</v>
      </c>
      <c r="Q4039" s="2" t="s">
        <v>54</v>
      </c>
      <c r="R4039" s="16">
        <f>(Table1[[#This Row],[NET Amount]]-Table1[[#This Row],[Total Outstanding Amount]])/Table1[[#This Row],[NET Amount]]</f>
        <v>0</v>
      </c>
      <c r="S4039" s="2" t="s">
        <v>97</v>
      </c>
    </row>
    <row r="4040" spans="1:19" x14ac:dyDescent="0.3">
      <c r="A4040" s="4">
        <v>4038</v>
      </c>
      <c r="B4040" s="2" t="s">
        <v>155</v>
      </c>
      <c r="C4040" s="3">
        <v>44839</v>
      </c>
      <c r="D4040" s="3" t="str">
        <f>TEXT(Table1[[#This Row],[Admission Date]],"MMMM")</f>
        <v>October</v>
      </c>
      <c r="E4040" s="3">
        <v>44839</v>
      </c>
      <c r="F4040" s="3">
        <v>44839</v>
      </c>
      <c r="G4040" s="2">
        <v>22025771</v>
      </c>
      <c r="H4040" s="2">
        <v>2234755</v>
      </c>
      <c r="I4040" s="2">
        <v>1000979923</v>
      </c>
      <c r="J4040" s="2" t="s">
        <v>785</v>
      </c>
      <c r="K4040" s="10">
        <v>1610</v>
      </c>
      <c r="L4040" s="10">
        <v>0</v>
      </c>
      <c r="M4040" s="10">
        <v>1610</v>
      </c>
      <c r="N4040" s="10">
        <v>0</v>
      </c>
      <c r="O4040" s="10">
        <f>Table1[[#This Row],[NET Amount]]-Table1[[#This Row],[Paid Amount]]</f>
        <v>1610</v>
      </c>
      <c r="P4040" s="2" t="s">
        <v>23</v>
      </c>
      <c r="Q4040" s="2" t="s">
        <v>54</v>
      </c>
      <c r="R4040" s="16">
        <f>(Table1[[#This Row],[NET Amount]]-Table1[[#This Row],[Total Outstanding Amount]])/Table1[[#This Row],[NET Amount]]</f>
        <v>0</v>
      </c>
      <c r="S4040" s="2" t="s">
        <v>97</v>
      </c>
    </row>
    <row r="4041" spans="1:19" x14ac:dyDescent="0.3">
      <c r="A4041" s="4">
        <v>4039</v>
      </c>
      <c r="B4041" s="2" t="s">
        <v>380</v>
      </c>
      <c r="C4041" s="3">
        <v>44835</v>
      </c>
      <c r="D4041" s="3" t="str">
        <f>TEXT(Table1[[#This Row],[Admission Date]],"MMMM")</f>
        <v>October</v>
      </c>
      <c r="E4041" s="3">
        <v>44835</v>
      </c>
      <c r="F4041" s="3">
        <v>44835</v>
      </c>
      <c r="G4041" s="2">
        <v>22025244</v>
      </c>
      <c r="H4041" s="2">
        <v>2234257</v>
      </c>
      <c r="I4041" s="2">
        <v>10013385641</v>
      </c>
      <c r="J4041" s="2" t="s">
        <v>799</v>
      </c>
      <c r="K4041" s="10">
        <v>1274</v>
      </c>
      <c r="L4041" s="10">
        <v>0</v>
      </c>
      <c r="M4041" s="10">
        <v>1274</v>
      </c>
      <c r="N4041" s="10">
        <v>0</v>
      </c>
      <c r="O4041" s="10">
        <f>Table1[[#This Row],[NET Amount]]-Table1[[#This Row],[Paid Amount]]</f>
        <v>1274</v>
      </c>
      <c r="P4041" s="2" t="s">
        <v>23</v>
      </c>
      <c r="Q4041" s="2" t="s">
        <v>54</v>
      </c>
      <c r="R4041" s="16">
        <f>(Table1[[#This Row],[NET Amount]]-Table1[[#This Row],[Total Outstanding Amount]])/Table1[[#This Row],[NET Amount]]</f>
        <v>0</v>
      </c>
      <c r="S4041" s="2" t="s">
        <v>97</v>
      </c>
    </row>
    <row r="4042" spans="1:19" x14ac:dyDescent="0.3">
      <c r="A4042" s="4">
        <v>4040</v>
      </c>
      <c r="B4042" s="2" t="s">
        <v>75</v>
      </c>
      <c r="C4042" s="3">
        <v>44842</v>
      </c>
      <c r="D4042" s="3" t="str">
        <f>TEXT(Table1[[#This Row],[Admission Date]],"MMMM")</f>
        <v>October</v>
      </c>
      <c r="E4042" s="3">
        <v>44842</v>
      </c>
      <c r="F4042" s="3">
        <v>44842</v>
      </c>
      <c r="G4042" s="2">
        <v>22026098</v>
      </c>
      <c r="H4042" s="2">
        <v>2235141</v>
      </c>
      <c r="I4042" s="2">
        <v>10013401847</v>
      </c>
      <c r="J4042" s="2" t="s">
        <v>449</v>
      </c>
      <c r="K4042" s="10">
        <v>1610</v>
      </c>
      <c r="L4042" s="10">
        <v>0</v>
      </c>
      <c r="M4042" s="10">
        <v>1610</v>
      </c>
      <c r="N4042" s="10">
        <v>0</v>
      </c>
      <c r="O4042" s="10">
        <f>Table1[[#This Row],[NET Amount]]-Table1[[#This Row],[Paid Amount]]</f>
        <v>1610</v>
      </c>
      <c r="P4042" s="2" t="s">
        <v>23</v>
      </c>
      <c r="Q4042" s="2" t="s">
        <v>54</v>
      </c>
      <c r="R4042" s="16">
        <f>(Table1[[#This Row],[NET Amount]]-Table1[[#This Row],[Total Outstanding Amount]])/Table1[[#This Row],[NET Amount]]</f>
        <v>0</v>
      </c>
      <c r="S4042" s="2" t="s">
        <v>97</v>
      </c>
    </row>
    <row r="4043" spans="1:19" x14ac:dyDescent="0.3">
      <c r="A4043" s="4">
        <v>4041</v>
      </c>
      <c r="B4043" s="2" t="s">
        <v>380</v>
      </c>
      <c r="C4043" s="3">
        <v>44848</v>
      </c>
      <c r="D4043" s="3" t="str">
        <f>TEXT(Table1[[#This Row],[Admission Date]],"MMMM")</f>
        <v>October</v>
      </c>
      <c r="E4043" s="3">
        <v>44848</v>
      </c>
      <c r="F4043" s="3">
        <v>44848</v>
      </c>
      <c r="G4043" s="2">
        <v>22026975</v>
      </c>
      <c r="H4043" s="2">
        <v>2235922</v>
      </c>
      <c r="I4043" s="2">
        <v>1000889533</v>
      </c>
      <c r="J4043" s="2" t="s">
        <v>466</v>
      </c>
      <c r="K4043" s="10">
        <v>1274</v>
      </c>
      <c r="L4043" s="10">
        <v>0</v>
      </c>
      <c r="M4043" s="10">
        <v>1274</v>
      </c>
      <c r="N4043" s="10">
        <v>0</v>
      </c>
      <c r="O4043" s="10">
        <f>Table1[[#This Row],[NET Amount]]-Table1[[#This Row],[Paid Amount]]</f>
        <v>1274</v>
      </c>
      <c r="P4043" s="2" t="s">
        <v>23</v>
      </c>
      <c r="Q4043" s="2" t="s">
        <v>54</v>
      </c>
      <c r="R4043" s="16">
        <f>(Table1[[#This Row],[NET Amount]]-Table1[[#This Row],[Total Outstanding Amount]])/Table1[[#This Row],[NET Amount]]</f>
        <v>0</v>
      </c>
      <c r="S4043" s="2" t="s">
        <v>97</v>
      </c>
    </row>
    <row r="4044" spans="1:19" x14ac:dyDescent="0.3">
      <c r="A4044" s="4">
        <v>4042</v>
      </c>
      <c r="B4044" s="2" t="s">
        <v>380</v>
      </c>
      <c r="C4044" s="3">
        <v>44849</v>
      </c>
      <c r="D4044" s="3" t="str">
        <f>TEXT(Table1[[#This Row],[Admission Date]],"MMMM")</f>
        <v>October</v>
      </c>
      <c r="E4044" s="3">
        <v>44849</v>
      </c>
      <c r="F4044" s="3">
        <v>44849</v>
      </c>
      <c r="G4044" s="2">
        <v>22027252</v>
      </c>
      <c r="H4044" s="2">
        <v>2236168</v>
      </c>
      <c r="I4044" s="2">
        <v>10013385641</v>
      </c>
      <c r="J4044" s="2" t="s">
        <v>799</v>
      </c>
      <c r="K4044" s="10">
        <v>1274</v>
      </c>
      <c r="L4044" s="10">
        <v>0</v>
      </c>
      <c r="M4044" s="10">
        <v>1274</v>
      </c>
      <c r="N4044" s="10">
        <v>0</v>
      </c>
      <c r="O4044" s="10">
        <f>Table1[[#This Row],[NET Amount]]-Table1[[#This Row],[Paid Amount]]</f>
        <v>1274</v>
      </c>
      <c r="P4044" s="2" t="s">
        <v>23</v>
      </c>
      <c r="Q4044" s="2" t="s">
        <v>54</v>
      </c>
      <c r="R4044" s="16">
        <f>(Table1[[#This Row],[NET Amount]]-Table1[[#This Row],[Total Outstanding Amount]])/Table1[[#This Row],[NET Amount]]</f>
        <v>0</v>
      </c>
      <c r="S4044" s="2" t="s">
        <v>97</v>
      </c>
    </row>
    <row r="4045" spans="1:19" x14ac:dyDescent="0.3">
      <c r="A4045" s="4">
        <v>4043</v>
      </c>
      <c r="B4045" s="2" t="s">
        <v>2263</v>
      </c>
      <c r="C4045" s="3">
        <v>44865</v>
      </c>
      <c r="D4045" s="3" t="str">
        <f>TEXT(Table1[[#This Row],[Admission Date]],"MMMM")</f>
        <v>October</v>
      </c>
      <c r="E4045" s="3">
        <v>44865</v>
      </c>
      <c r="F4045" s="3">
        <v>44865</v>
      </c>
      <c r="G4045" s="2">
        <v>22029242</v>
      </c>
      <c r="H4045" s="2">
        <v>2238132</v>
      </c>
      <c r="I4045" s="2">
        <v>1001680001</v>
      </c>
      <c r="J4045" s="2" t="s">
        <v>394</v>
      </c>
      <c r="K4045" s="10">
        <v>1274</v>
      </c>
      <c r="L4045" s="10">
        <v>0</v>
      </c>
      <c r="M4045" s="10">
        <v>1274</v>
      </c>
      <c r="N4045" s="10">
        <v>0</v>
      </c>
      <c r="O4045" s="10">
        <f>Table1[[#This Row],[NET Amount]]-Table1[[#This Row],[Paid Amount]]</f>
        <v>1274</v>
      </c>
      <c r="P4045" s="2" t="s">
        <v>23</v>
      </c>
      <c r="Q4045" s="2" t="s">
        <v>54</v>
      </c>
      <c r="R4045" s="16">
        <f>(Table1[[#This Row],[NET Amount]]-Table1[[#This Row],[Total Outstanding Amount]])/Table1[[#This Row],[NET Amount]]</f>
        <v>0</v>
      </c>
      <c r="S4045" s="2" t="s">
        <v>97</v>
      </c>
    </row>
    <row r="4046" spans="1:19" x14ac:dyDescent="0.3">
      <c r="A4046" s="4">
        <v>4044</v>
      </c>
      <c r="B4046" s="2" t="s">
        <v>25</v>
      </c>
      <c r="C4046" s="3">
        <v>44856</v>
      </c>
      <c r="D4046" s="3" t="str">
        <f>TEXT(Table1[[#This Row],[Admission Date]],"MMMM")</f>
        <v>October</v>
      </c>
      <c r="E4046" s="3">
        <v>44858</v>
      </c>
      <c r="F4046" s="3">
        <v>44858</v>
      </c>
      <c r="G4046" s="2">
        <v>22028458</v>
      </c>
      <c r="H4046" s="2">
        <v>2237060</v>
      </c>
      <c r="I4046" s="2">
        <v>1001804627</v>
      </c>
      <c r="J4046" s="2" t="s">
        <v>490</v>
      </c>
      <c r="K4046" s="10">
        <v>75683</v>
      </c>
      <c r="L4046" s="10">
        <v>9075</v>
      </c>
      <c r="M4046" s="10">
        <v>66607</v>
      </c>
      <c r="N4046" s="10">
        <v>0</v>
      </c>
      <c r="O4046" s="10">
        <f>Table1[[#This Row],[NET Amount]]-Table1[[#This Row],[Paid Amount]]</f>
        <v>66607</v>
      </c>
      <c r="P4046" s="2" t="s">
        <v>23</v>
      </c>
      <c r="Q4046" s="2" t="s">
        <v>24</v>
      </c>
      <c r="R4046" s="16">
        <f>(Table1[[#This Row],[NET Amount]]-Table1[[#This Row],[Total Outstanding Amount]])/Table1[[#This Row],[NET Amount]]</f>
        <v>0</v>
      </c>
      <c r="S4046" s="2" t="s">
        <v>27</v>
      </c>
    </row>
    <row r="4047" spans="1:19" x14ac:dyDescent="0.3">
      <c r="A4047" s="4">
        <v>4045</v>
      </c>
      <c r="B4047" s="2" t="s">
        <v>2263</v>
      </c>
      <c r="C4047" s="3">
        <v>44835</v>
      </c>
      <c r="D4047" s="3" t="str">
        <f>TEXT(Table1[[#This Row],[Admission Date]],"MMMM")</f>
        <v>October</v>
      </c>
      <c r="E4047" s="3">
        <v>44835</v>
      </c>
      <c r="F4047" s="3">
        <v>44835</v>
      </c>
      <c r="G4047" s="2">
        <v>22025179</v>
      </c>
      <c r="H4047" s="2">
        <v>2234200</v>
      </c>
      <c r="I4047" s="2">
        <v>1001686545</v>
      </c>
      <c r="J4047" s="2" t="s">
        <v>425</v>
      </c>
      <c r="K4047" s="10">
        <v>1274</v>
      </c>
      <c r="L4047" s="10">
        <v>0</v>
      </c>
      <c r="M4047" s="10">
        <v>1274</v>
      </c>
      <c r="N4047" s="10">
        <v>0</v>
      </c>
      <c r="O4047" s="10">
        <f>Table1[[#This Row],[NET Amount]]-Table1[[#This Row],[Paid Amount]]</f>
        <v>1274</v>
      </c>
      <c r="P4047" s="2" t="s">
        <v>23</v>
      </c>
      <c r="Q4047" s="2" t="s">
        <v>54</v>
      </c>
      <c r="R4047" s="16">
        <f>(Table1[[#This Row],[NET Amount]]-Table1[[#This Row],[Total Outstanding Amount]])/Table1[[#This Row],[NET Amount]]</f>
        <v>0</v>
      </c>
      <c r="S4047" s="2" t="s">
        <v>97</v>
      </c>
    </row>
    <row r="4048" spans="1:19" x14ac:dyDescent="0.3">
      <c r="A4048" s="4">
        <v>4046</v>
      </c>
      <c r="B4048" s="2" t="s">
        <v>144</v>
      </c>
      <c r="C4048" s="3">
        <v>44862</v>
      </c>
      <c r="D4048" s="3" t="str">
        <f>TEXT(Table1[[#This Row],[Admission Date]],"MMMM")</f>
        <v>October</v>
      </c>
      <c r="E4048" s="3">
        <v>44862</v>
      </c>
      <c r="F4048" s="3">
        <v>44862</v>
      </c>
      <c r="G4048" s="2">
        <v>22028848</v>
      </c>
      <c r="H4048" s="2">
        <v>2237762</v>
      </c>
      <c r="I4048" s="2">
        <v>1001183341</v>
      </c>
      <c r="J4048" s="2" t="s">
        <v>485</v>
      </c>
      <c r="K4048" s="10">
        <v>2200</v>
      </c>
      <c r="L4048" s="10">
        <v>0</v>
      </c>
      <c r="M4048" s="10">
        <v>2200</v>
      </c>
      <c r="N4048" s="10">
        <v>0</v>
      </c>
      <c r="O4048" s="10">
        <f>Table1[[#This Row],[NET Amount]]-Table1[[#This Row],[Paid Amount]]</f>
        <v>2200</v>
      </c>
      <c r="P4048" s="2" t="s">
        <v>23</v>
      </c>
      <c r="Q4048" s="2" t="s">
        <v>147</v>
      </c>
      <c r="R4048" s="16">
        <f>(Table1[[#This Row],[NET Amount]]-Table1[[#This Row],[Total Outstanding Amount]])/Table1[[#This Row],[NET Amount]]</f>
        <v>0</v>
      </c>
      <c r="S4048" s="2" t="s">
        <v>97</v>
      </c>
    </row>
    <row r="4049" spans="1:19" x14ac:dyDescent="0.3">
      <c r="A4049" s="4">
        <v>4047</v>
      </c>
      <c r="B4049" s="2" t="s">
        <v>178</v>
      </c>
      <c r="C4049" s="3">
        <v>44842</v>
      </c>
      <c r="D4049" s="3" t="str">
        <f>TEXT(Table1[[#This Row],[Admission Date]],"MMMM")</f>
        <v>October</v>
      </c>
      <c r="E4049" s="3">
        <v>44842</v>
      </c>
      <c r="F4049" s="3">
        <v>44842</v>
      </c>
      <c r="G4049" s="2">
        <v>22026169</v>
      </c>
      <c r="H4049" s="2">
        <v>2235172</v>
      </c>
      <c r="I4049" s="2">
        <v>10013469159</v>
      </c>
      <c r="J4049" s="2" t="s">
        <v>790</v>
      </c>
      <c r="K4049" s="10">
        <v>2200</v>
      </c>
      <c r="L4049" s="10">
        <v>0</v>
      </c>
      <c r="M4049" s="10">
        <v>2200</v>
      </c>
      <c r="N4049" s="10">
        <v>0</v>
      </c>
      <c r="O4049" s="10">
        <f>Table1[[#This Row],[NET Amount]]-Table1[[#This Row],[Paid Amount]]</f>
        <v>2200</v>
      </c>
      <c r="P4049" s="2" t="s">
        <v>23</v>
      </c>
      <c r="Q4049" s="2" t="s">
        <v>147</v>
      </c>
      <c r="R4049" s="16">
        <f>(Table1[[#This Row],[NET Amount]]-Table1[[#This Row],[Total Outstanding Amount]])/Table1[[#This Row],[NET Amount]]</f>
        <v>0</v>
      </c>
      <c r="S4049" s="2" t="s">
        <v>97</v>
      </c>
    </row>
    <row r="4050" spans="1:19" x14ac:dyDescent="0.3">
      <c r="A4050" s="4">
        <v>4048</v>
      </c>
      <c r="B4050" s="2" t="s">
        <v>380</v>
      </c>
      <c r="C4050" s="3">
        <v>44860</v>
      </c>
      <c r="D4050" s="3" t="str">
        <f>TEXT(Table1[[#This Row],[Admission Date]],"MMMM")</f>
        <v>October</v>
      </c>
      <c r="E4050" s="3">
        <v>44860</v>
      </c>
      <c r="F4050" s="3">
        <v>44860</v>
      </c>
      <c r="G4050" s="2">
        <v>22028701</v>
      </c>
      <c r="H4050" s="2">
        <v>2237567</v>
      </c>
      <c r="I4050" s="2">
        <v>10013507516</v>
      </c>
      <c r="J4050" s="2" t="s">
        <v>481</v>
      </c>
      <c r="K4050" s="10">
        <v>1274</v>
      </c>
      <c r="L4050" s="10">
        <v>0</v>
      </c>
      <c r="M4050" s="10">
        <v>1274</v>
      </c>
      <c r="N4050" s="10">
        <v>0</v>
      </c>
      <c r="O4050" s="10">
        <f>Table1[[#This Row],[NET Amount]]-Table1[[#This Row],[Paid Amount]]</f>
        <v>1274</v>
      </c>
      <c r="P4050" s="2" t="s">
        <v>23</v>
      </c>
      <c r="Q4050" s="2" t="s">
        <v>54</v>
      </c>
      <c r="R4050" s="16">
        <f>(Table1[[#This Row],[NET Amount]]-Table1[[#This Row],[Total Outstanding Amount]])/Table1[[#This Row],[NET Amount]]</f>
        <v>0</v>
      </c>
      <c r="S4050" s="2" t="s">
        <v>97</v>
      </c>
    </row>
    <row r="4051" spans="1:19" x14ac:dyDescent="0.3">
      <c r="A4051" s="4">
        <v>4049</v>
      </c>
      <c r="B4051" s="2" t="s">
        <v>380</v>
      </c>
      <c r="C4051" s="3">
        <v>44859</v>
      </c>
      <c r="D4051" s="3" t="str">
        <f>TEXT(Table1[[#This Row],[Admission Date]],"MMMM")</f>
        <v>October</v>
      </c>
      <c r="E4051" s="3">
        <v>44859</v>
      </c>
      <c r="F4051" s="3">
        <v>44859</v>
      </c>
      <c r="G4051" s="2">
        <v>22028535</v>
      </c>
      <c r="H4051" s="2">
        <v>2237291</v>
      </c>
      <c r="I4051" s="2">
        <v>1001033406</v>
      </c>
      <c r="J4051" s="2" t="s">
        <v>388</v>
      </c>
      <c r="K4051" s="10">
        <v>1274</v>
      </c>
      <c r="L4051" s="10">
        <v>0</v>
      </c>
      <c r="M4051" s="10">
        <v>1274</v>
      </c>
      <c r="N4051" s="10">
        <v>0</v>
      </c>
      <c r="O4051" s="10">
        <f>Table1[[#This Row],[NET Amount]]-Table1[[#This Row],[Paid Amount]]</f>
        <v>1274</v>
      </c>
      <c r="P4051" s="2" t="s">
        <v>23</v>
      </c>
      <c r="Q4051" s="2" t="s">
        <v>54</v>
      </c>
      <c r="R4051" s="16">
        <f>(Table1[[#This Row],[NET Amount]]-Table1[[#This Row],[Total Outstanding Amount]])/Table1[[#This Row],[NET Amount]]</f>
        <v>0</v>
      </c>
      <c r="S4051" s="2" t="s">
        <v>97</v>
      </c>
    </row>
    <row r="4052" spans="1:19" x14ac:dyDescent="0.3">
      <c r="A4052" s="4">
        <v>4050</v>
      </c>
      <c r="B4052" s="2" t="s">
        <v>2253</v>
      </c>
      <c r="C4052" s="3">
        <v>44860</v>
      </c>
      <c r="D4052" s="3" t="str">
        <f>TEXT(Table1[[#This Row],[Admission Date]],"MMMM")</f>
        <v>October</v>
      </c>
      <c r="E4052" s="3">
        <v>44860</v>
      </c>
      <c r="F4052" s="3">
        <v>44860</v>
      </c>
      <c r="G4052" s="2">
        <v>22028678</v>
      </c>
      <c r="H4052" s="2">
        <v>2237543</v>
      </c>
      <c r="I4052" s="2">
        <v>1001803044</v>
      </c>
      <c r="J4052" s="2" t="s">
        <v>426</v>
      </c>
      <c r="K4052" s="10">
        <v>1610</v>
      </c>
      <c r="L4052" s="10">
        <v>0</v>
      </c>
      <c r="M4052" s="10">
        <v>1610</v>
      </c>
      <c r="N4052" s="10">
        <v>0</v>
      </c>
      <c r="O4052" s="10">
        <f>Table1[[#This Row],[NET Amount]]-Table1[[#This Row],[Paid Amount]]</f>
        <v>1610</v>
      </c>
      <c r="P4052" s="2" t="s">
        <v>23</v>
      </c>
      <c r="Q4052" s="2" t="s">
        <v>54</v>
      </c>
      <c r="R4052" s="16">
        <f>(Table1[[#This Row],[NET Amount]]-Table1[[#This Row],[Total Outstanding Amount]])/Table1[[#This Row],[NET Amount]]</f>
        <v>0</v>
      </c>
      <c r="S4052" s="2" t="s">
        <v>97</v>
      </c>
    </row>
    <row r="4053" spans="1:19" x14ac:dyDescent="0.3">
      <c r="A4053" s="4">
        <v>4051</v>
      </c>
      <c r="B4053" s="2" t="s">
        <v>380</v>
      </c>
      <c r="C4053" s="3">
        <v>44859</v>
      </c>
      <c r="D4053" s="3" t="str">
        <f>TEXT(Table1[[#This Row],[Admission Date]],"MMMM")</f>
        <v>October</v>
      </c>
      <c r="E4053" s="3">
        <v>44859</v>
      </c>
      <c r="F4053" s="3">
        <v>44859</v>
      </c>
      <c r="G4053" s="2">
        <v>22028533</v>
      </c>
      <c r="H4053" s="2">
        <v>2237300</v>
      </c>
      <c r="I4053" s="2">
        <v>1000889533</v>
      </c>
      <c r="J4053" s="2" t="s">
        <v>466</v>
      </c>
      <c r="K4053" s="10">
        <v>1274</v>
      </c>
      <c r="L4053" s="10">
        <v>0</v>
      </c>
      <c r="M4053" s="10">
        <v>1274</v>
      </c>
      <c r="N4053" s="10">
        <v>0</v>
      </c>
      <c r="O4053" s="10">
        <f>Table1[[#This Row],[NET Amount]]-Table1[[#This Row],[Paid Amount]]</f>
        <v>1274</v>
      </c>
      <c r="P4053" s="2" t="s">
        <v>23</v>
      </c>
      <c r="Q4053" s="2" t="s">
        <v>54</v>
      </c>
      <c r="R4053" s="16">
        <f>(Table1[[#This Row],[NET Amount]]-Table1[[#This Row],[Total Outstanding Amount]])/Table1[[#This Row],[NET Amount]]</f>
        <v>0</v>
      </c>
      <c r="S4053" s="2" t="s">
        <v>97</v>
      </c>
    </row>
    <row r="4054" spans="1:19" x14ac:dyDescent="0.3">
      <c r="A4054" s="4">
        <v>4052</v>
      </c>
      <c r="B4054" s="2" t="s">
        <v>380</v>
      </c>
      <c r="C4054" s="3">
        <v>44839</v>
      </c>
      <c r="D4054" s="3" t="str">
        <f>TEXT(Table1[[#This Row],[Admission Date]],"MMMM")</f>
        <v>October</v>
      </c>
      <c r="E4054" s="3">
        <v>44839</v>
      </c>
      <c r="F4054" s="3">
        <v>44839</v>
      </c>
      <c r="G4054" s="2">
        <v>22025726</v>
      </c>
      <c r="H4054" s="2">
        <v>2234728</v>
      </c>
      <c r="I4054" s="2">
        <v>10013347178</v>
      </c>
      <c r="J4054" s="2" t="s">
        <v>371</v>
      </c>
      <c r="K4054" s="10">
        <v>1274</v>
      </c>
      <c r="L4054" s="10">
        <v>0</v>
      </c>
      <c r="M4054" s="10">
        <v>1274</v>
      </c>
      <c r="N4054" s="10">
        <v>0</v>
      </c>
      <c r="O4054" s="10">
        <f>Table1[[#This Row],[NET Amount]]-Table1[[#This Row],[Paid Amount]]</f>
        <v>1274</v>
      </c>
      <c r="P4054" s="2" t="s">
        <v>23</v>
      </c>
      <c r="Q4054" s="2" t="s">
        <v>54</v>
      </c>
      <c r="R4054" s="16">
        <f>(Table1[[#This Row],[NET Amount]]-Table1[[#This Row],[Total Outstanding Amount]])/Table1[[#This Row],[NET Amount]]</f>
        <v>0</v>
      </c>
      <c r="S4054" s="2" t="s">
        <v>97</v>
      </c>
    </row>
    <row r="4055" spans="1:19" x14ac:dyDescent="0.3">
      <c r="A4055" s="4">
        <v>4053</v>
      </c>
      <c r="B4055" s="2" t="s">
        <v>380</v>
      </c>
      <c r="C4055" s="3">
        <v>44842</v>
      </c>
      <c r="D4055" s="3" t="str">
        <f>TEXT(Table1[[#This Row],[Admission Date]],"MMMM")</f>
        <v>October</v>
      </c>
      <c r="E4055" s="3">
        <v>44842</v>
      </c>
      <c r="F4055" s="3">
        <v>44842</v>
      </c>
      <c r="G4055" s="2">
        <v>22026192</v>
      </c>
      <c r="H4055" s="2">
        <v>2235180</v>
      </c>
      <c r="I4055" s="2">
        <v>1000933464</v>
      </c>
      <c r="J4055" s="2" t="s">
        <v>437</v>
      </c>
      <c r="K4055" s="10">
        <v>1274</v>
      </c>
      <c r="L4055" s="10">
        <v>0</v>
      </c>
      <c r="M4055" s="10">
        <v>1274</v>
      </c>
      <c r="N4055" s="10">
        <v>0</v>
      </c>
      <c r="O4055" s="10">
        <f>Table1[[#This Row],[NET Amount]]-Table1[[#This Row],[Paid Amount]]</f>
        <v>1274</v>
      </c>
      <c r="P4055" s="2" t="s">
        <v>23</v>
      </c>
      <c r="Q4055" s="2" t="s">
        <v>54</v>
      </c>
      <c r="R4055" s="16">
        <f>(Table1[[#This Row],[NET Amount]]-Table1[[#This Row],[Total Outstanding Amount]])/Table1[[#This Row],[NET Amount]]</f>
        <v>0</v>
      </c>
      <c r="S4055" s="2" t="s">
        <v>97</v>
      </c>
    </row>
    <row r="4056" spans="1:19" x14ac:dyDescent="0.3">
      <c r="A4056" s="4">
        <v>4054</v>
      </c>
      <c r="B4056" s="2" t="s">
        <v>2270</v>
      </c>
      <c r="C4056" s="3">
        <v>44845</v>
      </c>
      <c r="D4056" s="3" t="str">
        <f>TEXT(Table1[[#This Row],[Admission Date]],"MMMM")</f>
        <v>October</v>
      </c>
      <c r="E4056" s="3">
        <v>44847</v>
      </c>
      <c r="F4056" s="3">
        <v>44847</v>
      </c>
      <c r="G4056" s="2">
        <v>22026853</v>
      </c>
      <c r="H4056" s="2">
        <v>2235509</v>
      </c>
      <c r="I4056" s="2">
        <v>1001800210</v>
      </c>
      <c r="J4056" s="2" t="s">
        <v>2221</v>
      </c>
      <c r="K4056" s="10">
        <v>12650</v>
      </c>
      <c r="L4056" s="10">
        <v>0</v>
      </c>
      <c r="M4056" s="10">
        <v>12650</v>
      </c>
      <c r="N4056" s="10">
        <v>0</v>
      </c>
      <c r="O4056" s="10">
        <f>Table1[[#This Row],[NET Amount]]-Table1[[#This Row],[Paid Amount]]</f>
        <v>12650</v>
      </c>
      <c r="P4056" s="2" t="s">
        <v>23</v>
      </c>
      <c r="Q4056" s="2" t="s">
        <v>24</v>
      </c>
      <c r="R4056" s="16">
        <f>(Table1[[#This Row],[NET Amount]]-Table1[[#This Row],[Total Outstanding Amount]])/Table1[[#This Row],[NET Amount]]</f>
        <v>0</v>
      </c>
      <c r="S4056" s="2" t="s">
        <v>77</v>
      </c>
    </row>
    <row r="4057" spans="1:19" x14ac:dyDescent="0.3">
      <c r="A4057" s="4">
        <v>4055</v>
      </c>
      <c r="B4057" s="2" t="s">
        <v>2253</v>
      </c>
      <c r="C4057" s="3">
        <v>44842</v>
      </c>
      <c r="D4057" s="3" t="str">
        <f>TEXT(Table1[[#This Row],[Admission Date]],"MMMM")</f>
        <v>October</v>
      </c>
      <c r="E4057" s="3">
        <v>44842</v>
      </c>
      <c r="F4057" s="3">
        <v>44842</v>
      </c>
      <c r="G4057" s="2">
        <v>22026208</v>
      </c>
      <c r="H4057" s="2">
        <v>2235220</v>
      </c>
      <c r="I4057" s="2">
        <v>1001722362</v>
      </c>
      <c r="J4057" s="2" t="s">
        <v>418</v>
      </c>
      <c r="K4057" s="10">
        <v>1610</v>
      </c>
      <c r="L4057" s="10">
        <v>0</v>
      </c>
      <c r="M4057" s="10">
        <v>1610</v>
      </c>
      <c r="N4057" s="10">
        <v>0</v>
      </c>
      <c r="O4057" s="10">
        <f>Table1[[#This Row],[NET Amount]]-Table1[[#This Row],[Paid Amount]]</f>
        <v>1610</v>
      </c>
      <c r="P4057" s="2" t="s">
        <v>23</v>
      </c>
      <c r="Q4057" s="2" t="s">
        <v>54</v>
      </c>
      <c r="R4057" s="16">
        <f>(Table1[[#This Row],[NET Amount]]-Table1[[#This Row],[Total Outstanding Amount]])/Table1[[#This Row],[NET Amount]]</f>
        <v>0</v>
      </c>
      <c r="S4057" s="2" t="s">
        <v>97</v>
      </c>
    </row>
    <row r="4058" spans="1:19" x14ac:dyDescent="0.3">
      <c r="A4058" s="4">
        <v>4056</v>
      </c>
      <c r="B4058" s="2" t="s">
        <v>178</v>
      </c>
      <c r="C4058" s="3">
        <v>44835</v>
      </c>
      <c r="D4058" s="3" t="str">
        <f>TEXT(Table1[[#This Row],[Admission Date]],"MMMM")</f>
        <v>October</v>
      </c>
      <c r="E4058" s="3">
        <v>44835</v>
      </c>
      <c r="F4058" s="3">
        <v>44835</v>
      </c>
      <c r="G4058" s="2">
        <v>22025183</v>
      </c>
      <c r="H4058" s="2">
        <v>2234211</v>
      </c>
      <c r="I4058" s="2">
        <v>10013469159</v>
      </c>
      <c r="J4058" s="2" t="s">
        <v>790</v>
      </c>
      <c r="K4058" s="10">
        <v>2200</v>
      </c>
      <c r="L4058" s="10">
        <v>0</v>
      </c>
      <c r="M4058" s="10">
        <v>2200</v>
      </c>
      <c r="N4058" s="10">
        <v>0</v>
      </c>
      <c r="O4058" s="10">
        <f>Table1[[#This Row],[NET Amount]]-Table1[[#This Row],[Paid Amount]]</f>
        <v>2200</v>
      </c>
      <c r="P4058" s="2" t="s">
        <v>23</v>
      </c>
      <c r="Q4058" s="2" t="s">
        <v>147</v>
      </c>
      <c r="R4058" s="16">
        <f>(Table1[[#This Row],[NET Amount]]-Table1[[#This Row],[Total Outstanding Amount]])/Table1[[#This Row],[NET Amount]]</f>
        <v>0</v>
      </c>
      <c r="S4058" s="2" t="s">
        <v>97</v>
      </c>
    </row>
    <row r="4059" spans="1:19" x14ac:dyDescent="0.3">
      <c r="A4059" s="4">
        <v>4057</v>
      </c>
      <c r="B4059" s="2" t="s">
        <v>2263</v>
      </c>
      <c r="C4059" s="3">
        <v>44837</v>
      </c>
      <c r="D4059" s="3" t="str">
        <f>TEXT(Table1[[#This Row],[Admission Date]],"MMMM")</f>
        <v>October</v>
      </c>
      <c r="E4059" s="3">
        <v>44837</v>
      </c>
      <c r="F4059" s="3">
        <v>44837</v>
      </c>
      <c r="G4059" s="2">
        <v>22025348</v>
      </c>
      <c r="H4059" s="2">
        <v>2234349</v>
      </c>
      <c r="I4059" s="2">
        <v>1001680001</v>
      </c>
      <c r="J4059" s="2" t="s">
        <v>394</v>
      </c>
      <c r="K4059" s="10">
        <v>1274</v>
      </c>
      <c r="L4059" s="10">
        <v>0</v>
      </c>
      <c r="M4059" s="10">
        <v>1274</v>
      </c>
      <c r="N4059" s="10">
        <v>0</v>
      </c>
      <c r="O4059" s="10">
        <f>Table1[[#This Row],[NET Amount]]-Table1[[#This Row],[Paid Amount]]</f>
        <v>1274</v>
      </c>
      <c r="P4059" s="2" t="s">
        <v>23</v>
      </c>
      <c r="Q4059" s="2" t="s">
        <v>54</v>
      </c>
      <c r="R4059" s="16">
        <f>(Table1[[#This Row],[NET Amount]]-Table1[[#This Row],[Total Outstanding Amount]])/Table1[[#This Row],[NET Amount]]</f>
        <v>0</v>
      </c>
      <c r="S4059" s="2" t="s">
        <v>97</v>
      </c>
    </row>
    <row r="4060" spans="1:19" x14ac:dyDescent="0.3">
      <c r="A4060" s="4">
        <v>4058</v>
      </c>
      <c r="B4060" s="2" t="s">
        <v>75</v>
      </c>
      <c r="C4060" s="3">
        <v>44842</v>
      </c>
      <c r="D4060" s="3" t="str">
        <f>TEXT(Table1[[#This Row],[Admission Date]],"MMMM")</f>
        <v>October</v>
      </c>
      <c r="E4060" s="3">
        <v>44842</v>
      </c>
      <c r="F4060" s="3">
        <v>44842</v>
      </c>
      <c r="G4060" s="2">
        <v>22026167</v>
      </c>
      <c r="H4060" s="2">
        <v>2235178</v>
      </c>
      <c r="I4060" s="2">
        <v>10013514225</v>
      </c>
      <c r="J4060" s="2" t="s">
        <v>814</v>
      </c>
      <c r="K4060" s="10">
        <v>1610</v>
      </c>
      <c r="L4060" s="10">
        <v>0</v>
      </c>
      <c r="M4060" s="10">
        <v>1610</v>
      </c>
      <c r="N4060" s="10">
        <v>0</v>
      </c>
      <c r="O4060" s="10">
        <f>Table1[[#This Row],[NET Amount]]-Table1[[#This Row],[Paid Amount]]</f>
        <v>1610</v>
      </c>
      <c r="P4060" s="2" t="s">
        <v>23</v>
      </c>
      <c r="Q4060" s="2" t="s">
        <v>54</v>
      </c>
      <c r="R4060" s="16">
        <f>(Table1[[#This Row],[NET Amount]]-Table1[[#This Row],[Total Outstanding Amount]])/Table1[[#This Row],[NET Amount]]</f>
        <v>0</v>
      </c>
      <c r="S4060" s="2" t="s">
        <v>97</v>
      </c>
    </row>
    <row r="4061" spans="1:19" x14ac:dyDescent="0.3">
      <c r="A4061" s="4">
        <v>4059</v>
      </c>
      <c r="B4061" s="2" t="s">
        <v>75</v>
      </c>
      <c r="C4061" s="3">
        <v>44846</v>
      </c>
      <c r="D4061" s="3" t="str">
        <f>TEXT(Table1[[#This Row],[Admission Date]],"MMMM")</f>
        <v>October</v>
      </c>
      <c r="E4061" s="3">
        <v>44846</v>
      </c>
      <c r="F4061" s="3">
        <v>44846</v>
      </c>
      <c r="G4061" s="2">
        <v>22026731</v>
      </c>
      <c r="H4061" s="2">
        <v>2235693</v>
      </c>
      <c r="I4061" s="2">
        <v>10013514225</v>
      </c>
      <c r="J4061" s="2" t="s">
        <v>814</v>
      </c>
      <c r="K4061" s="10">
        <v>1610</v>
      </c>
      <c r="L4061" s="10">
        <v>0</v>
      </c>
      <c r="M4061" s="10">
        <v>1610</v>
      </c>
      <c r="N4061" s="10">
        <v>0</v>
      </c>
      <c r="O4061" s="10">
        <f>Table1[[#This Row],[NET Amount]]-Table1[[#This Row],[Paid Amount]]</f>
        <v>1610</v>
      </c>
      <c r="P4061" s="2" t="s">
        <v>23</v>
      </c>
      <c r="Q4061" s="2" t="s">
        <v>54</v>
      </c>
      <c r="R4061" s="16">
        <f>(Table1[[#This Row],[NET Amount]]-Table1[[#This Row],[Total Outstanding Amount]])/Table1[[#This Row],[NET Amount]]</f>
        <v>0</v>
      </c>
      <c r="S4061" s="2" t="s">
        <v>97</v>
      </c>
    </row>
    <row r="4062" spans="1:19" x14ac:dyDescent="0.3">
      <c r="A4062" s="4">
        <v>4060</v>
      </c>
      <c r="B4062" s="2" t="s">
        <v>2263</v>
      </c>
      <c r="C4062" s="3">
        <v>44859</v>
      </c>
      <c r="D4062" s="3" t="str">
        <f>TEXT(Table1[[#This Row],[Admission Date]],"MMMM")</f>
        <v>October</v>
      </c>
      <c r="E4062" s="3">
        <v>44859</v>
      </c>
      <c r="F4062" s="3">
        <v>44859</v>
      </c>
      <c r="G4062" s="2">
        <v>22028481</v>
      </c>
      <c r="H4062" s="2">
        <v>2237276</v>
      </c>
      <c r="I4062" s="2">
        <v>1001666089</v>
      </c>
      <c r="J4062" s="2" t="s">
        <v>809</v>
      </c>
      <c r="K4062" s="10">
        <v>1274</v>
      </c>
      <c r="L4062" s="10">
        <v>0</v>
      </c>
      <c r="M4062" s="10">
        <v>1274</v>
      </c>
      <c r="N4062" s="10">
        <v>0</v>
      </c>
      <c r="O4062" s="10">
        <f>Table1[[#This Row],[NET Amount]]-Table1[[#This Row],[Paid Amount]]</f>
        <v>1274</v>
      </c>
      <c r="P4062" s="2" t="s">
        <v>23</v>
      </c>
      <c r="Q4062" s="2" t="s">
        <v>54</v>
      </c>
      <c r="R4062" s="16">
        <f>(Table1[[#This Row],[NET Amount]]-Table1[[#This Row],[Total Outstanding Amount]])/Table1[[#This Row],[NET Amount]]</f>
        <v>0</v>
      </c>
      <c r="S4062" s="2" t="s">
        <v>97</v>
      </c>
    </row>
    <row r="4063" spans="1:19" x14ac:dyDescent="0.3">
      <c r="A4063" s="4">
        <v>4061</v>
      </c>
      <c r="B4063" s="2" t="s">
        <v>2263</v>
      </c>
      <c r="C4063" s="3">
        <v>44840</v>
      </c>
      <c r="D4063" s="3" t="str">
        <f>TEXT(Table1[[#This Row],[Admission Date]],"MMMM")</f>
        <v>October</v>
      </c>
      <c r="E4063" s="3">
        <v>44840</v>
      </c>
      <c r="F4063" s="3">
        <v>44840</v>
      </c>
      <c r="G4063" s="2">
        <v>22025889</v>
      </c>
      <c r="H4063" s="2">
        <v>2234900</v>
      </c>
      <c r="I4063" s="2">
        <v>1001686545</v>
      </c>
      <c r="J4063" s="2" t="s">
        <v>425</v>
      </c>
      <c r="K4063" s="10">
        <v>1274</v>
      </c>
      <c r="L4063" s="10">
        <v>0</v>
      </c>
      <c r="M4063" s="10">
        <v>1274</v>
      </c>
      <c r="N4063" s="10">
        <v>0</v>
      </c>
      <c r="O4063" s="10">
        <f>Table1[[#This Row],[NET Amount]]-Table1[[#This Row],[Paid Amount]]</f>
        <v>1274</v>
      </c>
      <c r="P4063" s="2" t="s">
        <v>23</v>
      </c>
      <c r="Q4063" s="2" t="s">
        <v>54</v>
      </c>
      <c r="R4063" s="16">
        <f>(Table1[[#This Row],[NET Amount]]-Table1[[#This Row],[Total Outstanding Amount]])/Table1[[#This Row],[NET Amount]]</f>
        <v>0</v>
      </c>
      <c r="S4063" s="2" t="s">
        <v>97</v>
      </c>
    </row>
    <row r="4064" spans="1:19" x14ac:dyDescent="0.3">
      <c r="A4064" s="4">
        <v>4062</v>
      </c>
      <c r="B4064" s="2" t="s">
        <v>141</v>
      </c>
      <c r="C4064" s="3">
        <v>44838</v>
      </c>
      <c r="D4064" s="3" t="str">
        <f>TEXT(Table1[[#This Row],[Admission Date]],"MMMM")</f>
        <v>October</v>
      </c>
      <c r="E4064" s="3">
        <v>44840</v>
      </c>
      <c r="F4064" s="3">
        <v>44840</v>
      </c>
      <c r="G4064" s="2">
        <v>22025840</v>
      </c>
      <c r="H4064" s="2">
        <v>2234653</v>
      </c>
      <c r="I4064" s="2">
        <v>10013463465</v>
      </c>
      <c r="J4064" s="2" t="s">
        <v>2222</v>
      </c>
      <c r="K4064" s="10">
        <v>224735</v>
      </c>
      <c r="L4064" s="10">
        <v>27834</v>
      </c>
      <c r="M4064" s="10">
        <v>196901</v>
      </c>
      <c r="N4064" s="10">
        <v>0</v>
      </c>
      <c r="O4064" s="10">
        <f>Table1[[#This Row],[NET Amount]]-Table1[[#This Row],[Paid Amount]]</f>
        <v>196901</v>
      </c>
      <c r="P4064" s="2" t="s">
        <v>23</v>
      </c>
      <c r="Q4064" s="2" t="s">
        <v>47</v>
      </c>
      <c r="R4064" s="16">
        <f>(Table1[[#This Row],[NET Amount]]-Table1[[#This Row],[Total Outstanding Amount]])/Table1[[#This Row],[NET Amount]]</f>
        <v>0</v>
      </c>
      <c r="S4064" s="2" t="s">
        <v>39</v>
      </c>
    </row>
    <row r="4065" spans="1:19" x14ac:dyDescent="0.3">
      <c r="A4065" s="4">
        <v>4063</v>
      </c>
      <c r="B4065" s="2" t="s">
        <v>2263</v>
      </c>
      <c r="C4065" s="3">
        <v>44844</v>
      </c>
      <c r="D4065" s="3" t="str">
        <f>TEXT(Table1[[#This Row],[Admission Date]],"MMMM")</f>
        <v>October</v>
      </c>
      <c r="E4065" s="3">
        <v>44844</v>
      </c>
      <c r="F4065" s="3">
        <v>44844</v>
      </c>
      <c r="G4065" s="2">
        <v>22026459</v>
      </c>
      <c r="H4065" s="2">
        <v>2235436</v>
      </c>
      <c r="I4065" s="2">
        <v>1001684202</v>
      </c>
      <c r="J4065" s="2" t="s">
        <v>446</v>
      </c>
      <c r="K4065" s="10">
        <v>1274</v>
      </c>
      <c r="L4065" s="10">
        <v>0</v>
      </c>
      <c r="M4065" s="10">
        <v>1274</v>
      </c>
      <c r="N4065" s="10">
        <v>0</v>
      </c>
      <c r="O4065" s="10">
        <f>Table1[[#This Row],[NET Amount]]-Table1[[#This Row],[Paid Amount]]</f>
        <v>1274</v>
      </c>
      <c r="P4065" s="2" t="s">
        <v>23</v>
      </c>
      <c r="Q4065" s="2" t="s">
        <v>54</v>
      </c>
      <c r="R4065" s="16">
        <f>(Table1[[#This Row],[NET Amount]]-Table1[[#This Row],[Total Outstanding Amount]])/Table1[[#This Row],[NET Amount]]</f>
        <v>0</v>
      </c>
      <c r="S4065" s="2" t="s">
        <v>97</v>
      </c>
    </row>
    <row r="4066" spans="1:19" x14ac:dyDescent="0.3">
      <c r="A4066" s="4">
        <v>4064</v>
      </c>
      <c r="B4066" s="2" t="s">
        <v>2263</v>
      </c>
      <c r="C4066" s="3">
        <v>44849</v>
      </c>
      <c r="D4066" s="3" t="str">
        <f>TEXT(Table1[[#This Row],[Admission Date]],"MMMM")</f>
        <v>October</v>
      </c>
      <c r="E4066" s="3">
        <v>44849</v>
      </c>
      <c r="F4066" s="3">
        <v>44849</v>
      </c>
      <c r="G4066" s="2">
        <v>22027123</v>
      </c>
      <c r="H4066" s="2">
        <v>2236078</v>
      </c>
      <c r="I4066" s="2">
        <v>1001680001</v>
      </c>
      <c r="J4066" s="2" t="s">
        <v>394</v>
      </c>
      <c r="K4066" s="10">
        <v>1274</v>
      </c>
      <c r="L4066" s="10">
        <v>0</v>
      </c>
      <c r="M4066" s="10">
        <v>1274</v>
      </c>
      <c r="N4066" s="10">
        <v>0</v>
      </c>
      <c r="O4066" s="10">
        <f>Table1[[#This Row],[NET Amount]]-Table1[[#This Row],[Paid Amount]]</f>
        <v>1274</v>
      </c>
      <c r="P4066" s="2" t="s">
        <v>23</v>
      </c>
      <c r="Q4066" s="2" t="s">
        <v>54</v>
      </c>
      <c r="R4066" s="16">
        <f>(Table1[[#This Row],[NET Amount]]-Table1[[#This Row],[Total Outstanding Amount]])/Table1[[#This Row],[NET Amount]]</f>
        <v>0</v>
      </c>
      <c r="S4066" s="2" t="s">
        <v>97</v>
      </c>
    </row>
    <row r="4067" spans="1:19" x14ac:dyDescent="0.3">
      <c r="A4067" s="4">
        <v>4065</v>
      </c>
      <c r="B4067" s="2" t="s">
        <v>380</v>
      </c>
      <c r="C4067" s="3">
        <v>44848</v>
      </c>
      <c r="D4067" s="3" t="str">
        <f>TEXT(Table1[[#This Row],[Admission Date]],"MMMM")</f>
        <v>October</v>
      </c>
      <c r="E4067" s="3">
        <v>44848</v>
      </c>
      <c r="F4067" s="3">
        <v>44848</v>
      </c>
      <c r="G4067" s="2">
        <v>22027097</v>
      </c>
      <c r="H4067" s="2">
        <v>2236013</v>
      </c>
      <c r="I4067" s="2">
        <v>1001397167</v>
      </c>
      <c r="J4067" s="2" t="s">
        <v>443</v>
      </c>
      <c r="K4067" s="10">
        <v>1274</v>
      </c>
      <c r="L4067" s="10">
        <v>0</v>
      </c>
      <c r="M4067" s="10">
        <v>1274</v>
      </c>
      <c r="N4067" s="10">
        <v>0</v>
      </c>
      <c r="O4067" s="10">
        <f>Table1[[#This Row],[NET Amount]]-Table1[[#This Row],[Paid Amount]]</f>
        <v>1274</v>
      </c>
      <c r="P4067" s="2" t="s">
        <v>23</v>
      </c>
      <c r="Q4067" s="2" t="s">
        <v>54</v>
      </c>
      <c r="R4067" s="16">
        <f>(Table1[[#This Row],[NET Amount]]-Table1[[#This Row],[Total Outstanding Amount]])/Table1[[#This Row],[NET Amount]]</f>
        <v>0</v>
      </c>
      <c r="S4067" s="2" t="s">
        <v>97</v>
      </c>
    </row>
    <row r="4068" spans="1:19" x14ac:dyDescent="0.3">
      <c r="A4068" s="4">
        <v>4066</v>
      </c>
      <c r="B4068" s="2" t="s">
        <v>178</v>
      </c>
      <c r="C4068" s="3">
        <v>44849</v>
      </c>
      <c r="D4068" s="3" t="str">
        <f>TEXT(Table1[[#This Row],[Admission Date]],"MMMM")</f>
        <v>October</v>
      </c>
      <c r="E4068" s="3">
        <v>44849</v>
      </c>
      <c r="F4068" s="3">
        <v>44849</v>
      </c>
      <c r="G4068" s="2">
        <v>22027213</v>
      </c>
      <c r="H4068" s="2">
        <v>2236134</v>
      </c>
      <c r="I4068" s="2">
        <v>10013469159</v>
      </c>
      <c r="J4068" s="2" t="s">
        <v>790</v>
      </c>
      <c r="K4068" s="10">
        <v>2200</v>
      </c>
      <c r="L4068" s="10">
        <v>0</v>
      </c>
      <c r="M4068" s="10">
        <v>2200</v>
      </c>
      <c r="N4068" s="10">
        <v>0</v>
      </c>
      <c r="O4068" s="10">
        <f>Table1[[#This Row],[NET Amount]]-Table1[[#This Row],[Paid Amount]]</f>
        <v>2200</v>
      </c>
      <c r="P4068" s="2" t="s">
        <v>23</v>
      </c>
      <c r="Q4068" s="2" t="s">
        <v>147</v>
      </c>
      <c r="R4068" s="16">
        <f>(Table1[[#This Row],[NET Amount]]-Table1[[#This Row],[Total Outstanding Amount]])/Table1[[#This Row],[NET Amount]]</f>
        <v>0</v>
      </c>
      <c r="S4068" s="2" t="s">
        <v>97</v>
      </c>
    </row>
    <row r="4069" spans="1:19" x14ac:dyDescent="0.3">
      <c r="A4069" s="4">
        <v>4067</v>
      </c>
      <c r="B4069" s="2" t="s">
        <v>2263</v>
      </c>
      <c r="C4069" s="3">
        <v>44865</v>
      </c>
      <c r="D4069" s="3" t="str">
        <f>TEXT(Table1[[#This Row],[Admission Date]],"MMMM")</f>
        <v>October</v>
      </c>
      <c r="E4069" s="3">
        <v>44865</v>
      </c>
      <c r="F4069" s="3">
        <v>44865</v>
      </c>
      <c r="G4069" s="2">
        <v>22029368</v>
      </c>
      <c r="H4069" s="2">
        <v>2238233</v>
      </c>
      <c r="I4069" s="2">
        <v>1001648223</v>
      </c>
      <c r="J4069" s="2" t="s">
        <v>458</v>
      </c>
      <c r="K4069" s="10">
        <v>1274</v>
      </c>
      <c r="L4069" s="10">
        <v>0</v>
      </c>
      <c r="M4069" s="10">
        <v>1274</v>
      </c>
      <c r="N4069" s="10">
        <v>0</v>
      </c>
      <c r="O4069" s="10">
        <f>Table1[[#This Row],[NET Amount]]-Table1[[#This Row],[Paid Amount]]</f>
        <v>1274</v>
      </c>
      <c r="P4069" s="2" t="s">
        <v>23</v>
      </c>
      <c r="Q4069" s="2" t="s">
        <v>54</v>
      </c>
      <c r="R4069" s="16">
        <f>(Table1[[#This Row],[NET Amount]]-Table1[[#This Row],[Total Outstanding Amount]])/Table1[[#This Row],[NET Amount]]</f>
        <v>0</v>
      </c>
      <c r="S4069" s="2" t="s">
        <v>97</v>
      </c>
    </row>
    <row r="4070" spans="1:19" x14ac:dyDescent="0.3">
      <c r="A4070" s="4">
        <v>4068</v>
      </c>
      <c r="B4070" s="2" t="s">
        <v>2263</v>
      </c>
      <c r="C4070" s="3">
        <v>44845</v>
      </c>
      <c r="D4070" s="3" t="str">
        <f>TEXT(Table1[[#This Row],[Admission Date]],"MMMM")</f>
        <v>October</v>
      </c>
      <c r="E4070" s="3">
        <v>44845</v>
      </c>
      <c r="F4070" s="3">
        <v>44845</v>
      </c>
      <c r="G4070" s="2">
        <v>22026628</v>
      </c>
      <c r="H4070" s="2">
        <v>2235598</v>
      </c>
      <c r="I4070" s="2">
        <v>1001777331</v>
      </c>
      <c r="J4070" s="2" t="s">
        <v>791</v>
      </c>
      <c r="K4070" s="10">
        <v>1274</v>
      </c>
      <c r="L4070" s="10">
        <v>0</v>
      </c>
      <c r="M4070" s="10">
        <v>1274</v>
      </c>
      <c r="N4070" s="10">
        <v>0</v>
      </c>
      <c r="O4070" s="10">
        <f>Table1[[#This Row],[NET Amount]]-Table1[[#This Row],[Paid Amount]]</f>
        <v>1274</v>
      </c>
      <c r="P4070" s="2" t="s">
        <v>23</v>
      </c>
      <c r="Q4070" s="2" t="s">
        <v>54</v>
      </c>
      <c r="R4070" s="16">
        <f>(Table1[[#This Row],[NET Amount]]-Table1[[#This Row],[Total Outstanding Amount]])/Table1[[#This Row],[NET Amount]]</f>
        <v>0</v>
      </c>
      <c r="S4070" s="2" t="s">
        <v>97</v>
      </c>
    </row>
    <row r="4071" spans="1:19" x14ac:dyDescent="0.3">
      <c r="A4071" s="4">
        <v>4069</v>
      </c>
      <c r="B4071" s="2" t="s">
        <v>709</v>
      </c>
      <c r="C4071" s="3">
        <v>44841</v>
      </c>
      <c r="D4071" s="3" t="str">
        <f>TEXT(Table1[[#This Row],[Admission Date]],"MMMM")</f>
        <v>October</v>
      </c>
      <c r="E4071" s="3">
        <v>44851</v>
      </c>
      <c r="F4071" s="3">
        <v>44851</v>
      </c>
      <c r="G4071" s="2">
        <v>22027427</v>
      </c>
      <c r="H4071" s="2">
        <v>2235084</v>
      </c>
      <c r="I4071" s="2">
        <v>1001045893</v>
      </c>
      <c r="J4071" s="2" t="s">
        <v>2223</v>
      </c>
      <c r="K4071" s="10">
        <v>214119</v>
      </c>
      <c r="L4071" s="10">
        <v>0</v>
      </c>
      <c r="M4071" s="10">
        <v>214119</v>
      </c>
      <c r="N4071" s="10">
        <v>0</v>
      </c>
      <c r="O4071" s="10">
        <f>Table1[[#This Row],[NET Amount]]-Table1[[#This Row],[Paid Amount]]</f>
        <v>214119</v>
      </c>
      <c r="P4071" s="2" t="s">
        <v>23</v>
      </c>
      <c r="Q4071" s="2" t="s">
        <v>30</v>
      </c>
      <c r="R4071" s="16">
        <f>(Table1[[#This Row],[NET Amount]]-Table1[[#This Row],[Total Outstanding Amount]])/Table1[[#This Row],[NET Amount]]</f>
        <v>0</v>
      </c>
      <c r="S4071" s="2" t="s">
        <v>20</v>
      </c>
    </row>
    <row r="4072" spans="1:19" x14ac:dyDescent="0.3">
      <c r="A4072" s="4">
        <v>4070</v>
      </c>
      <c r="B4072" s="2" t="s">
        <v>2263</v>
      </c>
      <c r="C4072" s="3">
        <v>44848</v>
      </c>
      <c r="D4072" s="3" t="str">
        <f>TEXT(Table1[[#This Row],[Admission Date]],"MMMM")</f>
        <v>October</v>
      </c>
      <c r="E4072" s="3">
        <v>44848</v>
      </c>
      <c r="F4072" s="3">
        <v>44848</v>
      </c>
      <c r="G4072" s="2">
        <v>22026984</v>
      </c>
      <c r="H4072" s="2">
        <v>2235935</v>
      </c>
      <c r="I4072" s="2">
        <v>1001648223</v>
      </c>
      <c r="J4072" s="2" t="s">
        <v>458</v>
      </c>
      <c r="K4072" s="10">
        <v>1274</v>
      </c>
      <c r="L4072" s="10">
        <v>0</v>
      </c>
      <c r="M4072" s="10">
        <v>1274</v>
      </c>
      <c r="N4072" s="10">
        <v>0</v>
      </c>
      <c r="O4072" s="10">
        <f>Table1[[#This Row],[NET Amount]]-Table1[[#This Row],[Paid Amount]]</f>
        <v>1274</v>
      </c>
      <c r="P4072" s="2" t="s">
        <v>23</v>
      </c>
      <c r="Q4072" s="2" t="s">
        <v>54</v>
      </c>
      <c r="R4072" s="16">
        <f>(Table1[[#This Row],[NET Amount]]-Table1[[#This Row],[Total Outstanding Amount]])/Table1[[#This Row],[NET Amount]]</f>
        <v>0</v>
      </c>
      <c r="S4072" s="2" t="s">
        <v>97</v>
      </c>
    </row>
    <row r="4073" spans="1:19" x14ac:dyDescent="0.3">
      <c r="A4073" s="4">
        <v>4071</v>
      </c>
      <c r="B4073" s="2" t="s">
        <v>2260</v>
      </c>
      <c r="C4073" s="3">
        <v>44865</v>
      </c>
      <c r="D4073" s="3" t="str">
        <f>TEXT(Table1[[#This Row],[Admission Date]],"MMMM")</f>
        <v>October</v>
      </c>
      <c r="E4073" s="3">
        <v>44865</v>
      </c>
      <c r="F4073" s="3">
        <v>44865</v>
      </c>
      <c r="G4073" s="2">
        <v>22029347</v>
      </c>
      <c r="H4073" s="2">
        <v>2238212</v>
      </c>
      <c r="I4073" s="2">
        <v>1001756832</v>
      </c>
      <c r="J4073" s="2" t="s">
        <v>326</v>
      </c>
      <c r="K4073" s="10">
        <v>1610</v>
      </c>
      <c r="L4073" s="10">
        <v>0</v>
      </c>
      <c r="M4073" s="10">
        <v>1610</v>
      </c>
      <c r="N4073" s="10">
        <v>0</v>
      </c>
      <c r="O4073" s="10">
        <f>Table1[[#This Row],[NET Amount]]-Table1[[#This Row],[Paid Amount]]</f>
        <v>1610</v>
      </c>
      <c r="P4073" s="2" t="s">
        <v>23</v>
      </c>
      <c r="Q4073" s="2" t="s">
        <v>54</v>
      </c>
      <c r="R4073" s="16">
        <f>(Table1[[#This Row],[NET Amount]]-Table1[[#This Row],[Total Outstanding Amount]])/Table1[[#This Row],[NET Amount]]</f>
        <v>0</v>
      </c>
      <c r="S4073" s="2" t="s">
        <v>97</v>
      </c>
    </row>
    <row r="4074" spans="1:19" x14ac:dyDescent="0.3">
      <c r="A4074" s="4">
        <v>4072</v>
      </c>
      <c r="B4074" s="2" t="s">
        <v>407</v>
      </c>
      <c r="C4074" s="3">
        <v>44833</v>
      </c>
      <c r="D4074" s="3" t="str">
        <f>TEXT(Table1[[#This Row],[Admission Date]],"MMMM")</f>
        <v>September</v>
      </c>
      <c r="E4074" s="3">
        <v>44835</v>
      </c>
      <c r="F4074" s="3">
        <v>44836</v>
      </c>
      <c r="G4074" s="2">
        <v>22025322</v>
      </c>
      <c r="H4074" s="2">
        <v>2233938</v>
      </c>
      <c r="I4074" s="2">
        <v>10013540454</v>
      </c>
      <c r="J4074" s="2" t="s">
        <v>2027</v>
      </c>
      <c r="K4074" s="10">
        <v>27615</v>
      </c>
      <c r="L4074" s="10">
        <v>0</v>
      </c>
      <c r="M4074" s="10">
        <v>27615</v>
      </c>
      <c r="N4074" s="10">
        <v>0</v>
      </c>
      <c r="O4074" s="10">
        <f>Table1[[#This Row],[NET Amount]]-Table1[[#This Row],[Paid Amount]]</f>
        <v>27615</v>
      </c>
      <c r="P4074" s="2" t="s">
        <v>23</v>
      </c>
      <c r="Q4074" s="2" t="s">
        <v>24</v>
      </c>
      <c r="R4074" s="16">
        <f>(Table1[[#This Row],[NET Amount]]-Table1[[#This Row],[Total Outstanding Amount]])/Table1[[#This Row],[NET Amount]]</f>
        <v>0</v>
      </c>
      <c r="S4074" s="2" t="s">
        <v>43</v>
      </c>
    </row>
    <row r="4075" spans="1:19" x14ac:dyDescent="0.3">
      <c r="A4075" s="4">
        <v>4073</v>
      </c>
      <c r="B4075" s="2" t="s">
        <v>380</v>
      </c>
      <c r="C4075" s="3">
        <v>44837</v>
      </c>
      <c r="D4075" s="3" t="str">
        <f>TEXT(Table1[[#This Row],[Admission Date]],"MMMM")</f>
        <v>October</v>
      </c>
      <c r="E4075" s="3">
        <v>44837</v>
      </c>
      <c r="F4075" s="3">
        <v>44837</v>
      </c>
      <c r="G4075" s="2">
        <v>22025408</v>
      </c>
      <c r="H4075" s="2">
        <v>2234410</v>
      </c>
      <c r="I4075" s="2">
        <v>10013241267</v>
      </c>
      <c r="J4075" s="2" t="s">
        <v>480</v>
      </c>
      <c r="K4075" s="10">
        <v>1274</v>
      </c>
      <c r="L4075" s="10">
        <v>0</v>
      </c>
      <c r="M4075" s="10">
        <v>1274</v>
      </c>
      <c r="N4075" s="10">
        <v>0</v>
      </c>
      <c r="O4075" s="10">
        <f>Table1[[#This Row],[NET Amount]]-Table1[[#This Row],[Paid Amount]]</f>
        <v>1274</v>
      </c>
      <c r="P4075" s="2" t="s">
        <v>23</v>
      </c>
      <c r="Q4075" s="2" t="s">
        <v>54</v>
      </c>
      <c r="R4075" s="16">
        <f>(Table1[[#This Row],[NET Amount]]-Table1[[#This Row],[Total Outstanding Amount]])/Table1[[#This Row],[NET Amount]]</f>
        <v>0</v>
      </c>
      <c r="S4075" s="2" t="s">
        <v>97</v>
      </c>
    </row>
    <row r="4076" spans="1:19" x14ac:dyDescent="0.3">
      <c r="A4076" s="4">
        <v>4074</v>
      </c>
      <c r="B4076" s="2" t="s">
        <v>380</v>
      </c>
      <c r="C4076" s="3">
        <v>44846</v>
      </c>
      <c r="D4076" s="3" t="str">
        <f>TEXT(Table1[[#This Row],[Admission Date]],"MMMM")</f>
        <v>October</v>
      </c>
      <c r="E4076" s="3">
        <v>44846</v>
      </c>
      <c r="F4076" s="3">
        <v>44846</v>
      </c>
      <c r="G4076" s="2">
        <v>22026787</v>
      </c>
      <c r="H4076" s="2">
        <v>2235744</v>
      </c>
      <c r="I4076" s="2">
        <v>10013385641</v>
      </c>
      <c r="J4076" s="2" t="s">
        <v>799</v>
      </c>
      <c r="K4076" s="10">
        <v>1274</v>
      </c>
      <c r="L4076" s="10">
        <v>0</v>
      </c>
      <c r="M4076" s="10">
        <v>1274</v>
      </c>
      <c r="N4076" s="10">
        <v>0</v>
      </c>
      <c r="O4076" s="10">
        <f>Table1[[#This Row],[NET Amount]]-Table1[[#This Row],[Paid Amount]]</f>
        <v>1274</v>
      </c>
      <c r="P4076" s="2" t="s">
        <v>23</v>
      </c>
      <c r="Q4076" s="2" t="s">
        <v>54</v>
      </c>
      <c r="R4076" s="16">
        <f>(Table1[[#This Row],[NET Amount]]-Table1[[#This Row],[Total Outstanding Amount]])/Table1[[#This Row],[NET Amount]]</f>
        <v>0</v>
      </c>
      <c r="S4076" s="2" t="s">
        <v>97</v>
      </c>
    </row>
    <row r="4077" spans="1:19" x14ac:dyDescent="0.3">
      <c r="A4077" s="4">
        <v>4075</v>
      </c>
      <c r="B4077" s="2" t="s">
        <v>2258</v>
      </c>
      <c r="C4077" s="3">
        <v>44835</v>
      </c>
      <c r="D4077" s="3" t="str">
        <f>TEXT(Table1[[#This Row],[Admission Date]],"MMMM")</f>
        <v>October</v>
      </c>
      <c r="E4077" s="3">
        <v>44835</v>
      </c>
      <c r="F4077" s="3">
        <v>44835</v>
      </c>
      <c r="G4077" s="2">
        <v>22025191</v>
      </c>
      <c r="H4077" s="2">
        <v>2234213</v>
      </c>
      <c r="I4077" s="2">
        <v>1001765693</v>
      </c>
      <c r="J4077" s="2" t="s">
        <v>401</v>
      </c>
      <c r="K4077" s="10">
        <v>1610</v>
      </c>
      <c r="L4077" s="10">
        <v>0</v>
      </c>
      <c r="M4077" s="10">
        <v>1610</v>
      </c>
      <c r="N4077" s="10">
        <v>0</v>
      </c>
      <c r="O4077" s="10">
        <f>Table1[[#This Row],[NET Amount]]-Table1[[#This Row],[Paid Amount]]</f>
        <v>1610</v>
      </c>
      <c r="P4077" s="2" t="s">
        <v>23</v>
      </c>
      <c r="Q4077" s="2" t="s">
        <v>54</v>
      </c>
      <c r="R4077" s="16">
        <f>(Table1[[#This Row],[NET Amount]]-Table1[[#This Row],[Total Outstanding Amount]])/Table1[[#This Row],[NET Amount]]</f>
        <v>0</v>
      </c>
      <c r="S4077" s="2" t="s">
        <v>97</v>
      </c>
    </row>
    <row r="4078" spans="1:19" x14ac:dyDescent="0.3">
      <c r="A4078" s="4">
        <v>4076</v>
      </c>
      <c r="B4078" s="2" t="s">
        <v>45</v>
      </c>
      <c r="C4078" s="3">
        <v>44838</v>
      </c>
      <c r="D4078" s="3" t="str">
        <f>TEXT(Table1[[#This Row],[Admission Date]],"MMMM")</f>
        <v>October</v>
      </c>
      <c r="E4078" s="3">
        <v>44838</v>
      </c>
      <c r="F4078" s="3">
        <v>44838</v>
      </c>
      <c r="G4078" s="2">
        <v>22025554</v>
      </c>
      <c r="H4078" s="2">
        <v>2234556</v>
      </c>
      <c r="I4078" s="2">
        <v>1001684515</v>
      </c>
      <c r="J4078" s="2" t="s">
        <v>414</v>
      </c>
      <c r="K4078" s="10">
        <v>2200</v>
      </c>
      <c r="L4078" s="10">
        <v>0</v>
      </c>
      <c r="M4078" s="10">
        <v>2200</v>
      </c>
      <c r="N4078" s="10">
        <v>0</v>
      </c>
      <c r="O4078" s="10">
        <f>Table1[[#This Row],[NET Amount]]-Table1[[#This Row],[Paid Amount]]</f>
        <v>2200</v>
      </c>
      <c r="P4078" s="2" t="s">
        <v>23</v>
      </c>
      <c r="Q4078" s="2" t="s">
        <v>147</v>
      </c>
      <c r="R4078" s="16">
        <f>(Table1[[#This Row],[NET Amount]]-Table1[[#This Row],[Total Outstanding Amount]])/Table1[[#This Row],[NET Amount]]</f>
        <v>0</v>
      </c>
      <c r="S4078" s="2" t="s">
        <v>97</v>
      </c>
    </row>
    <row r="4079" spans="1:19" x14ac:dyDescent="0.3">
      <c r="A4079" s="4">
        <v>4077</v>
      </c>
      <c r="B4079" s="2" t="s">
        <v>75</v>
      </c>
      <c r="C4079" s="3">
        <v>44854</v>
      </c>
      <c r="D4079" s="3" t="str">
        <f>TEXT(Table1[[#This Row],[Admission Date]],"MMMM")</f>
        <v>October</v>
      </c>
      <c r="E4079" s="3">
        <v>44854</v>
      </c>
      <c r="F4079" s="3">
        <v>44854</v>
      </c>
      <c r="G4079" s="2">
        <v>22027946</v>
      </c>
      <c r="H4079" s="2">
        <v>2236813</v>
      </c>
      <c r="I4079" s="2">
        <v>10013442733</v>
      </c>
      <c r="J4079" s="2" t="s">
        <v>109</v>
      </c>
      <c r="K4079" s="10">
        <v>1610</v>
      </c>
      <c r="L4079" s="10">
        <v>0</v>
      </c>
      <c r="M4079" s="10">
        <v>1610</v>
      </c>
      <c r="N4079" s="10">
        <v>0</v>
      </c>
      <c r="O4079" s="10">
        <f>Table1[[#This Row],[NET Amount]]-Table1[[#This Row],[Paid Amount]]</f>
        <v>1610</v>
      </c>
      <c r="P4079" s="2" t="s">
        <v>23</v>
      </c>
      <c r="Q4079" s="2" t="s">
        <v>54</v>
      </c>
      <c r="R4079" s="16">
        <f>(Table1[[#This Row],[NET Amount]]-Table1[[#This Row],[Total Outstanding Amount]])/Table1[[#This Row],[NET Amount]]</f>
        <v>0</v>
      </c>
      <c r="S4079" s="2" t="s">
        <v>97</v>
      </c>
    </row>
    <row r="4080" spans="1:19" x14ac:dyDescent="0.3">
      <c r="A4080" s="4">
        <v>4078</v>
      </c>
      <c r="B4080" s="2" t="s">
        <v>2253</v>
      </c>
      <c r="C4080" s="3">
        <v>44855</v>
      </c>
      <c r="D4080" s="3" t="str">
        <f>TEXT(Table1[[#This Row],[Admission Date]],"MMMM")</f>
        <v>October</v>
      </c>
      <c r="E4080" s="3">
        <v>44855</v>
      </c>
      <c r="F4080" s="3">
        <v>44855</v>
      </c>
      <c r="G4080" s="2">
        <v>22027973</v>
      </c>
      <c r="H4080" s="2">
        <v>2236869</v>
      </c>
      <c r="I4080" s="2">
        <v>1001801530</v>
      </c>
      <c r="J4080" s="2" t="s">
        <v>392</v>
      </c>
      <c r="K4080" s="10">
        <v>1610</v>
      </c>
      <c r="L4080" s="10">
        <v>0</v>
      </c>
      <c r="M4080" s="10">
        <v>1610</v>
      </c>
      <c r="N4080" s="10">
        <v>0</v>
      </c>
      <c r="O4080" s="10">
        <f>Table1[[#This Row],[NET Amount]]-Table1[[#This Row],[Paid Amount]]</f>
        <v>1610</v>
      </c>
      <c r="P4080" s="2" t="s">
        <v>23</v>
      </c>
      <c r="Q4080" s="2" t="s">
        <v>54</v>
      </c>
      <c r="R4080" s="16">
        <f>(Table1[[#This Row],[NET Amount]]-Table1[[#This Row],[Total Outstanding Amount]])/Table1[[#This Row],[NET Amount]]</f>
        <v>0</v>
      </c>
      <c r="S4080" s="2" t="s">
        <v>97</v>
      </c>
    </row>
    <row r="4081" spans="1:19" x14ac:dyDescent="0.3">
      <c r="A4081" s="4">
        <v>4079</v>
      </c>
      <c r="B4081" s="2" t="s">
        <v>168</v>
      </c>
      <c r="C4081" s="3">
        <v>44840</v>
      </c>
      <c r="D4081" s="3" t="str">
        <f>TEXT(Table1[[#This Row],[Admission Date]],"MMMM")</f>
        <v>October</v>
      </c>
      <c r="E4081" s="3">
        <v>44840</v>
      </c>
      <c r="F4081" s="3">
        <v>44840</v>
      </c>
      <c r="G4081" s="2">
        <v>22025851</v>
      </c>
      <c r="H4081" s="2">
        <v>2234851</v>
      </c>
      <c r="I4081" s="2">
        <v>1001468779</v>
      </c>
      <c r="J4081" s="2" t="s">
        <v>387</v>
      </c>
      <c r="K4081" s="10">
        <v>2200</v>
      </c>
      <c r="L4081" s="10">
        <v>0</v>
      </c>
      <c r="M4081" s="10">
        <v>2200</v>
      </c>
      <c r="N4081" s="10">
        <v>0</v>
      </c>
      <c r="O4081" s="10">
        <f>Table1[[#This Row],[NET Amount]]-Table1[[#This Row],[Paid Amount]]</f>
        <v>2200</v>
      </c>
      <c r="P4081" s="2" t="s">
        <v>23</v>
      </c>
      <c r="Q4081" s="2" t="s">
        <v>147</v>
      </c>
      <c r="R4081" s="16">
        <f>(Table1[[#This Row],[NET Amount]]-Table1[[#This Row],[Total Outstanding Amount]])/Table1[[#This Row],[NET Amount]]</f>
        <v>0</v>
      </c>
      <c r="S4081" s="2" t="s">
        <v>97</v>
      </c>
    </row>
    <row r="4082" spans="1:19" x14ac:dyDescent="0.3">
      <c r="A4082" s="4">
        <v>4080</v>
      </c>
      <c r="B4082" s="2" t="s">
        <v>380</v>
      </c>
      <c r="C4082" s="3">
        <v>44861</v>
      </c>
      <c r="D4082" s="3" t="str">
        <f>TEXT(Table1[[#This Row],[Admission Date]],"MMMM")</f>
        <v>October</v>
      </c>
      <c r="E4082" s="3">
        <v>44861</v>
      </c>
      <c r="F4082" s="3">
        <v>44861</v>
      </c>
      <c r="G4082" s="2">
        <v>22028840</v>
      </c>
      <c r="H4082" s="2">
        <v>2237708</v>
      </c>
      <c r="I4082" s="2">
        <v>10013223537</v>
      </c>
      <c r="J4082" s="2" t="s">
        <v>382</v>
      </c>
      <c r="K4082" s="10">
        <v>1274</v>
      </c>
      <c r="L4082" s="10">
        <v>0</v>
      </c>
      <c r="M4082" s="10">
        <v>1274</v>
      </c>
      <c r="N4082" s="10">
        <v>0</v>
      </c>
      <c r="O4082" s="10">
        <f>Table1[[#This Row],[NET Amount]]-Table1[[#This Row],[Paid Amount]]</f>
        <v>1274</v>
      </c>
      <c r="P4082" s="2" t="s">
        <v>23</v>
      </c>
      <c r="Q4082" s="2" t="s">
        <v>54</v>
      </c>
      <c r="R4082" s="16">
        <f>(Table1[[#This Row],[NET Amount]]-Table1[[#This Row],[Total Outstanding Amount]])/Table1[[#This Row],[NET Amount]]</f>
        <v>0</v>
      </c>
      <c r="S4082" s="2" t="s">
        <v>97</v>
      </c>
    </row>
    <row r="4083" spans="1:19" x14ac:dyDescent="0.3">
      <c r="A4083" s="4">
        <v>4081</v>
      </c>
      <c r="B4083" s="2" t="s">
        <v>75</v>
      </c>
      <c r="C4083" s="3">
        <v>44860</v>
      </c>
      <c r="D4083" s="3" t="str">
        <f>TEXT(Table1[[#This Row],[Admission Date]],"MMMM")</f>
        <v>October</v>
      </c>
      <c r="E4083" s="3">
        <v>44860</v>
      </c>
      <c r="F4083" s="3">
        <v>44860</v>
      </c>
      <c r="G4083" s="2">
        <v>22028658</v>
      </c>
      <c r="H4083" s="2">
        <v>2237464</v>
      </c>
      <c r="I4083" s="2">
        <v>10013373132</v>
      </c>
      <c r="J4083" s="2" t="s">
        <v>402</v>
      </c>
      <c r="K4083" s="10">
        <v>1610</v>
      </c>
      <c r="L4083" s="10">
        <v>0</v>
      </c>
      <c r="M4083" s="10">
        <v>1610</v>
      </c>
      <c r="N4083" s="10">
        <v>0</v>
      </c>
      <c r="O4083" s="10">
        <f>Table1[[#This Row],[NET Amount]]-Table1[[#This Row],[Paid Amount]]</f>
        <v>1610</v>
      </c>
      <c r="P4083" s="2" t="s">
        <v>23</v>
      </c>
      <c r="Q4083" s="2" t="s">
        <v>54</v>
      </c>
      <c r="R4083" s="16">
        <f>(Table1[[#This Row],[NET Amount]]-Table1[[#This Row],[Total Outstanding Amount]])/Table1[[#This Row],[NET Amount]]</f>
        <v>0</v>
      </c>
      <c r="S4083" s="2" t="s">
        <v>97</v>
      </c>
    </row>
    <row r="4084" spans="1:19" x14ac:dyDescent="0.3">
      <c r="A4084" s="4">
        <v>4082</v>
      </c>
      <c r="B4084" s="2" t="s">
        <v>380</v>
      </c>
      <c r="C4084" s="3">
        <v>44842</v>
      </c>
      <c r="D4084" s="3" t="str">
        <f>TEXT(Table1[[#This Row],[Admission Date]],"MMMM")</f>
        <v>October</v>
      </c>
      <c r="E4084" s="3">
        <v>44842</v>
      </c>
      <c r="F4084" s="3">
        <v>44842</v>
      </c>
      <c r="G4084" s="2">
        <v>22026211</v>
      </c>
      <c r="H4084" s="2">
        <v>2235211</v>
      </c>
      <c r="I4084" s="2">
        <v>1001590721</v>
      </c>
      <c r="J4084" s="2" t="s">
        <v>461</v>
      </c>
      <c r="K4084" s="10">
        <v>1274</v>
      </c>
      <c r="L4084" s="10">
        <v>0</v>
      </c>
      <c r="M4084" s="10">
        <v>1274</v>
      </c>
      <c r="N4084" s="10">
        <v>0</v>
      </c>
      <c r="O4084" s="10">
        <f>Table1[[#This Row],[NET Amount]]-Table1[[#This Row],[Paid Amount]]</f>
        <v>1274</v>
      </c>
      <c r="P4084" s="2" t="s">
        <v>23</v>
      </c>
      <c r="Q4084" s="2" t="s">
        <v>54</v>
      </c>
      <c r="R4084" s="16">
        <f>(Table1[[#This Row],[NET Amount]]-Table1[[#This Row],[Total Outstanding Amount]])/Table1[[#This Row],[NET Amount]]</f>
        <v>0</v>
      </c>
      <c r="S4084" s="2" t="s">
        <v>97</v>
      </c>
    </row>
    <row r="4085" spans="1:19" x14ac:dyDescent="0.3">
      <c r="A4085" s="4">
        <v>4083</v>
      </c>
      <c r="B4085" s="2" t="s">
        <v>380</v>
      </c>
      <c r="C4085" s="3">
        <v>44865</v>
      </c>
      <c r="D4085" s="3" t="str">
        <f>TEXT(Table1[[#This Row],[Admission Date]],"MMMM")</f>
        <v>October</v>
      </c>
      <c r="E4085" s="3">
        <v>44865</v>
      </c>
      <c r="F4085" s="3">
        <v>44865</v>
      </c>
      <c r="G4085" s="2">
        <v>22029395</v>
      </c>
      <c r="H4085" s="2">
        <v>2238272</v>
      </c>
      <c r="I4085" s="2">
        <v>1001237257</v>
      </c>
      <c r="J4085" s="2" t="s">
        <v>419</v>
      </c>
      <c r="K4085" s="10">
        <v>1274</v>
      </c>
      <c r="L4085" s="10">
        <v>0</v>
      </c>
      <c r="M4085" s="10">
        <v>1274</v>
      </c>
      <c r="N4085" s="10">
        <v>0</v>
      </c>
      <c r="O4085" s="10">
        <f>Table1[[#This Row],[NET Amount]]-Table1[[#This Row],[Paid Amount]]</f>
        <v>1274</v>
      </c>
      <c r="P4085" s="2" t="s">
        <v>23</v>
      </c>
      <c r="Q4085" s="2" t="s">
        <v>54</v>
      </c>
      <c r="R4085" s="16">
        <f>(Table1[[#This Row],[NET Amount]]-Table1[[#This Row],[Total Outstanding Amount]])/Table1[[#This Row],[NET Amount]]</f>
        <v>0</v>
      </c>
      <c r="S4085" s="2" t="s">
        <v>97</v>
      </c>
    </row>
    <row r="4086" spans="1:19" x14ac:dyDescent="0.3">
      <c r="A4086" s="4">
        <v>4084</v>
      </c>
      <c r="B4086" s="2" t="s">
        <v>2258</v>
      </c>
      <c r="C4086" s="3">
        <v>44845</v>
      </c>
      <c r="D4086" s="3" t="str">
        <f>TEXT(Table1[[#This Row],[Admission Date]],"MMMM")</f>
        <v>October</v>
      </c>
      <c r="E4086" s="3">
        <v>44845</v>
      </c>
      <c r="F4086" s="3">
        <v>44845</v>
      </c>
      <c r="G4086" s="2">
        <v>22026496</v>
      </c>
      <c r="H4086" s="2">
        <v>2235493</v>
      </c>
      <c r="I4086" s="2">
        <v>1001781083</v>
      </c>
      <c r="J4086" s="2" t="s">
        <v>777</v>
      </c>
      <c r="K4086" s="10">
        <v>1610</v>
      </c>
      <c r="L4086" s="10">
        <v>0</v>
      </c>
      <c r="M4086" s="10">
        <v>1610</v>
      </c>
      <c r="N4086" s="10">
        <v>0</v>
      </c>
      <c r="O4086" s="10">
        <f>Table1[[#This Row],[NET Amount]]-Table1[[#This Row],[Paid Amount]]</f>
        <v>1610</v>
      </c>
      <c r="P4086" s="2" t="s">
        <v>23</v>
      </c>
      <c r="Q4086" s="2" t="s">
        <v>54</v>
      </c>
      <c r="R4086" s="16">
        <f>(Table1[[#This Row],[NET Amount]]-Table1[[#This Row],[Total Outstanding Amount]])/Table1[[#This Row],[NET Amount]]</f>
        <v>0</v>
      </c>
      <c r="S4086" s="2" t="s">
        <v>97</v>
      </c>
    </row>
    <row r="4087" spans="1:19" x14ac:dyDescent="0.3">
      <c r="A4087" s="4">
        <v>4085</v>
      </c>
      <c r="B4087" s="2" t="s">
        <v>380</v>
      </c>
      <c r="C4087" s="3">
        <v>44849</v>
      </c>
      <c r="D4087" s="3" t="str">
        <f>TEXT(Table1[[#This Row],[Admission Date]],"MMMM")</f>
        <v>October</v>
      </c>
      <c r="E4087" s="3">
        <v>44849</v>
      </c>
      <c r="F4087" s="3">
        <v>44849</v>
      </c>
      <c r="G4087" s="2">
        <v>22027270</v>
      </c>
      <c r="H4087" s="2">
        <v>2236191</v>
      </c>
      <c r="I4087" s="2">
        <v>10013371548</v>
      </c>
      <c r="J4087" s="2" t="s">
        <v>482</v>
      </c>
      <c r="K4087" s="10">
        <v>1274</v>
      </c>
      <c r="L4087" s="10">
        <v>0</v>
      </c>
      <c r="M4087" s="10">
        <v>1274</v>
      </c>
      <c r="N4087" s="10">
        <v>0</v>
      </c>
      <c r="O4087" s="10">
        <f>Table1[[#This Row],[NET Amount]]-Table1[[#This Row],[Paid Amount]]</f>
        <v>1274</v>
      </c>
      <c r="P4087" s="2" t="s">
        <v>23</v>
      </c>
      <c r="Q4087" s="2" t="s">
        <v>54</v>
      </c>
      <c r="R4087" s="16">
        <f>(Table1[[#This Row],[NET Amount]]-Table1[[#This Row],[Total Outstanding Amount]])/Table1[[#This Row],[NET Amount]]</f>
        <v>0</v>
      </c>
      <c r="S4087" s="2" t="s">
        <v>97</v>
      </c>
    </row>
    <row r="4088" spans="1:19" x14ac:dyDescent="0.3">
      <c r="A4088" s="4">
        <v>4086</v>
      </c>
      <c r="B4088" s="2" t="s">
        <v>2253</v>
      </c>
      <c r="C4088" s="3">
        <v>44862</v>
      </c>
      <c r="D4088" s="3" t="str">
        <f>TEXT(Table1[[#This Row],[Admission Date]],"MMMM")</f>
        <v>October</v>
      </c>
      <c r="E4088" s="3">
        <v>44862</v>
      </c>
      <c r="F4088" s="3">
        <v>44862</v>
      </c>
      <c r="G4088" s="2">
        <v>22028854</v>
      </c>
      <c r="H4088" s="2">
        <v>2237751</v>
      </c>
      <c r="I4088" s="2">
        <v>1001801530</v>
      </c>
      <c r="J4088" s="2" t="s">
        <v>392</v>
      </c>
      <c r="K4088" s="10">
        <v>1610</v>
      </c>
      <c r="L4088" s="10">
        <v>0</v>
      </c>
      <c r="M4088" s="10">
        <v>1610</v>
      </c>
      <c r="N4088" s="10">
        <v>0</v>
      </c>
      <c r="O4088" s="10">
        <f>Table1[[#This Row],[NET Amount]]-Table1[[#This Row],[Paid Amount]]</f>
        <v>1610</v>
      </c>
      <c r="P4088" s="2" t="s">
        <v>23</v>
      </c>
      <c r="Q4088" s="2" t="s">
        <v>54</v>
      </c>
      <c r="R4088" s="16">
        <f>(Table1[[#This Row],[NET Amount]]-Table1[[#This Row],[Total Outstanding Amount]])/Table1[[#This Row],[NET Amount]]</f>
        <v>0</v>
      </c>
      <c r="S4088" s="2" t="s">
        <v>97</v>
      </c>
    </row>
    <row r="4089" spans="1:19" x14ac:dyDescent="0.3">
      <c r="A4089" s="4">
        <v>4087</v>
      </c>
      <c r="B4089" s="2" t="s">
        <v>380</v>
      </c>
      <c r="C4089" s="3">
        <v>44853</v>
      </c>
      <c r="D4089" s="3" t="str">
        <f>TEXT(Table1[[#This Row],[Admission Date]],"MMMM")</f>
        <v>October</v>
      </c>
      <c r="E4089" s="3">
        <v>44853</v>
      </c>
      <c r="F4089" s="3">
        <v>44853</v>
      </c>
      <c r="G4089" s="2">
        <v>22027795</v>
      </c>
      <c r="H4089" s="2">
        <v>2236694</v>
      </c>
      <c r="I4089" s="2">
        <v>10013451090</v>
      </c>
      <c r="J4089" s="2" t="s">
        <v>808</v>
      </c>
      <c r="K4089" s="10">
        <v>1274</v>
      </c>
      <c r="L4089" s="10">
        <v>0</v>
      </c>
      <c r="M4089" s="10">
        <v>1274</v>
      </c>
      <c r="N4089" s="10">
        <v>0</v>
      </c>
      <c r="O4089" s="10">
        <f>Table1[[#This Row],[NET Amount]]-Table1[[#This Row],[Paid Amount]]</f>
        <v>1274</v>
      </c>
      <c r="P4089" s="2" t="s">
        <v>23</v>
      </c>
      <c r="Q4089" s="2" t="s">
        <v>54</v>
      </c>
      <c r="R4089" s="16">
        <f>(Table1[[#This Row],[NET Amount]]-Table1[[#This Row],[Total Outstanding Amount]])/Table1[[#This Row],[NET Amount]]</f>
        <v>0</v>
      </c>
      <c r="S4089" s="2" t="s">
        <v>97</v>
      </c>
    </row>
    <row r="4090" spans="1:19" x14ac:dyDescent="0.3">
      <c r="A4090" s="4">
        <v>4088</v>
      </c>
      <c r="B4090" s="2" t="s">
        <v>282</v>
      </c>
      <c r="C4090" s="3">
        <v>44852</v>
      </c>
      <c r="D4090" s="3" t="str">
        <f>TEXT(Table1[[#This Row],[Admission Date]],"MMMM")</f>
        <v>October</v>
      </c>
      <c r="E4090" s="3">
        <v>44854</v>
      </c>
      <c r="F4090" s="3">
        <v>44854</v>
      </c>
      <c r="G4090" s="2">
        <v>22027918</v>
      </c>
      <c r="H4090" s="2">
        <v>2236488</v>
      </c>
      <c r="I4090" s="2">
        <v>10013458204</v>
      </c>
      <c r="J4090" s="2" t="s">
        <v>2224</v>
      </c>
      <c r="K4090" s="10">
        <v>58507</v>
      </c>
      <c r="L4090" s="10">
        <v>28507</v>
      </c>
      <c r="M4090" s="10">
        <v>30000</v>
      </c>
      <c r="N4090" s="10">
        <v>0</v>
      </c>
      <c r="O4090" s="10">
        <f>Table1[[#This Row],[NET Amount]]-Table1[[#This Row],[Paid Amount]]</f>
        <v>30000</v>
      </c>
      <c r="P4090" s="2" t="s">
        <v>23</v>
      </c>
      <c r="Q4090" s="2" t="s">
        <v>24</v>
      </c>
      <c r="R4090" s="16">
        <f>(Table1[[#This Row],[NET Amount]]-Table1[[#This Row],[Total Outstanding Amount]])/Table1[[#This Row],[NET Amount]]</f>
        <v>0</v>
      </c>
      <c r="S4090" s="2" t="s">
        <v>55</v>
      </c>
    </row>
    <row r="4091" spans="1:19" x14ac:dyDescent="0.3">
      <c r="A4091" s="4">
        <v>4089</v>
      </c>
      <c r="B4091" s="2" t="s">
        <v>380</v>
      </c>
      <c r="C4091" s="3">
        <v>44851</v>
      </c>
      <c r="D4091" s="3" t="str">
        <f>TEXT(Table1[[#This Row],[Admission Date]],"MMMM")</f>
        <v>October</v>
      </c>
      <c r="E4091" s="3">
        <v>44851</v>
      </c>
      <c r="F4091" s="3">
        <v>44851</v>
      </c>
      <c r="G4091" s="2">
        <v>22027506</v>
      </c>
      <c r="H4091" s="2">
        <v>2236416</v>
      </c>
      <c r="I4091" s="2">
        <v>10013292990</v>
      </c>
      <c r="J4091" s="2" t="s">
        <v>779</v>
      </c>
      <c r="K4091" s="10">
        <v>1274</v>
      </c>
      <c r="L4091" s="10">
        <v>0</v>
      </c>
      <c r="M4091" s="10">
        <v>1274</v>
      </c>
      <c r="N4091" s="10">
        <v>0</v>
      </c>
      <c r="O4091" s="10">
        <f>Table1[[#This Row],[NET Amount]]-Table1[[#This Row],[Paid Amount]]</f>
        <v>1274</v>
      </c>
      <c r="P4091" s="2" t="s">
        <v>23</v>
      </c>
      <c r="Q4091" s="2" t="s">
        <v>54</v>
      </c>
      <c r="R4091" s="16">
        <f>(Table1[[#This Row],[NET Amount]]-Table1[[#This Row],[Total Outstanding Amount]])/Table1[[#This Row],[NET Amount]]</f>
        <v>0</v>
      </c>
      <c r="S4091" s="2" t="s">
        <v>97</v>
      </c>
    </row>
    <row r="4092" spans="1:19" x14ac:dyDescent="0.3">
      <c r="A4092" s="4">
        <v>4090</v>
      </c>
      <c r="B4092" s="2" t="s">
        <v>380</v>
      </c>
      <c r="C4092" s="3">
        <v>44863</v>
      </c>
      <c r="D4092" s="3" t="str">
        <f>TEXT(Table1[[#This Row],[Admission Date]],"MMMM")</f>
        <v>October</v>
      </c>
      <c r="E4092" s="3">
        <v>44863</v>
      </c>
      <c r="F4092" s="3">
        <v>44863</v>
      </c>
      <c r="G4092" s="2">
        <v>22029168</v>
      </c>
      <c r="H4092" s="2">
        <v>2238039</v>
      </c>
      <c r="I4092" s="2">
        <v>10013370253</v>
      </c>
      <c r="J4092" s="2" t="s">
        <v>488</v>
      </c>
      <c r="K4092" s="10">
        <v>1274</v>
      </c>
      <c r="L4092" s="10">
        <v>0</v>
      </c>
      <c r="M4092" s="10">
        <v>1274</v>
      </c>
      <c r="N4092" s="10">
        <v>0</v>
      </c>
      <c r="O4092" s="10">
        <f>Table1[[#This Row],[NET Amount]]-Table1[[#This Row],[Paid Amount]]</f>
        <v>1274</v>
      </c>
      <c r="P4092" s="2" t="s">
        <v>23</v>
      </c>
      <c r="Q4092" s="2" t="s">
        <v>54</v>
      </c>
      <c r="R4092" s="16">
        <f>(Table1[[#This Row],[NET Amount]]-Table1[[#This Row],[Total Outstanding Amount]])/Table1[[#This Row],[NET Amount]]</f>
        <v>0</v>
      </c>
      <c r="S4092" s="2" t="s">
        <v>97</v>
      </c>
    </row>
    <row r="4093" spans="1:19" x14ac:dyDescent="0.3">
      <c r="A4093" s="4">
        <v>4091</v>
      </c>
      <c r="B4093" s="2" t="s">
        <v>380</v>
      </c>
      <c r="C4093" s="3">
        <v>44861</v>
      </c>
      <c r="D4093" s="3" t="str">
        <f>TEXT(Table1[[#This Row],[Admission Date]],"MMMM")</f>
        <v>October</v>
      </c>
      <c r="E4093" s="3">
        <v>44861</v>
      </c>
      <c r="F4093" s="3">
        <v>44861</v>
      </c>
      <c r="G4093" s="2">
        <v>22028839</v>
      </c>
      <c r="H4093" s="2">
        <v>2237713</v>
      </c>
      <c r="I4093" s="2">
        <v>1001237257</v>
      </c>
      <c r="J4093" s="2" t="s">
        <v>419</v>
      </c>
      <c r="K4093" s="10">
        <v>1274</v>
      </c>
      <c r="L4093" s="10">
        <v>0</v>
      </c>
      <c r="M4093" s="10">
        <v>1274</v>
      </c>
      <c r="N4093" s="10">
        <v>0</v>
      </c>
      <c r="O4093" s="10">
        <f>Table1[[#This Row],[NET Amount]]-Table1[[#This Row],[Paid Amount]]</f>
        <v>1274</v>
      </c>
      <c r="P4093" s="2" t="s">
        <v>23</v>
      </c>
      <c r="Q4093" s="2" t="s">
        <v>54</v>
      </c>
      <c r="R4093" s="16">
        <f>(Table1[[#This Row],[NET Amount]]-Table1[[#This Row],[Total Outstanding Amount]])/Table1[[#This Row],[NET Amount]]</f>
        <v>0</v>
      </c>
      <c r="S4093" s="2" t="s">
        <v>97</v>
      </c>
    </row>
    <row r="4094" spans="1:19" x14ac:dyDescent="0.3">
      <c r="A4094" s="4">
        <v>4092</v>
      </c>
      <c r="B4094" s="2" t="s">
        <v>75</v>
      </c>
      <c r="C4094" s="3">
        <v>44858</v>
      </c>
      <c r="D4094" s="3" t="str">
        <f>TEXT(Table1[[#This Row],[Admission Date]],"MMMM")</f>
        <v>October</v>
      </c>
      <c r="E4094" s="3">
        <v>44861</v>
      </c>
      <c r="F4094" s="3">
        <v>44861</v>
      </c>
      <c r="G4094" s="2">
        <v>22028811</v>
      </c>
      <c r="H4094" s="2">
        <v>2237236</v>
      </c>
      <c r="I4094" s="2">
        <v>10013544301</v>
      </c>
      <c r="J4094" s="2" t="s">
        <v>2225</v>
      </c>
      <c r="K4094" s="10">
        <v>75090</v>
      </c>
      <c r="L4094" s="10">
        <v>0</v>
      </c>
      <c r="M4094" s="10">
        <v>75090</v>
      </c>
      <c r="N4094" s="10">
        <v>0</v>
      </c>
      <c r="O4094" s="10">
        <f>Table1[[#This Row],[NET Amount]]-Table1[[#This Row],[Paid Amount]]</f>
        <v>75090</v>
      </c>
      <c r="P4094" s="2" t="s">
        <v>23</v>
      </c>
      <c r="Q4094" s="2" t="s">
        <v>24</v>
      </c>
      <c r="R4094" s="16">
        <f>(Table1[[#This Row],[NET Amount]]-Table1[[#This Row],[Total Outstanding Amount]])/Table1[[#This Row],[NET Amount]]</f>
        <v>0</v>
      </c>
      <c r="S4094" s="2" t="s">
        <v>201</v>
      </c>
    </row>
    <row r="4095" spans="1:19" x14ac:dyDescent="0.3">
      <c r="A4095" s="4">
        <v>4093</v>
      </c>
      <c r="B4095" s="2" t="s">
        <v>25</v>
      </c>
      <c r="C4095" s="3">
        <v>44812</v>
      </c>
      <c r="D4095" s="3" t="str">
        <f>TEXT(Table1[[#This Row],[Admission Date]],"MMMM")</f>
        <v>September</v>
      </c>
      <c r="E4095" s="3">
        <v>44844</v>
      </c>
      <c r="F4095" s="3">
        <v>44844</v>
      </c>
      <c r="G4095" s="2">
        <v>22026417</v>
      </c>
      <c r="H4095" s="2">
        <v>2231177</v>
      </c>
      <c r="I4095" s="2">
        <v>10013537697</v>
      </c>
      <c r="J4095" s="2" t="s">
        <v>2226</v>
      </c>
      <c r="K4095" s="10">
        <v>1197205</v>
      </c>
      <c r="L4095" s="10">
        <v>1197205</v>
      </c>
      <c r="M4095" s="10">
        <v>0</v>
      </c>
      <c r="N4095" s="10">
        <v>0</v>
      </c>
      <c r="O4095" s="10">
        <f>Table1[[#This Row],[NET Amount]]-Table1[[#This Row],[Paid Amount]]</f>
        <v>0</v>
      </c>
      <c r="P4095" s="2" t="s">
        <v>23</v>
      </c>
      <c r="Q4095" s="2" t="s">
        <v>90</v>
      </c>
      <c r="R4095" s="16" t="e">
        <f>(Table1[[#This Row],[NET Amount]]-Table1[[#This Row],[Total Outstanding Amount]])/Table1[[#This Row],[NET Amount]]</f>
        <v>#DIV/0!</v>
      </c>
      <c r="S4095" s="2" t="s">
        <v>20</v>
      </c>
    </row>
    <row r="4096" spans="1:19" x14ac:dyDescent="0.3">
      <c r="A4096" s="4">
        <v>4094</v>
      </c>
      <c r="B4096" s="2" t="s">
        <v>380</v>
      </c>
      <c r="C4096" s="3">
        <v>44856</v>
      </c>
      <c r="D4096" s="3" t="str">
        <f>TEXT(Table1[[#This Row],[Admission Date]],"MMMM")</f>
        <v>October</v>
      </c>
      <c r="E4096" s="3">
        <v>44856</v>
      </c>
      <c r="F4096" s="3">
        <v>44856</v>
      </c>
      <c r="G4096" s="2">
        <v>22028289</v>
      </c>
      <c r="H4096" s="2">
        <v>2237097</v>
      </c>
      <c r="I4096" s="2">
        <v>10013499172</v>
      </c>
      <c r="J4096" s="2" t="s">
        <v>369</v>
      </c>
      <c r="K4096" s="10">
        <v>1274</v>
      </c>
      <c r="L4096" s="10">
        <v>0</v>
      </c>
      <c r="M4096" s="10">
        <v>1274</v>
      </c>
      <c r="N4096" s="10">
        <v>0</v>
      </c>
      <c r="O4096" s="10">
        <f>Table1[[#This Row],[NET Amount]]-Table1[[#This Row],[Paid Amount]]</f>
        <v>1274</v>
      </c>
      <c r="P4096" s="2" t="s">
        <v>23</v>
      </c>
      <c r="Q4096" s="2" t="s">
        <v>54</v>
      </c>
      <c r="R4096" s="16">
        <f>(Table1[[#This Row],[NET Amount]]-Table1[[#This Row],[Total Outstanding Amount]])/Table1[[#This Row],[NET Amount]]</f>
        <v>0</v>
      </c>
      <c r="S4096" s="2" t="s">
        <v>97</v>
      </c>
    </row>
    <row r="4097" spans="1:19" x14ac:dyDescent="0.3">
      <c r="A4097" s="4">
        <v>4095</v>
      </c>
      <c r="B4097" s="2" t="s">
        <v>2263</v>
      </c>
      <c r="C4097" s="3">
        <v>44841</v>
      </c>
      <c r="D4097" s="3" t="str">
        <f>TEXT(Table1[[#This Row],[Admission Date]],"MMMM")</f>
        <v>October</v>
      </c>
      <c r="E4097" s="3">
        <v>44841</v>
      </c>
      <c r="F4097" s="3">
        <v>44841</v>
      </c>
      <c r="G4097" s="2">
        <v>22025931</v>
      </c>
      <c r="H4097" s="2">
        <v>2234988</v>
      </c>
      <c r="I4097" s="2">
        <v>1001449196</v>
      </c>
      <c r="J4097" s="2" t="s">
        <v>398</v>
      </c>
      <c r="K4097" s="10">
        <v>1274</v>
      </c>
      <c r="L4097" s="10">
        <v>0</v>
      </c>
      <c r="M4097" s="10">
        <v>1274</v>
      </c>
      <c r="N4097" s="10">
        <v>0</v>
      </c>
      <c r="O4097" s="10">
        <f>Table1[[#This Row],[NET Amount]]-Table1[[#This Row],[Paid Amount]]</f>
        <v>1274</v>
      </c>
      <c r="P4097" s="2" t="s">
        <v>23</v>
      </c>
      <c r="Q4097" s="2" t="s">
        <v>54</v>
      </c>
      <c r="R4097" s="16">
        <f>(Table1[[#This Row],[NET Amount]]-Table1[[#This Row],[Total Outstanding Amount]])/Table1[[#This Row],[NET Amount]]</f>
        <v>0</v>
      </c>
      <c r="S4097" s="2" t="s">
        <v>97</v>
      </c>
    </row>
    <row r="4098" spans="1:19" x14ac:dyDescent="0.3">
      <c r="A4098" s="4">
        <v>4096</v>
      </c>
      <c r="B4098" s="2" t="s">
        <v>2253</v>
      </c>
      <c r="C4098" s="3">
        <v>44860</v>
      </c>
      <c r="D4098" s="3" t="str">
        <f>TEXT(Table1[[#This Row],[Admission Date]],"MMMM")</f>
        <v>October</v>
      </c>
      <c r="E4098" s="3">
        <v>44860</v>
      </c>
      <c r="F4098" s="3">
        <v>44860</v>
      </c>
      <c r="G4098" s="2">
        <v>22028590</v>
      </c>
      <c r="H4098" s="2">
        <v>2237446</v>
      </c>
      <c r="I4098" s="2">
        <v>1001749543</v>
      </c>
      <c r="J4098" s="2" t="s">
        <v>810</v>
      </c>
      <c r="K4098" s="10">
        <v>1610</v>
      </c>
      <c r="L4098" s="10">
        <v>0</v>
      </c>
      <c r="M4098" s="10">
        <v>1610</v>
      </c>
      <c r="N4098" s="10">
        <v>0</v>
      </c>
      <c r="O4098" s="10">
        <f>Table1[[#This Row],[NET Amount]]-Table1[[#This Row],[Paid Amount]]</f>
        <v>1610</v>
      </c>
      <c r="P4098" s="2" t="s">
        <v>23</v>
      </c>
      <c r="Q4098" s="2" t="s">
        <v>54</v>
      </c>
      <c r="R4098" s="16">
        <f>(Table1[[#This Row],[NET Amount]]-Table1[[#This Row],[Total Outstanding Amount]])/Table1[[#This Row],[NET Amount]]</f>
        <v>0</v>
      </c>
      <c r="S4098" s="2" t="s">
        <v>97</v>
      </c>
    </row>
    <row r="4099" spans="1:19" x14ac:dyDescent="0.3">
      <c r="A4099" s="7">
        <v>4097</v>
      </c>
      <c r="B4099" s="8" t="s">
        <v>2258</v>
      </c>
      <c r="C4099" s="9">
        <v>44835</v>
      </c>
      <c r="D4099" s="9" t="str">
        <f>TEXT(Table1[[#This Row],[Admission Date]],"MMMM")</f>
        <v>October</v>
      </c>
      <c r="E4099" s="9">
        <v>44835</v>
      </c>
      <c r="F4099" s="9">
        <v>44835</v>
      </c>
      <c r="G4099" s="8">
        <v>22025116</v>
      </c>
      <c r="H4099" s="8">
        <v>2234181</v>
      </c>
      <c r="I4099" s="8">
        <v>1001781083</v>
      </c>
      <c r="J4099" s="8" t="s">
        <v>777</v>
      </c>
      <c r="K4099" s="11">
        <v>1610</v>
      </c>
      <c r="L4099" s="11">
        <v>0</v>
      </c>
      <c r="M4099" s="11">
        <v>1610</v>
      </c>
      <c r="N4099" s="11">
        <v>0</v>
      </c>
      <c r="O4099" s="10">
        <f>Table1[[#This Row],[NET Amount]]-Table1[[#This Row],[Paid Amount]]</f>
        <v>1610</v>
      </c>
      <c r="P4099" s="8" t="s">
        <v>23</v>
      </c>
      <c r="Q4099" s="8" t="s">
        <v>54</v>
      </c>
      <c r="R4099" s="17">
        <f>(Table1[[#This Row],[NET Amount]]-Table1[[#This Row],[Total Outstanding Amount]])/Table1[[#This Row],[NET Amount]]</f>
        <v>0</v>
      </c>
      <c r="S4099" s="8" t="s">
        <v>97</v>
      </c>
    </row>
  </sheetData>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Shekhar Saini</dc:creator>
  <cp:lastModifiedBy>Neetu Shakya</cp:lastModifiedBy>
  <dcterms:created xsi:type="dcterms:W3CDTF">2022-11-07T04:16:43Z</dcterms:created>
  <dcterms:modified xsi:type="dcterms:W3CDTF">2025-12-17T07:06:36Z</dcterms:modified>
</cp:coreProperties>
</file>